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ate1904="1" defaultThemeVersion="166925"/>
  <mc:AlternateContent xmlns:mc="http://schemas.openxmlformats.org/markup-compatibility/2006">
    <mc:Choice Requires="x15">
      <x15ac:absPath xmlns:x15ac="http://schemas.microsoft.com/office/spreadsheetml/2010/11/ac" url="C:\Users\Administrator\abaco\backend\src\main\resources\reports\planilhas\"/>
    </mc:Choice>
  </mc:AlternateContent>
  <xr:revisionPtr revIDLastSave="0" documentId="13_ncr:1_{C17F0D82-6C6F-4EAC-BA42-6C966E36B050}" xr6:coauthVersionLast="47" xr6:coauthVersionMax="47" xr10:uidLastSave="{00000000-0000-0000-0000-000000000000}"/>
  <bookViews>
    <workbookView xWindow="-110" yWindow="-110" windowWidth="38620" windowHeight="21100" tabRatio="732" activeTab="1" xr2:uid="{00000000-000D-0000-FFFF-FFFF00000000}"/>
  </bookViews>
  <sheets>
    <sheet name="Instrução de Uso" sheetId="1" r:id="rId1"/>
    <sheet name="Resumo" sheetId="2" r:id="rId2"/>
    <sheet name="AFP - Detalhada" sheetId="3" r:id="rId3"/>
    <sheet name="AFP - INM" sheetId="4" r:id="rId4"/>
    <sheet name="AFP - Estimativa" sheetId="5" r:id="rId5"/>
    <sheet name="UST" sheetId="6" state="hidden" r:id="rId6"/>
    <sheet name="AFP - Indicativa" sheetId="7" r:id="rId7"/>
    <sheet name="Funcionalidade" sheetId="8" r:id="rId8"/>
    <sheet name="Redução de Prazo" sheetId="9" r:id="rId9"/>
    <sheet name="Esforço" sheetId="10" state="hidden" r:id="rId10"/>
    <sheet name="Tipo Projeto" sheetId="11" r:id="rId11"/>
    <sheet name="Tipo Sistema" sheetId="12" state="hidden" r:id="rId12"/>
  </sheets>
  <definedNames>
    <definedName name="_xlnm._FilterDatabase" localSheetId="2">'AFP - Detalhada'!$C$9:$Q$1324</definedName>
    <definedName name="_xlnm._FilterDatabase" localSheetId="4">'AFP - Estimativa'!$D$9:$I$1082</definedName>
    <definedName name="_xlnm._FilterDatabase" localSheetId="6">'AFP - Indicativa'!$B$9:$H$108</definedName>
    <definedName name="_xlnm._FilterDatabase" localSheetId="3">'AFP - INM'!$C$9:$S$384</definedName>
    <definedName name="_xlnm._FilterDatabase" localSheetId="5">UST!$C$9:$K$403</definedName>
    <definedName name="INM">'Tipo Projeto'!$J$3:INDEX('Tipo Projeto'!$J$3:$J$100,COUNTIF('Tipo Projeto'!$J$3:$J$100,"?*"))</definedName>
    <definedName name="Matriz_INM">'Tipo Projeto'!$J$3:$L$40</definedName>
    <definedName name="Matriz_UST">'Tipo Projeto'!$D$3:INDEX('Tipo Projeto'!$D$3:$D$100,COUNTIF('Tipo Projeto'!$D$3:$D$100,"?*"))</definedName>
    <definedName name="PF_INM">'AFP - INM'!$S$385</definedName>
    <definedName name="PF_UST">UST!$D$5</definedName>
    <definedName name="Print_Titles_0" localSheetId="2">'AFP - Detalhada'!$1:$9</definedName>
    <definedName name="Print_Titles_0" localSheetId="4">'AFP - Estimativa'!$1:$9</definedName>
    <definedName name="Print_Titles_0" localSheetId="6">'AFP - Indicativa'!$1:$9</definedName>
    <definedName name="Print_Titles_0" localSheetId="3">'AFP - INM'!$1:$9</definedName>
    <definedName name="Print_Titles_0" localSheetId="5">UST!$1:$9</definedName>
    <definedName name="Print_Titles_0_0" localSheetId="2">'AFP - Detalhada'!$1:$9</definedName>
    <definedName name="Print_Titles_0_0" localSheetId="4">'AFP - Estimativa'!$1:$9</definedName>
    <definedName name="Print_Titles_0_0" localSheetId="6">'AFP - Indicativa'!$1:$9</definedName>
    <definedName name="Print_Titles_0_0" localSheetId="3">'AFP - INM'!$1:$9</definedName>
    <definedName name="Print_Titles_0_0" localSheetId="5">UST!$1:$9</definedName>
    <definedName name="Print_Titles_0_0_0" localSheetId="2">'AFP - Detalhada'!$1:$9</definedName>
    <definedName name="Print_Titles_0_0_0" localSheetId="4">'AFP - Estimativa'!$1:$9</definedName>
    <definedName name="Print_Titles_0_0_0" localSheetId="6">'AFP - Indicativa'!$1:$9</definedName>
    <definedName name="Print_Titles_0_0_0" localSheetId="3">'AFP - INM'!$1:$9</definedName>
    <definedName name="Print_Titles_0_0_0" localSheetId="5">UST!$1:$9</definedName>
    <definedName name="Print_Titles_0_0_0_0" localSheetId="2">'AFP - Detalhada'!$1:$9</definedName>
    <definedName name="Print_Titles_0_0_0_0" localSheetId="4">'AFP - Estimativa'!$1:$9</definedName>
    <definedName name="Print_Titles_0_0_0_0" localSheetId="6">'AFP - Indicativa'!$1:$9</definedName>
    <definedName name="Print_Titles_0_0_0_0" localSheetId="3">'AFP - INM'!$1:$9</definedName>
    <definedName name="Print_Titles_0_0_0_0" localSheetId="5">UST!$1:$9</definedName>
    <definedName name="Tipo_Contagem">Resumo!$B$5</definedName>
    <definedName name="TipoProjeto">'Tipo Projeto'!$A$3:INDEX('Tipo Projeto'!$A$3:$A$100,COUNTIF('Tipo Projeto'!$A$3:$A$100,"?*"))</definedName>
    <definedName name="TipoSistema">'Tipo Sistema'!$A$2:$A$8</definedName>
    <definedName name="_xlnm.Print_Titles" localSheetId="2">'AFP - Detalhada'!$1:$9</definedName>
    <definedName name="_xlnm.Print_Titles" localSheetId="4">'AFP - Estimativa'!$1:$9</definedName>
    <definedName name="_xlnm.Print_Titles" localSheetId="6">'AFP - Indicativa'!$1:$9</definedName>
    <definedName name="_xlnm.Print_Titles" localSheetId="3">'AFP - INM'!$1:$9</definedName>
    <definedName name="_xlnm.Print_Titles" localSheetId="5">UST!$1:$9</definedName>
    <definedName name="UST">'Tipo Projeto'!$D$2:$D$53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 i="5" l="1"/>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1" i="5"/>
  <c r="G29" i="2"/>
  <c r="X12" i="4"/>
  <c r="Y12" i="4"/>
  <c r="AD12" i="4"/>
  <c r="AF12" i="4" s="1"/>
  <c r="AG12" i="4" s="1"/>
  <c r="AE12" i="4"/>
  <c r="AH12" i="4" s="1"/>
  <c r="X13" i="4"/>
  <c r="Y13" i="4"/>
  <c r="AD13" i="4"/>
  <c r="AF13" i="4"/>
  <c r="AG13" i="4" s="1"/>
  <c r="AE13" i="4"/>
  <c r="X14" i="4"/>
  <c r="Y14" i="4"/>
  <c r="AD14" i="4"/>
  <c r="AE14" i="4"/>
  <c r="X15" i="4"/>
  <c r="Y15" i="4"/>
  <c r="AD15" i="4"/>
  <c r="AE15" i="4"/>
  <c r="AH15" i="4" s="1"/>
  <c r="X16" i="4"/>
  <c r="Y16" i="4"/>
  <c r="AI16" i="4" s="1"/>
  <c r="AO16" i="4" s="1"/>
  <c r="AD16" i="4"/>
  <c r="AE16" i="4"/>
  <c r="AH16" i="4" s="1"/>
  <c r="X17" i="4"/>
  <c r="Y17" i="4"/>
  <c r="AI17" i="4" s="1"/>
  <c r="AO17" i="4" s="1"/>
  <c r="AD17" i="4"/>
  <c r="AE17" i="4"/>
  <c r="AH17" i="4"/>
  <c r="X18" i="4"/>
  <c r="Y18" i="4"/>
  <c r="AI18" i="4"/>
  <c r="AO18" i="4" s="1"/>
  <c r="AD18" i="4"/>
  <c r="AE18" i="4"/>
  <c r="AH18" i="4"/>
  <c r="X19" i="4"/>
  <c r="Y19" i="4"/>
  <c r="AD19" i="4"/>
  <c r="AF19" i="4"/>
  <c r="AG19" i="4"/>
  <c r="AE19" i="4"/>
  <c r="X20" i="4"/>
  <c r="Y20" i="4"/>
  <c r="AD20" i="4"/>
  <c r="AE20" i="4"/>
  <c r="X21" i="4"/>
  <c r="Y21" i="4"/>
  <c r="AD21" i="4"/>
  <c r="AE21" i="4"/>
  <c r="AH21" i="4" s="1"/>
  <c r="X22" i="4"/>
  <c r="Y22" i="4"/>
  <c r="AD22" i="4"/>
  <c r="AE22" i="4"/>
  <c r="X23" i="4"/>
  <c r="Y23" i="4"/>
  <c r="AD23" i="4"/>
  <c r="AF23" i="4"/>
  <c r="AG23" i="4" s="1"/>
  <c r="AE23" i="4"/>
  <c r="AH23" i="4"/>
  <c r="X24" i="4"/>
  <c r="Y24" i="4"/>
  <c r="AD24" i="4"/>
  <c r="AE24" i="4"/>
  <c r="AH24" i="4"/>
  <c r="X25" i="4"/>
  <c r="Y25" i="4"/>
  <c r="AI25" i="4" s="1"/>
  <c r="AO25" i="4" s="1"/>
  <c r="AD25" i="4"/>
  <c r="AE25" i="4"/>
  <c r="X26" i="4"/>
  <c r="Y26" i="4"/>
  <c r="AI26" i="4"/>
  <c r="AO26" i="4"/>
  <c r="AD26" i="4"/>
  <c r="AE26" i="4"/>
  <c r="AH26" i="4" s="1"/>
  <c r="X27" i="4"/>
  <c r="Y27" i="4"/>
  <c r="AI27" i="4"/>
  <c r="AO27" i="4" s="1"/>
  <c r="AD27" i="4"/>
  <c r="AE27" i="4"/>
  <c r="AF27" i="4" s="1"/>
  <c r="AG27" i="4" s="1"/>
  <c r="AH27" i="4"/>
  <c r="X28" i="4"/>
  <c r="Y28" i="4"/>
  <c r="AI28" i="4" s="1"/>
  <c r="AO28" i="4" s="1"/>
  <c r="AD28" i="4"/>
  <c r="AE28" i="4"/>
  <c r="X29" i="4"/>
  <c r="Y29" i="4"/>
  <c r="AD29" i="4"/>
  <c r="AE29" i="4"/>
  <c r="AH29" i="4"/>
  <c r="X30" i="4"/>
  <c r="Y30" i="4"/>
  <c r="AD30" i="4"/>
  <c r="AE30" i="4"/>
  <c r="AH30" i="4"/>
  <c r="X31" i="4"/>
  <c r="Y31" i="4"/>
  <c r="AI31" i="4" s="1"/>
  <c r="AO31" i="4" s="1"/>
  <c r="AD31" i="4"/>
  <c r="AE31" i="4"/>
  <c r="AF31" i="4"/>
  <c r="AG31" i="4"/>
  <c r="X32" i="4"/>
  <c r="Y32" i="4"/>
  <c r="AD32" i="4"/>
  <c r="AE32" i="4"/>
  <c r="AH32" i="4" s="1"/>
  <c r="X33" i="4"/>
  <c r="Y33" i="4"/>
  <c r="AD33" i="4"/>
  <c r="AE33" i="4"/>
  <c r="AF33" i="4" s="1"/>
  <c r="AG33" i="4" s="1"/>
  <c r="AH33" i="4"/>
  <c r="X34" i="4"/>
  <c r="Y34" i="4"/>
  <c r="AD34" i="4"/>
  <c r="AE34" i="4"/>
  <c r="X35" i="4"/>
  <c r="Y35" i="4"/>
  <c r="AD35" i="4"/>
  <c r="AE35" i="4"/>
  <c r="AH35" i="4"/>
  <c r="X36" i="4"/>
  <c r="Y36" i="4"/>
  <c r="AI36" i="4"/>
  <c r="AO36" i="4"/>
  <c r="AD36" i="4"/>
  <c r="AE36" i="4"/>
  <c r="AH36" i="4"/>
  <c r="X37" i="4"/>
  <c r="Y37" i="4"/>
  <c r="AD37" i="4"/>
  <c r="AE37" i="4"/>
  <c r="X38" i="4"/>
  <c r="Y38" i="4"/>
  <c r="AD38" i="4"/>
  <c r="AE38" i="4"/>
  <c r="AH38" i="4"/>
  <c r="X39" i="4"/>
  <c r="Y39" i="4"/>
  <c r="AI39" i="4"/>
  <c r="AO39" i="4" s="1"/>
  <c r="AD39" i="4"/>
  <c r="AE39" i="4"/>
  <c r="AH39" i="4" s="1"/>
  <c r="X40" i="4"/>
  <c r="Y40" i="4"/>
  <c r="AI40" i="4"/>
  <c r="AO40" i="4"/>
  <c r="AD40" i="4"/>
  <c r="AE40" i="4"/>
  <c r="X41" i="4"/>
  <c r="Y41" i="4"/>
  <c r="AI41" i="4" s="1"/>
  <c r="AO41" i="4" s="1"/>
  <c r="AD41" i="4"/>
  <c r="AE41" i="4"/>
  <c r="AH41" i="4"/>
  <c r="X42" i="4"/>
  <c r="Y42" i="4"/>
  <c r="AI42" i="4"/>
  <c r="AO42" i="4"/>
  <c r="AD42" i="4"/>
  <c r="AE42" i="4"/>
  <c r="AH42" i="4"/>
  <c r="X43" i="4"/>
  <c r="Y43" i="4"/>
  <c r="AD43" i="4"/>
  <c r="AF43" i="4" s="1"/>
  <c r="AG43" i="4" s="1"/>
  <c r="AE43" i="4"/>
  <c r="X44" i="4"/>
  <c r="Y44" i="4"/>
  <c r="AI44" i="4"/>
  <c r="AO44" i="4"/>
  <c r="AD44" i="4"/>
  <c r="AE44" i="4"/>
  <c r="AH44" i="4" s="1"/>
  <c r="X45" i="4"/>
  <c r="Y45" i="4"/>
  <c r="AD45" i="4"/>
  <c r="AE45" i="4"/>
  <c r="AH45" i="4"/>
  <c r="X46" i="4"/>
  <c r="Y46" i="4"/>
  <c r="AD46" i="4"/>
  <c r="AE46" i="4"/>
  <c r="X47" i="4"/>
  <c r="Y47" i="4"/>
  <c r="AD47" i="4"/>
  <c r="AE47" i="4"/>
  <c r="AH47" i="4"/>
  <c r="X48" i="4"/>
  <c r="Y48" i="4"/>
  <c r="AD48" i="4"/>
  <c r="AE48" i="4"/>
  <c r="AH48" i="4"/>
  <c r="X49" i="4"/>
  <c r="Y49" i="4"/>
  <c r="AI49" i="4" s="1"/>
  <c r="AO49" i="4"/>
  <c r="AD49" i="4"/>
  <c r="AE49" i="4"/>
  <c r="X50" i="4"/>
  <c r="Y50" i="4"/>
  <c r="AD50" i="4"/>
  <c r="AE50" i="4"/>
  <c r="AH50" i="4"/>
  <c r="X51" i="4"/>
  <c r="AI51" i="4" s="1"/>
  <c r="AO51" i="4" s="1"/>
  <c r="Y51" i="4"/>
  <c r="AD51" i="4"/>
  <c r="AF51" i="4" s="1"/>
  <c r="AG51" i="4" s="1"/>
  <c r="AE51" i="4"/>
  <c r="AH51" i="4" s="1"/>
  <c r="X52" i="4"/>
  <c r="Y52" i="4"/>
  <c r="AD52" i="4"/>
  <c r="AF52" i="4" s="1"/>
  <c r="AG52" i="4" s="1"/>
  <c r="AE52" i="4"/>
  <c r="X53" i="4"/>
  <c r="Y53" i="4"/>
  <c r="AI53" i="4" s="1"/>
  <c r="AO53" i="4" s="1"/>
  <c r="AD53" i="4"/>
  <c r="AE53" i="4"/>
  <c r="AH53" i="4"/>
  <c r="X54" i="4"/>
  <c r="Y54" i="4"/>
  <c r="AD54" i="4"/>
  <c r="AE54" i="4"/>
  <c r="AH54" i="4"/>
  <c r="X55" i="4"/>
  <c r="Y55" i="4"/>
  <c r="AD55" i="4"/>
  <c r="AE55" i="4"/>
  <c r="AH55" i="4"/>
  <c r="X56" i="4"/>
  <c r="Y56" i="4"/>
  <c r="AD56" i="4"/>
  <c r="AE56" i="4"/>
  <c r="AH56" i="4" s="1"/>
  <c r="X57" i="4"/>
  <c r="Y57" i="4"/>
  <c r="AD57" i="4"/>
  <c r="AE57" i="4"/>
  <c r="AH57" i="4" s="1"/>
  <c r="X58" i="4"/>
  <c r="Y58" i="4"/>
  <c r="AD58" i="4"/>
  <c r="AE58" i="4"/>
  <c r="AF58" i="4" s="1"/>
  <c r="AG58" i="4" s="1"/>
  <c r="X59" i="4"/>
  <c r="Y59" i="4"/>
  <c r="AD59" i="4"/>
  <c r="AE59" i="4"/>
  <c r="AH59" i="4"/>
  <c r="X60" i="4"/>
  <c r="AI60" i="4" s="1"/>
  <c r="AO60" i="4" s="1"/>
  <c r="Y60" i="4"/>
  <c r="AD60" i="4"/>
  <c r="AE60" i="4"/>
  <c r="X61" i="4"/>
  <c r="Y61" i="4"/>
  <c r="AD61" i="4"/>
  <c r="AE61" i="4"/>
  <c r="AH61" i="4" s="1"/>
  <c r="X62" i="4"/>
  <c r="Y62" i="4"/>
  <c r="AD62" i="4"/>
  <c r="AE62" i="4"/>
  <c r="AH62" i="4" s="1"/>
  <c r="X63" i="4"/>
  <c r="Y63" i="4"/>
  <c r="AD63" i="4"/>
  <c r="AE63" i="4"/>
  <c r="AH63" i="4"/>
  <c r="X64" i="4"/>
  <c r="Y64" i="4"/>
  <c r="AD64" i="4"/>
  <c r="AF64" i="4" s="1"/>
  <c r="AG64" i="4" s="1"/>
  <c r="AE64" i="4"/>
  <c r="AH64" i="4"/>
  <c r="X65" i="4"/>
  <c r="AI65" i="4" s="1"/>
  <c r="AO65" i="4" s="1"/>
  <c r="Y65" i="4"/>
  <c r="AD65" i="4"/>
  <c r="AE65" i="4"/>
  <c r="AH65" i="4" s="1"/>
  <c r="X66" i="4"/>
  <c r="Y66" i="4"/>
  <c r="AD66" i="4"/>
  <c r="AE66" i="4"/>
  <c r="X67" i="4"/>
  <c r="AI67" i="4" s="1"/>
  <c r="AO67" i="4" s="1"/>
  <c r="Y67" i="4"/>
  <c r="AD67" i="4"/>
  <c r="AE67" i="4"/>
  <c r="AH67" i="4" s="1"/>
  <c r="X68" i="4"/>
  <c r="Y68" i="4"/>
  <c r="AD68" i="4"/>
  <c r="AE68" i="4"/>
  <c r="AH68" i="4" s="1"/>
  <c r="X69" i="4"/>
  <c r="Y69" i="4"/>
  <c r="AD69" i="4"/>
  <c r="AE69" i="4"/>
  <c r="AH69" i="4" s="1"/>
  <c r="X70" i="4"/>
  <c r="Y70" i="4"/>
  <c r="AD70" i="4"/>
  <c r="AF70" i="4"/>
  <c r="AG70" i="4" s="1"/>
  <c r="AE70" i="4"/>
  <c r="AH70" i="4" s="1"/>
  <c r="X71" i="4"/>
  <c r="Y71" i="4"/>
  <c r="AD71" i="4"/>
  <c r="AF71" i="4" s="1"/>
  <c r="AG71" i="4" s="1"/>
  <c r="AE71" i="4"/>
  <c r="AH71" i="4" s="1"/>
  <c r="X72" i="4"/>
  <c r="Y72" i="4"/>
  <c r="AD72" i="4"/>
  <c r="AE72" i="4"/>
  <c r="AH72" i="4" s="1"/>
  <c r="X73" i="4"/>
  <c r="Y73" i="4"/>
  <c r="AD73" i="4"/>
  <c r="AE73" i="4"/>
  <c r="AH73" i="4" s="1"/>
  <c r="X74" i="4"/>
  <c r="Y74" i="4"/>
  <c r="AD74" i="4"/>
  <c r="AE74" i="4"/>
  <c r="AH74" i="4" s="1"/>
  <c r="X75" i="4"/>
  <c r="AI75" i="4" s="1"/>
  <c r="AO75" i="4" s="1"/>
  <c r="Y75" i="4"/>
  <c r="AD75" i="4"/>
  <c r="AE75" i="4"/>
  <c r="AH75" i="4" s="1"/>
  <c r="X76" i="4"/>
  <c r="Y76" i="4"/>
  <c r="AD76" i="4"/>
  <c r="AE76" i="4"/>
  <c r="AH76" i="4"/>
  <c r="X77" i="4"/>
  <c r="Y77" i="4"/>
  <c r="AD77" i="4"/>
  <c r="AE77" i="4"/>
  <c r="AH77" i="4"/>
  <c r="X78" i="4"/>
  <c r="AI78" i="4" s="1"/>
  <c r="AO78" i="4" s="1"/>
  <c r="Y78" i="4"/>
  <c r="AD78" i="4"/>
  <c r="AF78" i="4"/>
  <c r="AG78" i="4"/>
  <c r="AE78" i="4"/>
  <c r="AH78" i="4" s="1"/>
  <c r="X79" i="4"/>
  <c r="Y79" i="4"/>
  <c r="AD79" i="4"/>
  <c r="AE79" i="4"/>
  <c r="AH79" i="4" s="1"/>
  <c r="X80" i="4"/>
  <c r="Y80" i="4"/>
  <c r="AD80" i="4"/>
  <c r="AF80" i="4"/>
  <c r="AG80" i="4" s="1"/>
  <c r="AE80" i="4"/>
  <c r="AH80" i="4" s="1"/>
  <c r="X81" i="4"/>
  <c r="Y81" i="4"/>
  <c r="AD81" i="4"/>
  <c r="AE81" i="4"/>
  <c r="AH81" i="4" s="1"/>
  <c r="X82" i="4"/>
  <c r="Y82" i="4"/>
  <c r="AD82" i="4"/>
  <c r="AE82" i="4"/>
  <c r="AH82" i="4" s="1"/>
  <c r="X83" i="4"/>
  <c r="AI83" i="4" s="1"/>
  <c r="AO83" i="4" s="1"/>
  <c r="Y83" i="4"/>
  <c r="AD83" i="4"/>
  <c r="AE83" i="4"/>
  <c r="AF83" i="4" s="1"/>
  <c r="AG83" i="4" s="1"/>
  <c r="AH83" i="4"/>
  <c r="X84" i="4"/>
  <c r="Y84" i="4"/>
  <c r="AD84" i="4"/>
  <c r="AE84" i="4"/>
  <c r="AH84" i="4" s="1"/>
  <c r="X85" i="4"/>
  <c r="Y85" i="4"/>
  <c r="AD85" i="4"/>
  <c r="AE85" i="4"/>
  <c r="AH85" i="4"/>
  <c r="X86" i="4"/>
  <c r="Y86" i="4"/>
  <c r="AD86" i="4"/>
  <c r="AE86" i="4"/>
  <c r="AH86" i="4" s="1"/>
  <c r="X87" i="4"/>
  <c r="Y87" i="4"/>
  <c r="AD87" i="4"/>
  <c r="AE87" i="4"/>
  <c r="AH87" i="4" s="1"/>
  <c r="X88" i="4"/>
  <c r="Y88" i="4"/>
  <c r="AD88" i="4"/>
  <c r="AE88" i="4"/>
  <c r="AH88" i="4" s="1"/>
  <c r="X89" i="4"/>
  <c r="Y89" i="4"/>
  <c r="AD89" i="4"/>
  <c r="AE89" i="4"/>
  <c r="AH89" i="4"/>
  <c r="X90" i="4"/>
  <c r="Y90" i="4"/>
  <c r="AI90" i="4" s="1"/>
  <c r="AO90" i="4" s="1"/>
  <c r="AD90" i="4"/>
  <c r="AF90" i="4"/>
  <c r="AG90" i="4" s="1"/>
  <c r="AE90" i="4"/>
  <c r="AH90" i="4" s="1"/>
  <c r="X91" i="4"/>
  <c r="Y91" i="4"/>
  <c r="AI91" i="4"/>
  <c r="AO91" i="4" s="1"/>
  <c r="AD91" i="4"/>
  <c r="AE91" i="4"/>
  <c r="AH91" i="4"/>
  <c r="X92" i="4"/>
  <c r="Y92" i="4"/>
  <c r="AD92" i="4"/>
  <c r="AE92" i="4"/>
  <c r="AH92" i="4" s="1"/>
  <c r="X93" i="4"/>
  <c r="Y93" i="4"/>
  <c r="AD93" i="4"/>
  <c r="AE93" i="4"/>
  <c r="AH93" i="4" s="1"/>
  <c r="X94" i="4"/>
  <c r="Y94" i="4"/>
  <c r="AI94" i="4"/>
  <c r="AO94" i="4"/>
  <c r="AD94" i="4"/>
  <c r="AE94" i="4"/>
  <c r="AH94" i="4" s="1"/>
  <c r="X95" i="4"/>
  <c r="Y95" i="4"/>
  <c r="AD95" i="4"/>
  <c r="AE95" i="4"/>
  <c r="AH95" i="4" s="1"/>
  <c r="X96" i="4"/>
  <c r="Y96" i="4"/>
  <c r="AD96" i="4"/>
  <c r="AE96" i="4"/>
  <c r="AH96" i="4" s="1"/>
  <c r="X97" i="4"/>
  <c r="Y97" i="4"/>
  <c r="AD97" i="4"/>
  <c r="AF97" i="4" s="1"/>
  <c r="AG97" i="4"/>
  <c r="AE97" i="4"/>
  <c r="AH97" i="4" s="1"/>
  <c r="X98" i="4"/>
  <c r="Y98" i="4"/>
  <c r="AI98" i="4"/>
  <c r="AO98" i="4"/>
  <c r="AD98" i="4"/>
  <c r="AE98" i="4"/>
  <c r="AH98" i="4" s="1"/>
  <c r="X99" i="4"/>
  <c r="Y99" i="4"/>
  <c r="AD99" i="4"/>
  <c r="AF99" i="4" s="1"/>
  <c r="AG99" i="4" s="1"/>
  <c r="AE99" i="4"/>
  <c r="X100" i="4"/>
  <c r="Y100" i="4"/>
  <c r="AD100" i="4"/>
  <c r="AE100" i="4"/>
  <c r="AH100" i="4" s="1"/>
  <c r="X101" i="4"/>
  <c r="Y101" i="4"/>
  <c r="AD101" i="4"/>
  <c r="AE101" i="4"/>
  <c r="AH101" i="4" s="1"/>
  <c r="X102" i="4"/>
  <c r="Y102" i="4"/>
  <c r="AD102" i="4"/>
  <c r="AE102" i="4"/>
  <c r="AH102" i="4"/>
  <c r="X103" i="4"/>
  <c r="Y103" i="4"/>
  <c r="AD103" i="4"/>
  <c r="AE103" i="4"/>
  <c r="AF103" i="4" s="1"/>
  <c r="AG103" i="4" s="1"/>
  <c r="X104" i="4"/>
  <c r="Y104" i="4"/>
  <c r="AD104" i="4"/>
  <c r="AE104" i="4"/>
  <c r="AF104" i="4" s="1"/>
  <c r="AG104" i="4" s="1"/>
  <c r="AH104" i="4"/>
  <c r="X105" i="4"/>
  <c r="AI105" i="4" s="1"/>
  <c r="AO105" i="4" s="1"/>
  <c r="Y105" i="4"/>
  <c r="AD105" i="4"/>
  <c r="AF105" i="4" s="1"/>
  <c r="AG105" i="4" s="1"/>
  <c r="AE105" i="4"/>
  <c r="X106" i="4"/>
  <c r="Y106" i="4"/>
  <c r="AD106" i="4"/>
  <c r="AE106" i="4"/>
  <c r="AH106" i="4" s="1"/>
  <c r="X107" i="4"/>
  <c r="Y107" i="4"/>
  <c r="AD107" i="4"/>
  <c r="AE107" i="4"/>
  <c r="AH107" i="4" s="1"/>
  <c r="X108" i="4"/>
  <c r="Y108" i="4"/>
  <c r="AD108" i="4"/>
  <c r="AE108" i="4"/>
  <c r="AH108" i="4"/>
  <c r="X109" i="4"/>
  <c r="Y109" i="4"/>
  <c r="AD109" i="4"/>
  <c r="AE109" i="4"/>
  <c r="AH109" i="4" s="1"/>
  <c r="X110" i="4"/>
  <c r="Y110" i="4"/>
  <c r="AD110" i="4"/>
  <c r="AE110" i="4"/>
  <c r="AH110" i="4"/>
  <c r="X111" i="4"/>
  <c r="Y111" i="4"/>
  <c r="AD111" i="4"/>
  <c r="AE111" i="4"/>
  <c r="X112" i="4"/>
  <c r="Y112" i="4"/>
  <c r="AD112" i="4"/>
  <c r="AE112" i="4"/>
  <c r="AH112" i="4" s="1"/>
  <c r="X113" i="4"/>
  <c r="Y113" i="4"/>
  <c r="AD113" i="4"/>
  <c r="AE113" i="4"/>
  <c r="AH113" i="4"/>
  <c r="X114" i="4"/>
  <c r="AI114" i="4"/>
  <c r="AO114" i="4" s="1"/>
  <c r="Y114" i="4"/>
  <c r="AD114" i="4"/>
  <c r="AE114" i="4"/>
  <c r="AH114" i="4" s="1"/>
  <c r="X115" i="4"/>
  <c r="Y115" i="4"/>
  <c r="AD115" i="4"/>
  <c r="AE115" i="4"/>
  <c r="AH115" i="4"/>
  <c r="X116" i="4"/>
  <c r="Y116" i="4"/>
  <c r="AD116" i="4"/>
  <c r="AE116" i="4"/>
  <c r="AH116" i="4" s="1"/>
  <c r="X117" i="4"/>
  <c r="Y117" i="4"/>
  <c r="AD117" i="4"/>
  <c r="AE117" i="4"/>
  <c r="AH117" i="4"/>
  <c r="X118" i="4"/>
  <c r="Y118" i="4"/>
  <c r="AD118" i="4"/>
  <c r="AF118" i="4"/>
  <c r="AG118" i="4" s="1"/>
  <c r="AE118" i="4"/>
  <c r="AH118" i="4" s="1"/>
  <c r="X119" i="4"/>
  <c r="Y119" i="4"/>
  <c r="AD119" i="4"/>
  <c r="AE119" i="4"/>
  <c r="AH119" i="4"/>
  <c r="X120" i="4"/>
  <c r="Y120" i="4"/>
  <c r="AD120" i="4"/>
  <c r="AE120" i="4"/>
  <c r="X121" i="4"/>
  <c r="Y121" i="4"/>
  <c r="AD121" i="4"/>
  <c r="AF121" i="4"/>
  <c r="AG121" i="4" s="1"/>
  <c r="AE121" i="4"/>
  <c r="AH121" i="4" s="1"/>
  <c r="X122" i="4"/>
  <c r="Y122" i="4"/>
  <c r="AD122" i="4"/>
  <c r="AF122" i="4" s="1"/>
  <c r="AG122" i="4" s="1"/>
  <c r="AE122" i="4"/>
  <c r="AH122" i="4"/>
  <c r="X123" i="4"/>
  <c r="Y123" i="4"/>
  <c r="AD123" i="4"/>
  <c r="AF123" i="4" s="1"/>
  <c r="AG123" i="4" s="1"/>
  <c r="AE123" i="4"/>
  <c r="AH123" i="4"/>
  <c r="X124" i="4"/>
  <c r="Y124" i="4"/>
  <c r="AD124" i="4"/>
  <c r="AE124" i="4"/>
  <c r="AH124" i="4"/>
  <c r="X125" i="4"/>
  <c r="AI125" i="4"/>
  <c r="AO125" i="4" s="1"/>
  <c r="Y125" i="4"/>
  <c r="AD125" i="4"/>
  <c r="AE125" i="4"/>
  <c r="AF125" i="4"/>
  <c r="AG125" i="4"/>
  <c r="X126" i="4"/>
  <c r="Y126" i="4"/>
  <c r="AD126" i="4"/>
  <c r="AE126" i="4"/>
  <c r="AH126" i="4" s="1"/>
  <c r="X127" i="4"/>
  <c r="Y127" i="4"/>
  <c r="AD127" i="4"/>
  <c r="AE127" i="4"/>
  <c r="X128" i="4"/>
  <c r="Y128" i="4"/>
  <c r="AD128" i="4"/>
  <c r="AE128" i="4"/>
  <c r="AH128" i="4"/>
  <c r="X129" i="4"/>
  <c r="Y129" i="4"/>
  <c r="AI129" i="4" s="1"/>
  <c r="AO129" i="4" s="1"/>
  <c r="AD129" i="4"/>
  <c r="AE129" i="4"/>
  <c r="AH129" i="4" s="1"/>
  <c r="X130" i="4"/>
  <c r="Y130" i="4"/>
  <c r="AD130" i="4"/>
  <c r="AE130" i="4"/>
  <c r="AF130" i="4"/>
  <c r="AG130" i="4" s="1"/>
  <c r="X131" i="4"/>
  <c r="Y131" i="4"/>
  <c r="AD131" i="4"/>
  <c r="AE131" i="4"/>
  <c r="AH131" i="4" s="1"/>
  <c r="X132" i="4"/>
  <c r="Y132" i="4"/>
  <c r="AD132" i="4"/>
  <c r="AF132" i="4"/>
  <c r="AG132" i="4" s="1"/>
  <c r="AE132" i="4"/>
  <c r="AH132" i="4" s="1"/>
  <c r="X133" i="4"/>
  <c r="Y133" i="4"/>
  <c r="AI133" i="4"/>
  <c r="AO133" i="4" s="1"/>
  <c r="AD133" i="4"/>
  <c r="AF133" i="4" s="1"/>
  <c r="AG133" i="4" s="1"/>
  <c r="AE133" i="4"/>
  <c r="AH133" i="4"/>
  <c r="X134" i="4"/>
  <c r="Y134" i="4"/>
  <c r="AD134" i="4"/>
  <c r="AE134" i="4"/>
  <c r="AH134" i="4" s="1"/>
  <c r="X135" i="4"/>
  <c r="Y135" i="4"/>
  <c r="AD135" i="4"/>
  <c r="AE135" i="4"/>
  <c r="AH135" i="4"/>
  <c r="X136" i="4"/>
  <c r="Y136" i="4"/>
  <c r="AD136" i="4"/>
  <c r="AE136" i="4"/>
  <c r="AH136" i="4" s="1"/>
  <c r="X137" i="4"/>
  <c r="Y137" i="4"/>
  <c r="AD137" i="4"/>
  <c r="AE137" i="4"/>
  <c r="AH137" i="4" s="1"/>
  <c r="X138" i="4"/>
  <c r="Y138" i="4"/>
  <c r="AD138" i="4"/>
  <c r="AE138" i="4"/>
  <c r="AH138" i="4" s="1"/>
  <c r="X139" i="4"/>
  <c r="Y139" i="4"/>
  <c r="AD139" i="4"/>
  <c r="AE139" i="4"/>
  <c r="AH139" i="4" s="1"/>
  <c r="X140" i="4"/>
  <c r="Y140" i="4"/>
  <c r="AD140" i="4"/>
  <c r="AE140" i="4"/>
  <c r="X141" i="4"/>
  <c r="Y141" i="4"/>
  <c r="AD141" i="4"/>
  <c r="AE141" i="4"/>
  <c r="AH141" i="4" s="1"/>
  <c r="X142" i="4"/>
  <c r="Y142" i="4"/>
  <c r="AD142" i="4"/>
  <c r="AE142" i="4"/>
  <c r="AH142" i="4" s="1"/>
  <c r="X143" i="4"/>
  <c r="Y143" i="4"/>
  <c r="AD143" i="4"/>
  <c r="AF143" i="4" s="1"/>
  <c r="AG143" i="4" s="1"/>
  <c r="AE143" i="4"/>
  <c r="X144" i="4"/>
  <c r="Y144" i="4"/>
  <c r="AD144" i="4"/>
  <c r="AF144" i="4" s="1"/>
  <c r="AG144" i="4" s="1"/>
  <c r="AE144" i="4"/>
  <c r="X145" i="4"/>
  <c r="Y145" i="4"/>
  <c r="AD145" i="4"/>
  <c r="AE145" i="4"/>
  <c r="AH145" i="4" s="1"/>
  <c r="X146" i="4"/>
  <c r="Y146" i="4"/>
  <c r="AI146" i="4"/>
  <c r="AO146" i="4"/>
  <c r="AD146" i="4"/>
  <c r="AF146" i="4" s="1"/>
  <c r="AG146" i="4" s="1"/>
  <c r="AE146" i="4"/>
  <c r="AH146" i="4" s="1"/>
  <c r="X147" i="4"/>
  <c r="Y147" i="4"/>
  <c r="AD147" i="4"/>
  <c r="AE147" i="4"/>
  <c r="X148" i="4"/>
  <c r="Y148" i="4"/>
  <c r="AD148" i="4"/>
  <c r="AE148" i="4"/>
  <c r="AH148" i="4" s="1"/>
  <c r="X149" i="4"/>
  <c r="Y149" i="4"/>
  <c r="AD149" i="4"/>
  <c r="AE149" i="4"/>
  <c r="X150" i="4"/>
  <c r="Y150" i="4"/>
  <c r="AD150" i="4"/>
  <c r="AE150" i="4"/>
  <c r="AF150" i="4" s="1"/>
  <c r="AG150" i="4" s="1"/>
  <c r="X151" i="4"/>
  <c r="Y151" i="4"/>
  <c r="AD151" i="4"/>
  <c r="AE151" i="4"/>
  <c r="AH151" i="4"/>
  <c r="X152" i="4"/>
  <c r="Y152" i="4"/>
  <c r="AD152" i="4"/>
  <c r="AE152" i="4"/>
  <c r="AH152" i="4"/>
  <c r="AF152" i="4"/>
  <c r="AG152" i="4" s="1"/>
  <c r="X153" i="4"/>
  <c r="AI153" i="4" s="1"/>
  <c r="AO153" i="4" s="1"/>
  <c r="Y153" i="4"/>
  <c r="AD153" i="4"/>
  <c r="AE153" i="4"/>
  <c r="AH153" i="4" s="1"/>
  <c r="X154" i="4"/>
  <c r="Y154" i="4"/>
  <c r="AD154" i="4"/>
  <c r="AE154" i="4"/>
  <c r="AH154" i="4"/>
  <c r="X155" i="4"/>
  <c r="AI155" i="4" s="1"/>
  <c r="AO155" i="4" s="1"/>
  <c r="Y155" i="4"/>
  <c r="AD155" i="4"/>
  <c r="AE155" i="4"/>
  <c r="AH155" i="4" s="1"/>
  <c r="X156" i="4"/>
  <c r="Y156" i="4"/>
  <c r="AI156" i="4"/>
  <c r="AO156" i="4"/>
  <c r="AD156" i="4"/>
  <c r="AE156" i="4"/>
  <c r="X157" i="4"/>
  <c r="Y157" i="4"/>
  <c r="AD157" i="4"/>
  <c r="AE157" i="4"/>
  <c r="AH157" i="4" s="1"/>
  <c r="X158" i="4"/>
  <c r="Y158" i="4"/>
  <c r="AD158" i="4"/>
  <c r="AE158" i="4"/>
  <c r="AH158" i="4"/>
  <c r="X159" i="4"/>
  <c r="Y159" i="4"/>
  <c r="AI159" i="4" s="1"/>
  <c r="AO159" i="4" s="1"/>
  <c r="AD159" i="4"/>
  <c r="AE159" i="4"/>
  <c r="X160" i="4"/>
  <c r="Y160" i="4"/>
  <c r="AD160" i="4"/>
  <c r="AE160" i="4"/>
  <c r="AH160" i="4"/>
  <c r="X161" i="4"/>
  <c r="Y161" i="4"/>
  <c r="AI161" i="4" s="1"/>
  <c r="AO161" i="4" s="1"/>
  <c r="AD161" i="4"/>
  <c r="AE161" i="4"/>
  <c r="AH161" i="4"/>
  <c r="X162" i="4"/>
  <c r="Y162" i="4"/>
  <c r="AD162" i="4"/>
  <c r="AE162" i="4"/>
  <c r="AH162" i="4"/>
  <c r="X163" i="4"/>
  <c r="Y163" i="4"/>
  <c r="AD163" i="4"/>
  <c r="AF163" i="4" s="1"/>
  <c r="AG163" i="4" s="1"/>
  <c r="AE163" i="4"/>
  <c r="AH163" i="4"/>
  <c r="X164" i="4"/>
  <c r="Y164" i="4"/>
  <c r="AI164" i="4" s="1"/>
  <c r="AO164" i="4" s="1"/>
  <c r="AD164" i="4"/>
  <c r="AE164" i="4"/>
  <c r="AH164" i="4" s="1"/>
  <c r="X165" i="4"/>
  <c r="Y165" i="4"/>
  <c r="AD165" i="4"/>
  <c r="AE165" i="4"/>
  <c r="AH165" i="4"/>
  <c r="X166" i="4"/>
  <c r="Y166" i="4"/>
  <c r="AD166" i="4"/>
  <c r="AE166" i="4"/>
  <c r="X167" i="4"/>
  <c r="AI167" i="4"/>
  <c r="AO167" i="4" s="1"/>
  <c r="Y167" i="4"/>
  <c r="AD167" i="4"/>
  <c r="AE167" i="4"/>
  <c r="AH167" i="4" s="1"/>
  <c r="X168" i="4"/>
  <c r="AI168" i="4" s="1"/>
  <c r="AO168" i="4" s="1"/>
  <c r="Y168" i="4"/>
  <c r="AD168" i="4"/>
  <c r="AE168" i="4"/>
  <c r="AH168" i="4"/>
  <c r="X169" i="4"/>
  <c r="Y169" i="4"/>
  <c r="AD169" i="4"/>
  <c r="AF169" i="4"/>
  <c r="AG169" i="4" s="1"/>
  <c r="AE169" i="4"/>
  <c r="AH169" i="4" s="1"/>
  <c r="X170" i="4"/>
  <c r="Y170" i="4"/>
  <c r="AD170" i="4"/>
  <c r="AE170" i="4"/>
  <c r="AH170" i="4" s="1"/>
  <c r="X171" i="4"/>
  <c r="Y171" i="4"/>
  <c r="AD171" i="4"/>
  <c r="AE171" i="4"/>
  <c r="AH171" i="4" s="1"/>
  <c r="X172" i="4"/>
  <c r="Y172" i="4"/>
  <c r="AI172" i="4"/>
  <c r="AO172" i="4"/>
  <c r="AD172" i="4"/>
  <c r="AE172" i="4"/>
  <c r="AH172" i="4"/>
  <c r="X173" i="4"/>
  <c r="Y173" i="4"/>
  <c r="AD173" i="4"/>
  <c r="AE173" i="4"/>
  <c r="AH173" i="4" s="1"/>
  <c r="X174" i="4"/>
  <c r="Y174" i="4"/>
  <c r="AD174" i="4"/>
  <c r="AE174" i="4"/>
  <c r="AH174" i="4"/>
  <c r="X175" i="4"/>
  <c r="Y175" i="4"/>
  <c r="AD175" i="4"/>
  <c r="AE175" i="4"/>
  <c r="AH175" i="4" s="1"/>
  <c r="X176" i="4"/>
  <c r="Y176" i="4"/>
  <c r="AD176" i="4"/>
  <c r="AE176" i="4"/>
  <c r="AH176" i="4"/>
  <c r="X177" i="4"/>
  <c r="Y177" i="4"/>
  <c r="AI177" i="4"/>
  <c r="AO177" i="4"/>
  <c r="AD177" i="4"/>
  <c r="AE177" i="4"/>
  <c r="AH177" i="4" s="1"/>
  <c r="X178" i="4"/>
  <c r="Y178" i="4"/>
  <c r="AI178" i="4" s="1"/>
  <c r="AO178" i="4" s="1"/>
  <c r="AD178" i="4"/>
  <c r="AE178" i="4"/>
  <c r="AH178" i="4"/>
  <c r="X179" i="4"/>
  <c r="Y179" i="4"/>
  <c r="AD179" i="4"/>
  <c r="AE179" i="4"/>
  <c r="X180" i="4"/>
  <c r="Y180" i="4"/>
  <c r="AD180" i="4"/>
  <c r="AE180" i="4"/>
  <c r="AH180" i="4" s="1"/>
  <c r="X181" i="4"/>
  <c r="Y181" i="4"/>
  <c r="AD181" i="4"/>
  <c r="AE181" i="4"/>
  <c r="AH181" i="4"/>
  <c r="X182" i="4"/>
  <c r="Y182" i="4"/>
  <c r="AD182" i="4"/>
  <c r="AE182" i="4"/>
  <c r="X183" i="4"/>
  <c r="Y183" i="4"/>
  <c r="AD183" i="4"/>
  <c r="AE183" i="4"/>
  <c r="AH183" i="4"/>
  <c r="X184" i="4"/>
  <c r="Y184" i="4"/>
  <c r="AI184" i="4"/>
  <c r="AO184" i="4" s="1"/>
  <c r="AD184" i="4"/>
  <c r="AE184" i="4"/>
  <c r="AH184" i="4"/>
  <c r="X185" i="4"/>
  <c r="Y185" i="4"/>
  <c r="AI185" i="4" s="1"/>
  <c r="AO185" i="4" s="1"/>
  <c r="AD185" i="4"/>
  <c r="AE185" i="4"/>
  <c r="AH185" i="4"/>
  <c r="X186" i="4"/>
  <c r="Y186" i="4"/>
  <c r="AD186" i="4"/>
  <c r="AE186" i="4"/>
  <c r="AH186" i="4"/>
  <c r="X187" i="4"/>
  <c r="Y187" i="4"/>
  <c r="AI187" i="4" s="1"/>
  <c r="AO187" i="4" s="1"/>
  <c r="AD187" i="4"/>
  <c r="AE187" i="4"/>
  <c r="AH187" i="4"/>
  <c r="X188" i="4"/>
  <c r="Y188" i="4"/>
  <c r="AI188" i="4"/>
  <c r="AO188" i="4" s="1"/>
  <c r="AD188" i="4"/>
  <c r="AE188" i="4"/>
  <c r="AH188" i="4" s="1"/>
  <c r="X189" i="4"/>
  <c r="Y189" i="4"/>
  <c r="AI189" i="4" s="1"/>
  <c r="AO189" i="4" s="1"/>
  <c r="AD189" i="4"/>
  <c r="AE189" i="4"/>
  <c r="AH189" i="4" s="1"/>
  <c r="X190" i="4"/>
  <c r="Y190" i="4"/>
  <c r="AI190" i="4" s="1"/>
  <c r="AO190" i="4" s="1"/>
  <c r="AD190" i="4"/>
  <c r="AE190" i="4"/>
  <c r="X191" i="4"/>
  <c r="Y191" i="4"/>
  <c r="AI191" i="4" s="1"/>
  <c r="AO191" i="4" s="1"/>
  <c r="AD191" i="4"/>
  <c r="AE191" i="4"/>
  <c r="AH191" i="4"/>
  <c r="X192" i="4"/>
  <c r="Y192" i="4"/>
  <c r="AI192" i="4" s="1"/>
  <c r="AO192" i="4" s="1"/>
  <c r="AD192" i="4"/>
  <c r="AE192" i="4"/>
  <c r="AH192" i="4" s="1"/>
  <c r="X193" i="4"/>
  <c r="Y193" i="4"/>
  <c r="AD193" i="4"/>
  <c r="AE193" i="4"/>
  <c r="AH193" i="4"/>
  <c r="X194" i="4"/>
  <c r="Y194" i="4"/>
  <c r="AD194" i="4"/>
  <c r="AE194" i="4"/>
  <c r="AH194" i="4"/>
  <c r="X195" i="4"/>
  <c r="Y195" i="4"/>
  <c r="AD195" i="4"/>
  <c r="AE195" i="4"/>
  <c r="AH195" i="4"/>
  <c r="X196" i="4"/>
  <c r="Y196" i="4"/>
  <c r="AI196" i="4" s="1"/>
  <c r="AO196" i="4" s="1"/>
  <c r="AD196" i="4"/>
  <c r="AE196" i="4"/>
  <c r="AH196" i="4"/>
  <c r="X197" i="4"/>
  <c r="Y197" i="4"/>
  <c r="AD197" i="4"/>
  <c r="AF197" i="4" s="1"/>
  <c r="AG197" i="4" s="1"/>
  <c r="AE197" i="4"/>
  <c r="AH197" i="4"/>
  <c r="X198" i="4"/>
  <c r="Y198" i="4"/>
  <c r="AD198" i="4"/>
  <c r="AE198" i="4"/>
  <c r="AH198" i="4"/>
  <c r="X199" i="4"/>
  <c r="Y199" i="4"/>
  <c r="AD199" i="4"/>
  <c r="AE199" i="4"/>
  <c r="AH199" i="4"/>
  <c r="X200" i="4"/>
  <c r="Y200" i="4"/>
  <c r="AD200" i="4"/>
  <c r="AF200" i="4" s="1"/>
  <c r="AG200" i="4" s="1"/>
  <c r="AE200" i="4"/>
  <c r="AH200" i="4"/>
  <c r="X201" i="4"/>
  <c r="Y201" i="4"/>
  <c r="AD201" i="4"/>
  <c r="AE201" i="4"/>
  <c r="AH201" i="4"/>
  <c r="X202" i="4"/>
  <c r="Y202" i="4"/>
  <c r="AI202" i="4" s="1"/>
  <c r="AO202" i="4" s="1"/>
  <c r="AD202" i="4"/>
  <c r="AE202" i="4"/>
  <c r="AH202" i="4"/>
  <c r="X203" i="4"/>
  <c r="Y203" i="4"/>
  <c r="AD203" i="4"/>
  <c r="AE203" i="4"/>
  <c r="AH203" i="4"/>
  <c r="X204" i="4"/>
  <c r="Y204" i="4"/>
  <c r="AD204" i="4"/>
  <c r="AE204" i="4"/>
  <c r="AH204" i="4" s="1"/>
  <c r="X205" i="4"/>
  <c r="Y205" i="4"/>
  <c r="AD205" i="4"/>
  <c r="AE205" i="4"/>
  <c r="AH205" i="4"/>
  <c r="X206" i="4"/>
  <c r="Y206" i="4"/>
  <c r="AI206" i="4" s="1"/>
  <c r="AO206" i="4"/>
  <c r="AD206" i="4"/>
  <c r="AF206" i="4" s="1"/>
  <c r="AG206" i="4" s="1"/>
  <c r="AE206" i="4"/>
  <c r="X207" i="4"/>
  <c r="Y207" i="4"/>
  <c r="AD207" i="4"/>
  <c r="AE207" i="4"/>
  <c r="AH207" i="4" s="1"/>
  <c r="X208" i="4"/>
  <c r="Y208" i="4"/>
  <c r="AD208" i="4"/>
  <c r="AE208" i="4"/>
  <c r="X209" i="4"/>
  <c r="Y209" i="4"/>
  <c r="AD209" i="4"/>
  <c r="AE209" i="4"/>
  <c r="X210" i="4"/>
  <c r="Y210" i="4"/>
  <c r="AD210" i="4"/>
  <c r="AE210" i="4"/>
  <c r="AH210" i="4"/>
  <c r="X211" i="4"/>
  <c r="Y211" i="4"/>
  <c r="AD211" i="4"/>
  <c r="AE211" i="4"/>
  <c r="X212" i="4"/>
  <c r="Y212" i="4"/>
  <c r="AD212" i="4"/>
  <c r="AE212" i="4"/>
  <c r="AH212" i="4" s="1"/>
  <c r="X213" i="4"/>
  <c r="AI213" i="4" s="1"/>
  <c r="AO213" i="4" s="1"/>
  <c r="Y213" i="4"/>
  <c r="AD213" i="4"/>
  <c r="AE213" i="4"/>
  <c r="X214" i="4"/>
  <c r="Y214" i="4"/>
  <c r="AD214" i="4"/>
  <c r="AE214" i="4"/>
  <c r="AH214" i="4"/>
  <c r="X215" i="4"/>
  <c r="Y215" i="4"/>
  <c r="AD215" i="4"/>
  <c r="AF215" i="4"/>
  <c r="AG215" i="4" s="1"/>
  <c r="AE215" i="4"/>
  <c r="AH215" i="4"/>
  <c r="X216" i="4"/>
  <c r="Y216" i="4"/>
  <c r="AD216" i="4"/>
  <c r="AE216" i="4"/>
  <c r="AH216" i="4" s="1"/>
  <c r="X217" i="4"/>
  <c r="Y217" i="4"/>
  <c r="AI217" i="4" s="1"/>
  <c r="AO217" i="4" s="1"/>
  <c r="AD217" i="4"/>
  <c r="AE217" i="4"/>
  <c r="AH217" i="4"/>
  <c r="X218" i="4"/>
  <c r="Y218" i="4"/>
  <c r="AD218" i="4"/>
  <c r="AE218" i="4"/>
  <c r="X219" i="4"/>
  <c r="Y219" i="4"/>
  <c r="AD219" i="4"/>
  <c r="AE219" i="4"/>
  <c r="AH219" i="4"/>
  <c r="X220" i="4"/>
  <c r="Y220" i="4"/>
  <c r="AD220" i="4"/>
  <c r="AE220" i="4"/>
  <c r="AH220" i="4"/>
  <c r="X221" i="4"/>
  <c r="Y221" i="4"/>
  <c r="AD221" i="4"/>
  <c r="AE221" i="4"/>
  <c r="X222" i="4"/>
  <c r="Y222" i="4"/>
  <c r="AI222" i="4"/>
  <c r="AO222" i="4" s="1"/>
  <c r="AD222" i="4"/>
  <c r="AE222" i="4"/>
  <c r="AH222" i="4"/>
  <c r="X223" i="4"/>
  <c r="Y223" i="4"/>
  <c r="AI223" i="4"/>
  <c r="AO223" i="4"/>
  <c r="AD223" i="4"/>
  <c r="AE223" i="4"/>
  <c r="AH223" i="4" s="1"/>
  <c r="X224" i="4"/>
  <c r="Y224" i="4"/>
  <c r="AD224" i="4"/>
  <c r="AE224" i="4"/>
  <c r="X225" i="4"/>
  <c r="Y225" i="4"/>
  <c r="AD225" i="4"/>
  <c r="AE225" i="4"/>
  <c r="AH225" i="4"/>
  <c r="X226" i="4"/>
  <c r="Y226" i="4"/>
  <c r="AD226" i="4"/>
  <c r="AE226" i="4"/>
  <c r="AH226" i="4" s="1"/>
  <c r="X227" i="4"/>
  <c r="Y227" i="4"/>
  <c r="AD227" i="4"/>
  <c r="AG227" i="4"/>
  <c r="AE227" i="4"/>
  <c r="AF227" i="4" s="1"/>
  <c r="AH227" i="4"/>
  <c r="X228" i="4"/>
  <c r="Y228" i="4"/>
  <c r="AI228" i="4" s="1"/>
  <c r="AO228" i="4"/>
  <c r="AD228" i="4"/>
  <c r="AE228" i="4"/>
  <c r="AH228" i="4"/>
  <c r="X229" i="4"/>
  <c r="Y229" i="4"/>
  <c r="AD229" i="4"/>
  <c r="AE229" i="4"/>
  <c r="AH229" i="4" s="1"/>
  <c r="X230" i="4"/>
  <c r="Y230" i="4"/>
  <c r="AD230" i="4"/>
  <c r="AE230" i="4"/>
  <c r="X231" i="4"/>
  <c r="AI231" i="4" s="1"/>
  <c r="AO231" i="4" s="1"/>
  <c r="Y231" i="4"/>
  <c r="AD231" i="4"/>
  <c r="AE231" i="4"/>
  <c r="AH231" i="4"/>
  <c r="X232" i="4"/>
  <c r="Y232" i="4"/>
  <c r="AD232" i="4"/>
  <c r="AF232" i="4" s="1"/>
  <c r="AG232" i="4" s="1"/>
  <c r="AE232" i="4"/>
  <c r="AH232" i="4" s="1"/>
  <c r="X233" i="4"/>
  <c r="Y233" i="4"/>
  <c r="AD233" i="4"/>
  <c r="AE233" i="4"/>
  <c r="AH233" i="4"/>
  <c r="X234" i="4"/>
  <c r="Y234" i="4"/>
  <c r="AD234" i="4"/>
  <c r="AE234" i="4"/>
  <c r="AH234" i="4"/>
  <c r="X235" i="4"/>
  <c r="Y235" i="4"/>
  <c r="AD235" i="4"/>
  <c r="AE235" i="4"/>
  <c r="AH235" i="4"/>
  <c r="X236" i="4"/>
  <c r="Y236" i="4"/>
  <c r="AD236" i="4"/>
  <c r="AE236" i="4"/>
  <c r="AH236" i="4"/>
  <c r="X237" i="4"/>
  <c r="Y237" i="4"/>
  <c r="AD237" i="4"/>
  <c r="AE237" i="4"/>
  <c r="AH237" i="4" s="1"/>
  <c r="X238" i="4"/>
  <c r="Y238" i="4"/>
  <c r="AD238" i="4"/>
  <c r="AE238" i="4"/>
  <c r="AH238" i="4"/>
  <c r="X239" i="4"/>
  <c r="Y239" i="4"/>
  <c r="AD239" i="4"/>
  <c r="AE239" i="4"/>
  <c r="AH239" i="4" s="1"/>
  <c r="X240" i="4"/>
  <c r="Y240" i="4"/>
  <c r="AD240" i="4"/>
  <c r="AE240" i="4"/>
  <c r="X241" i="4"/>
  <c r="Y241" i="4"/>
  <c r="AI241" i="4" s="1"/>
  <c r="AO241" i="4" s="1"/>
  <c r="AD241" i="4"/>
  <c r="AE241" i="4"/>
  <c r="AH241" i="4"/>
  <c r="X242" i="4"/>
  <c r="Y242" i="4"/>
  <c r="AD242" i="4"/>
  <c r="AE242" i="4"/>
  <c r="X243" i="4"/>
  <c r="Y243" i="4"/>
  <c r="AD243" i="4"/>
  <c r="AF243" i="4"/>
  <c r="AG243" i="4" s="1"/>
  <c r="AE243" i="4"/>
  <c r="AH243" i="4" s="1"/>
  <c r="X244" i="4"/>
  <c r="Y244" i="4"/>
  <c r="AD244" i="4"/>
  <c r="AE244" i="4"/>
  <c r="AH244" i="4"/>
  <c r="X245" i="4"/>
  <c r="Y245" i="4"/>
  <c r="AI245" i="4" s="1"/>
  <c r="AO245" i="4" s="1"/>
  <c r="AD245" i="4"/>
  <c r="AE245" i="4"/>
  <c r="AH245" i="4" s="1"/>
  <c r="X246" i="4"/>
  <c r="AI246" i="4" s="1"/>
  <c r="AO246" i="4" s="1"/>
  <c r="Y246" i="4"/>
  <c r="AD246" i="4"/>
  <c r="AE246" i="4"/>
  <c r="AH246" i="4"/>
  <c r="X247" i="4"/>
  <c r="Y247" i="4"/>
  <c r="AD247" i="4"/>
  <c r="AE247" i="4"/>
  <c r="AH247" i="4" s="1"/>
  <c r="X248" i="4"/>
  <c r="Y248" i="4"/>
  <c r="AD248" i="4"/>
  <c r="AE248" i="4"/>
  <c r="AH248" i="4"/>
  <c r="X249" i="4"/>
  <c r="Y249" i="4"/>
  <c r="AD249" i="4"/>
  <c r="AF249" i="4"/>
  <c r="AG249" i="4" s="1"/>
  <c r="AE249" i="4"/>
  <c r="AH249" i="4" s="1"/>
  <c r="X250" i="4"/>
  <c r="Y250" i="4"/>
  <c r="AD250" i="4"/>
  <c r="AE250" i="4"/>
  <c r="X251" i="4"/>
  <c r="Y251" i="4"/>
  <c r="AD251" i="4"/>
  <c r="AE251" i="4"/>
  <c r="AH251" i="4"/>
  <c r="X252" i="4"/>
  <c r="Y252" i="4"/>
  <c r="AD252" i="4"/>
  <c r="AF252" i="4" s="1"/>
  <c r="AG252" i="4" s="1"/>
  <c r="AE252" i="4"/>
  <c r="X253" i="4"/>
  <c r="AI253" i="4"/>
  <c r="AO253" i="4"/>
  <c r="Y253" i="4"/>
  <c r="AD253" i="4"/>
  <c r="AE253" i="4"/>
  <c r="AH253" i="4" s="1"/>
  <c r="X254" i="4"/>
  <c r="Y254" i="4"/>
  <c r="AD254" i="4"/>
  <c r="AE254" i="4"/>
  <c r="X255" i="4"/>
  <c r="Y255" i="4"/>
  <c r="AD255" i="4"/>
  <c r="AF255" i="4"/>
  <c r="AG255" i="4"/>
  <c r="AE255" i="4"/>
  <c r="AH255" i="4"/>
  <c r="X256" i="4"/>
  <c r="AI256" i="4"/>
  <c r="AO256" i="4" s="1"/>
  <c r="Y256" i="4"/>
  <c r="AD256" i="4"/>
  <c r="AE256" i="4"/>
  <c r="AH256" i="4"/>
  <c r="X257" i="4"/>
  <c r="AI257" i="4"/>
  <c r="AO257" i="4"/>
  <c r="Y257" i="4"/>
  <c r="AD257" i="4"/>
  <c r="AE257" i="4"/>
  <c r="AH257" i="4"/>
  <c r="X258" i="4"/>
  <c r="Y258" i="4"/>
  <c r="AD258" i="4"/>
  <c r="AE258" i="4"/>
  <c r="AH258" i="4"/>
  <c r="X259" i="4"/>
  <c r="Y259" i="4"/>
  <c r="AD259" i="4"/>
  <c r="AE259" i="4"/>
  <c r="AH259" i="4"/>
  <c r="X260" i="4"/>
  <c r="Y260" i="4"/>
  <c r="AD260" i="4"/>
  <c r="AF260" i="4" s="1"/>
  <c r="AG260" i="4" s="1"/>
  <c r="AE260" i="4"/>
  <c r="X261" i="4"/>
  <c r="Y261" i="4"/>
  <c r="AD261" i="4"/>
  <c r="AE261" i="4"/>
  <c r="AH261" i="4" s="1"/>
  <c r="X262" i="4"/>
  <c r="Y262" i="4"/>
  <c r="AD262" i="4"/>
  <c r="AE262" i="4"/>
  <c r="AH262" i="4" s="1"/>
  <c r="X263" i="4"/>
  <c r="Y263" i="4"/>
  <c r="AI263" i="4"/>
  <c r="AO263" i="4"/>
  <c r="AD263" i="4"/>
  <c r="AE263" i="4"/>
  <c r="AH263" i="4" s="1"/>
  <c r="X264" i="4"/>
  <c r="Y264" i="4"/>
  <c r="AD264" i="4"/>
  <c r="AE264" i="4"/>
  <c r="AH264" i="4" s="1"/>
  <c r="X265" i="4"/>
  <c r="Y265" i="4"/>
  <c r="AD265" i="4"/>
  <c r="AE265" i="4"/>
  <c r="AH265" i="4"/>
  <c r="X266" i="4"/>
  <c r="Y266" i="4"/>
  <c r="AD266" i="4"/>
  <c r="AE266" i="4"/>
  <c r="AH266" i="4"/>
  <c r="X267" i="4"/>
  <c r="Y267" i="4"/>
  <c r="AD267" i="4"/>
  <c r="AE267" i="4"/>
  <c r="AH267" i="4"/>
  <c r="X268" i="4"/>
  <c r="Y268" i="4"/>
  <c r="AI268" i="4" s="1"/>
  <c r="AO268" i="4" s="1"/>
  <c r="AD268" i="4"/>
  <c r="AE268" i="4"/>
  <c r="AH268" i="4"/>
  <c r="X269" i="4"/>
  <c r="Y269" i="4"/>
  <c r="AI269" i="4" s="1"/>
  <c r="AO269" i="4" s="1"/>
  <c r="AD269" i="4"/>
  <c r="AE269" i="4"/>
  <c r="AH269" i="4" s="1"/>
  <c r="X270" i="4"/>
  <c r="Y270" i="4"/>
  <c r="AI270" i="4"/>
  <c r="AO270" i="4" s="1"/>
  <c r="AD270" i="4"/>
  <c r="AE270" i="4"/>
  <c r="AH270" i="4" s="1"/>
  <c r="X271" i="4"/>
  <c r="Y271" i="4"/>
  <c r="AI271" i="4"/>
  <c r="AO271" i="4"/>
  <c r="AD271" i="4"/>
  <c r="AE271" i="4"/>
  <c r="X272" i="4"/>
  <c r="Y272" i="4"/>
  <c r="AI272" i="4" s="1"/>
  <c r="AO272" i="4" s="1"/>
  <c r="AD272" i="4"/>
  <c r="AE272" i="4"/>
  <c r="AH272" i="4" s="1"/>
  <c r="X273" i="4"/>
  <c r="Y273" i="4"/>
  <c r="AD273" i="4"/>
  <c r="AE273" i="4"/>
  <c r="AH273" i="4"/>
  <c r="X274" i="4"/>
  <c r="Y274" i="4"/>
  <c r="AD274" i="4"/>
  <c r="AE274" i="4"/>
  <c r="AH274" i="4" s="1"/>
  <c r="X275" i="4"/>
  <c r="Y275" i="4"/>
  <c r="AD275" i="4"/>
  <c r="AE275" i="4"/>
  <c r="AH275" i="4"/>
  <c r="X276" i="4"/>
  <c r="Y276" i="4"/>
  <c r="AD276" i="4"/>
  <c r="AE276" i="4"/>
  <c r="AH276" i="4" s="1"/>
  <c r="X277" i="4"/>
  <c r="Y277" i="4"/>
  <c r="AD277" i="4"/>
  <c r="AF277" i="4" s="1"/>
  <c r="AG277" i="4" s="1"/>
  <c r="AE277" i="4"/>
  <c r="AH277" i="4"/>
  <c r="X278" i="4"/>
  <c r="Y278" i="4"/>
  <c r="AD278" i="4"/>
  <c r="AF278" i="4"/>
  <c r="AG278" i="4" s="1"/>
  <c r="AE278" i="4"/>
  <c r="AH278" i="4" s="1"/>
  <c r="X279" i="4"/>
  <c r="Y279" i="4"/>
  <c r="AD279" i="4"/>
  <c r="AE279" i="4"/>
  <c r="AH279" i="4"/>
  <c r="X280" i="4"/>
  <c r="Y280" i="4"/>
  <c r="AD280" i="4"/>
  <c r="AE280" i="4"/>
  <c r="X281" i="4"/>
  <c r="Y281" i="4"/>
  <c r="AD281" i="4"/>
  <c r="AE281" i="4"/>
  <c r="AH281" i="4" s="1"/>
  <c r="X282" i="4"/>
  <c r="Y282" i="4"/>
  <c r="AD282" i="4"/>
  <c r="AE282" i="4"/>
  <c r="AH282" i="4" s="1"/>
  <c r="X283" i="4"/>
  <c r="Y283" i="4"/>
  <c r="AD283" i="4"/>
  <c r="AE283" i="4"/>
  <c r="AH283" i="4" s="1"/>
  <c r="X284" i="4"/>
  <c r="Y284" i="4"/>
  <c r="AD284" i="4"/>
  <c r="AE284" i="4"/>
  <c r="AH284" i="4"/>
  <c r="X285" i="4"/>
  <c r="Y285" i="4"/>
  <c r="AD285" i="4"/>
  <c r="AE285" i="4"/>
  <c r="AH285" i="4" s="1"/>
  <c r="X286" i="4"/>
  <c r="Y286" i="4"/>
  <c r="AD286" i="4"/>
  <c r="AE286" i="4"/>
  <c r="AH286" i="4" s="1"/>
  <c r="X287" i="4"/>
  <c r="Y287" i="4"/>
  <c r="AD287" i="4"/>
  <c r="AE287" i="4"/>
  <c r="AH287" i="4" s="1"/>
  <c r="X288" i="4"/>
  <c r="Y288" i="4"/>
  <c r="AD288" i="4"/>
  <c r="AE288" i="4"/>
  <c r="AH288" i="4" s="1"/>
  <c r="X289" i="4"/>
  <c r="Y289" i="4"/>
  <c r="AD289" i="4"/>
  <c r="AE289" i="4"/>
  <c r="AH289" i="4" s="1"/>
  <c r="X290" i="4"/>
  <c r="Y290" i="4"/>
  <c r="AI290" i="4"/>
  <c r="AO290" i="4"/>
  <c r="AD290" i="4"/>
  <c r="AE290" i="4"/>
  <c r="AH290" i="4"/>
  <c r="X291" i="4"/>
  <c r="Y291" i="4"/>
  <c r="AD291" i="4"/>
  <c r="AF291" i="4"/>
  <c r="AG291" i="4" s="1"/>
  <c r="AE291" i="4"/>
  <c r="AH291" i="4"/>
  <c r="X292" i="4"/>
  <c r="Y292" i="4"/>
  <c r="AD292" i="4"/>
  <c r="AF292" i="4"/>
  <c r="AG292" i="4" s="1"/>
  <c r="AE292" i="4"/>
  <c r="AH292" i="4"/>
  <c r="X293" i="4"/>
  <c r="Y293" i="4"/>
  <c r="AD293" i="4"/>
  <c r="AE293" i="4"/>
  <c r="AH293" i="4"/>
  <c r="X294" i="4"/>
  <c r="Y294" i="4"/>
  <c r="AD294" i="4"/>
  <c r="AE294" i="4"/>
  <c r="AH294" i="4" s="1"/>
  <c r="X295" i="4"/>
  <c r="Y295" i="4"/>
  <c r="AD295" i="4"/>
  <c r="AE295" i="4"/>
  <c r="AH295" i="4" s="1"/>
  <c r="X296" i="4"/>
  <c r="Y296" i="4"/>
  <c r="AD296" i="4"/>
  <c r="AF296" i="4"/>
  <c r="AG296" i="4"/>
  <c r="AE296" i="4"/>
  <c r="AH296" i="4"/>
  <c r="X297" i="4"/>
  <c r="Y297" i="4"/>
  <c r="AD297" i="4"/>
  <c r="AE297" i="4"/>
  <c r="AH297" i="4" s="1"/>
  <c r="X298" i="4"/>
  <c r="Y298" i="4"/>
  <c r="AD298" i="4"/>
  <c r="AE298" i="4"/>
  <c r="AH298" i="4" s="1"/>
  <c r="X299" i="4"/>
  <c r="Y299" i="4"/>
  <c r="AD299" i="4"/>
  <c r="AE299" i="4"/>
  <c r="AH299" i="4" s="1"/>
  <c r="X300" i="4"/>
  <c r="Y300" i="4"/>
  <c r="AD300" i="4"/>
  <c r="AE300" i="4"/>
  <c r="AH300" i="4"/>
  <c r="X301" i="4"/>
  <c r="Y301" i="4"/>
  <c r="AI301" i="4" s="1"/>
  <c r="AO301" i="4" s="1"/>
  <c r="AD301" i="4"/>
  <c r="AE301" i="4"/>
  <c r="AH301" i="4" s="1"/>
  <c r="X302" i="4"/>
  <c r="Y302" i="4"/>
  <c r="AD302" i="4"/>
  <c r="AE302" i="4"/>
  <c r="AH302" i="4" s="1"/>
  <c r="X303" i="4"/>
  <c r="Y303" i="4"/>
  <c r="AD303" i="4"/>
  <c r="AE303" i="4"/>
  <c r="AH303" i="4" s="1"/>
  <c r="X304" i="4"/>
  <c r="Y304" i="4"/>
  <c r="AD304" i="4"/>
  <c r="AE304" i="4"/>
  <c r="X305" i="4"/>
  <c r="Y305" i="4"/>
  <c r="AI305" i="4" s="1"/>
  <c r="AO305" i="4" s="1"/>
  <c r="AD305" i="4"/>
  <c r="AE305" i="4"/>
  <c r="AH305" i="4" s="1"/>
  <c r="X306" i="4"/>
  <c r="Y306" i="4"/>
  <c r="AD306" i="4"/>
  <c r="AE306" i="4"/>
  <c r="AH306" i="4"/>
  <c r="X307" i="4"/>
  <c r="Y307" i="4"/>
  <c r="AD307" i="4"/>
  <c r="AE307" i="4"/>
  <c r="AH307" i="4" s="1"/>
  <c r="X308" i="4"/>
  <c r="Y308" i="4"/>
  <c r="AD308" i="4"/>
  <c r="AE308" i="4"/>
  <c r="AH308" i="4"/>
  <c r="X309" i="4"/>
  <c r="Y309" i="4"/>
  <c r="AI309" i="4"/>
  <c r="AO309" i="4"/>
  <c r="AD309" i="4"/>
  <c r="AE309" i="4"/>
  <c r="AH309" i="4" s="1"/>
  <c r="X310" i="4"/>
  <c r="Y310" i="4"/>
  <c r="AD310" i="4"/>
  <c r="AE310" i="4"/>
  <c r="X311" i="4"/>
  <c r="Y311" i="4"/>
  <c r="AD311" i="4"/>
  <c r="AE311" i="4"/>
  <c r="AH311" i="4"/>
  <c r="X312" i="4"/>
  <c r="Y312" i="4"/>
  <c r="AD312" i="4"/>
  <c r="AE312" i="4"/>
  <c r="AH312" i="4" s="1"/>
  <c r="X313" i="4"/>
  <c r="Y313" i="4"/>
  <c r="AD313" i="4"/>
  <c r="AE313" i="4"/>
  <c r="AH313" i="4" s="1"/>
  <c r="X314" i="4"/>
  <c r="Y314" i="4"/>
  <c r="AD314" i="4"/>
  <c r="AE314" i="4"/>
  <c r="AH314" i="4" s="1"/>
  <c r="X315" i="4"/>
  <c r="Y315" i="4"/>
  <c r="AD315" i="4"/>
  <c r="AE315" i="4"/>
  <c r="AH315" i="4"/>
  <c r="X316" i="4"/>
  <c r="AI316" i="4"/>
  <c r="AO316" i="4" s="1"/>
  <c r="Y316" i="4"/>
  <c r="AD316" i="4"/>
  <c r="AE316" i="4"/>
  <c r="X317" i="4"/>
  <c r="Y317" i="4"/>
  <c r="AD317" i="4"/>
  <c r="AE317" i="4"/>
  <c r="X318" i="4"/>
  <c r="Y318" i="4"/>
  <c r="AD318" i="4"/>
  <c r="AE318" i="4"/>
  <c r="AH318" i="4" s="1"/>
  <c r="X319" i="4"/>
  <c r="Y319" i="4"/>
  <c r="AD319" i="4"/>
  <c r="AE319" i="4"/>
  <c r="X320" i="4"/>
  <c r="Y320" i="4"/>
  <c r="AD320" i="4"/>
  <c r="AE320" i="4"/>
  <c r="AH320" i="4"/>
  <c r="X321" i="4"/>
  <c r="Y321" i="4"/>
  <c r="AD321" i="4"/>
  <c r="AE321" i="4"/>
  <c r="AH321" i="4" s="1"/>
  <c r="X322" i="4"/>
  <c r="Y322" i="4"/>
  <c r="AI322" i="4"/>
  <c r="AO322" i="4" s="1"/>
  <c r="AD322" i="4"/>
  <c r="AE322" i="4"/>
  <c r="X323" i="4"/>
  <c r="Y323" i="4"/>
  <c r="AD323" i="4"/>
  <c r="AE323" i="4"/>
  <c r="AH323" i="4"/>
  <c r="X324" i="4"/>
  <c r="Y324" i="4"/>
  <c r="AD324" i="4"/>
  <c r="AE324" i="4"/>
  <c r="AH324" i="4" s="1"/>
  <c r="X325" i="4"/>
  <c r="Y325" i="4"/>
  <c r="AD325" i="4"/>
  <c r="AE325" i="4"/>
  <c r="AH325" i="4" s="1"/>
  <c r="X326" i="4"/>
  <c r="Y326" i="4"/>
  <c r="AD326" i="4"/>
  <c r="AE326" i="4"/>
  <c r="AH326" i="4" s="1"/>
  <c r="X327" i="4"/>
  <c r="Y327" i="4"/>
  <c r="AD327" i="4"/>
  <c r="AE327" i="4"/>
  <c r="AH327" i="4"/>
  <c r="X328" i="4"/>
  <c r="Y328" i="4"/>
  <c r="AD328" i="4"/>
  <c r="AE328" i="4"/>
  <c r="AH328" i="4" s="1"/>
  <c r="X329" i="4"/>
  <c r="Y329" i="4"/>
  <c r="AD329" i="4"/>
  <c r="AE329" i="4"/>
  <c r="AH329" i="4"/>
  <c r="X330" i="4"/>
  <c r="Y330" i="4"/>
  <c r="AD330" i="4"/>
  <c r="AE330" i="4"/>
  <c r="X331" i="4"/>
  <c r="Y331" i="4"/>
  <c r="AD331" i="4"/>
  <c r="AE331" i="4"/>
  <c r="AH331" i="4"/>
  <c r="X332" i="4"/>
  <c r="Y332" i="4"/>
  <c r="AD332" i="4"/>
  <c r="AE332" i="4"/>
  <c r="AH332" i="4"/>
  <c r="X333" i="4"/>
  <c r="Y333" i="4"/>
  <c r="AD333" i="4"/>
  <c r="AF333" i="4"/>
  <c r="AG333" i="4" s="1"/>
  <c r="AE333" i="4"/>
  <c r="AH333" i="4"/>
  <c r="X334" i="4"/>
  <c r="Y334" i="4"/>
  <c r="AD334" i="4"/>
  <c r="AE334" i="4"/>
  <c r="AH334" i="4" s="1"/>
  <c r="X335" i="4"/>
  <c r="Y335" i="4"/>
  <c r="AD335" i="4"/>
  <c r="AE335" i="4"/>
  <c r="AH335" i="4" s="1"/>
  <c r="X336" i="4"/>
  <c r="Y336" i="4"/>
  <c r="AD336" i="4"/>
  <c r="AF336" i="4"/>
  <c r="AG336" i="4"/>
  <c r="AE336" i="4"/>
  <c r="AH336" i="4"/>
  <c r="X337" i="4"/>
  <c r="Y337" i="4"/>
  <c r="AD337" i="4"/>
  <c r="AE337" i="4"/>
  <c r="AH337" i="4" s="1"/>
  <c r="X338" i="4"/>
  <c r="Y338" i="4"/>
  <c r="AD338" i="4"/>
  <c r="AE338" i="4"/>
  <c r="AH338" i="4"/>
  <c r="X339" i="4"/>
  <c r="Y339" i="4"/>
  <c r="AD339" i="4"/>
  <c r="AE339" i="4"/>
  <c r="AF339" i="4" s="1"/>
  <c r="AG339" i="4" s="1"/>
  <c r="X340" i="4"/>
  <c r="Y340" i="4"/>
  <c r="AD340" i="4"/>
  <c r="AE340" i="4"/>
  <c r="AH340" i="4" s="1"/>
  <c r="X341" i="4"/>
  <c r="Y341" i="4"/>
  <c r="AD341" i="4"/>
  <c r="AE341" i="4"/>
  <c r="AH341" i="4" s="1"/>
  <c r="X342" i="4"/>
  <c r="AI342" i="4" s="1"/>
  <c r="AO342" i="4" s="1"/>
  <c r="Y342" i="4"/>
  <c r="AD342" i="4"/>
  <c r="AE342" i="4"/>
  <c r="AH342" i="4" s="1"/>
  <c r="X343" i="4"/>
  <c r="Y343" i="4"/>
  <c r="AD343" i="4"/>
  <c r="AE343" i="4"/>
  <c r="X344" i="4"/>
  <c r="Y344" i="4"/>
  <c r="AD344" i="4"/>
  <c r="AE344" i="4"/>
  <c r="AH344" i="4"/>
  <c r="X345" i="4"/>
  <c r="Y345" i="4"/>
  <c r="AI345" i="4" s="1"/>
  <c r="AO345" i="4" s="1"/>
  <c r="AD345" i="4"/>
  <c r="AE345" i="4"/>
  <c r="AH345" i="4"/>
  <c r="X346" i="4"/>
  <c r="Y346" i="4"/>
  <c r="AD346" i="4"/>
  <c r="AE346" i="4"/>
  <c r="X347" i="4"/>
  <c r="Y347" i="4"/>
  <c r="AD347" i="4"/>
  <c r="AE347" i="4"/>
  <c r="AH347" i="4"/>
  <c r="X348" i="4"/>
  <c r="AI348" i="4" s="1"/>
  <c r="AO348" i="4" s="1"/>
  <c r="Y348" i="4"/>
  <c r="AD348" i="4"/>
  <c r="AE348" i="4"/>
  <c r="AH348" i="4" s="1"/>
  <c r="X349" i="4"/>
  <c r="Y349" i="4"/>
  <c r="AD349" i="4"/>
  <c r="AE349" i="4"/>
  <c r="AH349" i="4"/>
  <c r="X350" i="4"/>
  <c r="Y350" i="4"/>
  <c r="AI350" i="4"/>
  <c r="AO350" i="4" s="1"/>
  <c r="AD350" i="4"/>
  <c r="AE350" i="4"/>
  <c r="AH350" i="4" s="1"/>
  <c r="X351" i="4"/>
  <c r="Y351" i="4"/>
  <c r="AD351" i="4"/>
  <c r="AE351" i="4"/>
  <c r="AH351" i="4" s="1"/>
  <c r="X352" i="4"/>
  <c r="Y352" i="4"/>
  <c r="AD352" i="4"/>
  <c r="AE352" i="4"/>
  <c r="AH352" i="4" s="1"/>
  <c r="X353" i="4"/>
  <c r="Y353" i="4"/>
  <c r="AI353" i="4"/>
  <c r="AO353" i="4"/>
  <c r="AD353" i="4"/>
  <c r="AE353" i="4"/>
  <c r="X354" i="4"/>
  <c r="Y354" i="4"/>
  <c r="AD354" i="4"/>
  <c r="AE354" i="4"/>
  <c r="AH354" i="4"/>
  <c r="X355" i="4"/>
  <c r="Y355" i="4"/>
  <c r="AD355" i="4"/>
  <c r="AF355" i="4"/>
  <c r="AG355" i="4"/>
  <c r="AE355" i="4"/>
  <c r="X356" i="4"/>
  <c r="Y356" i="4"/>
  <c r="AD356" i="4"/>
  <c r="AE356" i="4"/>
  <c r="AH356" i="4"/>
  <c r="X357" i="4"/>
  <c r="AI357" i="4" s="1"/>
  <c r="AO357" i="4" s="1"/>
  <c r="Y357" i="4"/>
  <c r="AD357" i="4"/>
  <c r="AE357" i="4"/>
  <c r="AH357" i="4"/>
  <c r="X358" i="4"/>
  <c r="AI358" i="4" s="1"/>
  <c r="AO358" i="4" s="1"/>
  <c r="Y358" i="4"/>
  <c r="AD358" i="4"/>
  <c r="AE358" i="4"/>
  <c r="X359" i="4"/>
  <c r="Y359" i="4"/>
  <c r="AD359" i="4"/>
  <c r="AE359" i="4"/>
  <c r="AH359" i="4"/>
  <c r="X360" i="4"/>
  <c r="Y360" i="4"/>
  <c r="AD360" i="4"/>
  <c r="AE360" i="4"/>
  <c r="AH360" i="4" s="1"/>
  <c r="X361" i="4"/>
  <c r="Y361" i="4"/>
  <c r="AD361" i="4"/>
  <c r="AE361" i="4"/>
  <c r="AH361" i="4"/>
  <c r="X362" i="4"/>
  <c r="Y362" i="4"/>
  <c r="AD362" i="4"/>
  <c r="AE362" i="4"/>
  <c r="AH362" i="4" s="1"/>
  <c r="X363" i="4"/>
  <c r="Y363" i="4"/>
  <c r="AD363" i="4"/>
  <c r="AE363" i="4"/>
  <c r="AH363" i="4" s="1"/>
  <c r="X364" i="4"/>
  <c r="Y364" i="4"/>
  <c r="AI364" i="4" s="1"/>
  <c r="AO364" i="4" s="1"/>
  <c r="AD364" i="4"/>
  <c r="AF364" i="4"/>
  <c r="AG364" i="4" s="1"/>
  <c r="AE364" i="4"/>
  <c r="X365" i="4"/>
  <c r="Y365" i="4"/>
  <c r="AD365" i="4"/>
  <c r="AE365" i="4"/>
  <c r="X366" i="4"/>
  <c r="Y366" i="4"/>
  <c r="AD366" i="4"/>
  <c r="AE366" i="4"/>
  <c r="AH366" i="4"/>
  <c r="X367" i="4"/>
  <c r="AO367" i="4"/>
  <c r="Y367" i="4"/>
  <c r="AI367" i="4" s="1"/>
  <c r="AD367" i="4"/>
  <c r="AE367" i="4"/>
  <c r="X368" i="4"/>
  <c r="Y368" i="4"/>
  <c r="AD368" i="4"/>
  <c r="AE368" i="4"/>
  <c r="AH368" i="4" s="1"/>
  <c r="X369" i="4"/>
  <c r="Y369" i="4"/>
  <c r="AI369" i="4" s="1"/>
  <c r="AO369" i="4" s="1"/>
  <c r="AD369" i="4"/>
  <c r="AE369" i="4"/>
  <c r="AH369" i="4"/>
  <c r="X370" i="4"/>
  <c r="Y370" i="4"/>
  <c r="AD370" i="4"/>
  <c r="AE370" i="4"/>
  <c r="X371" i="4"/>
  <c r="Y371" i="4"/>
  <c r="AD371" i="4"/>
  <c r="AE371" i="4"/>
  <c r="AH371" i="4" s="1"/>
  <c r="X372" i="4"/>
  <c r="Y372" i="4"/>
  <c r="AD372" i="4"/>
  <c r="AE372" i="4"/>
  <c r="AH372" i="4"/>
  <c r="X373" i="4"/>
  <c r="AI373" i="4"/>
  <c r="AO373" i="4" s="1"/>
  <c r="Y373" i="4"/>
  <c r="AD373" i="4"/>
  <c r="AE373" i="4"/>
  <c r="AH373" i="4" s="1"/>
  <c r="X374" i="4"/>
  <c r="Y374" i="4"/>
  <c r="AD374" i="4"/>
  <c r="AE374" i="4"/>
  <c r="AH374" i="4"/>
  <c r="X375" i="4"/>
  <c r="Y375" i="4"/>
  <c r="AD375" i="4"/>
  <c r="AE375" i="4"/>
  <c r="AH375" i="4" s="1"/>
  <c r="X376" i="4"/>
  <c r="Y376" i="4"/>
  <c r="AD376" i="4"/>
  <c r="AE376" i="4"/>
  <c r="AH376" i="4"/>
  <c r="X377" i="4"/>
  <c r="Y377" i="4"/>
  <c r="AD377" i="4"/>
  <c r="AE377" i="4"/>
  <c r="AH377" i="4" s="1"/>
  <c r="X378" i="4"/>
  <c r="Y378" i="4"/>
  <c r="AD378" i="4"/>
  <c r="AE378" i="4"/>
  <c r="AH378" i="4"/>
  <c r="X379" i="4"/>
  <c r="Y379" i="4"/>
  <c r="AD379" i="4"/>
  <c r="AE379" i="4"/>
  <c r="AH379" i="4" s="1"/>
  <c r="X380" i="4"/>
  <c r="Y380" i="4"/>
  <c r="AD380" i="4"/>
  <c r="AE380" i="4"/>
  <c r="AH380" i="4" s="1"/>
  <c r="X381" i="4"/>
  <c r="Y381" i="4"/>
  <c r="AD381" i="4"/>
  <c r="AE381" i="4"/>
  <c r="AH381" i="4" s="1"/>
  <c r="X382" i="4"/>
  <c r="Y382" i="4"/>
  <c r="AD382" i="4"/>
  <c r="AE382" i="4"/>
  <c r="AH382" i="4"/>
  <c r="X383" i="4"/>
  <c r="Y383" i="4"/>
  <c r="AD383" i="4"/>
  <c r="AE383" i="4"/>
  <c r="AH383" i="4"/>
  <c r="C382" i="5"/>
  <c r="I382" i="5" s="1"/>
  <c r="C383" i="5"/>
  <c r="I383" i="5" s="1"/>
  <c r="C384" i="5"/>
  <c r="I384" i="5" s="1"/>
  <c r="C385" i="5"/>
  <c r="I385" i="5"/>
  <c r="C386" i="5"/>
  <c r="I386" i="5"/>
  <c r="C387" i="5"/>
  <c r="I387" i="5"/>
  <c r="C388" i="5"/>
  <c r="I388" i="5" s="1"/>
  <c r="C389" i="5"/>
  <c r="I389" i="5" s="1"/>
  <c r="C390" i="5"/>
  <c r="I390" i="5" s="1"/>
  <c r="C391" i="5"/>
  <c r="I391" i="5" s="1"/>
  <c r="C392" i="5"/>
  <c r="I392" i="5"/>
  <c r="C393" i="5"/>
  <c r="I393" i="5"/>
  <c r="C394" i="5"/>
  <c r="I394" i="5" s="1"/>
  <c r="C395" i="5"/>
  <c r="I395" i="5" s="1"/>
  <c r="C396" i="5"/>
  <c r="I396" i="5" s="1"/>
  <c r="C397" i="5"/>
  <c r="I397" i="5" s="1"/>
  <c r="C398" i="5"/>
  <c r="I398" i="5"/>
  <c r="C399" i="5"/>
  <c r="I399" i="5"/>
  <c r="C400" i="5"/>
  <c r="I400" i="5" s="1"/>
  <c r="C401" i="5"/>
  <c r="I401" i="5" s="1"/>
  <c r="C402" i="5"/>
  <c r="I402" i="5" s="1"/>
  <c r="C403" i="5"/>
  <c r="I403" i="5"/>
  <c r="C404" i="5"/>
  <c r="I404" i="5"/>
  <c r="C405" i="5"/>
  <c r="I405" i="5"/>
  <c r="C406" i="5"/>
  <c r="I406" i="5" s="1"/>
  <c r="C407" i="5"/>
  <c r="I407" i="5" s="1"/>
  <c r="C408" i="5"/>
  <c r="I408" i="5" s="1"/>
  <c r="C409" i="5"/>
  <c r="I409" i="5" s="1"/>
  <c r="C410" i="5"/>
  <c r="I410" i="5"/>
  <c r="C411" i="5"/>
  <c r="I411" i="5"/>
  <c r="C412" i="5"/>
  <c r="I412" i="5" s="1"/>
  <c r="C413" i="5"/>
  <c r="I413" i="5" s="1"/>
  <c r="C414" i="5"/>
  <c r="I414" i="5" s="1"/>
  <c r="C415" i="5"/>
  <c r="I415" i="5" s="1"/>
  <c r="C416" i="5"/>
  <c r="I416" i="5"/>
  <c r="C417" i="5"/>
  <c r="I417" i="5"/>
  <c r="C418" i="5"/>
  <c r="I418" i="5" s="1"/>
  <c r="C419" i="5"/>
  <c r="I419" i="5" s="1"/>
  <c r="C420" i="5"/>
  <c r="I420" i="5" s="1"/>
  <c r="C421" i="5"/>
  <c r="I421" i="5" s="1"/>
  <c r="C422" i="5"/>
  <c r="I422" i="5"/>
  <c r="C423" i="5"/>
  <c r="I423" i="5"/>
  <c r="C424" i="5"/>
  <c r="I424" i="5"/>
  <c r="C425" i="5"/>
  <c r="I425" i="5"/>
  <c r="C426" i="5"/>
  <c r="I426" i="5" s="1"/>
  <c r="C427" i="5"/>
  <c r="I427" i="5"/>
  <c r="C428" i="5"/>
  <c r="I428" i="5"/>
  <c r="C429" i="5"/>
  <c r="I429" i="5"/>
  <c r="C430" i="5"/>
  <c r="I430" i="5"/>
  <c r="C431" i="5"/>
  <c r="I431" i="5" s="1"/>
  <c r="C432" i="5"/>
  <c r="I432" i="5" s="1"/>
  <c r="C433" i="5"/>
  <c r="I433" i="5"/>
  <c r="C434" i="5"/>
  <c r="I434" i="5"/>
  <c r="C435" i="5"/>
  <c r="I435" i="5"/>
  <c r="C436" i="5"/>
  <c r="I436" i="5"/>
  <c r="C437" i="5"/>
  <c r="I437" i="5"/>
  <c r="C438" i="5"/>
  <c r="I438" i="5" s="1"/>
  <c r="C439" i="5"/>
  <c r="I439" i="5" s="1"/>
  <c r="C440" i="5"/>
  <c r="I440" i="5"/>
  <c r="C441" i="5"/>
  <c r="I441" i="5"/>
  <c r="C442" i="5"/>
  <c r="I442" i="5" s="1"/>
  <c r="C443" i="5"/>
  <c r="I443" i="5"/>
  <c r="C444" i="5"/>
  <c r="I444" i="5" s="1"/>
  <c r="C445" i="5"/>
  <c r="I445" i="5"/>
  <c r="C446" i="5"/>
  <c r="I446" i="5"/>
  <c r="C447" i="5"/>
  <c r="I447" i="5"/>
  <c r="C448" i="5"/>
  <c r="I448" i="5"/>
  <c r="C449" i="5"/>
  <c r="I449" i="5"/>
  <c r="C450" i="5"/>
  <c r="I450" i="5" s="1"/>
  <c r="C451" i="5"/>
  <c r="I451" i="5" s="1"/>
  <c r="C452" i="5"/>
  <c r="I452" i="5"/>
  <c r="C453" i="5"/>
  <c r="I453" i="5"/>
  <c r="C454" i="5"/>
  <c r="I454" i="5" s="1"/>
  <c r="C455" i="5"/>
  <c r="I455" i="5" s="1"/>
  <c r="C456" i="5"/>
  <c r="I456" i="5" s="1"/>
  <c r="C457" i="5"/>
  <c r="I457" i="5"/>
  <c r="C458" i="5"/>
  <c r="I458" i="5"/>
  <c r="C459" i="5"/>
  <c r="I459" i="5"/>
  <c r="C460" i="5"/>
  <c r="I460" i="5"/>
  <c r="C461" i="5"/>
  <c r="I461" i="5" s="1"/>
  <c r="C462" i="5"/>
  <c r="I462" i="5" s="1"/>
  <c r="C463" i="5"/>
  <c r="I463" i="5"/>
  <c r="C464" i="5"/>
  <c r="I464" i="5"/>
  <c r="C465" i="5"/>
  <c r="I465" i="5"/>
  <c r="C466" i="5"/>
  <c r="I466" i="5" s="1"/>
  <c r="C467" i="5"/>
  <c r="I467" i="5" s="1"/>
  <c r="C468" i="5"/>
  <c r="I468" i="5" s="1"/>
  <c r="C469" i="5"/>
  <c r="I469" i="5"/>
  <c r="C470" i="5"/>
  <c r="I470" i="5"/>
  <c r="C471" i="5"/>
  <c r="I471" i="5"/>
  <c r="C472" i="5"/>
  <c r="I472" i="5"/>
  <c r="C473" i="5"/>
  <c r="I473" i="5"/>
  <c r="C474" i="5"/>
  <c r="I474" i="5" s="1"/>
  <c r="C475" i="5"/>
  <c r="I475" i="5" s="1"/>
  <c r="C476" i="5"/>
  <c r="I476" i="5"/>
  <c r="C477" i="5"/>
  <c r="I477" i="5"/>
  <c r="C478" i="5"/>
  <c r="I478" i="5" s="1"/>
  <c r="C479" i="5"/>
  <c r="I479" i="5"/>
  <c r="C480" i="5"/>
  <c r="I480" i="5" s="1"/>
  <c r="C481" i="5"/>
  <c r="I481" i="5"/>
  <c r="C482" i="5"/>
  <c r="I482" i="5"/>
  <c r="C483" i="5"/>
  <c r="I483" i="5"/>
  <c r="C484" i="5"/>
  <c r="I484" i="5"/>
  <c r="C485" i="5"/>
  <c r="I485" i="5"/>
  <c r="C486" i="5"/>
  <c r="I486" i="5" s="1"/>
  <c r="C487" i="5"/>
  <c r="I487" i="5" s="1"/>
  <c r="C488" i="5"/>
  <c r="I488" i="5"/>
  <c r="C489" i="5"/>
  <c r="I489" i="5"/>
  <c r="C490" i="5"/>
  <c r="I490" i="5" s="1"/>
  <c r="C491" i="5"/>
  <c r="I491" i="5" s="1"/>
  <c r="C492" i="5"/>
  <c r="I492" i="5"/>
  <c r="C493" i="5"/>
  <c r="I493" i="5"/>
  <c r="C494" i="5"/>
  <c r="I494" i="5"/>
  <c r="C495" i="5"/>
  <c r="I495" i="5"/>
  <c r="C496" i="5"/>
  <c r="I496" i="5" s="1"/>
  <c r="C497" i="5"/>
  <c r="I497" i="5" s="1"/>
  <c r="C498" i="5"/>
  <c r="I498" i="5" s="1"/>
  <c r="C499" i="5"/>
  <c r="I499" i="5"/>
  <c r="C500" i="5"/>
  <c r="I500" i="5"/>
  <c r="C501" i="5"/>
  <c r="I501" i="5"/>
  <c r="C502" i="5"/>
  <c r="I502" i="5" s="1"/>
  <c r="C503" i="5"/>
  <c r="I503" i="5" s="1"/>
  <c r="C504" i="5"/>
  <c r="I504" i="5"/>
  <c r="C505" i="5"/>
  <c r="I505" i="5" s="1"/>
  <c r="C506" i="5"/>
  <c r="I506" i="5"/>
  <c r="C507" i="5"/>
  <c r="I507" i="5"/>
  <c r="C508" i="5"/>
  <c r="I508" i="5" s="1"/>
  <c r="C509" i="5"/>
  <c r="I509" i="5" s="1"/>
  <c r="C510" i="5"/>
  <c r="I510" i="5"/>
  <c r="C511" i="5"/>
  <c r="I511" i="5"/>
  <c r="C512" i="5"/>
  <c r="I512" i="5"/>
  <c r="C513" i="5"/>
  <c r="I513" i="5"/>
  <c r="C514" i="5"/>
  <c r="I514" i="5" s="1"/>
  <c r="C515" i="5"/>
  <c r="I515" i="5" s="1"/>
  <c r="C516" i="5"/>
  <c r="I516" i="5" s="1"/>
  <c r="C517" i="5"/>
  <c r="I517" i="5" s="1"/>
  <c r="C518" i="5"/>
  <c r="I518" i="5"/>
  <c r="C519" i="5"/>
  <c r="I519" i="5"/>
  <c r="C520" i="5"/>
  <c r="I520" i="5" s="1"/>
  <c r="C521" i="5"/>
  <c r="I521" i="5" s="1"/>
  <c r="C522" i="5"/>
  <c r="I522" i="5"/>
  <c r="C523" i="5"/>
  <c r="I523" i="5" s="1"/>
  <c r="C524" i="5"/>
  <c r="I524" i="5"/>
  <c r="C525" i="5"/>
  <c r="I525" i="5"/>
  <c r="C526" i="5"/>
  <c r="I526" i="5" s="1"/>
  <c r="C527" i="5"/>
  <c r="I527" i="5" s="1"/>
  <c r="C528" i="5"/>
  <c r="I528" i="5"/>
  <c r="C529" i="5"/>
  <c r="I529" i="5"/>
  <c r="C530" i="5"/>
  <c r="I530" i="5"/>
  <c r="C531" i="5"/>
  <c r="I531" i="5"/>
  <c r="C532" i="5"/>
  <c r="I532" i="5" s="1"/>
  <c r="C533" i="5"/>
  <c r="I533" i="5" s="1"/>
  <c r="C534" i="5"/>
  <c r="I534" i="5" s="1"/>
  <c r="C535" i="5"/>
  <c r="I535" i="5"/>
  <c r="C536" i="5"/>
  <c r="I536" i="5"/>
  <c r="C537" i="5"/>
  <c r="I537" i="5"/>
  <c r="C538" i="5"/>
  <c r="I538" i="5" s="1"/>
  <c r="C539" i="5"/>
  <c r="I539" i="5" s="1"/>
  <c r="C540" i="5"/>
  <c r="I540" i="5"/>
  <c r="C541" i="5"/>
  <c r="I541" i="5" s="1"/>
  <c r="C542" i="5"/>
  <c r="I542" i="5"/>
  <c r="C543" i="5"/>
  <c r="I543" i="5"/>
  <c r="C544" i="5"/>
  <c r="I544" i="5" s="1"/>
  <c r="C545" i="5"/>
  <c r="I545" i="5" s="1"/>
  <c r="C546" i="5"/>
  <c r="I546" i="5"/>
  <c r="C547" i="5"/>
  <c r="I547" i="5"/>
  <c r="C548" i="5"/>
  <c r="I548" i="5"/>
  <c r="C549" i="5"/>
  <c r="I549" i="5"/>
  <c r="C550" i="5"/>
  <c r="I550" i="5" s="1"/>
  <c r="C551" i="5"/>
  <c r="I551" i="5" s="1"/>
  <c r="C552" i="5"/>
  <c r="I552" i="5" s="1"/>
  <c r="C553" i="5"/>
  <c r="I553" i="5"/>
  <c r="C554" i="5"/>
  <c r="I554" i="5"/>
  <c r="C555" i="5"/>
  <c r="I555" i="5"/>
  <c r="C556" i="5"/>
  <c r="I556" i="5" s="1"/>
  <c r="C557" i="5"/>
  <c r="I557" i="5" s="1"/>
  <c r="C558" i="5"/>
  <c r="I558" i="5"/>
  <c r="C559" i="5"/>
  <c r="I559" i="5" s="1"/>
  <c r="C560" i="5"/>
  <c r="I560" i="5"/>
  <c r="C561" i="5"/>
  <c r="I561" i="5"/>
  <c r="C562" i="5"/>
  <c r="I562" i="5" s="1"/>
  <c r="C563" i="5"/>
  <c r="I563" i="5" s="1"/>
  <c r="C564" i="5"/>
  <c r="I564" i="5"/>
  <c r="C565" i="5"/>
  <c r="I565" i="5"/>
  <c r="C566" i="5"/>
  <c r="I566" i="5"/>
  <c r="C567" i="5"/>
  <c r="I567" i="5"/>
  <c r="C568" i="5"/>
  <c r="I568" i="5" s="1"/>
  <c r="C569" i="5"/>
  <c r="I569" i="5" s="1"/>
  <c r="C570" i="5"/>
  <c r="I570" i="5" s="1"/>
  <c r="C571" i="5"/>
  <c r="I571" i="5"/>
  <c r="C572" i="5"/>
  <c r="I572" i="5"/>
  <c r="C573" i="5"/>
  <c r="I573" i="5"/>
  <c r="C574" i="5"/>
  <c r="I574" i="5" s="1"/>
  <c r="C575" i="5"/>
  <c r="I575" i="5" s="1"/>
  <c r="C576" i="5"/>
  <c r="I576" i="5"/>
  <c r="C577" i="5"/>
  <c r="I577" i="5" s="1"/>
  <c r="C578" i="5"/>
  <c r="I578" i="5"/>
  <c r="C579" i="5"/>
  <c r="I579" i="5"/>
  <c r="C580" i="5"/>
  <c r="I580" i="5" s="1"/>
  <c r="C581" i="5"/>
  <c r="I581" i="5" s="1"/>
  <c r="C582" i="5"/>
  <c r="I582" i="5"/>
  <c r="C583" i="5"/>
  <c r="I583" i="5"/>
  <c r="C584" i="5"/>
  <c r="I584" i="5"/>
  <c r="C585" i="5"/>
  <c r="I585" i="5"/>
  <c r="C586" i="5"/>
  <c r="I586" i="5" s="1"/>
  <c r="C587" i="5"/>
  <c r="I587" i="5" s="1"/>
  <c r="C588" i="5"/>
  <c r="I588" i="5" s="1"/>
  <c r="C589" i="5"/>
  <c r="I589" i="5" s="1"/>
  <c r="C590" i="5"/>
  <c r="I590" i="5"/>
  <c r="C591" i="5"/>
  <c r="I591" i="5"/>
  <c r="C592" i="5"/>
  <c r="I592" i="5" s="1"/>
  <c r="C593" i="5"/>
  <c r="I593" i="5" s="1"/>
  <c r="C594" i="5"/>
  <c r="I594" i="5"/>
  <c r="C595" i="5"/>
  <c r="I595" i="5" s="1"/>
  <c r="C596" i="5"/>
  <c r="I596" i="5"/>
  <c r="C597" i="5"/>
  <c r="I597" i="5"/>
  <c r="C598" i="5"/>
  <c r="I598" i="5" s="1"/>
  <c r="C599" i="5"/>
  <c r="I599" i="5" s="1"/>
  <c r="C600" i="5"/>
  <c r="I600" i="5"/>
  <c r="C601" i="5"/>
  <c r="I601" i="5"/>
  <c r="C602" i="5"/>
  <c r="I602" i="5"/>
  <c r="C603" i="5"/>
  <c r="I603" i="5"/>
  <c r="C604" i="5"/>
  <c r="I604" i="5" s="1"/>
  <c r="C605" i="5"/>
  <c r="I605" i="5" s="1"/>
  <c r="C606" i="5"/>
  <c r="I606" i="5" s="1"/>
  <c r="C607" i="5"/>
  <c r="I607" i="5"/>
  <c r="C608" i="5"/>
  <c r="I608" i="5"/>
  <c r="C609" i="5"/>
  <c r="I609" i="5"/>
  <c r="C610" i="5"/>
  <c r="I610" i="5" s="1"/>
  <c r="C611" i="5"/>
  <c r="I611" i="5" s="1"/>
  <c r="C612" i="5"/>
  <c r="I612" i="5"/>
  <c r="C613" i="5"/>
  <c r="I613" i="5" s="1"/>
  <c r="C614" i="5"/>
  <c r="I614" i="5"/>
  <c r="C615" i="5"/>
  <c r="I615" i="5"/>
  <c r="C616" i="5"/>
  <c r="I616" i="5" s="1"/>
  <c r="C617" i="5"/>
  <c r="I617" i="5" s="1"/>
  <c r="C618" i="5"/>
  <c r="I618" i="5"/>
  <c r="C619" i="5"/>
  <c r="I619" i="5"/>
  <c r="C620" i="5"/>
  <c r="I620" i="5"/>
  <c r="C621" i="5"/>
  <c r="I621" i="5"/>
  <c r="C622" i="5"/>
  <c r="I622" i="5" s="1"/>
  <c r="C623" i="5"/>
  <c r="I623" i="5" s="1"/>
  <c r="C624" i="5"/>
  <c r="I624" i="5" s="1"/>
  <c r="C625" i="5"/>
  <c r="I625" i="5" s="1"/>
  <c r="C626" i="5"/>
  <c r="I626" i="5"/>
  <c r="C627" i="5"/>
  <c r="I627" i="5"/>
  <c r="C628" i="5"/>
  <c r="I628" i="5" s="1"/>
  <c r="C629" i="5"/>
  <c r="I629" i="5" s="1"/>
  <c r="C630" i="5"/>
  <c r="I630" i="5"/>
  <c r="C631" i="5"/>
  <c r="I631" i="5" s="1"/>
  <c r="C632" i="5"/>
  <c r="I632" i="5"/>
  <c r="C633" i="5"/>
  <c r="I633" i="5"/>
  <c r="C634" i="5"/>
  <c r="I634" i="5" s="1"/>
  <c r="C635" i="5"/>
  <c r="I635" i="5" s="1"/>
  <c r="C636" i="5"/>
  <c r="I636" i="5"/>
  <c r="C637" i="5"/>
  <c r="I637" i="5"/>
  <c r="C638" i="5"/>
  <c r="I638" i="5"/>
  <c r="C639" i="5"/>
  <c r="I639" i="5"/>
  <c r="C640" i="5"/>
  <c r="I640" i="5"/>
  <c r="C641" i="5"/>
  <c r="I641" i="5" s="1"/>
  <c r="C642" i="5"/>
  <c r="I642" i="5" s="1"/>
  <c r="C643" i="5"/>
  <c r="I643" i="5" s="1"/>
  <c r="C644" i="5"/>
  <c r="I644" i="5"/>
  <c r="C645" i="5"/>
  <c r="I645" i="5"/>
  <c r="C646" i="5"/>
  <c r="I646" i="5"/>
  <c r="C647" i="5"/>
  <c r="I647" i="5" s="1"/>
  <c r="C648" i="5"/>
  <c r="I648" i="5" s="1"/>
  <c r="C649" i="5"/>
  <c r="I649" i="5"/>
  <c r="C650" i="5"/>
  <c r="I650" i="5"/>
  <c r="C651" i="5"/>
  <c r="I651" i="5"/>
  <c r="C652" i="5"/>
  <c r="I652" i="5"/>
  <c r="C653" i="5"/>
  <c r="I653" i="5" s="1"/>
  <c r="C654" i="5"/>
  <c r="I654" i="5"/>
  <c r="C655" i="5"/>
  <c r="I655" i="5" s="1"/>
  <c r="C656" i="5"/>
  <c r="I656" i="5"/>
  <c r="C657" i="5"/>
  <c r="I657" i="5"/>
  <c r="C658" i="5"/>
  <c r="I658" i="5"/>
  <c r="C659" i="5"/>
  <c r="I659" i="5" s="1"/>
  <c r="C660" i="5"/>
  <c r="I660" i="5"/>
  <c r="C661" i="5"/>
  <c r="I661" i="5" s="1"/>
  <c r="C662" i="5"/>
  <c r="I662" i="5"/>
  <c r="C663" i="5"/>
  <c r="I663" i="5"/>
  <c r="C664" i="5"/>
  <c r="I664" i="5"/>
  <c r="C665" i="5"/>
  <c r="I665" i="5" s="1"/>
  <c r="C666" i="5"/>
  <c r="I666" i="5" s="1"/>
  <c r="C667" i="5"/>
  <c r="I667" i="5"/>
  <c r="C668" i="5"/>
  <c r="I668" i="5"/>
  <c r="C669" i="5"/>
  <c r="I669" i="5"/>
  <c r="C670" i="5"/>
  <c r="I670" i="5"/>
  <c r="C671" i="5"/>
  <c r="I671" i="5" s="1"/>
  <c r="C672" i="5"/>
  <c r="I672" i="5"/>
  <c r="C673" i="5"/>
  <c r="I673" i="5"/>
  <c r="C674" i="5"/>
  <c r="I674" i="5"/>
  <c r="C675" i="5"/>
  <c r="I675" i="5"/>
  <c r="C676" i="5"/>
  <c r="I676" i="5"/>
  <c r="C677" i="5"/>
  <c r="I677" i="5" s="1"/>
  <c r="C678" i="5"/>
  <c r="I678" i="5"/>
  <c r="C679" i="5"/>
  <c r="I679" i="5" s="1"/>
  <c r="C680" i="5"/>
  <c r="I680" i="5"/>
  <c r="C681" i="5"/>
  <c r="I681" i="5"/>
  <c r="C682" i="5"/>
  <c r="I682" i="5"/>
  <c r="C683" i="5"/>
  <c r="I683" i="5" s="1"/>
  <c r="C684" i="5"/>
  <c r="I684" i="5" s="1"/>
  <c r="C685" i="5"/>
  <c r="I685" i="5" s="1"/>
  <c r="C686" i="5"/>
  <c r="I686" i="5"/>
  <c r="C687" i="5"/>
  <c r="I687" i="5"/>
  <c r="C688" i="5"/>
  <c r="I688" i="5"/>
  <c r="C689" i="5"/>
  <c r="I689" i="5" s="1"/>
  <c r="C690" i="5"/>
  <c r="I690" i="5" s="1"/>
  <c r="C691" i="5"/>
  <c r="I691" i="5"/>
  <c r="C692" i="5"/>
  <c r="I692" i="5"/>
  <c r="C693" i="5"/>
  <c r="I693" i="5"/>
  <c r="C694" i="5"/>
  <c r="I694" i="5"/>
  <c r="C695" i="5"/>
  <c r="I695" i="5" s="1"/>
  <c r="C696" i="5"/>
  <c r="I696" i="5"/>
  <c r="C697" i="5"/>
  <c r="I697" i="5" s="1"/>
  <c r="C698" i="5"/>
  <c r="I698" i="5"/>
  <c r="C699" i="5"/>
  <c r="I699" i="5"/>
  <c r="C700" i="5"/>
  <c r="I700" i="5"/>
  <c r="C701" i="5"/>
  <c r="I701" i="5" s="1"/>
  <c r="C702" i="5"/>
  <c r="I702" i="5" s="1"/>
  <c r="C703" i="5"/>
  <c r="I703" i="5" s="1"/>
  <c r="C704" i="5"/>
  <c r="I704" i="5"/>
  <c r="C705" i="5"/>
  <c r="I705" i="5"/>
  <c r="C706" i="5"/>
  <c r="I706" i="5"/>
  <c r="C707" i="5"/>
  <c r="I707" i="5" s="1"/>
  <c r="C708" i="5"/>
  <c r="I708" i="5"/>
  <c r="C709" i="5"/>
  <c r="I709" i="5"/>
  <c r="C710" i="5"/>
  <c r="I710" i="5"/>
  <c r="C711" i="5"/>
  <c r="I711" i="5"/>
  <c r="C712" i="5"/>
  <c r="I712" i="5"/>
  <c r="C713" i="5"/>
  <c r="I713" i="5" s="1"/>
  <c r="C714" i="5"/>
  <c r="I714" i="5" s="1"/>
  <c r="C715" i="5"/>
  <c r="I715" i="5" s="1"/>
  <c r="C716" i="5"/>
  <c r="I716" i="5"/>
  <c r="C717" i="5"/>
  <c r="I717" i="5"/>
  <c r="C718" i="5"/>
  <c r="I718" i="5"/>
  <c r="C719" i="5"/>
  <c r="I719" i="5" s="1"/>
  <c r="C720" i="5"/>
  <c r="I720" i="5" s="1"/>
  <c r="C721" i="5"/>
  <c r="I721" i="5"/>
  <c r="C722" i="5"/>
  <c r="I722" i="5"/>
  <c r="C723" i="5"/>
  <c r="I723" i="5"/>
  <c r="C724" i="5"/>
  <c r="I724" i="5"/>
  <c r="C725" i="5"/>
  <c r="I725" i="5"/>
  <c r="C726" i="5"/>
  <c r="I726" i="5" s="1"/>
  <c r="C727" i="5"/>
  <c r="I727" i="5"/>
  <c r="C728" i="5"/>
  <c r="I728" i="5"/>
  <c r="C729" i="5"/>
  <c r="I729" i="5"/>
  <c r="C730" i="5"/>
  <c r="I730" i="5"/>
  <c r="C731" i="5"/>
  <c r="I731" i="5"/>
  <c r="C732" i="5"/>
  <c r="I732" i="5" s="1"/>
  <c r="C733" i="5"/>
  <c r="I733" i="5"/>
  <c r="C734" i="5"/>
  <c r="I734" i="5"/>
  <c r="C735" i="5"/>
  <c r="I735" i="5"/>
  <c r="C736" i="5"/>
  <c r="I736" i="5"/>
  <c r="C737" i="5"/>
  <c r="I737" i="5"/>
  <c r="C738" i="5"/>
  <c r="I738" i="5" s="1"/>
  <c r="C739" i="5"/>
  <c r="I739" i="5"/>
  <c r="C740" i="5"/>
  <c r="I740" i="5"/>
  <c r="C741" i="5"/>
  <c r="I741" i="5"/>
  <c r="C742" i="5"/>
  <c r="I742" i="5"/>
  <c r="C743" i="5"/>
  <c r="I743" i="5"/>
  <c r="C744" i="5"/>
  <c r="I744" i="5" s="1"/>
  <c r="C745" i="5"/>
  <c r="I745" i="5"/>
  <c r="C746" i="5"/>
  <c r="I746" i="5"/>
  <c r="C747" i="5"/>
  <c r="I747" i="5"/>
  <c r="C748" i="5"/>
  <c r="I748" i="5"/>
  <c r="C749" i="5"/>
  <c r="I749" i="5"/>
  <c r="C750" i="5"/>
  <c r="I750" i="5" s="1"/>
  <c r="C751" i="5"/>
  <c r="I751" i="5"/>
  <c r="C752" i="5"/>
  <c r="I752" i="5"/>
  <c r="C753" i="5"/>
  <c r="I753" i="5"/>
  <c r="C754" i="5"/>
  <c r="I754" i="5"/>
  <c r="C755" i="5"/>
  <c r="I755" i="5"/>
  <c r="C756" i="5"/>
  <c r="I756" i="5" s="1"/>
  <c r="C757" i="5"/>
  <c r="I757" i="5"/>
  <c r="C758" i="5"/>
  <c r="I758" i="5"/>
  <c r="C759" i="5"/>
  <c r="I759" i="5"/>
  <c r="C760" i="5"/>
  <c r="I760" i="5"/>
  <c r="C761" i="5"/>
  <c r="I761" i="5"/>
  <c r="C762" i="5"/>
  <c r="I762" i="5" s="1"/>
  <c r="C763" i="5"/>
  <c r="I763" i="5"/>
  <c r="C764" i="5"/>
  <c r="I764" i="5"/>
  <c r="C765" i="5"/>
  <c r="I765" i="5"/>
  <c r="C766" i="5"/>
  <c r="I766" i="5"/>
  <c r="C767" i="5"/>
  <c r="I767" i="5"/>
  <c r="C768" i="5"/>
  <c r="I768" i="5" s="1"/>
  <c r="C769" i="5"/>
  <c r="I769" i="5"/>
  <c r="C770" i="5"/>
  <c r="I770" i="5"/>
  <c r="C771" i="5"/>
  <c r="I771" i="5"/>
  <c r="C772" i="5"/>
  <c r="I772" i="5"/>
  <c r="C773" i="5"/>
  <c r="I773" i="5"/>
  <c r="C774" i="5"/>
  <c r="I774" i="5" s="1"/>
  <c r="C775" i="5"/>
  <c r="I775" i="5"/>
  <c r="C776" i="5"/>
  <c r="I776" i="5"/>
  <c r="C777" i="5"/>
  <c r="I777" i="5"/>
  <c r="C778" i="5"/>
  <c r="I778" i="5"/>
  <c r="C779" i="5"/>
  <c r="I779" i="5"/>
  <c r="C780" i="5"/>
  <c r="I780" i="5" s="1"/>
  <c r="C781" i="5"/>
  <c r="I781" i="5"/>
  <c r="C782" i="5"/>
  <c r="I782" i="5"/>
  <c r="C783" i="5"/>
  <c r="I783" i="5"/>
  <c r="C784" i="5"/>
  <c r="I784" i="5"/>
  <c r="C785" i="5"/>
  <c r="I785" i="5"/>
  <c r="C786" i="5"/>
  <c r="I786" i="5" s="1"/>
  <c r="C787" i="5"/>
  <c r="I787" i="5"/>
  <c r="C788" i="5"/>
  <c r="I788" i="5"/>
  <c r="C789" i="5"/>
  <c r="I789" i="5"/>
  <c r="C790" i="5"/>
  <c r="I790" i="5"/>
  <c r="C791" i="5"/>
  <c r="I791" i="5"/>
  <c r="C792" i="5"/>
  <c r="I792" i="5" s="1"/>
  <c r="C793" i="5"/>
  <c r="I793" i="5"/>
  <c r="C794" i="5"/>
  <c r="I794" i="5"/>
  <c r="C795" i="5"/>
  <c r="I795" i="5"/>
  <c r="C796" i="5"/>
  <c r="I796" i="5"/>
  <c r="C797" i="5"/>
  <c r="I797" i="5"/>
  <c r="C798" i="5"/>
  <c r="I798" i="5" s="1"/>
  <c r="C799" i="5"/>
  <c r="I799" i="5"/>
  <c r="C800" i="5"/>
  <c r="I800" i="5"/>
  <c r="C801" i="5"/>
  <c r="I801" i="5"/>
  <c r="C802" i="5"/>
  <c r="I802" i="5"/>
  <c r="C803" i="5"/>
  <c r="I803" i="5"/>
  <c r="C804" i="5"/>
  <c r="I804" i="5" s="1"/>
  <c r="C805" i="5"/>
  <c r="I805" i="5"/>
  <c r="C806" i="5"/>
  <c r="I806" i="5"/>
  <c r="C807" i="5"/>
  <c r="I807" i="5"/>
  <c r="C808" i="5"/>
  <c r="I808" i="5"/>
  <c r="C809" i="5"/>
  <c r="I809" i="5"/>
  <c r="C810" i="5"/>
  <c r="I810" i="5" s="1"/>
  <c r="C811" i="5"/>
  <c r="I811" i="5"/>
  <c r="C812" i="5"/>
  <c r="I812" i="5"/>
  <c r="C813" i="5"/>
  <c r="I813" i="5"/>
  <c r="C814" i="5"/>
  <c r="I814" i="5"/>
  <c r="C815" i="5"/>
  <c r="I815" i="5"/>
  <c r="C816" i="5"/>
  <c r="I816" i="5" s="1"/>
  <c r="C817" i="5"/>
  <c r="I817" i="5"/>
  <c r="C818" i="5"/>
  <c r="I818" i="5"/>
  <c r="C819" i="5"/>
  <c r="I819" i="5"/>
  <c r="C820" i="5"/>
  <c r="I820" i="5"/>
  <c r="C821" i="5"/>
  <c r="I821" i="5"/>
  <c r="C822" i="5"/>
  <c r="I822" i="5" s="1"/>
  <c r="C823" i="5"/>
  <c r="I823" i="5"/>
  <c r="C824" i="5"/>
  <c r="I824" i="5"/>
  <c r="C825" i="5"/>
  <c r="I825" i="5"/>
  <c r="C826" i="5"/>
  <c r="I826" i="5"/>
  <c r="C827" i="5"/>
  <c r="I827" i="5"/>
  <c r="C828" i="5"/>
  <c r="I828" i="5" s="1"/>
  <c r="C829" i="5"/>
  <c r="I829" i="5"/>
  <c r="C830" i="5"/>
  <c r="I830" i="5"/>
  <c r="C831" i="5"/>
  <c r="I831" i="5"/>
  <c r="C832" i="5"/>
  <c r="I832" i="5"/>
  <c r="C833" i="5"/>
  <c r="I833" i="5"/>
  <c r="C834" i="5"/>
  <c r="I834" i="5" s="1"/>
  <c r="C835" i="5"/>
  <c r="I835" i="5"/>
  <c r="C836" i="5"/>
  <c r="I836" i="5"/>
  <c r="C837" i="5"/>
  <c r="I837" i="5"/>
  <c r="C838" i="5"/>
  <c r="I838" i="5"/>
  <c r="C839" i="5"/>
  <c r="I839" i="5"/>
  <c r="C840" i="5"/>
  <c r="I840" i="5" s="1"/>
  <c r="C841" i="5"/>
  <c r="I841" i="5"/>
  <c r="C842" i="5"/>
  <c r="I842" i="5"/>
  <c r="C843" i="5"/>
  <c r="I843" i="5"/>
  <c r="C844" i="5"/>
  <c r="I844" i="5"/>
  <c r="C845" i="5"/>
  <c r="I845" i="5"/>
  <c r="C846" i="5"/>
  <c r="I846" i="5" s="1"/>
  <c r="C847" i="5"/>
  <c r="I847" i="5"/>
  <c r="C848" i="5"/>
  <c r="I848" i="5"/>
  <c r="C849" i="5"/>
  <c r="I849" i="5"/>
  <c r="C850" i="5"/>
  <c r="I850" i="5"/>
  <c r="C851" i="5"/>
  <c r="I851" i="5"/>
  <c r="C852" i="5"/>
  <c r="I852" i="5" s="1"/>
  <c r="C853" i="5"/>
  <c r="I853" i="5"/>
  <c r="C854" i="5"/>
  <c r="I854" i="5"/>
  <c r="C855" i="5"/>
  <c r="I855" i="5"/>
  <c r="C856" i="5"/>
  <c r="I856" i="5"/>
  <c r="C857" i="5"/>
  <c r="I857" i="5"/>
  <c r="C858" i="5"/>
  <c r="I858" i="5" s="1"/>
  <c r="C859" i="5"/>
  <c r="I859" i="5"/>
  <c r="C860" i="5"/>
  <c r="I860" i="5"/>
  <c r="C861" i="5"/>
  <c r="I861" i="5"/>
  <c r="C862" i="5"/>
  <c r="I862" i="5"/>
  <c r="C863" i="5"/>
  <c r="I863" i="5"/>
  <c r="C864" i="5"/>
  <c r="I864" i="5" s="1"/>
  <c r="C865" i="5"/>
  <c r="I865" i="5"/>
  <c r="C866" i="5"/>
  <c r="I866" i="5"/>
  <c r="C867" i="5"/>
  <c r="I867" i="5"/>
  <c r="C868" i="5"/>
  <c r="I868" i="5"/>
  <c r="C869" i="5"/>
  <c r="I869" i="5"/>
  <c r="C870" i="5"/>
  <c r="I870" i="5" s="1"/>
  <c r="C871" i="5"/>
  <c r="I871" i="5"/>
  <c r="C872" i="5"/>
  <c r="I872" i="5"/>
  <c r="C873" i="5"/>
  <c r="I873" i="5"/>
  <c r="C874" i="5"/>
  <c r="I874" i="5"/>
  <c r="C875" i="5"/>
  <c r="I875" i="5"/>
  <c r="C876" i="5"/>
  <c r="I876" i="5" s="1"/>
  <c r="C877" i="5"/>
  <c r="I877" i="5"/>
  <c r="C878" i="5"/>
  <c r="I878" i="5"/>
  <c r="C879" i="5"/>
  <c r="I879" i="5"/>
  <c r="C880" i="5"/>
  <c r="I880" i="5"/>
  <c r="C881" i="5"/>
  <c r="I881" i="5"/>
  <c r="C882" i="5"/>
  <c r="I882" i="5" s="1"/>
  <c r="C883" i="5"/>
  <c r="I883" i="5"/>
  <c r="C884" i="5"/>
  <c r="I884" i="5"/>
  <c r="C885" i="5"/>
  <c r="I885" i="5"/>
  <c r="C886" i="5"/>
  <c r="I886" i="5"/>
  <c r="C887" i="5"/>
  <c r="I887" i="5"/>
  <c r="C888" i="5"/>
  <c r="I888" i="5" s="1"/>
  <c r="C889" i="5"/>
  <c r="I889" i="5"/>
  <c r="C890" i="5"/>
  <c r="I890" i="5"/>
  <c r="C891" i="5"/>
  <c r="I891" i="5"/>
  <c r="C892" i="5"/>
  <c r="I892" i="5"/>
  <c r="C893" i="5"/>
  <c r="I893" i="5"/>
  <c r="C894" i="5"/>
  <c r="I894" i="5" s="1"/>
  <c r="C895" i="5"/>
  <c r="I895" i="5"/>
  <c r="C896" i="5"/>
  <c r="I896" i="5"/>
  <c r="C897" i="5"/>
  <c r="I897" i="5"/>
  <c r="C898" i="5"/>
  <c r="I898" i="5"/>
  <c r="C899" i="5"/>
  <c r="I899" i="5"/>
  <c r="C900" i="5"/>
  <c r="I900" i="5" s="1"/>
  <c r="C901" i="5"/>
  <c r="I901" i="5"/>
  <c r="C902" i="5"/>
  <c r="I902" i="5"/>
  <c r="C903" i="5"/>
  <c r="I903" i="5"/>
  <c r="C904" i="5"/>
  <c r="I904" i="5"/>
  <c r="C905" i="5"/>
  <c r="I905" i="5"/>
  <c r="C906" i="5"/>
  <c r="I906" i="5" s="1"/>
  <c r="C907" i="5"/>
  <c r="I907" i="5"/>
  <c r="C908" i="5"/>
  <c r="I908" i="5"/>
  <c r="C909" i="5"/>
  <c r="I909" i="5"/>
  <c r="C910" i="5"/>
  <c r="I910" i="5"/>
  <c r="C911" i="5"/>
  <c r="I911" i="5"/>
  <c r="C912" i="5"/>
  <c r="I912" i="5" s="1"/>
  <c r="C913" i="5"/>
  <c r="I913" i="5"/>
  <c r="C914" i="5"/>
  <c r="I914" i="5"/>
  <c r="C915" i="5"/>
  <c r="I915" i="5"/>
  <c r="C916" i="5"/>
  <c r="I916" i="5"/>
  <c r="C917" i="5"/>
  <c r="I917" i="5"/>
  <c r="C918" i="5"/>
  <c r="I918" i="5" s="1"/>
  <c r="C919" i="5"/>
  <c r="I919" i="5"/>
  <c r="C920" i="5"/>
  <c r="I920" i="5"/>
  <c r="C921" i="5"/>
  <c r="I921" i="5"/>
  <c r="C922" i="5"/>
  <c r="I922" i="5"/>
  <c r="C923" i="5"/>
  <c r="I923" i="5"/>
  <c r="C924" i="5"/>
  <c r="I924" i="5" s="1"/>
  <c r="C925" i="5"/>
  <c r="I925" i="5"/>
  <c r="C926" i="5"/>
  <c r="I926" i="5"/>
  <c r="C927" i="5"/>
  <c r="I927" i="5"/>
  <c r="C928" i="5"/>
  <c r="I928" i="5"/>
  <c r="C929" i="5"/>
  <c r="I929" i="5"/>
  <c r="C930" i="5"/>
  <c r="I930" i="5" s="1"/>
  <c r="C931" i="5"/>
  <c r="I931" i="5"/>
  <c r="C932" i="5"/>
  <c r="I932" i="5"/>
  <c r="C933" i="5"/>
  <c r="I933" i="5"/>
  <c r="C934" i="5"/>
  <c r="I934" i="5"/>
  <c r="C935" i="5"/>
  <c r="I935" i="5"/>
  <c r="C936" i="5"/>
  <c r="I936" i="5" s="1"/>
  <c r="C937" i="5"/>
  <c r="I937" i="5"/>
  <c r="C938" i="5"/>
  <c r="I938" i="5"/>
  <c r="C939" i="5"/>
  <c r="I939" i="5"/>
  <c r="C940" i="5"/>
  <c r="I940" i="5"/>
  <c r="C941" i="5"/>
  <c r="I941" i="5"/>
  <c r="C942" i="5"/>
  <c r="I942" i="5" s="1"/>
  <c r="C943" i="5"/>
  <c r="I943" i="5"/>
  <c r="C944" i="5"/>
  <c r="I944" i="5"/>
  <c r="C945" i="5"/>
  <c r="I945" i="5"/>
  <c r="C946" i="5"/>
  <c r="I946" i="5"/>
  <c r="C947" i="5"/>
  <c r="I947" i="5"/>
  <c r="C948" i="5"/>
  <c r="I948" i="5" s="1"/>
  <c r="C949" i="5"/>
  <c r="I949" i="5"/>
  <c r="C950" i="5"/>
  <c r="I950" i="5"/>
  <c r="C951" i="5"/>
  <c r="I951" i="5"/>
  <c r="C952" i="5"/>
  <c r="I952" i="5"/>
  <c r="C953" i="5"/>
  <c r="I953" i="5"/>
  <c r="C954" i="5"/>
  <c r="I954" i="5" s="1"/>
  <c r="C955" i="5"/>
  <c r="I955" i="5"/>
  <c r="C956" i="5"/>
  <c r="I956" i="5"/>
  <c r="C957" i="5"/>
  <c r="I957" i="5"/>
  <c r="C958" i="5"/>
  <c r="I958" i="5"/>
  <c r="C959" i="5"/>
  <c r="I959" i="5"/>
  <c r="C960" i="5"/>
  <c r="I960" i="5" s="1"/>
  <c r="C961" i="5"/>
  <c r="I961" i="5"/>
  <c r="C962" i="5"/>
  <c r="I962" i="5"/>
  <c r="C963" i="5"/>
  <c r="I963" i="5"/>
  <c r="C964" i="5"/>
  <c r="I964" i="5"/>
  <c r="C965" i="5"/>
  <c r="I965" i="5"/>
  <c r="C966" i="5"/>
  <c r="I966" i="5" s="1"/>
  <c r="C967" i="5"/>
  <c r="I967" i="5"/>
  <c r="C968" i="5"/>
  <c r="I968" i="5"/>
  <c r="C969" i="5"/>
  <c r="I969" i="5"/>
  <c r="C970" i="5"/>
  <c r="I970" i="5"/>
  <c r="C971" i="5"/>
  <c r="I971" i="5"/>
  <c r="C972" i="5"/>
  <c r="I972" i="5" s="1"/>
  <c r="C973" i="5"/>
  <c r="I973" i="5"/>
  <c r="C974" i="5"/>
  <c r="I974" i="5"/>
  <c r="C975" i="5"/>
  <c r="I975" i="5"/>
  <c r="C976" i="5"/>
  <c r="I976" i="5"/>
  <c r="C977" i="5"/>
  <c r="I977" i="5"/>
  <c r="C978" i="5"/>
  <c r="I978" i="5" s="1"/>
  <c r="C979" i="5"/>
  <c r="I979" i="5"/>
  <c r="C980" i="5"/>
  <c r="I980" i="5"/>
  <c r="C981" i="5"/>
  <c r="I981" i="5"/>
  <c r="C982" i="5"/>
  <c r="I982" i="5"/>
  <c r="C983" i="5"/>
  <c r="I983" i="5"/>
  <c r="C984" i="5"/>
  <c r="I984" i="5" s="1"/>
  <c r="C985" i="5"/>
  <c r="I985" i="5"/>
  <c r="C986" i="5"/>
  <c r="I986" i="5"/>
  <c r="C987" i="5"/>
  <c r="I987" i="5"/>
  <c r="C988" i="5"/>
  <c r="I988" i="5"/>
  <c r="C989" i="5"/>
  <c r="I989" i="5"/>
  <c r="C990" i="5"/>
  <c r="I990" i="5" s="1"/>
  <c r="C991" i="5"/>
  <c r="I991" i="5"/>
  <c r="C992" i="5"/>
  <c r="I992" i="5"/>
  <c r="C993" i="5"/>
  <c r="I993" i="5"/>
  <c r="C994" i="5"/>
  <c r="I994" i="5"/>
  <c r="C995" i="5"/>
  <c r="I995" i="5"/>
  <c r="C996" i="5"/>
  <c r="I996" i="5" s="1"/>
  <c r="C997" i="5"/>
  <c r="I997" i="5"/>
  <c r="C998" i="5"/>
  <c r="I998" i="5"/>
  <c r="C999" i="5"/>
  <c r="I999" i="5"/>
  <c r="C1000" i="5"/>
  <c r="I1000" i="5"/>
  <c r="C1001" i="5"/>
  <c r="I1001" i="5"/>
  <c r="C1002" i="5"/>
  <c r="I1002" i="5" s="1"/>
  <c r="C1003" i="5"/>
  <c r="I1003" i="5"/>
  <c r="C1004" i="5"/>
  <c r="I1004" i="5"/>
  <c r="C1005" i="5"/>
  <c r="I1005" i="5"/>
  <c r="C1006" i="5"/>
  <c r="I1006" i="5"/>
  <c r="C1007" i="5"/>
  <c r="I1007" i="5"/>
  <c r="C1008" i="5"/>
  <c r="I1008" i="5" s="1"/>
  <c r="C1009" i="5"/>
  <c r="I1009" i="5"/>
  <c r="C1010" i="5"/>
  <c r="I1010" i="5"/>
  <c r="C1011" i="5"/>
  <c r="I1011" i="5"/>
  <c r="C1012" i="5"/>
  <c r="I1012" i="5"/>
  <c r="C1013" i="5"/>
  <c r="I1013" i="5"/>
  <c r="C1014" i="5"/>
  <c r="I1014" i="5" s="1"/>
  <c r="C1015" i="5"/>
  <c r="I1015" i="5"/>
  <c r="C1016" i="5"/>
  <c r="I1016" i="5"/>
  <c r="C1017" i="5"/>
  <c r="I1017" i="5"/>
  <c r="C1018" i="5"/>
  <c r="I1018" i="5"/>
  <c r="C1019" i="5"/>
  <c r="I1019" i="5"/>
  <c r="C1020" i="5"/>
  <c r="I1020" i="5" s="1"/>
  <c r="C1021" i="5"/>
  <c r="I1021" i="5"/>
  <c r="C1022" i="5"/>
  <c r="I1022" i="5"/>
  <c r="C1023" i="5"/>
  <c r="I1023" i="5"/>
  <c r="C1024" i="5"/>
  <c r="I1024" i="5"/>
  <c r="C1025" i="5"/>
  <c r="I1025" i="5"/>
  <c r="C1026" i="5"/>
  <c r="I1026" i="5" s="1"/>
  <c r="C1027" i="5"/>
  <c r="I1027" i="5"/>
  <c r="C1028" i="5"/>
  <c r="I1028" i="5"/>
  <c r="C1029" i="5"/>
  <c r="I1029" i="5"/>
  <c r="C1030" i="5"/>
  <c r="I1030" i="5"/>
  <c r="C1031" i="5"/>
  <c r="I1031" i="5"/>
  <c r="C1032" i="5"/>
  <c r="I1032" i="5" s="1"/>
  <c r="C1033" i="5"/>
  <c r="I1033" i="5"/>
  <c r="C1034" i="5"/>
  <c r="I1034" i="5"/>
  <c r="C1035" i="5"/>
  <c r="I1035" i="5"/>
  <c r="C1036" i="5"/>
  <c r="I1036" i="5"/>
  <c r="C1037" i="5"/>
  <c r="I1037" i="5"/>
  <c r="C1038" i="5"/>
  <c r="I1038" i="5" s="1"/>
  <c r="C1039" i="5"/>
  <c r="I1039" i="5"/>
  <c r="C1040" i="5"/>
  <c r="I1040" i="5"/>
  <c r="C1041" i="5"/>
  <c r="I1041" i="5"/>
  <c r="C1042" i="5"/>
  <c r="I1042" i="5"/>
  <c r="C1043" i="5"/>
  <c r="I1043" i="5"/>
  <c r="C1044" i="5"/>
  <c r="I1044" i="5" s="1"/>
  <c r="C1045" i="5"/>
  <c r="I1045" i="5"/>
  <c r="C1046" i="5"/>
  <c r="I1046" i="5"/>
  <c r="C1047" i="5"/>
  <c r="I1047" i="5"/>
  <c r="C1048" i="5"/>
  <c r="I1048" i="5"/>
  <c r="C1049" i="5"/>
  <c r="I1049" i="5"/>
  <c r="C1050" i="5"/>
  <c r="I1050" i="5" s="1"/>
  <c r="C1051" i="5"/>
  <c r="I1051" i="5"/>
  <c r="C1052" i="5"/>
  <c r="I1052" i="5"/>
  <c r="C1053" i="5"/>
  <c r="I1053" i="5"/>
  <c r="C1054" i="5"/>
  <c r="I1054" i="5"/>
  <c r="C1055" i="5"/>
  <c r="I1055" i="5"/>
  <c r="C1056" i="5"/>
  <c r="I1056" i="5" s="1"/>
  <c r="C1057" i="5"/>
  <c r="I1057" i="5"/>
  <c r="C1058" i="5"/>
  <c r="I1058" i="5"/>
  <c r="C1059" i="5"/>
  <c r="I1059" i="5"/>
  <c r="C1060" i="5"/>
  <c r="I1060" i="5"/>
  <c r="C1061" i="5"/>
  <c r="I1061" i="5"/>
  <c r="C1062" i="5"/>
  <c r="I1062" i="5" s="1"/>
  <c r="C1063" i="5"/>
  <c r="I1063" i="5"/>
  <c r="C1064" i="5"/>
  <c r="I1064" i="5"/>
  <c r="C1065" i="5"/>
  <c r="I1065" i="5"/>
  <c r="C1066" i="5"/>
  <c r="I1066" i="5"/>
  <c r="C1067" i="5"/>
  <c r="I1067" i="5"/>
  <c r="C1068" i="5"/>
  <c r="I1068" i="5" s="1"/>
  <c r="C1069" i="5"/>
  <c r="I1069" i="5"/>
  <c r="C1070" i="5"/>
  <c r="I1070" i="5"/>
  <c r="C1071" i="5"/>
  <c r="I1071" i="5"/>
  <c r="C1072" i="5"/>
  <c r="I1072" i="5"/>
  <c r="C1073" i="5"/>
  <c r="I1073" i="5"/>
  <c r="C1074" i="5"/>
  <c r="I1074" i="5" s="1"/>
  <c r="C1075" i="5"/>
  <c r="I1075" i="5"/>
  <c r="C1076" i="5"/>
  <c r="I1076" i="5"/>
  <c r="C1077" i="5"/>
  <c r="I1077" i="5"/>
  <c r="C1078" i="5"/>
  <c r="I1078" i="5"/>
  <c r="C1079" i="5"/>
  <c r="I1079" i="5"/>
  <c r="C1080" i="5"/>
  <c r="I1080" i="5" s="1"/>
  <c r="C1081" i="5"/>
  <c r="I1081" i="5"/>
  <c r="C629" i="3"/>
  <c r="L629" i="3"/>
  <c r="N629" i="3" s="1"/>
  <c r="O629" i="3" s="1"/>
  <c r="Q629" i="3" s="1"/>
  <c r="M629" i="3"/>
  <c r="P629" i="3" s="1"/>
  <c r="V629" i="3"/>
  <c r="AB629" i="3"/>
  <c r="AC629" i="3"/>
  <c r="C630" i="3"/>
  <c r="L630" i="3"/>
  <c r="M630" i="3"/>
  <c r="V630" i="3"/>
  <c r="AB630" i="3"/>
  <c r="AC630" i="3"/>
  <c r="AF630" i="3" s="1"/>
  <c r="C631" i="3"/>
  <c r="L631" i="3"/>
  <c r="O631" i="3"/>
  <c r="M631" i="3"/>
  <c r="N631" i="3" s="1"/>
  <c r="P631" i="3"/>
  <c r="V631" i="3"/>
  <c r="AB631" i="3"/>
  <c r="AC631" i="3"/>
  <c r="C632" i="3"/>
  <c r="L632" i="3"/>
  <c r="M632" i="3"/>
  <c r="V632" i="3"/>
  <c r="AB632" i="3"/>
  <c r="AC632" i="3"/>
  <c r="AF632" i="3"/>
  <c r="C633" i="3"/>
  <c r="L633" i="3"/>
  <c r="M633" i="3"/>
  <c r="P633" i="3" s="1"/>
  <c r="V633" i="3"/>
  <c r="AB633" i="3"/>
  <c r="AC633" i="3"/>
  <c r="AF633" i="3" s="1"/>
  <c r="C634" i="3"/>
  <c r="L634" i="3"/>
  <c r="M634" i="3"/>
  <c r="P634" i="3"/>
  <c r="V634" i="3"/>
  <c r="AB634" i="3"/>
  <c r="AC634" i="3"/>
  <c r="AF634" i="3" s="1"/>
  <c r="C635" i="3"/>
  <c r="L635" i="3"/>
  <c r="N635" i="3" s="1"/>
  <c r="O635" i="3" s="1"/>
  <c r="M635" i="3"/>
  <c r="P635" i="3" s="1"/>
  <c r="Q635" i="3" s="1"/>
  <c r="V635" i="3"/>
  <c r="AB635" i="3"/>
  <c r="AC635" i="3"/>
  <c r="C636" i="3"/>
  <c r="L636" i="3"/>
  <c r="M636" i="3"/>
  <c r="V636" i="3"/>
  <c r="AB636" i="3"/>
  <c r="AC636" i="3"/>
  <c r="AF636" i="3" s="1"/>
  <c r="C637" i="3"/>
  <c r="L637" i="3"/>
  <c r="M637" i="3"/>
  <c r="P637" i="3" s="1"/>
  <c r="V637" i="3"/>
  <c r="AB637" i="3"/>
  <c r="AC637" i="3"/>
  <c r="AF637" i="3" s="1"/>
  <c r="C638" i="3"/>
  <c r="L638" i="3"/>
  <c r="M638" i="3"/>
  <c r="V638" i="3"/>
  <c r="AB638" i="3"/>
  <c r="AC638" i="3"/>
  <c r="C639" i="3"/>
  <c r="L639" i="3"/>
  <c r="M639" i="3"/>
  <c r="V639" i="3"/>
  <c r="AB639" i="3"/>
  <c r="AC639" i="3"/>
  <c r="AF639" i="3"/>
  <c r="C640" i="3"/>
  <c r="L640" i="3"/>
  <c r="M640" i="3"/>
  <c r="V640" i="3"/>
  <c r="AB640" i="3"/>
  <c r="AC640" i="3"/>
  <c r="AF640" i="3"/>
  <c r="C641" i="3"/>
  <c r="L641" i="3"/>
  <c r="M641" i="3"/>
  <c r="V641" i="3"/>
  <c r="AB641" i="3"/>
  <c r="AC641" i="3"/>
  <c r="AF641" i="3" s="1"/>
  <c r="C642" i="3"/>
  <c r="L642" i="3"/>
  <c r="M642" i="3"/>
  <c r="P642" i="3" s="1"/>
  <c r="V642" i="3"/>
  <c r="AB642" i="3"/>
  <c r="AC642" i="3"/>
  <c r="AF642" i="3" s="1"/>
  <c r="C643" i="3"/>
  <c r="L643" i="3"/>
  <c r="M643" i="3"/>
  <c r="P643" i="3"/>
  <c r="V643" i="3"/>
  <c r="AB643" i="3"/>
  <c r="AD643" i="3" s="1"/>
  <c r="AE643" i="3" s="1"/>
  <c r="AC643" i="3"/>
  <c r="AF643" i="3" s="1"/>
  <c r="C644" i="3"/>
  <c r="L644" i="3"/>
  <c r="M644" i="3"/>
  <c r="V644" i="3"/>
  <c r="AB644" i="3"/>
  <c r="AC644" i="3"/>
  <c r="C645" i="3"/>
  <c r="L645" i="3"/>
  <c r="M645" i="3"/>
  <c r="V645" i="3"/>
  <c r="AB645" i="3"/>
  <c r="AC645" i="3"/>
  <c r="C646" i="3"/>
  <c r="L646" i="3"/>
  <c r="M646" i="3"/>
  <c r="P646" i="3" s="1"/>
  <c r="V646" i="3"/>
  <c r="AB646" i="3"/>
  <c r="AC646" i="3"/>
  <c r="C647" i="3"/>
  <c r="L647" i="3"/>
  <c r="M647" i="3"/>
  <c r="P647" i="3" s="1"/>
  <c r="V647" i="3"/>
  <c r="AB647" i="3"/>
  <c r="AC647" i="3"/>
  <c r="AF647" i="3"/>
  <c r="C648" i="3"/>
  <c r="L648" i="3"/>
  <c r="M648" i="3"/>
  <c r="P648" i="3"/>
  <c r="V648" i="3"/>
  <c r="AB648" i="3"/>
  <c r="AD648" i="3" s="1"/>
  <c r="AE648" i="3" s="1"/>
  <c r="AC648" i="3"/>
  <c r="C649" i="3"/>
  <c r="L649" i="3"/>
  <c r="M649" i="3"/>
  <c r="P649" i="3" s="1"/>
  <c r="N649" i="3"/>
  <c r="O649" i="3" s="1"/>
  <c r="V649" i="3"/>
  <c r="AB649" i="3"/>
  <c r="AC649" i="3"/>
  <c r="AF649" i="3"/>
  <c r="C650" i="3"/>
  <c r="L650" i="3"/>
  <c r="M650" i="3"/>
  <c r="V650" i="3"/>
  <c r="AB650" i="3"/>
  <c r="AC650" i="3"/>
  <c r="AF650" i="3" s="1"/>
  <c r="C651" i="3"/>
  <c r="L651" i="3"/>
  <c r="M651" i="3"/>
  <c r="P651" i="3" s="1"/>
  <c r="V651" i="3"/>
  <c r="AB651" i="3"/>
  <c r="AC651" i="3"/>
  <c r="AF651" i="3"/>
  <c r="C652" i="3"/>
  <c r="L652" i="3"/>
  <c r="M652" i="3"/>
  <c r="P652" i="3"/>
  <c r="V652" i="3"/>
  <c r="AB652" i="3"/>
  <c r="AC652" i="3"/>
  <c r="AF652" i="3" s="1"/>
  <c r="C653" i="3"/>
  <c r="L653" i="3"/>
  <c r="M653" i="3"/>
  <c r="P653" i="3"/>
  <c r="V653" i="3"/>
  <c r="AB653" i="3"/>
  <c r="AC653" i="3"/>
  <c r="C654" i="3"/>
  <c r="L654" i="3"/>
  <c r="M654" i="3"/>
  <c r="N654" i="3" s="1"/>
  <c r="O654" i="3" s="1"/>
  <c r="P654" i="3"/>
  <c r="V654" i="3"/>
  <c r="AB654" i="3"/>
  <c r="AC654" i="3"/>
  <c r="C655" i="3"/>
  <c r="L655" i="3"/>
  <c r="M655" i="3"/>
  <c r="P655" i="3" s="1"/>
  <c r="V655" i="3"/>
  <c r="AB655" i="3"/>
  <c r="AC655" i="3"/>
  <c r="C656" i="3"/>
  <c r="L656" i="3"/>
  <c r="M656" i="3"/>
  <c r="P656" i="3" s="1"/>
  <c r="V656" i="3"/>
  <c r="AB656" i="3"/>
  <c r="AC656" i="3"/>
  <c r="AF656" i="3" s="1"/>
  <c r="C657" i="3"/>
  <c r="L657" i="3"/>
  <c r="M657" i="3"/>
  <c r="P657" i="3"/>
  <c r="V657" i="3"/>
  <c r="AB657" i="3"/>
  <c r="AC657" i="3"/>
  <c r="C658" i="3"/>
  <c r="L658" i="3"/>
  <c r="M658" i="3"/>
  <c r="V658" i="3"/>
  <c r="AB658" i="3"/>
  <c r="AC658" i="3"/>
  <c r="AF658" i="3" s="1"/>
  <c r="C659" i="3"/>
  <c r="L659" i="3"/>
  <c r="M659" i="3"/>
  <c r="P659" i="3"/>
  <c r="V659" i="3"/>
  <c r="AB659" i="3"/>
  <c r="AD659" i="3" s="1"/>
  <c r="AE659" i="3" s="1"/>
  <c r="AC659" i="3"/>
  <c r="AF659" i="3"/>
  <c r="C660" i="3"/>
  <c r="L660" i="3"/>
  <c r="M660" i="3"/>
  <c r="P660" i="3" s="1"/>
  <c r="V660" i="3"/>
  <c r="AB660" i="3"/>
  <c r="AC660" i="3"/>
  <c r="C661" i="3"/>
  <c r="L661" i="3"/>
  <c r="M661" i="3"/>
  <c r="P661" i="3"/>
  <c r="V661" i="3"/>
  <c r="AB661" i="3"/>
  <c r="AC661" i="3"/>
  <c r="C662" i="3"/>
  <c r="L662" i="3"/>
  <c r="M662" i="3"/>
  <c r="V662" i="3"/>
  <c r="AB662" i="3"/>
  <c r="AC662" i="3"/>
  <c r="C663" i="3"/>
  <c r="L663" i="3"/>
  <c r="M663" i="3"/>
  <c r="V663" i="3"/>
  <c r="AB663" i="3"/>
  <c r="AC663" i="3"/>
  <c r="AF663" i="3" s="1"/>
  <c r="C664" i="3"/>
  <c r="L664" i="3"/>
  <c r="M664" i="3"/>
  <c r="P664" i="3" s="1"/>
  <c r="V664" i="3"/>
  <c r="AB664" i="3"/>
  <c r="AC664" i="3"/>
  <c r="AF664" i="3" s="1"/>
  <c r="C665" i="3"/>
  <c r="L665" i="3"/>
  <c r="M665" i="3"/>
  <c r="V665" i="3"/>
  <c r="AB665" i="3"/>
  <c r="AC665" i="3"/>
  <c r="C666" i="3"/>
  <c r="L666" i="3"/>
  <c r="M666" i="3"/>
  <c r="P666" i="3" s="1"/>
  <c r="V666" i="3"/>
  <c r="AB666" i="3"/>
  <c r="AD666" i="3" s="1"/>
  <c r="AE666" i="3" s="1"/>
  <c r="AC666" i="3"/>
  <c r="AF666" i="3"/>
  <c r="C667" i="3"/>
  <c r="L667" i="3"/>
  <c r="N667" i="3"/>
  <c r="O667" i="3" s="1"/>
  <c r="Q667" i="3" s="1"/>
  <c r="M667" i="3"/>
  <c r="P667" i="3"/>
  <c r="V667" i="3"/>
  <c r="AB667" i="3"/>
  <c r="AC667" i="3"/>
  <c r="AF667" i="3" s="1"/>
  <c r="C668" i="3"/>
  <c r="L668" i="3"/>
  <c r="M668" i="3"/>
  <c r="N668" i="3" s="1"/>
  <c r="O668" i="3" s="1"/>
  <c r="P668" i="3"/>
  <c r="V668" i="3"/>
  <c r="AB668" i="3"/>
  <c r="AC668" i="3"/>
  <c r="AF668" i="3" s="1"/>
  <c r="C669" i="3"/>
  <c r="L669" i="3"/>
  <c r="M669" i="3"/>
  <c r="P669" i="3" s="1"/>
  <c r="V669" i="3"/>
  <c r="AB669" i="3"/>
  <c r="AC669" i="3"/>
  <c r="AF669" i="3"/>
  <c r="C670" i="3"/>
  <c r="L670" i="3"/>
  <c r="M670" i="3"/>
  <c r="P670" i="3" s="1"/>
  <c r="V670" i="3"/>
  <c r="AB670" i="3"/>
  <c r="AC670" i="3"/>
  <c r="AF670" i="3" s="1"/>
  <c r="C671" i="3"/>
  <c r="L671" i="3"/>
  <c r="N671" i="3" s="1"/>
  <c r="O671" i="3" s="1"/>
  <c r="Q671" i="3" s="1"/>
  <c r="M671" i="3"/>
  <c r="P671" i="3"/>
  <c r="V671" i="3"/>
  <c r="AB671" i="3"/>
  <c r="AD671" i="3" s="1"/>
  <c r="AE671" i="3" s="1"/>
  <c r="AG671" i="3" s="1"/>
  <c r="AM671" i="3" s="1"/>
  <c r="AC671" i="3"/>
  <c r="AF671" i="3" s="1"/>
  <c r="C672" i="3"/>
  <c r="L672" i="3"/>
  <c r="M672" i="3"/>
  <c r="N672" i="3"/>
  <c r="O672" i="3" s="1"/>
  <c r="V672" i="3"/>
  <c r="AB672" i="3"/>
  <c r="AC672" i="3"/>
  <c r="AF672" i="3" s="1"/>
  <c r="C673" i="3"/>
  <c r="L673" i="3"/>
  <c r="M673" i="3"/>
  <c r="P673" i="3"/>
  <c r="V673" i="3"/>
  <c r="AB673" i="3"/>
  <c r="AC673" i="3"/>
  <c r="AF673" i="3" s="1"/>
  <c r="C674" i="3"/>
  <c r="L674" i="3"/>
  <c r="M674" i="3"/>
  <c r="P674" i="3" s="1"/>
  <c r="V674" i="3"/>
  <c r="AB674" i="3"/>
  <c r="AC674" i="3"/>
  <c r="AF674" i="3"/>
  <c r="C675" i="3"/>
  <c r="L675" i="3"/>
  <c r="M675" i="3"/>
  <c r="V675" i="3"/>
  <c r="AB675" i="3"/>
  <c r="AC675" i="3"/>
  <c r="AF675" i="3" s="1"/>
  <c r="C676" i="3"/>
  <c r="L676" i="3"/>
  <c r="M676" i="3"/>
  <c r="V676" i="3"/>
  <c r="AB676" i="3"/>
  <c r="AC676" i="3"/>
  <c r="AF676" i="3" s="1"/>
  <c r="C677" i="3"/>
  <c r="L677" i="3"/>
  <c r="M677" i="3"/>
  <c r="P677" i="3"/>
  <c r="V677" i="3"/>
  <c r="AB677" i="3"/>
  <c r="AC677" i="3"/>
  <c r="C678" i="3"/>
  <c r="L678" i="3"/>
  <c r="M678" i="3"/>
  <c r="P678" i="3" s="1"/>
  <c r="V678" i="3"/>
  <c r="AB678" i="3"/>
  <c r="AC678" i="3"/>
  <c r="AF678" i="3" s="1"/>
  <c r="C679" i="3"/>
  <c r="L679" i="3"/>
  <c r="M679" i="3"/>
  <c r="P679" i="3" s="1"/>
  <c r="V679" i="3"/>
  <c r="AB679" i="3"/>
  <c r="AC679" i="3"/>
  <c r="C680" i="3"/>
  <c r="L680" i="3"/>
  <c r="N680" i="3"/>
  <c r="O680" i="3" s="1"/>
  <c r="M680" i="3"/>
  <c r="P680" i="3" s="1"/>
  <c r="V680" i="3"/>
  <c r="AB680" i="3"/>
  <c r="AC680" i="3"/>
  <c r="AF680" i="3" s="1"/>
  <c r="C681" i="3"/>
  <c r="L681" i="3"/>
  <c r="M681" i="3"/>
  <c r="N681" i="3" s="1"/>
  <c r="O681" i="3" s="1"/>
  <c r="V681" i="3"/>
  <c r="AB681" i="3"/>
  <c r="AC681" i="3"/>
  <c r="AF681" i="3"/>
  <c r="C682" i="3"/>
  <c r="L682" i="3"/>
  <c r="M682" i="3"/>
  <c r="P682" i="3"/>
  <c r="V682" i="3"/>
  <c r="AB682" i="3"/>
  <c r="AC682" i="3"/>
  <c r="C683" i="3"/>
  <c r="L683" i="3"/>
  <c r="M683" i="3"/>
  <c r="V683" i="3"/>
  <c r="AB683" i="3"/>
  <c r="AC683" i="3"/>
  <c r="C684" i="3"/>
  <c r="L684" i="3"/>
  <c r="M684" i="3"/>
  <c r="P684" i="3"/>
  <c r="V684" i="3"/>
  <c r="AB684" i="3"/>
  <c r="AC684" i="3"/>
  <c r="AF684" i="3" s="1"/>
  <c r="C685" i="3"/>
  <c r="L685" i="3"/>
  <c r="M685" i="3"/>
  <c r="P685" i="3" s="1"/>
  <c r="V685" i="3"/>
  <c r="AB685" i="3"/>
  <c r="AC685" i="3"/>
  <c r="AF685" i="3" s="1"/>
  <c r="C686" i="3"/>
  <c r="L686" i="3"/>
  <c r="N686" i="3" s="1"/>
  <c r="O686" i="3" s="1"/>
  <c r="Q686" i="3" s="1"/>
  <c r="M686" i="3"/>
  <c r="P686" i="3"/>
  <c r="V686" i="3"/>
  <c r="AB686" i="3"/>
  <c r="AC686" i="3"/>
  <c r="AF686" i="3" s="1"/>
  <c r="C687" i="3"/>
  <c r="L687" i="3"/>
  <c r="M687" i="3"/>
  <c r="P687" i="3"/>
  <c r="V687" i="3"/>
  <c r="AB687" i="3"/>
  <c r="AC687" i="3"/>
  <c r="AF687" i="3" s="1"/>
  <c r="C688" i="3"/>
  <c r="L688" i="3"/>
  <c r="M688" i="3"/>
  <c r="V688" i="3"/>
  <c r="AB688" i="3"/>
  <c r="AC688" i="3"/>
  <c r="C689" i="3"/>
  <c r="L689" i="3"/>
  <c r="M689" i="3"/>
  <c r="P689" i="3"/>
  <c r="V689" i="3"/>
  <c r="AB689" i="3"/>
  <c r="AC689" i="3"/>
  <c r="AF689" i="3" s="1"/>
  <c r="C690" i="3"/>
  <c r="L690" i="3"/>
  <c r="M690" i="3"/>
  <c r="P690" i="3" s="1"/>
  <c r="V690" i="3"/>
  <c r="AB690" i="3"/>
  <c r="AD690" i="3" s="1"/>
  <c r="AE690" i="3" s="1"/>
  <c r="AC690" i="3"/>
  <c r="AF690" i="3" s="1"/>
  <c r="C691" i="3"/>
  <c r="L691" i="3"/>
  <c r="M691" i="3"/>
  <c r="P691" i="3" s="1"/>
  <c r="V691" i="3"/>
  <c r="AB691" i="3"/>
  <c r="AC691" i="3"/>
  <c r="C692" i="3"/>
  <c r="L692" i="3"/>
  <c r="M692" i="3"/>
  <c r="P692" i="3"/>
  <c r="V692" i="3"/>
  <c r="AB692" i="3"/>
  <c r="AC692" i="3"/>
  <c r="AF692" i="3" s="1"/>
  <c r="C693" i="3"/>
  <c r="L693" i="3"/>
  <c r="M693" i="3"/>
  <c r="P693" i="3"/>
  <c r="V693" i="3"/>
  <c r="AB693" i="3"/>
  <c r="AC693" i="3"/>
  <c r="C694" i="3"/>
  <c r="L694" i="3"/>
  <c r="M694" i="3"/>
  <c r="P694" i="3" s="1"/>
  <c r="V694" i="3"/>
  <c r="AB694" i="3"/>
  <c r="AC694" i="3"/>
  <c r="C695" i="3"/>
  <c r="L695" i="3"/>
  <c r="M695" i="3"/>
  <c r="P695" i="3" s="1"/>
  <c r="V695" i="3"/>
  <c r="AB695" i="3"/>
  <c r="AC695" i="3"/>
  <c r="AF695" i="3"/>
  <c r="C696" i="3"/>
  <c r="L696" i="3"/>
  <c r="M696" i="3"/>
  <c r="P696" i="3"/>
  <c r="V696" i="3"/>
  <c r="AB696" i="3"/>
  <c r="AC696" i="3"/>
  <c r="AF696" i="3" s="1"/>
  <c r="C697" i="3"/>
  <c r="L697" i="3"/>
  <c r="M697" i="3"/>
  <c r="P697" i="3"/>
  <c r="V697" i="3"/>
  <c r="AB697" i="3"/>
  <c r="AC697" i="3"/>
  <c r="AF697" i="3" s="1"/>
  <c r="C698" i="3"/>
  <c r="L698" i="3"/>
  <c r="M698" i="3"/>
  <c r="P698" i="3" s="1"/>
  <c r="V698" i="3"/>
  <c r="AB698" i="3"/>
  <c r="AC698" i="3"/>
  <c r="AF698" i="3"/>
  <c r="C699" i="3"/>
  <c r="L699" i="3"/>
  <c r="M699" i="3"/>
  <c r="N699" i="3" s="1"/>
  <c r="O699" i="3" s="1"/>
  <c r="P699" i="3"/>
  <c r="V699" i="3"/>
  <c r="AB699" i="3"/>
  <c r="AC699" i="3"/>
  <c r="AF699" i="3"/>
  <c r="C700" i="3"/>
  <c r="L700" i="3"/>
  <c r="M700" i="3"/>
  <c r="P700" i="3"/>
  <c r="V700" i="3"/>
  <c r="AB700" i="3"/>
  <c r="AC700" i="3"/>
  <c r="AF700" i="3"/>
  <c r="C701" i="3"/>
  <c r="L701" i="3"/>
  <c r="M701" i="3"/>
  <c r="P701" i="3"/>
  <c r="V701" i="3"/>
  <c r="AB701" i="3"/>
  <c r="AC701" i="3"/>
  <c r="C702" i="3"/>
  <c r="L702" i="3"/>
  <c r="M702" i="3"/>
  <c r="P702" i="3"/>
  <c r="V702" i="3"/>
  <c r="AB702" i="3"/>
  <c r="AC702" i="3"/>
  <c r="AF702" i="3"/>
  <c r="C703" i="3"/>
  <c r="L703" i="3"/>
  <c r="M703" i="3"/>
  <c r="V703" i="3"/>
  <c r="AB703" i="3"/>
  <c r="AC703" i="3"/>
  <c r="AF703" i="3" s="1"/>
  <c r="C704" i="3"/>
  <c r="L704" i="3"/>
  <c r="M704" i="3"/>
  <c r="P704" i="3"/>
  <c r="V704" i="3"/>
  <c r="AB704" i="3"/>
  <c r="AC704" i="3"/>
  <c r="AF704" i="3" s="1"/>
  <c r="C705" i="3"/>
  <c r="L705" i="3"/>
  <c r="M705" i="3"/>
  <c r="P705" i="3" s="1"/>
  <c r="V705" i="3"/>
  <c r="AB705" i="3"/>
  <c r="AC705" i="3"/>
  <c r="C706" i="3"/>
  <c r="L706" i="3"/>
  <c r="M706" i="3"/>
  <c r="V706" i="3"/>
  <c r="AB706" i="3"/>
  <c r="AC706" i="3"/>
  <c r="AF706" i="3" s="1"/>
  <c r="C707" i="3"/>
  <c r="L707" i="3"/>
  <c r="M707" i="3"/>
  <c r="P707" i="3"/>
  <c r="V707" i="3"/>
  <c r="AB707" i="3"/>
  <c r="AC707" i="3"/>
  <c r="AF707" i="3"/>
  <c r="C708" i="3"/>
  <c r="L708" i="3"/>
  <c r="M708" i="3"/>
  <c r="P708" i="3" s="1"/>
  <c r="V708" i="3"/>
  <c r="AB708" i="3"/>
  <c r="AC708" i="3"/>
  <c r="AF708" i="3" s="1"/>
  <c r="C709" i="3"/>
  <c r="L709" i="3"/>
  <c r="M709" i="3"/>
  <c r="P709" i="3"/>
  <c r="V709" i="3"/>
  <c r="AB709" i="3"/>
  <c r="AC709" i="3"/>
  <c r="C710" i="3"/>
  <c r="L710" i="3"/>
  <c r="N710" i="3" s="1"/>
  <c r="O710" i="3" s="1"/>
  <c r="M710" i="3"/>
  <c r="V710" i="3"/>
  <c r="AB710" i="3"/>
  <c r="AC710" i="3"/>
  <c r="AF710" i="3" s="1"/>
  <c r="C711" i="3"/>
  <c r="L711" i="3"/>
  <c r="M711" i="3"/>
  <c r="P711" i="3" s="1"/>
  <c r="V711" i="3"/>
  <c r="AB711" i="3"/>
  <c r="AC711" i="3"/>
  <c r="AF711" i="3"/>
  <c r="C712" i="3"/>
  <c r="L712" i="3"/>
  <c r="M712" i="3"/>
  <c r="N712" i="3" s="1"/>
  <c r="P712" i="3"/>
  <c r="V712" i="3"/>
  <c r="AB712" i="3"/>
  <c r="AC712" i="3"/>
  <c r="AF712" i="3" s="1"/>
  <c r="C713" i="3"/>
  <c r="L713" i="3"/>
  <c r="M713" i="3"/>
  <c r="P713" i="3"/>
  <c r="V713" i="3"/>
  <c r="AB713" i="3"/>
  <c r="AC713" i="3"/>
  <c r="AF713" i="3"/>
  <c r="C714" i="3"/>
  <c r="L714" i="3"/>
  <c r="M714" i="3"/>
  <c r="P714" i="3" s="1"/>
  <c r="V714" i="3"/>
  <c r="AB714" i="3"/>
  <c r="AC714" i="3"/>
  <c r="AF714" i="3" s="1"/>
  <c r="C715" i="3"/>
  <c r="L715" i="3"/>
  <c r="M715" i="3"/>
  <c r="P715" i="3" s="1"/>
  <c r="V715" i="3"/>
  <c r="AB715" i="3"/>
  <c r="AC715" i="3"/>
  <c r="AF715" i="3" s="1"/>
  <c r="C716" i="3"/>
  <c r="L716" i="3"/>
  <c r="M716" i="3"/>
  <c r="P716" i="3"/>
  <c r="V716" i="3"/>
  <c r="AB716" i="3"/>
  <c r="AC716" i="3"/>
  <c r="C717" i="3"/>
  <c r="L717" i="3"/>
  <c r="M717" i="3"/>
  <c r="P717" i="3"/>
  <c r="V717" i="3"/>
  <c r="AB717" i="3"/>
  <c r="AC717" i="3"/>
  <c r="AF717" i="3" s="1"/>
  <c r="C718" i="3"/>
  <c r="L718" i="3"/>
  <c r="M718" i="3"/>
  <c r="P718" i="3"/>
  <c r="V718" i="3"/>
  <c r="AB718" i="3"/>
  <c r="AC718" i="3"/>
  <c r="AF718" i="3" s="1"/>
  <c r="C719" i="3"/>
  <c r="L719" i="3"/>
  <c r="M719" i="3"/>
  <c r="P719" i="3" s="1"/>
  <c r="V719" i="3"/>
  <c r="AB719" i="3"/>
  <c r="AD719" i="3" s="1"/>
  <c r="AE719" i="3" s="1"/>
  <c r="AC719" i="3"/>
  <c r="AF719" i="3"/>
  <c r="C720" i="3"/>
  <c r="L720" i="3"/>
  <c r="M720" i="3"/>
  <c r="P720" i="3" s="1"/>
  <c r="V720" i="3"/>
  <c r="AB720" i="3"/>
  <c r="AC720" i="3"/>
  <c r="AF720" i="3" s="1"/>
  <c r="C721" i="3"/>
  <c r="L721" i="3"/>
  <c r="M721" i="3"/>
  <c r="P721" i="3"/>
  <c r="V721" i="3"/>
  <c r="AB721" i="3"/>
  <c r="AC721" i="3"/>
  <c r="AF721" i="3" s="1"/>
  <c r="C722" i="3"/>
  <c r="L722" i="3"/>
  <c r="M722" i="3"/>
  <c r="P722" i="3" s="1"/>
  <c r="V722" i="3"/>
  <c r="AB722" i="3"/>
  <c r="AC722" i="3"/>
  <c r="C723" i="3"/>
  <c r="L723" i="3"/>
  <c r="M723" i="3"/>
  <c r="P723" i="3" s="1"/>
  <c r="V723" i="3"/>
  <c r="AB723" i="3"/>
  <c r="AC723" i="3"/>
  <c r="AF723" i="3"/>
  <c r="C724" i="3"/>
  <c r="L724" i="3"/>
  <c r="N724" i="3" s="1"/>
  <c r="O724" i="3" s="1"/>
  <c r="M724" i="3"/>
  <c r="P724" i="3"/>
  <c r="V724" i="3"/>
  <c r="AB724" i="3"/>
  <c r="AC724" i="3"/>
  <c r="C725" i="3"/>
  <c r="L725" i="3"/>
  <c r="M725" i="3"/>
  <c r="V725" i="3"/>
  <c r="AB725" i="3"/>
  <c r="AC725" i="3"/>
  <c r="AF725" i="3" s="1"/>
  <c r="C726" i="3"/>
  <c r="L726" i="3"/>
  <c r="M726" i="3"/>
  <c r="P726" i="3"/>
  <c r="V726" i="3"/>
  <c r="AB726" i="3"/>
  <c r="AC726" i="3"/>
  <c r="AF726" i="3" s="1"/>
  <c r="C727" i="3"/>
  <c r="L727" i="3"/>
  <c r="M727" i="3"/>
  <c r="P727" i="3"/>
  <c r="V727" i="3"/>
  <c r="AB727" i="3"/>
  <c r="AC727" i="3"/>
  <c r="C728" i="3"/>
  <c r="L728" i="3"/>
  <c r="M728" i="3"/>
  <c r="P728" i="3"/>
  <c r="V728" i="3"/>
  <c r="AB728" i="3"/>
  <c r="AC728" i="3"/>
  <c r="AF728" i="3" s="1"/>
  <c r="C729" i="3"/>
  <c r="L729" i="3"/>
  <c r="M729" i="3"/>
  <c r="P729" i="3"/>
  <c r="V729" i="3"/>
  <c r="AB729" i="3"/>
  <c r="AC729" i="3"/>
  <c r="AF729" i="3" s="1"/>
  <c r="C730" i="3"/>
  <c r="L730" i="3"/>
  <c r="M730" i="3"/>
  <c r="P730" i="3" s="1"/>
  <c r="V730" i="3"/>
  <c r="AB730" i="3"/>
  <c r="AC730" i="3"/>
  <c r="AF730" i="3" s="1"/>
  <c r="C731" i="3"/>
  <c r="L731" i="3"/>
  <c r="M731" i="3"/>
  <c r="P731" i="3"/>
  <c r="V731" i="3"/>
  <c r="AB731" i="3"/>
  <c r="AC731" i="3"/>
  <c r="AF731" i="3" s="1"/>
  <c r="C732" i="3"/>
  <c r="L732" i="3"/>
  <c r="M732" i="3"/>
  <c r="V732" i="3"/>
  <c r="AB732" i="3"/>
  <c r="AC732" i="3"/>
  <c r="C733" i="3"/>
  <c r="L733" i="3"/>
  <c r="M733" i="3"/>
  <c r="N733" i="3" s="1"/>
  <c r="O733" i="3" s="1"/>
  <c r="V733" i="3"/>
  <c r="AB733" i="3"/>
  <c r="AC733" i="3"/>
  <c r="C734" i="3"/>
  <c r="L734" i="3"/>
  <c r="M734" i="3"/>
  <c r="P734" i="3" s="1"/>
  <c r="V734" i="3"/>
  <c r="AB734" i="3"/>
  <c r="AC734" i="3"/>
  <c r="AF734" i="3" s="1"/>
  <c r="C735" i="3"/>
  <c r="L735" i="3"/>
  <c r="M735" i="3"/>
  <c r="V735" i="3"/>
  <c r="AB735" i="3"/>
  <c r="AC735" i="3"/>
  <c r="C736" i="3"/>
  <c r="L736" i="3"/>
  <c r="M736" i="3"/>
  <c r="P736" i="3" s="1"/>
  <c r="V736" i="3"/>
  <c r="AB736" i="3"/>
  <c r="AC736" i="3"/>
  <c r="C737" i="3"/>
  <c r="L737" i="3"/>
  <c r="N737" i="3" s="1"/>
  <c r="O737" i="3" s="1"/>
  <c r="M737" i="3"/>
  <c r="V737" i="3"/>
  <c r="AB737" i="3"/>
  <c r="AC737" i="3"/>
  <c r="AF737" i="3" s="1"/>
  <c r="C738" i="3"/>
  <c r="L738" i="3"/>
  <c r="M738" i="3"/>
  <c r="P738" i="3" s="1"/>
  <c r="V738" i="3"/>
  <c r="AB738" i="3"/>
  <c r="AC738" i="3"/>
  <c r="C739" i="3"/>
  <c r="L739" i="3"/>
  <c r="M739" i="3"/>
  <c r="P739" i="3"/>
  <c r="V739" i="3"/>
  <c r="AB739" i="3"/>
  <c r="AC739" i="3"/>
  <c r="C740" i="3"/>
  <c r="L740" i="3"/>
  <c r="M740" i="3"/>
  <c r="P740" i="3"/>
  <c r="V740" i="3"/>
  <c r="AB740" i="3"/>
  <c r="AC740" i="3"/>
  <c r="C741" i="3"/>
  <c r="L741" i="3"/>
  <c r="M741" i="3"/>
  <c r="V741" i="3"/>
  <c r="AB741" i="3"/>
  <c r="AD741" i="3" s="1"/>
  <c r="AE741" i="3" s="1"/>
  <c r="AC741" i="3"/>
  <c r="AF741" i="3"/>
  <c r="C742" i="3"/>
  <c r="L742" i="3"/>
  <c r="M742" i="3"/>
  <c r="V742" i="3"/>
  <c r="AB742" i="3"/>
  <c r="AD742" i="3" s="1"/>
  <c r="AE742" i="3" s="1"/>
  <c r="AC742" i="3"/>
  <c r="AF742" i="3" s="1"/>
  <c r="C743" i="3"/>
  <c r="L743" i="3"/>
  <c r="M743" i="3"/>
  <c r="P743" i="3"/>
  <c r="V743" i="3"/>
  <c r="AB743" i="3"/>
  <c r="AC743" i="3"/>
  <c r="AF743" i="3" s="1"/>
  <c r="C744" i="3"/>
  <c r="L744" i="3"/>
  <c r="M744" i="3"/>
  <c r="N744" i="3" s="1"/>
  <c r="O744" i="3" s="1"/>
  <c r="V744" i="3"/>
  <c r="AB744" i="3"/>
  <c r="AC744" i="3"/>
  <c r="AF744" i="3" s="1"/>
  <c r="C745" i="3"/>
  <c r="L745" i="3"/>
  <c r="M745" i="3"/>
  <c r="V745" i="3"/>
  <c r="AB745" i="3"/>
  <c r="AC745" i="3"/>
  <c r="AF745" i="3" s="1"/>
  <c r="C746" i="3"/>
  <c r="L746" i="3"/>
  <c r="M746" i="3"/>
  <c r="V746" i="3"/>
  <c r="AB746" i="3"/>
  <c r="AD746" i="3" s="1"/>
  <c r="AE746" i="3" s="1"/>
  <c r="AG746" i="3" s="1"/>
  <c r="AC746" i="3"/>
  <c r="AF746" i="3"/>
  <c r="C747" i="3"/>
  <c r="L747" i="3"/>
  <c r="M747" i="3"/>
  <c r="P747" i="3" s="1"/>
  <c r="V747" i="3"/>
  <c r="AB747" i="3"/>
  <c r="AC747" i="3"/>
  <c r="AF747" i="3" s="1"/>
  <c r="C748" i="3"/>
  <c r="L748" i="3"/>
  <c r="N748" i="3" s="1"/>
  <c r="O748" i="3" s="1"/>
  <c r="M748" i="3"/>
  <c r="P748" i="3"/>
  <c r="V748" i="3"/>
  <c r="AB748" i="3"/>
  <c r="AC748" i="3"/>
  <c r="C749" i="3"/>
  <c r="L749" i="3"/>
  <c r="M749" i="3"/>
  <c r="P749" i="3" s="1"/>
  <c r="V749" i="3"/>
  <c r="AB749" i="3"/>
  <c r="AC749" i="3"/>
  <c r="C750" i="3"/>
  <c r="L750" i="3"/>
  <c r="M750" i="3"/>
  <c r="P750" i="3" s="1"/>
  <c r="V750" i="3"/>
  <c r="AB750" i="3"/>
  <c r="AD750" i="3" s="1"/>
  <c r="AE750" i="3" s="1"/>
  <c r="AC750" i="3"/>
  <c r="AF750" i="3"/>
  <c r="C751" i="3"/>
  <c r="L751" i="3"/>
  <c r="M751" i="3"/>
  <c r="P751" i="3"/>
  <c r="V751" i="3"/>
  <c r="AB751" i="3"/>
  <c r="AC751" i="3"/>
  <c r="C752" i="3"/>
  <c r="L752" i="3"/>
  <c r="M752" i="3"/>
  <c r="P752" i="3" s="1"/>
  <c r="V752" i="3"/>
  <c r="AB752" i="3"/>
  <c r="AC752" i="3"/>
  <c r="C753" i="3"/>
  <c r="L753" i="3"/>
  <c r="M753" i="3"/>
  <c r="P753" i="3" s="1"/>
  <c r="V753" i="3"/>
  <c r="AB753" i="3"/>
  <c r="AC753" i="3"/>
  <c r="C754" i="3"/>
  <c r="L754" i="3"/>
  <c r="M754" i="3"/>
  <c r="P754" i="3" s="1"/>
  <c r="V754" i="3"/>
  <c r="AB754" i="3"/>
  <c r="AC754" i="3"/>
  <c r="C755" i="3"/>
  <c r="L755" i="3"/>
  <c r="M755" i="3"/>
  <c r="P755" i="3"/>
  <c r="V755" i="3"/>
  <c r="AB755" i="3"/>
  <c r="AC755" i="3"/>
  <c r="C756" i="3"/>
  <c r="L756" i="3"/>
  <c r="M756" i="3"/>
  <c r="P756" i="3"/>
  <c r="V756" i="3"/>
  <c r="AB756" i="3"/>
  <c r="AC756" i="3"/>
  <c r="AF756" i="3" s="1"/>
  <c r="C757" i="3"/>
  <c r="L757" i="3"/>
  <c r="N757" i="3"/>
  <c r="O757" i="3" s="1"/>
  <c r="M757" i="3"/>
  <c r="P757" i="3"/>
  <c r="V757" i="3"/>
  <c r="AB757" i="3"/>
  <c r="AC757" i="3"/>
  <c r="AF757" i="3" s="1"/>
  <c r="C758" i="3"/>
  <c r="L758" i="3"/>
  <c r="M758" i="3"/>
  <c r="P758" i="3" s="1"/>
  <c r="V758" i="3"/>
  <c r="AB758" i="3"/>
  <c r="AC758" i="3"/>
  <c r="AF758" i="3" s="1"/>
  <c r="C759" i="3"/>
  <c r="L759" i="3"/>
  <c r="M759" i="3"/>
  <c r="P759" i="3"/>
  <c r="V759" i="3"/>
  <c r="AB759" i="3"/>
  <c r="AC759" i="3"/>
  <c r="C760" i="3"/>
  <c r="L760" i="3"/>
  <c r="M760" i="3"/>
  <c r="V760" i="3"/>
  <c r="AB760" i="3"/>
  <c r="AC760" i="3"/>
  <c r="AF760" i="3" s="1"/>
  <c r="C761" i="3"/>
  <c r="L761" i="3"/>
  <c r="M761" i="3"/>
  <c r="V761" i="3"/>
  <c r="AB761" i="3"/>
  <c r="AC761" i="3"/>
  <c r="AF761" i="3" s="1"/>
  <c r="C762" i="3"/>
  <c r="L762" i="3"/>
  <c r="M762" i="3"/>
  <c r="P762" i="3" s="1"/>
  <c r="V762" i="3"/>
  <c r="AB762" i="3"/>
  <c r="AC762" i="3"/>
  <c r="C763" i="3"/>
  <c r="L763" i="3"/>
  <c r="M763" i="3"/>
  <c r="V763" i="3"/>
  <c r="AB763" i="3"/>
  <c r="AD763" i="3" s="1"/>
  <c r="AE763" i="3" s="1"/>
  <c r="AC763" i="3"/>
  <c r="AF763" i="3" s="1"/>
  <c r="C764" i="3"/>
  <c r="L764" i="3"/>
  <c r="M764" i="3"/>
  <c r="P764" i="3" s="1"/>
  <c r="V764" i="3"/>
  <c r="AB764" i="3"/>
  <c r="AC764" i="3"/>
  <c r="AF764" i="3" s="1"/>
  <c r="C765" i="3"/>
  <c r="L765" i="3"/>
  <c r="M765" i="3"/>
  <c r="V765" i="3"/>
  <c r="AB765" i="3"/>
  <c r="AC765" i="3"/>
  <c r="AF765" i="3" s="1"/>
  <c r="C766" i="3"/>
  <c r="L766" i="3"/>
  <c r="M766" i="3"/>
  <c r="P766" i="3" s="1"/>
  <c r="V766" i="3"/>
  <c r="AB766" i="3"/>
  <c r="AC766" i="3"/>
  <c r="AF766" i="3" s="1"/>
  <c r="C767" i="3"/>
  <c r="L767" i="3"/>
  <c r="N767" i="3"/>
  <c r="O767" i="3" s="1"/>
  <c r="M767" i="3"/>
  <c r="P767" i="3" s="1"/>
  <c r="V767" i="3"/>
  <c r="AB767" i="3"/>
  <c r="AC767" i="3"/>
  <c r="AF767" i="3"/>
  <c r="C768" i="3"/>
  <c r="L768" i="3"/>
  <c r="M768" i="3"/>
  <c r="P768" i="3"/>
  <c r="V768" i="3"/>
  <c r="AB768" i="3"/>
  <c r="AC768" i="3"/>
  <c r="AF768" i="3" s="1"/>
  <c r="C769" i="3"/>
  <c r="L769" i="3"/>
  <c r="M769" i="3"/>
  <c r="P769" i="3"/>
  <c r="V769" i="3"/>
  <c r="AB769" i="3"/>
  <c r="AC769" i="3"/>
  <c r="C770" i="3"/>
  <c r="L770" i="3"/>
  <c r="N770" i="3" s="1"/>
  <c r="O770" i="3" s="1"/>
  <c r="M770" i="3"/>
  <c r="P770" i="3" s="1"/>
  <c r="V770" i="3"/>
  <c r="AB770" i="3"/>
  <c r="AC770" i="3"/>
  <c r="AF770" i="3" s="1"/>
  <c r="C771" i="3"/>
  <c r="L771" i="3"/>
  <c r="M771" i="3"/>
  <c r="P771" i="3"/>
  <c r="V771" i="3"/>
  <c r="AB771" i="3"/>
  <c r="AC771" i="3"/>
  <c r="AF771" i="3" s="1"/>
  <c r="C772" i="3"/>
  <c r="L772" i="3"/>
  <c r="M772" i="3"/>
  <c r="P772" i="3" s="1"/>
  <c r="V772" i="3"/>
  <c r="AB772" i="3"/>
  <c r="AC772" i="3"/>
  <c r="AF772" i="3"/>
  <c r="C773" i="3"/>
  <c r="L773" i="3"/>
  <c r="M773" i="3"/>
  <c r="P773" i="3"/>
  <c r="V773" i="3"/>
  <c r="AB773" i="3"/>
  <c r="AC773" i="3"/>
  <c r="AF773" i="3" s="1"/>
  <c r="C774" i="3"/>
  <c r="L774" i="3"/>
  <c r="M774" i="3"/>
  <c r="P774" i="3"/>
  <c r="V774" i="3"/>
  <c r="AB774" i="3"/>
  <c r="AC774" i="3"/>
  <c r="AF774" i="3" s="1"/>
  <c r="C775" i="3"/>
  <c r="L775" i="3"/>
  <c r="M775" i="3"/>
  <c r="P775" i="3" s="1"/>
  <c r="V775" i="3"/>
  <c r="AB775" i="3"/>
  <c r="AC775" i="3"/>
  <c r="AF775" i="3" s="1"/>
  <c r="C776" i="3"/>
  <c r="L776" i="3"/>
  <c r="N776" i="3" s="1"/>
  <c r="O776" i="3"/>
  <c r="M776" i="3"/>
  <c r="P776" i="3"/>
  <c r="V776" i="3"/>
  <c r="AB776" i="3"/>
  <c r="AC776" i="3"/>
  <c r="AF776" i="3" s="1"/>
  <c r="C777" i="3"/>
  <c r="L777" i="3"/>
  <c r="M777" i="3"/>
  <c r="P777" i="3"/>
  <c r="V777" i="3"/>
  <c r="AB777" i="3"/>
  <c r="AC777" i="3"/>
  <c r="C778" i="3"/>
  <c r="L778" i="3"/>
  <c r="M778" i="3"/>
  <c r="P778" i="3" s="1"/>
  <c r="V778" i="3"/>
  <c r="AB778" i="3"/>
  <c r="AC778" i="3"/>
  <c r="AF778" i="3"/>
  <c r="C779" i="3"/>
  <c r="L779" i="3"/>
  <c r="N779" i="3" s="1"/>
  <c r="O779" i="3" s="1"/>
  <c r="M779" i="3"/>
  <c r="P779" i="3"/>
  <c r="V779" i="3"/>
  <c r="AB779" i="3"/>
  <c r="AC779" i="3"/>
  <c r="AF779" i="3" s="1"/>
  <c r="C780" i="3"/>
  <c r="L780" i="3"/>
  <c r="M780" i="3"/>
  <c r="P780" i="3" s="1"/>
  <c r="V780" i="3"/>
  <c r="AB780" i="3"/>
  <c r="AC780" i="3"/>
  <c r="AF780" i="3"/>
  <c r="C781" i="3"/>
  <c r="L781" i="3"/>
  <c r="M781" i="3"/>
  <c r="V781" i="3"/>
  <c r="AB781" i="3"/>
  <c r="AD781" i="3" s="1"/>
  <c r="AE781" i="3" s="1"/>
  <c r="AC781" i="3"/>
  <c r="C782" i="3"/>
  <c r="L782" i="3"/>
  <c r="M782" i="3"/>
  <c r="P782" i="3"/>
  <c r="V782" i="3"/>
  <c r="AB782" i="3"/>
  <c r="AC782" i="3"/>
  <c r="AF782" i="3" s="1"/>
  <c r="C783" i="3"/>
  <c r="L783" i="3"/>
  <c r="M783" i="3"/>
  <c r="P783" i="3" s="1"/>
  <c r="V783" i="3"/>
  <c r="AB783" i="3"/>
  <c r="AC783" i="3"/>
  <c r="AF783" i="3"/>
  <c r="C784" i="3"/>
  <c r="L784" i="3"/>
  <c r="M784" i="3"/>
  <c r="P784" i="3" s="1"/>
  <c r="V784" i="3"/>
  <c r="AB784" i="3"/>
  <c r="AC784" i="3"/>
  <c r="C785" i="3"/>
  <c r="L785" i="3"/>
  <c r="M785" i="3"/>
  <c r="V785" i="3"/>
  <c r="AB785" i="3"/>
  <c r="AC785" i="3"/>
  <c r="AF785" i="3" s="1"/>
  <c r="C786" i="3"/>
  <c r="L786" i="3"/>
  <c r="M786" i="3"/>
  <c r="P786" i="3" s="1"/>
  <c r="V786" i="3"/>
  <c r="AB786" i="3"/>
  <c r="AC786" i="3"/>
  <c r="AF786" i="3" s="1"/>
  <c r="C787" i="3"/>
  <c r="L787" i="3"/>
  <c r="M787" i="3"/>
  <c r="P787" i="3"/>
  <c r="V787" i="3"/>
  <c r="AB787" i="3"/>
  <c r="AC787" i="3"/>
  <c r="AF787" i="3" s="1"/>
  <c r="C788" i="3"/>
  <c r="L788" i="3"/>
  <c r="M788" i="3"/>
  <c r="P788" i="3"/>
  <c r="V788" i="3"/>
  <c r="AB788" i="3"/>
  <c r="AC788" i="3"/>
  <c r="C789" i="3"/>
  <c r="L789" i="3"/>
  <c r="M789" i="3"/>
  <c r="P789" i="3"/>
  <c r="V789" i="3"/>
  <c r="AB789" i="3"/>
  <c r="AD789" i="3" s="1"/>
  <c r="AC789" i="3"/>
  <c r="AF789" i="3"/>
  <c r="C790" i="3"/>
  <c r="L790" i="3"/>
  <c r="M790" i="3"/>
  <c r="P790" i="3" s="1"/>
  <c r="V790" i="3"/>
  <c r="AB790" i="3"/>
  <c r="AC790" i="3"/>
  <c r="AF790" i="3" s="1"/>
  <c r="C791" i="3"/>
  <c r="L791" i="3"/>
  <c r="M791" i="3"/>
  <c r="P791" i="3"/>
  <c r="V791" i="3"/>
  <c r="AB791" i="3"/>
  <c r="AC791" i="3"/>
  <c r="AF791" i="3" s="1"/>
  <c r="C792" i="3"/>
  <c r="L792" i="3"/>
  <c r="N792" i="3" s="1"/>
  <c r="O792" i="3"/>
  <c r="M792" i="3"/>
  <c r="P792" i="3"/>
  <c r="V792" i="3"/>
  <c r="AB792" i="3"/>
  <c r="AC792" i="3"/>
  <c r="AF792" i="3" s="1"/>
  <c r="C793" i="3"/>
  <c r="L793" i="3"/>
  <c r="M793" i="3"/>
  <c r="P793" i="3"/>
  <c r="V793" i="3"/>
  <c r="AB793" i="3"/>
  <c r="AC793" i="3"/>
  <c r="C794" i="3"/>
  <c r="L794" i="3"/>
  <c r="M794" i="3"/>
  <c r="P794" i="3" s="1"/>
  <c r="V794" i="3"/>
  <c r="AB794" i="3"/>
  <c r="AC794" i="3"/>
  <c r="C795" i="3"/>
  <c r="L795" i="3"/>
  <c r="M795" i="3"/>
  <c r="P795" i="3"/>
  <c r="V795" i="3"/>
  <c r="AB795" i="3"/>
  <c r="AC795" i="3"/>
  <c r="AF795" i="3" s="1"/>
  <c r="C796" i="3"/>
  <c r="L796" i="3"/>
  <c r="M796" i="3"/>
  <c r="P796" i="3"/>
  <c r="V796" i="3"/>
  <c r="AB796" i="3"/>
  <c r="AD796" i="3" s="1"/>
  <c r="AE796" i="3" s="1"/>
  <c r="AC796" i="3"/>
  <c r="AF796" i="3" s="1"/>
  <c r="C797" i="3"/>
  <c r="L797" i="3"/>
  <c r="M797" i="3"/>
  <c r="P797" i="3" s="1"/>
  <c r="V797" i="3"/>
  <c r="AB797" i="3"/>
  <c r="AC797" i="3"/>
  <c r="AF797" i="3" s="1"/>
  <c r="C798" i="3"/>
  <c r="L798" i="3"/>
  <c r="M798" i="3"/>
  <c r="V798" i="3"/>
  <c r="AB798" i="3"/>
  <c r="AC798" i="3"/>
  <c r="AF798" i="3" s="1"/>
  <c r="C799" i="3"/>
  <c r="L799" i="3"/>
  <c r="M799" i="3"/>
  <c r="P799" i="3" s="1"/>
  <c r="V799" i="3"/>
  <c r="AB799" i="3"/>
  <c r="AC799" i="3"/>
  <c r="AF799" i="3" s="1"/>
  <c r="C800" i="3"/>
  <c r="L800" i="3"/>
  <c r="M800" i="3"/>
  <c r="P800" i="3"/>
  <c r="V800" i="3"/>
  <c r="AB800" i="3"/>
  <c r="AC800" i="3"/>
  <c r="AF800" i="3"/>
  <c r="C801" i="3"/>
  <c r="L801" i="3"/>
  <c r="N801" i="3"/>
  <c r="O801" i="3" s="1"/>
  <c r="Q801" i="3" s="1"/>
  <c r="M801" i="3"/>
  <c r="P801" i="3"/>
  <c r="V801" i="3"/>
  <c r="AB801" i="3"/>
  <c r="AC801" i="3"/>
  <c r="AF801" i="3"/>
  <c r="C802" i="3"/>
  <c r="L802" i="3"/>
  <c r="M802" i="3"/>
  <c r="P802" i="3" s="1"/>
  <c r="V802" i="3"/>
  <c r="AB802" i="3"/>
  <c r="AC802" i="3"/>
  <c r="AF802" i="3" s="1"/>
  <c r="C803" i="3"/>
  <c r="L803" i="3"/>
  <c r="M803" i="3"/>
  <c r="V803" i="3"/>
  <c r="AB803" i="3"/>
  <c r="AC803" i="3"/>
  <c r="AF803" i="3" s="1"/>
  <c r="C804" i="3"/>
  <c r="L804" i="3"/>
  <c r="M804" i="3"/>
  <c r="P804" i="3"/>
  <c r="V804" i="3"/>
  <c r="AB804" i="3"/>
  <c r="AC804" i="3"/>
  <c r="AF804" i="3"/>
  <c r="C805" i="3"/>
  <c r="L805" i="3"/>
  <c r="M805" i="3"/>
  <c r="P805" i="3"/>
  <c r="V805" i="3"/>
  <c r="AB805" i="3"/>
  <c r="AC805" i="3"/>
  <c r="AF805" i="3"/>
  <c r="C806" i="3"/>
  <c r="L806" i="3"/>
  <c r="N806" i="3" s="1"/>
  <c r="O806" i="3" s="1"/>
  <c r="Q806" i="3"/>
  <c r="M806" i="3"/>
  <c r="P806" i="3"/>
  <c r="V806" i="3"/>
  <c r="AB806" i="3"/>
  <c r="AD806" i="3" s="1"/>
  <c r="AE806" i="3" s="1"/>
  <c r="AC806" i="3"/>
  <c r="AF806" i="3" s="1"/>
  <c r="C807" i="3"/>
  <c r="L807" i="3"/>
  <c r="M807" i="3"/>
  <c r="V807" i="3"/>
  <c r="AB807" i="3"/>
  <c r="AC807" i="3"/>
  <c r="AF807" i="3" s="1"/>
  <c r="C808" i="3"/>
  <c r="L808" i="3"/>
  <c r="M808" i="3"/>
  <c r="V808" i="3"/>
  <c r="AB808" i="3"/>
  <c r="AC808" i="3"/>
  <c r="AF808" i="3" s="1"/>
  <c r="C809" i="3"/>
  <c r="L809" i="3"/>
  <c r="M809" i="3"/>
  <c r="P809" i="3" s="1"/>
  <c r="V809" i="3"/>
  <c r="AB809" i="3"/>
  <c r="AD809" i="3" s="1"/>
  <c r="AC809" i="3"/>
  <c r="AF809" i="3"/>
  <c r="C810" i="3"/>
  <c r="L810" i="3"/>
  <c r="M810" i="3"/>
  <c r="P810" i="3" s="1"/>
  <c r="V810" i="3"/>
  <c r="AB810" i="3"/>
  <c r="AC810" i="3"/>
  <c r="AF810" i="3" s="1"/>
  <c r="C811" i="3"/>
  <c r="L811" i="3"/>
  <c r="M811" i="3"/>
  <c r="P811" i="3"/>
  <c r="V811" i="3"/>
  <c r="AB811" i="3"/>
  <c r="AC811" i="3"/>
  <c r="C812" i="3"/>
  <c r="L812" i="3"/>
  <c r="M812" i="3"/>
  <c r="V812" i="3"/>
  <c r="AB812" i="3"/>
  <c r="AC812" i="3"/>
  <c r="C813" i="3"/>
  <c r="L813" i="3"/>
  <c r="M813" i="3"/>
  <c r="P813" i="3"/>
  <c r="V813" i="3"/>
  <c r="AB813" i="3"/>
  <c r="AC813" i="3"/>
  <c r="AF813" i="3" s="1"/>
  <c r="C814" i="3"/>
  <c r="L814" i="3"/>
  <c r="M814" i="3"/>
  <c r="P814" i="3"/>
  <c r="V814" i="3"/>
  <c r="AB814" i="3"/>
  <c r="AD814" i="3" s="1"/>
  <c r="AE814" i="3" s="1"/>
  <c r="AG814" i="3" s="1"/>
  <c r="AM814" i="3" s="1"/>
  <c r="AC814" i="3"/>
  <c r="AF814" i="3"/>
  <c r="C815" i="3"/>
  <c r="L815" i="3"/>
  <c r="M815" i="3"/>
  <c r="P815" i="3"/>
  <c r="V815" i="3"/>
  <c r="AB815" i="3"/>
  <c r="AC815" i="3"/>
  <c r="AF815" i="3"/>
  <c r="C816" i="3"/>
  <c r="L816" i="3"/>
  <c r="M816" i="3"/>
  <c r="V816" i="3"/>
  <c r="AB816" i="3"/>
  <c r="AC816" i="3"/>
  <c r="AF816" i="3" s="1"/>
  <c r="C817" i="3"/>
  <c r="L817" i="3"/>
  <c r="M817" i="3"/>
  <c r="P817" i="3"/>
  <c r="V817" i="3"/>
  <c r="AB817" i="3"/>
  <c r="AC817" i="3"/>
  <c r="AF817" i="3" s="1"/>
  <c r="C818" i="3"/>
  <c r="L818" i="3"/>
  <c r="M818" i="3"/>
  <c r="P818" i="3"/>
  <c r="V818" i="3"/>
  <c r="AB818" i="3"/>
  <c r="AC818" i="3"/>
  <c r="AF818" i="3" s="1"/>
  <c r="C819" i="3"/>
  <c r="L819" i="3"/>
  <c r="M819" i="3"/>
  <c r="P819" i="3" s="1"/>
  <c r="V819" i="3"/>
  <c r="AB819" i="3"/>
  <c r="AC819" i="3"/>
  <c r="AF819" i="3"/>
  <c r="C820" i="3"/>
  <c r="L820" i="3"/>
  <c r="M820" i="3"/>
  <c r="P820" i="3"/>
  <c r="V820" i="3"/>
  <c r="AB820" i="3"/>
  <c r="AC820" i="3"/>
  <c r="AF820" i="3" s="1"/>
  <c r="C821" i="3"/>
  <c r="L821" i="3"/>
  <c r="M821" i="3"/>
  <c r="P821" i="3" s="1"/>
  <c r="V821" i="3"/>
  <c r="AB821" i="3"/>
  <c r="AC821" i="3"/>
  <c r="AF821" i="3" s="1"/>
  <c r="C822" i="3"/>
  <c r="L822" i="3"/>
  <c r="M822" i="3"/>
  <c r="P822" i="3" s="1"/>
  <c r="V822" i="3"/>
  <c r="AB822" i="3"/>
  <c r="AC822" i="3"/>
  <c r="AF822" i="3" s="1"/>
  <c r="C823" i="3"/>
  <c r="L823" i="3"/>
  <c r="M823" i="3"/>
  <c r="V823" i="3"/>
  <c r="AB823" i="3"/>
  <c r="AC823" i="3"/>
  <c r="C824" i="3"/>
  <c r="L824" i="3"/>
  <c r="M824" i="3"/>
  <c r="P824" i="3"/>
  <c r="V824" i="3"/>
  <c r="AB824" i="3"/>
  <c r="AC824" i="3"/>
  <c r="AF824" i="3"/>
  <c r="C825" i="3"/>
  <c r="L825" i="3"/>
  <c r="M825" i="3"/>
  <c r="P825" i="3" s="1"/>
  <c r="V825" i="3"/>
  <c r="AB825" i="3"/>
  <c r="AC825" i="3"/>
  <c r="AF825" i="3" s="1"/>
  <c r="C826" i="3"/>
  <c r="L826" i="3"/>
  <c r="M826" i="3"/>
  <c r="P826" i="3" s="1"/>
  <c r="V826" i="3"/>
  <c r="AB826" i="3"/>
  <c r="AC826" i="3"/>
  <c r="AF826" i="3" s="1"/>
  <c r="C827" i="3"/>
  <c r="L827" i="3"/>
  <c r="M827" i="3"/>
  <c r="V827" i="3"/>
  <c r="AB827" i="3"/>
  <c r="AC827" i="3"/>
  <c r="AF827" i="3"/>
  <c r="C828" i="3"/>
  <c r="L828" i="3"/>
  <c r="M828" i="3"/>
  <c r="P828" i="3"/>
  <c r="V828" i="3"/>
  <c r="AB828" i="3"/>
  <c r="AC828" i="3"/>
  <c r="AF828" i="3" s="1"/>
  <c r="C829" i="3"/>
  <c r="L829" i="3"/>
  <c r="M829" i="3"/>
  <c r="P829" i="3"/>
  <c r="V829" i="3"/>
  <c r="AB829" i="3"/>
  <c r="AC829" i="3"/>
  <c r="AF829" i="3"/>
  <c r="C830" i="3"/>
  <c r="L830" i="3"/>
  <c r="M830" i="3"/>
  <c r="P830" i="3"/>
  <c r="V830" i="3"/>
  <c r="AB830" i="3"/>
  <c r="AC830" i="3"/>
  <c r="C831" i="3"/>
  <c r="L831" i="3"/>
  <c r="M831" i="3"/>
  <c r="V831" i="3"/>
  <c r="AB831" i="3"/>
  <c r="AC831" i="3"/>
  <c r="AF831" i="3"/>
  <c r="C832" i="3"/>
  <c r="L832" i="3"/>
  <c r="M832" i="3"/>
  <c r="V832" i="3"/>
  <c r="AB832" i="3"/>
  <c r="AC832" i="3"/>
  <c r="AF832" i="3" s="1"/>
  <c r="C833" i="3"/>
  <c r="L833" i="3"/>
  <c r="M833" i="3"/>
  <c r="N833" i="3" s="1"/>
  <c r="O833" i="3" s="1"/>
  <c r="V833" i="3"/>
  <c r="AB833" i="3"/>
  <c r="AC833" i="3"/>
  <c r="AF833" i="3" s="1"/>
  <c r="C834" i="3"/>
  <c r="L834" i="3"/>
  <c r="N834" i="3" s="1"/>
  <c r="O834" i="3" s="1"/>
  <c r="Q834" i="3" s="1"/>
  <c r="M834" i="3"/>
  <c r="P834" i="3"/>
  <c r="V834" i="3"/>
  <c r="AB834" i="3"/>
  <c r="AC834" i="3"/>
  <c r="AF834" i="3"/>
  <c r="C835" i="3"/>
  <c r="L835" i="3"/>
  <c r="M835" i="3"/>
  <c r="P835" i="3" s="1"/>
  <c r="V835" i="3"/>
  <c r="AB835" i="3"/>
  <c r="AC835" i="3"/>
  <c r="AF835" i="3"/>
  <c r="C836" i="3"/>
  <c r="L836" i="3"/>
  <c r="M836" i="3"/>
  <c r="P836" i="3"/>
  <c r="V836" i="3"/>
  <c r="AB836" i="3"/>
  <c r="AD836" i="3"/>
  <c r="AE836" i="3" s="1"/>
  <c r="AG836" i="3" s="1"/>
  <c r="AM836" i="3" s="1"/>
  <c r="AC836" i="3"/>
  <c r="AF836" i="3"/>
  <c r="C837" i="3"/>
  <c r="L837" i="3"/>
  <c r="M837" i="3"/>
  <c r="P837" i="3"/>
  <c r="V837" i="3"/>
  <c r="AB837" i="3"/>
  <c r="AC837" i="3"/>
  <c r="AF837" i="3" s="1"/>
  <c r="C838" i="3"/>
  <c r="L838" i="3"/>
  <c r="M838" i="3"/>
  <c r="V838" i="3"/>
  <c r="AB838" i="3"/>
  <c r="AC838" i="3"/>
  <c r="AF838" i="3" s="1"/>
  <c r="C839" i="3"/>
  <c r="L839" i="3"/>
  <c r="M839" i="3"/>
  <c r="P839" i="3" s="1"/>
  <c r="V839" i="3"/>
  <c r="AB839" i="3"/>
  <c r="AC839" i="3"/>
  <c r="AF839" i="3" s="1"/>
  <c r="C840" i="3"/>
  <c r="L840" i="3"/>
  <c r="M840" i="3"/>
  <c r="P840" i="3"/>
  <c r="V840" i="3"/>
  <c r="AB840" i="3"/>
  <c r="AD840" i="3"/>
  <c r="AE840" i="3" s="1"/>
  <c r="AC840" i="3"/>
  <c r="AF840" i="3" s="1"/>
  <c r="C841" i="3"/>
  <c r="L841" i="3"/>
  <c r="M841" i="3"/>
  <c r="N841" i="3" s="1"/>
  <c r="O841" i="3" s="1"/>
  <c r="V841" i="3"/>
  <c r="AB841" i="3"/>
  <c r="AC841" i="3"/>
  <c r="AF841" i="3"/>
  <c r="C842" i="3"/>
  <c r="L842" i="3"/>
  <c r="M842" i="3"/>
  <c r="V842" i="3"/>
  <c r="AB842" i="3"/>
  <c r="AC842" i="3"/>
  <c r="AF842" i="3" s="1"/>
  <c r="C843" i="3"/>
  <c r="L843" i="3"/>
  <c r="M843" i="3"/>
  <c r="P843" i="3" s="1"/>
  <c r="V843" i="3"/>
  <c r="AB843" i="3"/>
  <c r="AC843" i="3"/>
  <c r="AF843" i="3" s="1"/>
  <c r="C844" i="3"/>
  <c r="L844" i="3"/>
  <c r="M844" i="3"/>
  <c r="P844" i="3"/>
  <c r="V844" i="3"/>
  <c r="AB844" i="3"/>
  <c r="AC844" i="3"/>
  <c r="AF844" i="3"/>
  <c r="C845" i="3"/>
  <c r="L845" i="3"/>
  <c r="M845" i="3"/>
  <c r="V845" i="3"/>
  <c r="AB845" i="3"/>
  <c r="AC845" i="3"/>
  <c r="AF845" i="3"/>
  <c r="C846" i="3"/>
  <c r="L846" i="3"/>
  <c r="N846" i="3" s="1"/>
  <c r="O846" i="3" s="1"/>
  <c r="M846" i="3"/>
  <c r="P846" i="3" s="1"/>
  <c r="V846" i="3"/>
  <c r="AB846" i="3"/>
  <c r="AC846" i="3"/>
  <c r="AF846" i="3"/>
  <c r="C847" i="3"/>
  <c r="L847" i="3"/>
  <c r="M847" i="3"/>
  <c r="P847" i="3"/>
  <c r="V847" i="3"/>
  <c r="AB847" i="3"/>
  <c r="AC847" i="3"/>
  <c r="C848" i="3"/>
  <c r="L848" i="3"/>
  <c r="M848" i="3"/>
  <c r="V848" i="3"/>
  <c r="AB848" i="3"/>
  <c r="AD848" i="3" s="1"/>
  <c r="AE848" i="3" s="1"/>
  <c r="AC848" i="3"/>
  <c r="AF848" i="3" s="1"/>
  <c r="C849" i="3"/>
  <c r="L849" i="3"/>
  <c r="M849" i="3"/>
  <c r="V849" i="3"/>
  <c r="AB849" i="3"/>
  <c r="AC849" i="3"/>
  <c r="C850" i="3"/>
  <c r="L850" i="3"/>
  <c r="M850" i="3"/>
  <c r="P850" i="3" s="1"/>
  <c r="V850" i="3"/>
  <c r="AB850" i="3"/>
  <c r="AC850" i="3"/>
  <c r="AF850" i="3" s="1"/>
  <c r="C851" i="3"/>
  <c r="L851" i="3"/>
  <c r="N851" i="3"/>
  <c r="O851" i="3" s="1"/>
  <c r="M851" i="3"/>
  <c r="P851" i="3"/>
  <c r="V851" i="3"/>
  <c r="AB851" i="3"/>
  <c r="AC851" i="3"/>
  <c r="AF851" i="3" s="1"/>
  <c r="C852" i="3"/>
  <c r="L852" i="3"/>
  <c r="M852" i="3"/>
  <c r="P852" i="3"/>
  <c r="V852" i="3"/>
  <c r="AB852" i="3"/>
  <c r="AC852" i="3"/>
  <c r="C853" i="3"/>
  <c r="L853" i="3"/>
  <c r="M853" i="3"/>
  <c r="P853" i="3"/>
  <c r="V853" i="3"/>
  <c r="AB853" i="3"/>
  <c r="AC853" i="3"/>
  <c r="AF853" i="3" s="1"/>
  <c r="C854" i="3"/>
  <c r="L854" i="3"/>
  <c r="M854" i="3"/>
  <c r="P854" i="3"/>
  <c r="V854" i="3"/>
  <c r="AB854" i="3"/>
  <c r="AC854" i="3"/>
  <c r="C855" i="3"/>
  <c r="L855" i="3"/>
  <c r="M855" i="3"/>
  <c r="V855" i="3"/>
  <c r="AB855" i="3"/>
  <c r="AC855" i="3"/>
  <c r="AF855" i="3" s="1"/>
  <c r="C856" i="3"/>
  <c r="L856" i="3"/>
  <c r="M856" i="3"/>
  <c r="P856" i="3" s="1"/>
  <c r="V856" i="3"/>
  <c r="AB856" i="3"/>
  <c r="AC856" i="3"/>
  <c r="AF856" i="3"/>
  <c r="C857" i="3"/>
  <c r="L857" i="3"/>
  <c r="M857" i="3"/>
  <c r="P857" i="3" s="1"/>
  <c r="V857" i="3"/>
  <c r="AB857" i="3"/>
  <c r="AD857" i="3" s="1"/>
  <c r="AE857" i="3" s="1"/>
  <c r="AC857" i="3"/>
  <c r="AF857" i="3" s="1"/>
  <c r="C858" i="3"/>
  <c r="L858" i="3"/>
  <c r="M858" i="3"/>
  <c r="P858" i="3" s="1"/>
  <c r="V858" i="3"/>
  <c r="AB858" i="3"/>
  <c r="AC858" i="3"/>
  <c r="C859" i="3"/>
  <c r="L859" i="3"/>
  <c r="N859" i="3" s="1"/>
  <c r="O859" i="3" s="1"/>
  <c r="M859" i="3"/>
  <c r="P859" i="3" s="1"/>
  <c r="V859" i="3"/>
  <c r="AB859" i="3"/>
  <c r="AC859" i="3"/>
  <c r="AF859" i="3" s="1"/>
  <c r="C860" i="3"/>
  <c r="L860" i="3"/>
  <c r="M860" i="3"/>
  <c r="P860" i="3"/>
  <c r="V860" i="3"/>
  <c r="AB860" i="3"/>
  <c r="AC860" i="3"/>
  <c r="C861" i="3"/>
  <c r="L861" i="3"/>
  <c r="M861" i="3"/>
  <c r="P861" i="3"/>
  <c r="V861" i="3"/>
  <c r="AB861" i="3"/>
  <c r="AC861" i="3"/>
  <c r="AF861" i="3"/>
  <c r="C862" i="3"/>
  <c r="L862" i="3"/>
  <c r="M862" i="3"/>
  <c r="P862" i="3" s="1"/>
  <c r="V862" i="3"/>
  <c r="AB862" i="3"/>
  <c r="AC862" i="3"/>
  <c r="AF862" i="3"/>
  <c r="C863" i="3"/>
  <c r="L863" i="3"/>
  <c r="M863" i="3"/>
  <c r="P863" i="3" s="1"/>
  <c r="V863" i="3"/>
  <c r="AB863" i="3"/>
  <c r="AC863" i="3"/>
  <c r="AF863" i="3" s="1"/>
  <c r="C864" i="3"/>
  <c r="L864" i="3"/>
  <c r="M864" i="3"/>
  <c r="P864" i="3"/>
  <c r="V864" i="3"/>
  <c r="AB864" i="3"/>
  <c r="AC864" i="3"/>
  <c r="AF864" i="3" s="1"/>
  <c r="C865" i="3"/>
  <c r="L865" i="3"/>
  <c r="M865" i="3"/>
  <c r="P865" i="3" s="1"/>
  <c r="V865" i="3"/>
  <c r="AB865" i="3"/>
  <c r="AC865" i="3"/>
  <c r="AF865" i="3" s="1"/>
  <c r="C866" i="3"/>
  <c r="L866" i="3"/>
  <c r="M866" i="3"/>
  <c r="V866" i="3"/>
  <c r="AB866" i="3"/>
  <c r="AC866" i="3"/>
  <c r="AF866" i="3"/>
  <c r="C867" i="3"/>
  <c r="L867" i="3"/>
  <c r="M867" i="3"/>
  <c r="P867" i="3"/>
  <c r="V867" i="3"/>
  <c r="AB867" i="3"/>
  <c r="AC867" i="3"/>
  <c r="AF867" i="3" s="1"/>
  <c r="C868" i="3"/>
  <c r="L868" i="3"/>
  <c r="M868" i="3"/>
  <c r="V868" i="3"/>
  <c r="AB868" i="3"/>
  <c r="AC868" i="3"/>
  <c r="AF868" i="3" s="1"/>
  <c r="C869" i="3"/>
  <c r="L869" i="3"/>
  <c r="N869" i="3" s="1"/>
  <c r="M869" i="3"/>
  <c r="P869" i="3" s="1"/>
  <c r="V869" i="3"/>
  <c r="AB869" i="3"/>
  <c r="AC869" i="3"/>
  <c r="AF869" i="3" s="1"/>
  <c r="C870" i="3"/>
  <c r="L870" i="3"/>
  <c r="N870" i="3"/>
  <c r="O870" i="3" s="1"/>
  <c r="M870" i="3"/>
  <c r="P870" i="3"/>
  <c r="V870" i="3"/>
  <c r="AB870" i="3"/>
  <c r="AC870" i="3"/>
  <c r="AF870" i="3" s="1"/>
  <c r="C871" i="3"/>
  <c r="L871" i="3"/>
  <c r="M871" i="3"/>
  <c r="P871" i="3" s="1"/>
  <c r="V871" i="3"/>
  <c r="AB871" i="3"/>
  <c r="AC871" i="3"/>
  <c r="C872" i="3"/>
  <c r="L872" i="3"/>
  <c r="N872" i="3"/>
  <c r="O872" i="3" s="1"/>
  <c r="M872" i="3"/>
  <c r="P872" i="3" s="1"/>
  <c r="V872" i="3"/>
  <c r="AB872" i="3"/>
  <c r="AC872" i="3"/>
  <c r="AF872" i="3" s="1"/>
  <c r="C873" i="3"/>
  <c r="L873" i="3"/>
  <c r="M873" i="3"/>
  <c r="P873" i="3" s="1"/>
  <c r="V873" i="3"/>
  <c r="AB873" i="3"/>
  <c r="AC873" i="3"/>
  <c r="AF873" i="3" s="1"/>
  <c r="C874" i="3"/>
  <c r="L874" i="3"/>
  <c r="M874" i="3"/>
  <c r="P874" i="3"/>
  <c r="V874" i="3"/>
  <c r="AB874" i="3"/>
  <c r="AC874" i="3"/>
  <c r="AF874" i="3"/>
  <c r="C875" i="3"/>
  <c r="L875" i="3"/>
  <c r="N875" i="3"/>
  <c r="O875" i="3" s="1"/>
  <c r="M875" i="3"/>
  <c r="P875" i="3"/>
  <c r="V875" i="3"/>
  <c r="AB875" i="3"/>
  <c r="AD875" i="3" s="1"/>
  <c r="AE875" i="3" s="1"/>
  <c r="AC875" i="3"/>
  <c r="C876" i="3"/>
  <c r="L876" i="3"/>
  <c r="M876" i="3"/>
  <c r="P876" i="3" s="1"/>
  <c r="V876" i="3"/>
  <c r="AB876" i="3"/>
  <c r="AD876" i="3"/>
  <c r="AE876" i="3" s="1"/>
  <c r="AC876" i="3"/>
  <c r="AF876" i="3" s="1"/>
  <c r="C877" i="3"/>
  <c r="L877" i="3"/>
  <c r="M877" i="3"/>
  <c r="P877" i="3" s="1"/>
  <c r="V877" i="3"/>
  <c r="AB877" i="3"/>
  <c r="AC877" i="3"/>
  <c r="AF877" i="3" s="1"/>
  <c r="C878" i="3"/>
  <c r="L878" i="3"/>
  <c r="M878" i="3"/>
  <c r="V878" i="3"/>
  <c r="AB878" i="3"/>
  <c r="AC878" i="3"/>
  <c r="AF878" i="3" s="1"/>
  <c r="C879" i="3"/>
  <c r="L879" i="3"/>
  <c r="N879" i="3"/>
  <c r="O879" i="3" s="1"/>
  <c r="M879" i="3"/>
  <c r="P879" i="3"/>
  <c r="V879" i="3"/>
  <c r="AB879" i="3"/>
  <c r="AC879" i="3"/>
  <c r="AF879" i="3"/>
  <c r="C880" i="3"/>
  <c r="L880" i="3"/>
  <c r="N880" i="3"/>
  <c r="O880" i="3" s="1"/>
  <c r="M880" i="3"/>
  <c r="P880" i="3" s="1"/>
  <c r="V880" i="3"/>
  <c r="AB880" i="3"/>
  <c r="AD880" i="3" s="1"/>
  <c r="AE880" i="3" s="1"/>
  <c r="AC880" i="3"/>
  <c r="AF880" i="3" s="1"/>
  <c r="C881" i="3"/>
  <c r="L881" i="3"/>
  <c r="M881" i="3"/>
  <c r="P881" i="3" s="1"/>
  <c r="V881" i="3"/>
  <c r="AB881" i="3"/>
  <c r="AC881" i="3"/>
  <c r="AF881" i="3" s="1"/>
  <c r="C882" i="3"/>
  <c r="L882" i="3"/>
  <c r="M882" i="3"/>
  <c r="P882" i="3"/>
  <c r="V882" i="3"/>
  <c r="AB882" i="3"/>
  <c r="AC882" i="3"/>
  <c r="C883" i="3"/>
  <c r="L883" i="3"/>
  <c r="M883" i="3"/>
  <c r="P883" i="3"/>
  <c r="V883" i="3"/>
  <c r="AB883" i="3"/>
  <c r="AC883" i="3"/>
  <c r="AF883" i="3" s="1"/>
  <c r="C884" i="3"/>
  <c r="L884" i="3"/>
  <c r="M884" i="3"/>
  <c r="P884" i="3" s="1"/>
  <c r="V884" i="3"/>
  <c r="AB884" i="3"/>
  <c r="AC884" i="3"/>
  <c r="AF884" i="3"/>
  <c r="C885" i="3"/>
  <c r="L885" i="3"/>
  <c r="M885" i="3"/>
  <c r="V885" i="3"/>
  <c r="AB885" i="3"/>
  <c r="AC885" i="3"/>
  <c r="AF885" i="3" s="1"/>
  <c r="C886" i="3"/>
  <c r="L886" i="3"/>
  <c r="M886" i="3"/>
  <c r="V886" i="3"/>
  <c r="AB886" i="3"/>
  <c r="AC886" i="3"/>
  <c r="C887" i="3"/>
  <c r="L887" i="3"/>
  <c r="M887" i="3"/>
  <c r="P887" i="3"/>
  <c r="V887" i="3"/>
  <c r="AB887" i="3"/>
  <c r="AC887" i="3"/>
  <c r="AF887" i="3" s="1"/>
  <c r="C888" i="3"/>
  <c r="L888" i="3"/>
  <c r="M888" i="3"/>
  <c r="P888" i="3" s="1"/>
  <c r="V888" i="3"/>
  <c r="AB888" i="3"/>
  <c r="AC888" i="3"/>
  <c r="AF888" i="3" s="1"/>
  <c r="C889" i="3"/>
  <c r="L889" i="3"/>
  <c r="M889" i="3"/>
  <c r="P889" i="3" s="1"/>
  <c r="V889" i="3"/>
  <c r="AB889" i="3"/>
  <c r="AC889" i="3"/>
  <c r="AF889" i="3" s="1"/>
  <c r="C890" i="3"/>
  <c r="L890" i="3"/>
  <c r="M890" i="3"/>
  <c r="P890" i="3"/>
  <c r="V890" i="3"/>
  <c r="AB890" i="3"/>
  <c r="AC890" i="3"/>
  <c r="AF890" i="3" s="1"/>
  <c r="C891" i="3"/>
  <c r="L891" i="3"/>
  <c r="M891" i="3"/>
  <c r="P891" i="3" s="1"/>
  <c r="V891" i="3"/>
  <c r="AB891" i="3"/>
  <c r="AC891" i="3"/>
  <c r="AF891" i="3" s="1"/>
  <c r="C892" i="3"/>
  <c r="L892" i="3"/>
  <c r="M892" i="3"/>
  <c r="P892" i="3"/>
  <c r="V892" i="3"/>
  <c r="AB892" i="3"/>
  <c r="AC892" i="3"/>
  <c r="C893" i="3"/>
  <c r="L893" i="3"/>
  <c r="M893" i="3"/>
  <c r="P893" i="3"/>
  <c r="V893" i="3"/>
  <c r="AB893" i="3"/>
  <c r="AC893" i="3"/>
  <c r="AF893" i="3" s="1"/>
  <c r="C894" i="3"/>
  <c r="L894" i="3"/>
  <c r="M894" i="3"/>
  <c r="P894" i="3"/>
  <c r="V894" i="3"/>
  <c r="AB894" i="3"/>
  <c r="AC894" i="3"/>
  <c r="AF894" i="3" s="1"/>
  <c r="C895" i="3"/>
  <c r="L895" i="3"/>
  <c r="N895" i="3" s="1"/>
  <c r="O895" i="3" s="1"/>
  <c r="M895" i="3"/>
  <c r="P895" i="3"/>
  <c r="V895" i="3"/>
  <c r="AB895" i="3"/>
  <c r="AC895" i="3"/>
  <c r="AF895" i="3"/>
  <c r="C896" i="3"/>
  <c r="L896" i="3"/>
  <c r="M896" i="3"/>
  <c r="P896" i="3"/>
  <c r="V896" i="3"/>
  <c r="AB896" i="3"/>
  <c r="AC896" i="3"/>
  <c r="AF896" i="3"/>
  <c r="C897" i="3"/>
  <c r="L897" i="3"/>
  <c r="M897" i="3"/>
  <c r="P897" i="3"/>
  <c r="V897" i="3"/>
  <c r="AB897" i="3"/>
  <c r="AC897" i="3"/>
  <c r="AF897" i="3" s="1"/>
  <c r="C898" i="3"/>
  <c r="L898" i="3"/>
  <c r="M898" i="3"/>
  <c r="P898" i="3"/>
  <c r="V898" i="3"/>
  <c r="AB898" i="3"/>
  <c r="AC898" i="3"/>
  <c r="AF898" i="3"/>
  <c r="C899" i="3"/>
  <c r="L899" i="3"/>
  <c r="M899" i="3"/>
  <c r="P899" i="3"/>
  <c r="V899" i="3"/>
  <c r="AB899" i="3"/>
  <c r="AC899" i="3"/>
  <c r="AF899" i="3"/>
  <c r="C900" i="3"/>
  <c r="L900" i="3"/>
  <c r="M900" i="3"/>
  <c r="P900" i="3"/>
  <c r="V900" i="3"/>
  <c r="AB900" i="3"/>
  <c r="AC900" i="3"/>
  <c r="AF900" i="3" s="1"/>
  <c r="C901" i="3"/>
  <c r="L901" i="3"/>
  <c r="N901" i="3"/>
  <c r="O901" i="3"/>
  <c r="M901" i="3"/>
  <c r="P901" i="3"/>
  <c r="V901" i="3"/>
  <c r="AB901" i="3"/>
  <c r="AD901" i="3" s="1"/>
  <c r="AE901" i="3" s="1"/>
  <c r="AG901" i="3" s="1"/>
  <c r="AM901" i="3" s="1"/>
  <c r="AC901" i="3"/>
  <c r="AF901" i="3" s="1"/>
  <c r="C902" i="3"/>
  <c r="L902" i="3"/>
  <c r="M902" i="3"/>
  <c r="P902" i="3" s="1"/>
  <c r="V902" i="3"/>
  <c r="AB902" i="3"/>
  <c r="AC902" i="3"/>
  <c r="AF902" i="3"/>
  <c r="C903" i="3"/>
  <c r="L903" i="3"/>
  <c r="M903" i="3"/>
  <c r="P903" i="3"/>
  <c r="V903" i="3"/>
  <c r="AB903" i="3"/>
  <c r="AC903" i="3"/>
  <c r="AF903" i="3" s="1"/>
  <c r="C904" i="3"/>
  <c r="L904" i="3"/>
  <c r="N904" i="3" s="1"/>
  <c r="O904" i="3"/>
  <c r="Q904" i="3" s="1"/>
  <c r="M904" i="3"/>
  <c r="P904" i="3"/>
  <c r="V904" i="3"/>
  <c r="AB904" i="3"/>
  <c r="AC904" i="3"/>
  <c r="AF904" i="3"/>
  <c r="C905" i="3"/>
  <c r="L905" i="3"/>
  <c r="M905" i="3"/>
  <c r="P905" i="3" s="1"/>
  <c r="V905" i="3"/>
  <c r="AB905" i="3"/>
  <c r="AC905" i="3"/>
  <c r="C906" i="3"/>
  <c r="L906" i="3"/>
  <c r="M906" i="3"/>
  <c r="P906" i="3"/>
  <c r="V906" i="3"/>
  <c r="AB906" i="3"/>
  <c r="AD906" i="3" s="1"/>
  <c r="AE906" i="3" s="1"/>
  <c r="AC906" i="3"/>
  <c r="AF906" i="3" s="1"/>
  <c r="C907" i="3"/>
  <c r="L907" i="3"/>
  <c r="M907" i="3"/>
  <c r="P907" i="3" s="1"/>
  <c r="V907" i="3"/>
  <c r="AB907" i="3"/>
  <c r="AC907" i="3"/>
  <c r="AF907" i="3" s="1"/>
  <c r="C908" i="3"/>
  <c r="L908" i="3"/>
  <c r="M908" i="3"/>
  <c r="P908" i="3"/>
  <c r="V908" i="3"/>
  <c r="AB908" i="3"/>
  <c r="AC908" i="3"/>
  <c r="AF908" i="3" s="1"/>
  <c r="C909" i="3"/>
  <c r="L909" i="3"/>
  <c r="M909" i="3"/>
  <c r="P909" i="3" s="1"/>
  <c r="V909" i="3"/>
  <c r="AB909" i="3"/>
  <c r="AC909" i="3"/>
  <c r="AF909" i="3"/>
  <c r="C910" i="3"/>
  <c r="L910" i="3"/>
  <c r="M910" i="3"/>
  <c r="P910" i="3"/>
  <c r="V910" i="3"/>
  <c r="AB910" i="3"/>
  <c r="AC910" i="3"/>
  <c r="AF910" i="3" s="1"/>
  <c r="C911" i="3"/>
  <c r="L911" i="3"/>
  <c r="M911" i="3"/>
  <c r="P911" i="3"/>
  <c r="V911" i="3"/>
  <c r="AB911" i="3"/>
  <c r="AC911" i="3"/>
  <c r="AF911" i="3" s="1"/>
  <c r="C912" i="3"/>
  <c r="L912" i="3"/>
  <c r="M912" i="3"/>
  <c r="P912" i="3" s="1"/>
  <c r="V912" i="3"/>
  <c r="AB912" i="3"/>
  <c r="AC912" i="3"/>
  <c r="AF912" i="3" s="1"/>
  <c r="C913" i="3"/>
  <c r="L913" i="3"/>
  <c r="M913" i="3"/>
  <c r="P913" i="3"/>
  <c r="V913" i="3"/>
  <c r="AB913" i="3"/>
  <c r="AC913" i="3"/>
  <c r="AF913" i="3" s="1"/>
  <c r="C914" i="3"/>
  <c r="L914" i="3"/>
  <c r="M914" i="3"/>
  <c r="P914" i="3"/>
  <c r="V914" i="3"/>
  <c r="AB914" i="3"/>
  <c r="AC914" i="3"/>
  <c r="AF914" i="3"/>
  <c r="C915" i="3"/>
  <c r="L915" i="3"/>
  <c r="M915" i="3"/>
  <c r="P915" i="3" s="1"/>
  <c r="V915" i="3"/>
  <c r="AB915" i="3"/>
  <c r="AC915" i="3"/>
  <c r="AF915" i="3" s="1"/>
  <c r="C916" i="3"/>
  <c r="L916" i="3"/>
  <c r="M916" i="3"/>
  <c r="V916" i="3"/>
  <c r="AB916" i="3"/>
  <c r="AC916" i="3"/>
  <c r="AF916" i="3" s="1"/>
  <c r="C917" i="3"/>
  <c r="L917" i="3"/>
  <c r="M917" i="3"/>
  <c r="P917" i="3" s="1"/>
  <c r="V917" i="3"/>
  <c r="AB917" i="3"/>
  <c r="AC917" i="3"/>
  <c r="AF917" i="3"/>
  <c r="C918" i="3"/>
  <c r="L918" i="3"/>
  <c r="M918" i="3"/>
  <c r="P918" i="3"/>
  <c r="V918" i="3"/>
  <c r="AB918" i="3"/>
  <c r="AC918" i="3"/>
  <c r="AF918" i="3" s="1"/>
  <c r="C919" i="3"/>
  <c r="L919" i="3"/>
  <c r="O919" i="3"/>
  <c r="M919" i="3"/>
  <c r="N919" i="3" s="1"/>
  <c r="P919" i="3"/>
  <c r="V919" i="3"/>
  <c r="AB919" i="3"/>
  <c r="AC919" i="3"/>
  <c r="C920" i="3"/>
  <c r="L920" i="3"/>
  <c r="M920" i="3"/>
  <c r="P920" i="3"/>
  <c r="V920" i="3"/>
  <c r="AB920" i="3"/>
  <c r="AC920" i="3"/>
  <c r="AF920" i="3" s="1"/>
  <c r="C921" i="3"/>
  <c r="L921" i="3"/>
  <c r="M921" i="3"/>
  <c r="P921" i="3" s="1"/>
  <c r="V921" i="3"/>
  <c r="AB921" i="3"/>
  <c r="AC921" i="3"/>
  <c r="AF921" i="3" s="1"/>
  <c r="C922" i="3"/>
  <c r="L922" i="3"/>
  <c r="M922" i="3"/>
  <c r="V922" i="3"/>
  <c r="AB922" i="3"/>
  <c r="AC922" i="3"/>
  <c r="AF922" i="3" s="1"/>
  <c r="C923" i="3"/>
  <c r="L923" i="3"/>
  <c r="M923" i="3"/>
  <c r="P923" i="3" s="1"/>
  <c r="V923" i="3"/>
  <c r="AB923" i="3"/>
  <c r="AC923" i="3"/>
  <c r="C924" i="3"/>
  <c r="L924" i="3"/>
  <c r="N924" i="3"/>
  <c r="O924" i="3" s="1"/>
  <c r="M924" i="3"/>
  <c r="P924" i="3" s="1"/>
  <c r="V924" i="3"/>
  <c r="AB924" i="3"/>
  <c r="AC924" i="3"/>
  <c r="C925" i="3"/>
  <c r="L925" i="3"/>
  <c r="M925" i="3"/>
  <c r="V925" i="3"/>
  <c r="AB925" i="3"/>
  <c r="AC925" i="3"/>
  <c r="AF925" i="3" s="1"/>
  <c r="C926" i="3"/>
  <c r="L926" i="3"/>
  <c r="M926" i="3"/>
  <c r="P926" i="3"/>
  <c r="V926" i="3"/>
  <c r="AB926" i="3"/>
  <c r="AC926" i="3"/>
  <c r="AF926" i="3" s="1"/>
  <c r="C927" i="3"/>
  <c r="L927" i="3"/>
  <c r="M927" i="3"/>
  <c r="V927" i="3"/>
  <c r="AB927" i="3"/>
  <c r="AC927" i="3"/>
  <c r="AF927" i="3" s="1"/>
  <c r="C928" i="3"/>
  <c r="L928" i="3"/>
  <c r="M928" i="3"/>
  <c r="P928" i="3"/>
  <c r="V928" i="3"/>
  <c r="AB928" i="3"/>
  <c r="AC928" i="3"/>
  <c r="AF928" i="3" s="1"/>
  <c r="C929" i="3"/>
  <c r="L929" i="3"/>
  <c r="M929" i="3"/>
  <c r="P929" i="3" s="1"/>
  <c r="V929" i="3"/>
  <c r="AB929" i="3"/>
  <c r="AC929" i="3"/>
  <c r="AF929" i="3" s="1"/>
  <c r="C930" i="3"/>
  <c r="L930" i="3"/>
  <c r="N930" i="3" s="1"/>
  <c r="M930" i="3"/>
  <c r="P930" i="3"/>
  <c r="V930" i="3"/>
  <c r="AB930" i="3"/>
  <c r="AC930" i="3"/>
  <c r="AF930" i="3" s="1"/>
  <c r="C931" i="3"/>
  <c r="L931" i="3"/>
  <c r="M931" i="3"/>
  <c r="V931" i="3"/>
  <c r="AB931" i="3"/>
  <c r="AC931" i="3"/>
  <c r="AF931" i="3" s="1"/>
  <c r="C932" i="3"/>
  <c r="L932" i="3"/>
  <c r="M932" i="3"/>
  <c r="V932" i="3"/>
  <c r="AB932" i="3"/>
  <c r="AC932" i="3"/>
  <c r="AD932" i="3" s="1"/>
  <c r="AE932" i="3" s="1"/>
  <c r="C933" i="3"/>
  <c r="L933" i="3"/>
  <c r="N933" i="3" s="1"/>
  <c r="O933" i="3" s="1"/>
  <c r="Q933" i="3" s="1"/>
  <c r="M933" i="3"/>
  <c r="P933" i="3"/>
  <c r="V933" i="3"/>
  <c r="AB933" i="3"/>
  <c r="AC933" i="3"/>
  <c r="AF933" i="3"/>
  <c r="C934" i="3"/>
  <c r="L934" i="3"/>
  <c r="M934" i="3"/>
  <c r="P934" i="3" s="1"/>
  <c r="V934" i="3"/>
  <c r="AB934" i="3"/>
  <c r="AC934" i="3"/>
  <c r="AF934" i="3"/>
  <c r="C935" i="3"/>
  <c r="L935" i="3"/>
  <c r="M935" i="3"/>
  <c r="P935" i="3" s="1"/>
  <c r="V935" i="3"/>
  <c r="AB935" i="3"/>
  <c r="AC935" i="3"/>
  <c r="AF935" i="3" s="1"/>
  <c r="C936" i="3"/>
  <c r="L936" i="3"/>
  <c r="M936" i="3"/>
  <c r="P936" i="3"/>
  <c r="V936" i="3"/>
  <c r="AB936" i="3"/>
  <c r="AC936" i="3"/>
  <c r="AF936" i="3" s="1"/>
  <c r="C937" i="3"/>
  <c r="L937" i="3"/>
  <c r="N937" i="3" s="1"/>
  <c r="O937" i="3" s="1"/>
  <c r="M937" i="3"/>
  <c r="P937" i="3"/>
  <c r="V937" i="3"/>
  <c r="AB937" i="3"/>
  <c r="AC937" i="3"/>
  <c r="AF937" i="3"/>
  <c r="C938" i="3"/>
  <c r="L938" i="3"/>
  <c r="M938" i="3"/>
  <c r="V938" i="3"/>
  <c r="AB938" i="3"/>
  <c r="AC938" i="3"/>
  <c r="AF938" i="3" s="1"/>
  <c r="C939" i="3"/>
  <c r="L939" i="3"/>
  <c r="M939" i="3"/>
  <c r="P939" i="3" s="1"/>
  <c r="V939" i="3"/>
  <c r="AB939" i="3"/>
  <c r="AD939" i="3" s="1"/>
  <c r="AE939" i="3" s="1"/>
  <c r="AG939" i="3" s="1"/>
  <c r="AM939" i="3" s="1"/>
  <c r="AC939" i="3"/>
  <c r="AF939" i="3" s="1"/>
  <c r="C940" i="3"/>
  <c r="L940" i="3"/>
  <c r="M940" i="3"/>
  <c r="V940" i="3"/>
  <c r="AB940" i="3"/>
  <c r="AC940" i="3"/>
  <c r="AF940" i="3" s="1"/>
  <c r="C941" i="3"/>
  <c r="L941" i="3"/>
  <c r="M941" i="3"/>
  <c r="P941" i="3" s="1"/>
  <c r="V941" i="3"/>
  <c r="AB941" i="3"/>
  <c r="AC941" i="3"/>
  <c r="C942" i="3"/>
  <c r="L942" i="3"/>
  <c r="M942" i="3"/>
  <c r="P942" i="3"/>
  <c r="V942" i="3"/>
  <c r="AB942" i="3"/>
  <c r="AC942" i="3"/>
  <c r="AF942" i="3" s="1"/>
  <c r="C943" i="3"/>
  <c r="L943" i="3"/>
  <c r="M943" i="3"/>
  <c r="P943" i="3" s="1"/>
  <c r="V943" i="3"/>
  <c r="AB943" i="3"/>
  <c r="AC943" i="3"/>
  <c r="AF943" i="3"/>
  <c r="C944" i="3"/>
  <c r="L944" i="3"/>
  <c r="M944" i="3"/>
  <c r="P944" i="3" s="1"/>
  <c r="V944" i="3"/>
  <c r="AB944" i="3"/>
  <c r="AC944" i="3"/>
  <c r="AF944" i="3" s="1"/>
  <c r="C945" i="3"/>
  <c r="L945" i="3"/>
  <c r="M945" i="3"/>
  <c r="V945" i="3"/>
  <c r="AB945" i="3"/>
  <c r="AC945" i="3"/>
  <c r="AF945" i="3" s="1"/>
  <c r="C946" i="3"/>
  <c r="L946" i="3"/>
  <c r="M946" i="3"/>
  <c r="P946" i="3"/>
  <c r="V946" i="3"/>
  <c r="AB946" i="3"/>
  <c r="AC946" i="3"/>
  <c r="AF946" i="3"/>
  <c r="C947" i="3"/>
  <c r="L947" i="3"/>
  <c r="M947" i="3"/>
  <c r="P947" i="3"/>
  <c r="V947" i="3"/>
  <c r="AB947" i="3"/>
  <c r="AC947" i="3"/>
  <c r="C948" i="3"/>
  <c r="L948" i="3"/>
  <c r="M948" i="3"/>
  <c r="P948" i="3" s="1"/>
  <c r="V948" i="3"/>
  <c r="AB948" i="3"/>
  <c r="AC948" i="3"/>
  <c r="AF948" i="3" s="1"/>
  <c r="C949" i="3"/>
  <c r="L949" i="3"/>
  <c r="M949" i="3"/>
  <c r="V949" i="3"/>
  <c r="AB949" i="3"/>
  <c r="AC949" i="3"/>
  <c r="C950" i="3"/>
  <c r="L950" i="3"/>
  <c r="M950" i="3"/>
  <c r="P950" i="3"/>
  <c r="V950" i="3"/>
  <c r="AB950" i="3"/>
  <c r="AC950" i="3"/>
  <c r="AF950" i="3"/>
  <c r="C951" i="3"/>
  <c r="L951" i="3"/>
  <c r="M951" i="3"/>
  <c r="V951" i="3"/>
  <c r="AB951" i="3"/>
  <c r="AC951" i="3"/>
  <c r="C952" i="3"/>
  <c r="L952" i="3"/>
  <c r="M952" i="3"/>
  <c r="V952" i="3"/>
  <c r="AB952" i="3"/>
  <c r="AC952" i="3"/>
  <c r="AF952" i="3" s="1"/>
  <c r="C953" i="3"/>
  <c r="L953" i="3"/>
  <c r="M953" i="3"/>
  <c r="P953" i="3"/>
  <c r="V953" i="3"/>
  <c r="AB953" i="3"/>
  <c r="AC953" i="3"/>
  <c r="AF953" i="3" s="1"/>
  <c r="C954" i="3"/>
  <c r="L954" i="3"/>
  <c r="M954" i="3"/>
  <c r="P954" i="3" s="1"/>
  <c r="V954" i="3"/>
  <c r="AB954" i="3"/>
  <c r="AC954" i="3"/>
  <c r="AF954" i="3"/>
  <c r="C955" i="3"/>
  <c r="L955" i="3"/>
  <c r="M955" i="3"/>
  <c r="P955" i="3"/>
  <c r="V955" i="3"/>
  <c r="AB955" i="3"/>
  <c r="AC955" i="3"/>
  <c r="C956" i="3"/>
  <c r="L956" i="3"/>
  <c r="M956" i="3"/>
  <c r="V956" i="3"/>
  <c r="AB956" i="3"/>
  <c r="AC956" i="3"/>
  <c r="AF956" i="3" s="1"/>
  <c r="C957" i="3"/>
  <c r="L957" i="3"/>
  <c r="M957" i="3"/>
  <c r="P957" i="3" s="1"/>
  <c r="V957" i="3"/>
  <c r="AB957" i="3"/>
  <c r="AC957" i="3"/>
  <c r="AF957" i="3" s="1"/>
  <c r="C958" i="3"/>
  <c r="L958" i="3"/>
  <c r="M958" i="3"/>
  <c r="P958" i="3"/>
  <c r="V958" i="3"/>
  <c r="AB958" i="3"/>
  <c r="AC958" i="3"/>
  <c r="AF958" i="3" s="1"/>
  <c r="C959" i="3"/>
  <c r="L959" i="3"/>
  <c r="M959" i="3"/>
  <c r="P959" i="3"/>
  <c r="V959" i="3"/>
  <c r="AB959" i="3"/>
  <c r="AC959" i="3"/>
  <c r="C960" i="3"/>
  <c r="L960" i="3"/>
  <c r="M960" i="3"/>
  <c r="V960" i="3"/>
  <c r="AB960" i="3"/>
  <c r="AD960" i="3"/>
  <c r="AE960" i="3" s="1"/>
  <c r="AC960" i="3"/>
  <c r="AF960" i="3"/>
  <c r="C961" i="3"/>
  <c r="L961" i="3"/>
  <c r="M961" i="3"/>
  <c r="P961" i="3"/>
  <c r="V961" i="3"/>
  <c r="AB961" i="3"/>
  <c r="AC961" i="3"/>
  <c r="AF961" i="3" s="1"/>
  <c r="C962" i="3"/>
  <c r="L962" i="3"/>
  <c r="N962" i="3" s="1"/>
  <c r="O962" i="3"/>
  <c r="M962" i="3"/>
  <c r="P962" i="3"/>
  <c r="V962" i="3"/>
  <c r="AB962" i="3"/>
  <c r="AC962" i="3"/>
  <c r="AF962" i="3" s="1"/>
  <c r="C963" i="3"/>
  <c r="L963" i="3"/>
  <c r="N963" i="3"/>
  <c r="O963" i="3"/>
  <c r="M963" i="3"/>
  <c r="P963" i="3"/>
  <c r="V963" i="3"/>
  <c r="AB963" i="3"/>
  <c r="AC963" i="3"/>
  <c r="C964" i="3"/>
  <c r="L964" i="3"/>
  <c r="M964" i="3"/>
  <c r="V964" i="3"/>
  <c r="AB964" i="3"/>
  <c r="AC964" i="3"/>
  <c r="AF964" i="3" s="1"/>
  <c r="C965" i="3"/>
  <c r="L965" i="3"/>
  <c r="M965" i="3"/>
  <c r="P965" i="3"/>
  <c r="V965" i="3"/>
  <c r="AB965" i="3"/>
  <c r="AC965" i="3"/>
  <c r="AF965" i="3" s="1"/>
  <c r="C966" i="3"/>
  <c r="L966" i="3"/>
  <c r="M966" i="3"/>
  <c r="V966" i="3"/>
  <c r="AB966" i="3"/>
  <c r="AC966" i="3"/>
  <c r="AF966" i="3" s="1"/>
  <c r="C967" i="3"/>
  <c r="L967" i="3"/>
  <c r="M967" i="3"/>
  <c r="P967" i="3"/>
  <c r="V967" i="3"/>
  <c r="AB967" i="3"/>
  <c r="AC967" i="3"/>
  <c r="C968" i="3"/>
  <c r="L968" i="3"/>
  <c r="M968" i="3"/>
  <c r="P968" i="3" s="1"/>
  <c r="V968" i="3"/>
  <c r="AB968" i="3"/>
  <c r="AC968" i="3"/>
  <c r="C969" i="3"/>
  <c r="L969" i="3"/>
  <c r="M969" i="3"/>
  <c r="P969" i="3" s="1"/>
  <c r="V969" i="3"/>
  <c r="AB969" i="3"/>
  <c r="AC969" i="3"/>
  <c r="AF969" i="3" s="1"/>
  <c r="C970" i="3"/>
  <c r="L970" i="3"/>
  <c r="M970" i="3"/>
  <c r="P970" i="3" s="1"/>
  <c r="V970" i="3"/>
  <c r="AB970" i="3"/>
  <c r="AC970" i="3"/>
  <c r="AF970" i="3" s="1"/>
  <c r="C971" i="3"/>
  <c r="L971" i="3"/>
  <c r="N971" i="3" s="1"/>
  <c r="O971" i="3" s="1"/>
  <c r="M971" i="3"/>
  <c r="V971" i="3"/>
  <c r="AB971" i="3"/>
  <c r="AC971" i="3"/>
  <c r="C972" i="3"/>
  <c r="L972" i="3"/>
  <c r="M972" i="3"/>
  <c r="P972" i="3" s="1"/>
  <c r="V972" i="3"/>
  <c r="AB972" i="3"/>
  <c r="AC972" i="3"/>
  <c r="AD972" i="3" s="1"/>
  <c r="AE972" i="3" s="1"/>
  <c r="C973" i="3"/>
  <c r="L973" i="3"/>
  <c r="M973" i="3"/>
  <c r="P973" i="3"/>
  <c r="V973" i="3"/>
  <c r="AB973" i="3"/>
  <c r="AC973" i="3"/>
  <c r="C974" i="3"/>
  <c r="L974" i="3"/>
  <c r="M974" i="3"/>
  <c r="P974" i="3"/>
  <c r="V974" i="3"/>
  <c r="AB974" i="3"/>
  <c r="AC974" i="3"/>
  <c r="C975" i="3"/>
  <c r="L975" i="3"/>
  <c r="M975" i="3"/>
  <c r="P975" i="3"/>
  <c r="V975" i="3"/>
  <c r="AB975" i="3"/>
  <c r="AC975" i="3"/>
  <c r="AF975" i="3" s="1"/>
  <c r="C976" i="3"/>
  <c r="L976" i="3"/>
  <c r="M976" i="3"/>
  <c r="P976" i="3"/>
  <c r="V976" i="3"/>
  <c r="AB976" i="3"/>
  <c r="AC976" i="3"/>
  <c r="AF976" i="3" s="1"/>
  <c r="C977" i="3"/>
  <c r="L977" i="3"/>
  <c r="M977" i="3"/>
  <c r="P977" i="3" s="1"/>
  <c r="V977" i="3"/>
  <c r="AB977" i="3"/>
  <c r="AC977" i="3"/>
  <c r="AF977" i="3"/>
  <c r="C978" i="3"/>
  <c r="L978" i="3"/>
  <c r="M978" i="3"/>
  <c r="P978" i="3"/>
  <c r="V978" i="3"/>
  <c r="AB978" i="3"/>
  <c r="AC978" i="3"/>
  <c r="AF978" i="3" s="1"/>
  <c r="C979" i="3"/>
  <c r="L979" i="3"/>
  <c r="M979" i="3"/>
  <c r="V979" i="3"/>
  <c r="AB979" i="3"/>
  <c r="AC979" i="3"/>
  <c r="AF979" i="3" s="1"/>
  <c r="C980" i="3"/>
  <c r="L980" i="3"/>
  <c r="N980" i="3" s="1"/>
  <c r="O980" i="3" s="1"/>
  <c r="M980" i="3"/>
  <c r="V980" i="3"/>
  <c r="AB980" i="3"/>
  <c r="AC980" i="3"/>
  <c r="AF980" i="3" s="1"/>
  <c r="C981" i="3"/>
  <c r="L981" i="3"/>
  <c r="M981" i="3"/>
  <c r="P981" i="3"/>
  <c r="V981" i="3"/>
  <c r="AB981" i="3"/>
  <c r="AC981" i="3"/>
  <c r="AF981" i="3" s="1"/>
  <c r="C982" i="3"/>
  <c r="L982" i="3"/>
  <c r="M982" i="3"/>
  <c r="P982" i="3"/>
  <c r="V982" i="3"/>
  <c r="AB982" i="3"/>
  <c r="AC982" i="3"/>
  <c r="AF982" i="3" s="1"/>
  <c r="C983" i="3"/>
  <c r="L983" i="3"/>
  <c r="M983" i="3"/>
  <c r="P983" i="3"/>
  <c r="V983" i="3"/>
  <c r="AB983" i="3"/>
  <c r="AC983" i="3"/>
  <c r="AF983" i="3" s="1"/>
  <c r="C984" i="3"/>
  <c r="L984" i="3"/>
  <c r="M984" i="3"/>
  <c r="P984" i="3" s="1"/>
  <c r="V984" i="3"/>
  <c r="AB984" i="3"/>
  <c r="AC984" i="3"/>
  <c r="C985" i="3"/>
  <c r="L985" i="3"/>
  <c r="M985" i="3"/>
  <c r="V985" i="3"/>
  <c r="AB985" i="3"/>
  <c r="AC985" i="3"/>
  <c r="AF985" i="3"/>
  <c r="C986" i="3"/>
  <c r="L986" i="3"/>
  <c r="M986" i="3"/>
  <c r="P986" i="3"/>
  <c r="V986" i="3"/>
  <c r="AB986" i="3"/>
  <c r="AC986" i="3"/>
  <c r="C987" i="3"/>
  <c r="L987" i="3"/>
  <c r="M987" i="3"/>
  <c r="P987" i="3" s="1"/>
  <c r="V987" i="3"/>
  <c r="AB987" i="3"/>
  <c r="AD987" i="3" s="1"/>
  <c r="AE987" i="3" s="1"/>
  <c r="AG987" i="3" s="1"/>
  <c r="AM987" i="3" s="1"/>
  <c r="AC987" i="3"/>
  <c r="AF987" i="3"/>
  <c r="C988" i="3"/>
  <c r="L988" i="3"/>
  <c r="M988" i="3"/>
  <c r="V988" i="3"/>
  <c r="AB988" i="3"/>
  <c r="AC988" i="3"/>
  <c r="AF988" i="3" s="1"/>
  <c r="C989" i="3"/>
  <c r="L989" i="3"/>
  <c r="M989" i="3"/>
  <c r="P989" i="3"/>
  <c r="V989" i="3"/>
  <c r="AB989" i="3"/>
  <c r="AC989" i="3"/>
  <c r="AF989" i="3" s="1"/>
  <c r="C990" i="3"/>
  <c r="L990" i="3"/>
  <c r="N990" i="3"/>
  <c r="O990" i="3"/>
  <c r="M990" i="3"/>
  <c r="P990" i="3"/>
  <c r="V990" i="3"/>
  <c r="AB990" i="3"/>
  <c r="AC990" i="3"/>
  <c r="C991" i="3"/>
  <c r="L991" i="3"/>
  <c r="M991" i="3"/>
  <c r="P991" i="3"/>
  <c r="V991" i="3"/>
  <c r="AB991" i="3"/>
  <c r="AC991" i="3"/>
  <c r="AF991" i="3" s="1"/>
  <c r="C992" i="3"/>
  <c r="L992" i="3"/>
  <c r="M992" i="3"/>
  <c r="P992" i="3"/>
  <c r="V992" i="3"/>
  <c r="AB992" i="3"/>
  <c r="AC992" i="3"/>
  <c r="AF992" i="3" s="1"/>
  <c r="C993" i="3"/>
  <c r="L993" i="3"/>
  <c r="M993" i="3"/>
  <c r="V993" i="3"/>
  <c r="AB993" i="3"/>
  <c r="AC993" i="3"/>
  <c r="AF993" i="3"/>
  <c r="C994" i="3"/>
  <c r="L994" i="3"/>
  <c r="M994" i="3"/>
  <c r="V994" i="3"/>
  <c r="AB994" i="3"/>
  <c r="AC994" i="3"/>
  <c r="AF994" i="3"/>
  <c r="C995" i="3"/>
  <c r="L995" i="3"/>
  <c r="M995" i="3"/>
  <c r="P995" i="3" s="1"/>
  <c r="V995" i="3"/>
  <c r="AB995" i="3"/>
  <c r="AD995" i="3" s="1"/>
  <c r="AC995" i="3"/>
  <c r="AF995" i="3" s="1"/>
  <c r="C996" i="3"/>
  <c r="L996" i="3"/>
  <c r="N996" i="3" s="1"/>
  <c r="O996" i="3" s="1"/>
  <c r="M996" i="3"/>
  <c r="P996" i="3" s="1"/>
  <c r="V996" i="3"/>
  <c r="AB996" i="3"/>
  <c r="AC996" i="3"/>
  <c r="AF996" i="3" s="1"/>
  <c r="C997" i="3"/>
  <c r="L997" i="3"/>
  <c r="M997" i="3"/>
  <c r="V997" i="3"/>
  <c r="AB997" i="3"/>
  <c r="AC997" i="3"/>
  <c r="AF997" i="3" s="1"/>
  <c r="C998" i="3"/>
  <c r="L998" i="3"/>
  <c r="M998" i="3"/>
  <c r="P998" i="3" s="1"/>
  <c r="V998" i="3"/>
  <c r="AB998" i="3"/>
  <c r="AC998" i="3"/>
  <c r="AF998" i="3" s="1"/>
  <c r="C999" i="3"/>
  <c r="L999" i="3"/>
  <c r="M999" i="3"/>
  <c r="P999" i="3"/>
  <c r="V999" i="3"/>
  <c r="AB999" i="3"/>
  <c r="AC999" i="3"/>
  <c r="AF999" i="3"/>
  <c r="C1000" i="3"/>
  <c r="L1000" i="3"/>
  <c r="M1000" i="3"/>
  <c r="V1000" i="3"/>
  <c r="AB1000" i="3"/>
  <c r="AC1000" i="3"/>
  <c r="C1001" i="3"/>
  <c r="L1001" i="3"/>
  <c r="M1001" i="3"/>
  <c r="P1001" i="3" s="1"/>
  <c r="V1001" i="3"/>
  <c r="AB1001" i="3"/>
  <c r="AC1001" i="3"/>
  <c r="AF1001" i="3" s="1"/>
  <c r="C1002" i="3"/>
  <c r="L1002" i="3"/>
  <c r="M1002" i="3"/>
  <c r="P1002" i="3"/>
  <c r="V1002" i="3"/>
  <c r="AB1002" i="3"/>
  <c r="AC1002" i="3"/>
  <c r="AF1002" i="3" s="1"/>
  <c r="C1003" i="3"/>
  <c r="L1003" i="3"/>
  <c r="M1003" i="3"/>
  <c r="P1003" i="3" s="1"/>
  <c r="V1003" i="3"/>
  <c r="AB1003" i="3"/>
  <c r="AC1003" i="3"/>
  <c r="C1004" i="3"/>
  <c r="L1004" i="3"/>
  <c r="M1004" i="3"/>
  <c r="V1004" i="3"/>
  <c r="AB1004" i="3"/>
  <c r="AC1004" i="3"/>
  <c r="AF1004" i="3" s="1"/>
  <c r="C1005" i="3"/>
  <c r="L1005" i="3"/>
  <c r="M1005" i="3"/>
  <c r="P1005" i="3"/>
  <c r="V1005" i="3"/>
  <c r="AB1005" i="3"/>
  <c r="AC1005" i="3"/>
  <c r="AF1005" i="3" s="1"/>
  <c r="C1006" i="3"/>
  <c r="L1006" i="3"/>
  <c r="M1006" i="3"/>
  <c r="V1006" i="3"/>
  <c r="AB1006" i="3"/>
  <c r="AC1006" i="3"/>
  <c r="AF1006" i="3" s="1"/>
  <c r="C1007" i="3"/>
  <c r="L1007" i="3"/>
  <c r="M1007" i="3"/>
  <c r="P1007" i="3"/>
  <c r="V1007" i="3"/>
  <c r="AB1007" i="3"/>
  <c r="AC1007" i="3"/>
  <c r="C1008" i="3"/>
  <c r="L1008" i="3"/>
  <c r="M1008" i="3"/>
  <c r="V1008" i="3"/>
  <c r="AB1008" i="3"/>
  <c r="AC1008" i="3"/>
  <c r="AF1008" i="3"/>
  <c r="C1009" i="3"/>
  <c r="L1009" i="3"/>
  <c r="N1009" i="3" s="1"/>
  <c r="O1009" i="3" s="1"/>
  <c r="M1009" i="3"/>
  <c r="P1009" i="3"/>
  <c r="V1009" i="3"/>
  <c r="AB1009" i="3"/>
  <c r="AC1009" i="3"/>
  <c r="C1010" i="3"/>
  <c r="L1010" i="3"/>
  <c r="M1010" i="3"/>
  <c r="P1010" i="3" s="1"/>
  <c r="V1010" i="3"/>
  <c r="AB1010" i="3"/>
  <c r="AC1010" i="3"/>
  <c r="AF1010" i="3" s="1"/>
  <c r="C1011" i="3"/>
  <c r="L1011" i="3"/>
  <c r="M1011" i="3"/>
  <c r="P1011" i="3"/>
  <c r="V1011" i="3"/>
  <c r="AB1011" i="3"/>
  <c r="AC1011" i="3"/>
  <c r="AF1011" i="3" s="1"/>
  <c r="C1012" i="3"/>
  <c r="L1012" i="3"/>
  <c r="M1012" i="3"/>
  <c r="P1012" i="3" s="1"/>
  <c r="V1012" i="3"/>
  <c r="AB1012" i="3"/>
  <c r="AC1012" i="3"/>
  <c r="C1013" i="3"/>
  <c r="L1013" i="3"/>
  <c r="M1013" i="3"/>
  <c r="P1013" i="3" s="1"/>
  <c r="V1013" i="3"/>
  <c r="AB1013" i="3"/>
  <c r="AC1013" i="3"/>
  <c r="AF1013" i="3"/>
  <c r="C1014" i="3"/>
  <c r="L1014" i="3"/>
  <c r="M1014" i="3"/>
  <c r="P1014" i="3" s="1"/>
  <c r="V1014" i="3"/>
  <c r="AB1014" i="3"/>
  <c r="AC1014" i="3"/>
  <c r="AF1014" i="3" s="1"/>
  <c r="C1015" i="3"/>
  <c r="L1015" i="3"/>
  <c r="M1015" i="3"/>
  <c r="P1015" i="3" s="1"/>
  <c r="V1015" i="3"/>
  <c r="AB1015" i="3"/>
  <c r="AC1015" i="3"/>
  <c r="AF1015" i="3" s="1"/>
  <c r="C1016" i="3"/>
  <c r="L1016" i="3"/>
  <c r="M1016" i="3"/>
  <c r="P1016" i="3" s="1"/>
  <c r="V1016" i="3"/>
  <c r="AB1016" i="3"/>
  <c r="AC1016" i="3"/>
  <c r="AF1016" i="3" s="1"/>
  <c r="C1017" i="3"/>
  <c r="L1017" i="3"/>
  <c r="N1017" i="3"/>
  <c r="O1017" i="3" s="1"/>
  <c r="M1017" i="3"/>
  <c r="P1017" i="3"/>
  <c r="V1017" i="3"/>
  <c r="AB1017" i="3"/>
  <c r="AD1017" i="3"/>
  <c r="AE1017" i="3" s="1"/>
  <c r="AC1017" i="3"/>
  <c r="AF1017" i="3" s="1"/>
  <c r="C1018" i="3"/>
  <c r="L1018" i="3"/>
  <c r="N1018" i="3"/>
  <c r="O1018" i="3" s="1"/>
  <c r="M1018" i="3"/>
  <c r="P1018" i="3"/>
  <c r="V1018" i="3"/>
  <c r="AB1018" i="3"/>
  <c r="AC1018" i="3"/>
  <c r="C1019" i="3"/>
  <c r="L1019" i="3"/>
  <c r="M1019" i="3"/>
  <c r="P1019" i="3"/>
  <c r="V1019" i="3"/>
  <c r="AB1019" i="3"/>
  <c r="AC1019" i="3"/>
  <c r="C1020" i="3"/>
  <c r="L1020" i="3"/>
  <c r="M1020" i="3"/>
  <c r="V1020" i="3"/>
  <c r="AB1020" i="3"/>
  <c r="AD1020" i="3" s="1"/>
  <c r="AE1020" i="3" s="1"/>
  <c r="AC1020" i="3"/>
  <c r="AF1020" i="3"/>
  <c r="C1021" i="3"/>
  <c r="L1021" i="3"/>
  <c r="M1021" i="3"/>
  <c r="P1021" i="3" s="1"/>
  <c r="V1021" i="3"/>
  <c r="AB1021" i="3"/>
  <c r="AC1021" i="3"/>
  <c r="AF1021" i="3" s="1"/>
  <c r="C1022" i="3"/>
  <c r="L1022" i="3"/>
  <c r="M1022" i="3"/>
  <c r="P1022" i="3" s="1"/>
  <c r="V1022" i="3"/>
  <c r="AB1022" i="3"/>
  <c r="AC1022" i="3"/>
  <c r="AF1022" i="3" s="1"/>
  <c r="C1023" i="3"/>
  <c r="L1023" i="3"/>
  <c r="M1023" i="3"/>
  <c r="P1023" i="3"/>
  <c r="V1023" i="3"/>
  <c r="AB1023" i="3"/>
  <c r="AC1023" i="3"/>
  <c r="C1024" i="3"/>
  <c r="L1024" i="3"/>
  <c r="M1024" i="3"/>
  <c r="V1024" i="3"/>
  <c r="AB1024" i="3"/>
  <c r="AC1024" i="3"/>
  <c r="AF1024" i="3" s="1"/>
  <c r="C1025" i="3"/>
  <c r="L1025" i="3"/>
  <c r="M1025" i="3"/>
  <c r="P1025" i="3" s="1"/>
  <c r="V1025" i="3"/>
  <c r="AB1025" i="3"/>
  <c r="AC1025" i="3"/>
  <c r="AF1025" i="3" s="1"/>
  <c r="C1026" i="3"/>
  <c r="L1026" i="3"/>
  <c r="M1026" i="3"/>
  <c r="P1026" i="3"/>
  <c r="V1026" i="3"/>
  <c r="AB1026" i="3"/>
  <c r="AC1026" i="3"/>
  <c r="C1027" i="3"/>
  <c r="L1027" i="3"/>
  <c r="M1027" i="3"/>
  <c r="V1027" i="3"/>
  <c r="AB1027" i="3"/>
  <c r="AC1027" i="3"/>
  <c r="C1028" i="3"/>
  <c r="L1028" i="3"/>
  <c r="N1028" i="3" s="1"/>
  <c r="O1028" i="3" s="1"/>
  <c r="M1028" i="3"/>
  <c r="V1028" i="3"/>
  <c r="AB1028" i="3"/>
  <c r="AC1028" i="3"/>
  <c r="AF1028" i="3" s="1"/>
  <c r="C1029" i="3"/>
  <c r="L1029" i="3"/>
  <c r="M1029" i="3"/>
  <c r="V1029" i="3"/>
  <c r="AB1029" i="3"/>
  <c r="AC1029" i="3"/>
  <c r="C1030" i="3"/>
  <c r="L1030" i="3"/>
  <c r="M1030" i="3"/>
  <c r="P1030" i="3" s="1"/>
  <c r="V1030" i="3"/>
  <c r="AB1030" i="3"/>
  <c r="AC1030" i="3"/>
  <c r="AF1030" i="3"/>
  <c r="C1031" i="3"/>
  <c r="L1031" i="3"/>
  <c r="M1031" i="3"/>
  <c r="P1031" i="3"/>
  <c r="V1031" i="3"/>
  <c r="AB1031" i="3"/>
  <c r="AC1031" i="3"/>
  <c r="C1032" i="3"/>
  <c r="L1032" i="3"/>
  <c r="M1032" i="3"/>
  <c r="P1032" i="3" s="1"/>
  <c r="V1032" i="3"/>
  <c r="AB1032" i="3"/>
  <c r="AC1032" i="3"/>
  <c r="AF1032" i="3"/>
  <c r="C1033" i="3"/>
  <c r="L1033" i="3"/>
  <c r="M1033" i="3"/>
  <c r="P1033" i="3" s="1"/>
  <c r="V1033" i="3"/>
  <c r="AB1033" i="3"/>
  <c r="AC1033" i="3"/>
  <c r="AF1033" i="3" s="1"/>
  <c r="C1034" i="3"/>
  <c r="L1034" i="3"/>
  <c r="M1034" i="3"/>
  <c r="P1034" i="3"/>
  <c r="V1034" i="3"/>
  <c r="AB1034" i="3"/>
  <c r="AC1034" i="3"/>
  <c r="AF1034" i="3"/>
  <c r="C1035" i="3"/>
  <c r="L1035" i="3"/>
  <c r="M1035" i="3"/>
  <c r="P1035" i="3" s="1"/>
  <c r="V1035" i="3"/>
  <c r="AB1035" i="3"/>
  <c r="AC1035" i="3"/>
  <c r="C1036" i="3"/>
  <c r="L1036" i="3"/>
  <c r="N1036" i="3"/>
  <c r="M1036" i="3"/>
  <c r="V1036" i="3"/>
  <c r="AB1036" i="3"/>
  <c r="AC1036" i="3"/>
  <c r="C1037" i="3"/>
  <c r="L1037" i="3"/>
  <c r="M1037" i="3"/>
  <c r="V1037" i="3"/>
  <c r="AB1037" i="3"/>
  <c r="AC1037" i="3"/>
  <c r="AF1037" i="3"/>
  <c r="C1038" i="3"/>
  <c r="L1038" i="3"/>
  <c r="M1038" i="3"/>
  <c r="P1038" i="3" s="1"/>
  <c r="V1038" i="3"/>
  <c r="AB1038" i="3"/>
  <c r="AC1038" i="3"/>
  <c r="AD1038" i="3" s="1"/>
  <c r="AE1038" i="3" s="1"/>
  <c r="AF1038" i="3"/>
  <c r="C1039" i="3"/>
  <c r="L1039" i="3"/>
  <c r="M1039" i="3"/>
  <c r="P1039" i="3" s="1"/>
  <c r="V1039" i="3"/>
  <c r="AB1039" i="3"/>
  <c r="AD1039" i="3" s="1"/>
  <c r="AE1039" i="3" s="1"/>
  <c r="AC1039" i="3"/>
  <c r="C1040" i="3"/>
  <c r="L1040" i="3"/>
  <c r="M1040" i="3"/>
  <c r="P1040" i="3" s="1"/>
  <c r="V1040" i="3"/>
  <c r="AB1040" i="3"/>
  <c r="AC1040" i="3"/>
  <c r="AF1040" i="3" s="1"/>
  <c r="C1041" i="3"/>
  <c r="L1041" i="3"/>
  <c r="M1041" i="3"/>
  <c r="V1041" i="3"/>
  <c r="AB1041" i="3"/>
  <c r="AC1041" i="3"/>
  <c r="AF1041" i="3" s="1"/>
  <c r="C1042" i="3"/>
  <c r="L1042" i="3"/>
  <c r="M1042" i="3"/>
  <c r="P1042" i="3"/>
  <c r="V1042" i="3"/>
  <c r="AB1042" i="3"/>
  <c r="AC1042" i="3"/>
  <c r="AF1042" i="3" s="1"/>
  <c r="C1043" i="3"/>
  <c r="L1043" i="3"/>
  <c r="M1043" i="3"/>
  <c r="P1043" i="3"/>
  <c r="V1043" i="3"/>
  <c r="AB1043" i="3"/>
  <c r="AD1043" i="3" s="1"/>
  <c r="AE1043" i="3" s="1"/>
  <c r="AG1043" i="3" s="1"/>
  <c r="AM1043" i="3" s="1"/>
  <c r="AC1043" i="3"/>
  <c r="AF1043" i="3" s="1"/>
  <c r="C1044" i="3"/>
  <c r="L1044" i="3"/>
  <c r="M1044" i="3"/>
  <c r="V1044" i="3"/>
  <c r="AB1044" i="3"/>
  <c r="AC1044" i="3"/>
  <c r="AF1044" i="3" s="1"/>
  <c r="C1045" i="3"/>
  <c r="L1045" i="3"/>
  <c r="M1045" i="3"/>
  <c r="V1045" i="3"/>
  <c r="AB1045" i="3"/>
  <c r="AC1045" i="3"/>
  <c r="AF1045" i="3" s="1"/>
  <c r="C1046" i="3"/>
  <c r="L1046" i="3"/>
  <c r="M1046" i="3"/>
  <c r="P1046" i="3" s="1"/>
  <c r="V1046" i="3"/>
  <c r="AB1046" i="3"/>
  <c r="AC1046" i="3"/>
  <c r="AF1046" i="3" s="1"/>
  <c r="C1047" i="3"/>
  <c r="L1047" i="3"/>
  <c r="M1047" i="3"/>
  <c r="P1047" i="3"/>
  <c r="V1047" i="3"/>
  <c r="AB1047" i="3"/>
  <c r="AC1047" i="3"/>
  <c r="C1048" i="3"/>
  <c r="L1048" i="3"/>
  <c r="M1048" i="3"/>
  <c r="P1048" i="3"/>
  <c r="V1048" i="3"/>
  <c r="AB1048" i="3"/>
  <c r="AC1048" i="3"/>
  <c r="AF1048" i="3" s="1"/>
  <c r="C1049" i="3"/>
  <c r="L1049" i="3"/>
  <c r="M1049" i="3"/>
  <c r="V1049" i="3"/>
  <c r="AB1049" i="3"/>
  <c r="AC1049" i="3"/>
  <c r="AF1049" i="3" s="1"/>
  <c r="C1050" i="3"/>
  <c r="L1050" i="3"/>
  <c r="M1050" i="3"/>
  <c r="P1050" i="3" s="1"/>
  <c r="V1050" i="3"/>
  <c r="AB1050" i="3"/>
  <c r="AC1050" i="3"/>
  <c r="C1051" i="3"/>
  <c r="L1051" i="3"/>
  <c r="M1051" i="3"/>
  <c r="V1051" i="3"/>
  <c r="AB1051" i="3"/>
  <c r="AC1051" i="3"/>
  <c r="AF1051" i="3"/>
  <c r="C1052" i="3"/>
  <c r="L1052" i="3"/>
  <c r="M1052" i="3"/>
  <c r="V1052" i="3"/>
  <c r="AB1052" i="3"/>
  <c r="AC1052" i="3"/>
  <c r="AF1052" i="3" s="1"/>
  <c r="C1053" i="3"/>
  <c r="L1053" i="3"/>
  <c r="M1053" i="3"/>
  <c r="P1053" i="3" s="1"/>
  <c r="V1053" i="3"/>
  <c r="AB1053" i="3"/>
  <c r="AC1053" i="3"/>
  <c r="AF1053" i="3" s="1"/>
  <c r="C1054" i="3"/>
  <c r="L1054" i="3"/>
  <c r="M1054" i="3"/>
  <c r="V1054" i="3"/>
  <c r="AB1054" i="3"/>
  <c r="AC1054" i="3"/>
  <c r="AF1054" i="3" s="1"/>
  <c r="C1055" i="3"/>
  <c r="L1055" i="3"/>
  <c r="M1055" i="3"/>
  <c r="P1055" i="3" s="1"/>
  <c r="V1055" i="3"/>
  <c r="AB1055" i="3"/>
  <c r="AC1055" i="3"/>
  <c r="C1056" i="3"/>
  <c r="L1056" i="3"/>
  <c r="M1056" i="3"/>
  <c r="V1056" i="3"/>
  <c r="AB1056" i="3"/>
  <c r="AC1056" i="3"/>
  <c r="AF1056" i="3" s="1"/>
  <c r="C1057" i="3"/>
  <c r="L1057" i="3"/>
  <c r="M1057" i="3"/>
  <c r="V1057" i="3"/>
  <c r="AB1057" i="3"/>
  <c r="AC1057" i="3"/>
  <c r="C1058" i="3"/>
  <c r="L1058" i="3"/>
  <c r="M1058" i="3"/>
  <c r="P1058" i="3" s="1"/>
  <c r="V1058" i="3"/>
  <c r="AB1058" i="3"/>
  <c r="AC1058" i="3"/>
  <c r="AF1058" i="3" s="1"/>
  <c r="C1059" i="3"/>
  <c r="L1059" i="3"/>
  <c r="M1059" i="3"/>
  <c r="P1059" i="3"/>
  <c r="V1059" i="3"/>
  <c r="AB1059" i="3"/>
  <c r="AC1059" i="3"/>
  <c r="AD1059" i="3" s="1"/>
  <c r="AE1059" i="3" s="1"/>
  <c r="C1060" i="3"/>
  <c r="L1060" i="3"/>
  <c r="M1060" i="3"/>
  <c r="V1060" i="3"/>
  <c r="AB1060" i="3"/>
  <c r="AC1060" i="3"/>
  <c r="AF1060" i="3" s="1"/>
  <c r="C1061" i="3"/>
  <c r="L1061" i="3"/>
  <c r="M1061" i="3"/>
  <c r="P1061" i="3" s="1"/>
  <c r="V1061" i="3"/>
  <c r="AB1061" i="3"/>
  <c r="AC1061" i="3"/>
  <c r="AF1061" i="3" s="1"/>
  <c r="C1062" i="3"/>
  <c r="L1062" i="3"/>
  <c r="M1062" i="3"/>
  <c r="P1062" i="3"/>
  <c r="V1062" i="3"/>
  <c r="AB1062" i="3"/>
  <c r="AC1062" i="3"/>
  <c r="AF1062" i="3" s="1"/>
  <c r="C1063" i="3"/>
  <c r="L1063" i="3"/>
  <c r="M1063" i="3"/>
  <c r="P1063" i="3" s="1"/>
  <c r="V1063" i="3"/>
  <c r="AB1063" i="3"/>
  <c r="AC1063" i="3"/>
  <c r="C1064" i="3"/>
  <c r="L1064" i="3"/>
  <c r="M1064" i="3"/>
  <c r="P1064" i="3" s="1"/>
  <c r="V1064" i="3"/>
  <c r="AB1064" i="3"/>
  <c r="AC1064" i="3"/>
  <c r="C1065" i="3"/>
  <c r="L1065" i="3"/>
  <c r="M1065" i="3"/>
  <c r="P1065" i="3"/>
  <c r="V1065" i="3"/>
  <c r="AB1065" i="3"/>
  <c r="AC1065" i="3"/>
  <c r="AF1065" i="3" s="1"/>
  <c r="C1066" i="3"/>
  <c r="L1066" i="3"/>
  <c r="M1066" i="3"/>
  <c r="P1066" i="3"/>
  <c r="V1066" i="3"/>
  <c r="AB1066" i="3"/>
  <c r="AC1066" i="3"/>
  <c r="C1067" i="3"/>
  <c r="L1067" i="3"/>
  <c r="M1067" i="3"/>
  <c r="V1067" i="3"/>
  <c r="AB1067" i="3"/>
  <c r="AC1067" i="3"/>
  <c r="C1068" i="3"/>
  <c r="L1068" i="3"/>
  <c r="M1068" i="3"/>
  <c r="P1068" i="3"/>
  <c r="V1068" i="3"/>
  <c r="AB1068" i="3"/>
  <c r="AC1068" i="3"/>
  <c r="C1069" i="3"/>
  <c r="L1069" i="3"/>
  <c r="M1069" i="3"/>
  <c r="P1069" i="3" s="1"/>
  <c r="V1069" i="3"/>
  <c r="AB1069" i="3"/>
  <c r="AC1069" i="3"/>
  <c r="C1070" i="3"/>
  <c r="L1070" i="3"/>
  <c r="M1070" i="3"/>
  <c r="V1070" i="3"/>
  <c r="AB1070" i="3"/>
  <c r="AC1070" i="3"/>
  <c r="AF1070" i="3" s="1"/>
  <c r="C1071" i="3"/>
  <c r="L1071" i="3"/>
  <c r="M1071" i="3"/>
  <c r="V1071" i="3"/>
  <c r="AB1071" i="3"/>
  <c r="AC1071" i="3"/>
  <c r="AF1071" i="3" s="1"/>
  <c r="C1072" i="3"/>
  <c r="L1072" i="3"/>
  <c r="M1072" i="3"/>
  <c r="P1072" i="3"/>
  <c r="V1072" i="3"/>
  <c r="AB1072" i="3"/>
  <c r="AC1072" i="3"/>
  <c r="AF1072" i="3" s="1"/>
  <c r="C1073" i="3"/>
  <c r="L1073" i="3"/>
  <c r="M1073" i="3"/>
  <c r="P1073" i="3" s="1"/>
  <c r="V1073" i="3"/>
  <c r="AB1073" i="3"/>
  <c r="AC1073" i="3"/>
  <c r="AF1073" i="3" s="1"/>
  <c r="C1074" i="3"/>
  <c r="L1074" i="3"/>
  <c r="M1074" i="3"/>
  <c r="P1074" i="3"/>
  <c r="V1074" i="3"/>
  <c r="AB1074" i="3"/>
  <c r="AC1074" i="3"/>
  <c r="AF1074" i="3" s="1"/>
  <c r="C1075" i="3"/>
  <c r="L1075" i="3"/>
  <c r="M1075" i="3"/>
  <c r="P1075" i="3" s="1"/>
  <c r="V1075" i="3"/>
  <c r="AB1075" i="3"/>
  <c r="AC1075" i="3"/>
  <c r="AF1075" i="3"/>
  <c r="C1076" i="3"/>
  <c r="L1076" i="3"/>
  <c r="M1076" i="3"/>
  <c r="P1076" i="3" s="1"/>
  <c r="V1076" i="3"/>
  <c r="AB1076" i="3"/>
  <c r="AD1076" i="3" s="1"/>
  <c r="AE1076" i="3" s="1"/>
  <c r="AC1076" i="3"/>
  <c r="AF1076" i="3" s="1"/>
  <c r="C1077" i="3"/>
  <c r="L1077" i="3"/>
  <c r="M1077" i="3"/>
  <c r="P1077" i="3"/>
  <c r="V1077" i="3"/>
  <c r="AB1077" i="3"/>
  <c r="AD1077" i="3" s="1"/>
  <c r="AE1077" i="3"/>
  <c r="AC1077" i="3"/>
  <c r="AF1077" i="3"/>
  <c r="C1078" i="3"/>
  <c r="L1078" i="3"/>
  <c r="M1078" i="3"/>
  <c r="P1078" i="3"/>
  <c r="V1078" i="3"/>
  <c r="AB1078" i="3"/>
  <c r="AC1078" i="3"/>
  <c r="C1079" i="3"/>
  <c r="L1079" i="3"/>
  <c r="N1079" i="3"/>
  <c r="M1079" i="3"/>
  <c r="V1079" i="3"/>
  <c r="AB1079" i="3"/>
  <c r="AC1079" i="3"/>
  <c r="AF1079" i="3"/>
  <c r="C1080" i="3"/>
  <c r="L1080" i="3"/>
  <c r="M1080" i="3"/>
  <c r="P1080" i="3"/>
  <c r="V1080" i="3"/>
  <c r="AB1080" i="3"/>
  <c r="AC1080" i="3"/>
  <c r="C1081" i="3"/>
  <c r="L1081" i="3"/>
  <c r="M1081" i="3"/>
  <c r="P1081" i="3" s="1"/>
  <c r="V1081" i="3"/>
  <c r="AB1081" i="3"/>
  <c r="AC1081" i="3"/>
  <c r="AF1081" i="3" s="1"/>
  <c r="C1082" i="3"/>
  <c r="L1082" i="3"/>
  <c r="M1082" i="3"/>
  <c r="P1082" i="3"/>
  <c r="V1082" i="3"/>
  <c r="AB1082" i="3"/>
  <c r="AC1082" i="3"/>
  <c r="AF1082" i="3" s="1"/>
  <c r="C1083" i="3"/>
  <c r="L1083" i="3"/>
  <c r="M1083" i="3"/>
  <c r="V1083" i="3"/>
  <c r="AB1083" i="3"/>
  <c r="AC1083" i="3"/>
  <c r="AF1083" i="3"/>
  <c r="C1084" i="3"/>
  <c r="L1084" i="3"/>
  <c r="M1084" i="3"/>
  <c r="P1084" i="3" s="1"/>
  <c r="V1084" i="3"/>
  <c r="AB1084" i="3"/>
  <c r="AC1084" i="3"/>
  <c r="AF1084" i="3"/>
  <c r="C1085" i="3"/>
  <c r="L1085" i="3"/>
  <c r="M1085" i="3"/>
  <c r="P1085" i="3"/>
  <c r="V1085" i="3"/>
  <c r="AB1085" i="3"/>
  <c r="AC1085" i="3"/>
  <c r="AF1085" i="3" s="1"/>
  <c r="C1086" i="3"/>
  <c r="L1086" i="3"/>
  <c r="M1086" i="3"/>
  <c r="V1086" i="3"/>
  <c r="AB1086" i="3"/>
  <c r="AC1086" i="3"/>
  <c r="C1087" i="3"/>
  <c r="L1087" i="3"/>
  <c r="M1087" i="3"/>
  <c r="V1087" i="3"/>
  <c r="AB1087" i="3"/>
  <c r="AC1087" i="3"/>
  <c r="AF1087" i="3" s="1"/>
  <c r="C1088" i="3"/>
  <c r="L1088" i="3"/>
  <c r="M1088" i="3"/>
  <c r="P1088" i="3" s="1"/>
  <c r="V1088" i="3"/>
  <c r="AB1088" i="3"/>
  <c r="AD1088" i="3" s="1"/>
  <c r="AE1088" i="3" s="1"/>
  <c r="AC1088" i="3"/>
  <c r="AF1088" i="3" s="1"/>
  <c r="C1089" i="3"/>
  <c r="L1089" i="3"/>
  <c r="M1089" i="3"/>
  <c r="P1089" i="3"/>
  <c r="V1089" i="3"/>
  <c r="AB1089" i="3"/>
  <c r="AC1089" i="3"/>
  <c r="AF1089" i="3" s="1"/>
  <c r="C1090" i="3"/>
  <c r="L1090" i="3"/>
  <c r="M1090" i="3"/>
  <c r="P1090" i="3"/>
  <c r="V1090" i="3"/>
  <c r="AB1090" i="3"/>
  <c r="AC1090" i="3"/>
  <c r="AF1090" i="3" s="1"/>
  <c r="C1091" i="3"/>
  <c r="L1091" i="3"/>
  <c r="M1091" i="3"/>
  <c r="P1091" i="3" s="1"/>
  <c r="V1091" i="3"/>
  <c r="AB1091" i="3"/>
  <c r="AC1091" i="3"/>
  <c r="AF1091" i="3" s="1"/>
  <c r="C1092" i="3"/>
  <c r="L1092" i="3"/>
  <c r="M1092" i="3"/>
  <c r="P1092" i="3" s="1"/>
  <c r="V1092" i="3"/>
  <c r="AB1092" i="3"/>
  <c r="AC1092" i="3"/>
  <c r="C1093" i="3"/>
  <c r="L1093" i="3"/>
  <c r="M1093" i="3"/>
  <c r="P1093" i="3" s="1"/>
  <c r="V1093" i="3"/>
  <c r="AB1093" i="3"/>
  <c r="AD1093" i="3" s="1"/>
  <c r="AC1093" i="3"/>
  <c r="AF1093" i="3" s="1"/>
  <c r="C1094" i="3"/>
  <c r="L1094" i="3"/>
  <c r="M1094" i="3"/>
  <c r="P1094" i="3"/>
  <c r="V1094" i="3"/>
  <c r="AB1094" i="3"/>
  <c r="AC1094" i="3"/>
  <c r="AF1094" i="3" s="1"/>
  <c r="C1095" i="3"/>
  <c r="L1095" i="3"/>
  <c r="M1095" i="3"/>
  <c r="P1095" i="3" s="1"/>
  <c r="V1095" i="3"/>
  <c r="AB1095" i="3"/>
  <c r="AC1095" i="3"/>
  <c r="C1096" i="3"/>
  <c r="L1096" i="3"/>
  <c r="M1096" i="3"/>
  <c r="P1096" i="3" s="1"/>
  <c r="V1096" i="3"/>
  <c r="AB1096" i="3"/>
  <c r="AC1096" i="3"/>
  <c r="AF1096" i="3"/>
  <c r="C1097" i="3"/>
  <c r="L1097" i="3"/>
  <c r="M1097" i="3"/>
  <c r="P1097" i="3" s="1"/>
  <c r="V1097" i="3"/>
  <c r="AB1097" i="3"/>
  <c r="AC1097" i="3"/>
  <c r="AF1097" i="3" s="1"/>
  <c r="C1098" i="3"/>
  <c r="L1098" i="3"/>
  <c r="M1098" i="3"/>
  <c r="P1098" i="3" s="1"/>
  <c r="V1098" i="3"/>
  <c r="AB1098" i="3"/>
  <c r="AD1098" i="3"/>
  <c r="AE1098" i="3" s="1"/>
  <c r="AG1098" i="3" s="1"/>
  <c r="AM1098" i="3" s="1"/>
  <c r="AC1098" i="3"/>
  <c r="AF1098" i="3" s="1"/>
  <c r="C1099" i="3"/>
  <c r="L1099" i="3"/>
  <c r="M1099" i="3"/>
  <c r="P1099" i="3"/>
  <c r="V1099" i="3"/>
  <c r="AB1099" i="3"/>
  <c r="AC1099" i="3"/>
  <c r="C1100" i="3"/>
  <c r="L1100" i="3"/>
  <c r="M1100" i="3"/>
  <c r="P1100" i="3"/>
  <c r="V1100" i="3"/>
  <c r="AB1100" i="3"/>
  <c r="AC1100" i="3"/>
  <c r="C1101" i="3"/>
  <c r="L1101" i="3"/>
  <c r="M1101" i="3"/>
  <c r="P1101" i="3"/>
  <c r="V1101" i="3"/>
  <c r="AB1101" i="3"/>
  <c r="AC1101" i="3"/>
  <c r="AF1101" i="3" s="1"/>
  <c r="C1102" i="3"/>
  <c r="L1102" i="3"/>
  <c r="N1102" i="3"/>
  <c r="O1102" i="3" s="1"/>
  <c r="M1102" i="3"/>
  <c r="P1102" i="3"/>
  <c r="V1102" i="3"/>
  <c r="AB1102" i="3"/>
  <c r="AD1102" i="3" s="1"/>
  <c r="AE1102" i="3" s="1"/>
  <c r="AG1102" i="3" s="1"/>
  <c r="AM1102" i="3" s="1"/>
  <c r="AC1102" i="3"/>
  <c r="AF1102" i="3" s="1"/>
  <c r="C1103" i="3"/>
  <c r="L1103" i="3"/>
  <c r="M1103" i="3"/>
  <c r="P1103" i="3"/>
  <c r="V1103" i="3"/>
  <c r="AB1103" i="3"/>
  <c r="AC1103" i="3"/>
  <c r="AF1103" i="3" s="1"/>
  <c r="C1104" i="3"/>
  <c r="L1104" i="3"/>
  <c r="M1104" i="3"/>
  <c r="P1104" i="3" s="1"/>
  <c r="V1104" i="3"/>
  <c r="AB1104" i="3"/>
  <c r="AC1104" i="3"/>
  <c r="AF1104" i="3" s="1"/>
  <c r="C1105" i="3"/>
  <c r="L1105" i="3"/>
  <c r="M1105" i="3"/>
  <c r="P1105" i="3" s="1"/>
  <c r="V1105" i="3"/>
  <c r="AB1105" i="3"/>
  <c r="AC1105" i="3"/>
  <c r="AF1105" i="3" s="1"/>
  <c r="C1106" i="3"/>
  <c r="L1106" i="3"/>
  <c r="M1106" i="3"/>
  <c r="P1106" i="3"/>
  <c r="V1106" i="3"/>
  <c r="AB1106" i="3"/>
  <c r="AC1106" i="3"/>
  <c r="C1107" i="3"/>
  <c r="L1107" i="3"/>
  <c r="M1107" i="3"/>
  <c r="P1107" i="3"/>
  <c r="V1107" i="3"/>
  <c r="AB1107" i="3"/>
  <c r="AC1107" i="3"/>
  <c r="C1108" i="3"/>
  <c r="L1108" i="3"/>
  <c r="M1108" i="3"/>
  <c r="P1108" i="3" s="1"/>
  <c r="V1108" i="3"/>
  <c r="AB1108" i="3"/>
  <c r="AD1108" i="3" s="1"/>
  <c r="AE1108" i="3" s="1"/>
  <c r="AC1108" i="3"/>
  <c r="AF1108" i="3" s="1"/>
  <c r="C1109" i="3"/>
  <c r="L1109" i="3"/>
  <c r="M1109" i="3"/>
  <c r="P1109" i="3" s="1"/>
  <c r="V1109" i="3"/>
  <c r="AB1109" i="3"/>
  <c r="AC1109" i="3"/>
  <c r="AF1109" i="3"/>
  <c r="C1110" i="3"/>
  <c r="L1110" i="3"/>
  <c r="M1110" i="3"/>
  <c r="P1110" i="3" s="1"/>
  <c r="V1110" i="3"/>
  <c r="AB1110" i="3"/>
  <c r="AC1110" i="3"/>
  <c r="AF1110" i="3"/>
  <c r="C1111" i="3"/>
  <c r="L1111" i="3"/>
  <c r="M1111" i="3"/>
  <c r="P1111" i="3"/>
  <c r="V1111" i="3"/>
  <c r="AB1111" i="3"/>
  <c r="AC1111" i="3"/>
  <c r="C1112" i="3"/>
  <c r="L1112" i="3"/>
  <c r="M1112" i="3"/>
  <c r="V1112" i="3"/>
  <c r="AB1112" i="3"/>
  <c r="AC1112" i="3"/>
  <c r="AF1112" i="3"/>
  <c r="C1113" i="3"/>
  <c r="L1113" i="3"/>
  <c r="M1113" i="3"/>
  <c r="P1113" i="3" s="1"/>
  <c r="V1113" i="3"/>
  <c r="AB1113" i="3"/>
  <c r="AC1113" i="3"/>
  <c r="AF1113" i="3"/>
  <c r="C1114" i="3"/>
  <c r="L1114" i="3"/>
  <c r="M1114" i="3"/>
  <c r="P1114" i="3"/>
  <c r="V1114" i="3"/>
  <c r="AB1114" i="3"/>
  <c r="AC1114" i="3"/>
  <c r="C1115" i="3"/>
  <c r="L1115" i="3"/>
  <c r="M1115" i="3"/>
  <c r="V1115" i="3"/>
  <c r="AB1115" i="3"/>
  <c r="AC1115" i="3"/>
  <c r="AF1115" i="3" s="1"/>
  <c r="C1116" i="3"/>
  <c r="L1116" i="3"/>
  <c r="M1116" i="3"/>
  <c r="P1116" i="3"/>
  <c r="V1116" i="3"/>
  <c r="AB1116" i="3"/>
  <c r="AC1116" i="3"/>
  <c r="AF1116" i="3" s="1"/>
  <c r="C1117" i="3"/>
  <c r="L1117" i="3"/>
  <c r="M1117" i="3"/>
  <c r="P1117" i="3" s="1"/>
  <c r="V1117" i="3"/>
  <c r="AB1117" i="3"/>
  <c r="AC1117" i="3"/>
  <c r="AF1117" i="3" s="1"/>
  <c r="C1118" i="3"/>
  <c r="L1118" i="3"/>
  <c r="M1118" i="3"/>
  <c r="V1118" i="3"/>
  <c r="AB1118" i="3"/>
  <c r="AC1118" i="3"/>
  <c r="AF1118" i="3" s="1"/>
  <c r="C1119" i="3"/>
  <c r="L1119" i="3"/>
  <c r="M1119" i="3"/>
  <c r="V1119" i="3"/>
  <c r="AB1119" i="3"/>
  <c r="AC1119" i="3"/>
  <c r="AF1119" i="3" s="1"/>
  <c r="C1120" i="3"/>
  <c r="L1120" i="3"/>
  <c r="M1120" i="3"/>
  <c r="P1120" i="3" s="1"/>
  <c r="V1120" i="3"/>
  <c r="AB1120" i="3"/>
  <c r="AC1120" i="3"/>
  <c r="C1121" i="3"/>
  <c r="L1121" i="3"/>
  <c r="M1121" i="3"/>
  <c r="P1121" i="3"/>
  <c r="V1121" i="3"/>
  <c r="AB1121" i="3"/>
  <c r="AC1121" i="3"/>
  <c r="AF1121" i="3" s="1"/>
  <c r="C1122" i="3"/>
  <c r="L1122" i="3"/>
  <c r="M1122" i="3"/>
  <c r="V1122" i="3"/>
  <c r="AB1122" i="3"/>
  <c r="AC1122" i="3"/>
  <c r="AF1122" i="3" s="1"/>
  <c r="C1123" i="3"/>
  <c r="L1123" i="3"/>
  <c r="M1123" i="3"/>
  <c r="P1123" i="3"/>
  <c r="V1123" i="3"/>
  <c r="AB1123" i="3"/>
  <c r="AC1123" i="3"/>
  <c r="AF1123" i="3" s="1"/>
  <c r="C1124" i="3"/>
  <c r="L1124" i="3"/>
  <c r="N1124" i="3"/>
  <c r="O1124" i="3"/>
  <c r="M1124" i="3"/>
  <c r="P1124" i="3" s="1"/>
  <c r="V1124" i="3"/>
  <c r="AB1124" i="3"/>
  <c r="AC1124" i="3"/>
  <c r="C1125" i="3"/>
  <c r="L1125" i="3"/>
  <c r="M1125" i="3"/>
  <c r="P1125" i="3"/>
  <c r="V1125" i="3"/>
  <c r="AB1125" i="3"/>
  <c r="AC1125" i="3"/>
  <c r="AF1125" i="3" s="1"/>
  <c r="C1126" i="3"/>
  <c r="L1126" i="3"/>
  <c r="M1126" i="3"/>
  <c r="P1126" i="3" s="1"/>
  <c r="V1126" i="3"/>
  <c r="AB1126" i="3"/>
  <c r="AC1126" i="3"/>
  <c r="AF1126" i="3" s="1"/>
  <c r="C1127" i="3"/>
  <c r="L1127" i="3"/>
  <c r="M1127" i="3"/>
  <c r="P1127" i="3"/>
  <c r="V1127" i="3"/>
  <c r="AB1127" i="3"/>
  <c r="AC1127" i="3"/>
  <c r="C1128" i="3"/>
  <c r="L1128" i="3"/>
  <c r="M1128" i="3"/>
  <c r="V1128" i="3"/>
  <c r="AB1128" i="3"/>
  <c r="AC1128" i="3"/>
  <c r="AF1128" i="3" s="1"/>
  <c r="C1129" i="3"/>
  <c r="L1129" i="3"/>
  <c r="N1129" i="3" s="1"/>
  <c r="O1129" i="3" s="1"/>
  <c r="M1129" i="3"/>
  <c r="P1129" i="3" s="1"/>
  <c r="V1129" i="3"/>
  <c r="AB1129" i="3"/>
  <c r="AC1129" i="3"/>
  <c r="AF1129" i="3"/>
  <c r="C1130" i="3"/>
  <c r="L1130" i="3"/>
  <c r="M1130" i="3"/>
  <c r="P1130" i="3" s="1"/>
  <c r="V1130" i="3"/>
  <c r="AB1130" i="3"/>
  <c r="AC1130" i="3"/>
  <c r="AF1130" i="3"/>
  <c r="C1131" i="3"/>
  <c r="L1131" i="3"/>
  <c r="M1131" i="3"/>
  <c r="P1131" i="3" s="1"/>
  <c r="V1131" i="3"/>
  <c r="AB1131" i="3"/>
  <c r="AC1131" i="3"/>
  <c r="C1132" i="3"/>
  <c r="L1132" i="3"/>
  <c r="M1132" i="3"/>
  <c r="P1132" i="3"/>
  <c r="V1132" i="3"/>
  <c r="AB1132" i="3"/>
  <c r="AD1132" i="3" s="1"/>
  <c r="AE1132" i="3" s="1"/>
  <c r="AC1132" i="3"/>
  <c r="AF1132" i="3"/>
  <c r="C1133" i="3"/>
  <c r="L1133" i="3"/>
  <c r="M1133" i="3"/>
  <c r="P1133" i="3" s="1"/>
  <c r="V1133" i="3"/>
  <c r="AB1133" i="3"/>
  <c r="AC1133" i="3"/>
  <c r="C1134" i="3"/>
  <c r="L1134" i="3"/>
  <c r="M1134" i="3"/>
  <c r="P1134" i="3" s="1"/>
  <c r="V1134" i="3"/>
  <c r="AB1134" i="3"/>
  <c r="AC1134" i="3"/>
  <c r="AF1134" i="3" s="1"/>
  <c r="C1135" i="3"/>
  <c r="L1135" i="3"/>
  <c r="M1135" i="3"/>
  <c r="V1135" i="3"/>
  <c r="AB1135" i="3"/>
  <c r="AD1135" i="3" s="1"/>
  <c r="AE1135" i="3" s="1"/>
  <c r="AC1135" i="3"/>
  <c r="AF1135" i="3" s="1"/>
  <c r="C1136" i="3"/>
  <c r="L1136" i="3"/>
  <c r="M1136" i="3"/>
  <c r="V1136" i="3"/>
  <c r="AB1136" i="3"/>
  <c r="AC1136" i="3"/>
  <c r="AF1136" i="3" s="1"/>
  <c r="C1137" i="3"/>
  <c r="L1137" i="3"/>
  <c r="M1137" i="3"/>
  <c r="P1137" i="3"/>
  <c r="V1137" i="3"/>
  <c r="AB1137" i="3"/>
  <c r="AC1137" i="3"/>
  <c r="AF1137" i="3" s="1"/>
  <c r="C1138" i="3"/>
  <c r="L1138" i="3"/>
  <c r="M1138" i="3"/>
  <c r="P1138" i="3" s="1"/>
  <c r="V1138" i="3"/>
  <c r="AB1138" i="3"/>
  <c r="AC1138" i="3"/>
  <c r="AF1138" i="3" s="1"/>
  <c r="C1139" i="3"/>
  <c r="L1139" i="3"/>
  <c r="M1139" i="3"/>
  <c r="P1139" i="3" s="1"/>
  <c r="V1139" i="3"/>
  <c r="AB1139" i="3"/>
  <c r="AC1139" i="3"/>
  <c r="AF1139" i="3" s="1"/>
  <c r="C1140" i="3"/>
  <c r="L1140" i="3"/>
  <c r="M1140" i="3"/>
  <c r="V1140" i="3"/>
  <c r="AB1140" i="3"/>
  <c r="AD1140" i="3" s="1"/>
  <c r="AE1140" i="3" s="1"/>
  <c r="AC1140" i="3"/>
  <c r="AF1140" i="3"/>
  <c r="C1141" i="3"/>
  <c r="L1141" i="3"/>
  <c r="M1141" i="3"/>
  <c r="P1141" i="3"/>
  <c r="V1141" i="3"/>
  <c r="AB1141" i="3"/>
  <c r="AC1141" i="3"/>
  <c r="AF1141" i="3" s="1"/>
  <c r="C1142" i="3"/>
  <c r="L1142" i="3"/>
  <c r="M1142" i="3"/>
  <c r="P1142" i="3" s="1"/>
  <c r="V1142" i="3"/>
  <c r="AB1142" i="3"/>
  <c r="AC1142" i="3"/>
  <c r="AF1142" i="3" s="1"/>
  <c r="C1143" i="3"/>
  <c r="L1143" i="3"/>
  <c r="M1143" i="3"/>
  <c r="V1143" i="3"/>
  <c r="AB1143" i="3"/>
  <c r="AC1143" i="3"/>
  <c r="C1144" i="3"/>
  <c r="L1144" i="3"/>
  <c r="N1144" i="3"/>
  <c r="O1144" i="3" s="1"/>
  <c r="M1144" i="3"/>
  <c r="P1144" i="3"/>
  <c r="V1144" i="3"/>
  <c r="AB1144" i="3"/>
  <c r="AC1144" i="3"/>
  <c r="C1145" i="3"/>
  <c r="L1145" i="3"/>
  <c r="M1145" i="3"/>
  <c r="V1145" i="3"/>
  <c r="AB1145" i="3"/>
  <c r="AC1145" i="3"/>
  <c r="C1146" i="3"/>
  <c r="L1146" i="3"/>
  <c r="M1146" i="3"/>
  <c r="P1146" i="3" s="1"/>
  <c r="V1146" i="3"/>
  <c r="AB1146" i="3"/>
  <c r="AC1146" i="3"/>
  <c r="AF1146" i="3" s="1"/>
  <c r="C1147" i="3"/>
  <c r="L1147" i="3"/>
  <c r="M1147" i="3"/>
  <c r="V1147" i="3"/>
  <c r="AB1147" i="3"/>
  <c r="AC1147" i="3"/>
  <c r="AF1147" i="3" s="1"/>
  <c r="C1148" i="3"/>
  <c r="L1148" i="3"/>
  <c r="M1148" i="3"/>
  <c r="P1148" i="3"/>
  <c r="V1148" i="3"/>
  <c r="AB1148" i="3"/>
  <c r="AC1148" i="3"/>
  <c r="AF1148" i="3" s="1"/>
  <c r="C1149" i="3"/>
  <c r="L1149" i="3"/>
  <c r="N1149" i="3" s="1"/>
  <c r="O1149" i="3" s="1"/>
  <c r="Q1149" i="3" s="1"/>
  <c r="M1149" i="3"/>
  <c r="P1149" i="3"/>
  <c r="V1149" i="3"/>
  <c r="AB1149" i="3"/>
  <c r="AC1149" i="3"/>
  <c r="AF1149" i="3" s="1"/>
  <c r="C1150" i="3"/>
  <c r="L1150" i="3"/>
  <c r="N1150" i="3"/>
  <c r="O1150" i="3" s="1"/>
  <c r="M1150" i="3"/>
  <c r="P1150" i="3"/>
  <c r="V1150" i="3"/>
  <c r="AB1150" i="3"/>
  <c r="AC1150" i="3"/>
  <c r="C1151" i="3"/>
  <c r="L1151" i="3"/>
  <c r="M1151" i="3"/>
  <c r="V1151" i="3"/>
  <c r="AB1151" i="3"/>
  <c r="AC1151" i="3"/>
  <c r="AF1151" i="3" s="1"/>
  <c r="C1152" i="3"/>
  <c r="L1152" i="3"/>
  <c r="M1152" i="3"/>
  <c r="P1152" i="3"/>
  <c r="V1152" i="3"/>
  <c r="AB1152" i="3"/>
  <c r="AD1152" i="3" s="1"/>
  <c r="AE1152" i="3" s="1"/>
  <c r="AG1152" i="3" s="1"/>
  <c r="AM1152" i="3" s="1"/>
  <c r="AC1152" i="3"/>
  <c r="AF1152" i="3"/>
  <c r="C1153" i="3"/>
  <c r="L1153" i="3"/>
  <c r="M1153" i="3"/>
  <c r="P1153" i="3" s="1"/>
  <c r="V1153" i="3"/>
  <c r="AB1153" i="3"/>
  <c r="AD1153" i="3" s="1"/>
  <c r="AE1153" i="3" s="1"/>
  <c r="AG1153" i="3" s="1"/>
  <c r="AM1153" i="3" s="1"/>
  <c r="AC1153" i="3"/>
  <c r="AF1153" i="3"/>
  <c r="C1154" i="3"/>
  <c r="L1154" i="3"/>
  <c r="M1154" i="3"/>
  <c r="P1154" i="3"/>
  <c r="V1154" i="3"/>
  <c r="AB1154" i="3"/>
  <c r="AC1154" i="3"/>
  <c r="AF1154" i="3" s="1"/>
  <c r="C1155" i="3"/>
  <c r="L1155" i="3"/>
  <c r="M1155" i="3"/>
  <c r="V1155" i="3"/>
  <c r="AB1155" i="3"/>
  <c r="AC1155" i="3"/>
  <c r="AF1155" i="3"/>
  <c r="C1156" i="3"/>
  <c r="L1156" i="3"/>
  <c r="M1156" i="3"/>
  <c r="P1156" i="3"/>
  <c r="V1156" i="3"/>
  <c r="AB1156" i="3"/>
  <c r="AC1156" i="3"/>
  <c r="C1157" i="3"/>
  <c r="L1157" i="3"/>
  <c r="M1157" i="3"/>
  <c r="P1157" i="3"/>
  <c r="V1157" i="3"/>
  <c r="AB1157" i="3"/>
  <c r="AC1157" i="3"/>
  <c r="AF1157" i="3"/>
  <c r="C1158" i="3"/>
  <c r="L1158" i="3"/>
  <c r="M1158" i="3"/>
  <c r="P1158" i="3" s="1"/>
  <c r="V1158" i="3"/>
  <c r="AB1158" i="3"/>
  <c r="AC1158" i="3"/>
  <c r="AF1158" i="3"/>
  <c r="C1159" i="3"/>
  <c r="L1159" i="3"/>
  <c r="M1159" i="3"/>
  <c r="P1159" i="3" s="1"/>
  <c r="V1159" i="3"/>
  <c r="AB1159" i="3"/>
  <c r="AC1159" i="3"/>
  <c r="AF1159" i="3" s="1"/>
  <c r="C1160" i="3"/>
  <c r="L1160" i="3"/>
  <c r="M1160" i="3"/>
  <c r="V1160" i="3"/>
  <c r="AB1160" i="3"/>
  <c r="AC1160" i="3"/>
  <c r="AF1160" i="3" s="1"/>
  <c r="C1161" i="3"/>
  <c r="L1161" i="3"/>
  <c r="M1161" i="3"/>
  <c r="P1161" i="3"/>
  <c r="V1161" i="3"/>
  <c r="AB1161" i="3"/>
  <c r="AC1161" i="3"/>
  <c r="C1162" i="3"/>
  <c r="L1162" i="3"/>
  <c r="M1162" i="3"/>
  <c r="P1162" i="3"/>
  <c r="V1162" i="3"/>
  <c r="AB1162" i="3"/>
  <c r="AC1162" i="3"/>
  <c r="AF1162" i="3" s="1"/>
  <c r="C1163" i="3"/>
  <c r="L1163" i="3"/>
  <c r="M1163" i="3"/>
  <c r="P1163" i="3"/>
  <c r="V1163" i="3"/>
  <c r="AB1163" i="3"/>
  <c r="AC1163" i="3"/>
  <c r="C1164" i="3"/>
  <c r="L1164" i="3"/>
  <c r="M1164" i="3"/>
  <c r="P1164" i="3"/>
  <c r="V1164" i="3"/>
  <c r="AB1164" i="3"/>
  <c r="AC1164" i="3"/>
  <c r="AF1164" i="3" s="1"/>
  <c r="C1165" i="3"/>
  <c r="L1165" i="3"/>
  <c r="M1165" i="3"/>
  <c r="V1165" i="3"/>
  <c r="AB1165" i="3"/>
  <c r="AC1165" i="3"/>
  <c r="AF1165" i="3" s="1"/>
  <c r="C1166" i="3"/>
  <c r="L1166" i="3"/>
  <c r="M1166" i="3"/>
  <c r="P1166" i="3" s="1"/>
  <c r="V1166" i="3"/>
  <c r="AB1166" i="3"/>
  <c r="AC1166" i="3"/>
  <c r="C1167" i="3"/>
  <c r="L1167" i="3"/>
  <c r="M1167" i="3"/>
  <c r="P1167" i="3"/>
  <c r="V1167" i="3"/>
  <c r="AB1167" i="3"/>
  <c r="AC1167" i="3"/>
  <c r="AF1167" i="3" s="1"/>
  <c r="C1168" i="3"/>
  <c r="L1168" i="3"/>
  <c r="M1168" i="3"/>
  <c r="P1168" i="3"/>
  <c r="V1168" i="3"/>
  <c r="AB1168" i="3"/>
  <c r="AC1168" i="3"/>
  <c r="AD1168" i="3" s="1"/>
  <c r="AE1168" i="3" s="1"/>
  <c r="C1169" i="3"/>
  <c r="L1169" i="3"/>
  <c r="M1169" i="3"/>
  <c r="P1169" i="3"/>
  <c r="V1169" i="3"/>
  <c r="AB1169" i="3"/>
  <c r="AD1169" i="3" s="1"/>
  <c r="AE1169" i="3" s="1"/>
  <c r="AC1169" i="3"/>
  <c r="AF1169" i="3"/>
  <c r="C1170" i="3"/>
  <c r="L1170" i="3"/>
  <c r="M1170" i="3"/>
  <c r="P1170" i="3"/>
  <c r="V1170" i="3"/>
  <c r="AB1170" i="3"/>
  <c r="AC1170" i="3"/>
  <c r="AF1170" i="3" s="1"/>
  <c r="C1171" i="3"/>
  <c r="L1171" i="3"/>
  <c r="M1171" i="3"/>
  <c r="P1171" i="3"/>
  <c r="V1171" i="3"/>
  <c r="AB1171" i="3"/>
  <c r="AC1171" i="3"/>
  <c r="AF1171" i="3" s="1"/>
  <c r="C1172" i="3"/>
  <c r="L1172" i="3"/>
  <c r="M1172" i="3"/>
  <c r="P1172" i="3"/>
  <c r="V1172" i="3"/>
  <c r="AB1172" i="3"/>
  <c r="AC1172" i="3"/>
  <c r="AF1172" i="3"/>
  <c r="C1173" i="3"/>
  <c r="L1173" i="3"/>
  <c r="M1173" i="3"/>
  <c r="P1173" i="3"/>
  <c r="V1173" i="3"/>
  <c r="AB1173" i="3"/>
  <c r="AC1173" i="3"/>
  <c r="AF1173" i="3" s="1"/>
  <c r="C1174" i="3"/>
  <c r="L1174" i="3"/>
  <c r="M1174" i="3"/>
  <c r="V1174" i="3"/>
  <c r="AB1174" i="3"/>
  <c r="AC1174" i="3"/>
  <c r="AF1174" i="3"/>
  <c r="C1175" i="3"/>
  <c r="L1175" i="3"/>
  <c r="M1175" i="3"/>
  <c r="P1175" i="3" s="1"/>
  <c r="V1175" i="3"/>
  <c r="AB1175" i="3"/>
  <c r="AC1175" i="3"/>
  <c r="AF1175" i="3" s="1"/>
  <c r="C1176" i="3"/>
  <c r="L1176" i="3"/>
  <c r="M1176" i="3"/>
  <c r="P1176" i="3"/>
  <c r="V1176" i="3"/>
  <c r="AB1176" i="3"/>
  <c r="AC1176" i="3"/>
  <c r="AF1176" i="3" s="1"/>
  <c r="C1177" i="3"/>
  <c r="L1177" i="3"/>
  <c r="M1177" i="3"/>
  <c r="P1177" i="3"/>
  <c r="V1177" i="3"/>
  <c r="AB1177" i="3"/>
  <c r="AC1177" i="3"/>
  <c r="AF1177" i="3"/>
  <c r="C1178" i="3"/>
  <c r="L1178" i="3"/>
  <c r="M1178" i="3"/>
  <c r="V1178" i="3"/>
  <c r="AB1178" i="3"/>
  <c r="AC1178" i="3"/>
  <c r="AF1178" i="3" s="1"/>
  <c r="C1179" i="3"/>
  <c r="L1179" i="3"/>
  <c r="N1179" i="3" s="1"/>
  <c r="O1179" i="3" s="1"/>
  <c r="M1179" i="3"/>
  <c r="P1179" i="3" s="1"/>
  <c r="V1179" i="3"/>
  <c r="AB1179" i="3"/>
  <c r="AC1179" i="3"/>
  <c r="AF1179" i="3" s="1"/>
  <c r="C1180" i="3"/>
  <c r="L1180" i="3"/>
  <c r="M1180" i="3"/>
  <c r="P1180" i="3" s="1"/>
  <c r="V1180" i="3"/>
  <c r="AB1180" i="3"/>
  <c r="AC1180" i="3"/>
  <c r="AF1180" i="3" s="1"/>
  <c r="C1181" i="3"/>
  <c r="L1181" i="3"/>
  <c r="N1181" i="3" s="1"/>
  <c r="O1181" i="3" s="1"/>
  <c r="Q1181" i="3" s="1"/>
  <c r="M1181" i="3"/>
  <c r="P1181" i="3"/>
  <c r="V1181" i="3"/>
  <c r="AB1181" i="3"/>
  <c r="AC1181" i="3"/>
  <c r="AF1181" i="3" s="1"/>
  <c r="C1182" i="3"/>
  <c r="L1182" i="3"/>
  <c r="M1182" i="3"/>
  <c r="P1182" i="3" s="1"/>
  <c r="V1182" i="3"/>
  <c r="AB1182" i="3"/>
  <c r="AC1182" i="3"/>
  <c r="C1183" i="3"/>
  <c r="L1183" i="3"/>
  <c r="M1183" i="3"/>
  <c r="V1183" i="3"/>
  <c r="AB1183" i="3"/>
  <c r="AD1183" i="3" s="1"/>
  <c r="AE1183" i="3" s="1"/>
  <c r="AC1183" i="3"/>
  <c r="AF1183" i="3" s="1"/>
  <c r="C1184" i="3"/>
  <c r="L1184" i="3"/>
  <c r="M1184" i="3"/>
  <c r="P1184" i="3" s="1"/>
  <c r="V1184" i="3"/>
  <c r="AB1184" i="3"/>
  <c r="AC1184" i="3"/>
  <c r="AF1184" i="3" s="1"/>
  <c r="C1185" i="3"/>
  <c r="L1185" i="3"/>
  <c r="M1185" i="3"/>
  <c r="P1185" i="3" s="1"/>
  <c r="V1185" i="3"/>
  <c r="AB1185" i="3"/>
  <c r="AC1185" i="3"/>
  <c r="AF1185" i="3" s="1"/>
  <c r="C1186" i="3"/>
  <c r="L1186" i="3"/>
  <c r="M1186" i="3"/>
  <c r="P1186" i="3"/>
  <c r="V1186" i="3"/>
  <c r="AB1186" i="3"/>
  <c r="AC1186" i="3"/>
  <c r="AF1186" i="3" s="1"/>
  <c r="C1187" i="3"/>
  <c r="L1187" i="3"/>
  <c r="N1187" i="3"/>
  <c r="O1187" i="3" s="1"/>
  <c r="Q1187" i="3" s="1"/>
  <c r="M1187" i="3"/>
  <c r="P1187" i="3" s="1"/>
  <c r="V1187" i="3"/>
  <c r="AB1187" i="3"/>
  <c r="AC1187" i="3"/>
  <c r="AF1187" i="3"/>
  <c r="C1188" i="3"/>
  <c r="L1188" i="3"/>
  <c r="M1188" i="3"/>
  <c r="P1188" i="3"/>
  <c r="V1188" i="3"/>
  <c r="AB1188" i="3"/>
  <c r="AD1188" i="3" s="1"/>
  <c r="AE1188" i="3" s="1"/>
  <c r="AC1188" i="3"/>
  <c r="AF1188" i="3"/>
  <c r="C1189" i="3"/>
  <c r="L1189" i="3"/>
  <c r="M1189" i="3"/>
  <c r="P1189" i="3" s="1"/>
  <c r="V1189" i="3"/>
  <c r="AB1189" i="3"/>
  <c r="AC1189" i="3"/>
  <c r="AF1189" i="3" s="1"/>
  <c r="C1190" i="3"/>
  <c r="L1190" i="3"/>
  <c r="M1190" i="3"/>
  <c r="P1190" i="3"/>
  <c r="V1190" i="3"/>
  <c r="AB1190" i="3"/>
  <c r="AD1190" i="3" s="1"/>
  <c r="AC1190" i="3"/>
  <c r="AF1190" i="3" s="1"/>
  <c r="AE1190" i="3"/>
  <c r="C1191" i="3"/>
  <c r="L1191" i="3"/>
  <c r="M1191" i="3"/>
  <c r="P1191" i="3"/>
  <c r="V1191" i="3"/>
  <c r="AB1191" i="3"/>
  <c r="AC1191" i="3"/>
  <c r="AF1191" i="3" s="1"/>
  <c r="C1192" i="3"/>
  <c r="L1192" i="3"/>
  <c r="M1192" i="3"/>
  <c r="P1192" i="3" s="1"/>
  <c r="V1192" i="3"/>
  <c r="AB1192" i="3"/>
  <c r="AC1192" i="3"/>
  <c r="AF1192" i="3" s="1"/>
  <c r="C1193" i="3"/>
  <c r="L1193" i="3"/>
  <c r="M1193" i="3"/>
  <c r="P1193" i="3"/>
  <c r="V1193" i="3"/>
  <c r="AB1193" i="3"/>
  <c r="AC1193" i="3"/>
  <c r="AF1193" i="3" s="1"/>
  <c r="C1194" i="3"/>
  <c r="L1194" i="3"/>
  <c r="M1194" i="3"/>
  <c r="V1194" i="3"/>
  <c r="AB1194" i="3"/>
  <c r="AC1194" i="3"/>
  <c r="AF1194" i="3" s="1"/>
  <c r="C1195" i="3"/>
  <c r="L1195" i="3"/>
  <c r="M1195" i="3"/>
  <c r="P1195" i="3"/>
  <c r="V1195" i="3"/>
  <c r="AB1195" i="3"/>
  <c r="AC1195" i="3"/>
  <c r="AF1195" i="3" s="1"/>
  <c r="C1196" i="3"/>
  <c r="L1196" i="3"/>
  <c r="M1196" i="3"/>
  <c r="P1196" i="3" s="1"/>
  <c r="V1196" i="3"/>
  <c r="AB1196" i="3"/>
  <c r="AC1196" i="3"/>
  <c r="AF1196" i="3"/>
  <c r="C1197" i="3"/>
  <c r="L1197" i="3"/>
  <c r="M1197" i="3"/>
  <c r="P1197" i="3"/>
  <c r="V1197" i="3"/>
  <c r="AB1197" i="3"/>
  <c r="AC1197" i="3"/>
  <c r="AF1197" i="3" s="1"/>
  <c r="C1198" i="3"/>
  <c r="L1198" i="3"/>
  <c r="N1198" i="3"/>
  <c r="O1198" i="3" s="1"/>
  <c r="Q1198" i="3" s="1"/>
  <c r="M1198" i="3"/>
  <c r="P1198" i="3" s="1"/>
  <c r="V1198" i="3"/>
  <c r="AB1198" i="3"/>
  <c r="AC1198" i="3"/>
  <c r="C1199" i="3"/>
  <c r="L1199" i="3"/>
  <c r="M1199" i="3"/>
  <c r="P1199" i="3"/>
  <c r="V1199" i="3"/>
  <c r="AB1199" i="3"/>
  <c r="AC1199" i="3"/>
  <c r="AF1199" i="3" s="1"/>
  <c r="C1200" i="3"/>
  <c r="L1200" i="3"/>
  <c r="M1200" i="3"/>
  <c r="V1200" i="3"/>
  <c r="AB1200" i="3"/>
  <c r="AC1200" i="3"/>
  <c r="AF1200" i="3" s="1"/>
  <c r="C1201" i="3"/>
  <c r="L1201" i="3"/>
  <c r="M1201" i="3"/>
  <c r="P1201" i="3" s="1"/>
  <c r="V1201" i="3"/>
  <c r="AB1201" i="3"/>
  <c r="AC1201" i="3"/>
  <c r="AF1201" i="3" s="1"/>
  <c r="C1202" i="3"/>
  <c r="L1202" i="3"/>
  <c r="M1202" i="3"/>
  <c r="V1202" i="3"/>
  <c r="AB1202" i="3"/>
  <c r="AC1202" i="3"/>
  <c r="AF1202" i="3"/>
  <c r="C1203" i="3"/>
  <c r="L1203" i="3"/>
  <c r="M1203" i="3"/>
  <c r="P1203" i="3" s="1"/>
  <c r="V1203" i="3"/>
  <c r="AB1203" i="3"/>
  <c r="AC1203" i="3"/>
  <c r="AF1203" i="3" s="1"/>
  <c r="C1204" i="3"/>
  <c r="L1204" i="3"/>
  <c r="N1204" i="3" s="1"/>
  <c r="O1204" i="3" s="1"/>
  <c r="M1204" i="3"/>
  <c r="P1204" i="3"/>
  <c r="V1204" i="3"/>
  <c r="AB1204" i="3"/>
  <c r="AD1204" i="3"/>
  <c r="AE1204" i="3" s="1"/>
  <c r="AC1204" i="3"/>
  <c r="AF1204" i="3" s="1"/>
  <c r="C1205" i="3"/>
  <c r="L1205" i="3"/>
  <c r="M1205" i="3"/>
  <c r="P1205" i="3"/>
  <c r="V1205" i="3"/>
  <c r="AB1205" i="3"/>
  <c r="AC1205" i="3"/>
  <c r="AF1205" i="3" s="1"/>
  <c r="C1206" i="3"/>
  <c r="L1206" i="3"/>
  <c r="M1206" i="3"/>
  <c r="P1206" i="3" s="1"/>
  <c r="V1206" i="3"/>
  <c r="AB1206" i="3"/>
  <c r="AC1206" i="3"/>
  <c r="AF1206" i="3" s="1"/>
  <c r="C1207" i="3"/>
  <c r="L1207" i="3"/>
  <c r="M1207" i="3"/>
  <c r="P1207" i="3" s="1"/>
  <c r="V1207" i="3"/>
  <c r="AB1207" i="3"/>
  <c r="AC1207" i="3"/>
  <c r="AF1207" i="3" s="1"/>
  <c r="C1208" i="3"/>
  <c r="L1208" i="3"/>
  <c r="M1208" i="3"/>
  <c r="P1208" i="3" s="1"/>
  <c r="V1208" i="3"/>
  <c r="AB1208" i="3"/>
  <c r="AC1208" i="3"/>
  <c r="AD1208" i="3" s="1"/>
  <c r="AE1208" i="3" s="1"/>
  <c r="C1209" i="3"/>
  <c r="L1209" i="3"/>
  <c r="M1209" i="3"/>
  <c r="P1209" i="3" s="1"/>
  <c r="V1209" i="3"/>
  <c r="AB1209" i="3"/>
  <c r="AC1209" i="3"/>
  <c r="AF1209" i="3" s="1"/>
  <c r="C1210" i="3"/>
  <c r="L1210" i="3"/>
  <c r="M1210" i="3"/>
  <c r="P1210" i="3"/>
  <c r="V1210" i="3"/>
  <c r="AB1210" i="3"/>
  <c r="AC1210" i="3"/>
  <c r="AF1210" i="3" s="1"/>
  <c r="C1211" i="3"/>
  <c r="L1211" i="3"/>
  <c r="M1211" i="3"/>
  <c r="P1211" i="3"/>
  <c r="V1211" i="3"/>
  <c r="AB1211" i="3"/>
  <c r="AC1211" i="3"/>
  <c r="C1212" i="3"/>
  <c r="L1212" i="3"/>
  <c r="M1212" i="3"/>
  <c r="P1212" i="3" s="1"/>
  <c r="V1212" i="3"/>
  <c r="AB1212" i="3"/>
  <c r="AC1212" i="3"/>
  <c r="AF1212" i="3" s="1"/>
  <c r="C1213" i="3"/>
  <c r="L1213" i="3"/>
  <c r="M1213" i="3"/>
  <c r="P1213" i="3" s="1"/>
  <c r="V1213" i="3"/>
  <c r="AB1213" i="3"/>
  <c r="AC1213" i="3"/>
  <c r="AF1213" i="3" s="1"/>
  <c r="C1214" i="3"/>
  <c r="L1214" i="3"/>
  <c r="M1214" i="3"/>
  <c r="P1214" i="3"/>
  <c r="V1214" i="3"/>
  <c r="AB1214" i="3"/>
  <c r="AC1214" i="3"/>
  <c r="AF1214" i="3" s="1"/>
  <c r="C1215" i="3"/>
  <c r="L1215" i="3"/>
  <c r="N1215" i="3"/>
  <c r="O1215" i="3" s="1"/>
  <c r="M1215" i="3"/>
  <c r="V1215" i="3"/>
  <c r="AB1215" i="3"/>
  <c r="AD1215" i="3" s="1"/>
  <c r="AE1215" i="3" s="1"/>
  <c r="AC1215" i="3"/>
  <c r="C1216" i="3"/>
  <c r="L1216" i="3"/>
  <c r="M1216" i="3"/>
  <c r="P1216" i="3"/>
  <c r="V1216" i="3"/>
  <c r="AB1216" i="3"/>
  <c r="AC1216" i="3"/>
  <c r="AF1216" i="3"/>
  <c r="C1217" i="3"/>
  <c r="L1217" i="3"/>
  <c r="M1217" i="3"/>
  <c r="P1217" i="3"/>
  <c r="V1217" i="3"/>
  <c r="AB1217" i="3"/>
  <c r="AC1217" i="3"/>
  <c r="AF1217" i="3"/>
  <c r="C1218" i="3"/>
  <c r="L1218" i="3"/>
  <c r="M1218" i="3"/>
  <c r="V1218" i="3"/>
  <c r="AB1218" i="3"/>
  <c r="AC1218" i="3"/>
  <c r="AF1218" i="3" s="1"/>
  <c r="C1219" i="3"/>
  <c r="L1219" i="3"/>
  <c r="M1219" i="3"/>
  <c r="P1219" i="3" s="1"/>
  <c r="V1219" i="3"/>
  <c r="AB1219" i="3"/>
  <c r="AC1219" i="3"/>
  <c r="AF1219" i="3" s="1"/>
  <c r="C1220" i="3"/>
  <c r="L1220" i="3"/>
  <c r="M1220" i="3"/>
  <c r="P1220" i="3"/>
  <c r="V1220" i="3"/>
  <c r="AB1220" i="3"/>
  <c r="AC1220" i="3"/>
  <c r="AF1220" i="3" s="1"/>
  <c r="C1221" i="3"/>
  <c r="L1221" i="3"/>
  <c r="M1221" i="3"/>
  <c r="P1221" i="3"/>
  <c r="V1221" i="3"/>
  <c r="AB1221" i="3"/>
  <c r="AC1221" i="3"/>
  <c r="AF1221" i="3"/>
  <c r="C1222" i="3"/>
  <c r="L1222" i="3"/>
  <c r="M1222" i="3"/>
  <c r="V1222" i="3"/>
  <c r="AB1222" i="3"/>
  <c r="AC1222" i="3"/>
  <c r="C1223" i="3"/>
  <c r="L1223" i="3"/>
  <c r="M1223" i="3"/>
  <c r="P1223" i="3" s="1"/>
  <c r="V1223" i="3"/>
  <c r="AB1223" i="3"/>
  <c r="AC1223" i="3"/>
  <c r="AF1223" i="3" s="1"/>
  <c r="C1224" i="3"/>
  <c r="L1224" i="3"/>
  <c r="M1224" i="3"/>
  <c r="P1224" i="3"/>
  <c r="V1224" i="3"/>
  <c r="AB1224" i="3"/>
  <c r="AC1224" i="3"/>
  <c r="C1225" i="3"/>
  <c r="L1225" i="3"/>
  <c r="M1225" i="3"/>
  <c r="P1225" i="3"/>
  <c r="V1225" i="3"/>
  <c r="AB1225" i="3"/>
  <c r="AC1225" i="3"/>
  <c r="AF1225" i="3" s="1"/>
  <c r="C1226" i="3"/>
  <c r="L1226" i="3"/>
  <c r="M1226" i="3"/>
  <c r="P1226" i="3" s="1"/>
  <c r="V1226" i="3"/>
  <c r="AB1226" i="3"/>
  <c r="AC1226" i="3"/>
  <c r="C1227" i="3"/>
  <c r="L1227" i="3"/>
  <c r="M1227" i="3"/>
  <c r="P1227" i="3"/>
  <c r="V1227" i="3"/>
  <c r="AB1227" i="3"/>
  <c r="AC1227" i="3"/>
  <c r="AF1227" i="3" s="1"/>
  <c r="C1228" i="3"/>
  <c r="L1228" i="3"/>
  <c r="M1228" i="3"/>
  <c r="P1228" i="3" s="1"/>
  <c r="V1228" i="3"/>
  <c r="AB1228" i="3"/>
  <c r="AD1228" i="3" s="1"/>
  <c r="AC1228" i="3"/>
  <c r="AF1228" i="3"/>
  <c r="C1229" i="3"/>
  <c r="L1229" i="3"/>
  <c r="M1229" i="3"/>
  <c r="P1229" i="3"/>
  <c r="V1229" i="3"/>
  <c r="AB1229" i="3"/>
  <c r="AC1229" i="3"/>
  <c r="C1230" i="3"/>
  <c r="L1230" i="3"/>
  <c r="M1230" i="3"/>
  <c r="P1230" i="3"/>
  <c r="V1230" i="3"/>
  <c r="AB1230" i="3"/>
  <c r="AC1230" i="3"/>
  <c r="AF1230" i="3"/>
  <c r="C1231" i="3"/>
  <c r="L1231" i="3"/>
  <c r="M1231" i="3"/>
  <c r="P1231" i="3"/>
  <c r="V1231" i="3"/>
  <c r="AB1231" i="3"/>
  <c r="AC1231" i="3"/>
  <c r="AF1231" i="3" s="1"/>
  <c r="C1232" i="3"/>
  <c r="L1232" i="3"/>
  <c r="M1232" i="3"/>
  <c r="P1232" i="3"/>
  <c r="V1232" i="3"/>
  <c r="AB1232" i="3"/>
  <c r="AC1232" i="3"/>
  <c r="AF1232" i="3" s="1"/>
  <c r="C1233" i="3"/>
  <c r="L1233" i="3"/>
  <c r="M1233" i="3"/>
  <c r="P1233" i="3"/>
  <c r="V1233" i="3"/>
  <c r="AB1233" i="3"/>
  <c r="AC1233" i="3"/>
  <c r="C1234" i="3"/>
  <c r="L1234" i="3"/>
  <c r="M1234" i="3"/>
  <c r="V1234" i="3"/>
  <c r="AB1234" i="3"/>
  <c r="AC1234" i="3"/>
  <c r="AF1234" i="3" s="1"/>
  <c r="C1235" i="3"/>
  <c r="L1235" i="3"/>
  <c r="M1235" i="3"/>
  <c r="P1235" i="3"/>
  <c r="V1235" i="3"/>
  <c r="AB1235" i="3"/>
  <c r="AC1235" i="3"/>
  <c r="AF1235" i="3"/>
  <c r="C1236" i="3"/>
  <c r="L1236" i="3"/>
  <c r="M1236" i="3"/>
  <c r="P1236" i="3"/>
  <c r="V1236" i="3"/>
  <c r="AB1236" i="3"/>
  <c r="AC1236" i="3"/>
  <c r="AF1236" i="3" s="1"/>
  <c r="C1237" i="3"/>
  <c r="L1237" i="3"/>
  <c r="M1237" i="3"/>
  <c r="V1237" i="3"/>
  <c r="AB1237" i="3"/>
  <c r="AC1237" i="3"/>
  <c r="C1238" i="3"/>
  <c r="L1238" i="3"/>
  <c r="N1238" i="3"/>
  <c r="O1238" i="3"/>
  <c r="M1238" i="3"/>
  <c r="P1238" i="3"/>
  <c r="V1238" i="3"/>
  <c r="AB1238" i="3"/>
  <c r="AC1238" i="3"/>
  <c r="AF1238" i="3"/>
  <c r="C1239" i="3"/>
  <c r="L1239" i="3"/>
  <c r="M1239" i="3"/>
  <c r="N1239" i="3"/>
  <c r="O1239" i="3"/>
  <c r="P1239" i="3"/>
  <c r="V1239" i="3"/>
  <c r="AB1239" i="3"/>
  <c r="AC1239" i="3"/>
  <c r="AF1239" i="3" s="1"/>
  <c r="C1240" i="3"/>
  <c r="L1240" i="3"/>
  <c r="M1240" i="3"/>
  <c r="P1240" i="3" s="1"/>
  <c r="V1240" i="3"/>
  <c r="AB1240" i="3"/>
  <c r="AC1240" i="3"/>
  <c r="AF1240" i="3" s="1"/>
  <c r="C1241" i="3"/>
  <c r="L1241" i="3"/>
  <c r="M1241" i="3"/>
  <c r="V1241" i="3"/>
  <c r="AB1241" i="3"/>
  <c r="AC1241" i="3"/>
  <c r="AF1241" i="3" s="1"/>
  <c r="C1242" i="3"/>
  <c r="L1242" i="3"/>
  <c r="M1242" i="3"/>
  <c r="P1242" i="3" s="1"/>
  <c r="V1242" i="3"/>
  <c r="AB1242" i="3"/>
  <c r="AC1242" i="3"/>
  <c r="AF1242" i="3" s="1"/>
  <c r="C1243" i="3"/>
  <c r="L1243" i="3"/>
  <c r="M1243" i="3"/>
  <c r="P1243" i="3"/>
  <c r="V1243" i="3"/>
  <c r="AB1243" i="3"/>
  <c r="AC1243" i="3"/>
  <c r="AF1243" i="3" s="1"/>
  <c r="C1244" i="3"/>
  <c r="L1244" i="3"/>
  <c r="M1244" i="3"/>
  <c r="P1244" i="3"/>
  <c r="V1244" i="3"/>
  <c r="AB1244" i="3"/>
  <c r="AD1244" i="3" s="1"/>
  <c r="AE1244" i="3" s="1"/>
  <c r="AC1244" i="3"/>
  <c r="AF1244" i="3" s="1"/>
  <c r="C1245" i="3"/>
  <c r="L1245" i="3"/>
  <c r="M1245" i="3"/>
  <c r="V1245" i="3"/>
  <c r="AB1245" i="3"/>
  <c r="AC1245" i="3"/>
  <c r="AF1245" i="3" s="1"/>
  <c r="C1246" i="3"/>
  <c r="L1246" i="3"/>
  <c r="M1246" i="3"/>
  <c r="P1246" i="3"/>
  <c r="V1246" i="3"/>
  <c r="AB1246" i="3"/>
  <c r="AC1246" i="3"/>
  <c r="AF1246" i="3"/>
  <c r="C1247" i="3"/>
  <c r="L1247" i="3"/>
  <c r="M1247" i="3"/>
  <c r="P1247" i="3" s="1"/>
  <c r="V1247" i="3"/>
  <c r="AB1247" i="3"/>
  <c r="AC1247" i="3"/>
  <c r="AF1247" i="3" s="1"/>
  <c r="C1248" i="3"/>
  <c r="L1248" i="3"/>
  <c r="M1248" i="3"/>
  <c r="P1248" i="3"/>
  <c r="V1248" i="3"/>
  <c r="AB1248" i="3"/>
  <c r="AC1248" i="3"/>
  <c r="AF1248" i="3" s="1"/>
  <c r="C1249" i="3"/>
  <c r="L1249" i="3"/>
  <c r="N1249" i="3"/>
  <c r="O1249" i="3"/>
  <c r="M1249" i="3"/>
  <c r="P1249" i="3"/>
  <c r="V1249" i="3"/>
  <c r="AB1249" i="3"/>
  <c r="AC1249" i="3"/>
  <c r="AF1249" i="3" s="1"/>
  <c r="C1250" i="3"/>
  <c r="L1250" i="3"/>
  <c r="M1250" i="3"/>
  <c r="P1250" i="3" s="1"/>
  <c r="V1250" i="3"/>
  <c r="AB1250" i="3"/>
  <c r="AC1250" i="3"/>
  <c r="AF1250" i="3" s="1"/>
  <c r="C1251" i="3"/>
  <c r="L1251" i="3"/>
  <c r="N1251" i="3"/>
  <c r="O1251" i="3"/>
  <c r="M1251" i="3"/>
  <c r="P1251" i="3"/>
  <c r="V1251" i="3"/>
  <c r="AB1251" i="3"/>
  <c r="AC1251" i="3"/>
  <c r="AF1251" i="3" s="1"/>
  <c r="C1252" i="3"/>
  <c r="L1252" i="3"/>
  <c r="M1252" i="3"/>
  <c r="N1252" i="3" s="1"/>
  <c r="O1252" i="3" s="1"/>
  <c r="V1252" i="3"/>
  <c r="AB1252" i="3"/>
  <c r="AC1252" i="3"/>
  <c r="AF1252" i="3" s="1"/>
  <c r="C1253" i="3"/>
  <c r="L1253" i="3"/>
  <c r="M1253" i="3"/>
  <c r="P1253" i="3"/>
  <c r="V1253" i="3"/>
  <c r="AB1253" i="3"/>
  <c r="AC1253" i="3"/>
  <c r="AF1253" i="3" s="1"/>
  <c r="C1254" i="3"/>
  <c r="L1254" i="3"/>
  <c r="M1254" i="3"/>
  <c r="V1254" i="3"/>
  <c r="AB1254" i="3"/>
  <c r="AC1254" i="3"/>
  <c r="AF1254" i="3" s="1"/>
  <c r="C1255" i="3"/>
  <c r="L1255" i="3"/>
  <c r="M1255" i="3"/>
  <c r="V1255" i="3"/>
  <c r="AB1255" i="3"/>
  <c r="AC1255" i="3"/>
  <c r="C1256" i="3"/>
  <c r="L1256" i="3"/>
  <c r="M1256" i="3"/>
  <c r="P1256" i="3"/>
  <c r="V1256" i="3"/>
  <c r="AB1256" i="3"/>
  <c r="AC1256" i="3"/>
  <c r="C1257" i="3"/>
  <c r="L1257" i="3"/>
  <c r="M1257" i="3"/>
  <c r="P1257" i="3"/>
  <c r="V1257" i="3"/>
  <c r="AB1257" i="3"/>
  <c r="AC1257" i="3"/>
  <c r="AF1257" i="3"/>
  <c r="C1258" i="3"/>
  <c r="L1258" i="3"/>
  <c r="M1258" i="3"/>
  <c r="P1258" i="3" s="1"/>
  <c r="V1258" i="3"/>
  <c r="AB1258" i="3"/>
  <c r="AC1258" i="3"/>
  <c r="AF1258" i="3" s="1"/>
  <c r="C1259" i="3"/>
  <c r="L1259" i="3"/>
  <c r="M1259" i="3"/>
  <c r="V1259" i="3"/>
  <c r="AB1259" i="3"/>
  <c r="AC1259" i="3"/>
  <c r="AF1259" i="3" s="1"/>
  <c r="C1260" i="3"/>
  <c r="L1260" i="3"/>
  <c r="M1260" i="3"/>
  <c r="P1260" i="3" s="1"/>
  <c r="V1260" i="3"/>
  <c r="AB1260" i="3"/>
  <c r="AC1260" i="3"/>
  <c r="AF1260" i="3"/>
  <c r="C1261" i="3"/>
  <c r="L1261" i="3"/>
  <c r="M1261" i="3"/>
  <c r="V1261" i="3"/>
  <c r="AB1261" i="3"/>
  <c r="AC1261" i="3"/>
  <c r="C1262" i="3"/>
  <c r="L1262" i="3"/>
  <c r="M1262" i="3"/>
  <c r="V1262" i="3"/>
  <c r="AB1262" i="3"/>
  <c r="AC1262" i="3"/>
  <c r="AF1262" i="3" s="1"/>
  <c r="C1263" i="3"/>
  <c r="L1263" i="3"/>
  <c r="M1263" i="3"/>
  <c r="P1263" i="3"/>
  <c r="V1263" i="3"/>
  <c r="AB1263" i="3"/>
  <c r="AC1263" i="3"/>
  <c r="AF1263" i="3" s="1"/>
  <c r="C1264" i="3"/>
  <c r="L1264" i="3"/>
  <c r="M1264" i="3"/>
  <c r="P1264" i="3"/>
  <c r="V1264" i="3"/>
  <c r="AB1264" i="3"/>
  <c r="AC1264" i="3"/>
  <c r="AF1264" i="3"/>
  <c r="C1265" i="3"/>
  <c r="L1265" i="3"/>
  <c r="M1265" i="3"/>
  <c r="P1265" i="3" s="1"/>
  <c r="V1265" i="3"/>
  <c r="AB1265" i="3"/>
  <c r="AC1265" i="3"/>
  <c r="AF1265" i="3" s="1"/>
  <c r="C1266" i="3"/>
  <c r="L1266" i="3"/>
  <c r="M1266" i="3"/>
  <c r="P1266" i="3"/>
  <c r="V1266" i="3"/>
  <c r="AB1266" i="3"/>
  <c r="AC1266" i="3"/>
  <c r="AF1266" i="3" s="1"/>
  <c r="C1267" i="3"/>
  <c r="L1267" i="3"/>
  <c r="M1267" i="3"/>
  <c r="P1267" i="3"/>
  <c r="V1267" i="3"/>
  <c r="AB1267" i="3"/>
  <c r="AC1267" i="3"/>
  <c r="AF1267" i="3"/>
  <c r="C1268" i="3"/>
  <c r="L1268" i="3"/>
  <c r="M1268" i="3"/>
  <c r="P1268" i="3" s="1"/>
  <c r="V1268" i="3"/>
  <c r="AB1268" i="3"/>
  <c r="AC1268" i="3"/>
  <c r="AF1268" i="3" s="1"/>
  <c r="C1269" i="3"/>
  <c r="L1269" i="3"/>
  <c r="M1269" i="3"/>
  <c r="P1269" i="3"/>
  <c r="V1269" i="3"/>
  <c r="AB1269" i="3"/>
  <c r="AC1269" i="3"/>
  <c r="AF1269" i="3" s="1"/>
  <c r="C1270" i="3"/>
  <c r="L1270" i="3"/>
  <c r="M1270" i="3"/>
  <c r="P1270" i="3"/>
  <c r="V1270" i="3"/>
  <c r="AB1270" i="3"/>
  <c r="AC1270" i="3"/>
  <c r="C1271" i="3"/>
  <c r="L1271" i="3"/>
  <c r="M1271" i="3"/>
  <c r="P1271" i="3"/>
  <c r="V1271" i="3"/>
  <c r="AB1271" i="3"/>
  <c r="AC1271" i="3"/>
  <c r="AF1271" i="3"/>
  <c r="C1272" i="3"/>
  <c r="L1272" i="3"/>
  <c r="M1272" i="3"/>
  <c r="P1272" i="3" s="1"/>
  <c r="V1272" i="3"/>
  <c r="AB1272" i="3"/>
  <c r="AC1272" i="3"/>
  <c r="AF1272" i="3"/>
  <c r="C1273" i="3"/>
  <c r="L1273" i="3"/>
  <c r="M1273" i="3"/>
  <c r="P1273" i="3"/>
  <c r="V1273" i="3"/>
  <c r="AB1273" i="3"/>
  <c r="AC1273" i="3"/>
  <c r="AF1273" i="3" s="1"/>
  <c r="C1274" i="3"/>
  <c r="L1274" i="3"/>
  <c r="M1274" i="3"/>
  <c r="P1274" i="3" s="1"/>
  <c r="V1274" i="3"/>
  <c r="AB1274" i="3"/>
  <c r="AD1274" i="3" s="1"/>
  <c r="AE1274" i="3" s="1"/>
  <c r="AG1274" i="3" s="1"/>
  <c r="AM1274" i="3" s="1"/>
  <c r="AC1274" i="3"/>
  <c r="AF1274" i="3"/>
  <c r="C1275" i="3"/>
  <c r="L1275" i="3"/>
  <c r="M1275" i="3"/>
  <c r="P1275" i="3" s="1"/>
  <c r="V1275" i="3"/>
  <c r="AB1275" i="3"/>
  <c r="AC1275" i="3"/>
  <c r="AF1275" i="3"/>
  <c r="C1276" i="3"/>
  <c r="L1276" i="3"/>
  <c r="M1276" i="3"/>
  <c r="P1276" i="3" s="1"/>
  <c r="V1276" i="3"/>
  <c r="AB1276" i="3"/>
  <c r="AD1276" i="3" s="1"/>
  <c r="AE1276" i="3" s="1"/>
  <c r="AC1276" i="3"/>
  <c r="AF1276" i="3"/>
  <c r="C1277" i="3"/>
  <c r="L1277" i="3"/>
  <c r="M1277" i="3"/>
  <c r="P1277" i="3" s="1"/>
  <c r="V1277" i="3"/>
  <c r="AB1277" i="3"/>
  <c r="AC1277" i="3"/>
  <c r="C1278" i="3"/>
  <c r="L1278" i="3"/>
  <c r="M1278" i="3"/>
  <c r="P1278" i="3"/>
  <c r="V1278" i="3"/>
  <c r="AB1278" i="3"/>
  <c r="AC1278" i="3"/>
  <c r="C1279" i="3"/>
  <c r="L1279" i="3"/>
  <c r="M1279" i="3"/>
  <c r="P1279" i="3" s="1"/>
  <c r="V1279" i="3"/>
  <c r="AB1279" i="3"/>
  <c r="AC1279" i="3"/>
  <c r="AF1279" i="3" s="1"/>
  <c r="C1280" i="3"/>
  <c r="L1280" i="3"/>
  <c r="M1280" i="3"/>
  <c r="V1280" i="3"/>
  <c r="AB1280" i="3"/>
  <c r="AC1280" i="3"/>
  <c r="AF1280" i="3" s="1"/>
  <c r="C1281" i="3"/>
  <c r="L1281" i="3"/>
  <c r="N1281" i="3" s="1"/>
  <c r="O1281" i="3" s="1"/>
  <c r="M1281" i="3"/>
  <c r="P1281" i="3"/>
  <c r="V1281" i="3"/>
  <c r="AB1281" i="3"/>
  <c r="AC1281" i="3"/>
  <c r="AF1281" i="3" s="1"/>
  <c r="C1282" i="3"/>
  <c r="L1282" i="3"/>
  <c r="M1282" i="3"/>
  <c r="P1282" i="3"/>
  <c r="V1282" i="3"/>
  <c r="AB1282" i="3"/>
  <c r="AC1282" i="3"/>
  <c r="C1283" i="3"/>
  <c r="L1283" i="3"/>
  <c r="M1283" i="3"/>
  <c r="P1283" i="3"/>
  <c r="V1283" i="3"/>
  <c r="AB1283" i="3"/>
  <c r="AC1283" i="3"/>
  <c r="AF1283" i="3"/>
  <c r="C1284" i="3"/>
  <c r="L1284" i="3"/>
  <c r="M1284" i="3"/>
  <c r="P1284" i="3" s="1"/>
  <c r="V1284" i="3"/>
  <c r="AB1284" i="3"/>
  <c r="AC1284" i="3"/>
  <c r="AF1284" i="3" s="1"/>
  <c r="C1285" i="3"/>
  <c r="L1285" i="3"/>
  <c r="M1285" i="3"/>
  <c r="P1285" i="3"/>
  <c r="V1285" i="3"/>
  <c r="AB1285" i="3"/>
  <c r="AC1285" i="3"/>
  <c r="AF1285" i="3"/>
  <c r="C1286" i="3"/>
  <c r="L1286" i="3"/>
  <c r="N1286" i="3" s="1"/>
  <c r="O1286" i="3" s="1"/>
  <c r="M1286" i="3"/>
  <c r="P1286" i="3" s="1"/>
  <c r="V1286" i="3"/>
  <c r="AB1286" i="3"/>
  <c r="AC1286" i="3"/>
  <c r="AF1286" i="3" s="1"/>
  <c r="C1287" i="3"/>
  <c r="L1287" i="3"/>
  <c r="M1287" i="3"/>
  <c r="P1287" i="3"/>
  <c r="V1287" i="3"/>
  <c r="AB1287" i="3"/>
  <c r="AC1287" i="3"/>
  <c r="AD1287" i="3" s="1"/>
  <c r="AE1287" i="3" s="1"/>
  <c r="C1288" i="3"/>
  <c r="L1288" i="3"/>
  <c r="M1288" i="3"/>
  <c r="P1288" i="3" s="1"/>
  <c r="V1288" i="3"/>
  <c r="AB1288" i="3"/>
  <c r="AC1288" i="3"/>
  <c r="AF1288" i="3" s="1"/>
  <c r="C1289" i="3"/>
  <c r="L1289" i="3"/>
  <c r="M1289" i="3"/>
  <c r="V1289" i="3"/>
  <c r="AB1289" i="3"/>
  <c r="AD1289" i="3" s="1"/>
  <c r="AE1289" i="3" s="1"/>
  <c r="AC1289" i="3"/>
  <c r="AF1289" i="3" s="1"/>
  <c r="C1290" i="3"/>
  <c r="L1290" i="3"/>
  <c r="M1290" i="3"/>
  <c r="P1290" i="3" s="1"/>
  <c r="V1290" i="3"/>
  <c r="AB1290" i="3"/>
  <c r="AC1290" i="3"/>
  <c r="C1291" i="3"/>
  <c r="L1291" i="3"/>
  <c r="M1291" i="3"/>
  <c r="V1291" i="3"/>
  <c r="AB1291" i="3"/>
  <c r="AC1291" i="3"/>
  <c r="C1292" i="3"/>
  <c r="L1292" i="3"/>
  <c r="M1292" i="3"/>
  <c r="P1292" i="3"/>
  <c r="V1292" i="3"/>
  <c r="AB1292" i="3"/>
  <c r="AC1292" i="3"/>
  <c r="AF1292" i="3"/>
  <c r="C1293" i="3"/>
  <c r="L1293" i="3"/>
  <c r="M1293" i="3"/>
  <c r="P1293" i="3" s="1"/>
  <c r="V1293" i="3"/>
  <c r="AB1293" i="3"/>
  <c r="AC1293" i="3"/>
  <c r="AF1293" i="3" s="1"/>
  <c r="C1294" i="3"/>
  <c r="L1294" i="3"/>
  <c r="M1294" i="3"/>
  <c r="V1294" i="3"/>
  <c r="AB1294" i="3"/>
  <c r="AC1294" i="3"/>
  <c r="AF1294" i="3" s="1"/>
  <c r="C1295" i="3"/>
  <c r="L1295" i="3"/>
  <c r="M1295" i="3"/>
  <c r="P1295" i="3"/>
  <c r="V1295" i="3"/>
  <c r="AB1295" i="3"/>
  <c r="AC1295" i="3"/>
  <c r="AF1295" i="3" s="1"/>
  <c r="C1296" i="3"/>
  <c r="L1296" i="3"/>
  <c r="M1296" i="3"/>
  <c r="P1296" i="3" s="1"/>
  <c r="V1296" i="3"/>
  <c r="AB1296" i="3"/>
  <c r="AC1296" i="3"/>
  <c r="AF1296" i="3" s="1"/>
  <c r="C1297" i="3"/>
  <c r="L1297" i="3"/>
  <c r="M1297" i="3"/>
  <c r="P1297" i="3"/>
  <c r="V1297" i="3"/>
  <c r="AB1297" i="3"/>
  <c r="AC1297" i="3"/>
  <c r="AF1297" i="3" s="1"/>
  <c r="C1298" i="3"/>
  <c r="L1298" i="3"/>
  <c r="N1298" i="3" s="1"/>
  <c r="O1298" i="3"/>
  <c r="M1298" i="3"/>
  <c r="P1298" i="3" s="1"/>
  <c r="V1298" i="3"/>
  <c r="AB1298" i="3"/>
  <c r="AC1298" i="3"/>
  <c r="AF1298" i="3"/>
  <c r="C1299" i="3"/>
  <c r="L1299" i="3"/>
  <c r="M1299" i="3"/>
  <c r="P1299" i="3"/>
  <c r="V1299" i="3"/>
  <c r="AB1299" i="3"/>
  <c r="AC1299" i="3"/>
  <c r="AF1299" i="3" s="1"/>
  <c r="C1300" i="3"/>
  <c r="L1300" i="3"/>
  <c r="M1300" i="3"/>
  <c r="P1300" i="3"/>
  <c r="V1300" i="3"/>
  <c r="AB1300" i="3"/>
  <c r="AC1300" i="3"/>
  <c r="AF1300" i="3"/>
  <c r="C1301" i="3"/>
  <c r="L1301" i="3"/>
  <c r="N1301" i="3" s="1"/>
  <c r="O1301" i="3" s="1"/>
  <c r="M1301" i="3"/>
  <c r="P1301" i="3"/>
  <c r="V1301" i="3"/>
  <c r="AB1301" i="3"/>
  <c r="AD1301" i="3"/>
  <c r="AE1301" i="3" s="1"/>
  <c r="AC1301" i="3"/>
  <c r="AF1301" i="3"/>
  <c r="C1302" i="3"/>
  <c r="L1302" i="3"/>
  <c r="N1302" i="3"/>
  <c r="O1302" i="3" s="1"/>
  <c r="M1302" i="3"/>
  <c r="P1302" i="3"/>
  <c r="V1302" i="3"/>
  <c r="AB1302" i="3"/>
  <c r="AC1302" i="3"/>
  <c r="AF1302" i="3" s="1"/>
  <c r="C1303" i="3"/>
  <c r="L1303" i="3"/>
  <c r="M1303" i="3"/>
  <c r="P1303" i="3"/>
  <c r="V1303" i="3"/>
  <c r="AB1303" i="3"/>
  <c r="AC1303" i="3"/>
  <c r="AF1303" i="3" s="1"/>
  <c r="C1304" i="3"/>
  <c r="L1304" i="3"/>
  <c r="M1304" i="3"/>
  <c r="P1304" i="3" s="1"/>
  <c r="V1304" i="3"/>
  <c r="AB1304" i="3"/>
  <c r="AC1304" i="3"/>
  <c r="AF1304" i="3" s="1"/>
  <c r="C1305" i="3"/>
  <c r="L1305" i="3"/>
  <c r="M1305" i="3"/>
  <c r="V1305" i="3"/>
  <c r="AB1305" i="3"/>
  <c r="AC1305" i="3"/>
  <c r="AF1305" i="3" s="1"/>
  <c r="C1306" i="3"/>
  <c r="L1306" i="3"/>
  <c r="N1306" i="3"/>
  <c r="O1306" i="3" s="1"/>
  <c r="M1306" i="3"/>
  <c r="P1306" i="3"/>
  <c r="V1306" i="3"/>
  <c r="AB1306" i="3"/>
  <c r="AC1306" i="3"/>
  <c r="AF1306" i="3" s="1"/>
  <c r="C1307" i="3"/>
  <c r="L1307" i="3"/>
  <c r="M1307" i="3"/>
  <c r="P1307" i="3"/>
  <c r="V1307" i="3"/>
  <c r="AB1307" i="3"/>
  <c r="AC1307" i="3"/>
  <c r="AF1307" i="3"/>
  <c r="C1308" i="3"/>
  <c r="L1308" i="3"/>
  <c r="N1308" i="3"/>
  <c r="O1308" i="3" s="1"/>
  <c r="M1308" i="3"/>
  <c r="P1308" i="3" s="1"/>
  <c r="V1308" i="3"/>
  <c r="AB1308" i="3"/>
  <c r="AC1308" i="3"/>
  <c r="AF1308" i="3" s="1"/>
  <c r="C1309" i="3"/>
  <c r="L1309" i="3"/>
  <c r="M1309" i="3"/>
  <c r="V1309" i="3"/>
  <c r="AB1309" i="3"/>
  <c r="AC1309" i="3"/>
  <c r="AF1309" i="3" s="1"/>
  <c r="C1310" i="3"/>
  <c r="L1310" i="3"/>
  <c r="M1310" i="3"/>
  <c r="P1310" i="3"/>
  <c r="V1310" i="3"/>
  <c r="AB1310" i="3"/>
  <c r="AC1310" i="3"/>
  <c r="AF1310" i="3" s="1"/>
  <c r="C1311" i="3"/>
  <c r="L1311" i="3"/>
  <c r="N1311" i="3" s="1"/>
  <c r="O1311" i="3" s="1"/>
  <c r="Q1311" i="3" s="1"/>
  <c r="M1311" i="3"/>
  <c r="P1311" i="3"/>
  <c r="V1311" i="3"/>
  <c r="AB1311" i="3"/>
  <c r="AC1311" i="3"/>
  <c r="AF1311" i="3" s="1"/>
  <c r="C1312" i="3"/>
  <c r="L1312" i="3"/>
  <c r="M1312" i="3"/>
  <c r="P1312" i="3" s="1"/>
  <c r="V1312" i="3"/>
  <c r="AB1312" i="3"/>
  <c r="AC1312" i="3"/>
  <c r="C1313" i="3"/>
  <c r="L1313" i="3"/>
  <c r="M1313" i="3"/>
  <c r="V1313" i="3"/>
  <c r="AB1313" i="3"/>
  <c r="AC1313" i="3"/>
  <c r="AF1313" i="3" s="1"/>
  <c r="C1314" i="3"/>
  <c r="L1314" i="3"/>
  <c r="M1314" i="3"/>
  <c r="P1314" i="3"/>
  <c r="V1314" i="3"/>
  <c r="AB1314" i="3"/>
  <c r="AC1314" i="3"/>
  <c r="AF1314" i="3" s="1"/>
  <c r="C1315" i="3"/>
  <c r="L1315" i="3"/>
  <c r="M1315" i="3"/>
  <c r="P1315" i="3" s="1"/>
  <c r="V1315" i="3"/>
  <c r="AB1315" i="3"/>
  <c r="AC1315" i="3"/>
  <c r="AF1315" i="3" s="1"/>
  <c r="C1316" i="3"/>
  <c r="L1316" i="3"/>
  <c r="M1316" i="3"/>
  <c r="P1316" i="3"/>
  <c r="V1316" i="3"/>
  <c r="AB1316" i="3"/>
  <c r="AC1316" i="3"/>
  <c r="C1317" i="3"/>
  <c r="L1317" i="3"/>
  <c r="M1317" i="3"/>
  <c r="V1317" i="3"/>
  <c r="AB1317" i="3"/>
  <c r="AC1317" i="3"/>
  <c r="C1318" i="3"/>
  <c r="L1318" i="3"/>
  <c r="M1318" i="3"/>
  <c r="P1318" i="3"/>
  <c r="V1318" i="3"/>
  <c r="AB1318" i="3"/>
  <c r="AC1318" i="3"/>
  <c r="AF1318" i="3"/>
  <c r="C1319" i="3"/>
  <c r="L1319" i="3"/>
  <c r="M1319" i="3"/>
  <c r="P1319" i="3" s="1"/>
  <c r="V1319" i="3"/>
  <c r="AB1319" i="3"/>
  <c r="AC1319" i="3"/>
  <c r="AF1319" i="3"/>
  <c r="C1320" i="3"/>
  <c r="L1320" i="3"/>
  <c r="M1320" i="3"/>
  <c r="P1320" i="3"/>
  <c r="V1320" i="3"/>
  <c r="AB1320" i="3"/>
  <c r="AC1320" i="3"/>
  <c r="AF1320" i="3" s="1"/>
  <c r="C1321" i="3"/>
  <c r="L1321" i="3"/>
  <c r="M1321" i="3"/>
  <c r="P1321" i="3"/>
  <c r="V1321" i="3"/>
  <c r="AB1321" i="3"/>
  <c r="AC1321" i="3"/>
  <c r="AF1321" i="3"/>
  <c r="C1322" i="3"/>
  <c r="L1322" i="3"/>
  <c r="M1322" i="3"/>
  <c r="P1322" i="3" s="1"/>
  <c r="V1322" i="3"/>
  <c r="AB1322" i="3"/>
  <c r="AC1322" i="3"/>
  <c r="AF1322" i="3"/>
  <c r="C1323" i="3"/>
  <c r="L1323" i="3"/>
  <c r="M1323" i="3"/>
  <c r="P1323" i="3"/>
  <c r="V1323" i="3"/>
  <c r="AB1323" i="3"/>
  <c r="AC1323" i="3"/>
  <c r="AF1323" i="3" s="1"/>
  <c r="AD1232" i="3"/>
  <c r="AE1232" i="3"/>
  <c r="AE1228" i="3"/>
  <c r="N1221" i="3"/>
  <c r="O1221" i="3" s="1"/>
  <c r="AD1216" i="3"/>
  <c r="AE1216" i="3" s="1"/>
  <c r="AD1212" i="3"/>
  <c r="AE1212" i="3" s="1"/>
  <c r="N1209" i="3"/>
  <c r="O1209" i="3"/>
  <c r="Q1209" i="3" s="1"/>
  <c r="N1205" i="3"/>
  <c r="O1205" i="3"/>
  <c r="N1197" i="3"/>
  <c r="O1197" i="3" s="1"/>
  <c r="AD1196" i="3"/>
  <c r="AE1196" i="3" s="1"/>
  <c r="AG1196" i="3" s="1"/>
  <c r="AM1196" i="3" s="1"/>
  <c r="AD1174" i="3"/>
  <c r="AE1174" i="3" s="1"/>
  <c r="AG1174" i="3" s="1"/>
  <c r="AM1174" i="3" s="1"/>
  <c r="N1166" i="3"/>
  <c r="O1166" i="3" s="1"/>
  <c r="Q1166" i="3" s="1"/>
  <c r="N1083" i="3"/>
  <c r="O1083" i="3"/>
  <c r="P1083" i="3"/>
  <c r="AD1082" i="3"/>
  <c r="AE1082" i="3" s="1"/>
  <c r="N1067" i="3"/>
  <c r="O1067" i="3"/>
  <c r="P1067" i="3"/>
  <c r="AF1066" i="3"/>
  <c r="AF1039" i="3"/>
  <c r="N1141" i="3"/>
  <c r="O1141" i="3" s="1"/>
  <c r="Q1141" i="3"/>
  <c r="N1125" i="3"/>
  <c r="O1125" i="3" s="1"/>
  <c r="Q1125" i="3" s="1"/>
  <c r="O1079" i="3"/>
  <c r="P1079" i="3"/>
  <c r="AF1078" i="3"/>
  <c r="AF1047" i="3"/>
  <c r="AD1047" i="3"/>
  <c r="AE1047" i="3" s="1"/>
  <c r="P1036" i="3"/>
  <c r="O1036" i="3"/>
  <c r="P1028" i="3"/>
  <c r="N1193" i="3"/>
  <c r="O1193" i="3" s="1"/>
  <c r="Q1193" i="3" s="1"/>
  <c r="N1106" i="3"/>
  <c r="O1106" i="3"/>
  <c r="Q1106" i="3" s="1"/>
  <c r="N1094" i="3"/>
  <c r="O1094" i="3"/>
  <c r="Q1094" i="3" s="1"/>
  <c r="N1090" i="3"/>
  <c r="O1090" i="3"/>
  <c r="Q1090" i="3"/>
  <c r="AF1055" i="3"/>
  <c r="AD1055" i="3"/>
  <c r="AE1055" i="3" s="1"/>
  <c r="P1044" i="3"/>
  <c r="AD1138" i="3"/>
  <c r="AE1138" i="3" s="1"/>
  <c r="AG1138" i="3" s="1"/>
  <c r="AM1138" i="3" s="1"/>
  <c r="N1133" i="3"/>
  <c r="O1133" i="3" s="1"/>
  <c r="AD1122" i="3"/>
  <c r="AE1122" i="3" s="1"/>
  <c r="AD1109" i="3"/>
  <c r="AE1109" i="3"/>
  <c r="AG1109" i="3" s="1"/>
  <c r="AM1109" i="3" s="1"/>
  <c r="AD1097" i="3"/>
  <c r="AE1097" i="3" s="1"/>
  <c r="AG1097" i="3" s="1"/>
  <c r="AM1097" i="3" s="1"/>
  <c r="AE1093" i="3"/>
  <c r="AG1093" i="3" s="1"/>
  <c r="AM1093" i="3" s="1"/>
  <c r="AD1089" i="3"/>
  <c r="AE1089" i="3" s="1"/>
  <c r="AG1089" i="3" s="1"/>
  <c r="AM1089" i="3" s="1"/>
  <c r="N1087" i="3"/>
  <c r="O1087" i="3" s="1"/>
  <c r="P1087" i="3"/>
  <c r="N1071" i="3"/>
  <c r="O1071" i="3" s="1"/>
  <c r="P1071" i="3"/>
  <c r="P1052" i="3"/>
  <c r="N1052" i="3"/>
  <c r="O1052" i="3" s="1"/>
  <c r="N1064" i="3"/>
  <c r="O1064" i="3"/>
  <c r="AD1051" i="3"/>
  <c r="AE1051" i="3" s="1"/>
  <c r="N1048" i="3"/>
  <c r="O1048" i="3" s="1"/>
  <c r="Q1048" i="3"/>
  <c r="AD1042" i="3"/>
  <c r="AE1042" i="3" s="1"/>
  <c r="AG1042" i="3" s="1"/>
  <c r="AM1042" i="3"/>
  <c r="N1040" i="3"/>
  <c r="O1040" i="3"/>
  <c r="Q1040" i="3" s="1"/>
  <c r="N1032" i="3"/>
  <c r="O1032" i="3" s="1"/>
  <c r="N1020" i="3"/>
  <c r="O1020" i="3"/>
  <c r="P1020" i="3"/>
  <c r="AF1019" i="3"/>
  <c r="AD1023" i="3"/>
  <c r="AE1023" i="3" s="1"/>
  <c r="AF1023" i="3"/>
  <c r="P1008" i="3"/>
  <c r="AF1007" i="3"/>
  <c r="P1004" i="3"/>
  <c r="AF1003" i="3"/>
  <c r="AD999" i="3"/>
  <c r="AE999" i="3" s="1"/>
  <c r="N995" i="3"/>
  <c r="O995" i="3"/>
  <c r="Q995" i="3" s="1"/>
  <c r="AD1001" i="3"/>
  <c r="AE1001" i="3" s="1"/>
  <c r="AF1000" i="3"/>
  <c r="N998" i="3"/>
  <c r="O998" i="3"/>
  <c r="P997" i="3"/>
  <c r="AE995" i="3"/>
  <c r="AG995" i="3" s="1"/>
  <c r="AM995" i="3" s="1"/>
  <c r="AD991" i="3"/>
  <c r="AE991" i="3"/>
  <c r="AG991" i="3" s="1"/>
  <c r="AM991" i="3" s="1"/>
  <c r="P988" i="3"/>
  <c r="N988" i="3"/>
  <c r="O988" i="3"/>
  <c r="N987" i="3"/>
  <c r="O987" i="3" s="1"/>
  <c r="AD985" i="3"/>
  <c r="AE985" i="3" s="1"/>
  <c r="N1002" i="3"/>
  <c r="O1002" i="3" s="1"/>
  <c r="Q1002" i="3"/>
  <c r="AD989" i="3"/>
  <c r="AE989" i="3" s="1"/>
  <c r="AG989" i="3" s="1"/>
  <c r="AM989" i="3" s="1"/>
  <c r="N984" i="3"/>
  <c r="O984" i="3"/>
  <c r="Q984" i="3" s="1"/>
  <c r="N982" i="3"/>
  <c r="O982" i="3" s="1"/>
  <c r="Q982" i="3" s="1"/>
  <c r="N958" i="3"/>
  <c r="O958" i="3"/>
  <c r="Q958" i="3" s="1"/>
  <c r="P956" i="3"/>
  <c r="N956" i="3"/>
  <c r="O956" i="3" s="1"/>
  <c r="AF941" i="3"/>
  <c r="AD941" i="3"/>
  <c r="AE941" i="3" s="1"/>
  <c r="AG941" i="3"/>
  <c r="AM941" i="3" s="1"/>
  <c r="AD936" i="3"/>
  <c r="AE936" i="3" s="1"/>
  <c r="AG936" i="3" s="1"/>
  <c r="AM936" i="3" s="1"/>
  <c r="AD975" i="3"/>
  <c r="AE975" i="3" s="1"/>
  <c r="AG975" i="3" s="1"/>
  <c r="AM975" i="3" s="1"/>
  <c r="AF971" i="3"/>
  <c r="AD971" i="3"/>
  <c r="AE971" i="3" s="1"/>
  <c r="AF963" i="3"/>
  <c r="AD963" i="3"/>
  <c r="AE963" i="3" s="1"/>
  <c r="AF955" i="3"/>
  <c r="AD955" i="3"/>
  <c r="AE955" i="3" s="1"/>
  <c r="P960" i="3"/>
  <c r="N960" i="3"/>
  <c r="O960" i="3" s="1"/>
  <c r="N954" i="3"/>
  <c r="O954" i="3"/>
  <c r="Q954" i="3" s="1"/>
  <c r="P952" i="3"/>
  <c r="N952" i="3"/>
  <c r="O952" i="3" s="1"/>
  <c r="Q952" i="3" s="1"/>
  <c r="P938" i="3"/>
  <c r="N938" i="3"/>
  <c r="O938" i="3" s="1"/>
  <c r="AF967" i="3"/>
  <c r="AF959" i="3"/>
  <c r="AD959" i="3"/>
  <c r="AE959" i="3" s="1"/>
  <c r="P922" i="3"/>
  <c r="N922" i="3"/>
  <c r="O922" i="3"/>
  <c r="P827" i="3"/>
  <c r="N827" i="3"/>
  <c r="O827" i="3"/>
  <c r="N948" i="3"/>
  <c r="O948" i="3"/>
  <c r="N946" i="3"/>
  <c r="O946" i="3" s="1"/>
  <c r="N944" i="3"/>
  <c r="O944" i="3" s="1"/>
  <c r="Q944" i="3" s="1"/>
  <c r="AD935" i="3"/>
  <c r="AE935" i="3"/>
  <c r="AG935" i="3" s="1"/>
  <c r="AM935" i="3" s="1"/>
  <c r="AD933" i="3"/>
  <c r="AE933" i="3" s="1"/>
  <c r="AG933" i="3" s="1"/>
  <c r="AM933" i="3" s="1"/>
  <c r="O930" i="3"/>
  <c r="Q930" i="3"/>
  <c r="N928" i="3"/>
  <c r="O928" i="3"/>
  <c r="Q928" i="3"/>
  <c r="AD917" i="3"/>
  <c r="AE917" i="3" s="1"/>
  <c r="AG917" i="3" s="1"/>
  <c r="AM917" i="3" s="1"/>
  <c r="N914" i="3"/>
  <c r="O914" i="3"/>
  <c r="Q914" i="3" s="1"/>
  <c r="N912" i="3"/>
  <c r="O912" i="3"/>
  <c r="Q912" i="3" s="1"/>
  <c r="AD903" i="3"/>
  <c r="AE903" i="3"/>
  <c r="AG903" i="3" s="1"/>
  <c r="AM903" i="3" s="1"/>
  <c r="O869" i="3"/>
  <c r="Q869" i="3" s="1"/>
  <c r="AD868" i="3"/>
  <c r="AE868" i="3" s="1"/>
  <c r="AG868" i="3" s="1"/>
  <c r="AM868" i="3" s="1"/>
  <c r="N853" i="3"/>
  <c r="O853" i="3"/>
  <c r="N837" i="3"/>
  <c r="O837" i="3"/>
  <c r="AF830" i="3"/>
  <c r="AD830" i="3"/>
  <c r="AE830" i="3" s="1"/>
  <c r="AD825" i="3"/>
  <c r="AE825" i="3" s="1"/>
  <c r="AD943" i="3"/>
  <c r="AE943" i="3"/>
  <c r="N936" i="3"/>
  <c r="O936" i="3"/>
  <c r="Q936" i="3"/>
  <c r="N920" i="3"/>
  <c r="O920" i="3"/>
  <c r="AD911" i="3"/>
  <c r="AE911" i="3" s="1"/>
  <c r="AD909" i="3"/>
  <c r="AE909" i="3" s="1"/>
  <c r="AG909" i="3" s="1"/>
  <c r="AM909" i="3" s="1"/>
  <c r="AD895" i="3"/>
  <c r="AE895" i="3"/>
  <c r="AD893" i="3"/>
  <c r="AE893" i="3" s="1"/>
  <c r="AG893" i="3" s="1"/>
  <c r="AM893" i="3"/>
  <c r="N890" i="3"/>
  <c r="O890" i="3"/>
  <c r="Q890" i="3" s="1"/>
  <c r="N888" i="3"/>
  <c r="O888" i="3"/>
  <c r="Q888" i="3" s="1"/>
  <c r="N877" i="3"/>
  <c r="O877" i="3"/>
  <c r="Q877" i="3"/>
  <c r="N861" i="3"/>
  <c r="O861" i="3" s="1"/>
  <c r="Q861" i="3"/>
  <c r="AD844" i="3"/>
  <c r="AE844" i="3" s="1"/>
  <c r="AG844" i="3" s="1"/>
  <c r="AM844" i="3" s="1"/>
  <c r="AD824" i="3"/>
  <c r="AE824" i="3" s="1"/>
  <c r="N818" i="3"/>
  <c r="O818" i="3"/>
  <c r="Q818" i="3" s="1"/>
  <c r="N814" i="3"/>
  <c r="O814" i="3"/>
  <c r="Q814" i="3" s="1"/>
  <c r="N810" i="3"/>
  <c r="O810" i="3"/>
  <c r="Q810" i="3" s="1"/>
  <c r="N802" i="3"/>
  <c r="O802" i="3"/>
  <c r="Q802" i="3" s="1"/>
  <c r="N794" i="3"/>
  <c r="O794" i="3"/>
  <c r="N790" i="3"/>
  <c r="O790" i="3"/>
  <c r="Q790" i="3" s="1"/>
  <c r="AE789" i="3"/>
  <c r="AG789" i="3" s="1"/>
  <c r="AM789" i="3" s="1"/>
  <c r="N774" i="3"/>
  <c r="O774" i="3"/>
  <c r="Q774" i="3" s="1"/>
  <c r="AD773" i="3"/>
  <c r="AE773" i="3"/>
  <c r="N758" i="3"/>
  <c r="O758" i="3"/>
  <c r="Q758" i="3" s="1"/>
  <c r="AD757" i="3"/>
  <c r="AE757" i="3" s="1"/>
  <c r="AG757" i="3" s="1"/>
  <c r="AM757" i="3" s="1"/>
  <c r="AD828" i="3"/>
  <c r="AE828" i="3" s="1"/>
  <c r="AD826" i="3"/>
  <c r="AE826" i="3" s="1"/>
  <c r="AG826" i="3" s="1"/>
  <c r="AM826" i="3" s="1"/>
  <c r="AD821" i="3"/>
  <c r="AE821" i="3"/>
  <c r="AD818" i="3"/>
  <c r="AE818" i="3" s="1"/>
  <c r="AD817" i="3"/>
  <c r="AE817" i="3" s="1"/>
  <c r="AG817" i="3" s="1"/>
  <c r="AM817" i="3" s="1"/>
  <c r="AD810" i="3"/>
  <c r="AE810" i="3" s="1"/>
  <c r="AG810" i="3" s="1"/>
  <c r="AM810" i="3" s="1"/>
  <c r="AE809" i="3"/>
  <c r="AG809" i="3" s="1"/>
  <c r="AM809" i="3" s="1"/>
  <c r="AD802" i="3"/>
  <c r="AE802" i="3" s="1"/>
  <c r="AG802" i="3" s="1"/>
  <c r="AM802" i="3" s="1"/>
  <c r="N799" i="3"/>
  <c r="O799" i="3"/>
  <c r="Q799" i="3" s="1"/>
  <c r="N778" i="3"/>
  <c r="O778" i="3" s="1"/>
  <c r="N762" i="3"/>
  <c r="O762" i="3" s="1"/>
  <c r="Q762" i="3" s="1"/>
  <c r="AD761" i="3"/>
  <c r="AE761" i="3" s="1"/>
  <c r="AG761" i="3" s="1"/>
  <c r="AM761" i="3" s="1"/>
  <c r="AD735" i="3"/>
  <c r="AE735" i="3"/>
  <c r="AF735" i="3"/>
  <c r="AD743" i="3"/>
  <c r="AE743" i="3"/>
  <c r="AF740" i="3"/>
  <c r="AD740" i="3"/>
  <c r="AE740" i="3" s="1"/>
  <c r="AG740" i="3" s="1"/>
  <c r="AM740" i="3" s="1"/>
  <c r="P737" i="3"/>
  <c r="N732" i="3"/>
  <c r="O732" i="3" s="1"/>
  <c r="Q732" i="3" s="1"/>
  <c r="P732" i="3"/>
  <c r="AM746" i="3"/>
  <c r="N740" i="3"/>
  <c r="O740" i="3" s="1"/>
  <c r="Q740" i="3"/>
  <c r="AF748" i="3"/>
  <c r="AD748" i="3"/>
  <c r="AE748" i="3"/>
  <c r="P745" i="3"/>
  <c r="N745" i="3"/>
  <c r="O745" i="3" s="1"/>
  <c r="N743" i="3"/>
  <c r="O743" i="3"/>
  <c r="Q743" i="3" s="1"/>
  <c r="AD734" i="3"/>
  <c r="AE734" i="3" s="1"/>
  <c r="AG734" i="3" s="1"/>
  <c r="AM734" i="3"/>
  <c r="N729" i="3"/>
  <c r="O729" i="3" s="1"/>
  <c r="N727" i="3"/>
  <c r="O727" i="3"/>
  <c r="Q727" i="3" s="1"/>
  <c r="N720" i="3"/>
  <c r="O720" i="3" s="1"/>
  <c r="Q720" i="3" s="1"/>
  <c r="N704" i="3"/>
  <c r="O704" i="3"/>
  <c r="Q704" i="3"/>
  <c r="P672" i="3"/>
  <c r="P650" i="3"/>
  <c r="N650" i="3"/>
  <c r="O650" i="3" s="1"/>
  <c r="Q699" i="3"/>
  <c r="P688" i="3"/>
  <c r="N688" i="3"/>
  <c r="O688" i="3"/>
  <c r="P676" i="3"/>
  <c r="N676" i="3"/>
  <c r="O676" i="3"/>
  <c r="AD726" i="3"/>
  <c r="AE726" i="3" s="1"/>
  <c r="O712" i="3"/>
  <c r="Q712" i="3"/>
  <c r="AD711" i="3"/>
  <c r="AE711" i="3"/>
  <c r="AG711" i="3" s="1"/>
  <c r="AM711" i="3" s="1"/>
  <c r="AD695" i="3"/>
  <c r="AE695" i="3" s="1"/>
  <c r="AF665" i="3"/>
  <c r="AD665" i="3"/>
  <c r="AE665" i="3" s="1"/>
  <c r="AD685" i="3"/>
  <c r="AE685" i="3" s="1"/>
  <c r="AG685" i="3"/>
  <c r="AM685" i="3" s="1"/>
  <c r="N678" i="3"/>
  <c r="O678" i="3"/>
  <c r="Q678" i="3" s="1"/>
  <c r="AD674" i="3"/>
  <c r="AE674" i="3" s="1"/>
  <c r="AG674" i="3"/>
  <c r="AM674" i="3" s="1"/>
  <c r="AD670" i="3"/>
  <c r="AE670" i="3"/>
  <c r="AD689" i="3"/>
  <c r="AE689" i="3" s="1"/>
  <c r="AG689" i="3" s="1"/>
  <c r="AM689" i="3" s="1"/>
  <c r="AD687" i="3"/>
  <c r="AE687" i="3" s="1"/>
  <c r="AG687" i="3" s="1"/>
  <c r="AM687" i="3" s="1"/>
  <c r="N684" i="3"/>
  <c r="O684" i="3" s="1"/>
  <c r="Q684" i="3" s="1"/>
  <c r="N682" i="3"/>
  <c r="O682" i="3" s="1"/>
  <c r="Q682" i="3" s="1"/>
  <c r="Q668" i="3"/>
  <c r="P658" i="3"/>
  <c r="N658" i="3"/>
  <c r="O658" i="3" s="1"/>
  <c r="AD631" i="3"/>
  <c r="AE631" i="3" s="1"/>
  <c r="AF631" i="3"/>
  <c r="N632" i="3"/>
  <c r="O632" i="3" s="1"/>
  <c r="Q632" i="3"/>
  <c r="P632" i="3"/>
  <c r="AD651" i="3"/>
  <c r="AE651" i="3" s="1"/>
  <c r="AG651" i="3" s="1"/>
  <c r="AM651" i="3" s="1"/>
  <c r="N648" i="3"/>
  <c r="O648" i="3"/>
  <c r="Q648" i="3" s="1"/>
  <c r="AD647" i="3"/>
  <c r="AE647" i="3" s="1"/>
  <c r="AG647" i="3" s="1"/>
  <c r="AM647" i="3" s="1"/>
  <c r="AD635" i="3"/>
  <c r="AE635" i="3"/>
  <c r="AF635" i="3"/>
  <c r="AD663" i="3"/>
  <c r="AE663" i="3" s="1"/>
  <c r="P662" i="3"/>
  <c r="N662" i="3"/>
  <c r="O662" i="3" s="1"/>
  <c r="N656" i="3"/>
  <c r="O656" i="3"/>
  <c r="Q656" i="3" s="1"/>
  <c r="AF661" i="3"/>
  <c r="AD661" i="3"/>
  <c r="AE661" i="3" s="1"/>
  <c r="AF653" i="3"/>
  <c r="AD653" i="3"/>
  <c r="AE653" i="3" s="1"/>
  <c r="AD639" i="3"/>
  <c r="AE639" i="3" s="1"/>
  <c r="AG639" i="3" s="1"/>
  <c r="AM639" i="3" s="1"/>
  <c r="AD649" i="3"/>
  <c r="AE649" i="3" s="1"/>
  <c r="AG649" i="3" s="1"/>
  <c r="AM649" i="3" s="1"/>
  <c r="N646" i="3"/>
  <c r="O646" i="3"/>
  <c r="Q646" i="3" s="1"/>
  <c r="N642" i="3"/>
  <c r="O642" i="3"/>
  <c r="Q642" i="3" s="1"/>
  <c r="AD641" i="3"/>
  <c r="AE641" i="3" s="1"/>
  <c r="AG641" i="3" s="1"/>
  <c r="AM641" i="3" s="1"/>
  <c r="Y11" i="4"/>
  <c r="X11" i="4"/>
  <c r="I119" i="4"/>
  <c r="C119" i="4"/>
  <c r="I118" i="4"/>
  <c r="C118" i="4"/>
  <c r="I117" i="4"/>
  <c r="C117" i="4"/>
  <c r="I116" i="4"/>
  <c r="C116" i="4"/>
  <c r="I115" i="4"/>
  <c r="C115" i="4"/>
  <c r="I114" i="4"/>
  <c r="C114" i="4"/>
  <c r="I113" i="4"/>
  <c r="S113" i="4"/>
  <c r="C113" i="4"/>
  <c r="I112" i="4"/>
  <c r="C112" i="4"/>
  <c r="I111" i="4"/>
  <c r="C111" i="4"/>
  <c r="I110" i="4"/>
  <c r="C110" i="4"/>
  <c r="I11" i="4"/>
  <c r="C11" i="4"/>
  <c r="AH385" i="4"/>
  <c r="AE11" i="4"/>
  <c r="AD11" i="4"/>
  <c r="AF11" i="4" s="1"/>
  <c r="AG11" i="4" s="1"/>
  <c r="C381" i="3"/>
  <c r="L381" i="3"/>
  <c r="N381" i="3"/>
  <c r="O381" i="3"/>
  <c r="M381" i="3"/>
  <c r="V381" i="3"/>
  <c r="AB381" i="3"/>
  <c r="AC381" i="3"/>
  <c r="AF381" i="3" s="1"/>
  <c r="C382" i="3"/>
  <c r="L382" i="3"/>
  <c r="M382" i="3"/>
  <c r="P382" i="3" s="1"/>
  <c r="V382" i="3"/>
  <c r="AB382" i="3"/>
  <c r="AC382" i="3"/>
  <c r="AF382" i="3" s="1"/>
  <c r="C383" i="3"/>
  <c r="L383" i="3"/>
  <c r="M383" i="3"/>
  <c r="V383" i="3"/>
  <c r="AB383" i="3"/>
  <c r="AC383" i="3"/>
  <c r="C384" i="3"/>
  <c r="L384" i="3"/>
  <c r="M384" i="3"/>
  <c r="P384" i="3"/>
  <c r="V384" i="3"/>
  <c r="AB384" i="3"/>
  <c r="AC384" i="3"/>
  <c r="AF384" i="3"/>
  <c r="C385" i="3"/>
  <c r="L385" i="3"/>
  <c r="M385" i="3"/>
  <c r="V385" i="3"/>
  <c r="AB385" i="3"/>
  <c r="AD385" i="3" s="1"/>
  <c r="AE385" i="3" s="1"/>
  <c r="AG385" i="3" s="1"/>
  <c r="AM385" i="3" s="1"/>
  <c r="AC385" i="3"/>
  <c r="AF385" i="3" s="1"/>
  <c r="C386" i="3"/>
  <c r="L386" i="3"/>
  <c r="M386" i="3"/>
  <c r="V386" i="3"/>
  <c r="AB386" i="3"/>
  <c r="AC386" i="3"/>
  <c r="AF386" i="3" s="1"/>
  <c r="C387" i="3"/>
  <c r="L387" i="3"/>
  <c r="M387" i="3"/>
  <c r="P387" i="3"/>
  <c r="V387" i="3"/>
  <c r="AB387" i="3"/>
  <c r="AC387" i="3"/>
  <c r="AF387" i="3" s="1"/>
  <c r="C388" i="3"/>
  <c r="L388" i="3"/>
  <c r="M388" i="3"/>
  <c r="P388" i="3"/>
  <c r="V388" i="3"/>
  <c r="AB388" i="3"/>
  <c r="AC388" i="3"/>
  <c r="AF388" i="3"/>
  <c r="C389" i="3"/>
  <c r="L389" i="3"/>
  <c r="M389" i="3"/>
  <c r="P389" i="3"/>
  <c r="V389" i="3"/>
  <c r="AB389" i="3"/>
  <c r="AC389" i="3"/>
  <c r="AF389" i="3" s="1"/>
  <c r="C390" i="3"/>
  <c r="L390" i="3"/>
  <c r="M390" i="3"/>
  <c r="P390" i="3"/>
  <c r="V390" i="3"/>
  <c r="AB390" i="3"/>
  <c r="AC390" i="3"/>
  <c r="AF390" i="3" s="1"/>
  <c r="C391" i="3"/>
  <c r="L391" i="3"/>
  <c r="M391" i="3"/>
  <c r="V391" i="3"/>
  <c r="AB391" i="3"/>
  <c r="AC391" i="3"/>
  <c r="AF391" i="3" s="1"/>
  <c r="C392" i="3"/>
  <c r="L392" i="3"/>
  <c r="M392" i="3"/>
  <c r="P392" i="3"/>
  <c r="V392" i="3"/>
  <c r="AB392" i="3"/>
  <c r="AC392" i="3"/>
  <c r="AF392" i="3" s="1"/>
  <c r="C393" i="3"/>
  <c r="L393" i="3"/>
  <c r="M393" i="3"/>
  <c r="P393" i="3" s="1"/>
  <c r="V393" i="3"/>
  <c r="AB393" i="3"/>
  <c r="AC393" i="3"/>
  <c r="AF393" i="3" s="1"/>
  <c r="C394" i="3"/>
  <c r="L394" i="3"/>
  <c r="M394" i="3"/>
  <c r="V394" i="3"/>
  <c r="AB394" i="3"/>
  <c r="AC394" i="3"/>
  <c r="C395" i="3"/>
  <c r="L395" i="3"/>
  <c r="M395" i="3"/>
  <c r="P395" i="3"/>
  <c r="V395" i="3"/>
  <c r="AB395" i="3"/>
  <c r="AC395" i="3"/>
  <c r="AF395" i="3"/>
  <c r="C396" i="3"/>
  <c r="L396" i="3"/>
  <c r="M396" i="3"/>
  <c r="P396" i="3"/>
  <c r="V396" i="3"/>
  <c r="AB396" i="3"/>
  <c r="AC396" i="3"/>
  <c r="AF396" i="3" s="1"/>
  <c r="C397" i="3"/>
  <c r="L397" i="3"/>
  <c r="M397" i="3"/>
  <c r="P397" i="3"/>
  <c r="V397" i="3"/>
  <c r="AB397" i="3"/>
  <c r="AC397" i="3"/>
  <c r="AF397" i="3"/>
  <c r="C398" i="3"/>
  <c r="L398" i="3"/>
  <c r="M398" i="3"/>
  <c r="V398" i="3"/>
  <c r="AB398" i="3"/>
  <c r="AC398" i="3"/>
  <c r="AF398" i="3" s="1"/>
  <c r="C399" i="3"/>
  <c r="L399" i="3"/>
  <c r="M399" i="3"/>
  <c r="P399" i="3" s="1"/>
  <c r="V399" i="3"/>
  <c r="AB399" i="3"/>
  <c r="AC399" i="3"/>
  <c r="C400" i="3"/>
  <c r="L400" i="3"/>
  <c r="M400" i="3"/>
  <c r="P400" i="3"/>
  <c r="V400" i="3"/>
  <c r="AB400" i="3"/>
  <c r="AC400" i="3"/>
  <c r="AF400" i="3"/>
  <c r="C401" i="3"/>
  <c r="L401" i="3"/>
  <c r="M401" i="3"/>
  <c r="V401" i="3"/>
  <c r="AB401" i="3"/>
  <c r="AC401" i="3"/>
  <c r="AF401" i="3" s="1"/>
  <c r="C402" i="3"/>
  <c r="L402" i="3"/>
  <c r="M402" i="3"/>
  <c r="P402" i="3" s="1"/>
  <c r="V402" i="3"/>
  <c r="AB402" i="3"/>
  <c r="AC402" i="3"/>
  <c r="AF402" i="3" s="1"/>
  <c r="C403" i="3"/>
  <c r="L403" i="3"/>
  <c r="M403" i="3"/>
  <c r="P403" i="3" s="1"/>
  <c r="V403" i="3"/>
  <c r="AB403" i="3"/>
  <c r="AC403" i="3"/>
  <c r="C404" i="3"/>
  <c r="L404" i="3"/>
  <c r="M404" i="3"/>
  <c r="P404" i="3"/>
  <c r="V404" i="3"/>
  <c r="AB404" i="3"/>
  <c r="AD404" i="3" s="1"/>
  <c r="AE404" i="3" s="1"/>
  <c r="AC404" i="3"/>
  <c r="AF404" i="3"/>
  <c r="C405" i="3"/>
  <c r="L405" i="3"/>
  <c r="M405" i="3"/>
  <c r="P405" i="3" s="1"/>
  <c r="V405" i="3"/>
  <c r="AB405" i="3"/>
  <c r="AC405" i="3"/>
  <c r="AF405" i="3" s="1"/>
  <c r="C406" i="3"/>
  <c r="L406" i="3"/>
  <c r="M406" i="3"/>
  <c r="P406" i="3"/>
  <c r="V406" i="3"/>
  <c r="AB406" i="3"/>
  <c r="AC406" i="3"/>
  <c r="AF406" i="3"/>
  <c r="C407" i="3"/>
  <c r="L407" i="3"/>
  <c r="M407" i="3"/>
  <c r="V407" i="3"/>
  <c r="AB407" i="3"/>
  <c r="AC407" i="3"/>
  <c r="AF407" i="3" s="1"/>
  <c r="C408" i="3"/>
  <c r="L408" i="3"/>
  <c r="M408" i="3"/>
  <c r="P408" i="3"/>
  <c r="V408" i="3"/>
  <c r="AB408" i="3"/>
  <c r="AC408" i="3"/>
  <c r="AF408" i="3" s="1"/>
  <c r="C409" i="3"/>
  <c r="L409" i="3"/>
  <c r="M409" i="3"/>
  <c r="P409" i="3" s="1"/>
  <c r="V409" i="3"/>
  <c r="AB409" i="3"/>
  <c r="AC409" i="3"/>
  <c r="AF409" i="3" s="1"/>
  <c r="C410" i="3"/>
  <c r="L410" i="3"/>
  <c r="M410" i="3"/>
  <c r="V410" i="3"/>
  <c r="AB410" i="3"/>
  <c r="AC410" i="3"/>
  <c r="AF410" i="3" s="1"/>
  <c r="C411" i="3"/>
  <c r="L411" i="3"/>
  <c r="M411" i="3"/>
  <c r="V411" i="3"/>
  <c r="AB411" i="3"/>
  <c r="AC411" i="3"/>
  <c r="C412" i="3"/>
  <c r="L412" i="3"/>
  <c r="M412" i="3"/>
  <c r="P412" i="3" s="1"/>
  <c r="V412" i="3"/>
  <c r="AB412" i="3"/>
  <c r="AC412" i="3"/>
  <c r="AF412" i="3"/>
  <c r="C413" i="3"/>
  <c r="L413" i="3"/>
  <c r="M413" i="3"/>
  <c r="P413" i="3" s="1"/>
  <c r="V413" i="3"/>
  <c r="AB413" i="3"/>
  <c r="AC413" i="3"/>
  <c r="AF413" i="3" s="1"/>
  <c r="C414" i="3"/>
  <c r="L414" i="3"/>
  <c r="M414" i="3"/>
  <c r="P414" i="3"/>
  <c r="V414" i="3"/>
  <c r="AB414" i="3"/>
  <c r="AC414" i="3"/>
  <c r="C415" i="3"/>
  <c r="L415" i="3"/>
  <c r="M415" i="3"/>
  <c r="P415" i="3" s="1"/>
  <c r="V415" i="3"/>
  <c r="AB415" i="3"/>
  <c r="AC415" i="3"/>
  <c r="AF415" i="3" s="1"/>
  <c r="C416" i="3"/>
  <c r="L416" i="3"/>
  <c r="M416" i="3"/>
  <c r="P416" i="3"/>
  <c r="V416" i="3"/>
  <c r="AB416" i="3"/>
  <c r="AC416" i="3"/>
  <c r="AF416" i="3"/>
  <c r="C417" i="3"/>
  <c r="L417" i="3"/>
  <c r="M417" i="3"/>
  <c r="P417" i="3" s="1"/>
  <c r="V417" i="3"/>
  <c r="AB417" i="3"/>
  <c r="AC417" i="3"/>
  <c r="AF417" i="3" s="1"/>
  <c r="C418" i="3"/>
  <c r="L418" i="3"/>
  <c r="M418" i="3"/>
  <c r="P418" i="3" s="1"/>
  <c r="V418" i="3"/>
  <c r="AB418" i="3"/>
  <c r="AC418" i="3"/>
  <c r="C419" i="3"/>
  <c r="L419" i="3"/>
  <c r="M419" i="3"/>
  <c r="P419" i="3"/>
  <c r="V419" i="3"/>
  <c r="AB419" i="3"/>
  <c r="AD419" i="3"/>
  <c r="AE419" i="3" s="1"/>
  <c r="AC419" i="3"/>
  <c r="C420" i="3"/>
  <c r="L420" i="3"/>
  <c r="M420" i="3"/>
  <c r="P420" i="3" s="1"/>
  <c r="V420" i="3"/>
  <c r="AB420" i="3"/>
  <c r="AC420" i="3"/>
  <c r="AF420" i="3" s="1"/>
  <c r="C421" i="3"/>
  <c r="L421" i="3"/>
  <c r="M421" i="3"/>
  <c r="P421" i="3" s="1"/>
  <c r="V421" i="3"/>
  <c r="AB421" i="3"/>
  <c r="AC421" i="3"/>
  <c r="AF421" i="3" s="1"/>
  <c r="C422" i="3"/>
  <c r="L422" i="3"/>
  <c r="M422" i="3"/>
  <c r="P422" i="3"/>
  <c r="V422" i="3"/>
  <c r="AB422" i="3"/>
  <c r="AC422" i="3"/>
  <c r="AF422" i="3" s="1"/>
  <c r="C423" i="3"/>
  <c r="L423" i="3"/>
  <c r="M423" i="3"/>
  <c r="P423" i="3" s="1"/>
  <c r="V423" i="3"/>
  <c r="AB423" i="3"/>
  <c r="AC423" i="3"/>
  <c r="AF423" i="3"/>
  <c r="C424" i="3"/>
  <c r="L424" i="3"/>
  <c r="M424" i="3"/>
  <c r="P424" i="3"/>
  <c r="V424" i="3"/>
  <c r="AB424" i="3"/>
  <c r="AC424" i="3"/>
  <c r="AF424" i="3" s="1"/>
  <c r="C425" i="3"/>
  <c r="L425" i="3"/>
  <c r="M425" i="3"/>
  <c r="P425" i="3" s="1"/>
  <c r="V425" i="3"/>
  <c r="AB425" i="3"/>
  <c r="AC425" i="3"/>
  <c r="AF425" i="3" s="1"/>
  <c r="C426" i="3"/>
  <c r="L426" i="3"/>
  <c r="M426" i="3"/>
  <c r="V426" i="3"/>
  <c r="AB426" i="3"/>
  <c r="AC426" i="3"/>
  <c r="AF426" i="3" s="1"/>
  <c r="C427" i="3"/>
  <c r="L427" i="3"/>
  <c r="M427" i="3"/>
  <c r="V427" i="3"/>
  <c r="AB427" i="3"/>
  <c r="AC427" i="3"/>
  <c r="AF427" i="3" s="1"/>
  <c r="C428" i="3"/>
  <c r="L428" i="3"/>
  <c r="M428" i="3"/>
  <c r="P428" i="3" s="1"/>
  <c r="V428" i="3"/>
  <c r="AB428" i="3"/>
  <c r="AC428" i="3"/>
  <c r="AF428" i="3" s="1"/>
  <c r="C429" i="3"/>
  <c r="L429" i="3"/>
  <c r="M429" i="3"/>
  <c r="P429" i="3" s="1"/>
  <c r="V429" i="3"/>
  <c r="AB429" i="3"/>
  <c r="AC429" i="3"/>
  <c r="C430" i="3"/>
  <c r="L430" i="3"/>
  <c r="M430" i="3"/>
  <c r="P430" i="3"/>
  <c r="V430" i="3"/>
  <c r="AB430" i="3"/>
  <c r="AC430" i="3"/>
  <c r="AF430" i="3"/>
  <c r="C431" i="3"/>
  <c r="L431" i="3"/>
  <c r="M431" i="3"/>
  <c r="P431" i="3"/>
  <c r="V431" i="3"/>
  <c r="AB431" i="3"/>
  <c r="AC431" i="3"/>
  <c r="AF431" i="3" s="1"/>
  <c r="C432" i="3"/>
  <c r="L432" i="3"/>
  <c r="M432" i="3"/>
  <c r="P432" i="3"/>
  <c r="V432" i="3"/>
  <c r="AB432" i="3"/>
  <c r="AC432" i="3"/>
  <c r="AF432" i="3"/>
  <c r="C433" i="3"/>
  <c r="L433" i="3"/>
  <c r="M433" i="3"/>
  <c r="V433" i="3"/>
  <c r="AB433" i="3"/>
  <c r="AC433" i="3"/>
  <c r="AF433" i="3" s="1"/>
  <c r="C434" i="3"/>
  <c r="L434" i="3"/>
  <c r="M434" i="3"/>
  <c r="V434" i="3"/>
  <c r="AB434" i="3"/>
  <c r="AC434" i="3"/>
  <c r="AF434" i="3" s="1"/>
  <c r="C435" i="3"/>
  <c r="L435" i="3"/>
  <c r="N435" i="3"/>
  <c r="O435" i="3"/>
  <c r="M435" i="3"/>
  <c r="P435" i="3"/>
  <c r="V435" i="3"/>
  <c r="AB435" i="3"/>
  <c r="AC435" i="3"/>
  <c r="AF435" i="3" s="1"/>
  <c r="C436" i="3"/>
  <c r="L436" i="3"/>
  <c r="M436" i="3"/>
  <c r="V436" i="3"/>
  <c r="AB436" i="3"/>
  <c r="AC436" i="3"/>
  <c r="AF436" i="3" s="1"/>
  <c r="C437" i="3"/>
  <c r="L437" i="3"/>
  <c r="M437" i="3"/>
  <c r="P437" i="3" s="1"/>
  <c r="V437" i="3"/>
  <c r="AB437" i="3"/>
  <c r="AC437" i="3"/>
  <c r="AF437" i="3"/>
  <c r="C438" i="3"/>
  <c r="L438" i="3"/>
  <c r="M438" i="3"/>
  <c r="P438" i="3"/>
  <c r="V438" i="3"/>
  <c r="AB438" i="3"/>
  <c r="AC438" i="3"/>
  <c r="AF438" i="3" s="1"/>
  <c r="C439" i="3"/>
  <c r="L439" i="3"/>
  <c r="M439" i="3"/>
  <c r="V439" i="3"/>
  <c r="AB439" i="3"/>
  <c r="AC439" i="3"/>
  <c r="AF439" i="3"/>
  <c r="C440" i="3"/>
  <c r="L440" i="3"/>
  <c r="N440" i="3" s="1"/>
  <c r="O440" i="3" s="1"/>
  <c r="M440" i="3"/>
  <c r="P440" i="3"/>
  <c r="V440" i="3"/>
  <c r="AB440" i="3"/>
  <c r="AC440" i="3"/>
  <c r="C441" i="3"/>
  <c r="L441" i="3"/>
  <c r="M441" i="3"/>
  <c r="P441" i="3"/>
  <c r="V441" i="3"/>
  <c r="AB441" i="3"/>
  <c r="AC441" i="3"/>
  <c r="AF441" i="3" s="1"/>
  <c r="C442" i="3"/>
  <c r="L442" i="3"/>
  <c r="M442" i="3"/>
  <c r="P442" i="3"/>
  <c r="V442" i="3"/>
  <c r="AB442" i="3"/>
  <c r="AC442" i="3"/>
  <c r="AF442" i="3"/>
  <c r="C443" i="3"/>
  <c r="L443" i="3"/>
  <c r="M443" i="3"/>
  <c r="V443" i="3"/>
  <c r="AB443" i="3"/>
  <c r="AC443" i="3"/>
  <c r="AF443" i="3" s="1"/>
  <c r="C444" i="3"/>
  <c r="L444" i="3"/>
  <c r="M444" i="3"/>
  <c r="P444" i="3" s="1"/>
  <c r="V444" i="3"/>
  <c r="AB444" i="3"/>
  <c r="AC444" i="3"/>
  <c r="AF444" i="3" s="1"/>
  <c r="C445" i="3"/>
  <c r="L445" i="3"/>
  <c r="N445" i="3" s="1"/>
  <c r="M445" i="3"/>
  <c r="V445" i="3"/>
  <c r="AB445" i="3"/>
  <c r="AC445" i="3"/>
  <c r="AF445" i="3" s="1"/>
  <c r="C446" i="3"/>
  <c r="L446" i="3"/>
  <c r="M446" i="3"/>
  <c r="P446" i="3" s="1"/>
  <c r="V446" i="3"/>
  <c r="AB446" i="3"/>
  <c r="AC446" i="3"/>
  <c r="AF446" i="3" s="1"/>
  <c r="C447" i="3"/>
  <c r="L447" i="3"/>
  <c r="M447" i="3"/>
  <c r="V447" i="3"/>
  <c r="AB447" i="3"/>
  <c r="AC447" i="3"/>
  <c r="AF447" i="3" s="1"/>
  <c r="C448" i="3"/>
  <c r="L448" i="3"/>
  <c r="M448" i="3"/>
  <c r="P448" i="3" s="1"/>
  <c r="V448" i="3"/>
  <c r="AB448" i="3"/>
  <c r="AD448" i="3" s="1"/>
  <c r="AE448" i="3" s="1"/>
  <c r="AG448" i="3" s="1"/>
  <c r="AM448" i="3" s="1"/>
  <c r="AC448" i="3"/>
  <c r="AF448" i="3"/>
  <c r="C449" i="3"/>
  <c r="L449" i="3"/>
  <c r="N449" i="3"/>
  <c r="O449" i="3" s="1"/>
  <c r="Q449" i="3" s="1"/>
  <c r="M449" i="3"/>
  <c r="P449" i="3" s="1"/>
  <c r="V449" i="3"/>
  <c r="AB449" i="3"/>
  <c r="AC449" i="3"/>
  <c r="AF449" i="3" s="1"/>
  <c r="C450" i="3"/>
  <c r="L450" i="3"/>
  <c r="M450" i="3"/>
  <c r="P450" i="3"/>
  <c r="V450" i="3"/>
  <c r="AB450" i="3"/>
  <c r="AC450" i="3"/>
  <c r="C451" i="3"/>
  <c r="L451" i="3"/>
  <c r="M451" i="3"/>
  <c r="P451" i="3"/>
  <c r="V451" i="3"/>
  <c r="AB451" i="3"/>
  <c r="AC451" i="3"/>
  <c r="AF451" i="3"/>
  <c r="C452" i="3"/>
  <c r="L452" i="3"/>
  <c r="M452" i="3"/>
  <c r="P452" i="3"/>
  <c r="V452" i="3"/>
  <c r="AB452" i="3"/>
  <c r="AC452" i="3"/>
  <c r="AF452" i="3"/>
  <c r="C453" i="3"/>
  <c r="L453" i="3"/>
  <c r="M453" i="3"/>
  <c r="P453" i="3"/>
  <c r="V453" i="3"/>
  <c r="AB453" i="3"/>
  <c r="AC453" i="3"/>
  <c r="C454" i="3"/>
  <c r="L454" i="3"/>
  <c r="M454" i="3"/>
  <c r="P454" i="3" s="1"/>
  <c r="V454" i="3"/>
  <c r="AB454" i="3"/>
  <c r="AC454" i="3"/>
  <c r="AF454" i="3" s="1"/>
  <c r="C455" i="3"/>
  <c r="L455" i="3"/>
  <c r="M455" i="3"/>
  <c r="P455" i="3" s="1"/>
  <c r="V455" i="3"/>
  <c r="AB455" i="3"/>
  <c r="AC455" i="3"/>
  <c r="AF455" i="3" s="1"/>
  <c r="C456" i="3"/>
  <c r="L456" i="3"/>
  <c r="M456" i="3"/>
  <c r="P456" i="3" s="1"/>
  <c r="V456" i="3"/>
  <c r="AB456" i="3"/>
  <c r="AC456" i="3"/>
  <c r="AF456" i="3" s="1"/>
  <c r="C457" i="3"/>
  <c r="L457" i="3"/>
  <c r="M457" i="3"/>
  <c r="P457" i="3" s="1"/>
  <c r="V457" i="3"/>
  <c r="AB457" i="3"/>
  <c r="AC457" i="3"/>
  <c r="C458" i="3"/>
  <c r="L458" i="3"/>
  <c r="M458" i="3"/>
  <c r="P458" i="3"/>
  <c r="V458" i="3"/>
  <c r="AB458" i="3"/>
  <c r="AC458" i="3"/>
  <c r="AF458" i="3" s="1"/>
  <c r="C459" i="3"/>
  <c r="L459" i="3"/>
  <c r="M459" i="3"/>
  <c r="P459" i="3"/>
  <c r="V459" i="3"/>
  <c r="AB459" i="3"/>
  <c r="AC459" i="3"/>
  <c r="C460" i="3"/>
  <c r="L460" i="3"/>
  <c r="M460" i="3"/>
  <c r="P460" i="3" s="1"/>
  <c r="V460" i="3"/>
  <c r="AB460" i="3"/>
  <c r="AC460" i="3"/>
  <c r="AF460" i="3" s="1"/>
  <c r="C461" i="3"/>
  <c r="L461" i="3"/>
  <c r="M461" i="3"/>
  <c r="V461" i="3"/>
  <c r="AB461" i="3"/>
  <c r="AC461" i="3"/>
  <c r="AF461" i="3" s="1"/>
  <c r="C462" i="3"/>
  <c r="L462" i="3"/>
  <c r="N462" i="3" s="1"/>
  <c r="O462" i="3" s="1"/>
  <c r="M462" i="3"/>
  <c r="P462" i="3"/>
  <c r="V462" i="3"/>
  <c r="AB462" i="3"/>
  <c r="AC462" i="3"/>
  <c r="C463" i="3"/>
  <c r="L463" i="3"/>
  <c r="M463" i="3"/>
  <c r="P463" i="3" s="1"/>
  <c r="V463" i="3"/>
  <c r="AB463" i="3"/>
  <c r="AC463" i="3"/>
  <c r="AF463" i="3" s="1"/>
  <c r="C464" i="3"/>
  <c r="L464" i="3"/>
  <c r="M464" i="3"/>
  <c r="P464" i="3" s="1"/>
  <c r="V464" i="3"/>
  <c r="AB464" i="3"/>
  <c r="AD464" i="3" s="1"/>
  <c r="AE464" i="3" s="1"/>
  <c r="AG464" i="3" s="1"/>
  <c r="AM464" i="3" s="1"/>
  <c r="AC464" i="3"/>
  <c r="AF464" i="3" s="1"/>
  <c r="C465" i="3"/>
  <c r="L465" i="3"/>
  <c r="M465" i="3"/>
  <c r="P465" i="3" s="1"/>
  <c r="V465" i="3"/>
  <c r="AB465" i="3"/>
  <c r="AC465" i="3"/>
  <c r="C466" i="3"/>
  <c r="L466" i="3"/>
  <c r="M466" i="3"/>
  <c r="P466" i="3"/>
  <c r="V466" i="3"/>
  <c r="AB466" i="3"/>
  <c r="AC466" i="3"/>
  <c r="AF466" i="3"/>
  <c r="C467" i="3"/>
  <c r="L467" i="3"/>
  <c r="M467" i="3"/>
  <c r="V467" i="3"/>
  <c r="AB467" i="3"/>
  <c r="AC467" i="3"/>
  <c r="AF467" i="3" s="1"/>
  <c r="C468" i="3"/>
  <c r="L468" i="3"/>
  <c r="M468" i="3"/>
  <c r="P468" i="3"/>
  <c r="V468" i="3"/>
  <c r="AB468" i="3"/>
  <c r="AC468" i="3"/>
  <c r="AF468" i="3"/>
  <c r="C469" i="3"/>
  <c r="L469" i="3"/>
  <c r="M469" i="3"/>
  <c r="V469" i="3"/>
  <c r="AB469" i="3"/>
  <c r="AC469" i="3"/>
  <c r="C470" i="3"/>
  <c r="L470" i="3"/>
  <c r="M470" i="3"/>
  <c r="P470" i="3" s="1"/>
  <c r="V470" i="3"/>
  <c r="AB470" i="3"/>
  <c r="AC470" i="3"/>
  <c r="AF470" i="3" s="1"/>
  <c r="C471" i="3"/>
  <c r="L471" i="3"/>
  <c r="M471" i="3"/>
  <c r="P471" i="3" s="1"/>
  <c r="V471" i="3"/>
  <c r="AB471" i="3"/>
  <c r="AC471" i="3"/>
  <c r="C472" i="3"/>
  <c r="L472" i="3"/>
  <c r="M472" i="3"/>
  <c r="P472" i="3" s="1"/>
  <c r="V472" i="3"/>
  <c r="AB472" i="3"/>
  <c r="AC472" i="3"/>
  <c r="AF472" i="3" s="1"/>
  <c r="C473" i="3"/>
  <c r="L473" i="3"/>
  <c r="M473" i="3"/>
  <c r="P473" i="3" s="1"/>
  <c r="V473" i="3"/>
  <c r="AB473" i="3"/>
  <c r="AC473" i="3"/>
  <c r="C474" i="3"/>
  <c r="L474" i="3"/>
  <c r="M474" i="3"/>
  <c r="P474" i="3" s="1"/>
  <c r="V474" i="3"/>
  <c r="AB474" i="3"/>
  <c r="AC474" i="3"/>
  <c r="AF474" i="3" s="1"/>
  <c r="C475" i="3"/>
  <c r="L475" i="3"/>
  <c r="M475" i="3"/>
  <c r="P475" i="3" s="1"/>
  <c r="V475" i="3"/>
  <c r="AB475" i="3"/>
  <c r="AC475" i="3"/>
  <c r="AF475" i="3" s="1"/>
  <c r="C476" i="3"/>
  <c r="L476" i="3"/>
  <c r="M476" i="3"/>
  <c r="P476" i="3"/>
  <c r="V476" i="3"/>
  <c r="AB476" i="3"/>
  <c r="AC476" i="3"/>
  <c r="AF476" i="3" s="1"/>
  <c r="C477" i="3"/>
  <c r="L477" i="3"/>
  <c r="M477" i="3"/>
  <c r="P477" i="3" s="1"/>
  <c r="V477" i="3"/>
  <c r="AB477" i="3"/>
  <c r="AC477" i="3"/>
  <c r="AF477" i="3" s="1"/>
  <c r="C478" i="3"/>
  <c r="L478" i="3"/>
  <c r="M478" i="3"/>
  <c r="P478" i="3" s="1"/>
  <c r="V478" i="3"/>
  <c r="AB478" i="3"/>
  <c r="AC478" i="3"/>
  <c r="AF478" i="3" s="1"/>
  <c r="C479" i="3"/>
  <c r="L479" i="3"/>
  <c r="M479" i="3"/>
  <c r="P479" i="3"/>
  <c r="V479" i="3"/>
  <c r="AB479" i="3"/>
  <c r="AC479" i="3"/>
  <c r="AF479" i="3" s="1"/>
  <c r="C480" i="3"/>
  <c r="L480" i="3"/>
  <c r="M480" i="3"/>
  <c r="P480" i="3" s="1"/>
  <c r="V480" i="3"/>
  <c r="AB480" i="3"/>
  <c r="AC480" i="3"/>
  <c r="AF480" i="3" s="1"/>
  <c r="C481" i="3"/>
  <c r="L481" i="3"/>
  <c r="M481" i="3"/>
  <c r="V481" i="3"/>
  <c r="AB481" i="3"/>
  <c r="AC481" i="3"/>
  <c r="AF481" i="3"/>
  <c r="C482" i="3"/>
  <c r="L482" i="3"/>
  <c r="M482" i="3"/>
  <c r="P482" i="3"/>
  <c r="V482" i="3"/>
  <c r="AB482" i="3"/>
  <c r="AC482" i="3"/>
  <c r="AF482" i="3" s="1"/>
  <c r="C483" i="3"/>
  <c r="L483" i="3"/>
  <c r="M483" i="3"/>
  <c r="P483" i="3"/>
  <c r="V483" i="3"/>
  <c r="AB483" i="3"/>
  <c r="AC483" i="3"/>
  <c r="AF483" i="3"/>
  <c r="C484" i="3"/>
  <c r="L484" i="3"/>
  <c r="M484" i="3"/>
  <c r="P484" i="3"/>
  <c r="V484" i="3"/>
  <c r="AB484" i="3"/>
  <c r="AD484" i="3" s="1"/>
  <c r="AE484" i="3" s="1"/>
  <c r="AC484" i="3"/>
  <c r="AF484" i="3"/>
  <c r="C485" i="3"/>
  <c r="L485" i="3"/>
  <c r="M485" i="3"/>
  <c r="P485" i="3"/>
  <c r="V485" i="3"/>
  <c r="AB485" i="3"/>
  <c r="AC485" i="3"/>
  <c r="AF485" i="3" s="1"/>
  <c r="C486" i="3"/>
  <c r="L486" i="3"/>
  <c r="M486" i="3"/>
  <c r="V486" i="3"/>
  <c r="AB486" i="3"/>
  <c r="AC486" i="3"/>
  <c r="C487" i="3"/>
  <c r="L487" i="3"/>
  <c r="M487" i="3"/>
  <c r="P487" i="3"/>
  <c r="V487" i="3"/>
  <c r="AB487" i="3"/>
  <c r="AC487" i="3"/>
  <c r="AF487" i="3"/>
  <c r="C488" i="3"/>
  <c r="L488" i="3"/>
  <c r="M488" i="3"/>
  <c r="P488" i="3"/>
  <c r="V488" i="3"/>
  <c r="AB488" i="3"/>
  <c r="AC488" i="3"/>
  <c r="AF488" i="3" s="1"/>
  <c r="C489" i="3"/>
  <c r="L489" i="3"/>
  <c r="M489" i="3"/>
  <c r="P489" i="3"/>
  <c r="V489" i="3"/>
  <c r="AB489" i="3"/>
  <c r="AC489" i="3"/>
  <c r="AF489" i="3" s="1"/>
  <c r="C490" i="3"/>
  <c r="L490" i="3"/>
  <c r="M490" i="3"/>
  <c r="V490" i="3"/>
  <c r="AB490" i="3"/>
  <c r="AC490" i="3"/>
  <c r="C491" i="3"/>
  <c r="L491" i="3"/>
  <c r="M491" i="3"/>
  <c r="P491" i="3"/>
  <c r="V491" i="3"/>
  <c r="AB491" i="3"/>
  <c r="AC491" i="3"/>
  <c r="AF491" i="3" s="1"/>
  <c r="C492" i="3"/>
  <c r="L492" i="3"/>
  <c r="M492" i="3"/>
  <c r="P492" i="3" s="1"/>
  <c r="V492" i="3"/>
  <c r="AB492" i="3"/>
  <c r="AC492" i="3"/>
  <c r="AF492" i="3"/>
  <c r="C493" i="3"/>
  <c r="L493" i="3"/>
  <c r="M493" i="3"/>
  <c r="P493" i="3" s="1"/>
  <c r="V493" i="3"/>
  <c r="AB493" i="3"/>
  <c r="AC493" i="3"/>
  <c r="C494" i="3"/>
  <c r="L494" i="3"/>
  <c r="M494" i="3"/>
  <c r="V494" i="3"/>
  <c r="AB494" i="3"/>
  <c r="AC494" i="3"/>
  <c r="AF494" i="3" s="1"/>
  <c r="C495" i="3"/>
  <c r="L495" i="3"/>
  <c r="M495" i="3"/>
  <c r="V495" i="3"/>
  <c r="AB495" i="3"/>
  <c r="AC495" i="3"/>
  <c r="C496" i="3"/>
  <c r="L496" i="3"/>
  <c r="M496" i="3"/>
  <c r="V496" i="3"/>
  <c r="AB496" i="3"/>
  <c r="AC496" i="3"/>
  <c r="AF496" i="3" s="1"/>
  <c r="C497" i="3"/>
  <c r="L497" i="3"/>
  <c r="M497" i="3"/>
  <c r="P497" i="3" s="1"/>
  <c r="V497" i="3"/>
  <c r="AB497" i="3"/>
  <c r="AD497" i="3" s="1"/>
  <c r="AE497" i="3" s="1"/>
  <c r="AG497" i="3" s="1"/>
  <c r="AM497" i="3" s="1"/>
  <c r="AC497" i="3"/>
  <c r="AF497" i="3" s="1"/>
  <c r="C498" i="3"/>
  <c r="L498" i="3"/>
  <c r="M498" i="3"/>
  <c r="P498" i="3"/>
  <c r="V498" i="3"/>
  <c r="AB498" i="3"/>
  <c r="AC498" i="3"/>
  <c r="AF498" i="3" s="1"/>
  <c r="C499" i="3"/>
  <c r="L499" i="3"/>
  <c r="M499" i="3"/>
  <c r="P499" i="3" s="1"/>
  <c r="V499" i="3"/>
  <c r="AB499" i="3"/>
  <c r="AC499" i="3"/>
  <c r="C500" i="3"/>
  <c r="L500" i="3"/>
  <c r="M500" i="3"/>
  <c r="P500" i="3"/>
  <c r="V500" i="3"/>
  <c r="AB500" i="3"/>
  <c r="AC500" i="3"/>
  <c r="AF500" i="3" s="1"/>
  <c r="C501" i="3"/>
  <c r="L501" i="3"/>
  <c r="M501" i="3"/>
  <c r="P501" i="3"/>
  <c r="V501" i="3"/>
  <c r="AB501" i="3"/>
  <c r="AD501" i="3" s="1"/>
  <c r="AE501" i="3" s="1"/>
  <c r="AC501" i="3"/>
  <c r="C502" i="3"/>
  <c r="L502" i="3"/>
  <c r="M502" i="3"/>
  <c r="V502" i="3"/>
  <c r="AB502" i="3"/>
  <c r="AC502" i="3"/>
  <c r="AF502" i="3"/>
  <c r="C503" i="3"/>
  <c r="L503" i="3"/>
  <c r="M503" i="3"/>
  <c r="P503" i="3"/>
  <c r="V503" i="3"/>
  <c r="AB503" i="3"/>
  <c r="AC503" i="3"/>
  <c r="AF503" i="3"/>
  <c r="C504" i="3"/>
  <c r="L504" i="3"/>
  <c r="M504" i="3"/>
  <c r="P504" i="3"/>
  <c r="V504" i="3"/>
  <c r="AB504" i="3"/>
  <c r="AC504" i="3"/>
  <c r="AF504" i="3" s="1"/>
  <c r="C505" i="3"/>
  <c r="L505" i="3"/>
  <c r="M505" i="3"/>
  <c r="P505" i="3"/>
  <c r="V505" i="3"/>
  <c r="AB505" i="3"/>
  <c r="AC505" i="3"/>
  <c r="AF505" i="3" s="1"/>
  <c r="C506" i="3"/>
  <c r="L506" i="3"/>
  <c r="N506" i="3"/>
  <c r="O506" i="3" s="1"/>
  <c r="M506" i="3"/>
  <c r="V506" i="3"/>
  <c r="AB506" i="3"/>
  <c r="AC506" i="3"/>
  <c r="AF506" i="3" s="1"/>
  <c r="C507" i="3"/>
  <c r="L507" i="3"/>
  <c r="M507" i="3"/>
  <c r="P507" i="3" s="1"/>
  <c r="V507" i="3"/>
  <c r="AB507" i="3"/>
  <c r="AC507" i="3"/>
  <c r="AF507" i="3" s="1"/>
  <c r="C508" i="3"/>
  <c r="L508" i="3"/>
  <c r="M508" i="3"/>
  <c r="P508" i="3" s="1"/>
  <c r="V508" i="3"/>
  <c r="AB508" i="3"/>
  <c r="AC508" i="3"/>
  <c r="AF508" i="3" s="1"/>
  <c r="C509" i="3"/>
  <c r="L509" i="3"/>
  <c r="M509" i="3"/>
  <c r="P509" i="3" s="1"/>
  <c r="V509" i="3"/>
  <c r="AB509" i="3"/>
  <c r="AC509" i="3"/>
  <c r="AF509" i="3" s="1"/>
  <c r="C510" i="3"/>
  <c r="L510" i="3"/>
  <c r="N510" i="3" s="1"/>
  <c r="O510" i="3" s="1"/>
  <c r="M510" i="3"/>
  <c r="P510" i="3" s="1"/>
  <c r="V510" i="3"/>
  <c r="AB510" i="3"/>
  <c r="AC510" i="3"/>
  <c r="AF510" i="3" s="1"/>
  <c r="C511" i="3"/>
  <c r="L511" i="3"/>
  <c r="M511" i="3"/>
  <c r="V511" i="3"/>
  <c r="AB511" i="3"/>
  <c r="AC511" i="3"/>
  <c r="AF511" i="3"/>
  <c r="C512" i="3"/>
  <c r="L512" i="3"/>
  <c r="M512" i="3"/>
  <c r="P512" i="3"/>
  <c r="V512" i="3"/>
  <c r="AB512" i="3"/>
  <c r="AC512" i="3"/>
  <c r="AF512" i="3"/>
  <c r="C513" i="3"/>
  <c r="L513" i="3"/>
  <c r="M513" i="3"/>
  <c r="P513" i="3"/>
  <c r="V513" i="3"/>
  <c r="AB513" i="3"/>
  <c r="AC513" i="3"/>
  <c r="AF513" i="3" s="1"/>
  <c r="C514" i="3"/>
  <c r="L514" i="3"/>
  <c r="M514" i="3"/>
  <c r="V514" i="3"/>
  <c r="AB514" i="3"/>
  <c r="AC514" i="3"/>
  <c r="C515" i="3"/>
  <c r="L515" i="3"/>
  <c r="M515" i="3"/>
  <c r="P515" i="3"/>
  <c r="V515" i="3"/>
  <c r="AB515" i="3"/>
  <c r="AC515" i="3"/>
  <c r="AF515" i="3"/>
  <c r="C516" i="3"/>
  <c r="L516" i="3"/>
  <c r="M516" i="3"/>
  <c r="P516" i="3"/>
  <c r="V516" i="3"/>
  <c r="AB516" i="3"/>
  <c r="AC516" i="3"/>
  <c r="AF516" i="3" s="1"/>
  <c r="C517" i="3"/>
  <c r="L517" i="3"/>
  <c r="M517" i="3"/>
  <c r="V517" i="3"/>
  <c r="AB517" i="3"/>
  <c r="AC517" i="3"/>
  <c r="C518" i="3"/>
  <c r="L518" i="3"/>
  <c r="M518" i="3"/>
  <c r="P518" i="3" s="1"/>
  <c r="V518" i="3"/>
  <c r="AB518" i="3"/>
  <c r="AC518" i="3"/>
  <c r="AF518" i="3"/>
  <c r="C519" i="3"/>
  <c r="L519" i="3"/>
  <c r="M519" i="3"/>
  <c r="V519" i="3"/>
  <c r="AB519" i="3"/>
  <c r="AC519" i="3"/>
  <c r="C520" i="3"/>
  <c r="L520" i="3"/>
  <c r="M520" i="3"/>
  <c r="P520" i="3"/>
  <c r="V520" i="3"/>
  <c r="AB520" i="3"/>
  <c r="AC520" i="3"/>
  <c r="AF520" i="3" s="1"/>
  <c r="C521" i="3"/>
  <c r="L521" i="3"/>
  <c r="M521" i="3"/>
  <c r="P521" i="3"/>
  <c r="V521" i="3"/>
  <c r="AB521" i="3"/>
  <c r="AC521" i="3"/>
  <c r="C522" i="3"/>
  <c r="L522" i="3"/>
  <c r="M522" i="3"/>
  <c r="P522" i="3" s="1"/>
  <c r="V522" i="3"/>
  <c r="AB522" i="3"/>
  <c r="AC522" i="3"/>
  <c r="AF522" i="3" s="1"/>
  <c r="C523" i="3"/>
  <c r="L523" i="3"/>
  <c r="M523" i="3"/>
  <c r="P523" i="3" s="1"/>
  <c r="V523" i="3"/>
  <c r="AB523" i="3"/>
  <c r="AC523" i="3"/>
  <c r="AF523" i="3" s="1"/>
  <c r="C524" i="3"/>
  <c r="L524" i="3"/>
  <c r="N524" i="3" s="1"/>
  <c r="O524" i="3" s="1"/>
  <c r="M524" i="3"/>
  <c r="P524" i="3"/>
  <c r="V524" i="3"/>
  <c r="AB524" i="3"/>
  <c r="AC524" i="3"/>
  <c r="AF524" i="3" s="1"/>
  <c r="C525" i="3"/>
  <c r="L525" i="3"/>
  <c r="M525" i="3"/>
  <c r="P525" i="3"/>
  <c r="V525" i="3"/>
  <c r="AB525" i="3"/>
  <c r="AD525" i="3" s="1"/>
  <c r="AE525" i="3" s="1"/>
  <c r="AC525" i="3"/>
  <c r="AF525" i="3" s="1"/>
  <c r="C526" i="3"/>
  <c r="L526" i="3"/>
  <c r="M526" i="3"/>
  <c r="V526" i="3"/>
  <c r="AB526" i="3"/>
  <c r="AC526" i="3"/>
  <c r="AF526" i="3" s="1"/>
  <c r="C527" i="3"/>
  <c r="L527" i="3"/>
  <c r="M527" i="3"/>
  <c r="P527" i="3" s="1"/>
  <c r="V527" i="3"/>
  <c r="AB527" i="3"/>
  <c r="AC527" i="3"/>
  <c r="C528" i="3"/>
  <c r="L528" i="3"/>
  <c r="M528" i="3"/>
  <c r="P528" i="3"/>
  <c r="V528" i="3"/>
  <c r="AB528" i="3"/>
  <c r="AD528" i="3" s="1"/>
  <c r="AC528" i="3"/>
  <c r="C529" i="3"/>
  <c r="L529" i="3"/>
  <c r="M529" i="3"/>
  <c r="V529" i="3"/>
  <c r="AB529" i="3"/>
  <c r="AC529" i="3"/>
  <c r="AF529" i="3" s="1"/>
  <c r="C530" i="3"/>
  <c r="L530" i="3"/>
  <c r="M530" i="3"/>
  <c r="P530" i="3" s="1"/>
  <c r="V530" i="3"/>
  <c r="AB530" i="3"/>
  <c r="AC530" i="3"/>
  <c r="AF530" i="3" s="1"/>
  <c r="C531" i="3"/>
  <c r="L531" i="3"/>
  <c r="M531" i="3"/>
  <c r="V531" i="3"/>
  <c r="AB531" i="3"/>
  <c r="AC531" i="3"/>
  <c r="AF531" i="3"/>
  <c r="C532" i="3"/>
  <c r="L532" i="3"/>
  <c r="M532" i="3"/>
  <c r="P532" i="3"/>
  <c r="V532" i="3"/>
  <c r="AB532" i="3"/>
  <c r="AC532" i="3"/>
  <c r="C533" i="3"/>
  <c r="L533" i="3"/>
  <c r="M533" i="3"/>
  <c r="P533" i="3" s="1"/>
  <c r="V533" i="3"/>
  <c r="AB533" i="3"/>
  <c r="AC533" i="3"/>
  <c r="C534" i="3"/>
  <c r="L534" i="3"/>
  <c r="M534" i="3"/>
  <c r="P534" i="3"/>
  <c r="V534" i="3"/>
  <c r="AB534" i="3"/>
  <c r="AC534" i="3"/>
  <c r="C535" i="3"/>
  <c r="L535" i="3"/>
  <c r="M535" i="3"/>
  <c r="P535" i="3"/>
  <c r="V535" i="3"/>
  <c r="AB535" i="3"/>
  <c r="AC535" i="3"/>
  <c r="AF535" i="3" s="1"/>
  <c r="C536" i="3"/>
  <c r="L536" i="3"/>
  <c r="M536" i="3"/>
  <c r="V536" i="3"/>
  <c r="AB536" i="3"/>
  <c r="AC536" i="3"/>
  <c r="C537" i="3"/>
  <c r="L537" i="3"/>
  <c r="M537" i="3"/>
  <c r="P537" i="3" s="1"/>
  <c r="V537" i="3"/>
  <c r="AB537" i="3"/>
  <c r="AC537" i="3"/>
  <c r="C538" i="3"/>
  <c r="L538" i="3"/>
  <c r="M538" i="3"/>
  <c r="P538" i="3"/>
  <c r="V538" i="3"/>
  <c r="AB538" i="3"/>
  <c r="AD538" i="3" s="1"/>
  <c r="AE538" i="3" s="1"/>
  <c r="AC538" i="3"/>
  <c r="AF538" i="3"/>
  <c r="C539" i="3"/>
  <c r="L539" i="3"/>
  <c r="M539" i="3"/>
  <c r="P539" i="3"/>
  <c r="V539" i="3"/>
  <c r="AB539" i="3"/>
  <c r="AC539" i="3"/>
  <c r="AF539" i="3" s="1"/>
  <c r="C540" i="3"/>
  <c r="L540" i="3"/>
  <c r="M540" i="3"/>
  <c r="P540" i="3"/>
  <c r="V540" i="3"/>
  <c r="AB540" i="3"/>
  <c r="AC540" i="3"/>
  <c r="AF540" i="3"/>
  <c r="C541" i="3"/>
  <c r="L541" i="3"/>
  <c r="N541" i="3" s="1"/>
  <c r="O541" i="3"/>
  <c r="Q541" i="3"/>
  <c r="M541" i="3"/>
  <c r="P541" i="3" s="1"/>
  <c r="V541" i="3"/>
  <c r="AB541" i="3"/>
  <c r="AC541" i="3"/>
  <c r="C542" i="3"/>
  <c r="L542" i="3"/>
  <c r="M542" i="3"/>
  <c r="P542" i="3"/>
  <c r="V542" i="3"/>
  <c r="AB542" i="3"/>
  <c r="AC542" i="3"/>
  <c r="C543" i="3"/>
  <c r="L543" i="3"/>
  <c r="M543" i="3"/>
  <c r="P543" i="3" s="1"/>
  <c r="V543" i="3"/>
  <c r="AB543" i="3"/>
  <c r="AC543" i="3"/>
  <c r="C544" i="3"/>
  <c r="L544" i="3"/>
  <c r="M544" i="3"/>
  <c r="P544" i="3" s="1"/>
  <c r="V544" i="3"/>
  <c r="AB544" i="3"/>
  <c r="AC544" i="3"/>
  <c r="AF544" i="3" s="1"/>
  <c r="C545" i="3"/>
  <c r="L545" i="3"/>
  <c r="M545" i="3"/>
  <c r="P545" i="3" s="1"/>
  <c r="V545" i="3"/>
  <c r="AB545" i="3"/>
  <c r="AC545" i="3"/>
  <c r="C546" i="3"/>
  <c r="L546" i="3"/>
  <c r="M546" i="3"/>
  <c r="P546" i="3"/>
  <c r="V546" i="3"/>
  <c r="AB546" i="3"/>
  <c r="AC546" i="3"/>
  <c r="AF546" i="3"/>
  <c r="C547" i="3"/>
  <c r="L547" i="3"/>
  <c r="M547" i="3"/>
  <c r="P547" i="3" s="1"/>
  <c r="V547" i="3"/>
  <c r="AB547" i="3"/>
  <c r="AC547" i="3"/>
  <c r="C548" i="3"/>
  <c r="L548" i="3"/>
  <c r="M548" i="3"/>
  <c r="P548" i="3"/>
  <c r="V548" i="3"/>
  <c r="AB548" i="3"/>
  <c r="AC548" i="3"/>
  <c r="C549" i="3"/>
  <c r="L549" i="3"/>
  <c r="M549" i="3"/>
  <c r="P549" i="3"/>
  <c r="V549" i="3"/>
  <c r="AB549" i="3"/>
  <c r="AC549" i="3"/>
  <c r="C550" i="3"/>
  <c r="L550" i="3"/>
  <c r="M550" i="3"/>
  <c r="V550" i="3"/>
  <c r="AB550" i="3"/>
  <c r="AC550" i="3"/>
  <c r="AF550" i="3" s="1"/>
  <c r="C551" i="3"/>
  <c r="L551" i="3"/>
  <c r="M551" i="3"/>
  <c r="P551" i="3"/>
  <c r="V551" i="3"/>
  <c r="AB551" i="3"/>
  <c r="AC551" i="3"/>
  <c r="C552" i="3"/>
  <c r="L552" i="3"/>
  <c r="M552" i="3"/>
  <c r="P552" i="3" s="1"/>
  <c r="V552" i="3"/>
  <c r="AB552" i="3"/>
  <c r="AC552" i="3"/>
  <c r="AF552" i="3" s="1"/>
  <c r="C553" i="3"/>
  <c r="L553" i="3"/>
  <c r="M553" i="3"/>
  <c r="P553" i="3"/>
  <c r="V553" i="3"/>
  <c r="AB553" i="3"/>
  <c r="AC553" i="3"/>
  <c r="C554" i="3"/>
  <c r="L554" i="3"/>
  <c r="M554" i="3"/>
  <c r="P554" i="3"/>
  <c r="V554" i="3"/>
  <c r="AB554" i="3"/>
  <c r="AC554" i="3"/>
  <c r="AF554" i="3" s="1"/>
  <c r="C555" i="3"/>
  <c r="L555" i="3"/>
  <c r="M555" i="3"/>
  <c r="P555" i="3"/>
  <c r="V555" i="3"/>
  <c r="AB555" i="3"/>
  <c r="AC555" i="3"/>
  <c r="AF555" i="3" s="1"/>
  <c r="C556" i="3"/>
  <c r="L556" i="3"/>
  <c r="M556" i="3"/>
  <c r="P556" i="3"/>
  <c r="V556" i="3"/>
  <c r="AG556" i="3" s="1"/>
  <c r="AM556" i="3" s="1"/>
  <c r="AB556" i="3"/>
  <c r="AC556" i="3"/>
  <c r="AF556" i="3"/>
  <c r="C557" i="3"/>
  <c r="L557" i="3"/>
  <c r="M557" i="3"/>
  <c r="P557" i="3"/>
  <c r="V557" i="3"/>
  <c r="AB557" i="3"/>
  <c r="AC557" i="3"/>
  <c r="AF557" i="3" s="1"/>
  <c r="C558" i="3"/>
  <c r="L558" i="3"/>
  <c r="M558" i="3"/>
  <c r="V558" i="3"/>
  <c r="AB558" i="3"/>
  <c r="AC558" i="3"/>
  <c r="AF558" i="3" s="1"/>
  <c r="C559" i="3"/>
  <c r="L559" i="3"/>
  <c r="M559" i="3"/>
  <c r="P559" i="3" s="1"/>
  <c r="V559" i="3"/>
  <c r="AB559" i="3"/>
  <c r="AC559" i="3"/>
  <c r="C560" i="3"/>
  <c r="L560" i="3"/>
  <c r="M560" i="3"/>
  <c r="P560" i="3" s="1"/>
  <c r="V560" i="3"/>
  <c r="AB560" i="3"/>
  <c r="AC560" i="3"/>
  <c r="AF560" i="3" s="1"/>
  <c r="C561" i="3"/>
  <c r="L561" i="3"/>
  <c r="M561" i="3"/>
  <c r="P561" i="3"/>
  <c r="V561" i="3"/>
  <c r="AB561" i="3"/>
  <c r="AC561" i="3"/>
  <c r="AF561" i="3"/>
  <c r="C562" i="3"/>
  <c r="L562" i="3"/>
  <c r="M562" i="3"/>
  <c r="V562" i="3"/>
  <c r="AB562" i="3"/>
  <c r="AC562" i="3"/>
  <c r="AF562" i="3" s="1"/>
  <c r="C563" i="3"/>
  <c r="L563" i="3"/>
  <c r="M563" i="3"/>
  <c r="P563" i="3" s="1"/>
  <c r="V563" i="3"/>
  <c r="AB563" i="3"/>
  <c r="AC563" i="3"/>
  <c r="C564" i="3"/>
  <c r="L564" i="3"/>
  <c r="M564" i="3"/>
  <c r="P564" i="3" s="1"/>
  <c r="V564" i="3"/>
  <c r="AB564" i="3"/>
  <c r="AC564" i="3"/>
  <c r="C565" i="3"/>
  <c r="L565" i="3"/>
  <c r="M565" i="3"/>
  <c r="P565" i="3"/>
  <c r="V565" i="3"/>
  <c r="AB565" i="3"/>
  <c r="AC565" i="3"/>
  <c r="AF565" i="3" s="1"/>
  <c r="C566" i="3"/>
  <c r="L566" i="3"/>
  <c r="M566" i="3"/>
  <c r="P566" i="3"/>
  <c r="V566" i="3"/>
  <c r="AB566" i="3"/>
  <c r="AC566" i="3"/>
  <c r="C567" i="3"/>
  <c r="L567" i="3"/>
  <c r="M567" i="3"/>
  <c r="V567" i="3"/>
  <c r="AB567" i="3"/>
  <c r="AC567" i="3"/>
  <c r="AF567" i="3" s="1"/>
  <c r="C568" i="3"/>
  <c r="L568" i="3"/>
  <c r="M568" i="3"/>
  <c r="V568" i="3"/>
  <c r="AB568" i="3"/>
  <c r="AC568" i="3"/>
  <c r="AF568" i="3"/>
  <c r="C569" i="3"/>
  <c r="L569" i="3"/>
  <c r="M569" i="3"/>
  <c r="P569" i="3" s="1"/>
  <c r="V569" i="3"/>
  <c r="AB569" i="3"/>
  <c r="AC569" i="3"/>
  <c r="C570" i="3"/>
  <c r="L570" i="3"/>
  <c r="M570" i="3"/>
  <c r="P570" i="3"/>
  <c r="V570" i="3"/>
  <c r="AB570" i="3"/>
  <c r="AC570" i="3"/>
  <c r="AF570" i="3" s="1"/>
  <c r="C571" i="3"/>
  <c r="L571" i="3"/>
  <c r="N571" i="3" s="1"/>
  <c r="O571" i="3" s="1"/>
  <c r="M571" i="3"/>
  <c r="P571" i="3"/>
  <c r="V571" i="3"/>
  <c r="AB571" i="3"/>
  <c r="AC571" i="3"/>
  <c r="AF571" i="3" s="1"/>
  <c r="C572" i="3"/>
  <c r="L572" i="3"/>
  <c r="M572" i="3"/>
  <c r="P572" i="3" s="1"/>
  <c r="V572" i="3"/>
  <c r="AB572" i="3"/>
  <c r="AC572" i="3"/>
  <c r="AF572" i="3" s="1"/>
  <c r="C573" i="3"/>
  <c r="L573" i="3"/>
  <c r="M573" i="3"/>
  <c r="P573" i="3"/>
  <c r="V573" i="3"/>
  <c r="AB573" i="3"/>
  <c r="AC573" i="3"/>
  <c r="AF573" i="3" s="1"/>
  <c r="C574" i="3"/>
  <c r="L574" i="3"/>
  <c r="M574" i="3"/>
  <c r="P574" i="3"/>
  <c r="V574" i="3"/>
  <c r="AB574" i="3"/>
  <c r="AC574" i="3"/>
  <c r="AF574" i="3" s="1"/>
  <c r="C575" i="3"/>
  <c r="L575" i="3"/>
  <c r="M575" i="3"/>
  <c r="V575" i="3"/>
  <c r="AB575" i="3"/>
  <c r="AC575" i="3"/>
  <c r="AF575" i="3" s="1"/>
  <c r="C576" i="3"/>
  <c r="L576" i="3"/>
  <c r="M576" i="3"/>
  <c r="P576" i="3"/>
  <c r="V576" i="3"/>
  <c r="AB576" i="3"/>
  <c r="AC576" i="3"/>
  <c r="AF576" i="3" s="1"/>
  <c r="C577" i="3"/>
  <c r="L577" i="3"/>
  <c r="M577" i="3"/>
  <c r="P577" i="3" s="1"/>
  <c r="V577" i="3"/>
  <c r="AB577" i="3"/>
  <c r="AC577" i="3"/>
  <c r="C578" i="3"/>
  <c r="L578" i="3"/>
  <c r="M578" i="3"/>
  <c r="P578" i="3" s="1"/>
  <c r="V578" i="3"/>
  <c r="AB578" i="3"/>
  <c r="AC578" i="3"/>
  <c r="AF578" i="3" s="1"/>
  <c r="C579" i="3"/>
  <c r="L579" i="3"/>
  <c r="M579" i="3"/>
  <c r="P579" i="3" s="1"/>
  <c r="V579" i="3"/>
  <c r="AB579" i="3"/>
  <c r="AC579" i="3"/>
  <c r="AF579" i="3" s="1"/>
  <c r="C580" i="3"/>
  <c r="L580" i="3"/>
  <c r="M580" i="3"/>
  <c r="P580" i="3" s="1"/>
  <c r="V580" i="3"/>
  <c r="AB580" i="3"/>
  <c r="AC580" i="3"/>
  <c r="C581" i="3"/>
  <c r="L581" i="3"/>
  <c r="M581" i="3"/>
  <c r="P581" i="3" s="1"/>
  <c r="V581" i="3"/>
  <c r="AB581" i="3"/>
  <c r="AC581" i="3"/>
  <c r="AF581" i="3"/>
  <c r="C582" i="3"/>
  <c r="L582" i="3"/>
  <c r="M582" i="3"/>
  <c r="P582" i="3" s="1"/>
  <c r="V582" i="3"/>
  <c r="AB582" i="3"/>
  <c r="AC582" i="3"/>
  <c r="AF582" i="3" s="1"/>
  <c r="C583" i="3"/>
  <c r="L583" i="3"/>
  <c r="M583" i="3"/>
  <c r="V583" i="3"/>
  <c r="AB583" i="3"/>
  <c r="AC583" i="3"/>
  <c r="AF583" i="3" s="1"/>
  <c r="C584" i="3"/>
  <c r="L584" i="3"/>
  <c r="M584" i="3"/>
  <c r="V584" i="3"/>
  <c r="AB584" i="3"/>
  <c r="AC584" i="3"/>
  <c r="AF584" i="3" s="1"/>
  <c r="C585" i="3"/>
  <c r="L585" i="3"/>
  <c r="M585" i="3"/>
  <c r="P585" i="3"/>
  <c r="V585" i="3"/>
  <c r="AB585" i="3"/>
  <c r="AC585" i="3"/>
  <c r="C586" i="3"/>
  <c r="L586" i="3"/>
  <c r="M586" i="3"/>
  <c r="P586" i="3" s="1"/>
  <c r="V586" i="3"/>
  <c r="AB586" i="3"/>
  <c r="AC586" i="3"/>
  <c r="C587" i="3"/>
  <c r="L587" i="3"/>
  <c r="M587" i="3"/>
  <c r="V587" i="3"/>
  <c r="AB587" i="3"/>
  <c r="AC587" i="3"/>
  <c r="AF587" i="3" s="1"/>
  <c r="C588" i="3"/>
  <c r="L588" i="3"/>
  <c r="M588" i="3"/>
  <c r="P588" i="3" s="1"/>
  <c r="V588" i="3"/>
  <c r="AB588" i="3"/>
  <c r="AC588" i="3"/>
  <c r="AF588" i="3" s="1"/>
  <c r="C589" i="3"/>
  <c r="L589" i="3"/>
  <c r="M589" i="3"/>
  <c r="P589" i="3" s="1"/>
  <c r="V589" i="3"/>
  <c r="AB589" i="3"/>
  <c r="AC589" i="3"/>
  <c r="AF589" i="3" s="1"/>
  <c r="C590" i="3"/>
  <c r="L590" i="3"/>
  <c r="M590" i="3"/>
  <c r="V590" i="3"/>
  <c r="AB590" i="3"/>
  <c r="AC590" i="3"/>
  <c r="AF590" i="3" s="1"/>
  <c r="C591" i="3"/>
  <c r="L591" i="3"/>
  <c r="M591" i="3"/>
  <c r="P591" i="3" s="1"/>
  <c r="V591" i="3"/>
  <c r="AB591" i="3"/>
  <c r="AC591" i="3"/>
  <c r="AF591" i="3" s="1"/>
  <c r="C592" i="3"/>
  <c r="L592" i="3"/>
  <c r="M592" i="3"/>
  <c r="P592" i="3" s="1"/>
  <c r="V592" i="3"/>
  <c r="AB592" i="3"/>
  <c r="AC592" i="3"/>
  <c r="AF592" i="3" s="1"/>
  <c r="C593" i="3"/>
  <c r="L593" i="3"/>
  <c r="M593" i="3"/>
  <c r="P593" i="3" s="1"/>
  <c r="V593" i="3"/>
  <c r="AB593" i="3"/>
  <c r="AC593" i="3"/>
  <c r="AF593" i="3" s="1"/>
  <c r="C594" i="3"/>
  <c r="L594" i="3"/>
  <c r="M594" i="3"/>
  <c r="P594" i="3"/>
  <c r="V594" i="3"/>
  <c r="AB594" i="3"/>
  <c r="AD594" i="3"/>
  <c r="AE594" i="3" s="1"/>
  <c r="AC594" i="3"/>
  <c r="AF594" i="3" s="1"/>
  <c r="C595" i="3"/>
  <c r="L595" i="3"/>
  <c r="M595" i="3"/>
  <c r="P595" i="3" s="1"/>
  <c r="V595" i="3"/>
  <c r="AB595" i="3"/>
  <c r="AC595" i="3"/>
  <c r="C596" i="3"/>
  <c r="L596" i="3"/>
  <c r="M596" i="3"/>
  <c r="P596" i="3" s="1"/>
  <c r="V596" i="3"/>
  <c r="AB596" i="3"/>
  <c r="AC596" i="3"/>
  <c r="C597" i="3"/>
  <c r="L597" i="3"/>
  <c r="M597" i="3"/>
  <c r="P597" i="3" s="1"/>
  <c r="V597" i="3"/>
  <c r="AB597" i="3"/>
  <c r="AC597" i="3"/>
  <c r="C598" i="3"/>
  <c r="L598" i="3"/>
  <c r="M598" i="3"/>
  <c r="P598" i="3"/>
  <c r="V598" i="3"/>
  <c r="AB598" i="3"/>
  <c r="AC598" i="3"/>
  <c r="AF598" i="3"/>
  <c r="C599" i="3"/>
  <c r="L599" i="3"/>
  <c r="N599" i="3"/>
  <c r="O599" i="3" s="1"/>
  <c r="M599" i="3"/>
  <c r="V599" i="3"/>
  <c r="AB599" i="3"/>
  <c r="AC599" i="3"/>
  <c r="AF599" i="3" s="1"/>
  <c r="C600" i="3"/>
  <c r="L600" i="3"/>
  <c r="M600" i="3"/>
  <c r="P600" i="3" s="1"/>
  <c r="V600" i="3"/>
  <c r="AB600" i="3"/>
  <c r="AD600" i="3" s="1"/>
  <c r="AE600" i="3" s="1"/>
  <c r="AC600" i="3"/>
  <c r="C601" i="3"/>
  <c r="L601" i="3"/>
  <c r="M601" i="3"/>
  <c r="V601" i="3"/>
  <c r="AB601" i="3"/>
  <c r="AC601" i="3"/>
  <c r="AF601" i="3" s="1"/>
  <c r="C602" i="3"/>
  <c r="L602" i="3"/>
  <c r="M602" i="3"/>
  <c r="P602" i="3" s="1"/>
  <c r="V602" i="3"/>
  <c r="AB602" i="3"/>
  <c r="AC602" i="3"/>
  <c r="AF602" i="3" s="1"/>
  <c r="C603" i="3"/>
  <c r="L603" i="3"/>
  <c r="M603" i="3"/>
  <c r="P603" i="3" s="1"/>
  <c r="V603" i="3"/>
  <c r="AB603" i="3"/>
  <c r="AD603" i="3" s="1"/>
  <c r="AE603" i="3" s="1"/>
  <c r="AC603" i="3"/>
  <c r="AF603" i="3" s="1"/>
  <c r="C604" i="3"/>
  <c r="L604" i="3"/>
  <c r="M604" i="3"/>
  <c r="P604" i="3"/>
  <c r="V604" i="3"/>
  <c r="AB604" i="3"/>
  <c r="AC604" i="3"/>
  <c r="C605" i="3"/>
  <c r="L605" i="3"/>
  <c r="M605" i="3"/>
  <c r="V605" i="3"/>
  <c r="AB605" i="3"/>
  <c r="AC605" i="3"/>
  <c r="AF605" i="3" s="1"/>
  <c r="C606" i="3"/>
  <c r="L606" i="3"/>
  <c r="M606" i="3"/>
  <c r="V606" i="3"/>
  <c r="AB606" i="3"/>
  <c r="AC606" i="3"/>
  <c r="AF606" i="3" s="1"/>
  <c r="C607" i="3"/>
  <c r="L607" i="3"/>
  <c r="M607" i="3"/>
  <c r="P607" i="3" s="1"/>
  <c r="V607" i="3"/>
  <c r="AB607" i="3"/>
  <c r="AC607" i="3"/>
  <c r="AF607" i="3" s="1"/>
  <c r="C608" i="3"/>
  <c r="L608" i="3"/>
  <c r="M608" i="3"/>
  <c r="P608" i="3" s="1"/>
  <c r="V608" i="3"/>
  <c r="AB608" i="3"/>
  <c r="AC608" i="3"/>
  <c r="AF608" i="3" s="1"/>
  <c r="C609" i="3"/>
  <c r="L609" i="3"/>
  <c r="M609" i="3"/>
  <c r="V609" i="3"/>
  <c r="AB609" i="3"/>
  <c r="AC609" i="3"/>
  <c r="AF609" i="3"/>
  <c r="C610" i="3"/>
  <c r="L610" i="3"/>
  <c r="M610" i="3"/>
  <c r="P610" i="3" s="1"/>
  <c r="V610" i="3"/>
  <c r="AB610" i="3"/>
  <c r="AC610" i="3"/>
  <c r="AF610" i="3" s="1"/>
  <c r="C611" i="3"/>
  <c r="L611" i="3"/>
  <c r="M611" i="3"/>
  <c r="P611" i="3"/>
  <c r="V611" i="3"/>
  <c r="AB611" i="3"/>
  <c r="AC611" i="3"/>
  <c r="AF611" i="3"/>
  <c r="C612" i="3"/>
  <c r="L612" i="3"/>
  <c r="N612" i="3"/>
  <c r="O612" i="3" s="1"/>
  <c r="M612" i="3"/>
  <c r="P612" i="3"/>
  <c r="V612" i="3"/>
  <c r="AB612" i="3"/>
  <c r="AC612" i="3"/>
  <c r="AF612" i="3" s="1"/>
  <c r="C613" i="3"/>
  <c r="L613" i="3"/>
  <c r="M613" i="3"/>
  <c r="P613" i="3"/>
  <c r="V613" i="3"/>
  <c r="AB613" i="3"/>
  <c r="AC613" i="3"/>
  <c r="AF613" i="3"/>
  <c r="C614" i="3"/>
  <c r="L614" i="3"/>
  <c r="M614" i="3"/>
  <c r="P614" i="3"/>
  <c r="V614" i="3"/>
  <c r="AB614" i="3"/>
  <c r="AC614" i="3"/>
  <c r="C615" i="3"/>
  <c r="L615" i="3"/>
  <c r="M615" i="3"/>
  <c r="P615" i="3" s="1"/>
  <c r="V615" i="3"/>
  <c r="AB615" i="3"/>
  <c r="AD615" i="3" s="1"/>
  <c r="AE615" i="3" s="1"/>
  <c r="AC615" i="3"/>
  <c r="C616" i="3"/>
  <c r="L616" i="3"/>
  <c r="M616" i="3"/>
  <c r="P616" i="3"/>
  <c r="V616" i="3"/>
  <c r="AB616" i="3"/>
  <c r="AC616" i="3"/>
  <c r="AF616" i="3" s="1"/>
  <c r="C617" i="3"/>
  <c r="L617" i="3"/>
  <c r="M617" i="3"/>
  <c r="V617" i="3"/>
  <c r="AB617" i="3"/>
  <c r="AC617" i="3"/>
  <c r="AF617" i="3" s="1"/>
  <c r="C618" i="3"/>
  <c r="L618" i="3"/>
  <c r="M618" i="3"/>
  <c r="P618" i="3" s="1"/>
  <c r="V618" i="3"/>
  <c r="AB618" i="3"/>
  <c r="AC618" i="3"/>
  <c r="AF618" i="3" s="1"/>
  <c r="C619" i="3"/>
  <c r="L619" i="3"/>
  <c r="M619" i="3"/>
  <c r="P619" i="3" s="1"/>
  <c r="V619" i="3"/>
  <c r="AB619" i="3"/>
  <c r="AC619" i="3"/>
  <c r="AF619" i="3" s="1"/>
  <c r="C620" i="3"/>
  <c r="L620" i="3"/>
  <c r="M620" i="3"/>
  <c r="V620" i="3"/>
  <c r="AB620" i="3"/>
  <c r="AC620" i="3"/>
  <c r="AF620" i="3"/>
  <c r="C621" i="3"/>
  <c r="L621" i="3"/>
  <c r="N621" i="3" s="1"/>
  <c r="O621" i="3" s="1"/>
  <c r="M621" i="3"/>
  <c r="V621" i="3"/>
  <c r="AB621" i="3"/>
  <c r="AC621" i="3"/>
  <c r="AF621" i="3" s="1"/>
  <c r="C622" i="3"/>
  <c r="L622" i="3"/>
  <c r="M622" i="3"/>
  <c r="N622" i="3" s="1"/>
  <c r="O622" i="3" s="1"/>
  <c r="P622" i="3"/>
  <c r="V622" i="3"/>
  <c r="AB622" i="3"/>
  <c r="AC622" i="3"/>
  <c r="AF622" i="3" s="1"/>
  <c r="C623" i="3"/>
  <c r="L623" i="3"/>
  <c r="M623" i="3"/>
  <c r="P623" i="3" s="1"/>
  <c r="V623" i="3"/>
  <c r="AB623" i="3"/>
  <c r="AC623" i="3"/>
  <c r="AF623" i="3"/>
  <c r="C624" i="3"/>
  <c r="L624" i="3"/>
  <c r="M624" i="3"/>
  <c r="V624" i="3"/>
  <c r="AB624" i="3"/>
  <c r="AC624" i="3"/>
  <c r="C625" i="3"/>
  <c r="L625" i="3"/>
  <c r="M625" i="3"/>
  <c r="P625" i="3" s="1"/>
  <c r="V625" i="3"/>
  <c r="AB625" i="3"/>
  <c r="AC625" i="3"/>
  <c r="C626" i="3"/>
  <c r="L626" i="3"/>
  <c r="M626" i="3"/>
  <c r="P626" i="3"/>
  <c r="V626" i="3"/>
  <c r="AB626" i="3"/>
  <c r="AC626" i="3"/>
  <c r="AF626" i="3" s="1"/>
  <c r="C627" i="3"/>
  <c r="L627" i="3"/>
  <c r="M627" i="3"/>
  <c r="P627" i="3" s="1"/>
  <c r="V627" i="3"/>
  <c r="AB627" i="3"/>
  <c r="AC627" i="3"/>
  <c r="AF627" i="3"/>
  <c r="D192" i="11"/>
  <c r="D191" i="11"/>
  <c r="D190" i="11"/>
  <c r="D189" i="11"/>
  <c r="D188" i="11"/>
  <c r="D187" i="11"/>
  <c r="D186" i="11"/>
  <c r="D185" i="11"/>
  <c r="D184" i="11"/>
  <c r="D183" i="11"/>
  <c r="D182" i="11"/>
  <c r="D181" i="11"/>
  <c r="D180" i="11"/>
  <c r="D179" i="11"/>
  <c r="D178" i="11"/>
  <c r="D177" i="11"/>
  <c r="D176" i="11"/>
  <c r="D175" i="11"/>
  <c r="D174" i="11"/>
  <c r="D173" i="11"/>
  <c r="D172" i="11"/>
  <c r="D171" i="11"/>
  <c r="D170" i="11"/>
  <c r="B23" i="10"/>
  <c r="C23" i="10" s="1"/>
  <c r="F23" i="10" s="1"/>
  <c r="B22" i="10"/>
  <c r="C22" i="10"/>
  <c r="B21" i="10"/>
  <c r="C21" i="10"/>
  <c r="G21" i="10"/>
  <c r="B20" i="10"/>
  <c r="C20" i="10" s="1"/>
  <c r="B19" i="10"/>
  <c r="C19" i="10" s="1"/>
  <c r="B18" i="10"/>
  <c r="C18" i="10" s="1"/>
  <c r="B17" i="10"/>
  <c r="C17" i="10" s="1"/>
  <c r="B16" i="10"/>
  <c r="C16" i="10" s="1"/>
  <c r="B15" i="10"/>
  <c r="C15" i="10"/>
  <c r="G15" i="10" s="1"/>
  <c r="B14" i="10"/>
  <c r="C14" i="10"/>
  <c r="B13" i="10"/>
  <c r="C13" i="10"/>
  <c r="B12" i="10"/>
  <c r="C12" i="10"/>
  <c r="B11" i="10"/>
  <c r="C11" i="10" s="1"/>
  <c r="B10" i="10"/>
  <c r="C10" i="10"/>
  <c r="B9" i="10"/>
  <c r="C9" i="10" s="1"/>
  <c r="B7" i="10"/>
  <c r="C7" i="10"/>
  <c r="G7" i="10" s="1"/>
  <c r="B6" i="10"/>
  <c r="I5" i="10"/>
  <c r="H5" i="10"/>
  <c r="H12" i="10" s="1"/>
  <c r="G5" i="10"/>
  <c r="F5" i="10"/>
  <c r="E5" i="10"/>
  <c r="D5" i="10"/>
  <c r="A1" i="10"/>
  <c r="S115" i="9"/>
  <c r="R115" i="9"/>
  <c r="S114" i="9"/>
  <c r="R114" i="9"/>
  <c r="S113" i="9"/>
  <c r="R113" i="9"/>
  <c r="S112" i="9"/>
  <c r="R112" i="9"/>
  <c r="S111" i="9"/>
  <c r="R111" i="9"/>
  <c r="S110" i="9"/>
  <c r="R110" i="9"/>
  <c r="S109" i="9"/>
  <c r="R109" i="9"/>
  <c r="S108" i="9"/>
  <c r="R108" i="9"/>
  <c r="S107" i="9"/>
  <c r="R107" i="9"/>
  <c r="S106" i="9"/>
  <c r="R106" i="9"/>
  <c r="S105" i="9"/>
  <c r="R105" i="9"/>
  <c r="S104" i="9"/>
  <c r="R104" i="9"/>
  <c r="S103" i="9"/>
  <c r="R103" i="9"/>
  <c r="S102" i="9"/>
  <c r="R102" i="9"/>
  <c r="S101" i="9"/>
  <c r="R101" i="9"/>
  <c r="S100" i="9"/>
  <c r="R100" i="9"/>
  <c r="S99" i="9"/>
  <c r="R99" i="9"/>
  <c r="S98" i="9"/>
  <c r="R98" i="9"/>
  <c r="S97" i="9"/>
  <c r="R97" i="9"/>
  <c r="S96" i="9"/>
  <c r="R96" i="9"/>
  <c r="S95" i="9"/>
  <c r="R95" i="9"/>
  <c r="S94" i="9"/>
  <c r="R94" i="9"/>
  <c r="S93" i="9"/>
  <c r="R93" i="9"/>
  <c r="S92" i="9"/>
  <c r="R92" i="9"/>
  <c r="S91" i="9"/>
  <c r="R91" i="9"/>
  <c r="S90" i="9"/>
  <c r="R90" i="9"/>
  <c r="S89" i="9"/>
  <c r="R89" i="9"/>
  <c r="S88" i="9"/>
  <c r="R88" i="9"/>
  <c r="S87" i="9"/>
  <c r="R87" i="9"/>
  <c r="S86" i="9"/>
  <c r="R86" i="9"/>
  <c r="S85" i="9"/>
  <c r="R85" i="9"/>
  <c r="S84" i="9"/>
  <c r="R84" i="9"/>
  <c r="S83" i="9"/>
  <c r="R83" i="9"/>
  <c r="S82" i="9"/>
  <c r="R82" i="9"/>
  <c r="S81" i="9"/>
  <c r="R81" i="9"/>
  <c r="S80" i="9"/>
  <c r="R80" i="9"/>
  <c r="S79" i="9"/>
  <c r="R79" i="9"/>
  <c r="S78" i="9"/>
  <c r="R78" i="9"/>
  <c r="S77" i="9"/>
  <c r="R77" i="9"/>
  <c r="S76" i="9"/>
  <c r="R76" i="9"/>
  <c r="S75" i="9"/>
  <c r="R75" i="9"/>
  <c r="S74" i="9"/>
  <c r="R74" i="9"/>
  <c r="S73" i="9"/>
  <c r="R73" i="9"/>
  <c r="S72" i="9"/>
  <c r="R72" i="9"/>
  <c r="S71" i="9"/>
  <c r="R71" i="9"/>
  <c r="S70" i="9"/>
  <c r="R70" i="9"/>
  <c r="S69" i="9"/>
  <c r="R69" i="9"/>
  <c r="S68" i="9"/>
  <c r="R68" i="9"/>
  <c r="S67" i="9"/>
  <c r="R67" i="9"/>
  <c r="S66" i="9"/>
  <c r="R66" i="9"/>
  <c r="S65" i="9"/>
  <c r="R65" i="9"/>
  <c r="S64" i="9"/>
  <c r="R64" i="9"/>
  <c r="S63" i="9"/>
  <c r="R63" i="9"/>
  <c r="S62" i="9"/>
  <c r="R62" i="9"/>
  <c r="S61" i="9"/>
  <c r="R61" i="9"/>
  <c r="S60" i="9"/>
  <c r="R60" i="9"/>
  <c r="S59" i="9"/>
  <c r="R59" i="9"/>
  <c r="S58" i="9"/>
  <c r="R58" i="9"/>
  <c r="S57" i="9"/>
  <c r="R57" i="9"/>
  <c r="S56" i="9"/>
  <c r="R56" i="9"/>
  <c r="S55" i="9"/>
  <c r="R55" i="9"/>
  <c r="S54" i="9"/>
  <c r="R54" i="9"/>
  <c r="S53" i="9"/>
  <c r="R53" i="9"/>
  <c r="S52" i="9"/>
  <c r="R52" i="9"/>
  <c r="S51" i="9"/>
  <c r="S50" i="9"/>
  <c r="R50" i="9"/>
  <c r="S49" i="9"/>
  <c r="R49" i="9"/>
  <c r="S48" i="9"/>
  <c r="R48" i="9"/>
  <c r="S47" i="9"/>
  <c r="R47" i="9"/>
  <c r="S46" i="9"/>
  <c r="S45" i="9"/>
  <c r="R45" i="9"/>
  <c r="S44" i="9"/>
  <c r="R44" i="9"/>
  <c r="S43" i="9"/>
  <c r="R43" i="9"/>
  <c r="S42" i="9"/>
  <c r="R42" i="9"/>
  <c r="S41" i="9"/>
  <c r="R41" i="9"/>
  <c r="S40" i="9"/>
  <c r="R40" i="9"/>
  <c r="S39" i="9"/>
  <c r="R39" i="9"/>
  <c r="S38" i="9"/>
  <c r="R38" i="9"/>
  <c r="S37" i="9"/>
  <c r="R37" i="9"/>
  <c r="S36" i="9"/>
  <c r="R36" i="9"/>
  <c r="S35" i="9"/>
  <c r="R35" i="9"/>
  <c r="S34" i="9"/>
  <c r="R34" i="9"/>
  <c r="S33" i="9"/>
  <c r="R33" i="9"/>
  <c r="S32" i="9"/>
  <c r="R32" i="9"/>
  <c r="S31" i="9"/>
  <c r="R31" i="9"/>
  <c r="S30" i="9"/>
  <c r="R30" i="9"/>
  <c r="S29" i="9"/>
  <c r="R29" i="9"/>
  <c r="S28" i="9"/>
  <c r="R28" i="9"/>
  <c r="S27" i="9"/>
  <c r="R27" i="9"/>
  <c r="O18" i="9"/>
  <c r="O17" i="9"/>
  <c r="E17" i="9"/>
  <c r="O16" i="9"/>
  <c r="O15" i="9"/>
  <c r="O14" i="9"/>
  <c r="D14" i="9"/>
  <c r="O13" i="9"/>
  <c r="D12" i="9"/>
  <c r="H6" i="9"/>
  <c r="B17" i="9"/>
  <c r="F16" i="9" s="1"/>
  <c r="K3" i="9"/>
  <c r="J2" i="9"/>
  <c r="B1" i="9"/>
  <c r="A1" i="8"/>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J402" i="6"/>
  <c r="K402" i="6" s="1"/>
  <c r="J401" i="6"/>
  <c r="K401" i="6"/>
  <c r="J400" i="6"/>
  <c r="K400" i="6" s="1"/>
  <c r="J399" i="6"/>
  <c r="K399" i="6"/>
  <c r="J398" i="6"/>
  <c r="K398" i="6" s="1"/>
  <c r="J397" i="6"/>
  <c r="K397" i="6" s="1"/>
  <c r="J396" i="6"/>
  <c r="K396" i="6" s="1"/>
  <c r="J395" i="6"/>
  <c r="K395" i="6" s="1"/>
  <c r="J394" i="6"/>
  <c r="K394" i="6" s="1"/>
  <c r="J393" i="6"/>
  <c r="K393" i="6"/>
  <c r="J392" i="6"/>
  <c r="K392" i="6" s="1"/>
  <c r="J391" i="6"/>
  <c r="K391" i="6" s="1"/>
  <c r="J390" i="6"/>
  <c r="K390" i="6" s="1"/>
  <c r="J389" i="6"/>
  <c r="K389" i="6" s="1"/>
  <c r="J388" i="6"/>
  <c r="K388" i="6" s="1"/>
  <c r="J387" i="6"/>
  <c r="K387" i="6"/>
  <c r="J386" i="6"/>
  <c r="K386" i="6" s="1"/>
  <c r="J385" i="6"/>
  <c r="K385" i="6" s="1"/>
  <c r="J384" i="6"/>
  <c r="K384" i="6" s="1"/>
  <c r="J383" i="6"/>
  <c r="K383" i="6" s="1"/>
  <c r="J382" i="6"/>
  <c r="K382" i="6" s="1"/>
  <c r="J381" i="6"/>
  <c r="K381" i="6"/>
  <c r="J380" i="6"/>
  <c r="K380" i="6" s="1"/>
  <c r="J379" i="6"/>
  <c r="K379" i="6" s="1"/>
  <c r="J378" i="6"/>
  <c r="K378" i="6" s="1"/>
  <c r="J377" i="6"/>
  <c r="K377" i="6" s="1"/>
  <c r="J376" i="6"/>
  <c r="K376" i="6" s="1"/>
  <c r="J375" i="6"/>
  <c r="K375" i="6"/>
  <c r="J374" i="6"/>
  <c r="K374" i="6" s="1"/>
  <c r="J373" i="6"/>
  <c r="K373" i="6" s="1"/>
  <c r="J372" i="6"/>
  <c r="K372" i="6" s="1"/>
  <c r="J371" i="6"/>
  <c r="K371" i="6" s="1"/>
  <c r="J370" i="6"/>
  <c r="K370" i="6" s="1"/>
  <c r="J369" i="6"/>
  <c r="K369" i="6"/>
  <c r="J368" i="6"/>
  <c r="K368" i="6" s="1"/>
  <c r="J367" i="6"/>
  <c r="K367" i="6" s="1"/>
  <c r="J366" i="6"/>
  <c r="K366" i="6" s="1"/>
  <c r="J365" i="6"/>
  <c r="K365" i="6" s="1"/>
  <c r="J364" i="6"/>
  <c r="K364" i="6" s="1"/>
  <c r="J363" i="6"/>
  <c r="K363" i="6"/>
  <c r="J362" i="6"/>
  <c r="K362" i="6" s="1"/>
  <c r="J361" i="6"/>
  <c r="K361" i="6" s="1"/>
  <c r="J360" i="6"/>
  <c r="K360" i="6" s="1"/>
  <c r="J359" i="6"/>
  <c r="K359" i="6" s="1"/>
  <c r="J358" i="6"/>
  <c r="K358" i="6" s="1"/>
  <c r="J357" i="6"/>
  <c r="K357" i="6"/>
  <c r="J356" i="6"/>
  <c r="K356" i="6" s="1"/>
  <c r="J355" i="6"/>
  <c r="K355" i="6" s="1"/>
  <c r="J354" i="6"/>
  <c r="K354" i="6" s="1"/>
  <c r="J353" i="6"/>
  <c r="K353" i="6" s="1"/>
  <c r="J352" i="6"/>
  <c r="K352" i="6" s="1"/>
  <c r="J351" i="6"/>
  <c r="K351" i="6"/>
  <c r="J350" i="6"/>
  <c r="K350" i="6" s="1"/>
  <c r="J349" i="6"/>
  <c r="K349" i="6" s="1"/>
  <c r="J348" i="6"/>
  <c r="K348" i="6" s="1"/>
  <c r="J347" i="6"/>
  <c r="K347" i="6" s="1"/>
  <c r="J346" i="6"/>
  <c r="K346" i="6" s="1"/>
  <c r="J345" i="6"/>
  <c r="K345" i="6"/>
  <c r="J344" i="6"/>
  <c r="K344" i="6" s="1"/>
  <c r="J343" i="6"/>
  <c r="K343" i="6" s="1"/>
  <c r="J342" i="6"/>
  <c r="K342" i="6" s="1"/>
  <c r="J341" i="6"/>
  <c r="K341" i="6" s="1"/>
  <c r="J340" i="6"/>
  <c r="K340" i="6" s="1"/>
  <c r="J339" i="6"/>
  <c r="K339" i="6"/>
  <c r="J338" i="6"/>
  <c r="K338" i="6" s="1"/>
  <c r="J337" i="6"/>
  <c r="K337" i="6" s="1"/>
  <c r="J336" i="6"/>
  <c r="K336" i="6" s="1"/>
  <c r="J335" i="6"/>
  <c r="K335" i="6" s="1"/>
  <c r="J334" i="6"/>
  <c r="K334" i="6" s="1"/>
  <c r="J333" i="6"/>
  <c r="K333" i="6"/>
  <c r="J332" i="6"/>
  <c r="K332" i="6" s="1"/>
  <c r="J331" i="6"/>
  <c r="K331" i="6" s="1"/>
  <c r="J330" i="6"/>
  <c r="K330" i="6" s="1"/>
  <c r="J329" i="6"/>
  <c r="K329" i="6"/>
  <c r="J328" i="6"/>
  <c r="K328" i="6" s="1"/>
  <c r="J327" i="6"/>
  <c r="K327" i="6"/>
  <c r="J326" i="6"/>
  <c r="K326" i="6" s="1"/>
  <c r="J325" i="6"/>
  <c r="K325" i="6" s="1"/>
  <c r="J324" i="6"/>
  <c r="K324" i="6" s="1"/>
  <c r="J323" i="6"/>
  <c r="K323" i="6" s="1"/>
  <c r="J322" i="6"/>
  <c r="K322" i="6" s="1"/>
  <c r="J321" i="6"/>
  <c r="K321" i="6"/>
  <c r="J320" i="6"/>
  <c r="K320" i="6" s="1"/>
  <c r="J319" i="6"/>
  <c r="K319" i="6" s="1"/>
  <c r="J318" i="6"/>
  <c r="K318" i="6" s="1"/>
  <c r="J317" i="6"/>
  <c r="K317" i="6" s="1"/>
  <c r="J316" i="6"/>
  <c r="K316" i="6" s="1"/>
  <c r="J315" i="6"/>
  <c r="K315" i="6"/>
  <c r="J314" i="6"/>
  <c r="K314" i="6" s="1"/>
  <c r="J313" i="6"/>
  <c r="K313" i="6" s="1"/>
  <c r="J312" i="6"/>
  <c r="K312" i="6" s="1"/>
  <c r="J311" i="6"/>
  <c r="K311" i="6"/>
  <c r="J310" i="6"/>
  <c r="K310" i="6" s="1"/>
  <c r="J309" i="6"/>
  <c r="K309" i="6"/>
  <c r="J308" i="6"/>
  <c r="K308" i="6" s="1"/>
  <c r="J307" i="6"/>
  <c r="K307" i="6" s="1"/>
  <c r="J306" i="6"/>
  <c r="K306" i="6" s="1"/>
  <c r="J305" i="6"/>
  <c r="K305" i="6" s="1"/>
  <c r="J304" i="6"/>
  <c r="K304" i="6" s="1"/>
  <c r="J303" i="6"/>
  <c r="K303" i="6"/>
  <c r="J302" i="6"/>
  <c r="K302" i="6" s="1"/>
  <c r="J301" i="6"/>
  <c r="K301" i="6" s="1"/>
  <c r="J300" i="6"/>
  <c r="K300" i="6" s="1"/>
  <c r="J299" i="6"/>
  <c r="K299" i="6" s="1"/>
  <c r="J298" i="6"/>
  <c r="K298" i="6" s="1"/>
  <c r="J297" i="6"/>
  <c r="K297" i="6"/>
  <c r="J296" i="6"/>
  <c r="K296" i="6" s="1"/>
  <c r="J295" i="6"/>
  <c r="K295" i="6" s="1"/>
  <c r="J294" i="6"/>
  <c r="K294" i="6" s="1"/>
  <c r="J293" i="6"/>
  <c r="K293" i="6"/>
  <c r="J292" i="6"/>
  <c r="K292" i="6" s="1"/>
  <c r="J291" i="6"/>
  <c r="K291" i="6"/>
  <c r="J290" i="6"/>
  <c r="K290" i="6"/>
  <c r="J289" i="6"/>
  <c r="K289" i="6" s="1"/>
  <c r="J288" i="6"/>
  <c r="K288" i="6" s="1"/>
  <c r="J287" i="6"/>
  <c r="K287" i="6" s="1"/>
  <c r="J286" i="6"/>
  <c r="K286" i="6" s="1"/>
  <c r="J285" i="6"/>
  <c r="K285" i="6" s="1"/>
  <c r="J284" i="6"/>
  <c r="K284" i="6" s="1"/>
  <c r="J283" i="6"/>
  <c r="K283" i="6"/>
  <c r="J282" i="6"/>
  <c r="K282" i="6" s="1"/>
  <c r="J281" i="6"/>
  <c r="K281" i="6" s="1"/>
  <c r="J280" i="6"/>
  <c r="K280" i="6" s="1"/>
  <c r="J279" i="6"/>
  <c r="K279" i="6" s="1"/>
  <c r="J278" i="6"/>
  <c r="K278" i="6" s="1"/>
  <c r="J277" i="6"/>
  <c r="K277" i="6"/>
  <c r="J276" i="6"/>
  <c r="K276" i="6" s="1"/>
  <c r="J275" i="6"/>
  <c r="K275" i="6" s="1"/>
  <c r="J274" i="6"/>
  <c r="K274" i="6"/>
  <c r="J273" i="6"/>
  <c r="K273" i="6" s="1"/>
  <c r="J272" i="6"/>
  <c r="K272" i="6" s="1"/>
  <c r="J271" i="6"/>
  <c r="K271" i="6"/>
  <c r="J270" i="6"/>
  <c r="K270" i="6" s="1"/>
  <c r="J269" i="6"/>
  <c r="K269" i="6" s="1"/>
  <c r="J268" i="6"/>
  <c r="K268" i="6" s="1"/>
  <c r="J267" i="6"/>
  <c r="K267" i="6" s="1"/>
  <c r="J266" i="6"/>
  <c r="K266" i="6" s="1"/>
  <c r="J265" i="6"/>
  <c r="K265" i="6"/>
  <c r="J264" i="6"/>
  <c r="K264" i="6" s="1"/>
  <c r="J263" i="6"/>
  <c r="K263" i="6" s="1"/>
  <c r="J262" i="6"/>
  <c r="K262" i="6" s="1"/>
  <c r="J261" i="6"/>
  <c r="K261" i="6" s="1"/>
  <c r="J260" i="6"/>
  <c r="K260" i="6" s="1"/>
  <c r="J259" i="6"/>
  <c r="K259" i="6"/>
  <c r="J258" i="6"/>
  <c r="K258" i="6" s="1"/>
  <c r="J257" i="6"/>
  <c r="K257" i="6" s="1"/>
  <c r="J256" i="6"/>
  <c r="K256" i="6"/>
  <c r="J255" i="6"/>
  <c r="K255" i="6" s="1"/>
  <c r="J254" i="6"/>
  <c r="K254" i="6" s="1"/>
  <c r="J253" i="6"/>
  <c r="K253" i="6"/>
  <c r="J252" i="6"/>
  <c r="K252" i="6" s="1"/>
  <c r="J251" i="6"/>
  <c r="K251" i="6" s="1"/>
  <c r="J250" i="6"/>
  <c r="K250" i="6" s="1"/>
  <c r="J249" i="6"/>
  <c r="K249" i="6" s="1"/>
  <c r="J248" i="6"/>
  <c r="K248" i="6" s="1"/>
  <c r="J247" i="6"/>
  <c r="K247" i="6"/>
  <c r="J246" i="6"/>
  <c r="K246" i="6" s="1"/>
  <c r="J245" i="6"/>
  <c r="K245" i="6" s="1"/>
  <c r="J244" i="6"/>
  <c r="K244" i="6" s="1"/>
  <c r="J243" i="6"/>
  <c r="K243" i="6" s="1"/>
  <c r="J242" i="6"/>
  <c r="K242" i="6" s="1"/>
  <c r="J241" i="6"/>
  <c r="K241" i="6"/>
  <c r="J240" i="6"/>
  <c r="K240" i="6" s="1"/>
  <c r="J239" i="6"/>
  <c r="K239" i="6" s="1"/>
  <c r="J238" i="6"/>
  <c r="K238" i="6"/>
  <c r="J237" i="6"/>
  <c r="K237" i="6" s="1"/>
  <c r="J236" i="6"/>
  <c r="K236" i="6" s="1"/>
  <c r="J235" i="6"/>
  <c r="K235" i="6"/>
  <c r="J234" i="6"/>
  <c r="K234" i="6" s="1"/>
  <c r="J233" i="6"/>
  <c r="K233" i="6" s="1"/>
  <c r="J232" i="6"/>
  <c r="K232" i="6" s="1"/>
  <c r="J231" i="6"/>
  <c r="K231" i="6" s="1"/>
  <c r="J230" i="6"/>
  <c r="K230" i="6" s="1"/>
  <c r="J229" i="6"/>
  <c r="K229" i="6"/>
  <c r="J228" i="6"/>
  <c r="K228" i="6" s="1"/>
  <c r="J227" i="6"/>
  <c r="K227" i="6" s="1"/>
  <c r="J226" i="6"/>
  <c r="K226" i="6" s="1"/>
  <c r="J225" i="6"/>
  <c r="K225" i="6" s="1"/>
  <c r="J224" i="6"/>
  <c r="K224" i="6" s="1"/>
  <c r="J223" i="6"/>
  <c r="K223" i="6"/>
  <c r="J222" i="6"/>
  <c r="K222" i="6" s="1"/>
  <c r="J221" i="6"/>
  <c r="K221" i="6" s="1"/>
  <c r="J220" i="6"/>
  <c r="K220" i="6"/>
  <c r="J219" i="6"/>
  <c r="K219" i="6" s="1"/>
  <c r="J218" i="6"/>
  <c r="K218" i="6" s="1"/>
  <c r="J217" i="6"/>
  <c r="K217" i="6"/>
  <c r="J216" i="6"/>
  <c r="K216" i="6" s="1"/>
  <c r="J215" i="6"/>
  <c r="K215" i="6" s="1"/>
  <c r="J214" i="6"/>
  <c r="K214" i="6" s="1"/>
  <c r="J213" i="6"/>
  <c r="K213" i="6" s="1"/>
  <c r="J212" i="6"/>
  <c r="K212" i="6" s="1"/>
  <c r="J211" i="6"/>
  <c r="K211" i="6"/>
  <c r="J210" i="6"/>
  <c r="K210" i="6" s="1"/>
  <c r="J209" i="6"/>
  <c r="K209" i="6" s="1"/>
  <c r="J208" i="6"/>
  <c r="K208" i="6" s="1"/>
  <c r="J207" i="6"/>
  <c r="K207" i="6" s="1"/>
  <c r="J206" i="6"/>
  <c r="K206" i="6" s="1"/>
  <c r="J205" i="6"/>
  <c r="K205" i="6"/>
  <c r="J204" i="6"/>
  <c r="K204" i="6" s="1"/>
  <c r="J203" i="6"/>
  <c r="K203" i="6" s="1"/>
  <c r="J202" i="6"/>
  <c r="K202" i="6"/>
  <c r="J201" i="6"/>
  <c r="K201" i="6" s="1"/>
  <c r="J200" i="6"/>
  <c r="K200" i="6" s="1"/>
  <c r="J199" i="6"/>
  <c r="K199" i="6"/>
  <c r="J198" i="6"/>
  <c r="K198" i="6" s="1"/>
  <c r="J197" i="6"/>
  <c r="K197" i="6" s="1"/>
  <c r="J196" i="6"/>
  <c r="K196" i="6" s="1"/>
  <c r="J195" i="6"/>
  <c r="K195" i="6" s="1"/>
  <c r="J194" i="6"/>
  <c r="K194" i="6" s="1"/>
  <c r="J193" i="6"/>
  <c r="K193" i="6"/>
  <c r="J192" i="6"/>
  <c r="K192" i="6" s="1"/>
  <c r="J191" i="6"/>
  <c r="K191" i="6" s="1"/>
  <c r="J190" i="6"/>
  <c r="K190" i="6" s="1"/>
  <c r="J189" i="6"/>
  <c r="K189" i="6" s="1"/>
  <c r="J188" i="6"/>
  <c r="K188" i="6" s="1"/>
  <c r="J187" i="6"/>
  <c r="K187" i="6"/>
  <c r="J186" i="6"/>
  <c r="K186" i="6" s="1"/>
  <c r="J185" i="6"/>
  <c r="K185" i="6" s="1"/>
  <c r="J184" i="6"/>
  <c r="K184" i="6"/>
  <c r="J183" i="6"/>
  <c r="K183" i="6" s="1"/>
  <c r="J182" i="6"/>
  <c r="K182" i="6" s="1"/>
  <c r="J181" i="6"/>
  <c r="K181" i="6"/>
  <c r="J180" i="6"/>
  <c r="K180" i="6" s="1"/>
  <c r="J179" i="6"/>
  <c r="K179" i="6" s="1"/>
  <c r="J178" i="6"/>
  <c r="K178" i="6" s="1"/>
  <c r="J177" i="6"/>
  <c r="K177" i="6" s="1"/>
  <c r="J176" i="6"/>
  <c r="K176" i="6" s="1"/>
  <c r="J175" i="6"/>
  <c r="K175" i="6"/>
  <c r="J174" i="6"/>
  <c r="K174" i="6" s="1"/>
  <c r="J173" i="6"/>
  <c r="K173" i="6" s="1"/>
  <c r="J172" i="6"/>
  <c r="K172" i="6" s="1"/>
  <c r="J171" i="6"/>
  <c r="K171" i="6" s="1"/>
  <c r="J170" i="6"/>
  <c r="K170" i="6" s="1"/>
  <c r="J169" i="6"/>
  <c r="K169" i="6"/>
  <c r="J168" i="6"/>
  <c r="K168" i="6" s="1"/>
  <c r="J167" i="6"/>
  <c r="K167" i="6" s="1"/>
  <c r="J166" i="6"/>
  <c r="K166" i="6"/>
  <c r="J165" i="6"/>
  <c r="K165" i="6" s="1"/>
  <c r="J164" i="6"/>
  <c r="K164" i="6" s="1"/>
  <c r="J163" i="6"/>
  <c r="K163" i="6"/>
  <c r="J162" i="6"/>
  <c r="K162" i="6" s="1"/>
  <c r="J161" i="6"/>
  <c r="K161" i="6" s="1"/>
  <c r="J160" i="6"/>
  <c r="K160" i="6" s="1"/>
  <c r="J159" i="6"/>
  <c r="K159" i="6" s="1"/>
  <c r="J158" i="6"/>
  <c r="K158" i="6" s="1"/>
  <c r="J157" i="6"/>
  <c r="K157" i="6"/>
  <c r="J156" i="6"/>
  <c r="K156" i="6" s="1"/>
  <c r="J155" i="6"/>
  <c r="K155" i="6" s="1"/>
  <c r="J154" i="6"/>
  <c r="K154" i="6" s="1"/>
  <c r="J153" i="6"/>
  <c r="K153" i="6" s="1"/>
  <c r="J152" i="6"/>
  <c r="K152" i="6" s="1"/>
  <c r="J151" i="6"/>
  <c r="K151" i="6"/>
  <c r="J150" i="6"/>
  <c r="K150" i="6" s="1"/>
  <c r="J149" i="6"/>
  <c r="K149" i="6" s="1"/>
  <c r="J148" i="6"/>
  <c r="K148" i="6"/>
  <c r="J147" i="6"/>
  <c r="K147" i="6" s="1"/>
  <c r="J146" i="6"/>
  <c r="K146" i="6" s="1"/>
  <c r="J145" i="6"/>
  <c r="K145" i="6"/>
  <c r="J144" i="6"/>
  <c r="K144" i="6" s="1"/>
  <c r="J143" i="6"/>
  <c r="K143" i="6" s="1"/>
  <c r="J142" i="6"/>
  <c r="K142" i="6" s="1"/>
  <c r="J141" i="6"/>
  <c r="K141" i="6" s="1"/>
  <c r="J140" i="6"/>
  <c r="K140" i="6" s="1"/>
  <c r="J139" i="6"/>
  <c r="K139" i="6"/>
  <c r="J138" i="6"/>
  <c r="K138" i="6" s="1"/>
  <c r="J137" i="6"/>
  <c r="K137" i="6" s="1"/>
  <c r="J136" i="6"/>
  <c r="J135" i="6"/>
  <c r="K135" i="6" s="1"/>
  <c r="J134" i="6"/>
  <c r="K134" i="6" s="1"/>
  <c r="J133" i="6"/>
  <c r="K133" i="6"/>
  <c r="J132" i="6"/>
  <c r="K132" i="6" s="1"/>
  <c r="J131" i="6"/>
  <c r="K131" i="6" s="1"/>
  <c r="J130" i="6"/>
  <c r="K130" i="6"/>
  <c r="J129" i="6"/>
  <c r="K129" i="6" s="1"/>
  <c r="J128" i="6"/>
  <c r="K128" i="6" s="1"/>
  <c r="J127" i="6"/>
  <c r="K127" i="6"/>
  <c r="J126" i="6"/>
  <c r="K126" i="6" s="1"/>
  <c r="J125" i="6"/>
  <c r="K125" i="6" s="1"/>
  <c r="J124" i="6"/>
  <c r="K124" i="6" s="1"/>
  <c r="J123" i="6"/>
  <c r="K123" i="6" s="1"/>
  <c r="J122" i="6"/>
  <c r="K122" i="6" s="1"/>
  <c r="J121" i="6"/>
  <c r="K121" i="6"/>
  <c r="J120" i="6"/>
  <c r="K120" i="6" s="1"/>
  <c r="J119" i="6"/>
  <c r="K119" i="6" s="1"/>
  <c r="J118" i="6"/>
  <c r="K118" i="6" s="1"/>
  <c r="J117" i="6"/>
  <c r="K117" i="6" s="1"/>
  <c r="J116" i="6"/>
  <c r="K116" i="6" s="1"/>
  <c r="J115" i="6"/>
  <c r="K115" i="6"/>
  <c r="J114" i="6"/>
  <c r="K114" i="6" s="1"/>
  <c r="J113" i="6"/>
  <c r="K113" i="6" s="1"/>
  <c r="J112" i="6"/>
  <c r="K112" i="6"/>
  <c r="J111" i="6"/>
  <c r="K111" i="6" s="1"/>
  <c r="J110" i="6"/>
  <c r="K110" i="6" s="1"/>
  <c r="J109" i="6"/>
  <c r="K109" i="6"/>
  <c r="J108" i="6"/>
  <c r="K108" i="6" s="1"/>
  <c r="J107" i="6"/>
  <c r="K107" i="6" s="1"/>
  <c r="J106" i="6"/>
  <c r="K106" i="6" s="1"/>
  <c r="J105" i="6"/>
  <c r="K105" i="6" s="1"/>
  <c r="J104" i="6"/>
  <c r="K104" i="6" s="1"/>
  <c r="J103" i="6"/>
  <c r="K103" i="6"/>
  <c r="J102" i="6"/>
  <c r="K102" i="6" s="1"/>
  <c r="J101" i="6"/>
  <c r="K101" i="6" s="1"/>
  <c r="J100" i="6"/>
  <c r="K100" i="6" s="1"/>
  <c r="J99" i="6"/>
  <c r="K99" i="6" s="1"/>
  <c r="J98" i="6"/>
  <c r="K98" i="6" s="1"/>
  <c r="J97" i="6"/>
  <c r="K97" i="6"/>
  <c r="J96" i="6"/>
  <c r="K96" i="6" s="1"/>
  <c r="J95" i="6"/>
  <c r="K95" i="6" s="1"/>
  <c r="J94" i="6"/>
  <c r="K94" i="6"/>
  <c r="J93" i="6"/>
  <c r="K93" i="6" s="1"/>
  <c r="J92" i="6"/>
  <c r="K92" i="6" s="1"/>
  <c r="J91" i="6"/>
  <c r="K91" i="6"/>
  <c r="J90" i="6"/>
  <c r="J89" i="6"/>
  <c r="K89" i="6"/>
  <c r="J88" i="6"/>
  <c r="K88" i="6"/>
  <c r="J87" i="6"/>
  <c r="K87" i="6" s="1"/>
  <c r="J86" i="6"/>
  <c r="K86" i="6"/>
  <c r="J85" i="6"/>
  <c r="K85" i="6"/>
  <c r="J84" i="6"/>
  <c r="K84" i="6"/>
  <c r="J83" i="6"/>
  <c r="K83" i="6"/>
  <c r="J82" i="6"/>
  <c r="K82" i="6"/>
  <c r="J81" i="6"/>
  <c r="K81" i="6" s="1"/>
  <c r="J80" i="6"/>
  <c r="K80" i="6"/>
  <c r="J79" i="6"/>
  <c r="K79" i="6"/>
  <c r="J78" i="6"/>
  <c r="K78" i="6"/>
  <c r="J77" i="6"/>
  <c r="K77" i="6"/>
  <c r="J76" i="6"/>
  <c r="K76" i="6"/>
  <c r="J75" i="6"/>
  <c r="K75" i="6" s="1"/>
  <c r="J74" i="6"/>
  <c r="K74" i="6"/>
  <c r="J73" i="6"/>
  <c r="K73" i="6"/>
  <c r="J72" i="6"/>
  <c r="K72" i="6"/>
  <c r="J71" i="6"/>
  <c r="K71" i="6"/>
  <c r="J70" i="6"/>
  <c r="K70" i="6"/>
  <c r="J69" i="6"/>
  <c r="K69" i="6" s="1"/>
  <c r="J68" i="6"/>
  <c r="K68" i="6"/>
  <c r="J67" i="6"/>
  <c r="K67" i="6"/>
  <c r="J66" i="6"/>
  <c r="K66" i="6"/>
  <c r="J65" i="6"/>
  <c r="K65" i="6"/>
  <c r="J64" i="6"/>
  <c r="K64" i="6"/>
  <c r="J63" i="6"/>
  <c r="K63" i="6" s="1"/>
  <c r="J62" i="6"/>
  <c r="K62" i="6"/>
  <c r="J61" i="6"/>
  <c r="K61" i="6"/>
  <c r="J60" i="6"/>
  <c r="K60" i="6"/>
  <c r="J59" i="6"/>
  <c r="K59" i="6"/>
  <c r="J58" i="6"/>
  <c r="K58" i="6"/>
  <c r="J57" i="6"/>
  <c r="K57" i="6" s="1"/>
  <c r="J56" i="6"/>
  <c r="K56" i="6"/>
  <c r="J55" i="6"/>
  <c r="K55" i="6"/>
  <c r="J54" i="6"/>
  <c r="K54" i="6"/>
  <c r="J53" i="6"/>
  <c r="K53" i="6"/>
  <c r="J52" i="6"/>
  <c r="K52" i="6"/>
  <c r="J51" i="6"/>
  <c r="K51" i="6" s="1"/>
  <c r="J50" i="6"/>
  <c r="K50" i="6"/>
  <c r="J49" i="6"/>
  <c r="K49" i="6"/>
  <c r="J48" i="6"/>
  <c r="K48" i="6"/>
  <c r="J47" i="6"/>
  <c r="K47" i="6"/>
  <c r="J46" i="6"/>
  <c r="K46" i="6"/>
  <c r="J45" i="6"/>
  <c r="K45" i="6" s="1"/>
  <c r="J44" i="6"/>
  <c r="K44" i="6"/>
  <c r="J43" i="6"/>
  <c r="K43" i="6"/>
  <c r="J42" i="6"/>
  <c r="K42" i="6"/>
  <c r="J41" i="6"/>
  <c r="K41" i="6"/>
  <c r="J40" i="6"/>
  <c r="K40" i="6"/>
  <c r="J39" i="6"/>
  <c r="K39" i="6" s="1"/>
  <c r="J38" i="6"/>
  <c r="K38" i="6"/>
  <c r="J37" i="6"/>
  <c r="K37" i="6"/>
  <c r="J36" i="6"/>
  <c r="K36" i="6"/>
  <c r="J35" i="6"/>
  <c r="K35" i="6"/>
  <c r="J34" i="6"/>
  <c r="K34" i="6"/>
  <c r="J33" i="6"/>
  <c r="K33" i="6" s="1"/>
  <c r="J32" i="6"/>
  <c r="K32" i="6"/>
  <c r="J31" i="6"/>
  <c r="K31" i="6"/>
  <c r="J30" i="6"/>
  <c r="K30" i="6"/>
  <c r="J29" i="6"/>
  <c r="K29" i="6"/>
  <c r="J28" i="6"/>
  <c r="K28" i="6"/>
  <c r="J27" i="6"/>
  <c r="K27" i="6" s="1"/>
  <c r="J26" i="6"/>
  <c r="K26" i="6"/>
  <c r="J25" i="6"/>
  <c r="K25" i="6"/>
  <c r="J24" i="6"/>
  <c r="K24" i="6"/>
  <c r="J23" i="6"/>
  <c r="K23" i="6"/>
  <c r="J22" i="6"/>
  <c r="K22" i="6"/>
  <c r="J21" i="6"/>
  <c r="K21" i="6" s="1"/>
  <c r="J20" i="6"/>
  <c r="K20" i="6"/>
  <c r="J19" i="6"/>
  <c r="K19" i="6"/>
  <c r="J18" i="6"/>
  <c r="K18" i="6"/>
  <c r="J17" i="6"/>
  <c r="K17" i="6"/>
  <c r="J16" i="6"/>
  <c r="K16" i="6"/>
  <c r="J15" i="6"/>
  <c r="K15" i="6" s="1"/>
  <c r="J14" i="6"/>
  <c r="K14" i="6"/>
  <c r="J13" i="6"/>
  <c r="K13" i="6"/>
  <c r="J12" i="6"/>
  <c r="K12" i="6"/>
  <c r="J11" i="6"/>
  <c r="K11" i="6"/>
  <c r="C381" i="5"/>
  <c r="I381" i="5"/>
  <c r="C380" i="5"/>
  <c r="I380" i="5" s="1"/>
  <c r="C379" i="5"/>
  <c r="I379" i="5"/>
  <c r="C378" i="5"/>
  <c r="I378" i="5"/>
  <c r="C377" i="5"/>
  <c r="I377" i="5"/>
  <c r="C376" i="5"/>
  <c r="I376" i="5"/>
  <c r="C375" i="5"/>
  <c r="I375" i="5"/>
  <c r="C374" i="5"/>
  <c r="I374" i="5" s="1"/>
  <c r="C373" i="5"/>
  <c r="I373" i="5"/>
  <c r="C372" i="5"/>
  <c r="I372" i="5"/>
  <c r="C371" i="5"/>
  <c r="I371" i="5"/>
  <c r="C370" i="5"/>
  <c r="I370" i="5"/>
  <c r="C369" i="5"/>
  <c r="I369" i="5"/>
  <c r="C368" i="5"/>
  <c r="I368" i="5" s="1"/>
  <c r="C367" i="5"/>
  <c r="I367" i="5"/>
  <c r="C366" i="5"/>
  <c r="I366" i="5"/>
  <c r="C365" i="5"/>
  <c r="I365" i="5"/>
  <c r="C364" i="5"/>
  <c r="I364" i="5"/>
  <c r="C363" i="5"/>
  <c r="I363" i="5"/>
  <c r="C362" i="5"/>
  <c r="I362" i="5" s="1"/>
  <c r="C361" i="5"/>
  <c r="I361" i="5"/>
  <c r="C360" i="5"/>
  <c r="I360" i="5"/>
  <c r="C359" i="5"/>
  <c r="I359" i="5"/>
  <c r="C358" i="5"/>
  <c r="I358" i="5"/>
  <c r="C357" i="5"/>
  <c r="I357" i="5"/>
  <c r="C356" i="5"/>
  <c r="I356" i="5" s="1"/>
  <c r="C355" i="5"/>
  <c r="I355" i="5"/>
  <c r="C354" i="5"/>
  <c r="I354" i="5"/>
  <c r="C353" i="5"/>
  <c r="I353" i="5"/>
  <c r="C352" i="5"/>
  <c r="I352" i="5"/>
  <c r="C351" i="5"/>
  <c r="I351" i="5"/>
  <c r="C350" i="5"/>
  <c r="I350" i="5" s="1"/>
  <c r="C349" i="5"/>
  <c r="I349" i="5"/>
  <c r="C348" i="5"/>
  <c r="I348" i="5"/>
  <c r="C347" i="5"/>
  <c r="I347" i="5"/>
  <c r="C346" i="5"/>
  <c r="I346" i="5"/>
  <c r="C345" i="5"/>
  <c r="I345" i="5"/>
  <c r="C344" i="5"/>
  <c r="I344" i="5" s="1"/>
  <c r="C343" i="5"/>
  <c r="I343" i="5"/>
  <c r="C342" i="5"/>
  <c r="I342" i="5"/>
  <c r="C341" i="5"/>
  <c r="I341" i="5"/>
  <c r="C340" i="5"/>
  <c r="I340" i="5"/>
  <c r="C339" i="5"/>
  <c r="I339" i="5"/>
  <c r="C338" i="5"/>
  <c r="I338" i="5" s="1"/>
  <c r="C337" i="5"/>
  <c r="I337" i="5"/>
  <c r="C336" i="5"/>
  <c r="I336" i="5"/>
  <c r="C335" i="5"/>
  <c r="I335" i="5"/>
  <c r="C334" i="5"/>
  <c r="I334" i="5"/>
  <c r="C333" i="5"/>
  <c r="I333" i="5"/>
  <c r="C332" i="5"/>
  <c r="I332" i="5" s="1"/>
  <c r="C331" i="5"/>
  <c r="I331" i="5"/>
  <c r="C330" i="5"/>
  <c r="I330" i="5"/>
  <c r="C329" i="5"/>
  <c r="I329" i="5"/>
  <c r="C328" i="5"/>
  <c r="I328" i="5"/>
  <c r="C327" i="5"/>
  <c r="I327" i="5"/>
  <c r="C326" i="5"/>
  <c r="I326" i="5" s="1"/>
  <c r="C325" i="5"/>
  <c r="I325" i="5"/>
  <c r="C324" i="5"/>
  <c r="I324" i="5"/>
  <c r="C323" i="5"/>
  <c r="I323" i="5"/>
  <c r="C322" i="5"/>
  <c r="I322" i="5"/>
  <c r="C321" i="5"/>
  <c r="I321" i="5"/>
  <c r="C320" i="5"/>
  <c r="I320" i="5" s="1"/>
  <c r="C319" i="5"/>
  <c r="I319" i="5"/>
  <c r="C318" i="5"/>
  <c r="I318" i="5"/>
  <c r="C317" i="5"/>
  <c r="I317" i="5"/>
  <c r="C316" i="5"/>
  <c r="I316" i="5"/>
  <c r="C315" i="5"/>
  <c r="I315" i="5"/>
  <c r="C314" i="5"/>
  <c r="I314" i="5" s="1"/>
  <c r="C313" i="5"/>
  <c r="I313" i="5"/>
  <c r="C312" i="5"/>
  <c r="I312" i="5"/>
  <c r="C311" i="5"/>
  <c r="I311" i="5"/>
  <c r="C310" i="5"/>
  <c r="I310" i="5"/>
  <c r="C309" i="5"/>
  <c r="I309" i="5"/>
  <c r="C308" i="5"/>
  <c r="I308" i="5" s="1"/>
  <c r="C307" i="5"/>
  <c r="I307" i="5"/>
  <c r="C306" i="5"/>
  <c r="I306" i="5"/>
  <c r="C305" i="5"/>
  <c r="I305" i="5"/>
  <c r="C304" i="5"/>
  <c r="I304" i="5"/>
  <c r="C303" i="5"/>
  <c r="I303" i="5"/>
  <c r="C302" i="5"/>
  <c r="I302" i="5" s="1"/>
  <c r="C301" i="5"/>
  <c r="I301" i="5"/>
  <c r="C300" i="5"/>
  <c r="I300" i="5"/>
  <c r="C299" i="5"/>
  <c r="I299" i="5"/>
  <c r="C298" i="5"/>
  <c r="I298" i="5"/>
  <c r="C297" i="5"/>
  <c r="I297" i="5"/>
  <c r="C296" i="5"/>
  <c r="I296" i="5" s="1"/>
  <c r="C295" i="5"/>
  <c r="I295" i="5"/>
  <c r="C294" i="5"/>
  <c r="I294" i="5"/>
  <c r="C293" i="5"/>
  <c r="I293" i="5"/>
  <c r="C292" i="5"/>
  <c r="I292" i="5"/>
  <c r="C291" i="5"/>
  <c r="I291" i="5"/>
  <c r="C290" i="5"/>
  <c r="I290" i="5" s="1"/>
  <c r="C289" i="5"/>
  <c r="I289" i="5"/>
  <c r="C288" i="5"/>
  <c r="I288" i="5"/>
  <c r="C287" i="5"/>
  <c r="I287" i="5"/>
  <c r="C286" i="5"/>
  <c r="I286" i="5"/>
  <c r="C285" i="5"/>
  <c r="I285" i="5"/>
  <c r="C284" i="5"/>
  <c r="I284" i="5" s="1"/>
  <c r="C283" i="5"/>
  <c r="I283" i="5"/>
  <c r="C282" i="5"/>
  <c r="I282" i="5"/>
  <c r="C281" i="5"/>
  <c r="I281" i="5"/>
  <c r="C280" i="5"/>
  <c r="I280" i="5"/>
  <c r="C279" i="5"/>
  <c r="I279" i="5"/>
  <c r="C278" i="5"/>
  <c r="I278" i="5" s="1"/>
  <c r="C277" i="5"/>
  <c r="I277" i="5"/>
  <c r="C276" i="5"/>
  <c r="I276" i="5"/>
  <c r="C275" i="5"/>
  <c r="I275" i="5"/>
  <c r="C274" i="5"/>
  <c r="I274" i="5"/>
  <c r="C273" i="5"/>
  <c r="I273" i="5"/>
  <c r="C272" i="5"/>
  <c r="I272" i="5" s="1"/>
  <c r="C271" i="5"/>
  <c r="I271" i="5"/>
  <c r="C270" i="5"/>
  <c r="I270" i="5"/>
  <c r="C269" i="5"/>
  <c r="I269" i="5"/>
  <c r="C268" i="5"/>
  <c r="I268" i="5"/>
  <c r="C267" i="5"/>
  <c r="I267" i="5"/>
  <c r="C266" i="5"/>
  <c r="I266" i="5" s="1"/>
  <c r="C265" i="5"/>
  <c r="I265" i="5"/>
  <c r="C264" i="5"/>
  <c r="I264" i="5"/>
  <c r="C263" i="5"/>
  <c r="I263" i="5"/>
  <c r="C262" i="5"/>
  <c r="I262" i="5"/>
  <c r="C261" i="5"/>
  <c r="I261" i="5"/>
  <c r="C260" i="5"/>
  <c r="I260" i="5" s="1"/>
  <c r="C259" i="5"/>
  <c r="I259" i="5"/>
  <c r="C258" i="5"/>
  <c r="I258" i="5"/>
  <c r="C257" i="5"/>
  <c r="I257" i="5"/>
  <c r="C256" i="5"/>
  <c r="I256" i="5"/>
  <c r="C255" i="5"/>
  <c r="I255" i="5"/>
  <c r="C254" i="5"/>
  <c r="I254" i="5" s="1"/>
  <c r="C253" i="5"/>
  <c r="I253" i="5"/>
  <c r="C252" i="5"/>
  <c r="I252" i="5"/>
  <c r="C251" i="5"/>
  <c r="I251" i="5"/>
  <c r="C250" i="5"/>
  <c r="I250" i="5"/>
  <c r="C249" i="5"/>
  <c r="I249" i="5"/>
  <c r="C248" i="5"/>
  <c r="I248" i="5" s="1"/>
  <c r="C247" i="5"/>
  <c r="I247" i="5"/>
  <c r="C246" i="5"/>
  <c r="I246" i="5"/>
  <c r="C245" i="5"/>
  <c r="I245" i="5"/>
  <c r="C244" i="5"/>
  <c r="I244" i="5"/>
  <c r="C243" i="5"/>
  <c r="I243" i="5"/>
  <c r="C242" i="5"/>
  <c r="I242" i="5" s="1"/>
  <c r="C241" i="5"/>
  <c r="I241" i="5"/>
  <c r="C240" i="5"/>
  <c r="I240" i="5"/>
  <c r="C239" i="5"/>
  <c r="I239" i="5"/>
  <c r="C238" i="5"/>
  <c r="I238" i="5"/>
  <c r="C237" i="5"/>
  <c r="I237" i="5"/>
  <c r="C236" i="5"/>
  <c r="I236" i="5" s="1"/>
  <c r="C235" i="5"/>
  <c r="I235" i="5"/>
  <c r="C234" i="5"/>
  <c r="I234" i="5"/>
  <c r="C233" i="5"/>
  <c r="I233" i="5"/>
  <c r="C232" i="5"/>
  <c r="I232" i="5"/>
  <c r="C231" i="5"/>
  <c r="I231" i="5"/>
  <c r="C230" i="5"/>
  <c r="I230" i="5" s="1"/>
  <c r="C229" i="5"/>
  <c r="I229" i="5"/>
  <c r="C228" i="5"/>
  <c r="I228" i="5"/>
  <c r="C227" i="5"/>
  <c r="I227" i="5"/>
  <c r="C226" i="5"/>
  <c r="I226" i="5"/>
  <c r="C225" i="5"/>
  <c r="I225" i="5"/>
  <c r="C224" i="5"/>
  <c r="I224" i="5" s="1"/>
  <c r="C223" i="5"/>
  <c r="I223" i="5"/>
  <c r="C222" i="5"/>
  <c r="I222" i="5"/>
  <c r="C221" i="5"/>
  <c r="I221" i="5"/>
  <c r="C220" i="5"/>
  <c r="I220" i="5"/>
  <c r="C219" i="5"/>
  <c r="I219" i="5"/>
  <c r="C218" i="5"/>
  <c r="I218" i="5" s="1"/>
  <c r="C217" i="5"/>
  <c r="I217" i="5"/>
  <c r="C216" i="5"/>
  <c r="I216" i="5"/>
  <c r="C215" i="5"/>
  <c r="I215" i="5"/>
  <c r="C214" i="5"/>
  <c r="I214" i="5"/>
  <c r="C213" i="5"/>
  <c r="I213" i="5"/>
  <c r="C212" i="5"/>
  <c r="I212" i="5" s="1"/>
  <c r="C211" i="5"/>
  <c r="I211" i="5"/>
  <c r="C210" i="5"/>
  <c r="I210" i="5"/>
  <c r="C209" i="5"/>
  <c r="I209" i="5"/>
  <c r="C208" i="5"/>
  <c r="I208" i="5"/>
  <c r="C207" i="5"/>
  <c r="I207" i="5"/>
  <c r="C206" i="5"/>
  <c r="I206" i="5" s="1"/>
  <c r="C205" i="5"/>
  <c r="I205" i="5"/>
  <c r="C204" i="5"/>
  <c r="I204" i="5"/>
  <c r="C203" i="5"/>
  <c r="I203" i="5"/>
  <c r="C202" i="5"/>
  <c r="I202" i="5"/>
  <c r="C201" i="5"/>
  <c r="I201" i="5"/>
  <c r="C200" i="5"/>
  <c r="I200" i="5" s="1"/>
  <c r="C199" i="5"/>
  <c r="I199" i="5"/>
  <c r="C198" i="5"/>
  <c r="I198" i="5"/>
  <c r="C197" i="5"/>
  <c r="I197" i="5"/>
  <c r="C196" i="5"/>
  <c r="I196" i="5"/>
  <c r="C195" i="5"/>
  <c r="I195" i="5"/>
  <c r="C194" i="5"/>
  <c r="I194" i="5" s="1"/>
  <c r="C193" i="5"/>
  <c r="I193" i="5"/>
  <c r="C192" i="5"/>
  <c r="I192" i="5"/>
  <c r="C191" i="5"/>
  <c r="I191" i="5"/>
  <c r="C190" i="5"/>
  <c r="I190" i="5"/>
  <c r="C189" i="5"/>
  <c r="I189" i="5"/>
  <c r="C188" i="5"/>
  <c r="I188" i="5" s="1"/>
  <c r="C187" i="5"/>
  <c r="I187" i="5"/>
  <c r="C186" i="5"/>
  <c r="I186" i="5"/>
  <c r="C185" i="5"/>
  <c r="I185" i="5"/>
  <c r="C184" i="5"/>
  <c r="I184" i="5"/>
  <c r="C183" i="5"/>
  <c r="I183" i="5"/>
  <c r="C182" i="5"/>
  <c r="I182" i="5" s="1"/>
  <c r="C181" i="5"/>
  <c r="I181" i="5"/>
  <c r="C180" i="5"/>
  <c r="I180" i="5"/>
  <c r="C179" i="5"/>
  <c r="I179" i="5"/>
  <c r="C178" i="5"/>
  <c r="I178" i="5"/>
  <c r="C177" i="5"/>
  <c r="I177" i="5"/>
  <c r="C176" i="5"/>
  <c r="I176" i="5" s="1"/>
  <c r="C175" i="5"/>
  <c r="I175" i="5"/>
  <c r="C174" i="5"/>
  <c r="I174" i="5"/>
  <c r="C173" i="5"/>
  <c r="I173" i="5"/>
  <c r="C172" i="5"/>
  <c r="I172" i="5"/>
  <c r="C171" i="5"/>
  <c r="I171" i="5"/>
  <c r="C170" i="5"/>
  <c r="I170" i="5" s="1"/>
  <c r="C169" i="5"/>
  <c r="I169" i="5"/>
  <c r="C168" i="5"/>
  <c r="I168" i="5"/>
  <c r="C167" i="5"/>
  <c r="I167" i="5"/>
  <c r="C166" i="5"/>
  <c r="I166" i="5"/>
  <c r="C165" i="5"/>
  <c r="I165" i="5"/>
  <c r="C164" i="5"/>
  <c r="I164" i="5" s="1"/>
  <c r="C163" i="5"/>
  <c r="I163" i="5"/>
  <c r="C162" i="5"/>
  <c r="I162" i="5"/>
  <c r="C161" i="5"/>
  <c r="I161" i="5"/>
  <c r="C160" i="5"/>
  <c r="I160" i="5"/>
  <c r="C159" i="5"/>
  <c r="I159" i="5"/>
  <c r="C158" i="5"/>
  <c r="I158" i="5" s="1"/>
  <c r="C157" i="5"/>
  <c r="I157" i="5"/>
  <c r="C156" i="5"/>
  <c r="I156" i="5"/>
  <c r="C155" i="5"/>
  <c r="I155" i="5"/>
  <c r="C154" i="5"/>
  <c r="I154" i="5"/>
  <c r="C153" i="5"/>
  <c r="I153" i="5"/>
  <c r="C152" i="5"/>
  <c r="I152" i="5" s="1"/>
  <c r="C151" i="5"/>
  <c r="I151" i="5"/>
  <c r="C150" i="5"/>
  <c r="I150" i="5"/>
  <c r="C149" i="5"/>
  <c r="I149" i="5"/>
  <c r="C148" i="5"/>
  <c r="I148" i="5"/>
  <c r="C147" i="5"/>
  <c r="I147" i="5"/>
  <c r="C146" i="5"/>
  <c r="I146" i="5" s="1"/>
  <c r="C145" i="5"/>
  <c r="I145" i="5"/>
  <c r="C144" i="5"/>
  <c r="I144" i="5"/>
  <c r="C143" i="5"/>
  <c r="I143" i="5"/>
  <c r="C142" i="5"/>
  <c r="I142" i="5"/>
  <c r="C141" i="5"/>
  <c r="I141" i="5"/>
  <c r="C140" i="5"/>
  <c r="I140" i="5" s="1"/>
  <c r="C139" i="5"/>
  <c r="I139" i="5"/>
  <c r="C138" i="5"/>
  <c r="I138" i="5"/>
  <c r="C137" i="5"/>
  <c r="I137" i="5"/>
  <c r="C136" i="5"/>
  <c r="I136" i="5"/>
  <c r="C135" i="5"/>
  <c r="I135" i="5"/>
  <c r="C134" i="5"/>
  <c r="I134" i="5" s="1"/>
  <c r="C133" i="5"/>
  <c r="I133" i="5"/>
  <c r="C132" i="5"/>
  <c r="I132" i="5"/>
  <c r="C131" i="5"/>
  <c r="I131" i="5"/>
  <c r="C130" i="5"/>
  <c r="I130" i="5"/>
  <c r="C129" i="5"/>
  <c r="I129" i="5"/>
  <c r="C128" i="5"/>
  <c r="I128" i="5" s="1"/>
  <c r="C127" i="5"/>
  <c r="I127" i="5"/>
  <c r="C126" i="5"/>
  <c r="I126" i="5"/>
  <c r="C125" i="5"/>
  <c r="I125" i="5"/>
  <c r="C124" i="5"/>
  <c r="I124" i="5"/>
  <c r="C123" i="5"/>
  <c r="I123" i="5"/>
  <c r="C122" i="5"/>
  <c r="I122" i="5" s="1"/>
  <c r="C121" i="5"/>
  <c r="I121" i="5"/>
  <c r="C120" i="5"/>
  <c r="I120" i="5"/>
  <c r="C119" i="5"/>
  <c r="I119" i="5"/>
  <c r="C118" i="5"/>
  <c r="I118" i="5"/>
  <c r="C117" i="5"/>
  <c r="I117" i="5"/>
  <c r="C116" i="5"/>
  <c r="I116" i="5" s="1"/>
  <c r="C115" i="5"/>
  <c r="I115" i="5"/>
  <c r="C114" i="5"/>
  <c r="I114" i="5"/>
  <c r="C113" i="5"/>
  <c r="I113" i="5"/>
  <c r="C112" i="5"/>
  <c r="I112" i="5"/>
  <c r="C111" i="5"/>
  <c r="I111" i="5"/>
  <c r="C110" i="5"/>
  <c r="I110" i="5" s="1"/>
  <c r="C109" i="5"/>
  <c r="I109" i="5"/>
  <c r="C108" i="5"/>
  <c r="I108" i="5"/>
  <c r="C107" i="5"/>
  <c r="I107" i="5"/>
  <c r="C106" i="5"/>
  <c r="I106" i="5"/>
  <c r="C105" i="5"/>
  <c r="I105" i="5"/>
  <c r="C104" i="5"/>
  <c r="I104" i="5" s="1"/>
  <c r="C103" i="5"/>
  <c r="I103" i="5"/>
  <c r="C102" i="5"/>
  <c r="I102" i="5"/>
  <c r="C101" i="5"/>
  <c r="I101" i="5"/>
  <c r="C100" i="5"/>
  <c r="I100" i="5"/>
  <c r="C99" i="5"/>
  <c r="I99" i="5"/>
  <c r="C98" i="5"/>
  <c r="I98" i="5" s="1"/>
  <c r="C97" i="5"/>
  <c r="I97" i="5"/>
  <c r="C96" i="5"/>
  <c r="I96" i="5"/>
  <c r="C95" i="5"/>
  <c r="I95" i="5"/>
  <c r="C94" i="5"/>
  <c r="I94" i="5"/>
  <c r="C93" i="5"/>
  <c r="I93" i="5"/>
  <c r="C92" i="5"/>
  <c r="I92" i="5" s="1"/>
  <c r="C91" i="5"/>
  <c r="I91" i="5"/>
  <c r="C90" i="5"/>
  <c r="I90" i="5"/>
  <c r="C89" i="5"/>
  <c r="I89" i="5"/>
  <c r="C88" i="5"/>
  <c r="I88" i="5"/>
  <c r="C87" i="5"/>
  <c r="I87" i="5"/>
  <c r="C86" i="5"/>
  <c r="I86" i="5" s="1"/>
  <c r="C85" i="5"/>
  <c r="I85" i="5"/>
  <c r="C84" i="5"/>
  <c r="I84" i="5"/>
  <c r="C83" i="5"/>
  <c r="I83" i="5"/>
  <c r="C82" i="5"/>
  <c r="I82" i="5"/>
  <c r="C81" i="5"/>
  <c r="I81" i="5"/>
  <c r="C80" i="5"/>
  <c r="I80" i="5" s="1"/>
  <c r="C79" i="5"/>
  <c r="I79" i="5"/>
  <c r="C78" i="5"/>
  <c r="I78" i="5"/>
  <c r="C77" i="5"/>
  <c r="I77" i="5"/>
  <c r="C76" i="5"/>
  <c r="I76" i="5"/>
  <c r="C75" i="5"/>
  <c r="I75" i="5"/>
  <c r="C74" i="5"/>
  <c r="I74" i="5" s="1"/>
  <c r="C73" i="5"/>
  <c r="I73" i="5"/>
  <c r="C72" i="5"/>
  <c r="I72" i="5"/>
  <c r="C71" i="5"/>
  <c r="I71" i="5"/>
  <c r="C70" i="5"/>
  <c r="I70" i="5"/>
  <c r="C69" i="5"/>
  <c r="I69" i="5"/>
  <c r="C68" i="5"/>
  <c r="I68" i="5" s="1"/>
  <c r="C67" i="5"/>
  <c r="I67" i="5"/>
  <c r="C66" i="5"/>
  <c r="I66" i="5"/>
  <c r="C65" i="5"/>
  <c r="I65" i="5"/>
  <c r="C64" i="5"/>
  <c r="I64" i="5"/>
  <c r="C63" i="5"/>
  <c r="I63" i="5"/>
  <c r="C62" i="5"/>
  <c r="I62" i="5" s="1"/>
  <c r="C61" i="5"/>
  <c r="I61" i="5"/>
  <c r="C60" i="5"/>
  <c r="I60" i="5"/>
  <c r="C59" i="5"/>
  <c r="I59" i="5"/>
  <c r="C58" i="5"/>
  <c r="I58" i="5"/>
  <c r="C57" i="5"/>
  <c r="I57" i="5"/>
  <c r="C56" i="5"/>
  <c r="I56" i="5" s="1"/>
  <c r="C55" i="5"/>
  <c r="I55" i="5"/>
  <c r="C54" i="5"/>
  <c r="I54" i="5"/>
  <c r="C53" i="5"/>
  <c r="I53" i="5"/>
  <c r="C52" i="5"/>
  <c r="I52" i="5"/>
  <c r="C51" i="5"/>
  <c r="I51" i="5"/>
  <c r="C50" i="5"/>
  <c r="I50" i="5" s="1"/>
  <c r="C49" i="5"/>
  <c r="I49" i="5"/>
  <c r="C48" i="5"/>
  <c r="I48" i="5"/>
  <c r="C47" i="5"/>
  <c r="I47" i="5"/>
  <c r="C46" i="5"/>
  <c r="I46" i="5"/>
  <c r="C45" i="5"/>
  <c r="I45" i="5"/>
  <c r="C44" i="5"/>
  <c r="I44" i="5" s="1"/>
  <c r="C43" i="5"/>
  <c r="I43" i="5"/>
  <c r="C42" i="5"/>
  <c r="I42" i="5"/>
  <c r="C41" i="5"/>
  <c r="I41" i="5"/>
  <c r="C40" i="5"/>
  <c r="I40" i="5"/>
  <c r="C39" i="5"/>
  <c r="I39" i="5"/>
  <c r="C38" i="5"/>
  <c r="I38" i="5" s="1"/>
  <c r="C37" i="5"/>
  <c r="I37" i="5"/>
  <c r="C36" i="5"/>
  <c r="I36" i="5"/>
  <c r="C35" i="5"/>
  <c r="I35" i="5"/>
  <c r="C34" i="5"/>
  <c r="I34" i="5"/>
  <c r="C33" i="5"/>
  <c r="I33" i="5"/>
  <c r="C32" i="5"/>
  <c r="I32" i="5" s="1"/>
  <c r="C31" i="5"/>
  <c r="I31" i="5"/>
  <c r="C30" i="5"/>
  <c r="I30" i="5"/>
  <c r="C29" i="5"/>
  <c r="I29" i="5"/>
  <c r="C28" i="5"/>
  <c r="I28" i="5"/>
  <c r="C27" i="5"/>
  <c r="I27" i="5"/>
  <c r="C26" i="5"/>
  <c r="I26" i="5" s="1"/>
  <c r="C25" i="5"/>
  <c r="I25" i="5"/>
  <c r="C24" i="5"/>
  <c r="I24" i="5"/>
  <c r="C23" i="5"/>
  <c r="I23" i="5"/>
  <c r="C22" i="5"/>
  <c r="I22" i="5"/>
  <c r="C21" i="5"/>
  <c r="I21" i="5"/>
  <c r="C20" i="5"/>
  <c r="I20" i="5" s="1"/>
  <c r="C19" i="5"/>
  <c r="I19" i="5"/>
  <c r="C18" i="5"/>
  <c r="I18" i="5"/>
  <c r="C17" i="5"/>
  <c r="I17" i="5"/>
  <c r="C16" i="5"/>
  <c r="I16" i="5"/>
  <c r="C15" i="5"/>
  <c r="I15" i="5"/>
  <c r="C14" i="5"/>
  <c r="I14" i="5" s="1"/>
  <c r="C13" i="5"/>
  <c r="I13" i="5"/>
  <c r="C12" i="5"/>
  <c r="I12" i="5"/>
  <c r="C11" i="5"/>
  <c r="I11" i="5"/>
  <c r="A1" i="5"/>
  <c r="R385" i="4"/>
  <c r="O383" i="4"/>
  <c r="R383" i="4"/>
  <c r="N383" i="4"/>
  <c r="I383" i="4"/>
  <c r="C383" i="4"/>
  <c r="O382" i="4"/>
  <c r="N382" i="4"/>
  <c r="I382" i="4"/>
  <c r="C382" i="4"/>
  <c r="S382" i="4" s="1"/>
  <c r="O381" i="4"/>
  <c r="R381" i="4"/>
  <c r="N381" i="4"/>
  <c r="I381" i="4"/>
  <c r="S381" i="4"/>
  <c r="C381" i="4"/>
  <c r="O380" i="4"/>
  <c r="N380" i="4"/>
  <c r="I380" i="4"/>
  <c r="C380" i="4"/>
  <c r="O379" i="4"/>
  <c r="N379" i="4"/>
  <c r="I379" i="4"/>
  <c r="C379" i="4"/>
  <c r="O378" i="4"/>
  <c r="N378" i="4"/>
  <c r="I378" i="4"/>
  <c r="S378" i="4" s="1"/>
  <c r="C378" i="4"/>
  <c r="O377" i="4"/>
  <c r="R377" i="4" s="1"/>
  <c r="N377" i="4"/>
  <c r="I377" i="4"/>
  <c r="C377" i="4"/>
  <c r="O376" i="4"/>
  <c r="N376" i="4"/>
  <c r="I376" i="4"/>
  <c r="C376" i="4"/>
  <c r="O375" i="4"/>
  <c r="R375" i="4" s="1"/>
  <c r="N375" i="4"/>
  <c r="I375" i="4"/>
  <c r="S375" i="4" s="1"/>
  <c r="C375" i="4"/>
  <c r="O374" i="4"/>
  <c r="N374" i="4"/>
  <c r="I374" i="4"/>
  <c r="C374" i="4"/>
  <c r="O373" i="4"/>
  <c r="R373" i="4"/>
  <c r="N373" i="4"/>
  <c r="I373" i="4"/>
  <c r="C373" i="4"/>
  <c r="O372" i="4"/>
  <c r="P372" i="4" s="1"/>
  <c r="Q372" i="4" s="1"/>
  <c r="N372" i="4"/>
  <c r="I372" i="4"/>
  <c r="C372" i="4"/>
  <c r="O371" i="4"/>
  <c r="R371" i="4" s="1"/>
  <c r="N371" i="4"/>
  <c r="I371" i="4"/>
  <c r="C371" i="4"/>
  <c r="O370" i="4"/>
  <c r="N370" i="4"/>
  <c r="I370" i="4"/>
  <c r="C370" i="4"/>
  <c r="O369" i="4"/>
  <c r="R369" i="4"/>
  <c r="N369" i="4"/>
  <c r="P369" i="4"/>
  <c r="Q369" i="4" s="1"/>
  <c r="I369" i="4"/>
  <c r="C369" i="4"/>
  <c r="O368" i="4"/>
  <c r="N368" i="4"/>
  <c r="I368" i="4"/>
  <c r="C368" i="4"/>
  <c r="O367" i="4"/>
  <c r="R367" i="4"/>
  <c r="N367" i="4"/>
  <c r="I367" i="4"/>
  <c r="C367" i="4"/>
  <c r="O366" i="4"/>
  <c r="N366" i="4"/>
  <c r="P366" i="4"/>
  <c r="Q366" i="4" s="1"/>
  <c r="I366" i="4"/>
  <c r="C366" i="4"/>
  <c r="O365" i="4"/>
  <c r="N365" i="4"/>
  <c r="I365" i="4"/>
  <c r="C365" i="4"/>
  <c r="O364" i="4"/>
  <c r="N364" i="4"/>
  <c r="I364" i="4"/>
  <c r="C364" i="4"/>
  <c r="O363" i="4"/>
  <c r="N363" i="4"/>
  <c r="I363" i="4"/>
  <c r="C363" i="4"/>
  <c r="O362" i="4"/>
  <c r="N362" i="4"/>
  <c r="I362" i="4"/>
  <c r="C362" i="4"/>
  <c r="O361" i="4"/>
  <c r="N361" i="4"/>
  <c r="I361" i="4"/>
  <c r="S361" i="4" s="1"/>
  <c r="C361" i="4"/>
  <c r="O360" i="4"/>
  <c r="R360" i="4"/>
  <c r="N360" i="4"/>
  <c r="I360" i="4"/>
  <c r="S360" i="4" s="1"/>
  <c r="C360" i="4"/>
  <c r="O359" i="4"/>
  <c r="R359" i="4"/>
  <c r="N359" i="4"/>
  <c r="I359" i="4"/>
  <c r="C359" i="4"/>
  <c r="O358" i="4"/>
  <c r="N358" i="4"/>
  <c r="I358" i="4"/>
  <c r="C358" i="4"/>
  <c r="O357" i="4"/>
  <c r="R357" i="4" s="1"/>
  <c r="N357" i="4"/>
  <c r="I357" i="4"/>
  <c r="C357" i="4"/>
  <c r="O356" i="4"/>
  <c r="R356" i="4" s="1"/>
  <c r="N356" i="4"/>
  <c r="I356" i="4"/>
  <c r="S356" i="4"/>
  <c r="C356" i="4"/>
  <c r="O355" i="4"/>
  <c r="R355" i="4"/>
  <c r="N355" i="4"/>
  <c r="I355" i="4"/>
  <c r="C355" i="4"/>
  <c r="O354" i="4"/>
  <c r="N354" i="4"/>
  <c r="I354" i="4"/>
  <c r="C354" i="4"/>
  <c r="O353" i="4"/>
  <c r="R353" i="4" s="1"/>
  <c r="N353" i="4"/>
  <c r="I353" i="4"/>
  <c r="C353" i="4"/>
  <c r="O352" i="4"/>
  <c r="N352" i="4"/>
  <c r="I352" i="4"/>
  <c r="S352" i="4"/>
  <c r="C352" i="4"/>
  <c r="O351" i="4"/>
  <c r="R351" i="4" s="1"/>
  <c r="N351" i="4"/>
  <c r="I351" i="4"/>
  <c r="C351" i="4"/>
  <c r="O350" i="4"/>
  <c r="N350" i="4"/>
  <c r="P350" i="4" s="1"/>
  <c r="I350" i="4"/>
  <c r="C350" i="4"/>
  <c r="O349" i="4"/>
  <c r="N349" i="4"/>
  <c r="I349" i="4"/>
  <c r="C349" i="4"/>
  <c r="O348" i="4"/>
  <c r="N348" i="4"/>
  <c r="I348" i="4"/>
  <c r="C348" i="4"/>
  <c r="O347" i="4"/>
  <c r="R347" i="4" s="1"/>
  <c r="N347" i="4"/>
  <c r="I347" i="4"/>
  <c r="C347" i="4"/>
  <c r="O346" i="4"/>
  <c r="N346" i="4"/>
  <c r="I346" i="4"/>
  <c r="C346" i="4"/>
  <c r="O345" i="4"/>
  <c r="R345" i="4"/>
  <c r="N345" i="4"/>
  <c r="I345" i="4"/>
  <c r="C345" i="4"/>
  <c r="O344" i="4"/>
  <c r="N344" i="4"/>
  <c r="I344" i="4"/>
  <c r="S344" i="4"/>
  <c r="C344" i="4"/>
  <c r="O343" i="4"/>
  <c r="R343" i="4"/>
  <c r="N343" i="4"/>
  <c r="I343" i="4"/>
  <c r="C343" i="4"/>
  <c r="O342" i="4"/>
  <c r="N342" i="4"/>
  <c r="I342" i="4"/>
  <c r="C342" i="4"/>
  <c r="O341" i="4"/>
  <c r="R341" i="4"/>
  <c r="N341" i="4"/>
  <c r="I341" i="4"/>
  <c r="C341" i="4"/>
  <c r="O340" i="4"/>
  <c r="N340" i="4"/>
  <c r="P340" i="4"/>
  <c r="Q340" i="4"/>
  <c r="I340" i="4"/>
  <c r="C340" i="4"/>
  <c r="O339" i="4"/>
  <c r="N339" i="4"/>
  <c r="I339" i="4"/>
  <c r="S339" i="4" s="1"/>
  <c r="C339" i="4"/>
  <c r="O338" i="4"/>
  <c r="N338" i="4"/>
  <c r="I338" i="4"/>
  <c r="C338" i="4"/>
  <c r="O337" i="4"/>
  <c r="R337" i="4" s="1"/>
  <c r="N337" i="4"/>
  <c r="I337" i="4"/>
  <c r="C337" i="4"/>
  <c r="O336" i="4"/>
  <c r="R336" i="4" s="1"/>
  <c r="N336" i="4"/>
  <c r="I336" i="4"/>
  <c r="C336" i="4"/>
  <c r="O335" i="4"/>
  <c r="N335" i="4"/>
  <c r="I335" i="4"/>
  <c r="C335" i="4"/>
  <c r="O334" i="4"/>
  <c r="R334" i="4" s="1"/>
  <c r="N334" i="4"/>
  <c r="I334" i="4"/>
  <c r="C334" i="4"/>
  <c r="O333" i="4"/>
  <c r="R333" i="4"/>
  <c r="N333" i="4"/>
  <c r="I333" i="4"/>
  <c r="C333" i="4"/>
  <c r="O332" i="4"/>
  <c r="R332" i="4" s="1"/>
  <c r="N332" i="4"/>
  <c r="I332" i="4"/>
  <c r="C332" i="4"/>
  <c r="O331" i="4"/>
  <c r="R331" i="4" s="1"/>
  <c r="N331" i="4"/>
  <c r="I331" i="4"/>
  <c r="C331" i="4"/>
  <c r="O330" i="4"/>
  <c r="R330" i="4"/>
  <c r="N330" i="4"/>
  <c r="I330" i="4"/>
  <c r="C330" i="4"/>
  <c r="O329" i="4"/>
  <c r="R329" i="4"/>
  <c r="N329" i="4"/>
  <c r="I329" i="4"/>
  <c r="C329" i="4"/>
  <c r="O328" i="4"/>
  <c r="R328" i="4" s="1"/>
  <c r="N328" i="4"/>
  <c r="I328" i="4"/>
  <c r="C328" i="4"/>
  <c r="O327" i="4"/>
  <c r="N327" i="4"/>
  <c r="P327" i="4" s="1"/>
  <c r="I327" i="4"/>
  <c r="C327" i="4"/>
  <c r="O326" i="4"/>
  <c r="R326" i="4" s="1"/>
  <c r="N326" i="4"/>
  <c r="I326" i="4"/>
  <c r="S326" i="4" s="1"/>
  <c r="C326" i="4"/>
  <c r="O325" i="4"/>
  <c r="R325" i="4"/>
  <c r="N325" i="4"/>
  <c r="I325" i="4"/>
  <c r="C325" i="4"/>
  <c r="O324" i="4"/>
  <c r="N324" i="4"/>
  <c r="I324" i="4"/>
  <c r="C324" i="4"/>
  <c r="O323" i="4"/>
  <c r="N323" i="4"/>
  <c r="I323" i="4"/>
  <c r="C323" i="4"/>
  <c r="S323" i="4" s="1"/>
  <c r="O322" i="4"/>
  <c r="R322" i="4"/>
  <c r="N322" i="4"/>
  <c r="I322" i="4"/>
  <c r="S322" i="4"/>
  <c r="C322" i="4"/>
  <c r="O321" i="4"/>
  <c r="R321" i="4"/>
  <c r="N321" i="4"/>
  <c r="I321" i="4"/>
  <c r="C321" i="4"/>
  <c r="O320" i="4"/>
  <c r="R320" i="4" s="1"/>
  <c r="N320" i="4"/>
  <c r="I320" i="4"/>
  <c r="S320" i="4"/>
  <c r="C320" i="4"/>
  <c r="O319" i="4"/>
  <c r="N319" i="4"/>
  <c r="I319" i="4"/>
  <c r="C319" i="4"/>
  <c r="O318" i="4"/>
  <c r="R318" i="4"/>
  <c r="N318" i="4"/>
  <c r="I318" i="4"/>
  <c r="C318" i="4"/>
  <c r="O317" i="4"/>
  <c r="R317" i="4"/>
  <c r="N317" i="4"/>
  <c r="I317" i="4"/>
  <c r="S317" i="4" s="1"/>
  <c r="C317" i="4"/>
  <c r="O316" i="4"/>
  <c r="N316" i="4"/>
  <c r="I316" i="4"/>
  <c r="C316" i="4"/>
  <c r="O315" i="4"/>
  <c r="N315" i="4"/>
  <c r="I315" i="4"/>
  <c r="C315" i="4"/>
  <c r="O314" i="4"/>
  <c r="R314" i="4" s="1"/>
  <c r="N314" i="4"/>
  <c r="I314" i="4"/>
  <c r="S314" i="4" s="1"/>
  <c r="C314" i="4"/>
  <c r="O313" i="4"/>
  <c r="R313" i="4"/>
  <c r="N313" i="4"/>
  <c r="I313" i="4"/>
  <c r="C313" i="4"/>
  <c r="O312" i="4"/>
  <c r="R312" i="4" s="1"/>
  <c r="N312" i="4"/>
  <c r="I312" i="4"/>
  <c r="C312" i="4"/>
  <c r="O311" i="4"/>
  <c r="R311" i="4"/>
  <c r="N311" i="4"/>
  <c r="I311" i="4"/>
  <c r="C311" i="4"/>
  <c r="O310" i="4"/>
  <c r="R310" i="4" s="1"/>
  <c r="N310" i="4"/>
  <c r="I310" i="4"/>
  <c r="C310" i="4"/>
  <c r="O309" i="4"/>
  <c r="R309" i="4"/>
  <c r="N309" i="4"/>
  <c r="I309" i="4"/>
  <c r="C309" i="4"/>
  <c r="S309" i="4"/>
  <c r="O308" i="4"/>
  <c r="R308" i="4"/>
  <c r="N308" i="4"/>
  <c r="I308" i="4"/>
  <c r="C308" i="4"/>
  <c r="O307" i="4"/>
  <c r="R307" i="4" s="1"/>
  <c r="N307" i="4"/>
  <c r="I307" i="4"/>
  <c r="C307" i="4"/>
  <c r="O306" i="4"/>
  <c r="R306" i="4"/>
  <c r="N306" i="4"/>
  <c r="I306" i="4"/>
  <c r="S306" i="4" s="1"/>
  <c r="C306" i="4"/>
  <c r="O305" i="4"/>
  <c r="R305" i="4" s="1"/>
  <c r="N305" i="4"/>
  <c r="I305" i="4"/>
  <c r="C305" i="4"/>
  <c r="O304" i="4"/>
  <c r="R304" i="4"/>
  <c r="N304" i="4"/>
  <c r="I304" i="4"/>
  <c r="C304" i="4"/>
  <c r="O303" i="4"/>
  <c r="R303" i="4"/>
  <c r="N303" i="4"/>
  <c r="I303" i="4"/>
  <c r="S303" i="4" s="1"/>
  <c r="C303" i="4"/>
  <c r="O302" i="4"/>
  <c r="R302" i="4"/>
  <c r="N302" i="4"/>
  <c r="I302" i="4"/>
  <c r="S302" i="4" s="1"/>
  <c r="C302" i="4"/>
  <c r="O301" i="4"/>
  <c r="R301" i="4"/>
  <c r="N301" i="4"/>
  <c r="I301" i="4"/>
  <c r="C301" i="4"/>
  <c r="O300" i="4"/>
  <c r="R300" i="4" s="1"/>
  <c r="N300" i="4"/>
  <c r="I300" i="4"/>
  <c r="S300" i="4"/>
  <c r="C300" i="4"/>
  <c r="O299" i="4"/>
  <c r="R299" i="4" s="1"/>
  <c r="N299" i="4"/>
  <c r="I299" i="4"/>
  <c r="C299" i="4"/>
  <c r="O298" i="4"/>
  <c r="R298" i="4"/>
  <c r="N298" i="4"/>
  <c r="I298" i="4"/>
  <c r="C298" i="4"/>
  <c r="O297" i="4"/>
  <c r="N297" i="4"/>
  <c r="I297" i="4"/>
  <c r="C297" i="4"/>
  <c r="O296" i="4"/>
  <c r="R296" i="4" s="1"/>
  <c r="N296" i="4"/>
  <c r="I296" i="4"/>
  <c r="C296" i="4"/>
  <c r="O295" i="4"/>
  <c r="N295" i="4"/>
  <c r="I295" i="4"/>
  <c r="C295" i="4"/>
  <c r="O294" i="4"/>
  <c r="R294" i="4"/>
  <c r="N294" i="4"/>
  <c r="I294" i="4"/>
  <c r="S294" i="4" s="1"/>
  <c r="C294" i="4"/>
  <c r="O293" i="4"/>
  <c r="R293" i="4"/>
  <c r="N293" i="4"/>
  <c r="I293" i="4"/>
  <c r="C293" i="4"/>
  <c r="O292" i="4"/>
  <c r="R292" i="4" s="1"/>
  <c r="N292" i="4"/>
  <c r="I292" i="4"/>
  <c r="C292" i="4"/>
  <c r="O291" i="4"/>
  <c r="R291" i="4"/>
  <c r="N291" i="4"/>
  <c r="P291" i="4"/>
  <c r="Q291" i="4"/>
  <c r="I291" i="4"/>
  <c r="C291" i="4"/>
  <c r="O290" i="4"/>
  <c r="R290" i="4" s="1"/>
  <c r="N290" i="4"/>
  <c r="I290" i="4"/>
  <c r="C290" i="4"/>
  <c r="O289" i="4"/>
  <c r="R289" i="4"/>
  <c r="N289" i="4"/>
  <c r="I289" i="4"/>
  <c r="C289" i="4"/>
  <c r="O288" i="4"/>
  <c r="R288" i="4" s="1"/>
  <c r="N288" i="4"/>
  <c r="I288" i="4"/>
  <c r="C288" i="4"/>
  <c r="O287" i="4"/>
  <c r="R287" i="4" s="1"/>
  <c r="N287" i="4"/>
  <c r="I287" i="4"/>
  <c r="C287" i="4"/>
  <c r="O286" i="4"/>
  <c r="R286" i="4"/>
  <c r="N286" i="4"/>
  <c r="I286" i="4"/>
  <c r="S286" i="4" s="1"/>
  <c r="C286" i="4"/>
  <c r="O285" i="4"/>
  <c r="R285" i="4"/>
  <c r="N285" i="4"/>
  <c r="I285" i="4"/>
  <c r="C285" i="4"/>
  <c r="O284" i="4"/>
  <c r="N284" i="4"/>
  <c r="I284" i="4"/>
  <c r="C284" i="4"/>
  <c r="O283" i="4"/>
  <c r="R283" i="4"/>
  <c r="N283" i="4"/>
  <c r="I283" i="4"/>
  <c r="C283" i="4"/>
  <c r="O282" i="4"/>
  <c r="R282" i="4"/>
  <c r="N282" i="4"/>
  <c r="I282" i="4"/>
  <c r="C282" i="4"/>
  <c r="O281" i="4"/>
  <c r="N281" i="4"/>
  <c r="I281" i="4"/>
  <c r="C281" i="4"/>
  <c r="O280" i="4"/>
  <c r="R280" i="4"/>
  <c r="N280" i="4"/>
  <c r="I280" i="4"/>
  <c r="C280" i="4"/>
  <c r="O279" i="4"/>
  <c r="R279" i="4"/>
  <c r="N279" i="4"/>
  <c r="I279" i="4"/>
  <c r="C279" i="4"/>
  <c r="O278" i="4"/>
  <c r="R278" i="4" s="1"/>
  <c r="N278" i="4"/>
  <c r="I278" i="4"/>
  <c r="C278" i="4"/>
  <c r="O277" i="4"/>
  <c r="R277" i="4"/>
  <c r="N277" i="4"/>
  <c r="I277" i="4"/>
  <c r="S277" i="4"/>
  <c r="C277" i="4"/>
  <c r="O276" i="4"/>
  <c r="N276" i="4"/>
  <c r="I276" i="4"/>
  <c r="C276" i="4"/>
  <c r="O275" i="4"/>
  <c r="R275" i="4" s="1"/>
  <c r="N275" i="4"/>
  <c r="I275" i="4"/>
  <c r="C275" i="4"/>
  <c r="O274" i="4"/>
  <c r="N274" i="4"/>
  <c r="I274" i="4"/>
  <c r="S274" i="4" s="1"/>
  <c r="C274" i="4"/>
  <c r="O273" i="4"/>
  <c r="R273" i="4"/>
  <c r="N273" i="4"/>
  <c r="I273" i="4"/>
  <c r="C273" i="4"/>
  <c r="O272" i="4"/>
  <c r="R272" i="4" s="1"/>
  <c r="N272" i="4"/>
  <c r="I272" i="4"/>
  <c r="C272" i="4"/>
  <c r="O271" i="4"/>
  <c r="N271" i="4"/>
  <c r="P271" i="4" s="1"/>
  <c r="Q271" i="4" s="1"/>
  <c r="I271" i="4"/>
  <c r="S271" i="4" s="1"/>
  <c r="C271" i="4"/>
  <c r="O270" i="4"/>
  <c r="R270" i="4" s="1"/>
  <c r="N270" i="4"/>
  <c r="I270" i="4"/>
  <c r="S270" i="4"/>
  <c r="C270" i="4"/>
  <c r="O269" i="4"/>
  <c r="R269" i="4" s="1"/>
  <c r="N269" i="4"/>
  <c r="I269" i="4"/>
  <c r="C269" i="4"/>
  <c r="O268" i="4"/>
  <c r="P268" i="4"/>
  <c r="Q268" i="4" s="1"/>
  <c r="N268" i="4"/>
  <c r="I268" i="4"/>
  <c r="C268" i="4"/>
  <c r="O267" i="4"/>
  <c r="R267" i="4"/>
  <c r="N267" i="4"/>
  <c r="I267" i="4"/>
  <c r="C267" i="4"/>
  <c r="O266" i="4"/>
  <c r="N266" i="4"/>
  <c r="I266" i="4"/>
  <c r="C266" i="4"/>
  <c r="O265" i="4"/>
  <c r="R265" i="4"/>
  <c r="N265" i="4"/>
  <c r="I265" i="4"/>
  <c r="C265" i="4"/>
  <c r="O264" i="4"/>
  <c r="R264" i="4"/>
  <c r="N264" i="4"/>
  <c r="I264" i="4"/>
  <c r="C264" i="4"/>
  <c r="O263" i="4"/>
  <c r="R263" i="4" s="1"/>
  <c r="N263" i="4"/>
  <c r="I263" i="4"/>
  <c r="S263" i="4" s="1"/>
  <c r="C263" i="4"/>
  <c r="O262" i="4"/>
  <c r="N262" i="4"/>
  <c r="I262" i="4"/>
  <c r="C262" i="4"/>
  <c r="O261" i="4"/>
  <c r="R261" i="4"/>
  <c r="N261" i="4"/>
  <c r="I261" i="4"/>
  <c r="C261" i="4"/>
  <c r="O260" i="4"/>
  <c r="R260" i="4" s="1"/>
  <c r="N260" i="4"/>
  <c r="I260" i="4"/>
  <c r="C260" i="4"/>
  <c r="O259" i="4"/>
  <c r="R259" i="4" s="1"/>
  <c r="N259" i="4"/>
  <c r="I259" i="4"/>
  <c r="C259" i="4"/>
  <c r="O258" i="4"/>
  <c r="R258" i="4"/>
  <c r="N258" i="4"/>
  <c r="I258" i="4"/>
  <c r="C258" i="4"/>
  <c r="O257" i="4"/>
  <c r="R257" i="4"/>
  <c r="N257" i="4"/>
  <c r="P257" i="4" s="1"/>
  <c r="I257" i="4"/>
  <c r="C257" i="4"/>
  <c r="O256" i="4"/>
  <c r="N256" i="4"/>
  <c r="I256" i="4"/>
  <c r="C256" i="4"/>
  <c r="O255" i="4"/>
  <c r="R255" i="4"/>
  <c r="N255" i="4"/>
  <c r="I255" i="4"/>
  <c r="C255" i="4"/>
  <c r="O254" i="4"/>
  <c r="R254" i="4" s="1"/>
  <c r="N254" i="4"/>
  <c r="I254" i="4"/>
  <c r="C254" i="4"/>
  <c r="S254" i="4" s="1"/>
  <c r="O253" i="4"/>
  <c r="R253" i="4" s="1"/>
  <c r="N253" i="4"/>
  <c r="I253" i="4"/>
  <c r="C253" i="4"/>
  <c r="O252" i="4"/>
  <c r="R252" i="4" s="1"/>
  <c r="N252" i="4"/>
  <c r="I252" i="4"/>
  <c r="C252" i="4"/>
  <c r="O251" i="4"/>
  <c r="R251" i="4"/>
  <c r="N251" i="4"/>
  <c r="I251" i="4"/>
  <c r="C251" i="4"/>
  <c r="O250" i="4"/>
  <c r="R250" i="4"/>
  <c r="N250" i="4"/>
  <c r="I250" i="4"/>
  <c r="C250" i="4"/>
  <c r="O249" i="4"/>
  <c r="R249" i="4" s="1"/>
  <c r="N249" i="4"/>
  <c r="I249" i="4"/>
  <c r="C249" i="4"/>
  <c r="O248" i="4"/>
  <c r="N248" i="4"/>
  <c r="I248" i="4"/>
  <c r="C248" i="4"/>
  <c r="O247" i="4"/>
  <c r="R247" i="4" s="1"/>
  <c r="N247" i="4"/>
  <c r="I247" i="4"/>
  <c r="C247" i="4"/>
  <c r="O246" i="4"/>
  <c r="N246" i="4"/>
  <c r="I246" i="4"/>
  <c r="C246" i="4"/>
  <c r="O245" i="4"/>
  <c r="R245" i="4" s="1"/>
  <c r="N245" i="4"/>
  <c r="P245" i="4" s="1"/>
  <c r="Q245" i="4" s="1"/>
  <c r="I245" i="4"/>
  <c r="C245" i="4"/>
  <c r="O244" i="4"/>
  <c r="N244" i="4"/>
  <c r="I244" i="4"/>
  <c r="C244" i="4"/>
  <c r="O243" i="4"/>
  <c r="R243" i="4"/>
  <c r="N243" i="4"/>
  <c r="I243" i="4"/>
  <c r="C243" i="4"/>
  <c r="O242" i="4"/>
  <c r="R242" i="4" s="1"/>
  <c r="N242" i="4"/>
  <c r="I242" i="4"/>
  <c r="C242" i="4"/>
  <c r="S242" i="4" s="1"/>
  <c r="O241" i="4"/>
  <c r="R241" i="4" s="1"/>
  <c r="N241" i="4"/>
  <c r="I241" i="4"/>
  <c r="C241" i="4"/>
  <c r="O240" i="4"/>
  <c r="N240" i="4"/>
  <c r="I240" i="4"/>
  <c r="C240" i="4"/>
  <c r="O239" i="4"/>
  <c r="R239" i="4"/>
  <c r="N239" i="4"/>
  <c r="I239" i="4"/>
  <c r="C239" i="4"/>
  <c r="O238" i="4"/>
  <c r="R238" i="4" s="1"/>
  <c r="N238" i="4"/>
  <c r="I238" i="4"/>
  <c r="C238" i="4"/>
  <c r="O237" i="4"/>
  <c r="R237" i="4"/>
  <c r="N237" i="4"/>
  <c r="I237" i="4"/>
  <c r="C237" i="4"/>
  <c r="O236" i="4"/>
  <c r="R236" i="4" s="1"/>
  <c r="N236" i="4"/>
  <c r="I236" i="4"/>
  <c r="C236" i="4"/>
  <c r="O235" i="4"/>
  <c r="R235" i="4" s="1"/>
  <c r="N235" i="4"/>
  <c r="I235" i="4"/>
  <c r="C235" i="4"/>
  <c r="O234" i="4"/>
  <c r="N234" i="4"/>
  <c r="I234" i="4"/>
  <c r="C234" i="4"/>
  <c r="O233" i="4"/>
  <c r="R233" i="4"/>
  <c r="N233" i="4"/>
  <c r="I233" i="4"/>
  <c r="C233" i="4"/>
  <c r="O232" i="4"/>
  <c r="R232" i="4" s="1"/>
  <c r="N232" i="4"/>
  <c r="I232" i="4"/>
  <c r="C232" i="4"/>
  <c r="O231" i="4"/>
  <c r="R231" i="4"/>
  <c r="N231" i="4"/>
  <c r="I231" i="4"/>
  <c r="S231" i="4" s="1"/>
  <c r="C231" i="4"/>
  <c r="O230" i="4"/>
  <c r="R230" i="4"/>
  <c r="N230" i="4"/>
  <c r="I230" i="4"/>
  <c r="C230" i="4"/>
  <c r="O229" i="4"/>
  <c r="R229" i="4" s="1"/>
  <c r="N229" i="4"/>
  <c r="I229" i="4"/>
  <c r="C229" i="4"/>
  <c r="O228" i="4"/>
  <c r="R228" i="4" s="1"/>
  <c r="N228" i="4"/>
  <c r="I228" i="4"/>
  <c r="C228" i="4"/>
  <c r="O227" i="4"/>
  <c r="R227" i="4"/>
  <c r="N227" i="4"/>
  <c r="I227" i="4"/>
  <c r="C227" i="4"/>
  <c r="O226" i="4"/>
  <c r="R226" i="4"/>
  <c r="N226" i="4"/>
  <c r="I226" i="4"/>
  <c r="C226" i="4"/>
  <c r="S226" i="4"/>
  <c r="O225" i="4"/>
  <c r="R225" i="4"/>
  <c r="N225" i="4"/>
  <c r="I225" i="4"/>
  <c r="C225" i="4"/>
  <c r="O224" i="4"/>
  <c r="R224" i="4" s="1"/>
  <c r="N224" i="4"/>
  <c r="I224" i="4"/>
  <c r="S224" i="4" s="1"/>
  <c r="C224" i="4"/>
  <c r="O223" i="4"/>
  <c r="R223" i="4" s="1"/>
  <c r="N223" i="4"/>
  <c r="I223" i="4"/>
  <c r="S223" i="4"/>
  <c r="C223" i="4"/>
  <c r="O222" i="4"/>
  <c r="N222" i="4"/>
  <c r="I222" i="4"/>
  <c r="C222" i="4"/>
  <c r="O221" i="4"/>
  <c r="R221" i="4" s="1"/>
  <c r="N221" i="4"/>
  <c r="I221" i="4"/>
  <c r="C221" i="4"/>
  <c r="O220" i="4"/>
  <c r="R220" i="4" s="1"/>
  <c r="N220" i="4"/>
  <c r="P220" i="4"/>
  <c r="Q220" i="4" s="1"/>
  <c r="I220" i="4"/>
  <c r="C220" i="4"/>
  <c r="O219" i="4"/>
  <c r="R219" i="4" s="1"/>
  <c r="N219" i="4"/>
  <c r="I219" i="4"/>
  <c r="C219" i="4"/>
  <c r="O218" i="4"/>
  <c r="R218" i="4"/>
  <c r="N218" i="4"/>
  <c r="I218" i="4"/>
  <c r="C218" i="4"/>
  <c r="O217" i="4"/>
  <c r="R217" i="4" s="1"/>
  <c r="N217" i="4"/>
  <c r="I217" i="4"/>
  <c r="C217" i="4"/>
  <c r="O216" i="4"/>
  <c r="N216" i="4"/>
  <c r="I216" i="4"/>
  <c r="C216" i="4"/>
  <c r="O215" i="4"/>
  <c r="N215" i="4"/>
  <c r="I215" i="4"/>
  <c r="C215" i="4"/>
  <c r="O214" i="4"/>
  <c r="R214" i="4"/>
  <c r="N214" i="4"/>
  <c r="I214" i="4"/>
  <c r="C214" i="4"/>
  <c r="O213" i="4"/>
  <c r="R213" i="4"/>
  <c r="N213" i="4"/>
  <c r="I213" i="4"/>
  <c r="C213" i="4"/>
  <c r="O212" i="4"/>
  <c r="N212" i="4"/>
  <c r="I212" i="4"/>
  <c r="C212" i="4"/>
  <c r="O211" i="4"/>
  <c r="P211" i="4"/>
  <c r="Q211" i="4" s="1"/>
  <c r="N211" i="4"/>
  <c r="I211" i="4"/>
  <c r="C211" i="4"/>
  <c r="O210" i="4"/>
  <c r="R210" i="4"/>
  <c r="N210" i="4"/>
  <c r="I210" i="4"/>
  <c r="C210" i="4"/>
  <c r="O209" i="4"/>
  <c r="R209" i="4" s="1"/>
  <c r="N209" i="4"/>
  <c r="I209" i="4"/>
  <c r="C209" i="4"/>
  <c r="O208" i="4"/>
  <c r="R208" i="4" s="1"/>
  <c r="N208" i="4"/>
  <c r="I208" i="4"/>
  <c r="C208" i="4"/>
  <c r="O207" i="4"/>
  <c r="N207" i="4"/>
  <c r="I207" i="4"/>
  <c r="S207" i="4" s="1"/>
  <c r="C207" i="4"/>
  <c r="O206" i="4"/>
  <c r="R206" i="4"/>
  <c r="N206" i="4"/>
  <c r="I206" i="4"/>
  <c r="C206" i="4"/>
  <c r="O205" i="4"/>
  <c r="R205" i="4" s="1"/>
  <c r="N205" i="4"/>
  <c r="I205" i="4"/>
  <c r="C205" i="4"/>
  <c r="O204" i="4"/>
  <c r="R204" i="4"/>
  <c r="N204" i="4"/>
  <c r="I204" i="4"/>
  <c r="C204" i="4"/>
  <c r="S204" i="4"/>
  <c r="O203" i="4"/>
  <c r="R203" i="4"/>
  <c r="N203" i="4"/>
  <c r="I203" i="4"/>
  <c r="C203" i="4"/>
  <c r="O202" i="4"/>
  <c r="R202" i="4" s="1"/>
  <c r="N202" i="4"/>
  <c r="I202" i="4"/>
  <c r="C202" i="4"/>
  <c r="S202" i="4"/>
  <c r="O201" i="4"/>
  <c r="R201" i="4" s="1"/>
  <c r="N201" i="4"/>
  <c r="I201" i="4"/>
  <c r="C201" i="4"/>
  <c r="S201" i="4" s="1"/>
  <c r="O200" i="4"/>
  <c r="R200" i="4" s="1"/>
  <c r="N200" i="4"/>
  <c r="I200" i="4"/>
  <c r="C200" i="4"/>
  <c r="S200" i="4" s="1"/>
  <c r="O199" i="4"/>
  <c r="N199" i="4"/>
  <c r="I199" i="4"/>
  <c r="C199" i="4"/>
  <c r="O198" i="4"/>
  <c r="R198" i="4"/>
  <c r="N198" i="4"/>
  <c r="I198" i="4"/>
  <c r="S198" i="4"/>
  <c r="C198" i="4"/>
  <c r="O197" i="4"/>
  <c r="R197" i="4"/>
  <c r="N197" i="4"/>
  <c r="I197" i="4"/>
  <c r="C197" i="4"/>
  <c r="O196" i="4"/>
  <c r="N196" i="4"/>
  <c r="I196" i="4"/>
  <c r="C196" i="4"/>
  <c r="O195" i="4"/>
  <c r="N195" i="4"/>
  <c r="P195" i="4" s="1"/>
  <c r="Q195" i="4" s="1"/>
  <c r="I195" i="4"/>
  <c r="C195" i="4"/>
  <c r="O194" i="4"/>
  <c r="N194" i="4"/>
  <c r="I194" i="4"/>
  <c r="C194" i="4"/>
  <c r="O193" i="4"/>
  <c r="N193" i="4"/>
  <c r="I193" i="4"/>
  <c r="C193" i="4"/>
  <c r="O192" i="4"/>
  <c r="N192" i="4"/>
  <c r="P192" i="4"/>
  <c r="Q192" i="4" s="1"/>
  <c r="I192" i="4"/>
  <c r="C192" i="4"/>
  <c r="O191" i="4"/>
  <c r="N191" i="4"/>
  <c r="P191" i="4" s="1"/>
  <c r="I191" i="4"/>
  <c r="S191" i="4"/>
  <c r="C191" i="4"/>
  <c r="O190" i="4"/>
  <c r="N190" i="4"/>
  <c r="I190" i="4"/>
  <c r="C190" i="4"/>
  <c r="O189" i="4"/>
  <c r="R189" i="4" s="1"/>
  <c r="N189" i="4"/>
  <c r="I189" i="4"/>
  <c r="C189" i="4"/>
  <c r="S189" i="4" s="1"/>
  <c r="O188" i="4"/>
  <c r="N188" i="4"/>
  <c r="I188" i="4"/>
  <c r="S188" i="4" s="1"/>
  <c r="C188" i="4"/>
  <c r="O187" i="4"/>
  <c r="N187" i="4"/>
  <c r="I187" i="4"/>
  <c r="C187" i="4"/>
  <c r="O186" i="4"/>
  <c r="R186" i="4"/>
  <c r="N186" i="4"/>
  <c r="I186" i="4"/>
  <c r="C186" i="4"/>
  <c r="O185" i="4"/>
  <c r="N185" i="4"/>
  <c r="I185" i="4"/>
  <c r="C185" i="4"/>
  <c r="O184" i="4"/>
  <c r="N184" i="4"/>
  <c r="I184" i="4"/>
  <c r="C184" i="4"/>
  <c r="O183" i="4"/>
  <c r="R183" i="4" s="1"/>
  <c r="N183" i="4"/>
  <c r="I183" i="4"/>
  <c r="C183" i="4"/>
  <c r="O182" i="4"/>
  <c r="N182" i="4"/>
  <c r="I182" i="4"/>
  <c r="C182" i="4"/>
  <c r="O181" i="4"/>
  <c r="N181" i="4"/>
  <c r="P181" i="4" s="1"/>
  <c r="Q181" i="4" s="1"/>
  <c r="I181" i="4"/>
  <c r="C181" i="4"/>
  <c r="O180" i="4"/>
  <c r="R180" i="4"/>
  <c r="N180" i="4"/>
  <c r="I180" i="4"/>
  <c r="C180" i="4"/>
  <c r="S180" i="4" s="1"/>
  <c r="O179" i="4"/>
  <c r="N179" i="4"/>
  <c r="I179" i="4"/>
  <c r="C179" i="4"/>
  <c r="O178" i="4"/>
  <c r="N178" i="4"/>
  <c r="I178" i="4"/>
  <c r="S178" i="4"/>
  <c r="C178" i="4"/>
  <c r="O177" i="4"/>
  <c r="P177" i="4"/>
  <c r="Q177" i="4"/>
  <c r="N177" i="4"/>
  <c r="I177" i="4"/>
  <c r="C177" i="4"/>
  <c r="O176" i="4"/>
  <c r="N176" i="4"/>
  <c r="I176" i="4"/>
  <c r="C176" i="4"/>
  <c r="O175" i="4"/>
  <c r="N175" i="4"/>
  <c r="I175" i="4"/>
  <c r="C175" i="4"/>
  <c r="S175" i="4" s="1"/>
  <c r="O174" i="4"/>
  <c r="R174" i="4"/>
  <c r="N174" i="4"/>
  <c r="I174" i="4"/>
  <c r="C174" i="4"/>
  <c r="O173" i="4"/>
  <c r="N173" i="4"/>
  <c r="I173" i="4"/>
  <c r="S173" i="4" s="1"/>
  <c r="C173" i="4"/>
  <c r="O172" i="4"/>
  <c r="P172" i="4" s="1"/>
  <c r="N172" i="4"/>
  <c r="I172" i="4"/>
  <c r="S172" i="4"/>
  <c r="C172" i="4"/>
  <c r="O171" i="4"/>
  <c r="N171" i="4"/>
  <c r="I171" i="4"/>
  <c r="C171" i="4"/>
  <c r="O170" i="4"/>
  <c r="N170" i="4"/>
  <c r="I170" i="4"/>
  <c r="C170" i="4"/>
  <c r="O169" i="4"/>
  <c r="N169" i="4"/>
  <c r="I169" i="4"/>
  <c r="C169" i="4"/>
  <c r="O168" i="4"/>
  <c r="N168" i="4"/>
  <c r="I168" i="4"/>
  <c r="C168" i="4"/>
  <c r="O167" i="4"/>
  <c r="N167" i="4"/>
  <c r="I167" i="4"/>
  <c r="C167" i="4"/>
  <c r="O166" i="4"/>
  <c r="N166" i="4"/>
  <c r="I166" i="4"/>
  <c r="S166" i="4" s="1"/>
  <c r="C166" i="4"/>
  <c r="O165" i="4"/>
  <c r="N165" i="4"/>
  <c r="I165" i="4"/>
  <c r="C165" i="4"/>
  <c r="O164" i="4"/>
  <c r="N164" i="4"/>
  <c r="I164" i="4"/>
  <c r="C164" i="4"/>
  <c r="O163" i="4"/>
  <c r="N163" i="4"/>
  <c r="I163" i="4"/>
  <c r="C163" i="4"/>
  <c r="S163" i="4"/>
  <c r="O162" i="4"/>
  <c r="N162" i="4"/>
  <c r="I162" i="4"/>
  <c r="C162" i="4"/>
  <c r="O161" i="4"/>
  <c r="N161" i="4"/>
  <c r="I161" i="4"/>
  <c r="C161" i="4"/>
  <c r="O160" i="4"/>
  <c r="P160" i="4" s="1"/>
  <c r="Q160" i="4" s="1"/>
  <c r="N160" i="4"/>
  <c r="I160" i="4"/>
  <c r="C160" i="4"/>
  <c r="O159" i="4"/>
  <c r="R159" i="4" s="1"/>
  <c r="N159" i="4"/>
  <c r="I159" i="4"/>
  <c r="C159" i="4"/>
  <c r="O158" i="4"/>
  <c r="N158" i="4"/>
  <c r="I158" i="4"/>
  <c r="C158" i="4"/>
  <c r="O157" i="4"/>
  <c r="N157" i="4"/>
  <c r="I157" i="4"/>
  <c r="C157" i="4"/>
  <c r="S157" i="4"/>
  <c r="O156" i="4"/>
  <c r="N156" i="4"/>
  <c r="I156" i="4"/>
  <c r="C156" i="4"/>
  <c r="O155" i="4"/>
  <c r="N155" i="4"/>
  <c r="I155" i="4"/>
  <c r="C155" i="4"/>
  <c r="O154" i="4"/>
  <c r="N154" i="4"/>
  <c r="I154" i="4"/>
  <c r="C154" i="4"/>
  <c r="O153" i="4"/>
  <c r="R153" i="4"/>
  <c r="N153" i="4"/>
  <c r="P153" i="4" s="1"/>
  <c r="Q153" i="4" s="1"/>
  <c r="I153" i="4"/>
  <c r="C153" i="4"/>
  <c r="O152" i="4"/>
  <c r="N152" i="4"/>
  <c r="I152" i="4"/>
  <c r="C152" i="4"/>
  <c r="O151" i="4"/>
  <c r="N151" i="4"/>
  <c r="I151" i="4"/>
  <c r="C151" i="4"/>
  <c r="S151" i="4"/>
  <c r="O150" i="4"/>
  <c r="N150" i="4"/>
  <c r="I150" i="4"/>
  <c r="C150" i="4"/>
  <c r="O149" i="4"/>
  <c r="R149" i="4" s="1"/>
  <c r="N149" i="4"/>
  <c r="I149" i="4"/>
  <c r="C149" i="4"/>
  <c r="O148" i="4"/>
  <c r="N148" i="4"/>
  <c r="I148" i="4"/>
  <c r="C148" i="4"/>
  <c r="O147" i="4"/>
  <c r="N147" i="4"/>
  <c r="I147" i="4"/>
  <c r="C147" i="4"/>
  <c r="O146" i="4"/>
  <c r="R146" i="4" s="1"/>
  <c r="N146" i="4"/>
  <c r="I146" i="4"/>
  <c r="C146" i="4"/>
  <c r="O145" i="4"/>
  <c r="N145" i="4"/>
  <c r="I145" i="4"/>
  <c r="S145" i="4"/>
  <c r="C145" i="4"/>
  <c r="O144" i="4"/>
  <c r="N144" i="4"/>
  <c r="I144" i="4"/>
  <c r="C144" i="4"/>
  <c r="O143" i="4"/>
  <c r="R143" i="4" s="1"/>
  <c r="N143" i="4"/>
  <c r="I143" i="4"/>
  <c r="C143" i="4"/>
  <c r="O142" i="4"/>
  <c r="N142" i="4"/>
  <c r="I142" i="4"/>
  <c r="C142" i="4"/>
  <c r="S142" i="4" s="1"/>
  <c r="O141" i="4"/>
  <c r="N141" i="4"/>
  <c r="I141" i="4"/>
  <c r="C141" i="4"/>
  <c r="O140" i="4"/>
  <c r="N140" i="4"/>
  <c r="I140" i="4"/>
  <c r="C140" i="4"/>
  <c r="O139" i="4"/>
  <c r="P139" i="4" s="1"/>
  <c r="Q139" i="4" s="1"/>
  <c r="N139" i="4"/>
  <c r="I139" i="4"/>
  <c r="S139" i="4" s="1"/>
  <c r="C139" i="4"/>
  <c r="O138" i="4"/>
  <c r="N138" i="4"/>
  <c r="I138" i="4"/>
  <c r="C138" i="4"/>
  <c r="O137" i="4"/>
  <c r="N137" i="4"/>
  <c r="I137" i="4"/>
  <c r="C137" i="4"/>
  <c r="O136" i="4"/>
  <c r="N136" i="4"/>
  <c r="P136" i="4" s="1"/>
  <c r="Q136" i="4"/>
  <c r="I136" i="4"/>
  <c r="C136" i="4"/>
  <c r="S136" i="4" s="1"/>
  <c r="O135" i="4"/>
  <c r="N135" i="4"/>
  <c r="I135" i="4"/>
  <c r="C135" i="4"/>
  <c r="O134" i="4"/>
  <c r="R134" i="4"/>
  <c r="N134" i="4"/>
  <c r="I134" i="4"/>
  <c r="C134" i="4"/>
  <c r="O133" i="4"/>
  <c r="R133" i="4"/>
  <c r="N133" i="4"/>
  <c r="I133" i="4"/>
  <c r="C133" i="4"/>
  <c r="O132" i="4"/>
  <c r="N132" i="4"/>
  <c r="P132" i="4" s="1"/>
  <c r="Q132" i="4" s="1"/>
  <c r="I132" i="4"/>
  <c r="C132" i="4"/>
  <c r="O131" i="4"/>
  <c r="N131" i="4"/>
  <c r="I131" i="4"/>
  <c r="C131" i="4"/>
  <c r="S131" i="4"/>
  <c r="O130" i="4"/>
  <c r="N130" i="4"/>
  <c r="I130" i="4"/>
  <c r="C130" i="4"/>
  <c r="O129" i="4"/>
  <c r="N129" i="4"/>
  <c r="I129" i="4"/>
  <c r="C129" i="4"/>
  <c r="O128" i="4"/>
  <c r="N128" i="4"/>
  <c r="I128" i="4"/>
  <c r="C128" i="4"/>
  <c r="O127" i="4"/>
  <c r="N127" i="4"/>
  <c r="I127" i="4"/>
  <c r="C127" i="4"/>
  <c r="O126" i="4"/>
  <c r="N126" i="4"/>
  <c r="I126" i="4"/>
  <c r="C126" i="4"/>
  <c r="S126" i="4"/>
  <c r="O125" i="4"/>
  <c r="N125" i="4"/>
  <c r="I125" i="4"/>
  <c r="C125" i="4"/>
  <c r="S125" i="4" s="1"/>
  <c r="O124" i="4"/>
  <c r="N124" i="4"/>
  <c r="I124" i="4"/>
  <c r="C124" i="4"/>
  <c r="O123" i="4"/>
  <c r="N123" i="4"/>
  <c r="I123" i="4"/>
  <c r="C123" i="4"/>
  <c r="O122" i="4"/>
  <c r="N122" i="4"/>
  <c r="I122" i="4"/>
  <c r="C122" i="4"/>
  <c r="O121" i="4"/>
  <c r="N121" i="4"/>
  <c r="I121" i="4"/>
  <c r="C121" i="4"/>
  <c r="O120" i="4"/>
  <c r="N120" i="4"/>
  <c r="P120" i="4"/>
  <c r="Q120" i="4" s="1"/>
  <c r="I120" i="4"/>
  <c r="C120" i="4"/>
  <c r="O119" i="4"/>
  <c r="N119" i="4"/>
  <c r="O118" i="4"/>
  <c r="P118" i="4" s="1"/>
  <c r="Q118" i="4" s="1"/>
  <c r="N118" i="4"/>
  <c r="O117" i="4"/>
  <c r="P117" i="4"/>
  <c r="Q117" i="4" s="1"/>
  <c r="N117" i="4"/>
  <c r="O116" i="4"/>
  <c r="N116" i="4"/>
  <c r="O115" i="4"/>
  <c r="R115" i="4"/>
  <c r="N115" i="4"/>
  <c r="O114" i="4"/>
  <c r="N114" i="4"/>
  <c r="O113" i="4"/>
  <c r="N113" i="4"/>
  <c r="O112" i="4"/>
  <c r="R112" i="4" s="1"/>
  <c r="N112" i="4"/>
  <c r="O111" i="4"/>
  <c r="N111" i="4"/>
  <c r="O110" i="4"/>
  <c r="R110" i="4"/>
  <c r="N110" i="4"/>
  <c r="O109" i="4"/>
  <c r="P109" i="4" s="1"/>
  <c r="Q109" i="4" s="1"/>
  <c r="N109" i="4"/>
  <c r="I109" i="4"/>
  <c r="C109" i="4"/>
  <c r="O108" i="4"/>
  <c r="N108" i="4"/>
  <c r="I108" i="4"/>
  <c r="S108" i="4" s="1"/>
  <c r="C108" i="4"/>
  <c r="O107" i="4"/>
  <c r="N107" i="4"/>
  <c r="I107" i="4"/>
  <c r="C107" i="4"/>
  <c r="O106" i="4"/>
  <c r="N106" i="4"/>
  <c r="I106" i="4"/>
  <c r="C106" i="4"/>
  <c r="O105" i="4"/>
  <c r="N105" i="4"/>
  <c r="I105" i="4"/>
  <c r="S105" i="4" s="1"/>
  <c r="C105" i="4"/>
  <c r="O104" i="4"/>
  <c r="N104" i="4"/>
  <c r="I104" i="4"/>
  <c r="C104" i="4"/>
  <c r="O103" i="4"/>
  <c r="N103" i="4"/>
  <c r="I103" i="4"/>
  <c r="C103" i="4"/>
  <c r="O102" i="4"/>
  <c r="N102" i="4"/>
  <c r="I102" i="4"/>
  <c r="S102" i="4" s="1"/>
  <c r="C102" i="4"/>
  <c r="O101" i="4"/>
  <c r="N101" i="4"/>
  <c r="I101" i="4"/>
  <c r="C101" i="4"/>
  <c r="O100" i="4"/>
  <c r="N100" i="4"/>
  <c r="I100" i="4"/>
  <c r="C100" i="4"/>
  <c r="S100" i="4" s="1"/>
  <c r="O99" i="4"/>
  <c r="N99" i="4"/>
  <c r="I99" i="4"/>
  <c r="S99" i="4" s="1"/>
  <c r="C99" i="4"/>
  <c r="O98" i="4"/>
  <c r="P98" i="4"/>
  <c r="Q98" i="4" s="1"/>
  <c r="N98" i="4"/>
  <c r="I98" i="4"/>
  <c r="C98" i="4"/>
  <c r="O97" i="4"/>
  <c r="N97" i="4"/>
  <c r="P97" i="4" s="1"/>
  <c r="Q97" i="4" s="1"/>
  <c r="I97" i="4"/>
  <c r="C97" i="4"/>
  <c r="O96" i="4"/>
  <c r="N96" i="4"/>
  <c r="I96" i="4"/>
  <c r="S96" i="4"/>
  <c r="C96" i="4"/>
  <c r="O95" i="4"/>
  <c r="N95" i="4"/>
  <c r="P95" i="4" s="1"/>
  <c r="I95" i="4"/>
  <c r="C95" i="4"/>
  <c r="O94" i="4"/>
  <c r="R94" i="4" s="1"/>
  <c r="N94" i="4"/>
  <c r="I94" i="4"/>
  <c r="S94" i="4"/>
  <c r="C94" i="4"/>
  <c r="O93" i="4"/>
  <c r="P93" i="4" s="1"/>
  <c r="Q93" i="4" s="1"/>
  <c r="N93" i="4"/>
  <c r="I93" i="4"/>
  <c r="C93" i="4"/>
  <c r="O92" i="4"/>
  <c r="N92" i="4"/>
  <c r="I92" i="4"/>
  <c r="C92" i="4"/>
  <c r="S92" i="4" s="1"/>
  <c r="O91" i="4"/>
  <c r="N91" i="4"/>
  <c r="I91" i="4"/>
  <c r="C91" i="4"/>
  <c r="O90" i="4"/>
  <c r="N90" i="4"/>
  <c r="P90" i="4" s="1"/>
  <c r="Q90" i="4" s="1"/>
  <c r="I90" i="4"/>
  <c r="C90" i="4"/>
  <c r="S90" i="4" s="1"/>
  <c r="O89" i="4"/>
  <c r="N89" i="4"/>
  <c r="I89" i="4"/>
  <c r="C89" i="4"/>
  <c r="O88" i="4"/>
  <c r="N88" i="4"/>
  <c r="P88" i="4" s="1"/>
  <c r="Q88" i="4" s="1"/>
  <c r="I88" i="4"/>
  <c r="C88" i="4"/>
  <c r="S88" i="4"/>
  <c r="O87" i="4"/>
  <c r="N87" i="4"/>
  <c r="P87" i="4"/>
  <c r="Q87" i="4" s="1"/>
  <c r="I87" i="4"/>
  <c r="C87" i="4"/>
  <c r="O86" i="4"/>
  <c r="N86" i="4"/>
  <c r="I86" i="4"/>
  <c r="C86" i="4"/>
  <c r="O85" i="4"/>
  <c r="N85" i="4"/>
  <c r="P85" i="4" s="1"/>
  <c r="Q85" i="4" s="1"/>
  <c r="I85" i="4"/>
  <c r="C85" i="4"/>
  <c r="O84" i="4"/>
  <c r="N84" i="4"/>
  <c r="I84" i="4"/>
  <c r="C84" i="4"/>
  <c r="O83" i="4"/>
  <c r="N83" i="4"/>
  <c r="I83" i="4"/>
  <c r="C83" i="4"/>
  <c r="O82" i="4"/>
  <c r="N82" i="4"/>
  <c r="I82" i="4"/>
  <c r="C82" i="4"/>
  <c r="O81" i="4"/>
  <c r="R81" i="4" s="1"/>
  <c r="N81" i="4"/>
  <c r="I81" i="4"/>
  <c r="S81" i="4"/>
  <c r="C81" i="4"/>
  <c r="O80" i="4"/>
  <c r="R80" i="4" s="1"/>
  <c r="N80" i="4"/>
  <c r="I80" i="4"/>
  <c r="S80" i="4"/>
  <c r="C80" i="4"/>
  <c r="O79" i="4"/>
  <c r="N79" i="4"/>
  <c r="I79" i="4"/>
  <c r="C79" i="4"/>
  <c r="O78" i="4"/>
  <c r="R78" i="4"/>
  <c r="N78" i="4"/>
  <c r="I78" i="4"/>
  <c r="S78" i="4" s="1"/>
  <c r="C78" i="4"/>
  <c r="O77" i="4"/>
  <c r="R77" i="4"/>
  <c r="N77" i="4"/>
  <c r="I77" i="4"/>
  <c r="C77" i="4"/>
  <c r="O76" i="4"/>
  <c r="N76" i="4"/>
  <c r="I76" i="4"/>
  <c r="S76" i="4" s="1"/>
  <c r="C76" i="4"/>
  <c r="O75" i="4"/>
  <c r="R75" i="4"/>
  <c r="N75" i="4"/>
  <c r="I75" i="4"/>
  <c r="C75" i="4"/>
  <c r="O74" i="4"/>
  <c r="N74" i="4"/>
  <c r="P74" i="4"/>
  <c r="Q74" i="4" s="1"/>
  <c r="I74" i="4"/>
  <c r="C74" i="4"/>
  <c r="O73" i="4"/>
  <c r="N73" i="4"/>
  <c r="P73" i="4"/>
  <c r="Q73" i="4"/>
  <c r="I73" i="4"/>
  <c r="C73" i="4"/>
  <c r="O72" i="4"/>
  <c r="N72" i="4"/>
  <c r="I72" i="4"/>
  <c r="C72" i="4"/>
  <c r="O71" i="4"/>
  <c r="N71" i="4"/>
  <c r="I71" i="4"/>
  <c r="C71" i="4"/>
  <c r="O70" i="4"/>
  <c r="N70" i="4"/>
  <c r="P70" i="4" s="1"/>
  <c r="Q70" i="4"/>
  <c r="I70" i="4"/>
  <c r="C70" i="4"/>
  <c r="O69" i="4"/>
  <c r="N69" i="4"/>
  <c r="I69" i="4"/>
  <c r="C69" i="4"/>
  <c r="O68" i="4"/>
  <c r="N68" i="4"/>
  <c r="I68" i="4"/>
  <c r="C68" i="4"/>
  <c r="O67" i="4"/>
  <c r="R67" i="4"/>
  <c r="N67" i="4"/>
  <c r="I67" i="4"/>
  <c r="C67" i="4"/>
  <c r="O66" i="4"/>
  <c r="P66" i="4" s="1"/>
  <c r="Q66" i="4" s="1"/>
  <c r="N66" i="4"/>
  <c r="I66" i="4"/>
  <c r="C66" i="4"/>
  <c r="O65" i="4"/>
  <c r="R65" i="4" s="1"/>
  <c r="N65" i="4"/>
  <c r="I65" i="4"/>
  <c r="C65" i="4"/>
  <c r="O64" i="4"/>
  <c r="R64" i="4"/>
  <c r="N64" i="4"/>
  <c r="I64" i="4"/>
  <c r="C64" i="4"/>
  <c r="O63" i="4"/>
  <c r="N63" i="4"/>
  <c r="I63" i="4"/>
  <c r="C63" i="4"/>
  <c r="O62" i="4"/>
  <c r="N62" i="4"/>
  <c r="I62" i="4"/>
  <c r="C62" i="4"/>
  <c r="O61" i="4"/>
  <c r="R61" i="4"/>
  <c r="N61" i="4"/>
  <c r="I61" i="4"/>
  <c r="C61" i="4"/>
  <c r="O60" i="4"/>
  <c r="N60" i="4"/>
  <c r="I60" i="4"/>
  <c r="C60" i="4"/>
  <c r="O59" i="4"/>
  <c r="N59" i="4"/>
  <c r="P59" i="4" s="1"/>
  <c r="Q59" i="4" s="1"/>
  <c r="I59" i="4"/>
  <c r="C59" i="4"/>
  <c r="O58" i="4"/>
  <c r="N58" i="4"/>
  <c r="I58" i="4"/>
  <c r="C58" i="4"/>
  <c r="O57" i="4"/>
  <c r="N57" i="4"/>
  <c r="I57" i="4"/>
  <c r="C57" i="4"/>
  <c r="O56" i="4"/>
  <c r="N56" i="4"/>
  <c r="P56" i="4" s="1"/>
  <c r="Q56" i="4" s="1"/>
  <c r="I56" i="4"/>
  <c r="C56" i="4"/>
  <c r="O55" i="4"/>
  <c r="N55" i="4"/>
  <c r="I55" i="4"/>
  <c r="C55" i="4"/>
  <c r="O54" i="4"/>
  <c r="R54" i="4" s="1"/>
  <c r="N54" i="4"/>
  <c r="I54" i="4"/>
  <c r="C54" i="4"/>
  <c r="O53" i="4"/>
  <c r="N53" i="4"/>
  <c r="I53" i="4"/>
  <c r="S53" i="4"/>
  <c r="C53" i="4"/>
  <c r="O52" i="4"/>
  <c r="N52" i="4"/>
  <c r="I52" i="4"/>
  <c r="C52" i="4"/>
  <c r="O51" i="4"/>
  <c r="N51" i="4"/>
  <c r="I51" i="4"/>
  <c r="C51" i="4"/>
  <c r="O50" i="4"/>
  <c r="R50" i="4" s="1"/>
  <c r="N50" i="4"/>
  <c r="I50" i="4"/>
  <c r="S50" i="4" s="1"/>
  <c r="C50" i="4"/>
  <c r="O49" i="4"/>
  <c r="N49" i="4"/>
  <c r="I49" i="4"/>
  <c r="C49" i="4"/>
  <c r="O48" i="4"/>
  <c r="R48" i="4" s="1"/>
  <c r="N48" i="4"/>
  <c r="P48" i="4" s="1"/>
  <c r="Q48" i="4" s="1"/>
  <c r="I48" i="4"/>
  <c r="C48" i="4"/>
  <c r="O47" i="4"/>
  <c r="R47" i="4"/>
  <c r="N47" i="4"/>
  <c r="I47" i="4"/>
  <c r="C47" i="4"/>
  <c r="O46" i="4"/>
  <c r="R46" i="4" s="1"/>
  <c r="N46" i="4"/>
  <c r="I46" i="4"/>
  <c r="C46" i="4"/>
  <c r="O45" i="4"/>
  <c r="N45" i="4"/>
  <c r="I45" i="4"/>
  <c r="C45" i="4"/>
  <c r="O44" i="4"/>
  <c r="N44" i="4"/>
  <c r="I44" i="4"/>
  <c r="S44" i="4"/>
  <c r="C44" i="4"/>
  <c r="O43" i="4"/>
  <c r="R43" i="4" s="1"/>
  <c r="N43" i="4"/>
  <c r="I43" i="4"/>
  <c r="C43" i="4"/>
  <c r="O42" i="4"/>
  <c r="N42" i="4"/>
  <c r="I42" i="4"/>
  <c r="C42" i="4"/>
  <c r="O41" i="4"/>
  <c r="N41" i="4"/>
  <c r="I41" i="4"/>
  <c r="S41" i="4"/>
  <c r="C41" i="4"/>
  <c r="O40" i="4"/>
  <c r="N40" i="4"/>
  <c r="I40" i="4"/>
  <c r="C40" i="4"/>
  <c r="O39" i="4"/>
  <c r="N39" i="4"/>
  <c r="I39" i="4"/>
  <c r="C39" i="4"/>
  <c r="O38" i="4"/>
  <c r="N38" i="4"/>
  <c r="I38" i="4"/>
  <c r="S38" i="4" s="1"/>
  <c r="C38" i="4"/>
  <c r="O37" i="4"/>
  <c r="R37" i="4" s="1"/>
  <c r="N37" i="4"/>
  <c r="I37" i="4"/>
  <c r="C37" i="4"/>
  <c r="O36" i="4"/>
  <c r="R36" i="4"/>
  <c r="N36" i="4"/>
  <c r="I36" i="4"/>
  <c r="C36" i="4"/>
  <c r="O35" i="4"/>
  <c r="N35" i="4"/>
  <c r="I35" i="4"/>
  <c r="S35" i="4" s="1"/>
  <c r="C35" i="4"/>
  <c r="O34" i="4"/>
  <c r="N34" i="4"/>
  <c r="P34" i="4" s="1"/>
  <c r="Q34" i="4" s="1"/>
  <c r="I34" i="4"/>
  <c r="C34" i="4"/>
  <c r="O33" i="4"/>
  <c r="N33" i="4"/>
  <c r="P33" i="4" s="1"/>
  <c r="Q33" i="4" s="1"/>
  <c r="I33" i="4"/>
  <c r="C33" i="4"/>
  <c r="O32" i="4"/>
  <c r="N32" i="4"/>
  <c r="I32" i="4"/>
  <c r="C32" i="4"/>
  <c r="O31" i="4"/>
  <c r="N31" i="4"/>
  <c r="I31" i="4"/>
  <c r="C31" i="4"/>
  <c r="O30" i="4"/>
  <c r="R30" i="4" s="1"/>
  <c r="N30" i="4"/>
  <c r="I30" i="4"/>
  <c r="S30" i="4" s="1"/>
  <c r="C30" i="4"/>
  <c r="O29" i="4"/>
  <c r="R29" i="4"/>
  <c r="N29" i="4"/>
  <c r="I29" i="4"/>
  <c r="C29" i="4"/>
  <c r="O28" i="4"/>
  <c r="N28" i="4"/>
  <c r="I28" i="4"/>
  <c r="S28" i="4" s="1"/>
  <c r="C28" i="4"/>
  <c r="O27" i="4"/>
  <c r="R27" i="4" s="1"/>
  <c r="N27" i="4"/>
  <c r="I27" i="4"/>
  <c r="C27" i="4"/>
  <c r="O26" i="4"/>
  <c r="R26" i="4" s="1"/>
  <c r="N26" i="4"/>
  <c r="I26" i="4"/>
  <c r="C26" i="4"/>
  <c r="O25" i="4"/>
  <c r="N25" i="4"/>
  <c r="I25" i="4"/>
  <c r="C25" i="4"/>
  <c r="O24" i="4"/>
  <c r="N24" i="4"/>
  <c r="I24" i="4"/>
  <c r="C24" i="4"/>
  <c r="O23" i="4"/>
  <c r="N23" i="4"/>
  <c r="I23" i="4"/>
  <c r="C23" i="4"/>
  <c r="O22" i="4"/>
  <c r="N22" i="4"/>
  <c r="P22" i="4"/>
  <c r="Q22" i="4" s="1"/>
  <c r="I22" i="4"/>
  <c r="C22" i="4"/>
  <c r="O21" i="4"/>
  <c r="P21" i="4" s="1"/>
  <c r="Q21" i="4" s="1"/>
  <c r="N21" i="4"/>
  <c r="I21" i="4"/>
  <c r="C21" i="4"/>
  <c r="O20" i="4"/>
  <c r="N20" i="4"/>
  <c r="I20" i="4"/>
  <c r="C20" i="4"/>
  <c r="O19" i="4"/>
  <c r="N19" i="4"/>
  <c r="I19" i="4"/>
  <c r="C19" i="4"/>
  <c r="O18" i="4"/>
  <c r="R18" i="4"/>
  <c r="N18" i="4"/>
  <c r="I18" i="4"/>
  <c r="C18" i="4"/>
  <c r="O17" i="4"/>
  <c r="R17" i="4" s="1"/>
  <c r="N17" i="4"/>
  <c r="I17" i="4"/>
  <c r="C17" i="4"/>
  <c r="O16" i="4"/>
  <c r="N16" i="4"/>
  <c r="I16" i="4"/>
  <c r="C16" i="4"/>
  <c r="O15" i="4"/>
  <c r="P15" i="4"/>
  <c r="Q15" i="4" s="1"/>
  <c r="N15" i="4"/>
  <c r="I15" i="4"/>
  <c r="C15" i="4"/>
  <c r="O14" i="4"/>
  <c r="N14" i="4"/>
  <c r="I14" i="4"/>
  <c r="C14" i="4"/>
  <c r="O13" i="4"/>
  <c r="N13" i="4"/>
  <c r="I13" i="4"/>
  <c r="C13" i="4"/>
  <c r="O12" i="4"/>
  <c r="N12" i="4"/>
  <c r="P12" i="4" s="1"/>
  <c r="Q12" i="4" s="1"/>
  <c r="I12" i="4"/>
  <c r="C12" i="4"/>
  <c r="O11" i="4"/>
  <c r="R11" i="4"/>
  <c r="N11" i="4"/>
  <c r="P11" i="4"/>
  <c r="Q11" i="4" s="1"/>
  <c r="A1" i="4"/>
  <c r="AF1325" i="3"/>
  <c r="P1325" i="3"/>
  <c r="AC628" i="3"/>
  <c r="AF628" i="3" s="1"/>
  <c r="AB628" i="3"/>
  <c r="V628" i="3"/>
  <c r="M628" i="3"/>
  <c r="P628" i="3"/>
  <c r="L628" i="3"/>
  <c r="C628" i="3"/>
  <c r="AC380" i="3"/>
  <c r="AF380" i="3" s="1"/>
  <c r="AB380" i="3"/>
  <c r="V380" i="3"/>
  <c r="M380" i="3"/>
  <c r="L380" i="3"/>
  <c r="C380" i="3"/>
  <c r="AC379" i="3"/>
  <c r="AF379" i="3" s="1"/>
  <c r="AB379" i="3"/>
  <c r="V379" i="3"/>
  <c r="M379" i="3"/>
  <c r="P379" i="3" s="1"/>
  <c r="L379" i="3"/>
  <c r="C379" i="3"/>
  <c r="AC378" i="3"/>
  <c r="AF378" i="3" s="1"/>
  <c r="AB378" i="3"/>
  <c r="V378" i="3"/>
  <c r="M378" i="3"/>
  <c r="P378" i="3" s="1"/>
  <c r="L378" i="3"/>
  <c r="C378" i="3"/>
  <c r="AC377" i="3"/>
  <c r="AF377" i="3" s="1"/>
  <c r="AB377" i="3"/>
  <c r="V377" i="3"/>
  <c r="M377" i="3"/>
  <c r="P377" i="3"/>
  <c r="L377" i="3"/>
  <c r="C377" i="3"/>
  <c r="AC376" i="3"/>
  <c r="AF376" i="3" s="1"/>
  <c r="AB376" i="3"/>
  <c r="V376" i="3"/>
  <c r="M376" i="3"/>
  <c r="P376" i="3" s="1"/>
  <c r="L376" i="3"/>
  <c r="C376" i="3"/>
  <c r="AC375" i="3"/>
  <c r="AF375" i="3" s="1"/>
  <c r="AB375" i="3"/>
  <c r="V375" i="3"/>
  <c r="M375" i="3"/>
  <c r="P375" i="3" s="1"/>
  <c r="L375" i="3"/>
  <c r="C375" i="3"/>
  <c r="AC374" i="3"/>
  <c r="AB374" i="3"/>
  <c r="V374" i="3"/>
  <c r="M374" i="3"/>
  <c r="L374" i="3"/>
  <c r="C374" i="3"/>
  <c r="AC373" i="3"/>
  <c r="AB373" i="3"/>
  <c r="V373" i="3"/>
  <c r="M373" i="3"/>
  <c r="P373" i="3"/>
  <c r="L373" i="3"/>
  <c r="C373" i="3"/>
  <c r="AC372" i="3"/>
  <c r="AF372" i="3"/>
  <c r="AB372" i="3"/>
  <c r="AD372" i="3" s="1"/>
  <c r="V372" i="3"/>
  <c r="M372" i="3"/>
  <c r="P372" i="3" s="1"/>
  <c r="L372" i="3"/>
  <c r="C372" i="3"/>
  <c r="AC371" i="3"/>
  <c r="AF371" i="3"/>
  <c r="AB371" i="3"/>
  <c r="V371" i="3"/>
  <c r="M371" i="3"/>
  <c r="P371" i="3" s="1"/>
  <c r="L371" i="3"/>
  <c r="C371" i="3"/>
  <c r="AC370" i="3"/>
  <c r="AF370" i="3" s="1"/>
  <c r="AB370" i="3"/>
  <c r="V370" i="3"/>
  <c r="M370" i="3"/>
  <c r="P370" i="3" s="1"/>
  <c r="L370" i="3"/>
  <c r="N370" i="3" s="1"/>
  <c r="C370" i="3"/>
  <c r="AC369" i="3"/>
  <c r="AF369" i="3" s="1"/>
  <c r="AB369" i="3"/>
  <c r="V369" i="3"/>
  <c r="M369" i="3"/>
  <c r="P369" i="3"/>
  <c r="L369" i="3"/>
  <c r="C369" i="3"/>
  <c r="AC368" i="3"/>
  <c r="AF368" i="3" s="1"/>
  <c r="AB368" i="3"/>
  <c r="V368" i="3"/>
  <c r="M368" i="3"/>
  <c r="P368" i="3" s="1"/>
  <c r="L368" i="3"/>
  <c r="C368" i="3"/>
  <c r="AC367" i="3"/>
  <c r="AF367" i="3" s="1"/>
  <c r="AB367" i="3"/>
  <c r="V367" i="3"/>
  <c r="M367" i="3"/>
  <c r="P367" i="3"/>
  <c r="L367" i="3"/>
  <c r="C367" i="3"/>
  <c r="AC366" i="3"/>
  <c r="AF366" i="3" s="1"/>
  <c r="AB366" i="3"/>
  <c r="V366" i="3"/>
  <c r="M366" i="3"/>
  <c r="L366" i="3"/>
  <c r="C366" i="3"/>
  <c r="AC365" i="3"/>
  <c r="AB365" i="3"/>
  <c r="V365" i="3"/>
  <c r="M365" i="3"/>
  <c r="L365" i="3"/>
  <c r="C365" i="3"/>
  <c r="AC364" i="3"/>
  <c r="AF364" i="3" s="1"/>
  <c r="AB364" i="3"/>
  <c r="AD364" i="3" s="1"/>
  <c r="AE364" i="3" s="1"/>
  <c r="AG364" i="3" s="1"/>
  <c r="AM364" i="3" s="1"/>
  <c r="V364" i="3"/>
  <c r="M364" i="3"/>
  <c r="P364" i="3"/>
  <c r="L364" i="3"/>
  <c r="C364" i="3"/>
  <c r="AC363" i="3"/>
  <c r="AF363" i="3"/>
  <c r="AB363" i="3"/>
  <c r="V363" i="3"/>
  <c r="M363" i="3"/>
  <c r="P363" i="3"/>
  <c r="L363" i="3"/>
  <c r="N363" i="3"/>
  <c r="O363" i="3" s="1"/>
  <c r="Q363" i="3" s="1"/>
  <c r="C363" i="3"/>
  <c r="AC362" i="3"/>
  <c r="AF362" i="3" s="1"/>
  <c r="AB362" i="3"/>
  <c r="V362" i="3"/>
  <c r="M362" i="3"/>
  <c r="L362" i="3"/>
  <c r="C362" i="3"/>
  <c r="AC361" i="3"/>
  <c r="AF361" i="3"/>
  <c r="AB361" i="3"/>
  <c r="V361" i="3"/>
  <c r="M361" i="3"/>
  <c r="P361" i="3"/>
  <c r="L361" i="3"/>
  <c r="C361" i="3"/>
  <c r="AC360" i="3"/>
  <c r="AB360" i="3"/>
  <c r="V360" i="3"/>
  <c r="M360" i="3"/>
  <c r="P360" i="3"/>
  <c r="L360" i="3"/>
  <c r="C360" i="3"/>
  <c r="AC359" i="3"/>
  <c r="AF359" i="3" s="1"/>
  <c r="AB359" i="3"/>
  <c r="V359" i="3"/>
  <c r="M359" i="3"/>
  <c r="P359" i="3" s="1"/>
  <c r="L359" i="3"/>
  <c r="C359" i="3"/>
  <c r="AC358" i="3"/>
  <c r="AB358" i="3"/>
  <c r="V358" i="3"/>
  <c r="M358" i="3"/>
  <c r="P358" i="3"/>
  <c r="L358" i="3"/>
  <c r="C358" i="3"/>
  <c r="AC357" i="3"/>
  <c r="AB357" i="3"/>
  <c r="V357" i="3"/>
  <c r="M357" i="3"/>
  <c r="P357" i="3" s="1"/>
  <c r="L357" i="3"/>
  <c r="C357" i="3"/>
  <c r="AC356" i="3"/>
  <c r="AF356" i="3" s="1"/>
  <c r="AB356" i="3"/>
  <c r="V356" i="3"/>
  <c r="M356" i="3"/>
  <c r="L356" i="3"/>
  <c r="C356" i="3"/>
  <c r="AC355" i="3"/>
  <c r="AF355" i="3" s="1"/>
  <c r="AB355" i="3"/>
  <c r="AD355" i="3" s="1"/>
  <c r="AE355" i="3" s="1"/>
  <c r="V355" i="3"/>
  <c r="M355" i="3"/>
  <c r="P355" i="3"/>
  <c r="L355" i="3"/>
  <c r="N355" i="3" s="1"/>
  <c r="O355" i="3" s="1"/>
  <c r="C355" i="3"/>
  <c r="AC354" i="3"/>
  <c r="AF354" i="3"/>
  <c r="AB354" i="3"/>
  <c r="V354" i="3"/>
  <c r="M354" i="3"/>
  <c r="P354" i="3"/>
  <c r="L354" i="3"/>
  <c r="C354" i="3"/>
  <c r="AC353" i="3"/>
  <c r="AF353" i="3" s="1"/>
  <c r="AB353" i="3"/>
  <c r="V353" i="3"/>
  <c r="M353" i="3"/>
  <c r="P353" i="3"/>
  <c r="L353" i="3"/>
  <c r="C353" i="3"/>
  <c r="AC352" i="3"/>
  <c r="AB352" i="3"/>
  <c r="V352" i="3"/>
  <c r="M352" i="3"/>
  <c r="N352" i="3"/>
  <c r="O352" i="3"/>
  <c r="Q352" i="3" s="1"/>
  <c r="P352" i="3"/>
  <c r="L352" i="3"/>
  <c r="C352" i="3"/>
  <c r="AC351" i="3"/>
  <c r="AB351" i="3"/>
  <c r="V351" i="3"/>
  <c r="M351" i="3"/>
  <c r="P351" i="3" s="1"/>
  <c r="L351" i="3"/>
  <c r="C351" i="3"/>
  <c r="AC350" i="3"/>
  <c r="AB350" i="3"/>
  <c r="AD350" i="3" s="1"/>
  <c r="V350" i="3"/>
  <c r="M350" i="3"/>
  <c r="P350" i="3"/>
  <c r="L350" i="3"/>
  <c r="C350" i="3"/>
  <c r="AC349" i="3"/>
  <c r="AF349" i="3" s="1"/>
  <c r="AB349" i="3"/>
  <c r="V349" i="3"/>
  <c r="M349" i="3"/>
  <c r="P349" i="3"/>
  <c r="L349" i="3"/>
  <c r="C349" i="3"/>
  <c r="AC348" i="3"/>
  <c r="AF348" i="3"/>
  <c r="AB348" i="3"/>
  <c r="V348" i="3"/>
  <c r="M348" i="3"/>
  <c r="P348" i="3" s="1"/>
  <c r="L348" i="3"/>
  <c r="C348" i="3"/>
  <c r="AC347" i="3"/>
  <c r="AF347" i="3"/>
  <c r="AB347" i="3"/>
  <c r="V347" i="3"/>
  <c r="M347" i="3"/>
  <c r="L347" i="3"/>
  <c r="C347" i="3"/>
  <c r="AC346" i="3"/>
  <c r="AB346" i="3"/>
  <c r="V346" i="3"/>
  <c r="M346" i="3"/>
  <c r="P346" i="3"/>
  <c r="L346" i="3"/>
  <c r="C346" i="3"/>
  <c r="AC345" i="3"/>
  <c r="AF345" i="3" s="1"/>
  <c r="AB345" i="3"/>
  <c r="V345" i="3"/>
  <c r="M345" i="3"/>
  <c r="P345" i="3" s="1"/>
  <c r="L345" i="3"/>
  <c r="C345" i="3"/>
  <c r="AC344" i="3"/>
  <c r="AF344" i="3"/>
  <c r="AB344" i="3"/>
  <c r="V344" i="3"/>
  <c r="M344" i="3"/>
  <c r="P344" i="3" s="1"/>
  <c r="L344" i="3"/>
  <c r="C344" i="3"/>
  <c r="AC343" i="3"/>
  <c r="AF343" i="3" s="1"/>
  <c r="AB343" i="3"/>
  <c r="V343" i="3"/>
  <c r="M343" i="3"/>
  <c r="P343" i="3"/>
  <c r="L343" i="3"/>
  <c r="C343" i="3"/>
  <c r="AC342" i="3"/>
  <c r="AB342" i="3"/>
  <c r="V342" i="3"/>
  <c r="M342" i="3"/>
  <c r="L342" i="3"/>
  <c r="C342" i="3"/>
  <c r="AC341" i="3"/>
  <c r="AF341" i="3" s="1"/>
  <c r="AB341" i="3"/>
  <c r="V341" i="3"/>
  <c r="M341" i="3"/>
  <c r="L341" i="3"/>
  <c r="C341" i="3"/>
  <c r="AC340" i="3"/>
  <c r="AF340" i="3" s="1"/>
  <c r="AB340" i="3"/>
  <c r="V340" i="3"/>
  <c r="M340" i="3"/>
  <c r="P340" i="3" s="1"/>
  <c r="L340" i="3"/>
  <c r="C340" i="3"/>
  <c r="AC339" i="3"/>
  <c r="AF339" i="3" s="1"/>
  <c r="AB339" i="3"/>
  <c r="V339" i="3"/>
  <c r="M339" i="3"/>
  <c r="L339" i="3"/>
  <c r="C339" i="3"/>
  <c r="AC338" i="3"/>
  <c r="AB338" i="3"/>
  <c r="V338" i="3"/>
  <c r="M338" i="3"/>
  <c r="P338" i="3"/>
  <c r="L338" i="3"/>
  <c r="C338" i="3"/>
  <c r="AC337" i="3"/>
  <c r="AF337" i="3" s="1"/>
  <c r="AB337" i="3"/>
  <c r="V337" i="3"/>
  <c r="M337" i="3"/>
  <c r="P337" i="3"/>
  <c r="L337" i="3"/>
  <c r="C337" i="3"/>
  <c r="AC336" i="3"/>
  <c r="AB336" i="3"/>
  <c r="V336" i="3"/>
  <c r="M336" i="3"/>
  <c r="L336" i="3"/>
  <c r="C336" i="3"/>
  <c r="AC335" i="3"/>
  <c r="AF335" i="3" s="1"/>
  <c r="AB335" i="3"/>
  <c r="V335" i="3"/>
  <c r="M335" i="3"/>
  <c r="P335" i="3"/>
  <c r="L335" i="3"/>
  <c r="N335" i="3"/>
  <c r="O335" i="3"/>
  <c r="C335" i="3"/>
  <c r="AC334" i="3"/>
  <c r="AB334" i="3"/>
  <c r="V334" i="3"/>
  <c r="M334" i="3"/>
  <c r="P334" i="3"/>
  <c r="L334" i="3"/>
  <c r="C334" i="3"/>
  <c r="AC333" i="3"/>
  <c r="AF333" i="3" s="1"/>
  <c r="AB333" i="3"/>
  <c r="V333" i="3"/>
  <c r="M333" i="3"/>
  <c r="L333" i="3"/>
  <c r="C333" i="3"/>
  <c r="AC332" i="3"/>
  <c r="AB332" i="3"/>
  <c r="V332" i="3"/>
  <c r="M332" i="3"/>
  <c r="P332" i="3" s="1"/>
  <c r="L332" i="3"/>
  <c r="C332" i="3"/>
  <c r="AC331" i="3"/>
  <c r="AF331" i="3"/>
  <c r="AB331" i="3"/>
  <c r="V331" i="3"/>
  <c r="M331" i="3"/>
  <c r="P331" i="3"/>
  <c r="L331" i="3"/>
  <c r="C331" i="3"/>
  <c r="AC330" i="3"/>
  <c r="AF330" i="3" s="1"/>
  <c r="AB330" i="3"/>
  <c r="V330" i="3"/>
  <c r="M330" i="3"/>
  <c r="L330" i="3"/>
  <c r="C330" i="3"/>
  <c r="AC329" i="3"/>
  <c r="AB329" i="3"/>
  <c r="V329" i="3"/>
  <c r="M329" i="3"/>
  <c r="P329" i="3" s="1"/>
  <c r="L329" i="3"/>
  <c r="C329" i="3"/>
  <c r="AC328" i="3"/>
  <c r="AF328" i="3" s="1"/>
  <c r="AB328" i="3"/>
  <c r="AD328" i="3" s="1"/>
  <c r="AE328" i="3" s="1"/>
  <c r="AG328" i="3" s="1"/>
  <c r="AM328" i="3" s="1"/>
  <c r="V328" i="3"/>
  <c r="M328" i="3"/>
  <c r="P328" i="3" s="1"/>
  <c r="L328" i="3"/>
  <c r="C328" i="3"/>
  <c r="AC327" i="3"/>
  <c r="AB327" i="3"/>
  <c r="AD327" i="3" s="1"/>
  <c r="AE327" i="3" s="1"/>
  <c r="AG327" i="3" s="1"/>
  <c r="V327" i="3"/>
  <c r="M327" i="3"/>
  <c r="P327" i="3"/>
  <c r="L327" i="3"/>
  <c r="C327" i="3"/>
  <c r="AC326" i="3"/>
  <c r="AB326" i="3"/>
  <c r="V326" i="3"/>
  <c r="M326" i="3"/>
  <c r="P326" i="3" s="1"/>
  <c r="L326" i="3"/>
  <c r="C326" i="3"/>
  <c r="AC325" i="3"/>
  <c r="AF325" i="3" s="1"/>
  <c r="AB325" i="3"/>
  <c r="AD325" i="3" s="1"/>
  <c r="AE325" i="3" s="1"/>
  <c r="V325" i="3"/>
  <c r="M325" i="3"/>
  <c r="L325" i="3"/>
  <c r="C325" i="3"/>
  <c r="AC324" i="3"/>
  <c r="AF324" i="3" s="1"/>
  <c r="AB324" i="3"/>
  <c r="V324" i="3"/>
  <c r="M324" i="3"/>
  <c r="P324" i="3"/>
  <c r="L324" i="3"/>
  <c r="C324" i="3"/>
  <c r="AC323" i="3"/>
  <c r="AF323" i="3" s="1"/>
  <c r="AB323" i="3"/>
  <c r="V323" i="3"/>
  <c r="M323" i="3"/>
  <c r="P323" i="3"/>
  <c r="L323" i="3"/>
  <c r="C323" i="3"/>
  <c r="AC322" i="3"/>
  <c r="AB322" i="3"/>
  <c r="V322" i="3"/>
  <c r="M322" i="3"/>
  <c r="P322" i="3"/>
  <c r="L322" i="3"/>
  <c r="C322" i="3"/>
  <c r="AC321" i="3"/>
  <c r="AB321" i="3"/>
  <c r="V321" i="3"/>
  <c r="M321" i="3"/>
  <c r="L321" i="3"/>
  <c r="C321" i="3"/>
  <c r="AC320" i="3"/>
  <c r="AF320" i="3" s="1"/>
  <c r="AB320" i="3"/>
  <c r="V320" i="3"/>
  <c r="M320" i="3"/>
  <c r="P320" i="3" s="1"/>
  <c r="L320" i="3"/>
  <c r="C320" i="3"/>
  <c r="AC319" i="3"/>
  <c r="AF319" i="3"/>
  <c r="AB319" i="3"/>
  <c r="AD319" i="3" s="1"/>
  <c r="AE319" i="3" s="1"/>
  <c r="V319" i="3"/>
  <c r="M319" i="3"/>
  <c r="P319" i="3"/>
  <c r="L319" i="3"/>
  <c r="C319" i="3"/>
  <c r="AC318" i="3"/>
  <c r="AF318" i="3" s="1"/>
  <c r="AB318" i="3"/>
  <c r="V318" i="3"/>
  <c r="M318" i="3"/>
  <c r="P318" i="3" s="1"/>
  <c r="L318" i="3"/>
  <c r="N318" i="3" s="1"/>
  <c r="O318" i="3" s="1"/>
  <c r="C318" i="3"/>
  <c r="AC317" i="3"/>
  <c r="AF317" i="3" s="1"/>
  <c r="AB317" i="3"/>
  <c r="V317" i="3"/>
  <c r="M317" i="3"/>
  <c r="P317" i="3"/>
  <c r="L317" i="3"/>
  <c r="N317" i="3" s="1"/>
  <c r="C317" i="3"/>
  <c r="AC316" i="3"/>
  <c r="AF316" i="3" s="1"/>
  <c r="AB316" i="3"/>
  <c r="V316" i="3"/>
  <c r="M316" i="3"/>
  <c r="P316" i="3" s="1"/>
  <c r="L316" i="3"/>
  <c r="C316" i="3"/>
  <c r="AC315" i="3"/>
  <c r="AF315" i="3" s="1"/>
  <c r="AB315" i="3"/>
  <c r="V315" i="3"/>
  <c r="M315" i="3"/>
  <c r="P315" i="3"/>
  <c r="L315" i="3"/>
  <c r="C315" i="3"/>
  <c r="AC314" i="3"/>
  <c r="AF314" i="3" s="1"/>
  <c r="AB314" i="3"/>
  <c r="V314" i="3"/>
  <c r="M314" i="3"/>
  <c r="P314" i="3"/>
  <c r="L314" i="3"/>
  <c r="C314" i="3"/>
  <c r="AC313" i="3"/>
  <c r="AF313" i="3" s="1"/>
  <c r="AB313" i="3"/>
  <c r="V313" i="3"/>
  <c r="M313" i="3"/>
  <c r="P313" i="3" s="1"/>
  <c r="L313" i="3"/>
  <c r="C313" i="3"/>
  <c r="AC312" i="3"/>
  <c r="AF312" i="3" s="1"/>
  <c r="AB312" i="3"/>
  <c r="V312" i="3"/>
  <c r="M312" i="3"/>
  <c r="P312" i="3"/>
  <c r="L312" i="3"/>
  <c r="C312" i="3"/>
  <c r="AC311" i="3"/>
  <c r="AB311" i="3"/>
  <c r="V311" i="3"/>
  <c r="M311" i="3"/>
  <c r="P311" i="3"/>
  <c r="L311" i="3"/>
  <c r="C311" i="3"/>
  <c r="AC310" i="3"/>
  <c r="AF310" i="3" s="1"/>
  <c r="AB310" i="3"/>
  <c r="V310" i="3"/>
  <c r="M310" i="3"/>
  <c r="L310" i="3"/>
  <c r="C310" i="3"/>
  <c r="AC309" i="3"/>
  <c r="AF309" i="3" s="1"/>
  <c r="AB309" i="3"/>
  <c r="V309" i="3"/>
  <c r="M309" i="3"/>
  <c r="P309" i="3" s="1"/>
  <c r="L309" i="3"/>
  <c r="C309" i="3"/>
  <c r="AC308" i="3"/>
  <c r="AF308" i="3" s="1"/>
  <c r="AB308" i="3"/>
  <c r="V308" i="3"/>
  <c r="M308" i="3"/>
  <c r="P308" i="3" s="1"/>
  <c r="L308" i="3"/>
  <c r="C308" i="3"/>
  <c r="AC307" i="3"/>
  <c r="AF307" i="3" s="1"/>
  <c r="AB307" i="3"/>
  <c r="V307" i="3"/>
  <c r="M307" i="3"/>
  <c r="P307" i="3"/>
  <c r="L307" i="3"/>
  <c r="C307" i="3"/>
  <c r="AC306" i="3"/>
  <c r="AF306" i="3" s="1"/>
  <c r="AB306" i="3"/>
  <c r="V306" i="3"/>
  <c r="M306" i="3"/>
  <c r="P306" i="3" s="1"/>
  <c r="L306" i="3"/>
  <c r="C306" i="3"/>
  <c r="AC305" i="3"/>
  <c r="AF305" i="3"/>
  <c r="AB305" i="3"/>
  <c r="V305" i="3"/>
  <c r="M305" i="3"/>
  <c r="P305" i="3"/>
  <c r="L305" i="3"/>
  <c r="C305" i="3"/>
  <c r="AC304" i="3"/>
  <c r="AF304" i="3" s="1"/>
  <c r="AB304" i="3"/>
  <c r="V304" i="3"/>
  <c r="M304" i="3"/>
  <c r="P304" i="3" s="1"/>
  <c r="L304" i="3"/>
  <c r="C304" i="3"/>
  <c r="AC303" i="3"/>
  <c r="AF303" i="3"/>
  <c r="AB303" i="3"/>
  <c r="V303" i="3"/>
  <c r="M303" i="3"/>
  <c r="P303" i="3" s="1"/>
  <c r="L303" i="3"/>
  <c r="N303" i="3" s="1"/>
  <c r="C303" i="3"/>
  <c r="AC302" i="3"/>
  <c r="AF302" i="3" s="1"/>
  <c r="AB302" i="3"/>
  <c r="V302" i="3"/>
  <c r="M302" i="3"/>
  <c r="L302" i="3"/>
  <c r="N302" i="3" s="1"/>
  <c r="O302" i="3" s="1"/>
  <c r="C302" i="3"/>
  <c r="AC301" i="3"/>
  <c r="AF301" i="3" s="1"/>
  <c r="AB301" i="3"/>
  <c r="V301" i="3"/>
  <c r="M301" i="3"/>
  <c r="P301" i="3"/>
  <c r="L301" i="3"/>
  <c r="C301" i="3"/>
  <c r="AC300" i="3"/>
  <c r="AF300" i="3" s="1"/>
  <c r="AB300" i="3"/>
  <c r="V300" i="3"/>
  <c r="M300" i="3"/>
  <c r="P300" i="3"/>
  <c r="L300" i="3"/>
  <c r="C300" i="3"/>
  <c r="AC299" i="3"/>
  <c r="AB299" i="3"/>
  <c r="V299" i="3"/>
  <c r="M299" i="3"/>
  <c r="P299" i="3" s="1"/>
  <c r="L299" i="3"/>
  <c r="C299" i="3"/>
  <c r="AC298" i="3"/>
  <c r="AF298" i="3"/>
  <c r="AB298" i="3"/>
  <c r="V298" i="3"/>
  <c r="M298" i="3"/>
  <c r="P298" i="3" s="1"/>
  <c r="L298" i="3"/>
  <c r="C298" i="3"/>
  <c r="AC297" i="3"/>
  <c r="AF297" i="3" s="1"/>
  <c r="AB297" i="3"/>
  <c r="AD297" i="3" s="1"/>
  <c r="AE297" i="3" s="1"/>
  <c r="V297" i="3"/>
  <c r="M297" i="3"/>
  <c r="P297" i="3" s="1"/>
  <c r="L297" i="3"/>
  <c r="C297" i="3"/>
  <c r="AC296" i="3"/>
  <c r="AF296" i="3" s="1"/>
  <c r="AB296" i="3"/>
  <c r="V296" i="3"/>
  <c r="M296" i="3"/>
  <c r="P296" i="3"/>
  <c r="L296" i="3"/>
  <c r="C296" i="3"/>
  <c r="AC295" i="3"/>
  <c r="AB295" i="3"/>
  <c r="V295" i="3"/>
  <c r="M295" i="3"/>
  <c r="P295" i="3"/>
  <c r="L295" i="3"/>
  <c r="C295" i="3"/>
  <c r="AC294" i="3"/>
  <c r="AF294" i="3" s="1"/>
  <c r="AB294" i="3"/>
  <c r="V294" i="3"/>
  <c r="M294" i="3"/>
  <c r="P294" i="3" s="1"/>
  <c r="L294" i="3"/>
  <c r="C294" i="3"/>
  <c r="AC293" i="3"/>
  <c r="AF293" i="3" s="1"/>
  <c r="AB293" i="3"/>
  <c r="V293" i="3"/>
  <c r="M293" i="3"/>
  <c r="P293" i="3"/>
  <c r="L293" i="3"/>
  <c r="C293" i="3"/>
  <c r="AC292" i="3"/>
  <c r="AF292" i="3" s="1"/>
  <c r="AB292" i="3"/>
  <c r="V292" i="3"/>
  <c r="M292" i="3"/>
  <c r="L292" i="3"/>
  <c r="C292" i="3"/>
  <c r="AC291" i="3"/>
  <c r="AF291" i="3" s="1"/>
  <c r="AB291" i="3"/>
  <c r="V291" i="3"/>
  <c r="M291" i="3"/>
  <c r="P291" i="3"/>
  <c r="L291" i="3"/>
  <c r="C291" i="3"/>
  <c r="AC290" i="3"/>
  <c r="AF290" i="3" s="1"/>
  <c r="AB290" i="3"/>
  <c r="V290" i="3"/>
  <c r="M290" i="3"/>
  <c r="P290" i="3" s="1"/>
  <c r="L290" i="3"/>
  <c r="C290" i="3"/>
  <c r="AC289" i="3"/>
  <c r="AB289" i="3"/>
  <c r="AD289" i="3" s="1"/>
  <c r="AE289" i="3" s="1"/>
  <c r="AG289" i="3" s="1"/>
  <c r="AM289" i="3" s="1"/>
  <c r="V289" i="3"/>
  <c r="M289" i="3"/>
  <c r="P289" i="3"/>
  <c r="L289" i="3"/>
  <c r="C289" i="3"/>
  <c r="AC288" i="3"/>
  <c r="AF288" i="3" s="1"/>
  <c r="AB288" i="3"/>
  <c r="V288" i="3"/>
  <c r="M288" i="3"/>
  <c r="L288" i="3"/>
  <c r="C288" i="3"/>
  <c r="AC287" i="3"/>
  <c r="AF287" i="3" s="1"/>
  <c r="AB287" i="3"/>
  <c r="V287" i="3"/>
  <c r="M287" i="3"/>
  <c r="P287" i="3"/>
  <c r="L287" i="3"/>
  <c r="N287" i="3" s="1"/>
  <c r="O287" i="3" s="1"/>
  <c r="Q287" i="3" s="1"/>
  <c r="C287" i="3"/>
  <c r="AC286" i="3"/>
  <c r="AF286" i="3"/>
  <c r="AB286" i="3"/>
  <c r="V286" i="3"/>
  <c r="M286" i="3"/>
  <c r="L286" i="3"/>
  <c r="N286" i="3" s="1"/>
  <c r="C286" i="3"/>
  <c r="AC285" i="3"/>
  <c r="AF285" i="3"/>
  <c r="AB285" i="3"/>
  <c r="AD285" i="3" s="1"/>
  <c r="AE285" i="3" s="1"/>
  <c r="V285" i="3"/>
  <c r="M285" i="3"/>
  <c r="P285" i="3"/>
  <c r="L285" i="3"/>
  <c r="C285" i="3"/>
  <c r="AC284" i="3"/>
  <c r="AF284" i="3" s="1"/>
  <c r="AB284" i="3"/>
  <c r="V284" i="3"/>
  <c r="M284" i="3"/>
  <c r="P284" i="3"/>
  <c r="L284" i="3"/>
  <c r="C284" i="3"/>
  <c r="AC283" i="3"/>
  <c r="AB283" i="3"/>
  <c r="V283" i="3"/>
  <c r="M283" i="3"/>
  <c r="P283" i="3" s="1"/>
  <c r="L283" i="3"/>
  <c r="C283" i="3"/>
  <c r="AC282" i="3"/>
  <c r="AF282" i="3" s="1"/>
  <c r="AB282" i="3"/>
  <c r="AD282" i="3" s="1"/>
  <c r="AE282" i="3" s="1"/>
  <c r="AG282" i="3" s="1"/>
  <c r="AM282" i="3" s="1"/>
  <c r="V282" i="3"/>
  <c r="M282" i="3"/>
  <c r="P282" i="3" s="1"/>
  <c r="L282" i="3"/>
  <c r="C282" i="3"/>
  <c r="AC281" i="3"/>
  <c r="AB281" i="3"/>
  <c r="V281" i="3"/>
  <c r="M281" i="3"/>
  <c r="P281" i="3"/>
  <c r="L281" i="3"/>
  <c r="C281" i="3"/>
  <c r="AC280" i="3"/>
  <c r="AB280" i="3"/>
  <c r="V280" i="3"/>
  <c r="M280" i="3"/>
  <c r="O280" i="3"/>
  <c r="Q280" i="3" s="1"/>
  <c r="P280" i="3"/>
  <c r="L280" i="3"/>
  <c r="N280" i="3" s="1"/>
  <c r="C280" i="3"/>
  <c r="AC279" i="3"/>
  <c r="AF279" i="3"/>
  <c r="AB279" i="3"/>
  <c r="V279" i="3"/>
  <c r="M279" i="3"/>
  <c r="L279" i="3"/>
  <c r="C279" i="3"/>
  <c r="AC278" i="3"/>
  <c r="AF278" i="3" s="1"/>
  <c r="AB278" i="3"/>
  <c r="V278" i="3"/>
  <c r="M278" i="3"/>
  <c r="L278" i="3"/>
  <c r="N278" i="3"/>
  <c r="O278" i="3" s="1"/>
  <c r="C278" i="3"/>
  <c r="AC277" i="3"/>
  <c r="AF277" i="3"/>
  <c r="AB277" i="3"/>
  <c r="AD277" i="3" s="1"/>
  <c r="AE277" i="3" s="1"/>
  <c r="AG277" i="3" s="1"/>
  <c r="AM277" i="3" s="1"/>
  <c r="V277" i="3"/>
  <c r="M277" i="3"/>
  <c r="P277" i="3"/>
  <c r="L277" i="3"/>
  <c r="N277" i="3" s="1"/>
  <c r="O277" i="3" s="1"/>
  <c r="Q277" i="3" s="1"/>
  <c r="C277" i="3"/>
  <c r="AC276" i="3"/>
  <c r="AF276" i="3"/>
  <c r="AB276" i="3"/>
  <c r="V276" i="3"/>
  <c r="M276" i="3"/>
  <c r="P276" i="3" s="1"/>
  <c r="L276" i="3"/>
  <c r="N276" i="3" s="1"/>
  <c r="O276" i="3" s="1"/>
  <c r="C276" i="3"/>
  <c r="AC275" i="3"/>
  <c r="AF275" i="3" s="1"/>
  <c r="AB275" i="3"/>
  <c r="V275" i="3"/>
  <c r="M275" i="3"/>
  <c r="L275" i="3"/>
  <c r="C275" i="3"/>
  <c r="AC274" i="3"/>
  <c r="AF274" i="3" s="1"/>
  <c r="AB274" i="3"/>
  <c r="V274" i="3"/>
  <c r="M274" i="3"/>
  <c r="P274" i="3"/>
  <c r="L274" i="3"/>
  <c r="C274" i="3"/>
  <c r="AC273" i="3"/>
  <c r="AB273" i="3"/>
  <c r="V273" i="3"/>
  <c r="M273" i="3"/>
  <c r="P273" i="3" s="1"/>
  <c r="L273" i="3"/>
  <c r="C273" i="3"/>
  <c r="AC272" i="3"/>
  <c r="AF272" i="3" s="1"/>
  <c r="AB272" i="3"/>
  <c r="V272" i="3"/>
  <c r="M272" i="3"/>
  <c r="L272" i="3"/>
  <c r="C272" i="3"/>
  <c r="AC271" i="3"/>
  <c r="AF271" i="3"/>
  <c r="AB271" i="3"/>
  <c r="V271" i="3"/>
  <c r="M271" i="3"/>
  <c r="L271" i="3"/>
  <c r="C271" i="3"/>
  <c r="AC270" i="3"/>
  <c r="AF270" i="3" s="1"/>
  <c r="AB270" i="3"/>
  <c r="V270" i="3"/>
  <c r="M270" i="3"/>
  <c r="P270" i="3"/>
  <c r="L270" i="3"/>
  <c r="C270" i="3"/>
  <c r="AC269" i="3"/>
  <c r="AF269" i="3" s="1"/>
  <c r="AB269" i="3"/>
  <c r="V269" i="3"/>
  <c r="M269" i="3"/>
  <c r="P269" i="3" s="1"/>
  <c r="L269" i="3"/>
  <c r="C269" i="3"/>
  <c r="AC268" i="3"/>
  <c r="AB268" i="3"/>
  <c r="V268" i="3"/>
  <c r="M268" i="3"/>
  <c r="L268" i="3"/>
  <c r="C268" i="3"/>
  <c r="AC267" i="3"/>
  <c r="AF267" i="3"/>
  <c r="AB267" i="3"/>
  <c r="V267" i="3"/>
  <c r="M267" i="3"/>
  <c r="P267" i="3"/>
  <c r="L267" i="3"/>
  <c r="C267" i="3"/>
  <c r="AC266" i="3"/>
  <c r="AF266" i="3" s="1"/>
  <c r="AB266" i="3"/>
  <c r="V266" i="3"/>
  <c r="M266" i="3"/>
  <c r="L266" i="3"/>
  <c r="C266" i="3"/>
  <c r="AC265" i="3"/>
  <c r="AF265" i="3" s="1"/>
  <c r="AB265" i="3"/>
  <c r="V265" i="3"/>
  <c r="M265" i="3"/>
  <c r="P265" i="3"/>
  <c r="L265" i="3"/>
  <c r="C265" i="3"/>
  <c r="AC264" i="3"/>
  <c r="AF264" i="3"/>
  <c r="AB264" i="3"/>
  <c r="V264" i="3"/>
  <c r="M264" i="3"/>
  <c r="P264" i="3" s="1"/>
  <c r="L264" i="3"/>
  <c r="C264" i="3"/>
  <c r="AC263" i="3"/>
  <c r="AF263" i="3"/>
  <c r="AB263" i="3"/>
  <c r="V263" i="3"/>
  <c r="M263" i="3"/>
  <c r="L263" i="3"/>
  <c r="C263" i="3"/>
  <c r="AC262" i="3"/>
  <c r="AB262" i="3"/>
  <c r="V262" i="3"/>
  <c r="M262" i="3"/>
  <c r="N262" i="3" s="1"/>
  <c r="O262" i="3" s="1"/>
  <c r="L262" i="3"/>
  <c r="C262" i="3"/>
  <c r="AC261" i="3"/>
  <c r="AF261" i="3" s="1"/>
  <c r="AB261" i="3"/>
  <c r="V261" i="3"/>
  <c r="M261" i="3"/>
  <c r="P261" i="3"/>
  <c r="L261" i="3"/>
  <c r="C261" i="3"/>
  <c r="AC260" i="3"/>
  <c r="AF260" i="3" s="1"/>
  <c r="AB260" i="3"/>
  <c r="V260" i="3"/>
  <c r="M260" i="3"/>
  <c r="P260" i="3" s="1"/>
  <c r="L260" i="3"/>
  <c r="C260" i="3"/>
  <c r="AC259" i="3"/>
  <c r="AF259" i="3"/>
  <c r="AB259" i="3"/>
  <c r="V259" i="3"/>
  <c r="M259" i="3"/>
  <c r="L259" i="3"/>
  <c r="C259" i="3"/>
  <c r="AC258" i="3"/>
  <c r="AF258" i="3" s="1"/>
  <c r="AB258" i="3"/>
  <c r="V258" i="3"/>
  <c r="M258" i="3"/>
  <c r="P258" i="3"/>
  <c r="L258" i="3"/>
  <c r="C258" i="3"/>
  <c r="AC257" i="3"/>
  <c r="AF257" i="3" s="1"/>
  <c r="AB257" i="3"/>
  <c r="V257" i="3"/>
  <c r="M257" i="3"/>
  <c r="P257" i="3" s="1"/>
  <c r="L257" i="3"/>
  <c r="C257" i="3"/>
  <c r="AC256" i="3"/>
  <c r="AB256" i="3"/>
  <c r="V256" i="3"/>
  <c r="M256" i="3"/>
  <c r="P256" i="3"/>
  <c r="L256" i="3"/>
  <c r="N256" i="3" s="1"/>
  <c r="O256" i="3" s="1"/>
  <c r="Q256" i="3" s="1"/>
  <c r="C256" i="3"/>
  <c r="AC255" i="3"/>
  <c r="AF255" i="3"/>
  <c r="AB255" i="3"/>
  <c r="V255" i="3"/>
  <c r="M255" i="3"/>
  <c r="P255" i="3"/>
  <c r="L255" i="3"/>
  <c r="C255" i="3"/>
  <c r="AC254" i="3"/>
  <c r="AB254" i="3"/>
  <c r="V254" i="3"/>
  <c r="M254" i="3"/>
  <c r="L254" i="3"/>
  <c r="C254" i="3"/>
  <c r="AC253" i="3"/>
  <c r="AF253" i="3" s="1"/>
  <c r="AB253" i="3"/>
  <c r="V253" i="3"/>
  <c r="M253" i="3"/>
  <c r="P253" i="3" s="1"/>
  <c r="L253" i="3"/>
  <c r="C253" i="3"/>
  <c r="AC252" i="3"/>
  <c r="AF252" i="3" s="1"/>
  <c r="AB252" i="3"/>
  <c r="V252" i="3"/>
  <c r="M252" i="3"/>
  <c r="P252" i="3"/>
  <c r="L252" i="3"/>
  <c r="C252" i="3"/>
  <c r="AC251" i="3"/>
  <c r="AF251" i="3"/>
  <c r="AB251" i="3"/>
  <c r="V251" i="3"/>
  <c r="M251" i="3"/>
  <c r="L251" i="3"/>
  <c r="C251" i="3"/>
  <c r="AC250" i="3"/>
  <c r="AF250" i="3" s="1"/>
  <c r="AB250" i="3"/>
  <c r="AD250" i="3" s="1"/>
  <c r="AE250" i="3" s="1"/>
  <c r="AG250" i="3" s="1"/>
  <c r="AM250" i="3" s="1"/>
  <c r="V250" i="3"/>
  <c r="M250" i="3"/>
  <c r="P250" i="3" s="1"/>
  <c r="L250" i="3"/>
  <c r="C250" i="3"/>
  <c r="AC249" i="3"/>
  <c r="AF249" i="3" s="1"/>
  <c r="AB249" i="3"/>
  <c r="V249" i="3"/>
  <c r="M249" i="3"/>
  <c r="P249" i="3" s="1"/>
  <c r="L249" i="3"/>
  <c r="C249" i="3"/>
  <c r="AC248" i="3"/>
  <c r="AF248" i="3" s="1"/>
  <c r="AB248" i="3"/>
  <c r="V248" i="3"/>
  <c r="M248" i="3"/>
  <c r="P248" i="3" s="1"/>
  <c r="L248" i="3"/>
  <c r="C248" i="3"/>
  <c r="AC247" i="3"/>
  <c r="AB247" i="3"/>
  <c r="V247" i="3"/>
  <c r="M247" i="3"/>
  <c r="P247" i="3"/>
  <c r="L247" i="3"/>
  <c r="C247" i="3"/>
  <c r="AC246" i="3"/>
  <c r="AB246" i="3"/>
  <c r="V246" i="3"/>
  <c r="M246" i="3"/>
  <c r="P246" i="3"/>
  <c r="L246" i="3"/>
  <c r="C246" i="3"/>
  <c r="AC245" i="3"/>
  <c r="AB245" i="3"/>
  <c r="V245" i="3"/>
  <c r="M245" i="3"/>
  <c r="P245" i="3"/>
  <c r="L245" i="3"/>
  <c r="C245" i="3"/>
  <c r="AC244" i="3"/>
  <c r="AF244" i="3" s="1"/>
  <c r="AB244" i="3"/>
  <c r="V244" i="3"/>
  <c r="M244" i="3"/>
  <c r="P244" i="3" s="1"/>
  <c r="L244" i="3"/>
  <c r="C244" i="3"/>
  <c r="AC243" i="3"/>
  <c r="AB243" i="3"/>
  <c r="V243" i="3"/>
  <c r="M243" i="3"/>
  <c r="P243" i="3" s="1"/>
  <c r="L243" i="3"/>
  <c r="C243" i="3"/>
  <c r="AC242" i="3"/>
  <c r="AF242" i="3"/>
  <c r="AB242" i="3"/>
  <c r="V242" i="3"/>
  <c r="M242" i="3"/>
  <c r="P242" i="3" s="1"/>
  <c r="L242" i="3"/>
  <c r="C242" i="3"/>
  <c r="AC241" i="3"/>
  <c r="AB241" i="3"/>
  <c r="V241" i="3"/>
  <c r="M241" i="3"/>
  <c r="L241" i="3"/>
  <c r="C241" i="3"/>
  <c r="AC240" i="3"/>
  <c r="AB240" i="3"/>
  <c r="V240" i="3"/>
  <c r="M240" i="3"/>
  <c r="P240" i="3"/>
  <c r="L240" i="3"/>
  <c r="N240" i="3" s="1"/>
  <c r="O240" i="3" s="1"/>
  <c r="Q240" i="3" s="1"/>
  <c r="C240" i="3"/>
  <c r="AC239" i="3"/>
  <c r="AB239" i="3"/>
  <c r="V239" i="3"/>
  <c r="M239" i="3"/>
  <c r="P239" i="3"/>
  <c r="L239" i="3"/>
  <c r="C239" i="3"/>
  <c r="AC238" i="3"/>
  <c r="AB238" i="3"/>
  <c r="V238" i="3"/>
  <c r="M238" i="3"/>
  <c r="P238" i="3"/>
  <c r="L238" i="3"/>
  <c r="C238" i="3"/>
  <c r="AC237" i="3"/>
  <c r="AF237" i="3" s="1"/>
  <c r="AB237" i="3"/>
  <c r="V237" i="3"/>
  <c r="M237" i="3"/>
  <c r="P237" i="3"/>
  <c r="L237" i="3"/>
  <c r="C237" i="3"/>
  <c r="AC236" i="3"/>
  <c r="AF236" i="3" s="1"/>
  <c r="AB236" i="3"/>
  <c r="V236" i="3"/>
  <c r="M236" i="3"/>
  <c r="P236" i="3"/>
  <c r="L236" i="3"/>
  <c r="C236" i="3"/>
  <c r="AC235" i="3"/>
  <c r="AF235" i="3"/>
  <c r="AB235" i="3"/>
  <c r="AD235" i="3" s="1"/>
  <c r="AE235" i="3" s="1"/>
  <c r="V235" i="3"/>
  <c r="M235" i="3"/>
  <c r="P235" i="3" s="1"/>
  <c r="L235" i="3"/>
  <c r="C235" i="3"/>
  <c r="AC234" i="3"/>
  <c r="AF234" i="3" s="1"/>
  <c r="AB234" i="3"/>
  <c r="AD234" i="3" s="1"/>
  <c r="AE234" i="3" s="1"/>
  <c r="AG234" i="3" s="1"/>
  <c r="AM234" i="3" s="1"/>
  <c r="V234" i="3"/>
  <c r="M234" i="3"/>
  <c r="P234" i="3" s="1"/>
  <c r="L234" i="3"/>
  <c r="C234" i="3"/>
  <c r="AC233" i="3"/>
  <c r="AF233" i="3" s="1"/>
  <c r="AB233" i="3"/>
  <c r="V233" i="3"/>
  <c r="M233" i="3"/>
  <c r="P233" i="3"/>
  <c r="L233" i="3"/>
  <c r="C233" i="3"/>
  <c r="AC232" i="3"/>
  <c r="AD232" i="3" s="1"/>
  <c r="AE232" i="3" s="1"/>
  <c r="AG232" i="3" s="1"/>
  <c r="AM232" i="3" s="1"/>
  <c r="AF232" i="3"/>
  <c r="AB232" i="3"/>
  <c r="V232" i="3"/>
  <c r="M232" i="3"/>
  <c r="P232" i="3" s="1"/>
  <c r="L232" i="3"/>
  <c r="N232" i="3" s="1"/>
  <c r="O232" i="3" s="1"/>
  <c r="Q232" i="3" s="1"/>
  <c r="C232" i="3"/>
  <c r="AC231" i="3"/>
  <c r="AF231" i="3"/>
  <c r="AB231" i="3"/>
  <c r="V231" i="3"/>
  <c r="M231" i="3"/>
  <c r="L231" i="3"/>
  <c r="C231" i="3"/>
  <c r="AC230" i="3"/>
  <c r="AB230" i="3"/>
  <c r="V230" i="3"/>
  <c r="M230" i="3"/>
  <c r="P230" i="3" s="1"/>
  <c r="L230" i="3"/>
  <c r="N230" i="3" s="1"/>
  <c r="O230" i="3" s="1"/>
  <c r="C230" i="3"/>
  <c r="AC229" i="3"/>
  <c r="AF229" i="3" s="1"/>
  <c r="AB229" i="3"/>
  <c r="V229" i="3"/>
  <c r="M229" i="3"/>
  <c r="P229" i="3"/>
  <c r="L229" i="3"/>
  <c r="C229" i="3"/>
  <c r="AC228" i="3"/>
  <c r="AF228" i="3" s="1"/>
  <c r="AB228" i="3"/>
  <c r="AD228" i="3" s="1"/>
  <c r="AE228" i="3" s="1"/>
  <c r="V228" i="3"/>
  <c r="M228" i="3"/>
  <c r="P228" i="3" s="1"/>
  <c r="L228" i="3"/>
  <c r="C228" i="3"/>
  <c r="AC227" i="3"/>
  <c r="AF227" i="3" s="1"/>
  <c r="AB227" i="3"/>
  <c r="V227" i="3"/>
  <c r="M227" i="3"/>
  <c r="P227" i="3"/>
  <c r="L227" i="3"/>
  <c r="C227" i="3"/>
  <c r="AC226" i="3"/>
  <c r="AF226" i="3" s="1"/>
  <c r="AB226" i="3"/>
  <c r="V226" i="3"/>
  <c r="M226" i="3"/>
  <c r="P226" i="3"/>
  <c r="L226" i="3"/>
  <c r="C226" i="3"/>
  <c r="AC225" i="3"/>
  <c r="AF225" i="3" s="1"/>
  <c r="AB225" i="3"/>
  <c r="V225" i="3"/>
  <c r="M225" i="3"/>
  <c r="P225" i="3"/>
  <c r="L225" i="3"/>
  <c r="C225" i="3"/>
  <c r="AC224" i="3"/>
  <c r="AF224" i="3"/>
  <c r="AB224" i="3"/>
  <c r="AD224" i="3" s="1"/>
  <c r="AE224" i="3" s="1"/>
  <c r="V224" i="3"/>
  <c r="M224" i="3"/>
  <c r="P224" i="3"/>
  <c r="L224" i="3"/>
  <c r="C224" i="3"/>
  <c r="AC223" i="3"/>
  <c r="AF223" i="3"/>
  <c r="AB223" i="3"/>
  <c r="V223" i="3"/>
  <c r="M223" i="3"/>
  <c r="P223" i="3"/>
  <c r="L223" i="3"/>
  <c r="C223" i="3"/>
  <c r="AC222" i="3"/>
  <c r="AF222" i="3" s="1"/>
  <c r="AB222" i="3"/>
  <c r="V222" i="3"/>
  <c r="M222" i="3"/>
  <c r="P222" i="3"/>
  <c r="L222" i="3"/>
  <c r="C222" i="3"/>
  <c r="AC221" i="3"/>
  <c r="AF221" i="3"/>
  <c r="AB221" i="3"/>
  <c r="V221" i="3"/>
  <c r="M221" i="3"/>
  <c r="P221" i="3"/>
  <c r="L221" i="3"/>
  <c r="N221" i="3" s="1"/>
  <c r="C221" i="3"/>
  <c r="AC220" i="3"/>
  <c r="AF220" i="3" s="1"/>
  <c r="AB220" i="3"/>
  <c r="V220" i="3"/>
  <c r="M220" i="3"/>
  <c r="L220" i="3"/>
  <c r="C220" i="3"/>
  <c r="AC219" i="3"/>
  <c r="AF219" i="3" s="1"/>
  <c r="AB219" i="3"/>
  <c r="V219" i="3"/>
  <c r="M219" i="3"/>
  <c r="P219" i="3"/>
  <c r="L219" i="3"/>
  <c r="C219" i="3"/>
  <c r="AC218" i="3"/>
  <c r="AF218" i="3"/>
  <c r="AG218" i="3" s="1"/>
  <c r="AM218" i="3" s="1"/>
  <c r="AB218" i="3"/>
  <c r="AD218" i="3"/>
  <c r="AE218" i="3" s="1"/>
  <c r="V218" i="3"/>
  <c r="M218" i="3"/>
  <c r="P218" i="3"/>
  <c r="L218" i="3"/>
  <c r="C218" i="3"/>
  <c r="AC217" i="3"/>
  <c r="AF217" i="3" s="1"/>
  <c r="AB217" i="3"/>
  <c r="AD217" i="3" s="1"/>
  <c r="AE217" i="3" s="1"/>
  <c r="AG217" i="3" s="1"/>
  <c r="AM217" i="3" s="1"/>
  <c r="V217" i="3"/>
  <c r="M217" i="3"/>
  <c r="P217" i="3"/>
  <c r="L217" i="3"/>
  <c r="C217" i="3"/>
  <c r="AC216" i="3"/>
  <c r="AF216" i="3"/>
  <c r="AB216" i="3"/>
  <c r="V216" i="3"/>
  <c r="M216" i="3"/>
  <c r="P216" i="3"/>
  <c r="L216" i="3"/>
  <c r="C216" i="3"/>
  <c r="AC215" i="3"/>
  <c r="AF215" i="3" s="1"/>
  <c r="AB215" i="3"/>
  <c r="V215" i="3"/>
  <c r="M215" i="3"/>
  <c r="L215" i="3"/>
  <c r="N215" i="3" s="1"/>
  <c r="O215" i="3" s="1"/>
  <c r="C215" i="3"/>
  <c r="AC214" i="3"/>
  <c r="AF214" i="3" s="1"/>
  <c r="AB214" i="3"/>
  <c r="V214" i="3"/>
  <c r="M214" i="3"/>
  <c r="P214" i="3" s="1"/>
  <c r="L214" i="3"/>
  <c r="C214" i="3"/>
  <c r="AC213" i="3"/>
  <c r="AB213" i="3"/>
  <c r="V213" i="3"/>
  <c r="M213" i="3"/>
  <c r="P213" i="3"/>
  <c r="L213" i="3"/>
  <c r="C213" i="3"/>
  <c r="AC212" i="3"/>
  <c r="AF212" i="3" s="1"/>
  <c r="AB212" i="3"/>
  <c r="AD212" i="3" s="1"/>
  <c r="AE212" i="3" s="1"/>
  <c r="AG212" i="3" s="1"/>
  <c r="AM212" i="3" s="1"/>
  <c r="V212" i="3"/>
  <c r="M212" i="3"/>
  <c r="L212" i="3"/>
  <c r="C212" i="3"/>
  <c r="AC211" i="3"/>
  <c r="AF211" i="3" s="1"/>
  <c r="AB211" i="3"/>
  <c r="V211" i="3"/>
  <c r="M211" i="3"/>
  <c r="L211" i="3"/>
  <c r="C211" i="3"/>
  <c r="AC210" i="3"/>
  <c r="AB210" i="3"/>
  <c r="V210" i="3"/>
  <c r="M210" i="3"/>
  <c r="P210" i="3"/>
  <c r="L210" i="3"/>
  <c r="C210" i="3"/>
  <c r="AC209" i="3"/>
  <c r="AB209" i="3"/>
  <c r="AD209" i="3" s="1"/>
  <c r="AE209" i="3" s="1"/>
  <c r="V209" i="3"/>
  <c r="M209" i="3"/>
  <c r="P209" i="3"/>
  <c r="L209" i="3"/>
  <c r="C209" i="3"/>
  <c r="AC208" i="3"/>
  <c r="AF208" i="3"/>
  <c r="AB208" i="3"/>
  <c r="V208" i="3"/>
  <c r="M208" i="3"/>
  <c r="L208" i="3"/>
  <c r="N208" i="3" s="1"/>
  <c r="O208" i="3" s="1"/>
  <c r="C208" i="3"/>
  <c r="AC207" i="3"/>
  <c r="AF207" i="3"/>
  <c r="AB207" i="3"/>
  <c r="V207" i="3"/>
  <c r="M207" i="3"/>
  <c r="L207" i="3"/>
  <c r="C207" i="3"/>
  <c r="AC206" i="3"/>
  <c r="AF206" i="3"/>
  <c r="AB206" i="3"/>
  <c r="AD206" i="3" s="1"/>
  <c r="V206" i="3"/>
  <c r="M206" i="3"/>
  <c r="P206" i="3" s="1"/>
  <c r="L206" i="3"/>
  <c r="C206" i="3"/>
  <c r="AC205" i="3"/>
  <c r="AF205" i="3" s="1"/>
  <c r="AB205" i="3"/>
  <c r="AD205" i="3" s="1"/>
  <c r="AE205" i="3" s="1"/>
  <c r="AG205" i="3" s="1"/>
  <c r="AM205" i="3" s="1"/>
  <c r="V205" i="3"/>
  <c r="M205" i="3"/>
  <c r="P205" i="3"/>
  <c r="L205" i="3"/>
  <c r="C205" i="3"/>
  <c r="AC204" i="3"/>
  <c r="AF204" i="3" s="1"/>
  <c r="AB204" i="3"/>
  <c r="V204" i="3"/>
  <c r="M204" i="3"/>
  <c r="L204" i="3"/>
  <c r="C204" i="3"/>
  <c r="AC203" i="3"/>
  <c r="AF203" i="3" s="1"/>
  <c r="AB203" i="3"/>
  <c r="AD203" i="3" s="1"/>
  <c r="AE203" i="3" s="1"/>
  <c r="V203" i="3"/>
  <c r="M203" i="3"/>
  <c r="P203" i="3"/>
  <c r="L203" i="3"/>
  <c r="C203" i="3"/>
  <c r="AC202" i="3"/>
  <c r="AF202" i="3" s="1"/>
  <c r="AB202" i="3"/>
  <c r="V202" i="3"/>
  <c r="M202" i="3"/>
  <c r="P202" i="3" s="1"/>
  <c r="L202" i="3"/>
  <c r="C202" i="3"/>
  <c r="AC201" i="3"/>
  <c r="AB201" i="3"/>
  <c r="V201" i="3"/>
  <c r="M201" i="3"/>
  <c r="P201" i="3" s="1"/>
  <c r="L201" i="3"/>
  <c r="C201" i="3"/>
  <c r="AC200" i="3"/>
  <c r="AB200" i="3"/>
  <c r="V200" i="3"/>
  <c r="M200" i="3"/>
  <c r="P200" i="3"/>
  <c r="L200" i="3"/>
  <c r="C200" i="3"/>
  <c r="AC199" i="3"/>
  <c r="AB199" i="3"/>
  <c r="V199" i="3"/>
  <c r="M199" i="3"/>
  <c r="P199" i="3"/>
  <c r="L199" i="3"/>
  <c r="C199" i="3"/>
  <c r="AC198" i="3"/>
  <c r="AF198" i="3" s="1"/>
  <c r="AB198" i="3"/>
  <c r="V198" i="3"/>
  <c r="M198" i="3"/>
  <c r="P198" i="3"/>
  <c r="L198" i="3"/>
  <c r="C198" i="3"/>
  <c r="AC197" i="3"/>
  <c r="AF197" i="3"/>
  <c r="AB197" i="3"/>
  <c r="V197" i="3"/>
  <c r="M197" i="3"/>
  <c r="P197" i="3" s="1"/>
  <c r="L197" i="3"/>
  <c r="C197" i="3"/>
  <c r="AC196" i="3"/>
  <c r="AF196" i="3"/>
  <c r="AB196" i="3"/>
  <c r="V196" i="3"/>
  <c r="M196" i="3"/>
  <c r="P196" i="3"/>
  <c r="L196" i="3"/>
  <c r="C196" i="3"/>
  <c r="AC195" i="3"/>
  <c r="AD195" i="3" s="1"/>
  <c r="AB195" i="3"/>
  <c r="V195" i="3"/>
  <c r="M195" i="3"/>
  <c r="L195" i="3"/>
  <c r="C195" i="3"/>
  <c r="AC194" i="3"/>
  <c r="AF194" i="3" s="1"/>
  <c r="AB194" i="3"/>
  <c r="AD194" i="3" s="1"/>
  <c r="AE194" i="3" s="1"/>
  <c r="V194" i="3"/>
  <c r="M194" i="3"/>
  <c r="P194" i="3" s="1"/>
  <c r="L194" i="3"/>
  <c r="N194" i="3" s="1"/>
  <c r="O194" i="3" s="1"/>
  <c r="C194" i="3"/>
  <c r="AC193" i="3"/>
  <c r="AF193" i="3" s="1"/>
  <c r="AB193" i="3"/>
  <c r="V193" i="3"/>
  <c r="M193" i="3"/>
  <c r="P193" i="3"/>
  <c r="L193" i="3"/>
  <c r="C193" i="3"/>
  <c r="AC192" i="3"/>
  <c r="AF192" i="3" s="1"/>
  <c r="AB192" i="3"/>
  <c r="AD192" i="3" s="1"/>
  <c r="AE192" i="3" s="1"/>
  <c r="V192" i="3"/>
  <c r="M192" i="3"/>
  <c r="P192" i="3"/>
  <c r="L192" i="3"/>
  <c r="C192" i="3"/>
  <c r="AC191" i="3"/>
  <c r="AF191" i="3"/>
  <c r="AB191" i="3"/>
  <c r="V191" i="3"/>
  <c r="M191" i="3"/>
  <c r="P191" i="3" s="1"/>
  <c r="L191" i="3"/>
  <c r="N191" i="3"/>
  <c r="O191" i="3" s="1"/>
  <c r="Q191" i="3" s="1"/>
  <c r="C191" i="3"/>
  <c r="AC190" i="3"/>
  <c r="AF190" i="3" s="1"/>
  <c r="AB190" i="3"/>
  <c r="V190" i="3"/>
  <c r="M190" i="3"/>
  <c r="P190" i="3"/>
  <c r="L190" i="3"/>
  <c r="C190" i="3"/>
  <c r="AC189" i="3"/>
  <c r="AB189" i="3"/>
  <c r="V189" i="3"/>
  <c r="M189" i="3"/>
  <c r="P189" i="3" s="1"/>
  <c r="L189" i="3"/>
  <c r="C189" i="3"/>
  <c r="AC188" i="3"/>
  <c r="AF188" i="3" s="1"/>
  <c r="AB188" i="3"/>
  <c r="V188" i="3"/>
  <c r="M188" i="3"/>
  <c r="P188" i="3" s="1"/>
  <c r="L188" i="3"/>
  <c r="C188" i="3"/>
  <c r="AC187" i="3"/>
  <c r="AB187" i="3"/>
  <c r="V187" i="3"/>
  <c r="M187" i="3"/>
  <c r="P187" i="3"/>
  <c r="L187" i="3"/>
  <c r="C187" i="3"/>
  <c r="AC186" i="3"/>
  <c r="AB186" i="3"/>
  <c r="V186" i="3"/>
  <c r="M186" i="3"/>
  <c r="L186" i="3"/>
  <c r="C186" i="3"/>
  <c r="AC185" i="3"/>
  <c r="AF185" i="3" s="1"/>
  <c r="AB185" i="3"/>
  <c r="V185" i="3"/>
  <c r="M185" i="3"/>
  <c r="P185" i="3"/>
  <c r="L185" i="3"/>
  <c r="C185" i="3"/>
  <c r="AC184" i="3"/>
  <c r="AF184" i="3" s="1"/>
  <c r="AB184" i="3"/>
  <c r="V184" i="3"/>
  <c r="M184" i="3"/>
  <c r="L184" i="3"/>
  <c r="C184" i="3"/>
  <c r="AC183" i="3"/>
  <c r="AF183" i="3" s="1"/>
  <c r="AB183" i="3"/>
  <c r="V183" i="3"/>
  <c r="M183" i="3"/>
  <c r="P183" i="3" s="1"/>
  <c r="L183" i="3"/>
  <c r="C183" i="3"/>
  <c r="AC182" i="3"/>
  <c r="AF182" i="3" s="1"/>
  <c r="AB182" i="3"/>
  <c r="V182" i="3"/>
  <c r="M182" i="3"/>
  <c r="P182" i="3" s="1"/>
  <c r="L182" i="3"/>
  <c r="C182" i="3"/>
  <c r="AC181" i="3"/>
  <c r="AF181" i="3"/>
  <c r="AB181" i="3"/>
  <c r="V181" i="3"/>
  <c r="M181" i="3"/>
  <c r="L181" i="3"/>
  <c r="C181" i="3"/>
  <c r="AC180" i="3"/>
  <c r="AF180" i="3"/>
  <c r="AB180" i="3"/>
  <c r="V180" i="3"/>
  <c r="M180" i="3"/>
  <c r="L180" i="3"/>
  <c r="C180" i="3"/>
  <c r="AC179" i="3"/>
  <c r="AF179" i="3" s="1"/>
  <c r="AB179" i="3"/>
  <c r="V179" i="3"/>
  <c r="M179" i="3"/>
  <c r="L179" i="3"/>
  <c r="C179" i="3"/>
  <c r="AC178" i="3"/>
  <c r="AF178" i="3" s="1"/>
  <c r="AB178" i="3"/>
  <c r="V178" i="3"/>
  <c r="M178" i="3"/>
  <c r="P178" i="3" s="1"/>
  <c r="L178" i="3"/>
  <c r="C178" i="3"/>
  <c r="AC177" i="3"/>
  <c r="AB177" i="3"/>
  <c r="V177" i="3"/>
  <c r="M177" i="3"/>
  <c r="P177" i="3" s="1"/>
  <c r="L177" i="3"/>
  <c r="C177" i="3"/>
  <c r="AC176" i="3"/>
  <c r="AF176" i="3"/>
  <c r="AB176" i="3"/>
  <c r="V176" i="3"/>
  <c r="M176" i="3"/>
  <c r="P176" i="3" s="1"/>
  <c r="L176" i="3"/>
  <c r="C176" i="3"/>
  <c r="AC175" i="3"/>
  <c r="AB175" i="3"/>
  <c r="AD175" i="3" s="1"/>
  <c r="AE175" i="3" s="1"/>
  <c r="V175" i="3"/>
  <c r="M175" i="3"/>
  <c r="P175" i="3" s="1"/>
  <c r="L175" i="3"/>
  <c r="C175" i="3"/>
  <c r="AC174" i="3"/>
  <c r="AB174" i="3"/>
  <c r="V174" i="3"/>
  <c r="M174" i="3"/>
  <c r="P174" i="3" s="1"/>
  <c r="L174" i="3"/>
  <c r="C174" i="3"/>
  <c r="AC173" i="3"/>
  <c r="AF173" i="3" s="1"/>
  <c r="AB173" i="3"/>
  <c r="V173" i="3"/>
  <c r="M173" i="3"/>
  <c r="P173" i="3" s="1"/>
  <c r="L173" i="3"/>
  <c r="C173" i="3"/>
  <c r="AC172" i="3"/>
  <c r="AF172" i="3" s="1"/>
  <c r="AB172" i="3"/>
  <c r="V172" i="3"/>
  <c r="M172" i="3"/>
  <c r="L172" i="3"/>
  <c r="C172" i="3"/>
  <c r="AC171" i="3"/>
  <c r="AB171" i="3"/>
  <c r="V171" i="3"/>
  <c r="M171" i="3"/>
  <c r="L171" i="3"/>
  <c r="C171" i="3"/>
  <c r="AC170" i="3"/>
  <c r="AB170" i="3"/>
  <c r="V170" i="3"/>
  <c r="M170" i="3"/>
  <c r="P170" i="3"/>
  <c r="L170" i="3"/>
  <c r="C170" i="3"/>
  <c r="AC169" i="3"/>
  <c r="AF169" i="3" s="1"/>
  <c r="AB169" i="3"/>
  <c r="V169" i="3"/>
  <c r="M169" i="3"/>
  <c r="P169" i="3" s="1"/>
  <c r="L169" i="3"/>
  <c r="C169" i="3"/>
  <c r="AC168" i="3"/>
  <c r="AB168" i="3"/>
  <c r="V168" i="3"/>
  <c r="M168" i="3"/>
  <c r="P168" i="3" s="1"/>
  <c r="L168" i="3"/>
  <c r="C168" i="3"/>
  <c r="AC167" i="3"/>
  <c r="AF167" i="3" s="1"/>
  <c r="AB167" i="3"/>
  <c r="V167" i="3"/>
  <c r="M167" i="3"/>
  <c r="P167" i="3"/>
  <c r="L167" i="3"/>
  <c r="C167" i="3"/>
  <c r="AC166" i="3"/>
  <c r="AF166" i="3" s="1"/>
  <c r="AB166" i="3"/>
  <c r="V166" i="3"/>
  <c r="M166" i="3"/>
  <c r="P166" i="3"/>
  <c r="L166" i="3"/>
  <c r="C166" i="3"/>
  <c r="AC165" i="3"/>
  <c r="AF165" i="3" s="1"/>
  <c r="AB165" i="3"/>
  <c r="V165" i="3"/>
  <c r="M165" i="3"/>
  <c r="L165" i="3"/>
  <c r="C165" i="3"/>
  <c r="AC164" i="3"/>
  <c r="AB164" i="3"/>
  <c r="V164" i="3"/>
  <c r="M164" i="3"/>
  <c r="P164" i="3"/>
  <c r="L164" i="3"/>
  <c r="C164" i="3"/>
  <c r="AC163" i="3"/>
  <c r="AB163" i="3"/>
  <c r="V163" i="3"/>
  <c r="M163" i="3"/>
  <c r="P163" i="3" s="1"/>
  <c r="L163" i="3"/>
  <c r="C163" i="3"/>
  <c r="AC162" i="3"/>
  <c r="AF162" i="3"/>
  <c r="AB162" i="3"/>
  <c r="AD162" i="3" s="1"/>
  <c r="V162" i="3"/>
  <c r="M162" i="3"/>
  <c r="P162" i="3"/>
  <c r="L162" i="3"/>
  <c r="C162" i="3"/>
  <c r="AC161" i="3"/>
  <c r="AF161" i="3"/>
  <c r="AB161" i="3"/>
  <c r="AD161" i="3"/>
  <c r="AE161" i="3" s="1"/>
  <c r="V161" i="3"/>
  <c r="M161" i="3"/>
  <c r="L161" i="3"/>
  <c r="C161" i="3"/>
  <c r="AC160" i="3"/>
  <c r="AF160" i="3" s="1"/>
  <c r="AB160" i="3"/>
  <c r="V160" i="3"/>
  <c r="M160" i="3"/>
  <c r="N160" i="3" s="1"/>
  <c r="O160" i="3" s="1"/>
  <c r="L160" i="3"/>
  <c r="C160" i="3"/>
  <c r="AC159" i="3"/>
  <c r="AF159" i="3" s="1"/>
  <c r="AB159" i="3"/>
  <c r="V159" i="3"/>
  <c r="M159" i="3"/>
  <c r="P159" i="3" s="1"/>
  <c r="L159" i="3"/>
  <c r="C159" i="3"/>
  <c r="AC158" i="3"/>
  <c r="AF158" i="3" s="1"/>
  <c r="AB158" i="3"/>
  <c r="V158" i="3"/>
  <c r="M158" i="3"/>
  <c r="P158" i="3" s="1"/>
  <c r="L158" i="3"/>
  <c r="C158" i="3"/>
  <c r="AC157" i="3"/>
  <c r="AF157" i="3" s="1"/>
  <c r="AB157" i="3"/>
  <c r="V157" i="3"/>
  <c r="M157" i="3"/>
  <c r="L157" i="3"/>
  <c r="C157" i="3"/>
  <c r="AC156" i="3"/>
  <c r="AF156" i="3"/>
  <c r="AB156" i="3"/>
  <c r="V156" i="3"/>
  <c r="M156" i="3"/>
  <c r="P156" i="3"/>
  <c r="L156" i="3"/>
  <c r="C156" i="3"/>
  <c r="AC155" i="3"/>
  <c r="AF155" i="3" s="1"/>
  <c r="AB155" i="3"/>
  <c r="V155" i="3"/>
  <c r="M155" i="3"/>
  <c r="P155" i="3"/>
  <c r="L155" i="3"/>
  <c r="C155" i="3"/>
  <c r="AC154" i="3"/>
  <c r="AF154" i="3" s="1"/>
  <c r="AB154" i="3"/>
  <c r="V154" i="3"/>
  <c r="M154" i="3"/>
  <c r="P154" i="3"/>
  <c r="L154" i="3"/>
  <c r="C154" i="3"/>
  <c r="AC153" i="3"/>
  <c r="AF153" i="3"/>
  <c r="AB153" i="3"/>
  <c r="V153" i="3"/>
  <c r="M153" i="3"/>
  <c r="N153" i="3"/>
  <c r="P153" i="3"/>
  <c r="L153" i="3"/>
  <c r="C153" i="3"/>
  <c r="AC152" i="3"/>
  <c r="AF152" i="3" s="1"/>
  <c r="AB152" i="3"/>
  <c r="V152" i="3"/>
  <c r="M152" i="3"/>
  <c r="P152" i="3" s="1"/>
  <c r="L152" i="3"/>
  <c r="N152" i="3" s="1"/>
  <c r="O152" i="3"/>
  <c r="C152" i="3"/>
  <c r="AC151" i="3"/>
  <c r="AF151" i="3" s="1"/>
  <c r="AB151" i="3"/>
  <c r="V151" i="3"/>
  <c r="M151" i="3"/>
  <c r="L151" i="3"/>
  <c r="C151" i="3"/>
  <c r="AC150" i="3"/>
  <c r="AF150" i="3" s="1"/>
  <c r="AB150" i="3"/>
  <c r="V150" i="3"/>
  <c r="M150" i="3"/>
  <c r="L150" i="3"/>
  <c r="N150" i="3" s="1"/>
  <c r="O150" i="3" s="1"/>
  <c r="C150" i="3"/>
  <c r="AC149" i="3"/>
  <c r="AF149" i="3" s="1"/>
  <c r="AB149" i="3"/>
  <c r="V149" i="3"/>
  <c r="M149" i="3"/>
  <c r="P149" i="3"/>
  <c r="L149" i="3"/>
  <c r="C149" i="3"/>
  <c r="AC148" i="3"/>
  <c r="AF148" i="3"/>
  <c r="AB148" i="3"/>
  <c r="AD148" i="3" s="1"/>
  <c r="AE148" i="3" s="1"/>
  <c r="AG148" i="3" s="1"/>
  <c r="AM148" i="3" s="1"/>
  <c r="V148" i="3"/>
  <c r="M148" i="3"/>
  <c r="N148" i="3"/>
  <c r="O148" i="3"/>
  <c r="Q148" i="3" s="1"/>
  <c r="P148" i="3"/>
  <c r="L148" i="3"/>
  <c r="C148" i="3"/>
  <c r="AC147" i="3"/>
  <c r="AF147" i="3"/>
  <c r="AB147" i="3"/>
  <c r="V147" i="3"/>
  <c r="M147" i="3"/>
  <c r="L147" i="3"/>
  <c r="C147" i="3"/>
  <c r="AC146" i="3"/>
  <c r="AB146" i="3"/>
  <c r="V146" i="3"/>
  <c r="M146" i="3"/>
  <c r="L146" i="3"/>
  <c r="C146" i="3"/>
  <c r="AC145" i="3"/>
  <c r="AB145" i="3"/>
  <c r="V145" i="3"/>
  <c r="M145" i="3"/>
  <c r="P145" i="3" s="1"/>
  <c r="L145" i="3"/>
  <c r="C145" i="3"/>
  <c r="AC144" i="3"/>
  <c r="AB144" i="3"/>
  <c r="V144" i="3"/>
  <c r="M144" i="3"/>
  <c r="P144" i="3"/>
  <c r="L144" i="3"/>
  <c r="C144" i="3"/>
  <c r="AC143" i="3"/>
  <c r="AF143" i="3" s="1"/>
  <c r="AB143" i="3"/>
  <c r="V143" i="3"/>
  <c r="M143" i="3"/>
  <c r="P143" i="3" s="1"/>
  <c r="L143" i="3"/>
  <c r="C143" i="3"/>
  <c r="AC142" i="3"/>
  <c r="AB142" i="3"/>
  <c r="V142" i="3"/>
  <c r="M142" i="3"/>
  <c r="L142" i="3"/>
  <c r="C142" i="3"/>
  <c r="AC141" i="3"/>
  <c r="AF141" i="3"/>
  <c r="AB141" i="3"/>
  <c r="V141" i="3"/>
  <c r="M141" i="3"/>
  <c r="P141" i="3" s="1"/>
  <c r="L141" i="3"/>
  <c r="C141" i="3"/>
  <c r="AC140" i="3"/>
  <c r="AF140" i="3" s="1"/>
  <c r="AB140" i="3"/>
  <c r="V140" i="3"/>
  <c r="M140" i="3"/>
  <c r="P140" i="3" s="1"/>
  <c r="L140" i="3"/>
  <c r="N140" i="3"/>
  <c r="O140" i="3" s="1"/>
  <c r="C140" i="3"/>
  <c r="AC139" i="3"/>
  <c r="AF139" i="3" s="1"/>
  <c r="AB139" i="3"/>
  <c r="V139" i="3"/>
  <c r="M139" i="3"/>
  <c r="N139" i="3" s="1"/>
  <c r="O139" i="3" s="1"/>
  <c r="Q139" i="3" s="1"/>
  <c r="P139" i="3"/>
  <c r="L139" i="3"/>
  <c r="C139" i="3"/>
  <c r="AC138" i="3"/>
  <c r="AF138" i="3" s="1"/>
  <c r="AB138" i="3"/>
  <c r="V138" i="3"/>
  <c r="M138" i="3"/>
  <c r="L138" i="3"/>
  <c r="C138" i="3"/>
  <c r="AC137" i="3"/>
  <c r="AF137" i="3" s="1"/>
  <c r="AB137" i="3"/>
  <c r="V137" i="3"/>
  <c r="M137" i="3"/>
  <c r="P137" i="3"/>
  <c r="L137" i="3"/>
  <c r="C137" i="3"/>
  <c r="AC136" i="3"/>
  <c r="AB136" i="3"/>
  <c r="V136" i="3"/>
  <c r="M136" i="3"/>
  <c r="P136" i="3"/>
  <c r="L136" i="3"/>
  <c r="C136" i="3"/>
  <c r="AC135" i="3"/>
  <c r="AF135" i="3" s="1"/>
  <c r="AB135" i="3"/>
  <c r="V135" i="3"/>
  <c r="M135" i="3"/>
  <c r="L135" i="3"/>
  <c r="C135" i="3"/>
  <c r="AC134" i="3"/>
  <c r="AB134" i="3"/>
  <c r="V134" i="3"/>
  <c r="M134" i="3"/>
  <c r="P134" i="3" s="1"/>
  <c r="L134" i="3"/>
  <c r="C134" i="3"/>
  <c r="AC133" i="3"/>
  <c r="AB133" i="3"/>
  <c r="V133" i="3"/>
  <c r="M133" i="3"/>
  <c r="P133" i="3"/>
  <c r="L133" i="3"/>
  <c r="C133" i="3"/>
  <c r="AC132" i="3"/>
  <c r="AF132" i="3" s="1"/>
  <c r="AB132" i="3"/>
  <c r="V132" i="3"/>
  <c r="M132" i="3"/>
  <c r="P132" i="3"/>
  <c r="L132" i="3"/>
  <c r="C132" i="3"/>
  <c r="AC131" i="3"/>
  <c r="AF131" i="3"/>
  <c r="AB131" i="3"/>
  <c r="AD131" i="3" s="1"/>
  <c r="AE131" i="3" s="1"/>
  <c r="V131" i="3"/>
  <c r="M131" i="3"/>
  <c r="L131" i="3"/>
  <c r="C131" i="3"/>
  <c r="AC130" i="3"/>
  <c r="AF130" i="3"/>
  <c r="AB130" i="3"/>
  <c r="AD130" i="3" s="1"/>
  <c r="V130" i="3"/>
  <c r="M130" i="3"/>
  <c r="P130" i="3"/>
  <c r="L130" i="3"/>
  <c r="C130" i="3"/>
  <c r="AC129" i="3"/>
  <c r="AB129" i="3"/>
  <c r="V129" i="3"/>
  <c r="M129" i="3"/>
  <c r="L129" i="3"/>
  <c r="C129" i="3"/>
  <c r="AC128" i="3"/>
  <c r="AB128" i="3"/>
  <c r="V128" i="3"/>
  <c r="M128" i="3"/>
  <c r="P128" i="3" s="1"/>
  <c r="L128" i="3"/>
  <c r="C128" i="3"/>
  <c r="AC127" i="3"/>
  <c r="AF127" i="3"/>
  <c r="AB127" i="3"/>
  <c r="V127" i="3"/>
  <c r="M127" i="3"/>
  <c r="L127" i="3"/>
  <c r="C127" i="3"/>
  <c r="AC126" i="3"/>
  <c r="AF126" i="3"/>
  <c r="AB126" i="3"/>
  <c r="V126" i="3"/>
  <c r="M126" i="3"/>
  <c r="P126" i="3" s="1"/>
  <c r="L126" i="3"/>
  <c r="N126" i="3"/>
  <c r="O126" i="3" s="1"/>
  <c r="Q126" i="3" s="1"/>
  <c r="C126" i="3"/>
  <c r="AC125" i="3"/>
  <c r="AF125" i="3" s="1"/>
  <c r="AB125" i="3"/>
  <c r="V125" i="3"/>
  <c r="M125" i="3"/>
  <c r="P125" i="3"/>
  <c r="L125" i="3"/>
  <c r="C125" i="3"/>
  <c r="AC124" i="3"/>
  <c r="AF124" i="3"/>
  <c r="AB124" i="3"/>
  <c r="AD124" i="3" s="1"/>
  <c r="AE124" i="3" s="1"/>
  <c r="V124" i="3"/>
  <c r="M124" i="3"/>
  <c r="P124" i="3" s="1"/>
  <c r="L124" i="3"/>
  <c r="N124" i="3" s="1"/>
  <c r="O124" i="3" s="1"/>
  <c r="C124" i="3"/>
  <c r="AC123" i="3"/>
  <c r="AF123" i="3"/>
  <c r="AB123" i="3"/>
  <c r="V123" i="3"/>
  <c r="M123" i="3"/>
  <c r="P123" i="3" s="1"/>
  <c r="L123" i="3"/>
  <c r="C123" i="3"/>
  <c r="AC122" i="3"/>
  <c r="AB122" i="3"/>
  <c r="V122" i="3"/>
  <c r="M122" i="3"/>
  <c r="P122" i="3"/>
  <c r="L122" i="3"/>
  <c r="C122" i="3"/>
  <c r="AC121" i="3"/>
  <c r="AF121" i="3" s="1"/>
  <c r="AB121" i="3"/>
  <c r="V121" i="3"/>
  <c r="M121" i="3"/>
  <c r="P121" i="3"/>
  <c r="L121" i="3"/>
  <c r="C121" i="3"/>
  <c r="AC120" i="3"/>
  <c r="AF120" i="3"/>
  <c r="AB120" i="3"/>
  <c r="V120" i="3"/>
  <c r="M120" i="3"/>
  <c r="L120" i="3"/>
  <c r="C120" i="3"/>
  <c r="AC119" i="3"/>
  <c r="AF119" i="3"/>
  <c r="AB119" i="3"/>
  <c r="V119" i="3"/>
  <c r="M119" i="3"/>
  <c r="P119" i="3" s="1"/>
  <c r="L119" i="3"/>
  <c r="C119" i="3"/>
  <c r="AC118" i="3"/>
  <c r="AB118" i="3"/>
  <c r="AD118" i="3" s="1"/>
  <c r="AE118" i="3" s="1"/>
  <c r="V118" i="3"/>
  <c r="M118" i="3"/>
  <c r="P118" i="3"/>
  <c r="L118" i="3"/>
  <c r="C118" i="3"/>
  <c r="AC117" i="3"/>
  <c r="AF117" i="3"/>
  <c r="AB117" i="3"/>
  <c r="V117" i="3"/>
  <c r="M117" i="3"/>
  <c r="L117" i="3"/>
  <c r="C117" i="3"/>
  <c r="AC116" i="3"/>
  <c r="AB116" i="3"/>
  <c r="V116" i="3"/>
  <c r="M116" i="3"/>
  <c r="P116" i="3"/>
  <c r="L116" i="3"/>
  <c r="C116" i="3"/>
  <c r="AC115" i="3"/>
  <c r="AF115" i="3" s="1"/>
  <c r="AB115" i="3"/>
  <c r="V115" i="3"/>
  <c r="M115" i="3"/>
  <c r="P115" i="3" s="1"/>
  <c r="L115" i="3"/>
  <c r="N115" i="3"/>
  <c r="O115" i="3" s="1"/>
  <c r="C115" i="3"/>
  <c r="AC114" i="3"/>
  <c r="AF114" i="3"/>
  <c r="AB114" i="3"/>
  <c r="AD114" i="3" s="1"/>
  <c r="AE114" i="3" s="1"/>
  <c r="AG114" i="3" s="1"/>
  <c r="V114" i="3"/>
  <c r="M114" i="3"/>
  <c r="P114" i="3"/>
  <c r="L114" i="3"/>
  <c r="C114" i="3"/>
  <c r="AC113" i="3"/>
  <c r="AF113" i="3" s="1"/>
  <c r="AB113" i="3"/>
  <c r="AD113" i="3"/>
  <c r="V113" i="3"/>
  <c r="M113" i="3"/>
  <c r="P113" i="3"/>
  <c r="L113" i="3"/>
  <c r="C113" i="3"/>
  <c r="AC112" i="3"/>
  <c r="AF112" i="3" s="1"/>
  <c r="AB112" i="3"/>
  <c r="V112" i="3"/>
  <c r="M112" i="3"/>
  <c r="P112" i="3" s="1"/>
  <c r="L112" i="3"/>
  <c r="N112" i="3" s="1"/>
  <c r="C112" i="3"/>
  <c r="AC111" i="3"/>
  <c r="AF111" i="3" s="1"/>
  <c r="AB111" i="3"/>
  <c r="V111" i="3"/>
  <c r="M111" i="3"/>
  <c r="P111" i="3" s="1"/>
  <c r="L111" i="3"/>
  <c r="C111" i="3"/>
  <c r="AC110" i="3"/>
  <c r="AF110" i="3"/>
  <c r="AB110" i="3"/>
  <c r="AD110" i="3"/>
  <c r="AE110" i="3" s="1"/>
  <c r="V110" i="3"/>
  <c r="M110" i="3"/>
  <c r="P110" i="3"/>
  <c r="L110" i="3"/>
  <c r="C110" i="3"/>
  <c r="AC109" i="3"/>
  <c r="AF109" i="3" s="1"/>
  <c r="AB109" i="3"/>
  <c r="V109" i="3"/>
  <c r="M109" i="3"/>
  <c r="L109" i="3"/>
  <c r="C109" i="3"/>
  <c r="AC108" i="3"/>
  <c r="AF108" i="3" s="1"/>
  <c r="AB108" i="3"/>
  <c r="V108" i="3"/>
  <c r="M108" i="3"/>
  <c r="P108" i="3"/>
  <c r="L108" i="3"/>
  <c r="C108" i="3"/>
  <c r="AC107" i="3"/>
  <c r="AB107" i="3"/>
  <c r="V107" i="3"/>
  <c r="M107" i="3"/>
  <c r="P107" i="3" s="1"/>
  <c r="L107" i="3"/>
  <c r="C107" i="3"/>
  <c r="AC106" i="3"/>
  <c r="AF106" i="3" s="1"/>
  <c r="AB106" i="3"/>
  <c r="V106" i="3"/>
  <c r="M106" i="3"/>
  <c r="P106" i="3"/>
  <c r="L106" i="3"/>
  <c r="C106" i="3"/>
  <c r="AC105" i="3"/>
  <c r="AB105" i="3"/>
  <c r="V105" i="3"/>
  <c r="M105" i="3"/>
  <c r="L105" i="3"/>
  <c r="C105" i="3"/>
  <c r="AC104" i="3"/>
  <c r="AF104" i="3"/>
  <c r="AB104" i="3"/>
  <c r="V104" i="3"/>
  <c r="M104" i="3"/>
  <c r="P104" i="3"/>
  <c r="L104" i="3"/>
  <c r="C104" i="3"/>
  <c r="AC103" i="3"/>
  <c r="AB103" i="3"/>
  <c r="V103" i="3"/>
  <c r="M103" i="3"/>
  <c r="P103" i="3"/>
  <c r="L103" i="3"/>
  <c r="C103" i="3"/>
  <c r="AC102" i="3"/>
  <c r="AF102" i="3" s="1"/>
  <c r="AB102" i="3"/>
  <c r="V102" i="3"/>
  <c r="M102" i="3"/>
  <c r="P102" i="3"/>
  <c r="L102" i="3"/>
  <c r="C102" i="3"/>
  <c r="AC101" i="3"/>
  <c r="AD101" i="3"/>
  <c r="AE101" i="3" s="1"/>
  <c r="AB101" i="3"/>
  <c r="V101" i="3"/>
  <c r="M101" i="3"/>
  <c r="P101" i="3"/>
  <c r="L101" i="3"/>
  <c r="C101" i="3"/>
  <c r="AC100" i="3"/>
  <c r="AF100" i="3"/>
  <c r="AB100" i="3"/>
  <c r="AD100" i="3" s="1"/>
  <c r="AE100" i="3" s="1"/>
  <c r="V100" i="3"/>
  <c r="M100" i="3"/>
  <c r="P100" i="3"/>
  <c r="L100" i="3"/>
  <c r="C100" i="3"/>
  <c r="AC99" i="3"/>
  <c r="AB99" i="3"/>
  <c r="V99" i="3"/>
  <c r="M99" i="3"/>
  <c r="L99" i="3"/>
  <c r="N99" i="3"/>
  <c r="O99" i="3"/>
  <c r="C99" i="3"/>
  <c r="AC98" i="3"/>
  <c r="AF98" i="3" s="1"/>
  <c r="AB98" i="3"/>
  <c r="V98" i="3"/>
  <c r="M98" i="3"/>
  <c r="P98" i="3"/>
  <c r="L98" i="3"/>
  <c r="C98" i="3"/>
  <c r="AC97" i="3"/>
  <c r="AF97" i="3" s="1"/>
  <c r="AB97" i="3"/>
  <c r="V97" i="3"/>
  <c r="M97" i="3"/>
  <c r="P97" i="3" s="1"/>
  <c r="L97" i="3"/>
  <c r="C97" i="3"/>
  <c r="AC96" i="3"/>
  <c r="AF96" i="3"/>
  <c r="AB96" i="3"/>
  <c r="V96" i="3"/>
  <c r="M96" i="3"/>
  <c r="P96" i="3"/>
  <c r="L96" i="3"/>
  <c r="C96" i="3"/>
  <c r="AC95" i="3"/>
  <c r="AF95" i="3" s="1"/>
  <c r="AB95" i="3"/>
  <c r="V95" i="3"/>
  <c r="M95" i="3"/>
  <c r="L95" i="3"/>
  <c r="C95" i="3"/>
  <c r="AC94" i="3"/>
  <c r="AF94" i="3" s="1"/>
  <c r="AB94" i="3"/>
  <c r="V94" i="3"/>
  <c r="M94" i="3"/>
  <c r="P94" i="3"/>
  <c r="L94" i="3"/>
  <c r="C94" i="3"/>
  <c r="AC93" i="3"/>
  <c r="AB93" i="3"/>
  <c r="V93" i="3"/>
  <c r="M93" i="3"/>
  <c r="P93" i="3" s="1"/>
  <c r="L93" i="3"/>
  <c r="C93" i="3"/>
  <c r="AC92" i="3"/>
  <c r="AF92" i="3" s="1"/>
  <c r="AB92" i="3"/>
  <c r="V92" i="3"/>
  <c r="M92" i="3"/>
  <c r="P92" i="3"/>
  <c r="L92" i="3"/>
  <c r="C92" i="3"/>
  <c r="AC91" i="3"/>
  <c r="AF91" i="3" s="1"/>
  <c r="AB91" i="3"/>
  <c r="V91" i="3"/>
  <c r="M91" i="3"/>
  <c r="L91" i="3"/>
  <c r="C91" i="3"/>
  <c r="AC90" i="3"/>
  <c r="AF90" i="3"/>
  <c r="AB90" i="3"/>
  <c r="V90" i="3"/>
  <c r="M90" i="3"/>
  <c r="L90" i="3"/>
  <c r="C90" i="3"/>
  <c r="AC89" i="3"/>
  <c r="AF89" i="3"/>
  <c r="AB89" i="3"/>
  <c r="V89" i="3"/>
  <c r="M89" i="3"/>
  <c r="P89" i="3" s="1"/>
  <c r="L89" i="3"/>
  <c r="C89" i="3"/>
  <c r="AC88" i="3"/>
  <c r="AF88" i="3"/>
  <c r="AB88" i="3"/>
  <c r="V88" i="3"/>
  <c r="M88" i="3"/>
  <c r="P88" i="3"/>
  <c r="L88" i="3"/>
  <c r="C88" i="3"/>
  <c r="AC87" i="3"/>
  <c r="AF87" i="3" s="1"/>
  <c r="AB87" i="3"/>
  <c r="V87" i="3"/>
  <c r="M87" i="3"/>
  <c r="P87" i="3"/>
  <c r="L87" i="3"/>
  <c r="C87" i="3"/>
  <c r="AC86" i="3"/>
  <c r="AB86" i="3"/>
  <c r="V86" i="3"/>
  <c r="M86" i="3"/>
  <c r="P86" i="3"/>
  <c r="L86" i="3"/>
  <c r="C86" i="3"/>
  <c r="AC85" i="3"/>
  <c r="AF85" i="3" s="1"/>
  <c r="AB85" i="3"/>
  <c r="AD85" i="3" s="1"/>
  <c r="AE85" i="3" s="1"/>
  <c r="V85" i="3"/>
  <c r="M85" i="3"/>
  <c r="P85" i="3"/>
  <c r="L85" i="3"/>
  <c r="C85" i="3"/>
  <c r="AC84" i="3"/>
  <c r="AB84" i="3"/>
  <c r="V84" i="3"/>
  <c r="M84" i="3"/>
  <c r="P84" i="3" s="1"/>
  <c r="L84" i="3"/>
  <c r="C84" i="3"/>
  <c r="AC83" i="3"/>
  <c r="AB83" i="3"/>
  <c r="V83" i="3"/>
  <c r="M83" i="3"/>
  <c r="P83" i="3"/>
  <c r="L83" i="3"/>
  <c r="C83" i="3"/>
  <c r="AC82" i="3"/>
  <c r="AB82" i="3"/>
  <c r="V82" i="3"/>
  <c r="M82" i="3"/>
  <c r="P82" i="3"/>
  <c r="L82" i="3"/>
  <c r="C82" i="3"/>
  <c r="AC81" i="3"/>
  <c r="AF81" i="3" s="1"/>
  <c r="AB81" i="3"/>
  <c r="V81" i="3"/>
  <c r="M81" i="3"/>
  <c r="L81" i="3"/>
  <c r="C81" i="3"/>
  <c r="AC80" i="3"/>
  <c r="AF80" i="3"/>
  <c r="AB80" i="3"/>
  <c r="V80" i="3"/>
  <c r="M80" i="3"/>
  <c r="P80" i="3"/>
  <c r="L80" i="3"/>
  <c r="C80" i="3"/>
  <c r="AC79" i="3"/>
  <c r="AF79" i="3" s="1"/>
  <c r="AB79" i="3"/>
  <c r="V79" i="3"/>
  <c r="M79" i="3"/>
  <c r="L79" i="3"/>
  <c r="C79" i="3"/>
  <c r="AC78" i="3"/>
  <c r="AB78" i="3"/>
  <c r="V78" i="3"/>
  <c r="M78" i="3"/>
  <c r="L78" i="3"/>
  <c r="C78" i="3"/>
  <c r="AC77" i="3"/>
  <c r="AB77" i="3"/>
  <c r="V77" i="3"/>
  <c r="M77" i="3"/>
  <c r="P77" i="3"/>
  <c r="L77" i="3"/>
  <c r="C77" i="3"/>
  <c r="AC76" i="3"/>
  <c r="AF76" i="3" s="1"/>
  <c r="AB76" i="3"/>
  <c r="V76" i="3"/>
  <c r="M76" i="3"/>
  <c r="P76" i="3" s="1"/>
  <c r="L76" i="3"/>
  <c r="C76" i="3"/>
  <c r="AC75" i="3"/>
  <c r="AB75" i="3"/>
  <c r="V75" i="3"/>
  <c r="M75" i="3"/>
  <c r="P75" i="3"/>
  <c r="L75" i="3"/>
  <c r="C75" i="3"/>
  <c r="AC74" i="3"/>
  <c r="AF74" i="3"/>
  <c r="AB74" i="3"/>
  <c r="V74" i="3"/>
  <c r="M74" i="3"/>
  <c r="L74" i="3"/>
  <c r="C74" i="3"/>
  <c r="AC73" i="3"/>
  <c r="AB73" i="3"/>
  <c r="V73" i="3"/>
  <c r="M73" i="3"/>
  <c r="L73" i="3"/>
  <c r="N73" i="3"/>
  <c r="O73" i="3" s="1"/>
  <c r="C73" i="3"/>
  <c r="AC72" i="3"/>
  <c r="AB72" i="3"/>
  <c r="V72" i="3"/>
  <c r="M72" i="3"/>
  <c r="P72" i="3" s="1"/>
  <c r="L72" i="3"/>
  <c r="C72" i="3"/>
  <c r="AC71" i="3"/>
  <c r="AF71" i="3" s="1"/>
  <c r="AB71" i="3"/>
  <c r="V71" i="3"/>
  <c r="M71" i="3"/>
  <c r="L71" i="3"/>
  <c r="C71" i="3"/>
  <c r="AC70" i="3"/>
  <c r="AF70" i="3"/>
  <c r="AB70" i="3"/>
  <c r="V70" i="3"/>
  <c r="M70" i="3"/>
  <c r="P70" i="3"/>
  <c r="L70" i="3"/>
  <c r="C70" i="3"/>
  <c r="AC69" i="3"/>
  <c r="AF69" i="3" s="1"/>
  <c r="AB69" i="3"/>
  <c r="AD69" i="3" s="1"/>
  <c r="AE69" i="3" s="1"/>
  <c r="AG69" i="3" s="1"/>
  <c r="AM69" i="3" s="1"/>
  <c r="V69" i="3"/>
  <c r="M69" i="3"/>
  <c r="P69" i="3"/>
  <c r="L69" i="3"/>
  <c r="C69" i="3"/>
  <c r="AC68" i="3"/>
  <c r="AF68" i="3"/>
  <c r="AB68" i="3"/>
  <c r="V68" i="3"/>
  <c r="M68" i="3"/>
  <c r="P68" i="3"/>
  <c r="L68" i="3"/>
  <c r="C68" i="3"/>
  <c r="AC67" i="3"/>
  <c r="AB67" i="3"/>
  <c r="V67" i="3"/>
  <c r="M67" i="3"/>
  <c r="L67" i="3"/>
  <c r="C67" i="3"/>
  <c r="AC66" i="3"/>
  <c r="AF66" i="3" s="1"/>
  <c r="AB66" i="3"/>
  <c r="V66" i="3"/>
  <c r="M66" i="3"/>
  <c r="P66" i="3"/>
  <c r="L66" i="3"/>
  <c r="C66" i="3"/>
  <c r="AC65" i="3"/>
  <c r="AB65" i="3"/>
  <c r="V65" i="3"/>
  <c r="M65" i="3"/>
  <c r="N65" i="3" s="1"/>
  <c r="L65" i="3"/>
  <c r="O65" i="3"/>
  <c r="C65" i="3"/>
  <c r="AC64" i="3"/>
  <c r="AF64" i="3"/>
  <c r="AB64" i="3"/>
  <c r="AD64" i="3" s="1"/>
  <c r="AE64" i="3" s="1"/>
  <c r="V64" i="3"/>
  <c r="M64" i="3"/>
  <c r="P64" i="3" s="1"/>
  <c r="L64" i="3"/>
  <c r="C64" i="3"/>
  <c r="AC63" i="3"/>
  <c r="AF63" i="3" s="1"/>
  <c r="AB63" i="3"/>
  <c r="V63" i="3"/>
  <c r="M63" i="3"/>
  <c r="P63" i="3" s="1"/>
  <c r="L63" i="3"/>
  <c r="C63" i="3"/>
  <c r="AC62" i="3"/>
  <c r="AB62" i="3"/>
  <c r="V62" i="3"/>
  <c r="M62" i="3"/>
  <c r="L62" i="3"/>
  <c r="C62" i="3"/>
  <c r="AC61" i="3"/>
  <c r="AF61" i="3"/>
  <c r="AB61" i="3"/>
  <c r="V61" i="3"/>
  <c r="M61" i="3"/>
  <c r="P61" i="3" s="1"/>
  <c r="L61" i="3"/>
  <c r="C61" i="3"/>
  <c r="AC60" i="3"/>
  <c r="AD60" i="3"/>
  <c r="AE60" i="3" s="1"/>
  <c r="AF60" i="3"/>
  <c r="AB60" i="3"/>
  <c r="V60" i="3"/>
  <c r="M60" i="3"/>
  <c r="P60" i="3" s="1"/>
  <c r="L60" i="3"/>
  <c r="N60" i="3" s="1"/>
  <c r="C60" i="3"/>
  <c r="AC59" i="3"/>
  <c r="AF59" i="3" s="1"/>
  <c r="AB59" i="3"/>
  <c r="V59" i="3"/>
  <c r="M59" i="3"/>
  <c r="L59" i="3"/>
  <c r="C59" i="3"/>
  <c r="AC58" i="3"/>
  <c r="AF58" i="3"/>
  <c r="AB58" i="3"/>
  <c r="V58" i="3"/>
  <c r="M58" i="3"/>
  <c r="P58" i="3"/>
  <c r="L58" i="3"/>
  <c r="C58" i="3"/>
  <c r="AC57" i="3"/>
  <c r="AD57" i="3" s="1"/>
  <c r="AE57" i="3" s="1"/>
  <c r="AF57" i="3"/>
  <c r="AB57" i="3"/>
  <c r="V57" i="3"/>
  <c r="M57" i="3"/>
  <c r="P57" i="3"/>
  <c r="L57" i="3"/>
  <c r="C57" i="3"/>
  <c r="AC56" i="3"/>
  <c r="AB56" i="3"/>
  <c r="V56" i="3"/>
  <c r="M56" i="3"/>
  <c r="L56" i="3"/>
  <c r="C56" i="3"/>
  <c r="AC55" i="3"/>
  <c r="AB55" i="3"/>
  <c r="V55" i="3"/>
  <c r="M55" i="3"/>
  <c r="P55" i="3"/>
  <c r="L55" i="3"/>
  <c r="C55" i="3"/>
  <c r="AC54" i="3"/>
  <c r="AB54" i="3"/>
  <c r="V54" i="3"/>
  <c r="M54" i="3"/>
  <c r="P54" i="3" s="1"/>
  <c r="L54" i="3"/>
  <c r="C54" i="3"/>
  <c r="AC53" i="3"/>
  <c r="AF53" i="3" s="1"/>
  <c r="AB53" i="3"/>
  <c r="V53" i="3"/>
  <c r="M53" i="3"/>
  <c r="P53" i="3" s="1"/>
  <c r="L53" i="3"/>
  <c r="C53" i="3"/>
  <c r="AC52" i="3"/>
  <c r="AF52" i="3" s="1"/>
  <c r="AB52" i="3"/>
  <c r="V52" i="3"/>
  <c r="M52" i="3"/>
  <c r="P52" i="3"/>
  <c r="L52" i="3"/>
  <c r="C52" i="3"/>
  <c r="AC51" i="3"/>
  <c r="AB51" i="3"/>
  <c r="V51" i="3"/>
  <c r="M51" i="3"/>
  <c r="P51" i="3"/>
  <c r="L51" i="3"/>
  <c r="C51" i="3"/>
  <c r="AC50" i="3"/>
  <c r="AF50" i="3"/>
  <c r="AB50" i="3"/>
  <c r="AD50" i="3" s="1"/>
  <c r="AE50" i="3" s="1"/>
  <c r="V50" i="3"/>
  <c r="M50" i="3"/>
  <c r="P50" i="3"/>
  <c r="L50" i="3"/>
  <c r="C50" i="3"/>
  <c r="AC49" i="3"/>
  <c r="AF49" i="3"/>
  <c r="AB49" i="3"/>
  <c r="V49" i="3"/>
  <c r="M49" i="3"/>
  <c r="P49" i="3"/>
  <c r="L49" i="3"/>
  <c r="C49" i="3"/>
  <c r="AC48" i="3"/>
  <c r="AF48" i="3" s="1"/>
  <c r="AB48" i="3"/>
  <c r="V48" i="3"/>
  <c r="M48" i="3"/>
  <c r="P48" i="3"/>
  <c r="L48" i="3"/>
  <c r="N48" i="3"/>
  <c r="C48" i="3"/>
  <c r="AC47" i="3"/>
  <c r="AF47" i="3"/>
  <c r="AB47" i="3"/>
  <c r="V47" i="3"/>
  <c r="M47" i="3"/>
  <c r="P47" i="3" s="1"/>
  <c r="L47" i="3"/>
  <c r="C47" i="3"/>
  <c r="AC46" i="3"/>
  <c r="AF46" i="3" s="1"/>
  <c r="AB46" i="3"/>
  <c r="AD46" i="3" s="1"/>
  <c r="V46" i="3"/>
  <c r="M46" i="3"/>
  <c r="P46" i="3" s="1"/>
  <c r="L46" i="3"/>
  <c r="C46" i="3"/>
  <c r="AC45" i="3"/>
  <c r="AD45" i="3" s="1"/>
  <c r="AE45" i="3" s="1"/>
  <c r="AB45" i="3"/>
  <c r="V45" i="3"/>
  <c r="M45" i="3"/>
  <c r="P45" i="3" s="1"/>
  <c r="L45" i="3"/>
  <c r="C45" i="3"/>
  <c r="AC44" i="3"/>
  <c r="AF44" i="3"/>
  <c r="AB44" i="3"/>
  <c r="V44" i="3"/>
  <c r="M44" i="3"/>
  <c r="L44" i="3"/>
  <c r="C44" i="3"/>
  <c r="AC43" i="3"/>
  <c r="AF43" i="3"/>
  <c r="AB43" i="3"/>
  <c r="V43" i="3"/>
  <c r="M43" i="3"/>
  <c r="N43" i="3"/>
  <c r="P43" i="3"/>
  <c r="L43" i="3"/>
  <c r="C43" i="3"/>
  <c r="AC42" i="3"/>
  <c r="AF42" i="3" s="1"/>
  <c r="AB42" i="3"/>
  <c r="V42" i="3"/>
  <c r="M42" i="3"/>
  <c r="P42" i="3" s="1"/>
  <c r="L42" i="3"/>
  <c r="C42" i="3"/>
  <c r="AC41" i="3"/>
  <c r="AF41" i="3"/>
  <c r="AB41" i="3"/>
  <c r="V41" i="3"/>
  <c r="M41" i="3"/>
  <c r="P41" i="3" s="1"/>
  <c r="L41" i="3"/>
  <c r="C41" i="3"/>
  <c r="AC40" i="3"/>
  <c r="AB40" i="3"/>
  <c r="V40" i="3"/>
  <c r="M40" i="3"/>
  <c r="P40" i="3"/>
  <c r="L40" i="3"/>
  <c r="N40" i="3" s="1"/>
  <c r="O40" i="3" s="1"/>
  <c r="Q40" i="3"/>
  <c r="C40" i="3"/>
  <c r="AC39" i="3"/>
  <c r="AF39" i="3" s="1"/>
  <c r="AB39" i="3"/>
  <c r="AD39" i="3" s="1"/>
  <c r="AE39" i="3" s="1"/>
  <c r="V39" i="3"/>
  <c r="M39" i="3"/>
  <c r="L39" i="3"/>
  <c r="C39" i="3"/>
  <c r="AC38" i="3"/>
  <c r="AB38" i="3"/>
  <c r="V38" i="3"/>
  <c r="M38" i="3"/>
  <c r="L38" i="3"/>
  <c r="C38" i="3"/>
  <c r="AC37" i="3"/>
  <c r="AF37" i="3" s="1"/>
  <c r="AB37" i="3"/>
  <c r="V37" i="3"/>
  <c r="M37" i="3"/>
  <c r="P37" i="3"/>
  <c r="L37" i="3"/>
  <c r="C37" i="3"/>
  <c r="AC36" i="3"/>
  <c r="AF36" i="3" s="1"/>
  <c r="AB36" i="3"/>
  <c r="V36" i="3"/>
  <c r="M36" i="3"/>
  <c r="P36" i="3"/>
  <c r="L36" i="3"/>
  <c r="C36" i="3"/>
  <c r="AC35" i="3"/>
  <c r="AF35" i="3"/>
  <c r="AB35" i="3"/>
  <c r="V35" i="3"/>
  <c r="M35" i="3"/>
  <c r="P35" i="3"/>
  <c r="L35" i="3"/>
  <c r="C35" i="3"/>
  <c r="AC34" i="3"/>
  <c r="AB34" i="3"/>
  <c r="AD34" i="3"/>
  <c r="AE34" i="3" s="1"/>
  <c r="V34" i="3"/>
  <c r="M34" i="3"/>
  <c r="P34" i="3"/>
  <c r="L34" i="3"/>
  <c r="C34" i="3"/>
  <c r="AC33" i="3"/>
  <c r="AB33" i="3"/>
  <c r="V33" i="3"/>
  <c r="M33" i="3"/>
  <c r="P33" i="3"/>
  <c r="L33" i="3"/>
  <c r="C33" i="3"/>
  <c r="AC32" i="3"/>
  <c r="AF32" i="3" s="1"/>
  <c r="AB32" i="3"/>
  <c r="V32" i="3"/>
  <c r="M32" i="3"/>
  <c r="P32" i="3" s="1"/>
  <c r="L32" i="3"/>
  <c r="C32" i="3"/>
  <c r="AC31" i="3"/>
  <c r="AF31" i="3" s="1"/>
  <c r="AB31" i="3"/>
  <c r="V31" i="3"/>
  <c r="M31" i="3"/>
  <c r="P31" i="3" s="1"/>
  <c r="L31" i="3"/>
  <c r="N31" i="3" s="1"/>
  <c r="O31" i="3" s="1"/>
  <c r="C31" i="3"/>
  <c r="AC30" i="3"/>
  <c r="AF30" i="3" s="1"/>
  <c r="AB30" i="3"/>
  <c r="V30" i="3"/>
  <c r="M30" i="3"/>
  <c r="L30" i="3"/>
  <c r="C30" i="3"/>
  <c r="AC29" i="3"/>
  <c r="AF29" i="3" s="1"/>
  <c r="AB29" i="3"/>
  <c r="V29" i="3"/>
  <c r="M29" i="3"/>
  <c r="P29" i="3"/>
  <c r="L29" i="3"/>
  <c r="N29" i="3" s="1"/>
  <c r="O29" i="3" s="1"/>
  <c r="Q29" i="3" s="1"/>
  <c r="C29" i="3"/>
  <c r="AC28" i="3"/>
  <c r="AB28" i="3"/>
  <c r="V28" i="3"/>
  <c r="M28" i="3"/>
  <c r="P28" i="3"/>
  <c r="L28" i="3"/>
  <c r="C28" i="3"/>
  <c r="AC27" i="3"/>
  <c r="AF27" i="3" s="1"/>
  <c r="AB27" i="3"/>
  <c r="AD27" i="3"/>
  <c r="AE27" i="3" s="1"/>
  <c r="AG27" i="3" s="1"/>
  <c r="AM27" i="3" s="1"/>
  <c r="V27" i="3"/>
  <c r="M27" i="3"/>
  <c r="L27" i="3"/>
  <c r="N27" i="3" s="1"/>
  <c r="C27" i="3"/>
  <c r="AC26" i="3"/>
  <c r="AF26" i="3" s="1"/>
  <c r="AB26" i="3"/>
  <c r="V26" i="3"/>
  <c r="M26" i="3"/>
  <c r="P26" i="3" s="1"/>
  <c r="L26" i="3"/>
  <c r="C26" i="3"/>
  <c r="AC25" i="3"/>
  <c r="AB25" i="3"/>
  <c r="V25" i="3"/>
  <c r="M25" i="3"/>
  <c r="P25" i="3"/>
  <c r="L25" i="3"/>
  <c r="C25" i="3"/>
  <c r="AC24" i="3"/>
  <c r="AF24" i="3"/>
  <c r="AB24" i="3"/>
  <c r="V24" i="3"/>
  <c r="M24" i="3"/>
  <c r="P24" i="3"/>
  <c r="L24" i="3"/>
  <c r="C24" i="3"/>
  <c r="AC23" i="3"/>
  <c r="AF23" i="3"/>
  <c r="AB23" i="3"/>
  <c r="AD23" i="3" s="1"/>
  <c r="AE23" i="3" s="1"/>
  <c r="AG23" i="3" s="1"/>
  <c r="AM23" i="3" s="1"/>
  <c r="V23" i="3"/>
  <c r="M23" i="3"/>
  <c r="L23" i="3"/>
  <c r="C23" i="3"/>
  <c r="AC22" i="3"/>
  <c r="AF22" i="3" s="1"/>
  <c r="AB22" i="3"/>
  <c r="V22" i="3"/>
  <c r="M22" i="3"/>
  <c r="L22" i="3"/>
  <c r="C22" i="3"/>
  <c r="AC21" i="3"/>
  <c r="AF21" i="3" s="1"/>
  <c r="AB21" i="3"/>
  <c r="V21" i="3"/>
  <c r="M21" i="3"/>
  <c r="P21" i="3"/>
  <c r="L21" i="3"/>
  <c r="N21" i="3" s="1"/>
  <c r="O21" i="3"/>
  <c r="Q21" i="3" s="1"/>
  <c r="C21" i="3"/>
  <c r="AC20" i="3"/>
  <c r="AF20" i="3" s="1"/>
  <c r="AB20" i="3"/>
  <c r="AD20" i="3" s="1"/>
  <c r="AE20" i="3" s="1"/>
  <c r="V20" i="3"/>
  <c r="M20" i="3"/>
  <c r="L20" i="3"/>
  <c r="C20" i="3"/>
  <c r="AC19" i="3"/>
  <c r="AF19" i="3" s="1"/>
  <c r="AB19" i="3"/>
  <c r="V19" i="3"/>
  <c r="M19" i="3"/>
  <c r="L19" i="3"/>
  <c r="C19" i="3"/>
  <c r="AC18" i="3"/>
  <c r="AF18" i="3"/>
  <c r="AB18" i="3"/>
  <c r="AD18" i="3"/>
  <c r="AE18" i="3" s="1"/>
  <c r="V18" i="3"/>
  <c r="M18" i="3"/>
  <c r="P18" i="3"/>
  <c r="L18" i="3"/>
  <c r="C18" i="3"/>
  <c r="AC17" i="3"/>
  <c r="AF17" i="3" s="1"/>
  <c r="AB17" i="3"/>
  <c r="V17" i="3"/>
  <c r="M17" i="3"/>
  <c r="P17" i="3" s="1"/>
  <c r="L17" i="3"/>
  <c r="C17" i="3"/>
  <c r="AC16" i="3"/>
  <c r="AF16" i="3"/>
  <c r="AB16" i="3"/>
  <c r="AD16" i="3"/>
  <c r="AE16" i="3" s="1"/>
  <c r="V16" i="3"/>
  <c r="M16" i="3"/>
  <c r="P16" i="3" s="1"/>
  <c r="L16" i="3"/>
  <c r="C16" i="3"/>
  <c r="AC15" i="3"/>
  <c r="AF15" i="3"/>
  <c r="AB15" i="3"/>
  <c r="V15" i="3"/>
  <c r="M15" i="3"/>
  <c r="P15" i="3"/>
  <c r="L15" i="3"/>
  <c r="C15" i="3"/>
  <c r="AC14" i="3"/>
  <c r="AF14" i="3" s="1"/>
  <c r="AB14" i="3"/>
  <c r="V14" i="3"/>
  <c r="M14" i="3"/>
  <c r="P14" i="3"/>
  <c r="L14" i="3"/>
  <c r="C14" i="3"/>
  <c r="AC13" i="3"/>
  <c r="AF13" i="3"/>
  <c r="AB13" i="3"/>
  <c r="V13" i="3"/>
  <c r="M13" i="3"/>
  <c r="P13" i="3"/>
  <c r="L13" i="3"/>
  <c r="C13" i="3"/>
  <c r="AC12" i="3"/>
  <c r="AF12" i="3"/>
  <c r="AB12" i="3"/>
  <c r="AD12" i="3" s="1"/>
  <c r="AE12" i="3" s="1"/>
  <c r="V12" i="3"/>
  <c r="M12" i="3"/>
  <c r="P12" i="3" s="1"/>
  <c r="L12" i="3"/>
  <c r="C12" i="3"/>
  <c r="AC11" i="3"/>
  <c r="AF11" i="3" s="1"/>
  <c r="AB11" i="3"/>
  <c r="V11" i="3"/>
  <c r="M11" i="3"/>
  <c r="L11" i="3"/>
  <c r="C11" i="3"/>
  <c r="AC10" i="3"/>
  <c r="AF10" i="3"/>
  <c r="AB10" i="3"/>
  <c r="V10" i="3"/>
  <c r="M10" i="3"/>
  <c r="P10" i="3" s="1"/>
  <c r="L10" i="3"/>
  <c r="C10" i="3"/>
  <c r="A1" i="3"/>
  <c r="C30" i="2"/>
  <c r="E26" i="2"/>
  <c r="G24" i="2"/>
  <c r="C17" i="2"/>
  <c r="C16" i="2"/>
  <c r="F7" i="2"/>
  <c r="B7" i="2"/>
  <c r="B8" i="10"/>
  <c r="C8" i="10" s="1"/>
  <c r="F8" i="10" s="1"/>
  <c r="F6" i="2"/>
  <c r="C20" i="2"/>
  <c r="N133" i="3"/>
  <c r="O133" i="3"/>
  <c r="AE162" i="3"/>
  <c r="N203" i="3"/>
  <c r="O203" i="3" s="1"/>
  <c r="N227" i="3"/>
  <c r="O227" i="3"/>
  <c r="Q227" i="3" s="1"/>
  <c r="AD286" i="3"/>
  <c r="AE286" i="3" s="1"/>
  <c r="AG286" i="3" s="1"/>
  <c r="AM286" i="3" s="1"/>
  <c r="AD294" i="3"/>
  <c r="AE294" i="3" s="1"/>
  <c r="O303" i="3"/>
  <c r="N311" i="3"/>
  <c r="O311" i="3"/>
  <c r="N312" i="3"/>
  <c r="O312" i="3" s="1"/>
  <c r="Q312" i="3" s="1"/>
  <c r="AD315" i="3"/>
  <c r="AE315" i="3" s="1"/>
  <c r="AG315" i="3" s="1"/>
  <c r="AM315" i="3" s="1"/>
  <c r="N320" i="3"/>
  <c r="O320" i="3" s="1"/>
  <c r="AD323" i="3"/>
  <c r="AE323" i="3" s="1"/>
  <c r="AG323" i="3"/>
  <c r="AM323" i="3" s="1"/>
  <c r="AE206" i="3"/>
  <c r="N235" i="3"/>
  <c r="O235" i="3" s="1"/>
  <c r="N267" i="3"/>
  <c r="O267" i="3" s="1"/>
  <c r="N283" i="3"/>
  <c r="O283" i="3" s="1"/>
  <c r="Q283" i="3"/>
  <c r="N307" i="3"/>
  <c r="O307" i="3" s="1"/>
  <c r="Q307" i="3" s="1"/>
  <c r="N315" i="3"/>
  <c r="O315" i="3" s="1"/>
  <c r="AF346" i="3"/>
  <c r="AD354" i="3"/>
  <c r="AE354" i="3" s="1"/>
  <c r="R14" i="4"/>
  <c r="R22" i="4"/>
  <c r="P26" i="4"/>
  <c r="Q26" i="4"/>
  <c r="R34" i="4"/>
  <c r="R38" i="4"/>
  <c r="P38" i="4"/>
  <c r="Q38" i="4"/>
  <c r="R42" i="4"/>
  <c r="P42" i="4"/>
  <c r="Q42" i="4"/>
  <c r="P46" i="4"/>
  <c r="Q46" i="4" s="1"/>
  <c r="P54" i="4"/>
  <c r="Q54" i="4" s="1"/>
  <c r="R58" i="4"/>
  <c r="P58" i="4"/>
  <c r="Q58" i="4" s="1"/>
  <c r="R62" i="4"/>
  <c r="R66" i="4"/>
  <c r="R70" i="4"/>
  <c r="R74" i="4"/>
  <c r="R82" i="4"/>
  <c r="P82" i="4"/>
  <c r="Q82" i="4" s="1"/>
  <c r="R86" i="4"/>
  <c r="R98" i="4"/>
  <c r="R102" i="4"/>
  <c r="P102" i="4"/>
  <c r="Q102" i="4" s="1"/>
  <c r="R106" i="4"/>
  <c r="R118" i="4"/>
  <c r="R122" i="4"/>
  <c r="P122" i="4"/>
  <c r="Q122" i="4"/>
  <c r="R126" i="4"/>
  <c r="R130" i="4"/>
  <c r="P134" i="4"/>
  <c r="Q134" i="4" s="1"/>
  <c r="R138" i="4"/>
  <c r="P138" i="4"/>
  <c r="Q138" i="4" s="1"/>
  <c r="R142" i="4"/>
  <c r="R154" i="4"/>
  <c r="R158" i="4"/>
  <c r="R162" i="4"/>
  <c r="P162" i="4"/>
  <c r="Q162" i="4"/>
  <c r="R166" i="4"/>
  <c r="R171" i="4"/>
  <c r="P171" i="4"/>
  <c r="Q171" i="4"/>
  <c r="R175" i="4"/>
  <c r="R179" i="4"/>
  <c r="P179" i="4"/>
  <c r="Q179" i="4"/>
  <c r="R187" i="4"/>
  <c r="R191" i="4"/>
  <c r="Q191" i="4"/>
  <c r="R195" i="4"/>
  <c r="R316" i="4"/>
  <c r="P316" i="4"/>
  <c r="Q316" i="4"/>
  <c r="N339" i="3"/>
  <c r="O339" i="3" s="1"/>
  <c r="P339" i="3"/>
  <c r="N347" i="3"/>
  <c r="O347" i="3" s="1"/>
  <c r="Q347" i="3" s="1"/>
  <c r="P347" i="3"/>
  <c r="R23" i="4"/>
  <c r="P23" i="4"/>
  <c r="Q23" i="4" s="1"/>
  <c r="P27" i="4"/>
  <c r="Q27" i="4" s="1"/>
  <c r="R31" i="4"/>
  <c r="R35" i="4"/>
  <c r="P35" i="4"/>
  <c r="Q35" i="4"/>
  <c r="R39" i="4"/>
  <c r="P39" i="4"/>
  <c r="Q39" i="4"/>
  <c r="R51" i="4"/>
  <c r="R55" i="4"/>
  <c r="R59" i="4"/>
  <c r="R63" i="4"/>
  <c r="R71" i="4"/>
  <c r="P71" i="4"/>
  <c r="Q71" i="4"/>
  <c r="P75" i="4"/>
  <c r="Q75" i="4" s="1"/>
  <c r="R79" i="4"/>
  <c r="R83" i="4"/>
  <c r="P83" i="4"/>
  <c r="Q83" i="4" s="1"/>
  <c r="R87" i="4"/>
  <c r="R91" i="4"/>
  <c r="P91" i="4"/>
  <c r="Q91" i="4" s="1"/>
  <c r="R95" i="4"/>
  <c r="Q95" i="4"/>
  <c r="R99" i="4"/>
  <c r="P99" i="4"/>
  <c r="Q99" i="4"/>
  <c r="R103" i="4"/>
  <c r="R107" i="4"/>
  <c r="P107" i="4"/>
  <c r="Q107" i="4" s="1"/>
  <c r="R111" i="4"/>
  <c r="P115" i="4"/>
  <c r="Q115" i="4" s="1"/>
  <c r="R119" i="4"/>
  <c r="P119" i="4"/>
  <c r="Q119" i="4" s="1"/>
  <c r="R123" i="4"/>
  <c r="P123" i="4"/>
  <c r="Q123" i="4"/>
  <c r="R127" i="4"/>
  <c r="R131" i="4"/>
  <c r="R135" i="4"/>
  <c r="P135" i="4"/>
  <c r="Q135" i="4"/>
  <c r="P143" i="4"/>
  <c r="Q143" i="4"/>
  <c r="R147" i="4"/>
  <c r="P147" i="4"/>
  <c r="Q147" i="4"/>
  <c r="R151" i="4"/>
  <c r="R155" i="4"/>
  <c r="R163" i="4"/>
  <c r="N337" i="3"/>
  <c r="O337" i="3"/>
  <c r="AD344" i="3"/>
  <c r="AE344" i="3" s="1"/>
  <c r="AE350" i="3"/>
  <c r="AF350" i="3"/>
  <c r="R16" i="4"/>
  <c r="P16" i="4"/>
  <c r="Q16" i="4" s="1"/>
  <c r="R24" i="4"/>
  <c r="R28" i="4"/>
  <c r="R32" i="4"/>
  <c r="P32" i="4"/>
  <c r="Q32" i="4"/>
  <c r="P36" i="4"/>
  <c r="Q36" i="4"/>
  <c r="R40" i="4"/>
  <c r="R44" i="4"/>
  <c r="P44" i="4"/>
  <c r="Q44" i="4"/>
  <c r="R52" i="4"/>
  <c r="R56" i="4"/>
  <c r="R60" i="4"/>
  <c r="P60" i="4"/>
  <c r="Q60" i="4"/>
  <c r="R68" i="4"/>
  <c r="P68" i="4"/>
  <c r="Q68" i="4"/>
  <c r="R76" i="4"/>
  <c r="P76" i="4"/>
  <c r="Q76" i="4"/>
  <c r="R84" i="4"/>
  <c r="R88" i="4"/>
  <c r="R92" i="4"/>
  <c r="P92" i="4"/>
  <c r="Q92" i="4" s="1"/>
  <c r="R96" i="4"/>
  <c r="P96" i="4"/>
  <c r="Q96" i="4"/>
  <c r="R104" i="4"/>
  <c r="P104" i="4"/>
  <c r="Q104" i="4"/>
  <c r="R108" i="4"/>
  <c r="P108" i="4"/>
  <c r="Q108" i="4"/>
  <c r="R116" i="4"/>
  <c r="P116" i="4"/>
  <c r="Q116" i="4"/>
  <c r="R120" i="4"/>
  <c r="R124" i="4"/>
  <c r="R128" i="4"/>
  <c r="P128" i="4"/>
  <c r="Q128" i="4"/>
  <c r="R132" i="4"/>
  <c r="R136" i="4"/>
  <c r="R140" i="4"/>
  <c r="P140" i="4"/>
  <c r="Q140" i="4"/>
  <c r="R144" i="4"/>
  <c r="P144" i="4"/>
  <c r="Q144" i="4"/>
  <c r="R148" i="4"/>
  <c r="R152" i="4"/>
  <c r="P152" i="4"/>
  <c r="Q152" i="4" s="1"/>
  <c r="R156" i="4"/>
  <c r="P156" i="4"/>
  <c r="Q156" i="4"/>
  <c r="R160" i="4"/>
  <c r="R164" i="4"/>
  <c r="P164" i="4"/>
  <c r="Q164" i="4"/>
  <c r="R169" i="4"/>
  <c r="R173" i="4"/>
  <c r="P173" i="4"/>
  <c r="Q173" i="4"/>
  <c r="R177" i="4"/>
  <c r="R181" i="4"/>
  <c r="R185" i="4"/>
  <c r="P185" i="4"/>
  <c r="Q185" i="4" s="1"/>
  <c r="R193" i="4"/>
  <c r="P193" i="4"/>
  <c r="Q193" i="4"/>
  <c r="R13" i="4"/>
  <c r="P17" i="4"/>
  <c r="Q17" i="4"/>
  <c r="R21" i="4"/>
  <c r="P29" i="4"/>
  <c r="Q29" i="4"/>
  <c r="R33" i="4"/>
  <c r="P37" i="4"/>
  <c r="Q37" i="4" s="1"/>
  <c r="R41" i="4"/>
  <c r="P41" i="4"/>
  <c r="Q41" i="4" s="1"/>
  <c r="R49" i="4"/>
  <c r="R53" i="4"/>
  <c r="R57" i="4"/>
  <c r="P57" i="4"/>
  <c r="Q57" i="4"/>
  <c r="P65" i="4"/>
  <c r="Q65" i="4" s="1"/>
  <c r="R73" i="4"/>
  <c r="P77" i="4"/>
  <c r="Q77" i="4"/>
  <c r="R85" i="4"/>
  <c r="R89" i="4"/>
  <c r="P89" i="4"/>
  <c r="Q89" i="4"/>
  <c r="R93" i="4"/>
  <c r="R97" i="4"/>
  <c r="R101" i="4"/>
  <c r="P101" i="4"/>
  <c r="Q101" i="4"/>
  <c r="R105" i="4"/>
  <c r="P105" i="4"/>
  <c r="Q105" i="4"/>
  <c r="R109" i="4"/>
  <c r="R113" i="4"/>
  <c r="P113" i="4"/>
  <c r="Q113" i="4"/>
  <c r="R117" i="4"/>
  <c r="R121" i="4"/>
  <c r="P121" i="4"/>
  <c r="Q121" i="4" s="1"/>
  <c r="R125" i="4"/>
  <c r="P125" i="4"/>
  <c r="Q125" i="4" s="1"/>
  <c r="R137" i="4"/>
  <c r="P137" i="4"/>
  <c r="Q137" i="4" s="1"/>
  <c r="R141" i="4"/>
  <c r="P141" i="4"/>
  <c r="Q141" i="4"/>
  <c r="R145" i="4"/>
  <c r="P149" i="4"/>
  <c r="Q149" i="4"/>
  <c r="R157" i="4"/>
  <c r="P157" i="4"/>
  <c r="Q157" i="4"/>
  <c r="R161" i="4"/>
  <c r="P161" i="4"/>
  <c r="Q161" i="4" s="1"/>
  <c r="R165" i="4"/>
  <c r="P165" i="4"/>
  <c r="Q165" i="4" s="1"/>
  <c r="P332" i="4"/>
  <c r="Q332" i="4" s="1"/>
  <c r="AD362" i="3"/>
  <c r="AE362" i="3"/>
  <c r="N367" i="3"/>
  <c r="O367" i="3"/>
  <c r="Q367" i="3" s="1"/>
  <c r="R168" i="4"/>
  <c r="P168" i="4"/>
  <c r="Q168" i="4"/>
  <c r="R172" i="4"/>
  <c r="Q172" i="4"/>
  <c r="R176" i="4"/>
  <c r="P176" i="4"/>
  <c r="Q176" i="4"/>
  <c r="P180" i="4"/>
  <c r="Q180" i="4"/>
  <c r="R184" i="4"/>
  <c r="R188" i="4"/>
  <c r="P188" i="4"/>
  <c r="Q188" i="4"/>
  <c r="R192" i="4"/>
  <c r="R196" i="4"/>
  <c r="R340" i="4"/>
  <c r="N371" i="3"/>
  <c r="O371" i="3" s="1"/>
  <c r="R178" i="4"/>
  <c r="R182" i="4"/>
  <c r="P182" i="4"/>
  <c r="Q182" i="4"/>
  <c r="R190" i="4"/>
  <c r="P190" i="4"/>
  <c r="Q190" i="4"/>
  <c r="R194" i="4"/>
  <c r="R327" i="4"/>
  <c r="Q327" i="4"/>
  <c r="R335" i="4"/>
  <c r="P335" i="4"/>
  <c r="Q335" i="4"/>
  <c r="R344" i="4"/>
  <c r="P344" i="4"/>
  <c r="Q344" i="4" s="1"/>
  <c r="R348" i="4"/>
  <c r="R352" i="4"/>
  <c r="P352" i="4"/>
  <c r="Q352" i="4" s="1"/>
  <c r="P356" i="4"/>
  <c r="Q356" i="4" s="1"/>
  <c r="R364" i="4"/>
  <c r="P364" i="4"/>
  <c r="Q364" i="4" s="1"/>
  <c r="R368" i="4"/>
  <c r="P368" i="4"/>
  <c r="Q368" i="4" s="1"/>
  <c r="R372" i="4"/>
  <c r="R376" i="4"/>
  <c r="P376" i="4"/>
  <c r="Q376" i="4" s="1"/>
  <c r="R380" i="4"/>
  <c r="P380" i="4"/>
  <c r="Q380" i="4"/>
  <c r="R315" i="4"/>
  <c r="P315" i="4"/>
  <c r="Q315" i="4"/>
  <c r="P320" i="4"/>
  <c r="Q320" i="4" s="1"/>
  <c r="R323" i="4"/>
  <c r="P323" i="4"/>
  <c r="Q323" i="4" s="1"/>
  <c r="P336" i="4"/>
  <c r="Q336" i="4"/>
  <c r="R339" i="4"/>
  <c r="P339" i="4"/>
  <c r="Q339" i="4"/>
  <c r="R342" i="4"/>
  <c r="P342" i="4"/>
  <c r="Q342" i="4"/>
  <c r="R346" i="4"/>
  <c r="P346" i="4"/>
  <c r="Q346" i="4"/>
  <c r="R350" i="4"/>
  <c r="Q350" i="4"/>
  <c r="R354" i="4"/>
  <c r="P354" i="4"/>
  <c r="Q354" i="4"/>
  <c r="R358" i="4"/>
  <c r="P358" i="4"/>
  <c r="Q358" i="4"/>
  <c r="R362" i="4"/>
  <c r="P362" i="4"/>
  <c r="Q362" i="4"/>
  <c r="R366" i="4"/>
  <c r="R370" i="4"/>
  <c r="P370" i="4"/>
  <c r="Q370" i="4"/>
  <c r="R374" i="4"/>
  <c r="R378" i="4"/>
  <c r="P378" i="4"/>
  <c r="Q378" i="4" s="1"/>
  <c r="R382" i="4"/>
  <c r="P382" i="4"/>
  <c r="Q382" i="4" s="1"/>
  <c r="P314" i="4"/>
  <c r="Q314" i="4" s="1"/>
  <c r="P318" i="4"/>
  <c r="Q318" i="4" s="1"/>
  <c r="P322" i="4"/>
  <c r="Q322" i="4" s="1"/>
  <c r="P326" i="4"/>
  <c r="Q326" i="4"/>
  <c r="P330" i="4"/>
  <c r="Q330" i="4"/>
  <c r="H109" i="7"/>
  <c r="D5" i="7" s="1"/>
  <c r="F12" i="9"/>
  <c r="Q5" i="9"/>
  <c r="P16" i="9" s="1"/>
  <c r="F14" i="9"/>
  <c r="F13" i="9"/>
  <c r="F11" i="9"/>
  <c r="H11" i="9"/>
  <c r="G12" i="9"/>
  <c r="H12" i="9" s="1"/>
  <c r="G13" i="9" s="1"/>
  <c r="H13" i="9" s="1"/>
  <c r="G14" i="9" s="1"/>
  <c r="H14" i="9" s="1"/>
  <c r="G15" i="9" s="1"/>
  <c r="H15" i="9" s="1"/>
  <c r="G16" i="9" s="1"/>
  <c r="H16" i="9" s="1"/>
  <c r="F15" i="9"/>
  <c r="F17" i="9"/>
  <c r="AD276" i="3"/>
  <c r="AE276" i="3" s="1"/>
  <c r="AD259" i="3"/>
  <c r="AE259" i="3"/>
  <c r="AD269" i="3"/>
  <c r="AE269" i="3" s="1"/>
  <c r="AG269" i="3" s="1"/>
  <c r="AM269" i="3" s="1"/>
  <c r="AD271" i="3"/>
  <c r="AE271" i="3" s="1"/>
  <c r="AG271" i="3" s="1"/>
  <c r="AM271" i="3" s="1"/>
  <c r="AD233" i="3"/>
  <c r="AE233" i="3" s="1"/>
  <c r="AD275" i="3"/>
  <c r="AE275" i="3" s="1"/>
  <c r="P277" i="4"/>
  <c r="Q277" i="4" s="1"/>
  <c r="P347" i="4"/>
  <c r="Q347" i="4"/>
  <c r="P290" i="4"/>
  <c r="Q290" i="4" s="1"/>
  <c r="P302" i="4"/>
  <c r="Q302" i="4" s="1"/>
  <c r="P351" i="4"/>
  <c r="Q351" i="4" s="1"/>
  <c r="P14" i="4"/>
  <c r="Q14" i="4" s="1"/>
  <c r="P50" i="4"/>
  <c r="Q50" i="4"/>
  <c r="P62" i="4"/>
  <c r="Q62" i="4"/>
  <c r="P86" i="4"/>
  <c r="Q86" i="4" s="1"/>
  <c r="P317" i="4"/>
  <c r="Q317" i="4" s="1"/>
  <c r="P206" i="4"/>
  <c r="Q206" i="4" s="1"/>
  <c r="P209" i="4"/>
  <c r="Q209" i="4" s="1"/>
  <c r="P223" i="4"/>
  <c r="Q223" i="4" s="1"/>
  <c r="P232" i="4"/>
  <c r="Q232" i="4"/>
  <c r="P329" i="4"/>
  <c r="Q329" i="4" s="1"/>
  <c r="P355" i="4"/>
  <c r="Q355" i="4" s="1"/>
  <c r="P373" i="4"/>
  <c r="Q373" i="4" s="1"/>
  <c r="P255" i="4"/>
  <c r="Q255" i="4" s="1"/>
  <c r="P377" i="4"/>
  <c r="Q377" i="4"/>
  <c r="R207" i="4"/>
  <c r="P250" i="4"/>
  <c r="Q250" i="4" s="1"/>
  <c r="P303" i="4"/>
  <c r="Q303" i="4"/>
  <c r="P312" i="4"/>
  <c r="Q312" i="4"/>
  <c r="P341" i="4"/>
  <c r="Q341" i="4"/>
  <c r="P293" i="4"/>
  <c r="Q293" i="4" s="1"/>
  <c r="P367" i="4"/>
  <c r="Q367" i="4" s="1"/>
  <c r="P241" i="4"/>
  <c r="Q241" i="4"/>
  <c r="P286" i="4"/>
  <c r="Q286" i="4" s="1"/>
  <c r="P308" i="4"/>
  <c r="Q308" i="4"/>
  <c r="N492" i="3"/>
  <c r="O492" i="3"/>
  <c r="Q492" i="3"/>
  <c r="N369" i="3"/>
  <c r="O369" i="3"/>
  <c r="AD526" i="3"/>
  <c r="AE526" i="3" s="1"/>
  <c r="AG526" i="3" s="1"/>
  <c r="AM526" i="3" s="1"/>
  <c r="N377" i="3"/>
  <c r="O377" i="3" s="1"/>
  <c r="N628" i="3"/>
  <c r="O628" i="3" s="1"/>
  <c r="Q628" i="3"/>
  <c r="N551" i="3"/>
  <c r="O551" i="3" s="1"/>
  <c r="Q551" i="3" s="1"/>
  <c r="AD533" i="3"/>
  <c r="AE533" i="3" s="1"/>
  <c r="AF533" i="3"/>
  <c r="N496" i="3"/>
  <c r="O496" i="3" s="1"/>
  <c r="Q496" i="3" s="1"/>
  <c r="P496" i="3"/>
  <c r="AD527" i="3"/>
  <c r="AE527" i="3" s="1"/>
  <c r="AF527" i="3"/>
  <c r="N351" i="3"/>
  <c r="O351" i="3" s="1"/>
  <c r="Q351" i="3" s="1"/>
  <c r="N552" i="3"/>
  <c r="O552" i="3"/>
  <c r="Q552" i="3" s="1"/>
  <c r="AF549" i="3"/>
  <c r="N500" i="3"/>
  <c r="O500" i="3"/>
  <c r="Q500" i="3" s="1"/>
  <c r="I21" i="10"/>
  <c r="P599" i="3"/>
  <c r="Q599" i="3"/>
  <c r="AF596" i="3"/>
  <c r="P583" i="3"/>
  <c r="AF580" i="3"/>
  <c r="P567" i="3"/>
  <c r="AF564" i="3"/>
  <c r="AF553" i="3"/>
  <c r="O370" i="3"/>
  <c r="Q370" i="3" s="1"/>
  <c r="AD555" i="3"/>
  <c r="AE555" i="3"/>
  <c r="AG555" i="3" s="1"/>
  <c r="AM555" i="3" s="1"/>
  <c r="AE528" i="3"/>
  <c r="AF528" i="3"/>
  <c r="AD506" i="3"/>
  <c r="AE506" i="3" s="1"/>
  <c r="AG506" i="3" s="1"/>
  <c r="AM506" i="3" s="1"/>
  <c r="AD502" i="3"/>
  <c r="AE502" i="3" s="1"/>
  <c r="AF495" i="3"/>
  <c r="AF551" i="3"/>
  <c r="P494" i="3"/>
  <c r="N494" i="3"/>
  <c r="O494" i="3" s="1"/>
  <c r="AF465" i="3"/>
  <c r="AD465" i="3"/>
  <c r="AE465" i="3" s="1"/>
  <c r="N460" i="3"/>
  <c r="O460" i="3"/>
  <c r="Q460" i="3" s="1"/>
  <c r="N508" i="3"/>
  <c r="O508" i="3"/>
  <c r="Q508" i="3" s="1"/>
  <c r="AD500" i="3"/>
  <c r="AE500" i="3" s="1"/>
  <c r="P486" i="3"/>
  <c r="N486" i="3"/>
  <c r="O486" i="3" s="1"/>
  <c r="AD452" i="3"/>
  <c r="AE452" i="3"/>
  <c r="AG452" i="3" s="1"/>
  <c r="AM452" i="3" s="1"/>
  <c r="AD493" i="3"/>
  <c r="AE493" i="3" s="1"/>
  <c r="AF493" i="3"/>
  <c r="AG484" i="3"/>
  <c r="AM484" i="3" s="1"/>
  <c r="P434" i="3"/>
  <c r="N434" i="3"/>
  <c r="O434" i="3"/>
  <c r="AD436" i="3"/>
  <c r="AE436" i="3"/>
  <c r="AG436" i="3" s="1"/>
  <c r="N404" i="3"/>
  <c r="O404" i="3" s="1"/>
  <c r="Q404" i="3"/>
  <c r="N488" i="3"/>
  <c r="O488" i="3" s="1"/>
  <c r="Q488" i="3"/>
  <c r="N452" i="3"/>
  <c r="O452" i="3"/>
  <c r="Q452" i="3" s="1"/>
  <c r="AD432" i="3"/>
  <c r="AE432" i="3" s="1"/>
  <c r="AG432" i="3" s="1"/>
  <c r="AM432" i="3" s="1"/>
  <c r="AD476" i="3"/>
  <c r="AE476" i="3"/>
  <c r="AG476" i="3" s="1"/>
  <c r="AM476" i="3" s="1"/>
  <c r="N454" i="3"/>
  <c r="O454" i="3" s="1"/>
  <c r="Q454" i="3" s="1"/>
  <c r="N416" i="3"/>
  <c r="O416" i="3" s="1"/>
  <c r="Q416" i="3" s="1"/>
  <c r="N428" i="3"/>
  <c r="O428" i="3" s="1"/>
  <c r="Q428" i="3" s="1"/>
  <c r="N424" i="3"/>
  <c r="O424" i="3"/>
  <c r="Q424" i="3" s="1"/>
  <c r="N480" i="3"/>
  <c r="O480" i="3" s="1"/>
  <c r="Q480" i="3"/>
  <c r="AD444" i="3"/>
  <c r="AE444" i="3" s="1"/>
  <c r="AG444" i="3"/>
  <c r="AM444" i="3" s="1"/>
  <c r="N388" i="3"/>
  <c r="O388" i="3"/>
  <c r="Q388" i="3"/>
  <c r="N476" i="3"/>
  <c r="O476" i="3"/>
  <c r="Q476" i="3"/>
  <c r="AD375" i="3"/>
  <c r="AE375" i="3" s="1"/>
  <c r="AG375" i="3" s="1"/>
  <c r="AM375" i="3" s="1"/>
  <c r="N343" i="3"/>
  <c r="O343" i="3"/>
  <c r="AD377" i="3"/>
  <c r="AE377" i="3" s="1"/>
  <c r="AG377" i="3" s="1"/>
  <c r="AM377" i="3" s="1"/>
  <c r="AD356" i="3"/>
  <c r="AE356" i="3" s="1"/>
  <c r="AG356" i="3" s="1"/>
  <c r="AM356" i="3" s="1"/>
  <c r="AD337" i="3"/>
  <c r="AE337" i="3" s="1"/>
  <c r="AG337" i="3" s="1"/>
  <c r="AM337" i="3" s="1"/>
  <c r="AD343" i="3"/>
  <c r="AE343" i="3" s="1"/>
  <c r="AG343" i="3" s="1"/>
  <c r="AM343" i="3" s="1"/>
  <c r="AD368" i="3"/>
  <c r="AE368" i="3" s="1"/>
  <c r="N332" i="3"/>
  <c r="O332" i="3" s="1"/>
  <c r="Q332" i="3"/>
  <c r="AE372" i="3"/>
  <c r="AG372" i="3" s="1"/>
  <c r="AM372" i="3"/>
  <c r="N375" i="3"/>
  <c r="O375" i="3" s="1"/>
  <c r="N344" i="3"/>
  <c r="O344" i="3"/>
  <c r="Q344" i="3" s="1"/>
  <c r="N348" i="3"/>
  <c r="O348" i="3" s="1"/>
  <c r="AD353" i="3"/>
  <c r="AE353" i="3" s="1"/>
  <c r="AD361" i="3"/>
  <c r="AE361" i="3" s="1"/>
  <c r="AD363" i="3"/>
  <c r="AE363" i="3" s="1"/>
  <c r="AG363" i="3"/>
  <c r="AM363" i="3" s="1"/>
  <c r="AD77" i="3"/>
  <c r="AE77" i="3" s="1"/>
  <c r="N174" i="3"/>
  <c r="O174" i="3" s="1"/>
  <c r="AF289" i="3"/>
  <c r="N237" i="3"/>
  <c r="O237" i="3" s="1"/>
  <c r="Q237" i="3" s="1"/>
  <c r="N246" i="3"/>
  <c r="O246" i="3" s="1"/>
  <c r="Q246" i="3"/>
  <c r="N314" i="3"/>
  <c r="O314" i="3" s="1"/>
  <c r="AD330" i="3"/>
  <c r="AE330" i="3" s="1"/>
  <c r="AG330" i="3" s="1"/>
  <c r="AM330" i="3" s="1"/>
  <c r="N47" i="3"/>
  <c r="O47" i="3"/>
  <c r="N80" i="3"/>
  <c r="O80" i="3"/>
  <c r="Q80" i="3"/>
  <c r="AE113" i="3"/>
  <c r="N173" i="3"/>
  <c r="O173" i="3" s="1"/>
  <c r="N183" i="3"/>
  <c r="O183" i="3" s="1"/>
  <c r="AD188" i="3"/>
  <c r="AE188" i="3" s="1"/>
  <c r="N257" i="3"/>
  <c r="O257" i="3"/>
  <c r="Q257" i="3" s="1"/>
  <c r="N299" i="3"/>
  <c r="O299" i="3" s="1"/>
  <c r="Q299" i="3" s="1"/>
  <c r="N316" i="3"/>
  <c r="O316" i="3"/>
  <c r="N368" i="3"/>
  <c r="O368" i="3"/>
  <c r="N378" i="3"/>
  <c r="O378" i="3"/>
  <c r="Q378" i="3" s="1"/>
  <c r="AD202" i="3"/>
  <c r="AE202" i="3" s="1"/>
  <c r="AD71" i="3"/>
  <c r="AE71" i="3" s="1"/>
  <c r="N92" i="3"/>
  <c r="O92" i="3" s="1"/>
  <c r="Q92" i="3"/>
  <c r="AD155" i="3"/>
  <c r="AE155" i="3" s="1"/>
  <c r="AG155" i="3" s="1"/>
  <c r="AM155" i="3" s="1"/>
  <c r="AD196" i="3"/>
  <c r="AE196" i="3" s="1"/>
  <c r="AG196" i="3" s="1"/>
  <c r="AM196" i="3" s="1"/>
  <c r="N225" i="3"/>
  <c r="O225" i="3" s="1"/>
  <c r="Q225" i="3" s="1"/>
  <c r="N309" i="3"/>
  <c r="O309" i="3"/>
  <c r="AD312" i="3"/>
  <c r="AE312" i="3" s="1"/>
  <c r="AG312" i="3" s="1"/>
  <c r="N334" i="3"/>
  <c r="O334" i="3"/>
  <c r="Q334" i="3"/>
  <c r="N373" i="3"/>
  <c r="O373" i="3"/>
  <c r="AD376" i="3"/>
  <c r="AE376" i="3" s="1"/>
  <c r="AG376" i="3" s="1"/>
  <c r="AM376" i="3" s="1"/>
  <c r="O112" i="3"/>
  <c r="N294" i="3"/>
  <c r="O294" i="3"/>
  <c r="AD371" i="3"/>
  <c r="AE371" i="3" s="1"/>
  <c r="N379" i="3"/>
  <c r="O379" i="3"/>
  <c r="AD267" i="3"/>
  <c r="AE267" i="3" s="1"/>
  <c r="AG267" i="3" s="1"/>
  <c r="AM267" i="3" s="1"/>
  <c r="N70" i="3"/>
  <c r="O70" i="3" s="1"/>
  <c r="Q70" i="3" s="1"/>
  <c r="AD305" i="3"/>
  <c r="AE305" i="3" s="1"/>
  <c r="AG305" i="3" s="1"/>
  <c r="AM305" i="3" s="1"/>
  <c r="N356" i="3"/>
  <c r="O356" i="3" s="1"/>
  <c r="N98" i="3"/>
  <c r="O98" i="3" s="1"/>
  <c r="N199" i="3"/>
  <c r="O199" i="3" s="1"/>
  <c r="Q199" i="3" s="1"/>
  <c r="N214" i="3"/>
  <c r="O214" i="3" s="1"/>
  <c r="Q214" i="3" s="1"/>
  <c r="N252" i="3"/>
  <c r="O252" i="3"/>
  <c r="Q252" i="3"/>
  <c r="AD279" i="3"/>
  <c r="AE279" i="3" s="1"/>
  <c r="AG279" i="3" s="1"/>
  <c r="AM279" i="3" s="1"/>
  <c r="AD309" i="3"/>
  <c r="AE309" i="3" s="1"/>
  <c r="N358" i="3"/>
  <c r="O358" i="3" s="1"/>
  <c r="Q358" i="3" s="1"/>
  <c r="AF342" i="3"/>
  <c r="N328" i="3"/>
  <c r="O328" i="3" s="1"/>
  <c r="Q328" i="3" s="1"/>
  <c r="N72" i="3"/>
  <c r="O72" i="3" s="1"/>
  <c r="Q72" i="3" s="1"/>
  <c r="AD193" i="3"/>
  <c r="AE193" i="3" s="1"/>
  <c r="N222" i="3"/>
  <c r="O222" i="3" s="1"/>
  <c r="Q222" i="3" s="1"/>
  <c r="N238" i="3"/>
  <c r="O238" i="3"/>
  <c r="Q238" i="3" s="1"/>
  <c r="N258" i="3"/>
  <c r="O258" i="3" s="1"/>
  <c r="AD263" i="3"/>
  <c r="AE263" i="3" s="1"/>
  <c r="N300" i="3"/>
  <c r="O300" i="3" s="1"/>
  <c r="Q300" i="3" s="1"/>
  <c r="O317" i="3"/>
  <c r="Q317" i="3"/>
  <c r="N333" i="3"/>
  <c r="O333" i="3" s="1"/>
  <c r="AD53" i="3"/>
  <c r="AE53" i="3" s="1"/>
  <c r="N109" i="3"/>
  <c r="O109" i="3" s="1"/>
  <c r="AE195" i="3"/>
  <c r="N282" i="3"/>
  <c r="O282" i="3"/>
  <c r="AD340" i="3"/>
  <c r="AE340" i="3" s="1"/>
  <c r="AD370" i="3"/>
  <c r="AE370" i="3" s="1"/>
  <c r="AG370" i="3" s="1"/>
  <c r="AM370" i="3" s="1"/>
  <c r="N372" i="3"/>
  <c r="O372" i="3" s="1"/>
  <c r="Q372" i="3" s="1"/>
  <c r="P181" i="3"/>
  <c r="N181" i="3"/>
  <c r="O181" i="3" s="1"/>
  <c r="K90" i="6"/>
  <c r="AF322" i="3"/>
  <c r="AD322" i="3"/>
  <c r="AE322" i="3" s="1"/>
  <c r="AD273" i="3"/>
  <c r="AE273" i="3" s="1"/>
  <c r="AF273" i="3"/>
  <c r="AF189" i="3"/>
  <c r="AD189" i="3"/>
  <c r="AE189" i="3" s="1"/>
  <c r="P220" i="3"/>
  <c r="N220" i="3"/>
  <c r="O220" i="3"/>
  <c r="AD265" i="3"/>
  <c r="AE265" i="3" s="1"/>
  <c r="N46" i="3"/>
  <c r="O46" i="3" s="1"/>
  <c r="P207" i="3"/>
  <c r="N207" i="3"/>
  <c r="O207" i="3"/>
  <c r="Q207" i="3" s="1"/>
  <c r="P262" i="3"/>
  <c r="R222" i="4"/>
  <c r="P222" i="4"/>
  <c r="Q222" i="4" s="1"/>
  <c r="O43" i="3"/>
  <c r="Q43" i="3" s="1"/>
  <c r="AD35" i="3"/>
  <c r="AE35" i="3" s="1"/>
  <c r="AG35" i="3" s="1"/>
  <c r="AD41" i="3"/>
  <c r="AE41" i="3"/>
  <c r="O48" i="3"/>
  <c r="AD52" i="3"/>
  <c r="AE52" i="3" s="1"/>
  <c r="AD104" i="3"/>
  <c r="AE104" i="3" s="1"/>
  <c r="AG104" i="3" s="1"/>
  <c r="AM104" i="3" s="1"/>
  <c r="N128" i="3"/>
  <c r="O128" i="3"/>
  <c r="N130" i="3"/>
  <c r="O130" i="3" s="1"/>
  <c r="Q130" i="3" s="1"/>
  <c r="AD141" i="3"/>
  <c r="AE141" i="3" s="1"/>
  <c r="AG141" i="3" s="1"/>
  <c r="AM141" i="3" s="1"/>
  <c r="AD191" i="3"/>
  <c r="AE191" i="3" s="1"/>
  <c r="AG191" i="3" s="1"/>
  <c r="AM191" i="3" s="1"/>
  <c r="AD207" i="3"/>
  <c r="AE207" i="3" s="1"/>
  <c r="AG207" i="3" s="1"/>
  <c r="AM207" i="3" s="1"/>
  <c r="N224" i="3"/>
  <c r="O224" i="3" s="1"/>
  <c r="Q224" i="3" s="1"/>
  <c r="N45" i="3"/>
  <c r="O45" i="3" s="1"/>
  <c r="Q45" i="3" s="1"/>
  <c r="AD49" i="3"/>
  <c r="AE49" i="3"/>
  <c r="AG49" i="3" s="1"/>
  <c r="AM49" i="3" s="1"/>
  <c r="AD79" i="3"/>
  <c r="AE79" i="3" s="1"/>
  <c r="AG79" i="3" s="1"/>
  <c r="AM79" i="3" s="1"/>
  <c r="AD255" i="3"/>
  <c r="AE255" i="3"/>
  <c r="AG255" i="3" s="1"/>
  <c r="AM255" i="3" s="1"/>
  <c r="AD147" i="3"/>
  <c r="AE147" i="3" s="1"/>
  <c r="AG147" i="3" s="1"/>
  <c r="AM147" i="3" s="1"/>
  <c r="P292" i="3"/>
  <c r="N292" i="3"/>
  <c r="O292" i="3" s="1"/>
  <c r="AD63" i="3"/>
  <c r="AE63" i="3" s="1"/>
  <c r="AG63" i="3" s="1"/>
  <c r="AM63" i="3" s="1"/>
  <c r="AD95" i="3"/>
  <c r="AE95" i="3" s="1"/>
  <c r="AG95" i="3" s="1"/>
  <c r="AM95" i="3" s="1"/>
  <c r="N177" i="3"/>
  <c r="O177" i="3" s="1"/>
  <c r="AD236" i="3"/>
  <c r="AE236" i="3"/>
  <c r="AD299" i="3"/>
  <c r="AE299" i="3" s="1"/>
  <c r="AF299" i="3"/>
  <c r="N254" i="3"/>
  <c r="O254" i="3" s="1"/>
  <c r="Q254" i="3" s="1"/>
  <c r="P254" i="3"/>
  <c r="N83" i="3"/>
  <c r="O83" i="3" s="1"/>
  <c r="O27" i="3"/>
  <c r="N50" i="3"/>
  <c r="O50" i="3" s="1"/>
  <c r="Q50" i="3" s="1"/>
  <c r="P172" i="3"/>
  <c r="AF327" i="3"/>
  <c r="N96" i="3"/>
  <c r="O96" i="3" s="1"/>
  <c r="AD143" i="3"/>
  <c r="AE143" i="3"/>
  <c r="AG143" i="3" s="1"/>
  <c r="AM143" i="3" s="1"/>
  <c r="N273" i="3"/>
  <c r="O273" i="3"/>
  <c r="AD66" i="3"/>
  <c r="AE66" i="3" s="1"/>
  <c r="AG66" i="3" s="1"/>
  <c r="AD97" i="3"/>
  <c r="AE97" i="3" s="1"/>
  <c r="AG97" i="3" s="1"/>
  <c r="AM97" i="3" s="1"/>
  <c r="AD108" i="3"/>
  <c r="AE108" i="3" s="1"/>
  <c r="N110" i="3"/>
  <c r="O110" i="3" s="1"/>
  <c r="Q110" i="3" s="1"/>
  <c r="AD132" i="3"/>
  <c r="AE132" i="3" s="1"/>
  <c r="AG132" i="3" s="1"/>
  <c r="AM132" i="3" s="1"/>
  <c r="N134" i="3"/>
  <c r="O134" i="3" s="1"/>
  <c r="Q134" i="3" s="1"/>
  <c r="N145" i="3"/>
  <c r="O145" i="3" s="1"/>
  <c r="AD177" i="3"/>
  <c r="AE177" i="3" s="1"/>
  <c r="AG177" i="3" s="1"/>
  <c r="AM177" i="3" s="1"/>
  <c r="AD180" i="3"/>
  <c r="AE180" i="3" s="1"/>
  <c r="AG180" i="3"/>
  <c r="AM180" i="3" s="1"/>
  <c r="N216" i="3"/>
  <c r="O216" i="3"/>
  <c r="AD242" i="3"/>
  <c r="AE242" i="3" s="1"/>
  <c r="AG242" i="3" s="1"/>
  <c r="AM242" i="3" s="1"/>
  <c r="N260" i="3"/>
  <c r="O260" i="3" s="1"/>
  <c r="Q260" i="3" s="1"/>
  <c r="AF311" i="3"/>
  <c r="AD311" i="3"/>
  <c r="AE311" i="3" s="1"/>
  <c r="AF240" i="3"/>
  <c r="AD24" i="3"/>
  <c r="AE24" i="3" s="1"/>
  <c r="N87" i="3"/>
  <c r="O87" i="3" s="1"/>
  <c r="AD88" i="3"/>
  <c r="AE88" i="3" s="1"/>
  <c r="AG88" i="3" s="1"/>
  <c r="AM88" i="3" s="1"/>
  <c r="AD91" i="3"/>
  <c r="AE91" i="3" s="1"/>
  <c r="AG91" i="3" s="1"/>
  <c r="AM91" i="3" s="1"/>
  <c r="N168" i="3"/>
  <c r="O168" i="3" s="1"/>
  <c r="Q168" i="3"/>
  <c r="N193" i="3"/>
  <c r="O193" i="3"/>
  <c r="Q193" i="3"/>
  <c r="P286" i="3"/>
  <c r="Q286" i="3" s="1"/>
  <c r="O286" i="3"/>
  <c r="N310" i="3"/>
  <c r="O310" i="3" s="1"/>
  <c r="P310" i="3"/>
  <c r="P202" i="4"/>
  <c r="Q202" i="4"/>
  <c r="P225" i="4"/>
  <c r="Q225" i="4"/>
  <c r="N200" i="3"/>
  <c r="O200" i="3"/>
  <c r="N218" i="3"/>
  <c r="O218" i="3" s="1"/>
  <c r="N284" i="3"/>
  <c r="O284" i="3" s="1"/>
  <c r="Q284" i="3"/>
  <c r="AD293" i="3"/>
  <c r="AE293" i="3" s="1"/>
  <c r="N297" i="3"/>
  <c r="O297" i="3" s="1"/>
  <c r="Q297" i="3" s="1"/>
  <c r="AD301" i="3"/>
  <c r="AE301" i="3" s="1"/>
  <c r="AD333" i="3"/>
  <c r="AE333" i="3" s="1"/>
  <c r="AG333" i="3" s="1"/>
  <c r="AM333" i="3" s="1"/>
  <c r="N340" i="3"/>
  <c r="O340" i="3"/>
  <c r="Q340" i="3" s="1"/>
  <c r="N350" i="3"/>
  <c r="O350" i="3"/>
  <c r="Q350" i="3" s="1"/>
  <c r="P214" i="4"/>
  <c r="Q214" i="4" s="1"/>
  <c r="R256" i="4"/>
  <c r="P256" i="4"/>
  <c r="Q256" i="4"/>
  <c r="R281" i="4"/>
  <c r="P281" i="4"/>
  <c r="Q281" i="4" s="1"/>
  <c r="P200" i="4"/>
  <c r="Q200" i="4" s="1"/>
  <c r="N144" i="3"/>
  <c r="O144" i="3" s="1"/>
  <c r="Q144" i="3" s="1"/>
  <c r="N166" i="3"/>
  <c r="O166" i="3"/>
  <c r="Q166" i="3"/>
  <c r="N169" i="3"/>
  <c r="O169" i="3" s="1"/>
  <c r="AD190" i="3"/>
  <c r="AE190" i="3" s="1"/>
  <c r="AD225" i="3"/>
  <c r="AE225" i="3" s="1"/>
  <c r="AG225" i="3" s="1"/>
  <c r="AM225" i="3" s="1"/>
  <c r="N270" i="3"/>
  <c r="O270" i="3"/>
  <c r="Q270" i="3" s="1"/>
  <c r="N289" i="3"/>
  <c r="O289" i="3" s="1"/>
  <c r="Q289" i="3" s="1"/>
  <c r="AD303" i="3"/>
  <c r="AE303" i="3" s="1"/>
  <c r="AG303" i="3" s="1"/>
  <c r="AM303" i="3" s="1"/>
  <c r="N360" i="3"/>
  <c r="O360" i="3"/>
  <c r="Q360" i="3" s="1"/>
  <c r="AD379" i="3"/>
  <c r="AE379" i="3" s="1"/>
  <c r="AG379" i="3" s="1"/>
  <c r="AM379" i="3" s="1"/>
  <c r="R349" i="4"/>
  <c r="P349" i="4"/>
  <c r="Q349" i="4" s="1"/>
  <c r="P221" i="4"/>
  <c r="Q221" i="4" s="1"/>
  <c r="P226" i="4"/>
  <c r="Q226" i="4" s="1"/>
  <c r="Q257" i="4"/>
  <c r="AD137" i="3"/>
  <c r="AE137" i="3" s="1"/>
  <c r="AG137" i="3" s="1"/>
  <c r="AM137" i="3" s="1"/>
  <c r="AD160" i="3"/>
  <c r="AE160" i="3" s="1"/>
  <c r="AG160" i="3" s="1"/>
  <c r="AM160" i="3" s="1"/>
  <c r="N185" i="3"/>
  <c r="O185" i="3"/>
  <c r="Q185" i="3" s="1"/>
  <c r="N201" i="3"/>
  <c r="O201" i="3" s="1"/>
  <c r="N209" i="3"/>
  <c r="O209" i="3" s="1"/>
  <c r="Q209" i="3" s="1"/>
  <c r="N226" i="3"/>
  <c r="O226" i="3" s="1"/>
  <c r="Q226" i="3" s="1"/>
  <c r="P278" i="3"/>
  <c r="N296" i="3"/>
  <c r="O296" i="3"/>
  <c r="Q296" i="3" s="1"/>
  <c r="N359" i="3"/>
  <c r="O359" i="3" s="1"/>
  <c r="AD366" i="3"/>
  <c r="AE366" i="3" s="1"/>
  <c r="AG366" i="3" s="1"/>
  <c r="AM366" i="3" s="1"/>
  <c r="P213" i="4"/>
  <c r="Q213" i="4" s="1"/>
  <c r="P247" i="4"/>
  <c r="Q247" i="4" s="1"/>
  <c r="N301" i="3"/>
  <c r="O301" i="3" s="1"/>
  <c r="Q301" i="3" s="1"/>
  <c r="N308" i="3"/>
  <c r="O308" i="3" s="1"/>
  <c r="AD349" i="3"/>
  <c r="AE349" i="3"/>
  <c r="AG349" i="3" s="1"/>
  <c r="AM349" i="3" s="1"/>
  <c r="P380" i="3"/>
  <c r="P224" i="4"/>
  <c r="Q224" i="4" s="1"/>
  <c r="P272" i="4"/>
  <c r="Q272" i="4"/>
  <c r="N376" i="3"/>
  <c r="O376" i="3"/>
  <c r="O221" i="3"/>
  <c r="AD261" i="3"/>
  <c r="AE261" i="3" s="1"/>
  <c r="AG261" i="3" s="1"/>
  <c r="AM261" i="3" s="1"/>
  <c r="AD317" i="3"/>
  <c r="AE317" i="3" s="1"/>
  <c r="AG317" i="3" s="1"/>
  <c r="AM317" i="3" s="1"/>
  <c r="P356" i="3"/>
  <c r="N361" i="3"/>
  <c r="O361" i="3"/>
  <c r="Q361" i="3" s="1"/>
  <c r="P197" i="4"/>
  <c r="Q197" i="4" s="1"/>
  <c r="P230" i="4"/>
  <c r="Q230" i="4" s="1"/>
  <c r="P258" i="4"/>
  <c r="Q258" i="4" s="1"/>
  <c r="P265" i="4"/>
  <c r="Q265" i="4" s="1"/>
  <c r="P275" i="4"/>
  <c r="Q275" i="4" s="1"/>
  <c r="P287" i="4"/>
  <c r="Q287" i="4"/>
  <c r="P236" i="4"/>
  <c r="Q236" i="4" s="1"/>
  <c r="P254" i="4"/>
  <c r="Q254" i="4"/>
  <c r="P270" i="4"/>
  <c r="Q270" i="4" s="1"/>
  <c r="P285" i="4"/>
  <c r="Q285" i="4"/>
  <c r="P296" i="4"/>
  <c r="Q296" i="4" s="1"/>
  <c r="P304" i="4"/>
  <c r="Q304" i="4"/>
  <c r="P309" i="4"/>
  <c r="Q309" i="4"/>
  <c r="P325" i="4"/>
  <c r="Q325" i="4" s="1"/>
  <c r="P343" i="4"/>
  <c r="Q343" i="4" s="1"/>
  <c r="P375" i="4"/>
  <c r="Q375" i="4" s="1"/>
  <c r="P294" i="4"/>
  <c r="Q294" i="4" s="1"/>
  <c r="P333" i="4"/>
  <c r="Q333" i="4"/>
  <c r="P259" i="4"/>
  <c r="Q259" i="4" s="1"/>
  <c r="P300" i="4"/>
  <c r="Q300" i="4"/>
  <c r="P305" i="4"/>
  <c r="Q305" i="4"/>
  <c r="P233" i="4"/>
  <c r="Q233" i="4" s="1"/>
  <c r="P321" i="4"/>
  <c r="Q321" i="4" s="1"/>
  <c r="P371" i="4"/>
  <c r="Q371" i="4" s="1"/>
  <c r="P260" i="4"/>
  <c r="Q260" i="4" s="1"/>
  <c r="P71" i="3"/>
  <c r="N71" i="3"/>
  <c r="O71" i="3" s="1"/>
  <c r="Q71" i="3" s="1"/>
  <c r="Q8" i="9"/>
  <c r="AD15" i="3"/>
  <c r="AE15" i="3" s="1"/>
  <c r="P27" i="3"/>
  <c r="R9" i="9"/>
  <c r="Q10" i="9"/>
  <c r="R10" i="9"/>
  <c r="AF34" i="3"/>
  <c r="AD59" i="3"/>
  <c r="AE59" i="3" s="1"/>
  <c r="P13" i="9"/>
  <c r="AE46" i="3"/>
  <c r="AG46" i="3" s="1"/>
  <c r="AM46" i="3" s="1"/>
  <c r="P39" i="3"/>
  <c r="N39" i="3"/>
  <c r="O39" i="3" s="1"/>
  <c r="Q39" i="3" s="1"/>
  <c r="AD174" i="3"/>
  <c r="AE174" i="3" s="1"/>
  <c r="AF174" i="3"/>
  <c r="P208" i="3"/>
  <c r="AF93" i="3"/>
  <c r="N100" i="3"/>
  <c r="O100" i="3"/>
  <c r="P109" i="3"/>
  <c r="N123" i="3"/>
  <c r="O123" i="3"/>
  <c r="Q123" i="3"/>
  <c r="N141" i="3"/>
  <c r="O141" i="3"/>
  <c r="N210" i="3"/>
  <c r="O210" i="3" s="1"/>
  <c r="AD22" i="3"/>
  <c r="AE22" i="3" s="1"/>
  <c r="AG22" i="3" s="1"/>
  <c r="AM22" i="3" s="1"/>
  <c r="N41" i="3"/>
  <c r="O41" i="3"/>
  <c r="Q41" i="3" s="1"/>
  <c r="AD44" i="3"/>
  <c r="AE44" i="3" s="1"/>
  <c r="O60" i="3"/>
  <c r="Q60" i="3" s="1"/>
  <c r="N66" i="3"/>
  <c r="O66" i="3" s="1"/>
  <c r="Q66" i="3" s="1"/>
  <c r="AF77" i="3"/>
  <c r="AD81" i="3"/>
  <c r="AE81" i="3" s="1"/>
  <c r="AD96" i="3"/>
  <c r="AE96" i="3" s="1"/>
  <c r="AG96" i="3" s="1"/>
  <c r="AM96" i="3" s="1"/>
  <c r="AD123" i="3"/>
  <c r="AE123" i="3" s="1"/>
  <c r="AG123" i="3" s="1"/>
  <c r="AM123" i="3" s="1"/>
  <c r="N125" i="3"/>
  <c r="O125" i="3"/>
  <c r="Q125" i="3"/>
  <c r="AD126" i="3"/>
  <c r="AE126" i="3" s="1"/>
  <c r="AE130" i="3"/>
  <c r="O153" i="3"/>
  <c r="N156" i="3"/>
  <c r="O156" i="3" s="1"/>
  <c r="Q156" i="3" s="1"/>
  <c r="AD156" i="3"/>
  <c r="AE156" i="3"/>
  <c r="AG156" i="3" s="1"/>
  <c r="AM156" i="3" s="1"/>
  <c r="AD158" i="3"/>
  <c r="AE158" i="3" s="1"/>
  <c r="AG158" i="3" s="1"/>
  <c r="AM158" i="3" s="1"/>
  <c r="AF175" i="3"/>
  <c r="AD183" i="3"/>
  <c r="AE183" i="3" s="1"/>
  <c r="AG183" i="3" s="1"/>
  <c r="AM183" i="3" s="1"/>
  <c r="AF209" i="3"/>
  <c r="AD29" i="3"/>
  <c r="AE29" i="3" s="1"/>
  <c r="AG29" i="3" s="1"/>
  <c r="AM29" i="3" s="1"/>
  <c r="N33" i="3"/>
  <c r="O33" i="3" s="1"/>
  <c r="AD36" i="3"/>
  <c r="AE36" i="3" s="1"/>
  <c r="N52" i="3"/>
  <c r="O52" i="3" s="1"/>
  <c r="N58" i="3"/>
  <c r="O58" i="3" s="1"/>
  <c r="Q58" i="3" s="1"/>
  <c r="AD61" i="3"/>
  <c r="AE61" i="3" s="1"/>
  <c r="AG61" i="3" s="1"/>
  <c r="AM61" i="3" s="1"/>
  <c r="AD68" i="3"/>
  <c r="AE68" i="3" s="1"/>
  <c r="AG68" i="3" s="1"/>
  <c r="AD80" i="3"/>
  <c r="AE80" i="3" s="1"/>
  <c r="N102" i="3"/>
  <c r="O102" i="3" s="1"/>
  <c r="Q102" i="3" s="1"/>
  <c r="N122" i="3"/>
  <c r="O122" i="3"/>
  <c r="AD153" i="3"/>
  <c r="AE153" i="3" s="1"/>
  <c r="AG153" i="3" s="1"/>
  <c r="AM153" i="3" s="1"/>
  <c r="AD159" i="3"/>
  <c r="AE159" i="3" s="1"/>
  <c r="AG159" i="3" s="1"/>
  <c r="AM159" i="3" s="1"/>
  <c r="AD169" i="3"/>
  <c r="AE169" i="3" s="1"/>
  <c r="AG169" i="3" s="1"/>
  <c r="AM169" i="3" s="1"/>
  <c r="AF177" i="3"/>
  <c r="AD321" i="3"/>
  <c r="AE321" i="3" s="1"/>
  <c r="AF321" i="3"/>
  <c r="AD167" i="3"/>
  <c r="AE167" i="3"/>
  <c r="AG167" i="3" s="1"/>
  <c r="AM167" i="3" s="1"/>
  <c r="N189" i="3"/>
  <c r="O189" i="3"/>
  <c r="Q189" i="3" s="1"/>
  <c r="N192" i="3"/>
  <c r="O192" i="3" s="1"/>
  <c r="N202" i="3"/>
  <c r="O202" i="3" s="1"/>
  <c r="Q202" i="3" s="1"/>
  <c r="N206" i="3"/>
  <c r="O206" i="3" s="1"/>
  <c r="AD208" i="3"/>
  <c r="AE208" i="3" s="1"/>
  <c r="AD219" i="3"/>
  <c r="AE219" i="3" s="1"/>
  <c r="AG219" i="3" s="1"/>
  <c r="AM219" i="3" s="1"/>
  <c r="N250" i="3"/>
  <c r="O250" i="3" s="1"/>
  <c r="Q250" i="3" s="1"/>
  <c r="AD272" i="3"/>
  <c r="AE272" i="3" s="1"/>
  <c r="AF281" i="3"/>
  <c r="P302" i="3"/>
  <c r="N306" i="3"/>
  <c r="O306" i="3"/>
  <c r="AD172" i="3"/>
  <c r="AE172" i="3" s="1"/>
  <c r="N196" i="3"/>
  <c r="O196" i="3" s="1"/>
  <c r="Q196" i="3" s="1"/>
  <c r="AD197" i="3"/>
  <c r="AE197" i="3" s="1"/>
  <c r="N205" i="3"/>
  <c r="O205" i="3"/>
  <c r="N213" i="3"/>
  <c r="O213" i="3"/>
  <c r="Q213" i="3"/>
  <c r="AD214" i="3"/>
  <c r="AE214" i="3" s="1"/>
  <c r="AG214" i="3" s="1"/>
  <c r="AM214" i="3" s="1"/>
  <c r="N233" i="3"/>
  <c r="O233" i="3" s="1"/>
  <c r="Q233" i="3" s="1"/>
  <c r="AD244" i="3"/>
  <c r="AE244" i="3" s="1"/>
  <c r="AG244" i="3" s="1"/>
  <c r="AM244" i="3" s="1"/>
  <c r="N245" i="3"/>
  <c r="O245" i="3"/>
  <c r="Q245" i="3" s="1"/>
  <c r="N247" i="3"/>
  <c r="O247" i="3" s="1"/>
  <c r="Q247" i="3" s="1"/>
  <c r="N248" i="3"/>
  <c r="O248" i="3"/>
  <c r="Q248" i="3" s="1"/>
  <c r="N261" i="3"/>
  <c r="O261" i="3" s="1"/>
  <c r="Q261" i="3" s="1"/>
  <c r="N281" i="3"/>
  <c r="O281" i="3"/>
  <c r="Q281" i="3" s="1"/>
  <c r="AD292" i="3"/>
  <c r="AE292" i="3" s="1"/>
  <c r="N293" i="3"/>
  <c r="O293" i="3" s="1"/>
  <c r="N298" i="3"/>
  <c r="O298" i="3" s="1"/>
  <c r="Q298" i="3" s="1"/>
  <c r="AD313" i="3"/>
  <c r="AE313" i="3"/>
  <c r="AD329" i="3"/>
  <c r="AE329" i="3" s="1"/>
  <c r="AF329" i="3"/>
  <c r="AF357" i="3"/>
  <c r="AD357" i="3"/>
  <c r="AE357" i="3" s="1"/>
  <c r="AD221" i="3"/>
  <c r="AE221" i="3" s="1"/>
  <c r="AG221" i="3" s="1"/>
  <c r="AM221" i="3" s="1"/>
  <c r="AD229" i="3"/>
  <c r="AE229" i="3" s="1"/>
  <c r="AG229" i="3" s="1"/>
  <c r="AM229" i="3" s="1"/>
  <c r="N253" i="3"/>
  <c r="O253" i="3"/>
  <c r="Q253" i="3" s="1"/>
  <c r="AD264" i="3"/>
  <c r="AE264" i="3" s="1"/>
  <c r="AG264" i="3" s="1"/>
  <c r="AM264" i="3" s="1"/>
  <c r="N265" i="3"/>
  <c r="O265" i="3" s="1"/>
  <c r="Q265" i="3" s="1"/>
  <c r="AD284" i="3"/>
  <c r="AE284" i="3" s="1"/>
  <c r="AG284" i="3" s="1"/>
  <c r="AM284" i="3" s="1"/>
  <c r="N285" i="3"/>
  <c r="O285" i="3"/>
  <c r="Q285" i="3" s="1"/>
  <c r="AD304" i="3"/>
  <c r="AE304" i="3" s="1"/>
  <c r="N305" i="3"/>
  <c r="O305" i="3" s="1"/>
  <c r="N324" i="3"/>
  <c r="O324" i="3" s="1"/>
  <c r="Q324" i="3" s="1"/>
  <c r="N327" i="3"/>
  <c r="O327" i="3" s="1"/>
  <c r="Q327" i="3" s="1"/>
  <c r="P333" i="3"/>
  <c r="N345" i="3"/>
  <c r="O345" i="3" s="1"/>
  <c r="Q345" i="3"/>
  <c r="AF358" i="3"/>
  <c r="AD358" i="3"/>
  <c r="AE358" i="3" s="1"/>
  <c r="R216" i="4"/>
  <c r="P216" i="4"/>
  <c r="Q216" i="4"/>
  <c r="P295" i="4"/>
  <c r="Q295" i="4" s="1"/>
  <c r="R295" i="4"/>
  <c r="R361" i="4"/>
  <c r="P361" i="4"/>
  <c r="Q361" i="4"/>
  <c r="N362" i="3"/>
  <c r="O362" i="3"/>
  <c r="Q362" i="3" s="1"/>
  <c r="P362" i="3"/>
  <c r="N366" i="3"/>
  <c r="O366" i="3"/>
  <c r="P366" i="3"/>
  <c r="N374" i="3"/>
  <c r="O374" i="3" s="1"/>
  <c r="Q374" i="3" s="1"/>
  <c r="P374" i="3"/>
  <c r="R212" i="4"/>
  <c r="P212" i="4"/>
  <c r="Q212" i="4" s="1"/>
  <c r="P274" i="4"/>
  <c r="Q274" i="4" s="1"/>
  <c r="R274" i="4"/>
  <c r="N338" i="3"/>
  <c r="O338" i="3" s="1"/>
  <c r="Q338" i="3" s="1"/>
  <c r="AD339" i="3"/>
  <c r="AE339" i="3"/>
  <c r="AG339" i="3" s="1"/>
  <c r="AM339" i="3" s="1"/>
  <c r="N354" i="3"/>
  <c r="O354" i="3"/>
  <c r="Q354" i="3" s="1"/>
  <c r="N346" i="3"/>
  <c r="O346" i="3" s="1"/>
  <c r="Q346" i="3" s="1"/>
  <c r="AD347" i="3"/>
  <c r="AE347" i="3" s="1"/>
  <c r="AG347" i="3" s="1"/>
  <c r="AM347" i="3" s="1"/>
  <c r="AF373" i="3"/>
  <c r="AD373" i="3"/>
  <c r="AE373" i="3" s="1"/>
  <c r="P203" i="4"/>
  <c r="Q203" i="4" s="1"/>
  <c r="P208" i="4"/>
  <c r="Q208" i="4" s="1"/>
  <c r="R248" i="4"/>
  <c r="P248" i="4"/>
  <c r="Q248" i="4" s="1"/>
  <c r="R266" i="4"/>
  <c r="P266" i="4"/>
  <c r="Q266" i="4" s="1"/>
  <c r="P381" i="4"/>
  <c r="Q381" i="4" s="1"/>
  <c r="AF365" i="3"/>
  <c r="AD365" i="3"/>
  <c r="AE365" i="3" s="1"/>
  <c r="AD374" i="3"/>
  <c r="AE374" i="3" s="1"/>
  <c r="AF374" i="3"/>
  <c r="AD378" i="3"/>
  <c r="AE378" i="3" s="1"/>
  <c r="AG378" i="3" s="1"/>
  <c r="AM378" i="3"/>
  <c r="P227" i="4"/>
  <c r="Q227" i="4" s="1"/>
  <c r="R244" i="4"/>
  <c r="P244" i="4"/>
  <c r="Q244" i="4"/>
  <c r="P273" i="4"/>
  <c r="Q273" i="4" s="1"/>
  <c r="R297" i="4"/>
  <c r="P297" i="4"/>
  <c r="Q297" i="4" s="1"/>
  <c r="R365" i="4"/>
  <c r="P365" i="4"/>
  <c r="Q365" i="4" s="1"/>
  <c r="AD367" i="3"/>
  <c r="AE367" i="3" s="1"/>
  <c r="AG367" i="3" s="1"/>
  <c r="AM367" i="3" s="1"/>
  <c r="AD628" i="3"/>
  <c r="AE628" i="3" s="1"/>
  <c r="R234" i="4"/>
  <c r="P234" i="4"/>
  <c r="Q234" i="4" s="1"/>
  <c r="P235" i="4"/>
  <c r="Q235" i="4"/>
  <c r="R240" i="4"/>
  <c r="P240" i="4"/>
  <c r="Q240" i="4"/>
  <c r="P252" i="4"/>
  <c r="Q252" i="4" s="1"/>
  <c r="R276" i="4"/>
  <c r="P276" i="4"/>
  <c r="Q276" i="4" s="1"/>
  <c r="P299" i="4"/>
  <c r="Q299" i="4" s="1"/>
  <c r="P311" i="4"/>
  <c r="Q311" i="4" s="1"/>
  <c r="P219" i="4"/>
  <c r="Q219" i="4" s="1"/>
  <c r="P243" i="4"/>
  <c r="Q243" i="4" s="1"/>
  <c r="P251" i="4"/>
  <c r="Q251" i="4" s="1"/>
  <c r="P283" i="4"/>
  <c r="Q283" i="4" s="1"/>
  <c r="P298" i="4"/>
  <c r="Q298" i="4"/>
  <c r="P306" i="4"/>
  <c r="Q306" i="4"/>
  <c r="P383" i="4"/>
  <c r="Q383" i="4" s="1"/>
  <c r="P210" i="4"/>
  <c r="Q210" i="4" s="1"/>
  <c r="P229" i="4"/>
  <c r="Q229" i="4" s="1"/>
  <c r="P237" i="4"/>
  <c r="Q237" i="4" s="1"/>
  <c r="P261" i="4"/>
  <c r="Q261" i="4"/>
  <c r="P269" i="4"/>
  <c r="Q269" i="4" s="1"/>
  <c r="P278" i="4"/>
  <c r="Q278" i="4" s="1"/>
  <c r="P280" i="4"/>
  <c r="Q280" i="4" s="1"/>
  <c r="P301" i="4"/>
  <c r="Q301" i="4" s="1"/>
  <c r="P313" i="4"/>
  <c r="Q313" i="4" s="1"/>
  <c r="P353" i="4"/>
  <c r="Q353" i="4" s="1"/>
  <c r="P359" i="4"/>
  <c r="Q359" i="4" s="1"/>
  <c r="S11" i="4"/>
  <c r="P11" i="3"/>
  <c r="N11" i="3"/>
  <c r="O11" i="3" s="1"/>
  <c r="R69" i="4"/>
  <c r="P69" i="4"/>
  <c r="Q69" i="4"/>
  <c r="R72" i="4"/>
  <c r="P72" i="4"/>
  <c r="Q72" i="4" s="1"/>
  <c r="R284" i="4"/>
  <c r="P284" i="4"/>
  <c r="Q284" i="4" s="1"/>
  <c r="AD559" i="3"/>
  <c r="AE559" i="3" s="1"/>
  <c r="AF559" i="3"/>
  <c r="AF360" i="3"/>
  <c r="AD360" i="3"/>
  <c r="AE360" i="3"/>
  <c r="R139" i="4"/>
  <c r="D21" i="10"/>
  <c r="N563" i="3"/>
  <c r="O563" i="3" s="1"/>
  <c r="Q563" i="3" s="1"/>
  <c r="P212" i="3"/>
  <c r="N212" i="3"/>
  <c r="O212" i="3"/>
  <c r="AF133" i="3"/>
  <c r="AF78" i="3"/>
  <c r="N106" i="3"/>
  <c r="O106" i="3"/>
  <c r="Q106" i="3" s="1"/>
  <c r="P17" i="9"/>
  <c r="AD43" i="3"/>
  <c r="AE43" i="3" s="1"/>
  <c r="AD70" i="3"/>
  <c r="AE70" i="3"/>
  <c r="AG70" i="3" s="1"/>
  <c r="AM70" i="3" s="1"/>
  <c r="AD135" i="3"/>
  <c r="AE135" i="3" s="1"/>
  <c r="AG135" i="3" s="1"/>
  <c r="AM135" i="3" s="1"/>
  <c r="N64" i="3"/>
  <c r="O64" i="3" s="1"/>
  <c r="N69" i="3"/>
  <c r="O69" i="3" s="1"/>
  <c r="Q69" i="3" s="1"/>
  <c r="N143" i="3"/>
  <c r="O143" i="3"/>
  <c r="Q143" i="3" s="1"/>
  <c r="AD106" i="3"/>
  <c r="AE106" i="3" s="1"/>
  <c r="AD125" i="3"/>
  <c r="AE125" i="3" s="1"/>
  <c r="AG125" i="3" s="1"/>
  <c r="AM125" i="3" s="1"/>
  <c r="P127" i="3"/>
  <c r="AD173" i="3"/>
  <c r="AE173" i="3" s="1"/>
  <c r="AG173" i="3" s="1"/>
  <c r="AM173" i="3" s="1"/>
  <c r="AD569" i="3"/>
  <c r="AE569" i="3" s="1"/>
  <c r="AG569" i="3" s="1"/>
  <c r="AM569" i="3" s="1"/>
  <c r="AF569" i="3"/>
  <c r="N15" i="3"/>
  <c r="O15" i="3" s="1"/>
  <c r="Q15" i="3" s="1"/>
  <c r="AD31" i="3"/>
  <c r="AE31" i="3" s="1"/>
  <c r="AG31" i="3" s="1"/>
  <c r="AM31" i="3" s="1"/>
  <c r="N172" i="3"/>
  <c r="O172" i="3"/>
  <c r="Q172" i="3" s="1"/>
  <c r="N68" i="3"/>
  <c r="O68" i="3" s="1"/>
  <c r="Q68" i="3"/>
  <c r="AD152" i="3"/>
  <c r="AE152" i="3"/>
  <c r="AG152" i="3" s="1"/>
  <c r="AM152" i="3" s="1"/>
  <c r="N197" i="3"/>
  <c r="O197" i="3"/>
  <c r="Q197" i="3" s="1"/>
  <c r="N364" i="3"/>
  <c r="O364" i="3" s="1"/>
  <c r="AD575" i="3"/>
  <c r="AE575" i="3" s="1"/>
  <c r="AG575" i="3" s="1"/>
  <c r="AM575" i="3" s="1"/>
  <c r="N114" i="3"/>
  <c r="O114" i="3"/>
  <c r="Q114" i="3" s="1"/>
  <c r="AD517" i="3"/>
  <c r="AE517" i="3" s="1"/>
  <c r="AF517" i="3"/>
  <c r="P272" i="3"/>
  <c r="N272" i="3"/>
  <c r="O272" i="3"/>
  <c r="Q272" i="3" s="1"/>
  <c r="AD179" i="3"/>
  <c r="AE179" i="3" s="1"/>
  <c r="AG179" i="3" s="1"/>
  <c r="AM179" i="3"/>
  <c r="AD346" i="3"/>
  <c r="AE346" i="3" s="1"/>
  <c r="AG346" i="3" s="1"/>
  <c r="AM346" i="3" s="1"/>
  <c r="P328" i="4"/>
  <c r="Q328" i="4" s="1"/>
  <c r="P374" i="4"/>
  <c r="Q374" i="4" s="1"/>
  <c r="E21" i="10"/>
  <c r="AD623" i="3"/>
  <c r="AE623" i="3" s="1"/>
  <c r="AG623" i="3" s="1"/>
  <c r="AM623" i="3" s="1"/>
  <c r="AD620" i="3"/>
  <c r="AE620" i="3"/>
  <c r="AG620" i="3" s="1"/>
  <c r="AM620" i="3" s="1"/>
  <c r="N504" i="3"/>
  <c r="O504" i="3"/>
  <c r="Q504" i="3" s="1"/>
  <c r="P282" i="4"/>
  <c r="Q282" i="4"/>
  <c r="AD257" i="3"/>
  <c r="AE257" i="3" s="1"/>
  <c r="AG257" i="3" s="1"/>
  <c r="AM257" i="3" s="1"/>
  <c r="N288" i="3"/>
  <c r="O288" i="3" s="1"/>
  <c r="P264" i="4"/>
  <c r="Q264" i="4" s="1"/>
  <c r="N620" i="3"/>
  <c r="O620" i="3" s="1"/>
  <c r="N607" i="3"/>
  <c r="O607" i="3" s="1"/>
  <c r="Q607" i="3" s="1"/>
  <c r="AD605" i="3"/>
  <c r="AE605" i="3" s="1"/>
  <c r="AG605" i="3" s="1"/>
  <c r="AM605" i="3" s="1"/>
  <c r="N582" i="3"/>
  <c r="O582" i="3"/>
  <c r="Q582" i="3" s="1"/>
  <c r="N564" i="3"/>
  <c r="O564" i="3" s="1"/>
  <c r="Q564" i="3" s="1"/>
  <c r="AD541" i="3"/>
  <c r="AE541" i="3" s="1"/>
  <c r="AG541" i="3" s="1"/>
  <c r="AM541" i="3" s="1"/>
  <c r="AF541" i="3"/>
  <c r="N499" i="3"/>
  <c r="O499" i="3" s="1"/>
  <c r="Q499" i="3"/>
  <c r="AD495" i="3"/>
  <c r="AE495" i="3" s="1"/>
  <c r="N386" i="3"/>
  <c r="O386" i="3"/>
  <c r="P386" i="3"/>
  <c r="N461" i="3"/>
  <c r="O461" i="3" s="1"/>
  <c r="P461" i="3"/>
  <c r="N149" i="3"/>
  <c r="O149" i="3" s="1"/>
  <c r="Q149" i="3" s="1"/>
  <c r="N175" i="3"/>
  <c r="O175" i="3" s="1"/>
  <c r="Q175" i="3"/>
  <c r="P28" i="4"/>
  <c r="Q28" i="4"/>
  <c r="P205" i="4"/>
  <c r="Q205" i="4"/>
  <c r="N615" i="3"/>
  <c r="O615" i="3"/>
  <c r="Q615" i="3" s="1"/>
  <c r="N600" i="3"/>
  <c r="O600" i="3" s="1"/>
  <c r="Q600" i="3"/>
  <c r="N554" i="3"/>
  <c r="O554" i="3"/>
  <c r="Q554" i="3" s="1"/>
  <c r="AF548" i="3"/>
  <c r="AD498" i="3"/>
  <c r="AE498" i="3" s="1"/>
  <c r="AG498" i="3" s="1"/>
  <c r="AM498" i="3" s="1"/>
  <c r="P495" i="3"/>
  <c r="N495" i="3"/>
  <c r="O495" i="3" s="1"/>
  <c r="N242" i="3"/>
  <c r="O242" i="3" s="1"/>
  <c r="Q242" i="3" s="1"/>
  <c r="AD586" i="3"/>
  <c r="AE586" i="3"/>
  <c r="AF586" i="3"/>
  <c r="AD486" i="3"/>
  <c r="AE486" i="3" s="1"/>
  <c r="AG486" i="3"/>
  <c r="AM486" i="3" s="1"/>
  <c r="AF486" i="3"/>
  <c r="AD204" i="3"/>
  <c r="AE204" i="3" s="1"/>
  <c r="AG204" i="3" s="1"/>
  <c r="AM204" i="3" s="1"/>
  <c r="AD274" i="3"/>
  <c r="AE274" i="3" s="1"/>
  <c r="AG274" i="3" s="1"/>
  <c r="AM274" i="3" s="1"/>
  <c r="AD331" i="3"/>
  <c r="AE331" i="3"/>
  <c r="AG331" i="3" s="1"/>
  <c r="AM331" i="3" s="1"/>
  <c r="N353" i="3"/>
  <c r="O353" i="3"/>
  <c r="Q353" i="3" s="1"/>
  <c r="P40" i="4"/>
  <c r="Q40" i="4" s="1"/>
  <c r="P79" i="4"/>
  <c r="Q79" i="4" s="1"/>
  <c r="P198" i="4"/>
  <c r="Q198" i="4"/>
  <c r="P217" i="4"/>
  <c r="Q217" i="4" s="1"/>
  <c r="N618" i="3"/>
  <c r="O618" i="3" s="1"/>
  <c r="Q618" i="3"/>
  <c r="AD589" i="3"/>
  <c r="AE589" i="3" s="1"/>
  <c r="AG589" i="3" s="1"/>
  <c r="AM589" i="3" s="1"/>
  <c r="AD570" i="3"/>
  <c r="AE570" i="3" s="1"/>
  <c r="AG570" i="3" s="1"/>
  <c r="AM570" i="3" s="1"/>
  <c r="AF469" i="3"/>
  <c r="AD469" i="3"/>
  <c r="AE469" i="3" s="1"/>
  <c r="AF453" i="3"/>
  <c r="AD453" i="3"/>
  <c r="AE453" i="3" s="1"/>
  <c r="AG453" i="3" s="1"/>
  <c r="AM453" i="3" s="1"/>
  <c r="AD335" i="3"/>
  <c r="AE335" i="3" s="1"/>
  <c r="AG335" i="3" s="1"/>
  <c r="AM335" i="3" s="1"/>
  <c r="P166" i="4"/>
  <c r="Q166" i="4"/>
  <c r="P175" i="4"/>
  <c r="Q175" i="4"/>
  <c r="P289" i="4"/>
  <c r="Q289" i="4"/>
  <c r="N626" i="3"/>
  <c r="O626" i="3"/>
  <c r="AD622" i="3"/>
  <c r="AE622" i="3"/>
  <c r="AG622" i="3"/>
  <c r="AM622" i="3" s="1"/>
  <c r="AD558" i="3"/>
  <c r="AE558" i="3" s="1"/>
  <c r="AG558" i="3" s="1"/>
  <c r="AM558" i="3" s="1"/>
  <c r="AF532" i="3"/>
  <c r="AF501" i="3"/>
  <c r="N606" i="3"/>
  <c r="O606" i="3"/>
  <c r="P606" i="3"/>
  <c r="N469" i="3"/>
  <c r="O469" i="3" s="1"/>
  <c r="P469" i="3"/>
  <c r="N244" i="3"/>
  <c r="O244" i="3"/>
  <c r="Q244" i="3" s="1"/>
  <c r="AD258" i="3"/>
  <c r="AE258" i="3" s="1"/>
  <c r="AG258" i="3" s="1"/>
  <c r="AM258" i="3" s="1"/>
  <c r="N269" i="3"/>
  <c r="O269" i="3" s="1"/>
  <c r="Q269" i="3" s="1"/>
  <c r="AD300" i="3"/>
  <c r="AE300" i="3" s="1"/>
  <c r="AG300" i="3" s="1"/>
  <c r="AM300" i="3" s="1"/>
  <c r="N319" i="3"/>
  <c r="O319" i="3"/>
  <c r="P292" i="4"/>
  <c r="Q292" i="4"/>
  <c r="P345" i="4"/>
  <c r="Q345" i="4"/>
  <c r="AD590" i="3"/>
  <c r="AE590" i="3" s="1"/>
  <c r="AG590" i="3" s="1"/>
  <c r="AM590" i="3" s="1"/>
  <c r="N542" i="3"/>
  <c r="O542" i="3"/>
  <c r="Q542" i="3" s="1"/>
  <c r="AD540" i="3"/>
  <c r="AE540" i="3" s="1"/>
  <c r="AG540" i="3" s="1"/>
  <c r="AM540" i="3" s="1"/>
  <c r="N521" i="3"/>
  <c r="O521" i="3"/>
  <c r="Q521" i="3" s="1"/>
  <c r="N410" i="3"/>
  <c r="O410" i="3" s="1"/>
  <c r="P410" i="3"/>
  <c r="AD609" i="3"/>
  <c r="AE609" i="3" s="1"/>
  <c r="AG609" i="3" s="1"/>
  <c r="AM609" i="3" s="1"/>
  <c r="AD592" i="3"/>
  <c r="AE592" i="3" s="1"/>
  <c r="AG592" i="3" s="1"/>
  <c r="AM592" i="3" s="1"/>
  <c r="AD576" i="3"/>
  <c r="AE576" i="3" s="1"/>
  <c r="AG576" i="3" s="1"/>
  <c r="AM576" i="3" s="1"/>
  <c r="N570" i="3"/>
  <c r="O570" i="3" s="1"/>
  <c r="Q570" i="3"/>
  <c r="AD568" i="3"/>
  <c r="AE568" i="3" s="1"/>
  <c r="AG568" i="3" s="1"/>
  <c r="AM568" i="3" s="1"/>
  <c r="N555" i="3"/>
  <c r="O555" i="3" s="1"/>
  <c r="Q555" i="3"/>
  <c r="AD553" i="3"/>
  <c r="AE553" i="3" s="1"/>
  <c r="AG553" i="3" s="1"/>
  <c r="AM553" i="3" s="1"/>
  <c r="AD534" i="3"/>
  <c r="AE534" i="3" s="1"/>
  <c r="N505" i="3"/>
  <c r="O505" i="3" s="1"/>
  <c r="Q505" i="3" s="1"/>
  <c r="N466" i="3"/>
  <c r="O466" i="3" s="1"/>
  <c r="Q466" i="3" s="1"/>
  <c r="AD450" i="3"/>
  <c r="AE450" i="3" s="1"/>
  <c r="AD437" i="3"/>
  <c r="AE437" i="3" s="1"/>
  <c r="AG437" i="3" s="1"/>
  <c r="AM437" i="3" s="1"/>
  <c r="N430" i="3"/>
  <c r="O430" i="3" s="1"/>
  <c r="Q430" i="3" s="1"/>
  <c r="N420" i="3"/>
  <c r="O420" i="3"/>
  <c r="Q420" i="3" s="1"/>
  <c r="N408" i="3"/>
  <c r="O408" i="3" s="1"/>
  <c r="Q408" i="3"/>
  <c r="AD398" i="3"/>
  <c r="AE398" i="3"/>
  <c r="AG398" i="3" s="1"/>
  <c r="AM398" i="3" s="1"/>
  <c r="AD397" i="3"/>
  <c r="AE397" i="3" s="1"/>
  <c r="AG397" i="3" s="1"/>
  <c r="AM397" i="3" s="1"/>
  <c r="AD381" i="3"/>
  <c r="AE381" i="3" s="1"/>
  <c r="AG381" i="3" s="1"/>
  <c r="AM381" i="3" s="1"/>
  <c r="AD428" i="3"/>
  <c r="AE428" i="3" s="1"/>
  <c r="AG428" i="3" s="1"/>
  <c r="AM428" i="3" s="1"/>
  <c r="N396" i="3"/>
  <c r="O396" i="3"/>
  <c r="Q396" i="3"/>
  <c r="AD607" i="3"/>
  <c r="AE607" i="3" s="1"/>
  <c r="AG607" i="3" s="1"/>
  <c r="AM607" i="3" s="1"/>
  <c r="N603" i="3"/>
  <c r="O603" i="3" s="1"/>
  <c r="Q603" i="3"/>
  <c r="N578" i="3"/>
  <c r="O578" i="3"/>
  <c r="Q578" i="3" s="1"/>
  <c r="N562" i="3"/>
  <c r="O562" i="3" s="1"/>
  <c r="N522" i="3"/>
  <c r="O522" i="3"/>
  <c r="Q522" i="3"/>
  <c r="N493" i="3"/>
  <c r="O493" i="3"/>
  <c r="Q493" i="3" s="1"/>
  <c r="AD485" i="3"/>
  <c r="AE485" i="3" s="1"/>
  <c r="AG485" i="3" s="1"/>
  <c r="AM485" i="3" s="1"/>
  <c r="N478" i="3"/>
  <c r="O478" i="3" s="1"/>
  <c r="Q478" i="3" s="1"/>
  <c r="AD441" i="3"/>
  <c r="AE441" i="3" s="1"/>
  <c r="AG441" i="3" s="1"/>
  <c r="AM441" i="3" s="1"/>
  <c r="AF419" i="3"/>
  <c r="AG419" i="3" s="1"/>
  <c r="AM419" i="3" s="1"/>
  <c r="P381" i="3"/>
  <c r="Q381" i="3" s="1"/>
  <c r="AD610" i="3"/>
  <c r="AE610" i="3" s="1"/>
  <c r="AG610" i="3" s="1"/>
  <c r="AM610" i="3" s="1"/>
  <c r="N592" i="3"/>
  <c r="O592" i="3"/>
  <c r="Q592" i="3" s="1"/>
  <c r="AD564" i="3"/>
  <c r="AE564" i="3" s="1"/>
  <c r="AG564" i="3" s="1"/>
  <c r="AM564" i="3" s="1"/>
  <c r="N528" i="3"/>
  <c r="O528" i="3"/>
  <c r="Q528" i="3" s="1"/>
  <c r="N437" i="3"/>
  <c r="O437" i="3" s="1"/>
  <c r="Q437" i="3" s="1"/>
  <c r="AD435" i="3"/>
  <c r="AE435" i="3" s="1"/>
  <c r="N409" i="3"/>
  <c r="O409" i="3"/>
  <c r="Q409" i="3" s="1"/>
  <c r="AD426" i="3"/>
  <c r="AE426" i="3" s="1"/>
  <c r="AG426" i="3" s="1"/>
  <c r="AM426" i="3" s="1"/>
  <c r="N389" i="3"/>
  <c r="O389" i="3"/>
  <c r="Q389" i="3" s="1"/>
  <c r="AD596" i="3"/>
  <c r="AE596" i="3"/>
  <c r="AG596" i="3" s="1"/>
  <c r="AM596" i="3" s="1"/>
  <c r="N579" i="3"/>
  <c r="O579" i="3"/>
  <c r="Q579" i="3" s="1"/>
  <c r="N572" i="3"/>
  <c r="O572" i="3"/>
  <c r="Q572" i="3" s="1"/>
  <c r="AD567" i="3"/>
  <c r="AE567" i="3"/>
  <c r="AG567" i="3" s="1"/>
  <c r="AM567" i="3" s="1"/>
  <c r="AD549" i="3"/>
  <c r="AE549" i="3"/>
  <c r="AD535" i="3"/>
  <c r="AE535" i="3"/>
  <c r="AG535" i="3" s="1"/>
  <c r="AM535" i="3" s="1"/>
  <c r="N503" i="3"/>
  <c r="O503" i="3" s="1"/>
  <c r="Q503" i="3" s="1"/>
  <c r="AD442" i="3"/>
  <c r="AE442" i="3" s="1"/>
  <c r="AG442" i="3" s="1"/>
  <c r="AM442" i="3" s="1"/>
  <c r="N441" i="3"/>
  <c r="O441" i="3" s="1"/>
  <c r="Q441" i="3" s="1"/>
  <c r="N412" i="3"/>
  <c r="O412" i="3"/>
  <c r="Q412" i="3" s="1"/>
  <c r="AD387" i="3"/>
  <c r="AE387" i="3" s="1"/>
  <c r="AG387" i="3" s="1"/>
  <c r="AM387" i="3" s="1"/>
  <c r="AD466" i="3"/>
  <c r="AE466" i="3" s="1"/>
  <c r="AG466" i="3"/>
  <c r="AM466" i="3" s="1"/>
  <c r="AD454" i="3"/>
  <c r="AE454" i="3" s="1"/>
  <c r="AG454" i="3" s="1"/>
  <c r="AM454" i="3"/>
  <c r="AD461" i="3"/>
  <c r="AE461" i="3" s="1"/>
  <c r="AG461" i="3"/>
  <c r="AM461" i="3" s="1"/>
  <c r="AD449" i="3"/>
  <c r="AE449" i="3" s="1"/>
  <c r="AG449" i="3" s="1"/>
  <c r="AM449" i="3" s="1"/>
  <c r="N438" i="3"/>
  <c r="O438" i="3" s="1"/>
  <c r="Q438" i="3" s="1"/>
  <c r="N429" i="3"/>
  <c r="O429" i="3"/>
  <c r="Q429" i="3" s="1"/>
  <c r="AD427" i="3"/>
  <c r="AE427" i="3" s="1"/>
  <c r="AG427" i="3" s="1"/>
  <c r="AM427" i="3" s="1"/>
  <c r="N413" i="3"/>
  <c r="O413" i="3" s="1"/>
  <c r="Q413" i="3"/>
  <c r="AD400" i="3"/>
  <c r="AE400" i="3" s="1"/>
  <c r="AG400" i="3" s="1"/>
  <c r="AM400" i="3" s="1"/>
  <c r="N399" i="3"/>
  <c r="O399" i="3"/>
  <c r="Q399" i="3" s="1"/>
  <c r="AD384" i="3"/>
  <c r="AE384" i="3" s="1"/>
  <c r="AG384" i="3" s="1"/>
  <c r="AM384" i="3" s="1"/>
  <c r="N382" i="3"/>
  <c r="O382" i="3" s="1"/>
  <c r="Q382" i="3" s="1"/>
  <c r="AD624" i="3"/>
  <c r="AE624" i="3" s="1"/>
  <c r="AG624" i="3" s="1"/>
  <c r="AM624" i="3" s="1"/>
  <c r="AD621" i="3"/>
  <c r="AE621" i="3" s="1"/>
  <c r="AG621" i="3" s="1"/>
  <c r="AM621" i="3" s="1"/>
  <c r="N614" i="3"/>
  <c r="O614" i="3"/>
  <c r="Q614" i="3" s="1"/>
  <c r="AD611" i="3"/>
  <c r="AE611" i="3" s="1"/>
  <c r="AG611" i="3" s="1"/>
  <c r="AM611" i="3" s="1"/>
  <c r="N608" i="3"/>
  <c r="O608" i="3" s="1"/>
  <c r="Q608" i="3"/>
  <c r="AD606" i="3"/>
  <c r="AE606" i="3" s="1"/>
  <c r="AG606" i="3" s="1"/>
  <c r="AM606" i="3" s="1"/>
  <c r="AD588" i="3"/>
  <c r="AE588" i="3"/>
  <c r="AG588" i="3" s="1"/>
  <c r="AM588" i="3"/>
  <c r="AD578" i="3"/>
  <c r="AE578" i="3"/>
  <c r="AG578" i="3" s="1"/>
  <c r="AM578" i="3" s="1"/>
  <c r="N535" i="3"/>
  <c r="O535" i="3"/>
  <c r="Q535" i="3" s="1"/>
  <c r="AD530" i="3"/>
  <c r="AE530" i="3" s="1"/>
  <c r="AG530" i="3" s="1"/>
  <c r="AM530" i="3" s="1"/>
  <c r="N527" i="3"/>
  <c r="O527" i="3"/>
  <c r="Q527" i="3"/>
  <c r="AD522" i="3"/>
  <c r="AE522" i="3"/>
  <c r="AG522" i="3" s="1"/>
  <c r="AM522" i="3" s="1"/>
  <c r="AD481" i="3"/>
  <c r="AE481" i="3"/>
  <c r="AG481" i="3" s="1"/>
  <c r="AM481" i="3" s="1"/>
  <c r="N474" i="3"/>
  <c r="O474" i="3"/>
  <c r="Q474" i="3" s="1"/>
  <c r="AD460" i="3"/>
  <c r="AE460" i="3"/>
  <c r="N459" i="3"/>
  <c r="O459" i="3" s="1"/>
  <c r="Q459" i="3" s="1"/>
  <c r="AD446" i="3"/>
  <c r="AE446" i="3"/>
  <c r="AG446" i="3" s="1"/>
  <c r="AM446" i="3" s="1"/>
  <c r="P439" i="3"/>
  <c r="N425" i="3"/>
  <c r="O425" i="3" s="1"/>
  <c r="Q425" i="3"/>
  <c r="AD405" i="3"/>
  <c r="AE405" i="3" s="1"/>
  <c r="AG405" i="3" s="1"/>
  <c r="AM405" i="3" s="1"/>
  <c r="N390" i="3"/>
  <c r="O390" i="3" s="1"/>
  <c r="Q390" i="3" s="1"/>
  <c r="N42" i="3"/>
  <c r="O42" i="3" s="1"/>
  <c r="AD75" i="3"/>
  <c r="AE75" i="3" s="1"/>
  <c r="AF75" i="3"/>
  <c r="AF54" i="3"/>
  <c r="P319" i="4"/>
  <c r="Q319" i="4"/>
  <c r="R319" i="4"/>
  <c r="P117" i="3"/>
  <c r="N117" i="3"/>
  <c r="O117" i="3"/>
  <c r="AD94" i="3"/>
  <c r="AE94" i="3" s="1"/>
  <c r="AG94" i="3" s="1"/>
  <c r="AM94" i="3" s="1"/>
  <c r="AF72" i="3"/>
  <c r="AD72" i="3"/>
  <c r="AE72" i="3"/>
  <c r="R379" i="4"/>
  <c r="P379" i="4"/>
  <c r="Q379" i="4"/>
  <c r="AF145" i="3"/>
  <c r="AD145" i="3"/>
  <c r="AE145" i="3" s="1"/>
  <c r="AG145" i="3"/>
  <c r="AM145" i="3" s="1"/>
  <c r="Q311" i="3"/>
  <c r="AD98" i="3"/>
  <c r="AE98" i="3" s="1"/>
  <c r="AG98" i="3" s="1"/>
  <c r="AM98" i="3"/>
  <c r="P179" i="3"/>
  <c r="N179" i="3"/>
  <c r="O179" i="3" s="1"/>
  <c r="AF164" i="3"/>
  <c r="AD164" i="3"/>
  <c r="AE164" i="3"/>
  <c r="AD166" i="3"/>
  <c r="AE166" i="3" s="1"/>
  <c r="AG166" i="3" s="1"/>
  <c r="AM166" i="3" s="1"/>
  <c r="AD290" i="3"/>
  <c r="AE290" i="3" s="1"/>
  <c r="AG290" i="3" s="1"/>
  <c r="AM290" i="3" s="1"/>
  <c r="P165" i="3"/>
  <c r="N165" i="3"/>
  <c r="O165" i="3"/>
  <c r="P275" i="3"/>
  <c r="N275" i="3"/>
  <c r="O275" i="3"/>
  <c r="Q275" i="3" s="1"/>
  <c r="N97" i="3"/>
  <c r="O97" i="3" s="1"/>
  <c r="Q97" i="3"/>
  <c r="N54" i="3"/>
  <c r="O54" i="3" s="1"/>
  <c r="Q54" i="3"/>
  <c r="AD220" i="3"/>
  <c r="AE220" i="3" s="1"/>
  <c r="AG220" i="3" s="1"/>
  <c r="AM220" i="3" s="1"/>
  <c r="P288" i="3"/>
  <c r="AD48" i="3"/>
  <c r="AE48" i="3" s="1"/>
  <c r="AG48" i="3" s="1"/>
  <c r="AM48" i="3" s="1"/>
  <c r="N136" i="3"/>
  <c r="O136" i="3" s="1"/>
  <c r="Q136" i="3" s="1"/>
  <c r="AD154" i="3"/>
  <c r="AE154" i="3" s="1"/>
  <c r="AG154" i="3" s="1"/>
  <c r="AM154" i="3" s="1"/>
  <c r="P120" i="3"/>
  <c r="N120" i="3"/>
  <c r="O120" i="3" s="1"/>
  <c r="Q120" i="3" s="1"/>
  <c r="N229" i="3"/>
  <c r="O229" i="3" s="1"/>
  <c r="Q229" i="3" s="1"/>
  <c r="AD307" i="3"/>
  <c r="AE307" i="3" s="1"/>
  <c r="AG307" i="3" s="1"/>
  <c r="AM307" i="3" s="1"/>
  <c r="AD182" i="3"/>
  <c r="AE182" i="3" s="1"/>
  <c r="AG182" i="3" s="1"/>
  <c r="AM182" i="3" s="1"/>
  <c r="AD184" i="3"/>
  <c r="AE184" i="3" s="1"/>
  <c r="AG184" i="3" s="1"/>
  <c r="AM184" i="3" s="1"/>
  <c r="AD320" i="3"/>
  <c r="AE320" i="3" s="1"/>
  <c r="AG320" i="3"/>
  <c r="AM320" i="3" s="1"/>
  <c r="P617" i="3"/>
  <c r="N617" i="3"/>
  <c r="O617" i="3"/>
  <c r="P249" i="4"/>
  <c r="Q249" i="4" s="1"/>
  <c r="AF625" i="3"/>
  <c r="N624" i="3"/>
  <c r="O624" i="3" s="1"/>
  <c r="Q624" i="3" s="1"/>
  <c r="P624" i="3"/>
  <c r="AD547" i="3"/>
  <c r="AE547" i="3" s="1"/>
  <c r="AF547" i="3"/>
  <c r="AF534" i="3"/>
  <c r="N616" i="3"/>
  <c r="O616" i="3"/>
  <c r="Q616" i="3"/>
  <c r="AF614" i="3"/>
  <c r="AD614" i="3"/>
  <c r="AE614" i="3" s="1"/>
  <c r="P517" i="3"/>
  <c r="N517" i="3"/>
  <c r="O517" i="3"/>
  <c r="Q517" i="3"/>
  <c r="AF545" i="3"/>
  <c r="AD545" i="3"/>
  <c r="AE545" i="3"/>
  <c r="N540" i="3"/>
  <c r="O540" i="3" s="1"/>
  <c r="Q540" i="3" s="1"/>
  <c r="AD627" i="3"/>
  <c r="AE627" i="3" s="1"/>
  <c r="AG627" i="3" s="1"/>
  <c r="AM627" i="3" s="1"/>
  <c r="N611" i="3"/>
  <c r="O611" i="3"/>
  <c r="Q611" i="3"/>
  <c r="N625" i="3"/>
  <c r="O625" i="3"/>
  <c r="Q625" i="3" s="1"/>
  <c r="N519" i="3"/>
  <c r="O519" i="3"/>
  <c r="P519" i="3"/>
  <c r="AD601" i="3"/>
  <c r="AE601" i="3"/>
  <c r="AG601" i="3" s="1"/>
  <c r="AM601" i="3" s="1"/>
  <c r="N596" i="3"/>
  <c r="O596" i="3"/>
  <c r="Q596" i="3" s="1"/>
  <c r="N577" i="3"/>
  <c r="O577" i="3"/>
  <c r="Q577" i="3" s="1"/>
  <c r="AD554" i="3"/>
  <c r="AE554" i="3" s="1"/>
  <c r="AD529" i="3"/>
  <c r="AE529" i="3" s="1"/>
  <c r="AG529" i="3" s="1"/>
  <c r="AM529" i="3" s="1"/>
  <c r="AF624" i="3"/>
  <c r="AD544" i="3"/>
  <c r="AE544" i="3" s="1"/>
  <c r="AG544" i="3"/>
  <c r="AM544" i="3" s="1"/>
  <c r="P481" i="3"/>
  <c r="N481" i="3"/>
  <c r="O481" i="3" s="1"/>
  <c r="Q481" i="3" s="1"/>
  <c r="AD579" i="3"/>
  <c r="AE579" i="3" s="1"/>
  <c r="AG579" i="3" s="1"/>
  <c r="AM579" i="3" s="1"/>
  <c r="P584" i="3"/>
  <c r="AD562" i="3"/>
  <c r="AE562" i="3" s="1"/>
  <c r="AG562" i="3" s="1"/>
  <c r="AM562" i="3" s="1"/>
  <c r="AD561" i="3"/>
  <c r="AE561" i="3" s="1"/>
  <c r="AG561" i="3" s="1"/>
  <c r="AM561" i="3" s="1"/>
  <c r="N543" i="3"/>
  <c r="O543" i="3" s="1"/>
  <c r="AF537" i="3"/>
  <c r="P531" i="3"/>
  <c r="AD509" i="3"/>
  <c r="AE509" i="3" s="1"/>
  <c r="AG509" i="3" s="1"/>
  <c r="AM509" i="3" s="1"/>
  <c r="N463" i="3"/>
  <c r="O463" i="3" s="1"/>
  <c r="Q463" i="3" s="1"/>
  <c r="AD434" i="3"/>
  <c r="AE434" i="3" s="1"/>
  <c r="AG434" i="3" s="1"/>
  <c r="AM434" i="3"/>
  <c r="P620" i="3"/>
  <c r="P609" i="3"/>
  <c r="N545" i="3"/>
  <c r="O545" i="3"/>
  <c r="Q545" i="3" s="1"/>
  <c r="N544" i="3"/>
  <c r="O544" i="3"/>
  <c r="Q544" i="3" s="1"/>
  <c r="AD413" i="3"/>
  <c r="AE413" i="3" s="1"/>
  <c r="AG413" i="3" s="1"/>
  <c r="AM413" i="3" s="1"/>
  <c r="N585" i="3"/>
  <c r="O585" i="3"/>
  <c r="Q585" i="3" s="1"/>
  <c r="P562" i="3"/>
  <c r="AD556" i="3"/>
  <c r="AE556" i="3" s="1"/>
  <c r="N513" i="3"/>
  <c r="O513" i="3"/>
  <c r="Q513" i="3" s="1"/>
  <c r="N509" i="3"/>
  <c r="O509" i="3" s="1"/>
  <c r="Q509" i="3" s="1"/>
  <c r="P427" i="3"/>
  <c r="N427" i="3"/>
  <c r="O427" i="3" s="1"/>
  <c r="AD616" i="3"/>
  <c r="AE616" i="3"/>
  <c r="AG616" i="3" s="1"/>
  <c r="AM616" i="3" s="1"/>
  <c r="AD550" i="3"/>
  <c r="AE550" i="3" s="1"/>
  <c r="AG550" i="3" s="1"/>
  <c r="AM550" i="3" s="1"/>
  <c r="N532" i="3"/>
  <c r="O532" i="3" s="1"/>
  <c r="Q532" i="3" s="1"/>
  <c r="N525" i="3"/>
  <c r="O525" i="3"/>
  <c r="Q525" i="3"/>
  <c r="N520" i="3"/>
  <c r="O520" i="3" s="1"/>
  <c r="Q520" i="3" s="1"/>
  <c r="N589" i="3"/>
  <c r="O589" i="3"/>
  <c r="Q589" i="3" s="1"/>
  <c r="N565" i="3"/>
  <c r="O565" i="3"/>
  <c r="Q565" i="3" s="1"/>
  <c r="N548" i="3"/>
  <c r="O548" i="3"/>
  <c r="Q548" i="3"/>
  <c r="N547" i="3"/>
  <c r="O547" i="3"/>
  <c r="Q547" i="3"/>
  <c r="AD523" i="3"/>
  <c r="AE523" i="3" s="1"/>
  <c r="AG523" i="3" s="1"/>
  <c r="AM523" i="3" s="1"/>
  <c r="AD518" i="3"/>
  <c r="AE518" i="3"/>
  <c r="AG518" i="3" s="1"/>
  <c r="AM518" i="3" s="1"/>
  <c r="AD477" i="3"/>
  <c r="AE477" i="3" s="1"/>
  <c r="AG477" i="3" s="1"/>
  <c r="AM477" i="3" s="1"/>
  <c r="N467" i="3"/>
  <c r="O467" i="3" s="1"/>
  <c r="P467" i="3"/>
  <c r="N561" i="3"/>
  <c r="O561" i="3" s="1"/>
  <c r="Q561" i="3" s="1"/>
  <c r="N411" i="3"/>
  <c r="O411" i="3"/>
  <c r="P411" i="3"/>
  <c r="N566" i="3"/>
  <c r="O566" i="3" s="1"/>
  <c r="Q566" i="3" s="1"/>
  <c r="N549" i="3"/>
  <c r="O549" i="3" s="1"/>
  <c r="Q549" i="3" s="1"/>
  <c r="AD494" i="3"/>
  <c r="AE494" i="3" s="1"/>
  <c r="AG494" i="3" s="1"/>
  <c r="AM494" i="3"/>
  <c r="P445" i="3"/>
  <c r="Q445" i="3" s="1"/>
  <c r="O445" i="3"/>
  <c r="AD508" i="3"/>
  <c r="AE508" i="3" s="1"/>
  <c r="AG508" i="3" s="1"/>
  <c r="AM508" i="3" s="1"/>
  <c r="AD482" i="3"/>
  <c r="AE482" i="3"/>
  <c r="AG482" i="3" s="1"/>
  <c r="AM482" i="3" s="1"/>
  <c r="P433" i="3"/>
  <c r="N433" i="3"/>
  <c r="O433" i="3" s="1"/>
  <c r="Q433" i="3"/>
  <c r="AD423" i="3"/>
  <c r="AE423" i="3"/>
  <c r="AG423" i="3" s="1"/>
  <c r="AM423" i="3" s="1"/>
  <c r="N422" i="3"/>
  <c r="O422" i="3" s="1"/>
  <c r="Q422" i="3" s="1"/>
  <c r="N451" i="3"/>
  <c r="O451" i="3" s="1"/>
  <c r="Q451" i="3" s="1"/>
  <c r="AD430" i="3"/>
  <c r="AE430" i="3"/>
  <c r="AG430" i="3" s="1"/>
  <c r="AM430" i="3" s="1"/>
  <c r="N457" i="3"/>
  <c r="O457" i="3" s="1"/>
  <c r="Q457" i="3"/>
  <c r="AD515" i="3"/>
  <c r="AE515" i="3" s="1"/>
  <c r="AG515" i="3" s="1"/>
  <c r="AM515" i="3" s="1"/>
  <c r="AD512" i="3"/>
  <c r="AE512" i="3" s="1"/>
  <c r="AG512" i="3" s="1"/>
  <c r="AM512" i="3" s="1"/>
  <c r="N489" i="3"/>
  <c r="O489" i="3"/>
  <c r="Q489" i="3" s="1"/>
  <c r="N482" i="3"/>
  <c r="O482" i="3" s="1"/>
  <c r="Q482" i="3"/>
  <c r="AF450" i="3"/>
  <c r="N491" i="3"/>
  <c r="O491" i="3"/>
  <c r="Q491" i="3" s="1"/>
  <c r="AD470" i="3"/>
  <c r="AE470" i="3" s="1"/>
  <c r="AG470" i="3" s="1"/>
  <c r="AM470" i="3" s="1"/>
  <c r="N458" i="3"/>
  <c r="O458" i="3" s="1"/>
  <c r="Q458" i="3" s="1"/>
  <c r="N523" i="3"/>
  <c r="O523" i="3" s="1"/>
  <c r="Q523" i="3" s="1"/>
  <c r="AD475" i="3"/>
  <c r="AE475" i="3" s="1"/>
  <c r="AG475" i="3" s="1"/>
  <c r="AM475" i="3" s="1"/>
  <c r="AD463" i="3"/>
  <c r="AE463" i="3" s="1"/>
  <c r="AG463" i="3" s="1"/>
  <c r="AM463" i="3" s="1"/>
  <c r="P436" i="3"/>
  <c r="N436" i="3"/>
  <c r="O436" i="3"/>
  <c r="AF411" i="3"/>
  <c r="AD411" i="3"/>
  <c r="AE411" i="3" s="1"/>
  <c r="N497" i="3"/>
  <c r="O497" i="3" s="1"/>
  <c r="Q497" i="3" s="1"/>
  <c r="AD456" i="3"/>
  <c r="AE456" i="3" s="1"/>
  <c r="AG456" i="3" s="1"/>
  <c r="AM456" i="3" s="1"/>
  <c r="N515" i="3"/>
  <c r="O515" i="3"/>
  <c r="Q515" i="3" s="1"/>
  <c r="N442" i="3"/>
  <c r="O442" i="3" s="1"/>
  <c r="Q442" i="3"/>
  <c r="N431" i="3"/>
  <c r="O431" i="3"/>
  <c r="Q431" i="3"/>
  <c r="N414" i="3"/>
  <c r="O414" i="3"/>
  <c r="Q414" i="3" s="1"/>
  <c r="AD401" i="3"/>
  <c r="AE401" i="3"/>
  <c r="AG401" i="3" s="1"/>
  <c r="AM401" i="3" s="1"/>
  <c r="N419" i="3"/>
  <c r="O419" i="3"/>
  <c r="Q419" i="3" s="1"/>
  <c r="AD408" i="3"/>
  <c r="AE408" i="3" s="1"/>
  <c r="AG408" i="3" s="1"/>
  <c r="AM408" i="3" s="1"/>
  <c r="AD407" i="3"/>
  <c r="AE407" i="3" s="1"/>
  <c r="AG407" i="3" s="1"/>
  <c r="AM407" i="3" s="1"/>
  <c r="N384" i="3"/>
  <c r="O384" i="3" s="1"/>
  <c r="Q384" i="3"/>
  <c r="AD395" i="3"/>
  <c r="AE395" i="3" s="1"/>
  <c r="AG395" i="3" s="1"/>
  <c r="AM395" i="3" s="1"/>
  <c r="AD393" i="3"/>
  <c r="AE393" i="3" s="1"/>
  <c r="AG393" i="3"/>
  <c r="AM393" i="3" s="1"/>
  <c r="R271" i="4"/>
  <c r="R90" i="4"/>
  <c r="N88" i="3"/>
  <c r="O88" i="3"/>
  <c r="Q88" i="3" s="1"/>
  <c r="AD13" i="3"/>
  <c r="AE13" i="3" s="1"/>
  <c r="N30" i="3"/>
  <c r="O30" i="3"/>
  <c r="Q30" i="3"/>
  <c r="P30" i="3"/>
  <c r="AF213" i="3"/>
  <c r="AD213" i="3"/>
  <c r="AE213" i="3" s="1"/>
  <c r="AF187" i="3"/>
  <c r="AD187" i="3"/>
  <c r="AE187" i="3" s="1"/>
  <c r="P341" i="3"/>
  <c r="N341" i="3"/>
  <c r="O341" i="3" s="1"/>
  <c r="AF238" i="3"/>
  <c r="AD238" i="3"/>
  <c r="AE238" i="3" s="1"/>
  <c r="P131" i="3"/>
  <c r="N131" i="3"/>
  <c r="O131" i="3"/>
  <c r="Q131" i="3"/>
  <c r="N155" i="3"/>
  <c r="O155" i="3" s="1"/>
  <c r="Q155" i="3"/>
  <c r="N108" i="3"/>
  <c r="O108" i="3" s="1"/>
  <c r="Q108" i="3" s="1"/>
  <c r="P138" i="3"/>
  <c r="N138" i="3"/>
  <c r="O138" i="3"/>
  <c r="Q138" i="3"/>
  <c r="AF210" i="3"/>
  <c r="AG210" i="3" s="1"/>
  <c r="AM210" i="3" s="1"/>
  <c r="AD210" i="3"/>
  <c r="AE210" i="3" s="1"/>
  <c r="P91" i="3"/>
  <c r="N91" i="3"/>
  <c r="O91" i="3" s="1"/>
  <c r="N178" i="3"/>
  <c r="O178" i="3" s="1"/>
  <c r="Q178" i="3"/>
  <c r="AD227" i="3"/>
  <c r="AE227" i="3" s="1"/>
  <c r="AG227" i="3" s="1"/>
  <c r="AM227" i="3" s="1"/>
  <c r="AD251" i="3"/>
  <c r="AE251" i="3"/>
  <c r="AG251" i="3" s="1"/>
  <c r="AM251" i="3" s="1"/>
  <c r="P105" i="3"/>
  <c r="N105" i="3"/>
  <c r="O105" i="3" s="1"/>
  <c r="AD248" i="3"/>
  <c r="AE248" i="3" s="1"/>
  <c r="AG248" i="3" s="1"/>
  <c r="AM248" i="3" s="1"/>
  <c r="P246" i="4"/>
  <c r="Q246" i="4" s="1"/>
  <c r="R246" i="4"/>
  <c r="P95" i="3"/>
  <c r="N95" i="3"/>
  <c r="O95" i="3" s="1"/>
  <c r="N75" i="3"/>
  <c r="O75" i="3" s="1"/>
  <c r="Q75" i="3"/>
  <c r="AD253" i="3"/>
  <c r="AE253" i="3" s="1"/>
  <c r="AG253" i="3"/>
  <c r="AM253" i="3" s="1"/>
  <c r="P187" i="4"/>
  <c r="Q187" i="4"/>
  <c r="N357" i="3"/>
  <c r="O357" i="3"/>
  <c r="Q357" i="3" s="1"/>
  <c r="P263" i="4"/>
  <c r="Q263" i="4" s="1"/>
  <c r="N322" i="3"/>
  <c r="O322" i="3" s="1"/>
  <c r="Q322" i="3"/>
  <c r="P204" i="4"/>
  <c r="Q204" i="4" s="1"/>
  <c r="AD302" i="3"/>
  <c r="AE302" i="3" s="1"/>
  <c r="AG302" i="3" s="1"/>
  <c r="AM302" i="3" s="1"/>
  <c r="P43" i="4"/>
  <c r="Q43" i="4"/>
  <c r="N627" i="3"/>
  <c r="O627" i="3"/>
  <c r="Q627" i="3" s="1"/>
  <c r="AD537" i="3"/>
  <c r="AE537" i="3" s="1"/>
  <c r="P605" i="3"/>
  <c r="N605" i="3"/>
  <c r="O605" i="3"/>
  <c r="Q605" i="3" s="1"/>
  <c r="AD490" i="3"/>
  <c r="AE490" i="3"/>
  <c r="AF490" i="3"/>
  <c r="AF418" i="3"/>
  <c r="AD418" i="3"/>
  <c r="AE418" i="3" s="1"/>
  <c r="AF459" i="3"/>
  <c r="AD459" i="3"/>
  <c r="AE459" i="3" s="1"/>
  <c r="AD626" i="3"/>
  <c r="AE626" i="3" s="1"/>
  <c r="AG626" i="3" s="1"/>
  <c r="AM626" i="3" s="1"/>
  <c r="AG538" i="3"/>
  <c r="AM538" i="3" s="1"/>
  <c r="AF414" i="3"/>
  <c r="AD414" i="3"/>
  <c r="AE414" i="3" s="1"/>
  <c r="AD585" i="3"/>
  <c r="AE585" i="3"/>
  <c r="AF585" i="3"/>
  <c r="N490" i="3"/>
  <c r="O490" i="3" s="1"/>
  <c r="P490" i="3"/>
  <c r="AF429" i="3"/>
  <c r="AD429" i="3"/>
  <c r="AE429" i="3" s="1"/>
  <c r="AF566" i="3"/>
  <c r="N568" i="3"/>
  <c r="O568" i="3" s="1"/>
  <c r="P568" i="3"/>
  <c r="AF499" i="3"/>
  <c r="AD499" i="3"/>
  <c r="AE499" i="3"/>
  <c r="AG499" i="3" s="1"/>
  <c r="AM499" i="3" s="1"/>
  <c r="N581" i="3"/>
  <c r="O581" i="3" s="1"/>
  <c r="Q581" i="3" s="1"/>
  <c r="N533" i="3"/>
  <c r="O533" i="3"/>
  <c r="Q533" i="3" s="1"/>
  <c r="P514" i="3"/>
  <c r="N514" i="3"/>
  <c r="O514" i="3" s="1"/>
  <c r="P506" i="3"/>
  <c r="AD487" i="3"/>
  <c r="AE487" i="3" s="1"/>
  <c r="AG487" i="3" s="1"/>
  <c r="AM487" i="3" s="1"/>
  <c r="AF473" i="3"/>
  <c r="N604" i="3"/>
  <c r="O604" i="3"/>
  <c r="Q604" i="3"/>
  <c r="N498" i="3"/>
  <c r="O498" i="3"/>
  <c r="Q498" i="3" s="1"/>
  <c r="AD532" i="3"/>
  <c r="AE532" i="3" s="1"/>
  <c r="AG532" i="3" s="1"/>
  <c r="AM532" i="3" s="1"/>
  <c r="AF457" i="3"/>
  <c r="AD457" i="3"/>
  <c r="AE457" i="3" s="1"/>
  <c r="N444" i="3"/>
  <c r="O444" i="3"/>
  <c r="Q444" i="3"/>
  <c r="P426" i="3"/>
  <c r="N426" i="3"/>
  <c r="O426" i="3" s="1"/>
  <c r="AD416" i="3"/>
  <c r="AE416" i="3" s="1"/>
  <c r="AG416" i="3" s="1"/>
  <c r="AM416" i="3" s="1"/>
  <c r="AD386" i="3"/>
  <c r="AE386" i="3" s="1"/>
  <c r="AG386" i="3" s="1"/>
  <c r="AM386" i="3" s="1"/>
  <c r="P550" i="3"/>
  <c r="N550" i="3"/>
  <c r="O550" i="3" s="1"/>
  <c r="Q550" i="3" s="1"/>
  <c r="AF542" i="3"/>
  <c r="P511" i="3"/>
  <c r="N511" i="3"/>
  <c r="O511" i="3" s="1"/>
  <c r="Q511" i="3" s="1"/>
  <c r="N456" i="3"/>
  <c r="O456" i="3" s="1"/>
  <c r="Q456" i="3" s="1"/>
  <c r="AF394" i="3"/>
  <c r="AD394" i="3"/>
  <c r="AE394" i="3" s="1"/>
  <c r="AF440" i="3"/>
  <c r="AD440" i="3"/>
  <c r="AE440" i="3" s="1"/>
  <c r="N574" i="3"/>
  <c r="O574" i="3" s="1"/>
  <c r="Q574" i="3"/>
  <c r="AD551" i="3"/>
  <c r="AE551" i="3" s="1"/>
  <c r="AG551" i="3"/>
  <c r="AM551" i="3" s="1"/>
  <c r="P575" i="3"/>
  <c r="AF536" i="3"/>
  <c r="AF514" i="3"/>
  <c r="AD513" i="3"/>
  <c r="AE513" i="3" s="1"/>
  <c r="AG513" i="3" s="1"/>
  <c r="AM513" i="3" s="1"/>
  <c r="AD505" i="3"/>
  <c r="AE505" i="3" s="1"/>
  <c r="AG505" i="3" s="1"/>
  <c r="AM505" i="3" s="1"/>
  <c r="AD455" i="3"/>
  <c r="AE455" i="3" s="1"/>
  <c r="AG455" i="3" s="1"/>
  <c r="AM455" i="3" s="1"/>
  <c r="AF471" i="3"/>
  <c r="AD471" i="3"/>
  <c r="AE471" i="3" s="1"/>
  <c r="N468" i="3"/>
  <c r="O468" i="3"/>
  <c r="Q468" i="3" s="1"/>
  <c r="N450" i="3"/>
  <c r="O450" i="3"/>
  <c r="Q450" i="3" s="1"/>
  <c r="AD439" i="3"/>
  <c r="AE439" i="3"/>
  <c r="AG439" i="3" s="1"/>
  <c r="AM439" i="3" s="1"/>
  <c r="N415" i="3"/>
  <c r="O415" i="3"/>
  <c r="Q415" i="3" s="1"/>
  <c r="P401" i="3"/>
  <c r="P394" i="3"/>
  <c r="N405" i="3"/>
  <c r="O405" i="3" s="1"/>
  <c r="Q405" i="3"/>
  <c r="N417" i="3"/>
  <c r="O417" i="3" s="1"/>
  <c r="Q417" i="3" s="1"/>
  <c r="AD424" i="3"/>
  <c r="AE424" i="3"/>
  <c r="AG424" i="3" s="1"/>
  <c r="AM424" i="3" s="1"/>
  <c r="F21" i="10"/>
  <c r="I1083" i="5"/>
  <c r="C5" i="5"/>
  <c r="AG635" i="3"/>
  <c r="AM635" i="3" s="1"/>
  <c r="Q737" i="3"/>
  <c r="AG735" i="3"/>
  <c r="AM735" i="3" s="1"/>
  <c r="AG1023" i="3"/>
  <c r="AM1023" i="3"/>
  <c r="Q1020" i="3"/>
  <c r="Q1067" i="3"/>
  <c r="Q1083" i="3"/>
  <c r="AG661" i="3"/>
  <c r="AM661" i="3" s="1"/>
  <c r="Q654" i="3"/>
  <c r="Q688" i="3"/>
  <c r="Q988" i="3"/>
  <c r="Q1087" i="3"/>
  <c r="Q1079" i="3"/>
  <c r="AG1039" i="3"/>
  <c r="AM1039" i="3" s="1"/>
  <c r="Q672" i="3"/>
  <c r="Q745" i="3"/>
  <c r="AG1055" i="3"/>
  <c r="AM1055" i="3"/>
  <c r="Q1028" i="3"/>
  <c r="AG1047" i="3"/>
  <c r="AM1047" i="3"/>
  <c r="D22" i="10"/>
  <c r="H22" i="10"/>
  <c r="F22" i="10"/>
  <c r="E22" i="10"/>
  <c r="G22" i="10"/>
  <c r="Q314" i="3"/>
  <c r="AG501" i="3"/>
  <c r="AM501" i="3"/>
  <c r="AG500" i="3"/>
  <c r="AM500" i="3" s="1"/>
  <c r="AG276" i="3"/>
  <c r="AM276" i="3" s="1"/>
  <c r="AG106" i="3"/>
  <c r="AM106" i="3" s="1"/>
  <c r="Q206" i="3"/>
  <c r="Q122" i="3"/>
  <c r="Q173" i="3"/>
  <c r="Q359" i="3"/>
  <c r="Q177" i="3"/>
  <c r="Q333" i="3"/>
  <c r="Q52" i="3"/>
  <c r="Q200" i="3"/>
  <c r="AG108" i="3"/>
  <c r="AM108" i="3" s="1"/>
  <c r="AG60" i="3"/>
  <c r="AM60" i="3" s="1"/>
  <c r="Q337" i="3"/>
  <c r="AG292" i="3"/>
  <c r="AM292" i="3" s="1"/>
  <c r="Q201" i="3"/>
  <c r="Q64" i="3"/>
  <c r="Q33" i="3"/>
  <c r="AG77" i="3"/>
  <c r="AM77" i="3" s="1"/>
  <c r="Q273" i="3"/>
  <c r="AG236" i="3"/>
  <c r="AM236" i="3"/>
  <c r="AM68" i="3"/>
  <c r="Q140" i="3"/>
  <c r="AM35" i="3"/>
  <c r="Q303" i="3"/>
  <c r="AG371" i="3"/>
  <c r="AM371" i="3" s="1"/>
  <c r="Q267" i="3"/>
  <c r="Q320" i="3"/>
  <c r="Q310" i="3"/>
  <c r="AG233" i="3"/>
  <c r="AM233" i="3" s="1"/>
  <c r="I10" i="10"/>
  <c r="F10" i="10"/>
  <c r="Q364" i="3"/>
  <c r="D9" i="10"/>
  <c r="I9" i="10"/>
  <c r="Q306" i="3"/>
  <c r="E12" i="10"/>
  <c r="E19" i="10"/>
  <c r="Q194" i="3"/>
  <c r="G10" i="10"/>
  <c r="Q203" i="3"/>
  <c r="G19" i="10"/>
  <c r="Q258" i="3"/>
  <c r="Q368" i="3"/>
  <c r="AG113" i="3"/>
  <c r="AM113" i="3" s="1"/>
  <c r="AG368" i="3"/>
  <c r="AM368" i="3" s="1"/>
  <c r="D10" i="10"/>
  <c r="E10" i="10"/>
  <c r="Q145" i="3"/>
  <c r="AM436" i="3"/>
  <c r="H10" i="10"/>
  <c r="C6" i="10"/>
  <c r="E6" i="10"/>
  <c r="H23" i="10"/>
  <c r="I23" i="10"/>
  <c r="G23" i="10"/>
  <c r="H13" i="10"/>
  <c r="G13" i="10"/>
  <c r="E13" i="10"/>
  <c r="F13" i="10"/>
  <c r="I19" i="10"/>
  <c r="Q626" i="3"/>
  <c r="F19" i="10"/>
  <c r="D19" i="10"/>
  <c r="E23" i="10"/>
  <c r="AG502" i="3"/>
  <c r="AM502" i="3" s="1"/>
  <c r="D23" i="10"/>
  <c r="F15" i="10"/>
  <c r="H9" i="10"/>
  <c r="G9" i="10"/>
  <c r="E9" i="10"/>
  <c r="Q153" i="3"/>
  <c r="AG110" i="3"/>
  <c r="AM110" i="3"/>
  <c r="AG259" i="3"/>
  <c r="AM259" i="3"/>
  <c r="Q235" i="3"/>
  <c r="AG162" i="3"/>
  <c r="AM162" i="3"/>
  <c r="AG301" i="3"/>
  <c r="AM301" i="3" s="1"/>
  <c r="Q48" i="3"/>
  <c r="AG188" i="3"/>
  <c r="AM188" i="3" s="1"/>
  <c r="Q133" i="3"/>
  <c r="Q612" i="3"/>
  <c r="AG174" i="3"/>
  <c r="AM174" i="3" s="1"/>
  <c r="Q292" i="3"/>
  <c r="AF25" i="3"/>
  <c r="AD25" i="3"/>
  <c r="AE25" i="3" s="1"/>
  <c r="AF134" i="3"/>
  <c r="AD134" i="3"/>
  <c r="AE134" i="3"/>
  <c r="AG134" i="3" s="1"/>
  <c r="AM134" i="3" s="1"/>
  <c r="AD151" i="3"/>
  <c r="AE151" i="3"/>
  <c r="AG151" i="3" s="1"/>
  <c r="AM151" i="3" s="1"/>
  <c r="P171" i="3"/>
  <c r="N171" i="3"/>
  <c r="O171" i="3"/>
  <c r="N176" i="3"/>
  <c r="O176" i="3" s="1"/>
  <c r="Q176" i="3" s="1"/>
  <c r="AD121" i="3"/>
  <c r="AE121" i="3" s="1"/>
  <c r="AG121" i="3" s="1"/>
  <c r="AM121" i="3" s="1"/>
  <c r="N116" i="3"/>
  <c r="O116" i="3"/>
  <c r="Q116" i="3" s="1"/>
  <c r="N154" i="3"/>
  <c r="O154" i="3" s="1"/>
  <c r="Q154" i="3"/>
  <c r="AM114" i="3"/>
  <c r="AD19" i="3"/>
  <c r="AE19" i="3" s="1"/>
  <c r="AG19" i="3" s="1"/>
  <c r="AM19" i="3" s="1"/>
  <c r="P44" i="3"/>
  <c r="N44" i="3"/>
  <c r="O44" i="3" s="1"/>
  <c r="AD170" i="3"/>
  <c r="AE170" i="3"/>
  <c r="AF170" i="3"/>
  <c r="AD87" i="3"/>
  <c r="AE87" i="3" s="1"/>
  <c r="AG87" i="3" s="1"/>
  <c r="AM87" i="3" s="1"/>
  <c r="AD90" i="3"/>
  <c r="AE90" i="3" s="1"/>
  <c r="AG90" i="3" s="1"/>
  <c r="AM90" i="3" s="1"/>
  <c r="N111" i="3"/>
  <c r="O111" i="3" s="1"/>
  <c r="Q111" i="3" s="1"/>
  <c r="N55" i="3"/>
  <c r="O55" i="3" s="1"/>
  <c r="Q55" i="3" s="1"/>
  <c r="N85" i="3"/>
  <c r="O85" i="3" s="1"/>
  <c r="Q85" i="3"/>
  <c r="AD92" i="3"/>
  <c r="AE92" i="3" s="1"/>
  <c r="N121" i="3"/>
  <c r="O121" i="3"/>
  <c r="Q121" i="3"/>
  <c r="N159" i="3"/>
  <c r="O159" i="3" s="1"/>
  <c r="Q159" i="3" s="1"/>
  <c r="AD223" i="3"/>
  <c r="AE223" i="3" s="1"/>
  <c r="AG223" i="3" s="1"/>
  <c r="AM223" i="3" s="1"/>
  <c r="N291" i="3"/>
  <c r="O291" i="3"/>
  <c r="Q291" i="3"/>
  <c r="AD298" i="3"/>
  <c r="AE298" i="3" s="1"/>
  <c r="AG298" i="3" s="1"/>
  <c r="AM298" i="3" s="1"/>
  <c r="N313" i="3"/>
  <c r="O313" i="3"/>
  <c r="Q313" i="3"/>
  <c r="AD348" i="3"/>
  <c r="AE348" i="3" s="1"/>
  <c r="AG348" i="3" s="1"/>
  <c r="AM348" i="3" s="1"/>
  <c r="N236" i="3"/>
  <c r="O236" i="3"/>
  <c r="Q236" i="3"/>
  <c r="AD316" i="3"/>
  <c r="AE316" i="3" s="1"/>
  <c r="AG316" i="3" s="1"/>
  <c r="AM316" i="3" s="1"/>
  <c r="N331" i="3"/>
  <c r="O331" i="3" s="1"/>
  <c r="Q331" i="3" s="1"/>
  <c r="AD345" i="3"/>
  <c r="AE345" i="3" s="1"/>
  <c r="P13" i="4"/>
  <c r="Q13" i="4"/>
  <c r="AG594" i="3"/>
  <c r="AM594" i="3" s="1"/>
  <c r="AF519" i="3"/>
  <c r="AD519" i="3"/>
  <c r="AE519" i="3" s="1"/>
  <c r="AF615" i="3"/>
  <c r="AG615" i="3" s="1"/>
  <c r="AM615" i="3" s="1"/>
  <c r="N575" i="3"/>
  <c r="O575" i="3" s="1"/>
  <c r="N560" i="3"/>
  <c r="O560" i="3" s="1"/>
  <c r="Q560" i="3" s="1"/>
  <c r="AD552" i="3"/>
  <c r="AE552" i="3" s="1"/>
  <c r="AG552" i="3" s="1"/>
  <c r="AM552" i="3" s="1"/>
  <c r="N610" i="3"/>
  <c r="O610" i="3"/>
  <c r="Q610" i="3" s="1"/>
  <c r="AD599" i="3"/>
  <c r="AE599" i="3"/>
  <c r="AG599" i="3" s="1"/>
  <c r="AM599" i="3" s="1"/>
  <c r="AD598" i="3"/>
  <c r="AE598" i="3" s="1"/>
  <c r="AG598" i="3" s="1"/>
  <c r="AM598" i="3" s="1"/>
  <c r="AD557" i="3"/>
  <c r="AE557" i="3" s="1"/>
  <c r="AG557" i="3" s="1"/>
  <c r="AM557" i="3" s="1"/>
  <c r="P526" i="3"/>
  <c r="N526" i="3"/>
  <c r="O526" i="3"/>
  <c r="N591" i="3"/>
  <c r="O591" i="3"/>
  <c r="AD573" i="3"/>
  <c r="AE573" i="3" s="1"/>
  <c r="AG573" i="3" s="1"/>
  <c r="AM573" i="3" s="1"/>
  <c r="AD565" i="3"/>
  <c r="AE565" i="3" s="1"/>
  <c r="AG565" i="3" s="1"/>
  <c r="AM565" i="3" s="1"/>
  <c r="N559" i="3"/>
  <c r="O559" i="3"/>
  <c r="Q559" i="3" s="1"/>
  <c r="N553" i="3"/>
  <c r="O553" i="3"/>
  <c r="Q553" i="3" s="1"/>
  <c r="AD548" i="3"/>
  <c r="AE548" i="3"/>
  <c r="AG548" i="3" s="1"/>
  <c r="AM548" i="3" s="1"/>
  <c r="N536" i="3"/>
  <c r="O536" i="3" s="1"/>
  <c r="Q536" i="3" s="1"/>
  <c r="P536" i="3"/>
  <c r="AF521" i="3"/>
  <c r="AD521" i="3"/>
  <c r="AE521" i="3"/>
  <c r="N470" i="3"/>
  <c r="O470" i="3" s="1"/>
  <c r="Q470" i="3" s="1"/>
  <c r="N464" i="3"/>
  <c r="O464" i="3"/>
  <c r="Q464" i="3" s="1"/>
  <c r="AD462" i="3"/>
  <c r="AE462" i="3" s="1"/>
  <c r="AF462" i="3"/>
  <c r="AD451" i="3"/>
  <c r="AE451" i="3" s="1"/>
  <c r="N512" i="3"/>
  <c r="O512" i="3"/>
  <c r="Q512" i="3" s="1"/>
  <c r="N507" i="3"/>
  <c r="O507" i="3"/>
  <c r="Q507" i="3" s="1"/>
  <c r="AD503" i="3"/>
  <c r="AE503" i="3" s="1"/>
  <c r="AG503" i="3"/>
  <c r="AM503" i="3" s="1"/>
  <c r="N487" i="3"/>
  <c r="O487" i="3" s="1"/>
  <c r="Q487" i="3" s="1"/>
  <c r="AD483" i="3"/>
  <c r="AE483" i="3" s="1"/>
  <c r="AG483" i="3"/>
  <c r="AM483" i="3" s="1"/>
  <c r="N479" i="3"/>
  <c r="O479" i="3"/>
  <c r="Q479" i="3" s="1"/>
  <c r="AD472" i="3"/>
  <c r="AE472" i="3"/>
  <c r="AG472" i="3" s="1"/>
  <c r="AM472" i="3" s="1"/>
  <c r="Q462" i="3"/>
  <c r="N446" i="3"/>
  <c r="O446" i="3" s="1"/>
  <c r="Q446" i="3" s="1"/>
  <c r="AF383" i="3"/>
  <c r="AD383" i="3"/>
  <c r="AE383" i="3"/>
  <c r="AD415" i="3"/>
  <c r="AE415" i="3" s="1"/>
  <c r="AG415" i="3" s="1"/>
  <c r="AM415" i="3" s="1"/>
  <c r="N393" i="3"/>
  <c r="O393" i="3"/>
  <c r="Q393" i="3" s="1"/>
  <c r="N392" i="3"/>
  <c r="O392" i="3"/>
  <c r="Q392" i="3"/>
  <c r="AH11" i="4"/>
  <c r="N432" i="3"/>
  <c r="O432" i="3"/>
  <c r="Q432" i="3" s="1"/>
  <c r="N418" i="3"/>
  <c r="O418" i="3"/>
  <c r="Q418" i="3" s="1"/>
  <c r="P391" i="3"/>
  <c r="AF381" i="4"/>
  <c r="AG381" i="4" s="1"/>
  <c r="AF378" i="4"/>
  <c r="AG378" i="4" s="1"/>
  <c r="AF375" i="4"/>
  <c r="AG375" i="4" s="1"/>
  <c r="AF372" i="4"/>
  <c r="AG372" i="4"/>
  <c r="AF366" i="4"/>
  <c r="AG366" i="4" s="1"/>
  <c r="AF363" i="4"/>
  <c r="AG363" i="4"/>
  <c r="AF360" i="4"/>
  <c r="AG360" i="4" s="1"/>
  <c r="AF357" i="4"/>
  <c r="AG357" i="4"/>
  <c r="AF354" i="4"/>
  <c r="AG354" i="4"/>
  <c r="AF351" i="4"/>
  <c r="AG351" i="4" s="1"/>
  <c r="AF348" i="4"/>
  <c r="AG348" i="4" s="1"/>
  <c r="AF345" i="4"/>
  <c r="AG345" i="4"/>
  <c r="AF342" i="4"/>
  <c r="AG342" i="4" s="1"/>
  <c r="AF321" i="4"/>
  <c r="AG321" i="4" s="1"/>
  <c r="AF318" i="4"/>
  <c r="AG318" i="4" s="1"/>
  <c r="AF315" i="4"/>
  <c r="AG315" i="4" s="1"/>
  <c r="AF312" i="4"/>
  <c r="AG312" i="4"/>
  <c r="AF309" i="4"/>
  <c r="AG309" i="4" s="1"/>
  <c r="AF306" i="4"/>
  <c r="AG306" i="4" s="1"/>
  <c r="AF303" i="4"/>
  <c r="AG303" i="4" s="1"/>
  <c r="AF300" i="4"/>
  <c r="AG300" i="4"/>
  <c r="AF297" i="4"/>
  <c r="AG297" i="4"/>
  <c r="AF294" i="4"/>
  <c r="AG294" i="4"/>
  <c r="AF285" i="4"/>
  <c r="AG285" i="4" s="1"/>
  <c r="AF282" i="4"/>
  <c r="AG282" i="4" s="1"/>
  <c r="AF279" i="4"/>
  <c r="AG279" i="4"/>
  <c r="AF276" i="4"/>
  <c r="AG276" i="4" s="1"/>
  <c r="AF273" i="4"/>
  <c r="AG273" i="4" s="1"/>
  <c r="AF270" i="4"/>
  <c r="AG270" i="4" s="1"/>
  <c r="AF267" i="4"/>
  <c r="AG267" i="4"/>
  <c r="AF259" i="4"/>
  <c r="AG259" i="4" s="1"/>
  <c r="AF241" i="4"/>
  <c r="AG241" i="4"/>
  <c r="AF223" i="4"/>
  <c r="AG223" i="4"/>
  <c r="AF205" i="4"/>
  <c r="AG205" i="4" s="1"/>
  <c r="AH260" i="4"/>
  <c r="AH242" i="4"/>
  <c r="AH224" i="4"/>
  <c r="AH206" i="4"/>
  <c r="AI109" i="4"/>
  <c r="AO109" i="4" s="1"/>
  <c r="AI103" i="4"/>
  <c r="AO103" i="4" s="1"/>
  <c r="AF234" i="4"/>
  <c r="AG234" i="4"/>
  <c r="AF216" i="4"/>
  <c r="AG216" i="4"/>
  <c r="AF237" i="4"/>
  <c r="AG237" i="4" s="1"/>
  <c r="AF219" i="4"/>
  <c r="AG219" i="4"/>
  <c r="AF201" i="4"/>
  <c r="AG201" i="4" s="1"/>
  <c r="AF196" i="4"/>
  <c r="AG196" i="4" s="1"/>
  <c r="AF184" i="4"/>
  <c r="AG184" i="4"/>
  <c r="AF177" i="4"/>
  <c r="AG177" i="4" s="1"/>
  <c r="AF253" i="4"/>
  <c r="AG253" i="4" s="1"/>
  <c r="AF235" i="4"/>
  <c r="AG235" i="4"/>
  <c r="AF217" i="4"/>
  <c r="AG217" i="4" s="1"/>
  <c r="AF199" i="4"/>
  <c r="AG199" i="4"/>
  <c r="AF192" i="4"/>
  <c r="AG192" i="4" s="1"/>
  <c r="AF187" i="4"/>
  <c r="AG187" i="4"/>
  <c r="AF180" i="4"/>
  <c r="AG180" i="4" s="1"/>
  <c r="AI160" i="4"/>
  <c r="AO160" i="4" s="1"/>
  <c r="AI154" i="4"/>
  <c r="AO154" i="4" s="1"/>
  <c r="AI148" i="4"/>
  <c r="AO148" i="4"/>
  <c r="AI142" i="4"/>
  <c r="AO142" i="4" s="1"/>
  <c r="AI136" i="4"/>
  <c r="AO136" i="4"/>
  <c r="AI130" i="4"/>
  <c r="AO130" i="4" s="1"/>
  <c r="AI124" i="4"/>
  <c r="AO124" i="4" s="1"/>
  <c r="AI118" i="4"/>
  <c r="AO118" i="4" s="1"/>
  <c r="AI112" i="4"/>
  <c r="AO112" i="4"/>
  <c r="AI106" i="4"/>
  <c r="AO106" i="4" s="1"/>
  <c r="P23" i="3"/>
  <c r="N23" i="3"/>
  <c r="O23" i="3"/>
  <c r="AD47" i="3"/>
  <c r="AE47" i="3" s="1"/>
  <c r="P266" i="3"/>
  <c r="N266" i="3"/>
  <c r="O266" i="3" s="1"/>
  <c r="Q266" i="3" s="1"/>
  <c r="P268" i="3"/>
  <c r="N268" i="3"/>
  <c r="O268" i="3" s="1"/>
  <c r="P279" i="3"/>
  <c r="N279" i="3"/>
  <c r="O279" i="3"/>
  <c r="AF38" i="3"/>
  <c r="AD38" i="3"/>
  <c r="AE38" i="3" s="1"/>
  <c r="AF86" i="3"/>
  <c r="AD86" i="3"/>
  <c r="AE86" i="3" s="1"/>
  <c r="AG86" i="3" s="1"/>
  <c r="AM86" i="3" s="1"/>
  <c r="Q181" i="3"/>
  <c r="P22" i="3"/>
  <c r="N22" i="3"/>
  <c r="O22" i="3"/>
  <c r="P215" i="4"/>
  <c r="Q215" i="4" s="1"/>
  <c r="R215" i="4"/>
  <c r="Q220" i="3"/>
  <c r="AF55" i="3"/>
  <c r="AD55" i="3"/>
  <c r="AE55" i="3"/>
  <c r="P19" i="4"/>
  <c r="Q19" i="4"/>
  <c r="R19" i="4"/>
  <c r="AM312" i="3"/>
  <c r="P78" i="3"/>
  <c r="Q78" i="3"/>
  <c r="N78" i="3"/>
  <c r="O78" i="3"/>
  <c r="P241" i="3"/>
  <c r="N241" i="3"/>
  <c r="O241" i="3" s="1"/>
  <c r="N365" i="3"/>
  <c r="O365" i="3" s="1"/>
  <c r="Q365" i="3" s="1"/>
  <c r="P365" i="3"/>
  <c r="P146" i="3"/>
  <c r="N146" i="3"/>
  <c r="O146" i="3" s="1"/>
  <c r="Q146" i="3" s="1"/>
  <c r="AF163" i="3"/>
  <c r="AD163" i="3"/>
  <c r="AE163" i="3" s="1"/>
  <c r="AG206" i="3"/>
  <c r="AM206" i="3" s="1"/>
  <c r="AF1161" i="3"/>
  <c r="AD1161" i="3"/>
  <c r="AE1161" i="3" s="1"/>
  <c r="Q376" i="3"/>
  <c r="AG311" i="3"/>
  <c r="AM311" i="3" s="1"/>
  <c r="Q262" i="3"/>
  <c r="Q152" i="3"/>
  <c r="P30" i="4"/>
  <c r="Q30" i="4" s="1"/>
  <c r="P279" i="4"/>
  <c r="Q279" i="4" s="1"/>
  <c r="AF122" i="3"/>
  <c r="AD122" i="3"/>
  <c r="AE122" i="3" s="1"/>
  <c r="R100" i="4"/>
  <c r="P100" i="4"/>
  <c r="Q100" i="4"/>
  <c r="R338" i="4"/>
  <c r="P338" i="4"/>
  <c r="Q338" i="4"/>
  <c r="P407" i="3"/>
  <c r="N407" i="3"/>
  <c r="O407" i="3" s="1"/>
  <c r="Q407" i="3" s="1"/>
  <c r="P398" i="3"/>
  <c r="N398" i="3"/>
  <c r="O398" i="3"/>
  <c r="Q398" i="3"/>
  <c r="Q288" i="3"/>
  <c r="AG44" i="3"/>
  <c r="AM44" i="3" s="1"/>
  <c r="Q434" i="3"/>
  <c r="Q218" i="3"/>
  <c r="Q87" i="3"/>
  <c r="Q83" i="3"/>
  <c r="AD341" i="3"/>
  <c r="AE341" i="3" s="1"/>
  <c r="Q355" i="3"/>
  <c r="R199" i="4"/>
  <c r="P199" i="4"/>
  <c r="Q199" i="4"/>
  <c r="AG193" i="3"/>
  <c r="AM193" i="3" s="1"/>
  <c r="Q294" i="3"/>
  <c r="N13" i="3"/>
  <c r="O13" i="3" s="1"/>
  <c r="Q13" i="3" s="1"/>
  <c r="AD93" i="3"/>
  <c r="AE93" i="3" s="1"/>
  <c r="AG93" i="3"/>
  <c r="AM93" i="3" s="1"/>
  <c r="P99" i="3"/>
  <c r="Q99" i="3" s="1"/>
  <c r="AF136" i="3"/>
  <c r="AG136" i="3" s="1"/>
  <c r="AM136" i="3" s="1"/>
  <c r="AD136" i="3"/>
  <c r="AE136" i="3"/>
  <c r="AD270" i="3"/>
  <c r="AE270" i="3"/>
  <c r="AG130" i="3"/>
  <c r="AM130" i="3" s="1"/>
  <c r="AG275" i="3"/>
  <c r="AM275" i="3"/>
  <c r="AD178" i="3"/>
  <c r="AE178" i="3"/>
  <c r="AG178" i="3"/>
  <c r="AM178" i="3" s="1"/>
  <c r="AG304" i="3"/>
  <c r="AM304" i="3" s="1"/>
  <c r="Q216" i="3"/>
  <c r="AG493" i="3"/>
  <c r="AM493" i="3" s="1"/>
  <c r="AG235" i="3"/>
  <c r="AM235" i="3" s="1"/>
  <c r="N63" i="3"/>
  <c r="O63" i="3"/>
  <c r="Q63" i="3"/>
  <c r="AD140" i="3"/>
  <c r="AE140" i="3"/>
  <c r="AG140" i="3" s="1"/>
  <c r="AM140" i="3" s="1"/>
  <c r="P146" i="4"/>
  <c r="Q146" i="4"/>
  <c r="N113" i="3"/>
  <c r="O113" i="3" s="1"/>
  <c r="Q113" i="3" s="1"/>
  <c r="AG52" i="3"/>
  <c r="AM52" i="3"/>
  <c r="Q230" i="3"/>
  <c r="Q47" i="3"/>
  <c r="R150" i="4"/>
  <c r="R114" i="4"/>
  <c r="N295" i="3"/>
  <c r="O295" i="3"/>
  <c r="Q295" i="3" s="1"/>
  <c r="AD278" i="3"/>
  <c r="AE278" i="3" s="1"/>
  <c r="AG278" i="3" s="1"/>
  <c r="AM278" i="3" s="1"/>
  <c r="N51" i="3"/>
  <c r="O51" i="3" s="1"/>
  <c r="Q51" i="3"/>
  <c r="N89" i="3"/>
  <c r="O89" i="3" s="1"/>
  <c r="Q89" i="3" s="1"/>
  <c r="N94" i="3"/>
  <c r="O94" i="3" s="1"/>
  <c r="Q94" i="3" s="1"/>
  <c r="AD222" i="3"/>
  <c r="AE222" i="3" s="1"/>
  <c r="AG222" i="3" s="1"/>
  <c r="AM222" i="3" s="1"/>
  <c r="AD185" i="3"/>
  <c r="AE185" i="3" s="1"/>
  <c r="AG185" i="3" s="1"/>
  <c r="AM185" i="3" s="1"/>
  <c r="P194" i="4"/>
  <c r="Q194" i="4"/>
  <c r="N62" i="3"/>
  <c r="O62" i="3" s="1"/>
  <c r="AD65" i="3"/>
  <c r="AE65" i="3"/>
  <c r="N84" i="3"/>
  <c r="O84" i="3"/>
  <c r="Q84" i="3" s="1"/>
  <c r="AD120" i="3"/>
  <c r="AE120" i="3" s="1"/>
  <c r="AG120" i="3" s="1"/>
  <c r="AM120" i="3" s="1"/>
  <c r="AD198" i="3"/>
  <c r="AE198" i="3" s="1"/>
  <c r="AG198" i="3" s="1"/>
  <c r="AM198" i="3" s="1"/>
  <c r="P130" i="4"/>
  <c r="Q130" i="4"/>
  <c r="N326" i="3"/>
  <c r="O326" i="3"/>
  <c r="Q326" i="3" s="1"/>
  <c r="N35" i="3"/>
  <c r="O35" i="3" s="1"/>
  <c r="Q35" i="3" s="1"/>
  <c r="N61" i="3"/>
  <c r="O61" i="3"/>
  <c r="Q61" i="3" s="1"/>
  <c r="AD133" i="3"/>
  <c r="AE133" i="3" s="1"/>
  <c r="AG133" i="3" s="1"/>
  <c r="AM133" i="3" s="1"/>
  <c r="AD171" i="3"/>
  <c r="AE171" i="3" s="1"/>
  <c r="N186" i="3"/>
  <c r="O186" i="3" s="1"/>
  <c r="AD216" i="3"/>
  <c r="AE216" i="3"/>
  <c r="AG216" i="3" s="1"/>
  <c r="AM216" i="3" s="1"/>
  <c r="P151" i="4"/>
  <c r="Q151" i="4" s="1"/>
  <c r="N187" i="3"/>
  <c r="O187" i="3" s="1"/>
  <c r="AD324" i="3"/>
  <c r="AE324" i="3" s="1"/>
  <c r="AG324" i="3" s="1"/>
  <c r="AM324" i="3" s="1"/>
  <c r="P163" i="4"/>
  <c r="Q163" i="4" s="1"/>
  <c r="P94" i="4"/>
  <c r="Q94" i="4"/>
  <c r="P103" i="4"/>
  <c r="Q103" i="4" s="1"/>
  <c r="P267" i="4"/>
  <c r="Q267" i="4"/>
  <c r="AD467" i="3"/>
  <c r="AE467" i="3" s="1"/>
  <c r="AG467" i="3"/>
  <c r="AM467" i="3" s="1"/>
  <c r="AD420" i="3"/>
  <c r="AE420" i="3"/>
  <c r="AG420" i="3" s="1"/>
  <c r="AM420" i="3" s="1"/>
  <c r="P1309" i="3"/>
  <c r="N1309" i="3"/>
  <c r="O1309" i="3"/>
  <c r="P1234" i="3"/>
  <c r="N1234" i="3"/>
  <c r="O1234" i="3" s="1"/>
  <c r="Q1234" i="3" s="1"/>
  <c r="P348" i="4"/>
  <c r="Q348" i="4"/>
  <c r="AD618" i="3"/>
  <c r="AE618" i="3" s="1"/>
  <c r="AG618" i="3" s="1"/>
  <c r="AM618" i="3" s="1"/>
  <c r="N595" i="3"/>
  <c r="O595" i="3"/>
  <c r="Q595" i="3" s="1"/>
  <c r="AD574" i="3"/>
  <c r="AE574" i="3" s="1"/>
  <c r="AG574" i="3" s="1"/>
  <c r="AM574" i="3" s="1"/>
  <c r="AD478" i="3"/>
  <c r="AE478" i="3"/>
  <c r="AG478" i="3" s="1"/>
  <c r="AM478" i="3" s="1"/>
  <c r="AD474" i="3"/>
  <c r="AE474" i="3"/>
  <c r="AG474" i="3" s="1"/>
  <c r="AM474" i="3" s="1"/>
  <c r="AD1224" i="3"/>
  <c r="AE1224" i="3" s="1"/>
  <c r="AF1224" i="3"/>
  <c r="P310" i="4"/>
  <c r="Q310" i="4" s="1"/>
  <c r="P621" i="3"/>
  <c r="Q621" i="3"/>
  <c r="N613" i="3"/>
  <c r="O613" i="3" s="1"/>
  <c r="Q613" i="3" s="1"/>
  <c r="P1261" i="3"/>
  <c r="N1261" i="3"/>
  <c r="O1261" i="3"/>
  <c r="Q1261" i="3" s="1"/>
  <c r="AG525" i="3"/>
  <c r="AM525" i="3" s="1"/>
  <c r="N1299" i="3"/>
  <c r="O1299" i="3" s="1"/>
  <c r="Q1299" i="3" s="1"/>
  <c r="AD1280" i="3"/>
  <c r="AE1280" i="3" s="1"/>
  <c r="AG1280" i="3" s="1"/>
  <c r="AM1280" i="3" s="1"/>
  <c r="I22" i="10"/>
  <c r="N602" i="3"/>
  <c r="O602" i="3"/>
  <c r="Q602" i="3" s="1"/>
  <c r="N598" i="3"/>
  <c r="O598" i="3"/>
  <c r="Q598" i="3" s="1"/>
  <c r="AF1317" i="3"/>
  <c r="AD1317" i="3"/>
  <c r="AE1317" i="3" s="1"/>
  <c r="P1160" i="3"/>
  <c r="N1160" i="3"/>
  <c r="O1160" i="3"/>
  <c r="AD625" i="3"/>
  <c r="AE625" i="3" s="1"/>
  <c r="AG625" i="3" s="1"/>
  <c r="AM625" i="3" s="1"/>
  <c r="N619" i="3"/>
  <c r="O619" i="3"/>
  <c r="Q619" i="3" s="1"/>
  <c r="AD617" i="3"/>
  <c r="AE617" i="3"/>
  <c r="AG617" i="3" s="1"/>
  <c r="AM617" i="3" s="1"/>
  <c r="P502" i="3"/>
  <c r="N502" i="3"/>
  <c r="O502" i="3" s="1"/>
  <c r="P1194" i="3"/>
  <c r="N1194" i="3"/>
  <c r="O1194" i="3"/>
  <c r="N594" i="3"/>
  <c r="O594" i="3" s="1"/>
  <c r="Q594" i="3"/>
  <c r="N584" i="3"/>
  <c r="O584" i="3"/>
  <c r="AD582" i="3"/>
  <c r="AE582" i="3" s="1"/>
  <c r="AG582" i="3" s="1"/>
  <c r="AM582" i="3" s="1"/>
  <c r="N537" i="3"/>
  <c r="O537" i="3"/>
  <c r="Q537" i="3"/>
  <c r="AD510" i="3"/>
  <c r="AE510" i="3" s="1"/>
  <c r="AG510" i="3" s="1"/>
  <c r="AM510" i="3" s="1"/>
  <c r="AD491" i="3"/>
  <c r="AE491" i="3" s="1"/>
  <c r="AG491" i="3" s="1"/>
  <c r="AM491" i="3" s="1"/>
  <c r="AD425" i="3"/>
  <c r="AE425" i="3" s="1"/>
  <c r="AG425" i="3" s="1"/>
  <c r="AM425" i="3" s="1"/>
  <c r="Q748" i="3"/>
  <c r="AG1188" i="3"/>
  <c r="AM1188" i="3" s="1"/>
  <c r="N1229" i="3"/>
  <c r="O1229" i="3"/>
  <c r="Q1229" i="3"/>
  <c r="N1319" i="3"/>
  <c r="O1319" i="3" s="1"/>
  <c r="Q1319" i="3" s="1"/>
  <c r="AD1315" i="3"/>
  <c r="AE1315" i="3"/>
  <c r="AG1315" i="3" s="1"/>
  <c r="AM1315" i="3" s="1"/>
  <c r="N1304" i="3"/>
  <c r="O1304" i="3"/>
  <c r="Q1304" i="3" s="1"/>
  <c r="AD1292" i="3"/>
  <c r="AE1292" i="3" s="1"/>
  <c r="AG1292" i="3" s="1"/>
  <c r="AM1292" i="3" s="1"/>
  <c r="N1184" i="3"/>
  <c r="O1184" i="3" s="1"/>
  <c r="Q1184" i="3" s="1"/>
  <c r="N1182" i="3"/>
  <c r="O1182" i="3"/>
  <c r="Q1182" i="3" s="1"/>
  <c r="AG404" i="3"/>
  <c r="AM404" i="3"/>
  <c r="AG1190" i="3"/>
  <c r="AM1190" i="3" s="1"/>
  <c r="AG1232" i="3"/>
  <c r="AM1232" i="3" s="1"/>
  <c r="AD1320" i="3"/>
  <c r="AE1320" i="3" s="1"/>
  <c r="AG1320" i="3" s="1"/>
  <c r="AM1320" i="3" s="1"/>
  <c r="N1282" i="3"/>
  <c r="O1282" i="3" s="1"/>
  <c r="Q1282" i="3"/>
  <c r="P1255" i="3"/>
  <c r="N1255" i="3"/>
  <c r="O1255" i="3"/>
  <c r="Q1255" i="3" s="1"/>
  <c r="AD1251" i="3"/>
  <c r="AE1251" i="3"/>
  <c r="AG1251" i="3" s="1"/>
  <c r="AM1251" i="3" s="1"/>
  <c r="AD1214" i="3"/>
  <c r="AE1214" i="3" s="1"/>
  <c r="AG1214" i="3" s="1"/>
  <c r="AM1214" i="3" s="1"/>
  <c r="AD968" i="3"/>
  <c r="AE968" i="3" s="1"/>
  <c r="AF968" i="3"/>
  <c r="AD587" i="3"/>
  <c r="AE587" i="3" s="1"/>
  <c r="AG587" i="3" s="1"/>
  <c r="AM587" i="3" s="1"/>
  <c r="AD531" i="3"/>
  <c r="AE531" i="3" s="1"/>
  <c r="AG531" i="3" s="1"/>
  <c r="AM531" i="3" s="1"/>
  <c r="AD524" i="3"/>
  <c r="AE524" i="3" s="1"/>
  <c r="AG524" i="3" s="1"/>
  <c r="AM524" i="3"/>
  <c r="AD489" i="3"/>
  <c r="AE489" i="3" s="1"/>
  <c r="AG489" i="3" s="1"/>
  <c r="AM489" i="3"/>
  <c r="AD473" i="3"/>
  <c r="AE473" i="3" s="1"/>
  <c r="AG473" i="3" s="1"/>
  <c r="AM473" i="3" s="1"/>
  <c r="N465" i="3"/>
  <c r="O465" i="3" s="1"/>
  <c r="Q465" i="3" s="1"/>
  <c r="AG971" i="3"/>
  <c r="AM971" i="3" s="1"/>
  <c r="Q956" i="3"/>
  <c r="AF1086" i="3"/>
  <c r="N1313" i="3"/>
  <c r="O1313" i="3"/>
  <c r="AD1307" i="3"/>
  <c r="AE1307" i="3" s="1"/>
  <c r="AG1307" i="3" s="1"/>
  <c r="AM1307" i="3" s="1"/>
  <c r="AD1295" i="3"/>
  <c r="AE1295" i="3" s="1"/>
  <c r="AG1295" i="3" s="1"/>
  <c r="AM1295" i="3" s="1"/>
  <c r="AD1285" i="3"/>
  <c r="AE1285" i="3" s="1"/>
  <c r="AG1285" i="3" s="1"/>
  <c r="AM1285" i="3" s="1"/>
  <c r="N1257" i="3"/>
  <c r="O1257" i="3"/>
  <c r="Q1257" i="3" s="1"/>
  <c r="AD1219" i="3"/>
  <c r="AE1219" i="3" s="1"/>
  <c r="AG1219" i="3" s="1"/>
  <c r="AM1219" i="3" s="1"/>
  <c r="P1178" i="3"/>
  <c r="N1178" i="3"/>
  <c r="O1178" i="3" s="1"/>
  <c r="AD580" i="3"/>
  <c r="AE580" i="3" s="1"/>
  <c r="AG580" i="3" s="1"/>
  <c r="AM580" i="3" s="1"/>
  <c r="AD536" i="3"/>
  <c r="AE536" i="3" s="1"/>
  <c r="AG536" i="3" s="1"/>
  <c r="AM536" i="3" s="1"/>
  <c r="N1233" i="3"/>
  <c r="O1233" i="3"/>
  <c r="Q1233" i="3" s="1"/>
  <c r="P1056" i="3"/>
  <c r="N1056" i="3"/>
  <c r="O1056" i="3"/>
  <c r="AF1106" i="3"/>
  <c r="AD1106" i="3"/>
  <c r="AE1106" i="3"/>
  <c r="AG1106" i="3" s="1"/>
  <c r="AM1106" i="3" s="1"/>
  <c r="P1054" i="3"/>
  <c r="Q1054" i="3" s="1"/>
  <c r="N1054" i="3"/>
  <c r="O1054" i="3"/>
  <c r="AF905" i="3"/>
  <c r="AD905" i="3"/>
  <c r="AE905" i="3" s="1"/>
  <c r="AD539" i="3"/>
  <c r="AE539" i="3"/>
  <c r="AG539" i="3" s="1"/>
  <c r="AM539" i="3" s="1"/>
  <c r="N538" i="3"/>
  <c r="O538" i="3"/>
  <c r="Q538" i="3" s="1"/>
  <c r="AD496" i="3"/>
  <c r="AE496" i="3" s="1"/>
  <c r="AG496" i="3" s="1"/>
  <c r="AM496" i="3" s="1"/>
  <c r="AD412" i="3"/>
  <c r="AE412" i="3" s="1"/>
  <c r="AG412" i="3" s="1"/>
  <c r="AM412" i="3" s="1"/>
  <c r="N385" i="3"/>
  <c r="O385" i="3"/>
  <c r="AG959" i="3"/>
  <c r="AM959" i="3"/>
  <c r="AD1321" i="3"/>
  <c r="AE1321" i="3" s="1"/>
  <c r="AG1321" i="3" s="1"/>
  <c r="AM1321" i="3" s="1"/>
  <c r="AD1316" i="3"/>
  <c r="AE1316" i="3"/>
  <c r="AF1291" i="3"/>
  <c r="N1275" i="3"/>
  <c r="O1275" i="3"/>
  <c r="Q1275" i="3" s="1"/>
  <c r="AD1271" i="3"/>
  <c r="AE1271" i="3"/>
  <c r="AG1271" i="3" s="1"/>
  <c r="AM1271" i="3" s="1"/>
  <c r="P1202" i="3"/>
  <c r="P1145" i="3"/>
  <c r="N1145" i="3"/>
  <c r="O1145" i="3"/>
  <c r="Q1145" i="3" s="1"/>
  <c r="AG1020" i="3"/>
  <c r="AM1020" i="3"/>
  <c r="Q1017" i="3"/>
  <c r="N1015" i="3"/>
  <c r="O1015" i="3"/>
  <c r="Q1015" i="3"/>
  <c r="AG1301" i="3"/>
  <c r="AM1301" i="3" s="1"/>
  <c r="AD1229" i="3"/>
  <c r="AE1229" i="3" s="1"/>
  <c r="AG1229" i="3" s="1"/>
  <c r="AM1229" i="3" s="1"/>
  <c r="AF1229" i="3"/>
  <c r="P1115" i="3"/>
  <c r="N1115" i="3"/>
  <c r="O1115" i="3" s="1"/>
  <c r="N1070" i="3"/>
  <c r="O1070" i="3"/>
  <c r="Q1070" i="3" s="1"/>
  <c r="P1070" i="3"/>
  <c r="AD613" i="3"/>
  <c r="AE613" i="3" s="1"/>
  <c r="AG613" i="3" s="1"/>
  <c r="AM613" i="3" s="1"/>
  <c r="N580" i="3"/>
  <c r="O580" i="3" s="1"/>
  <c r="Q580" i="3" s="1"/>
  <c r="AD410" i="3"/>
  <c r="AE410" i="3" s="1"/>
  <c r="AG410" i="3"/>
  <c r="AM410" i="3" s="1"/>
  <c r="AD403" i="3"/>
  <c r="AE403" i="3" s="1"/>
  <c r="N1167" i="3"/>
  <c r="O1167" i="3" s="1"/>
  <c r="Q1167" i="3" s="1"/>
  <c r="AD1266" i="3"/>
  <c r="AE1266" i="3"/>
  <c r="AG1266" i="3" s="1"/>
  <c r="AM1266" i="3" s="1"/>
  <c r="AD1246" i="3"/>
  <c r="AE1246" i="3"/>
  <c r="AG1246" i="3" s="1"/>
  <c r="AM1246" i="3" s="1"/>
  <c r="AF1163" i="3"/>
  <c r="N1136" i="3"/>
  <c r="O1136" i="3" s="1"/>
  <c r="Q1136" i="3" s="1"/>
  <c r="P1136" i="3"/>
  <c r="P1118" i="3"/>
  <c r="AD1025" i="3"/>
  <c r="AE1025" i="3" s="1"/>
  <c r="AG1025" i="3" s="1"/>
  <c r="AM1025" i="3" s="1"/>
  <c r="Q435" i="3"/>
  <c r="AD1136" i="3"/>
  <c r="AE1136" i="3" s="1"/>
  <c r="AG1136" i="3"/>
  <c r="AM1136" i="3" s="1"/>
  <c r="P1215" i="3"/>
  <c r="Q1215" i="3" s="1"/>
  <c r="AF1124" i="3"/>
  <c r="AD1124" i="3"/>
  <c r="AE1124" i="3"/>
  <c r="AD1095" i="3"/>
  <c r="AE1095" i="3" s="1"/>
  <c r="AG1095" i="3" s="1"/>
  <c r="AM1095" i="3" s="1"/>
  <c r="P1027" i="3"/>
  <c r="N1027" i="3"/>
  <c r="O1027" i="3" s="1"/>
  <c r="Q1027" i="3"/>
  <c r="AD974" i="3"/>
  <c r="AE974" i="3" s="1"/>
  <c r="AF974" i="3"/>
  <c r="P1165" i="3"/>
  <c r="N1165" i="3"/>
  <c r="O1165" i="3"/>
  <c r="N556" i="3"/>
  <c r="O556" i="3"/>
  <c r="Q556" i="3"/>
  <c r="AD488" i="3"/>
  <c r="AE488" i="3" s="1"/>
  <c r="AG488" i="3" s="1"/>
  <c r="AM488" i="3" s="1"/>
  <c r="N397" i="3"/>
  <c r="O397" i="3"/>
  <c r="Q397" i="3" s="1"/>
  <c r="N394" i="3"/>
  <c r="O394" i="3"/>
  <c r="Q676" i="3"/>
  <c r="AD1248" i="3"/>
  <c r="AE1248" i="3" s="1"/>
  <c r="AG1248" i="3"/>
  <c r="AM1248" i="3" s="1"/>
  <c r="AD1272" i="3"/>
  <c r="AE1272" i="3" s="1"/>
  <c r="Q1301" i="3"/>
  <c r="N1271" i="3"/>
  <c r="O1271" i="3"/>
  <c r="Q1271" i="3"/>
  <c r="N1250" i="3"/>
  <c r="O1250" i="3" s="1"/>
  <c r="Q1250" i="3" s="1"/>
  <c r="P1241" i="3"/>
  <c r="N1241" i="3"/>
  <c r="O1241" i="3" s="1"/>
  <c r="AD1199" i="3"/>
  <c r="AE1199" i="3" s="1"/>
  <c r="AG1199" i="3" s="1"/>
  <c r="AM1199" i="3" s="1"/>
  <c r="Q1018" i="3"/>
  <c r="Q827" i="3"/>
  <c r="AD1254" i="3"/>
  <c r="AE1254" i="3"/>
  <c r="AG1254" i="3" s="1"/>
  <c r="AM1254" i="3" s="1"/>
  <c r="AD1306" i="3"/>
  <c r="AE1306" i="3" s="1"/>
  <c r="AG1306" i="3" s="1"/>
  <c r="AM1306" i="3" s="1"/>
  <c r="AD1298" i="3"/>
  <c r="AE1298" i="3" s="1"/>
  <c r="AG1298" i="3" s="1"/>
  <c r="AM1298" i="3" s="1"/>
  <c r="AD1290" i="3"/>
  <c r="AE1290" i="3" s="1"/>
  <c r="N1270" i="3"/>
  <c r="O1270" i="3"/>
  <c r="Q1270" i="3"/>
  <c r="AD1262" i="3"/>
  <c r="AE1262" i="3" s="1"/>
  <c r="AG1262" i="3" s="1"/>
  <c r="AM1262" i="3" s="1"/>
  <c r="N1256" i="3"/>
  <c r="O1256" i="3" s="1"/>
  <c r="Q1256" i="3" s="1"/>
  <c r="AD1239" i="3"/>
  <c r="AE1239" i="3" s="1"/>
  <c r="AG1239" i="3" s="1"/>
  <c r="AM1239" i="3" s="1"/>
  <c r="N1168" i="3"/>
  <c r="O1168" i="3"/>
  <c r="Q1168" i="3" s="1"/>
  <c r="AD1099" i="3"/>
  <c r="AE1099" i="3"/>
  <c r="N1078" i="3"/>
  <c r="O1078" i="3"/>
  <c r="Q1078" i="3" s="1"/>
  <c r="N1061" i="3"/>
  <c r="O1061" i="3"/>
  <c r="Q1061" i="3" s="1"/>
  <c r="Q962" i="3"/>
  <c r="AD923" i="3"/>
  <c r="AE923" i="3"/>
  <c r="AF923" i="3"/>
  <c r="AD916" i="3"/>
  <c r="AE916" i="3" s="1"/>
  <c r="AG916" i="3" s="1"/>
  <c r="AM916" i="3" s="1"/>
  <c r="AF1069" i="3"/>
  <c r="AD1069" i="3"/>
  <c r="AE1069" i="3" s="1"/>
  <c r="Q859" i="3"/>
  <c r="P832" i="3"/>
  <c r="N832" i="3"/>
  <c r="O832" i="3"/>
  <c r="P742" i="3"/>
  <c r="N742" i="3"/>
  <c r="O742" i="3" s="1"/>
  <c r="Q742" i="3" s="1"/>
  <c r="AG1169" i="3"/>
  <c r="AM1169" i="3"/>
  <c r="N1323" i="3"/>
  <c r="O1323" i="3" s="1"/>
  <c r="Q1323" i="3" s="1"/>
  <c r="N1320" i="3"/>
  <c r="O1320" i="3"/>
  <c r="Q1320" i="3"/>
  <c r="AD1313" i="3"/>
  <c r="AE1313" i="3"/>
  <c r="AG1313" i="3" s="1"/>
  <c r="AM1313" i="3" s="1"/>
  <c r="AD1309" i="3"/>
  <c r="AE1309" i="3" s="1"/>
  <c r="AG1309" i="3" s="1"/>
  <c r="AM1309" i="3" s="1"/>
  <c r="AD1279" i="3"/>
  <c r="AE1279" i="3" s="1"/>
  <c r="AG1279" i="3" s="1"/>
  <c r="AM1279" i="3" s="1"/>
  <c r="AD1257" i="3"/>
  <c r="AE1257" i="3"/>
  <c r="AG1257" i="3" s="1"/>
  <c r="AM1257" i="3" s="1"/>
  <c r="AD1255" i="3"/>
  <c r="AE1255" i="3" s="1"/>
  <c r="AG1255" i="3" s="1"/>
  <c r="AM1255" i="3" s="1"/>
  <c r="AF1255" i="3"/>
  <c r="N1236" i="3"/>
  <c r="O1236" i="3"/>
  <c r="Q1236" i="3" s="1"/>
  <c r="N1231" i="3"/>
  <c r="O1231" i="3"/>
  <c r="Q1231" i="3" s="1"/>
  <c r="AG1183" i="3"/>
  <c r="AM1183" i="3" s="1"/>
  <c r="AD1111" i="3"/>
  <c r="AE1111" i="3" s="1"/>
  <c r="AF1111" i="3"/>
  <c r="N916" i="3"/>
  <c r="O916" i="3"/>
  <c r="Q916" i="3" s="1"/>
  <c r="P916" i="3"/>
  <c r="N1076" i="3"/>
  <c r="O1076" i="3" s="1"/>
  <c r="Q1076" i="3" s="1"/>
  <c r="N1069" i="3"/>
  <c r="O1069" i="3"/>
  <c r="Q1069" i="3" s="1"/>
  <c r="N1062" i="3"/>
  <c r="O1062" i="3" s="1"/>
  <c r="Q1062" i="3" s="1"/>
  <c r="AF1029" i="3"/>
  <c r="AD980" i="3"/>
  <c r="AE980" i="3" s="1"/>
  <c r="AG980" i="3"/>
  <c r="AM980" i="3" s="1"/>
  <c r="AD1273" i="3"/>
  <c r="AE1273" i="3" s="1"/>
  <c r="AG1273" i="3" s="1"/>
  <c r="AM1273" i="3" s="1"/>
  <c r="AD1249" i="3"/>
  <c r="AE1249" i="3"/>
  <c r="AG1249" i="3" s="1"/>
  <c r="AM1249" i="3" s="1"/>
  <c r="AD1238" i="3"/>
  <c r="AE1238" i="3" s="1"/>
  <c r="AG1238" i="3"/>
  <c r="AM1238" i="3"/>
  <c r="N1208" i="3"/>
  <c r="O1208" i="3" s="1"/>
  <c r="Q1208" i="3"/>
  <c r="N1169" i="3"/>
  <c r="O1169" i="3"/>
  <c r="Q1169" i="3"/>
  <c r="AD1151" i="3"/>
  <c r="AE1151" i="3" s="1"/>
  <c r="AG1151" i="3" s="1"/>
  <c r="AM1151" i="3" s="1"/>
  <c r="AD1142" i="3"/>
  <c r="AE1142" i="3"/>
  <c r="AG1142" i="3" s="1"/>
  <c r="AM1142" i="3" s="1"/>
  <c r="N1082" i="3"/>
  <c r="O1082" i="3"/>
  <c r="Q1082" i="3" s="1"/>
  <c r="AD949" i="3"/>
  <c r="AE949" i="3" s="1"/>
  <c r="AF949" i="3"/>
  <c r="AG1122" i="3"/>
  <c r="AM1122" i="3" s="1"/>
  <c r="Q1036" i="3"/>
  <c r="AD1319" i="3"/>
  <c r="AE1319" i="3"/>
  <c r="AG1319" i="3" s="1"/>
  <c r="AM1319" i="3" s="1"/>
  <c r="AD1312" i="3"/>
  <c r="AE1312" i="3" s="1"/>
  <c r="AG1312" i="3" s="1"/>
  <c r="AM1312" i="3" s="1"/>
  <c r="AD1305" i="3"/>
  <c r="AE1305" i="3" s="1"/>
  <c r="AG1305" i="3"/>
  <c r="AM1305" i="3" s="1"/>
  <c r="N1296" i="3"/>
  <c r="O1296" i="3"/>
  <c r="Q1296" i="3" s="1"/>
  <c r="N1288" i="3"/>
  <c r="O1288" i="3" s="1"/>
  <c r="Q1288" i="3"/>
  <c r="N1285" i="3"/>
  <c r="O1285" i="3" s="1"/>
  <c r="Q1285" i="3" s="1"/>
  <c r="AD1283" i="3"/>
  <c r="AE1283" i="3" s="1"/>
  <c r="AG1283" i="3" s="1"/>
  <c r="AM1283" i="3" s="1"/>
  <c r="AD1261" i="3"/>
  <c r="AE1261" i="3" s="1"/>
  <c r="N1243" i="3"/>
  <c r="O1243" i="3" s="1"/>
  <c r="Q1243" i="3" s="1"/>
  <c r="AD1241" i="3"/>
  <c r="AE1241" i="3"/>
  <c r="AG1241" i="3" s="1"/>
  <c r="AM1241" i="3" s="1"/>
  <c r="N1227" i="3"/>
  <c r="O1227" i="3"/>
  <c r="Q1227" i="3" s="1"/>
  <c r="N1214" i="3"/>
  <c r="O1214" i="3" s="1"/>
  <c r="Q1214" i="3" s="1"/>
  <c r="N1186" i="3"/>
  <c r="O1186" i="3"/>
  <c r="AD1176" i="3"/>
  <c r="AE1176" i="3" s="1"/>
  <c r="AG1176" i="3" s="1"/>
  <c r="AM1176" i="3" s="1"/>
  <c r="AD1145" i="3"/>
  <c r="AE1145" i="3" s="1"/>
  <c r="AF1145" i="3"/>
  <c r="AD1115" i="3"/>
  <c r="AE1115" i="3" s="1"/>
  <c r="AG1115" i="3" s="1"/>
  <c r="AM1115" i="3" s="1"/>
  <c r="AD1112" i="3"/>
  <c r="AE1112" i="3" s="1"/>
  <c r="AG1112" i="3" s="1"/>
  <c r="AM1112" i="3" s="1"/>
  <c r="P1051" i="3"/>
  <c r="N1051" i="3"/>
  <c r="O1051" i="3" s="1"/>
  <c r="AF1036" i="3"/>
  <c r="N1033" i="3"/>
  <c r="O1033" i="3" s="1"/>
  <c r="Q1033" i="3" s="1"/>
  <c r="AD1022" i="3"/>
  <c r="AE1022" i="3" s="1"/>
  <c r="AG1022" i="3" s="1"/>
  <c r="AM1022" i="3" s="1"/>
  <c r="Q1052" i="3"/>
  <c r="AD1303" i="3"/>
  <c r="AE1303" i="3" s="1"/>
  <c r="AG1303" i="3" s="1"/>
  <c r="AM1303" i="3"/>
  <c r="AD1297" i="3"/>
  <c r="AE1297" i="3" s="1"/>
  <c r="AG1297" i="3" s="1"/>
  <c r="AM1297" i="3" s="1"/>
  <c r="AD1233" i="3"/>
  <c r="AE1233" i="3"/>
  <c r="AD1206" i="3"/>
  <c r="AE1206" i="3" s="1"/>
  <c r="AG1206" i="3" s="1"/>
  <c r="AM1206" i="3"/>
  <c r="N1154" i="3"/>
  <c r="O1154" i="3"/>
  <c r="N1132" i="3"/>
  <c r="O1132" i="3"/>
  <c r="Q1132" i="3" s="1"/>
  <c r="N1049" i="3"/>
  <c r="O1049" i="3" s="1"/>
  <c r="Q1049" i="3" s="1"/>
  <c r="P1049" i="3"/>
  <c r="Q1238" i="3"/>
  <c r="N949" i="3"/>
  <c r="O949" i="3"/>
  <c r="P949" i="3"/>
  <c r="N868" i="3"/>
  <c r="O868" i="3"/>
  <c r="Q868" i="3" s="1"/>
  <c r="P868" i="3"/>
  <c r="N866" i="3"/>
  <c r="O866" i="3" s="1"/>
  <c r="Q866" i="3" s="1"/>
  <c r="P866" i="3"/>
  <c r="P703" i="3"/>
  <c r="N703" i="3"/>
  <c r="O703" i="3" s="1"/>
  <c r="Q703" i="3" s="1"/>
  <c r="AD992" i="3"/>
  <c r="AE992" i="3" s="1"/>
  <c r="AG992" i="3" s="1"/>
  <c r="AM992" i="3" s="1"/>
  <c r="N970" i="3"/>
  <c r="O970" i="3"/>
  <c r="Q970" i="3"/>
  <c r="AD965" i="3"/>
  <c r="AE965" i="3" s="1"/>
  <c r="AG965" i="3"/>
  <c r="AM965" i="3" s="1"/>
  <c r="AD953" i="3"/>
  <c r="AE953" i="3" s="1"/>
  <c r="AG953" i="3" s="1"/>
  <c r="AM953" i="3" s="1"/>
  <c r="N942" i="3"/>
  <c r="O942" i="3" s="1"/>
  <c r="Q942" i="3"/>
  <c r="N883" i="3"/>
  <c r="O883" i="3"/>
  <c r="Q883" i="3" s="1"/>
  <c r="AD725" i="3"/>
  <c r="AE725" i="3" s="1"/>
  <c r="AG725" i="3" s="1"/>
  <c r="AM725" i="3" s="1"/>
  <c r="N1059" i="3"/>
  <c r="O1059" i="3"/>
  <c r="Q1059" i="3" s="1"/>
  <c r="N1025" i="3"/>
  <c r="O1025" i="3"/>
  <c r="Q1025" i="3" s="1"/>
  <c r="N975" i="3"/>
  <c r="O975" i="3"/>
  <c r="Q975" i="3" s="1"/>
  <c r="N967" i="3"/>
  <c r="O967" i="3"/>
  <c r="Q967" i="3"/>
  <c r="AD948" i="3"/>
  <c r="AE948" i="3" s="1"/>
  <c r="AG948" i="3" s="1"/>
  <c r="AM948" i="3" s="1"/>
  <c r="N892" i="3"/>
  <c r="O892" i="3" s="1"/>
  <c r="Q892" i="3" s="1"/>
  <c r="N820" i="3"/>
  <c r="O820" i="3" s="1"/>
  <c r="Q820" i="3" s="1"/>
  <c r="N1066" i="3"/>
  <c r="O1066" i="3"/>
  <c r="Q1066" i="3"/>
  <c r="AD1061" i="3"/>
  <c r="AE1061" i="3" s="1"/>
  <c r="AG1061" i="3" s="1"/>
  <c r="AM1061" i="3" s="1"/>
  <c r="N1031" i="3"/>
  <c r="O1031" i="3" s="1"/>
  <c r="Q1031" i="3" s="1"/>
  <c r="AD1015" i="3"/>
  <c r="AE1015" i="3"/>
  <c r="AG1015" i="3" s="1"/>
  <c r="AM1015" i="3" s="1"/>
  <c r="AD996" i="3"/>
  <c r="AE996" i="3" s="1"/>
  <c r="AG996" i="3" s="1"/>
  <c r="AM996" i="3" s="1"/>
  <c r="AD921" i="3"/>
  <c r="AE921" i="3" s="1"/>
  <c r="AG921" i="3" s="1"/>
  <c r="AM921" i="3" s="1"/>
  <c r="AD904" i="3"/>
  <c r="AE904" i="3" s="1"/>
  <c r="AG904" i="3" s="1"/>
  <c r="AM904" i="3"/>
  <c r="N900" i="3"/>
  <c r="O900" i="3"/>
  <c r="Q900" i="3" s="1"/>
  <c r="N871" i="3"/>
  <c r="O871" i="3" s="1"/>
  <c r="Q871" i="3"/>
  <c r="AD851" i="3"/>
  <c r="AE851" i="3"/>
  <c r="AG851" i="3" s="1"/>
  <c r="AM851" i="3" s="1"/>
  <c r="P760" i="3"/>
  <c r="N760" i="3"/>
  <c r="O760" i="3"/>
  <c r="N738" i="3"/>
  <c r="O738" i="3"/>
  <c r="Q738" i="3" s="1"/>
  <c r="AD701" i="3"/>
  <c r="AE701" i="3" s="1"/>
  <c r="AF701" i="3"/>
  <c r="N693" i="3"/>
  <c r="O693" i="3" s="1"/>
  <c r="Q693" i="3" s="1"/>
  <c r="Q680" i="3"/>
  <c r="AD664" i="3"/>
  <c r="AE664" i="3"/>
  <c r="AG664" i="3" s="1"/>
  <c r="AM664" i="3" s="1"/>
  <c r="AD1167" i="3"/>
  <c r="AE1167" i="3" s="1"/>
  <c r="AG1167" i="3" s="1"/>
  <c r="AM1167" i="3" s="1"/>
  <c r="N1164" i="3"/>
  <c r="O1164" i="3"/>
  <c r="Q1164" i="3" s="1"/>
  <c r="N1153" i="3"/>
  <c r="O1153" i="3"/>
  <c r="Q1153" i="3" s="1"/>
  <c r="AD1141" i="3"/>
  <c r="AE1141" i="3" s="1"/>
  <c r="AG1141" i="3" s="1"/>
  <c r="AM1141" i="3" s="1"/>
  <c r="N1089" i="3"/>
  <c r="O1089" i="3" s="1"/>
  <c r="Q1089" i="3" s="1"/>
  <c r="N1074" i="3"/>
  <c r="O1074" i="3" s="1"/>
  <c r="Q1074" i="3" s="1"/>
  <c r="AD1044" i="3"/>
  <c r="AE1044" i="3" s="1"/>
  <c r="AG1044" i="3" s="1"/>
  <c r="AM1044" i="3" s="1"/>
  <c r="N1038" i="3"/>
  <c r="O1038" i="3" s="1"/>
  <c r="Q1038" i="3" s="1"/>
  <c r="AD1002" i="3"/>
  <c r="AE1002" i="3" s="1"/>
  <c r="AG1002" i="3" s="1"/>
  <c r="AM1002" i="3" s="1"/>
  <c r="N1001" i="3"/>
  <c r="O1001" i="3"/>
  <c r="Q1001" i="3" s="1"/>
  <c r="N989" i="3"/>
  <c r="O989" i="3" s="1"/>
  <c r="Q989" i="3" s="1"/>
  <c r="N973" i="3"/>
  <c r="O973" i="3"/>
  <c r="Q973" i="3" s="1"/>
  <c r="AD958" i="3"/>
  <c r="AE958" i="3" s="1"/>
  <c r="AG958" i="3" s="1"/>
  <c r="AM958" i="3" s="1"/>
  <c r="AD907" i="3"/>
  <c r="AE907" i="3"/>
  <c r="AG907" i="3" s="1"/>
  <c r="AM907" i="3" s="1"/>
  <c r="AD872" i="3"/>
  <c r="AE872" i="3" s="1"/>
  <c r="AG872" i="3" s="1"/>
  <c r="AM872" i="3" s="1"/>
  <c r="N840" i="3"/>
  <c r="O840" i="3" s="1"/>
  <c r="Q840" i="3" s="1"/>
  <c r="N709" i="3"/>
  <c r="O709" i="3"/>
  <c r="Q709" i="3"/>
  <c r="AF646" i="3"/>
  <c r="AD646" i="3"/>
  <c r="AE646" i="3"/>
  <c r="AG646" i="3" s="1"/>
  <c r="AD841" i="3"/>
  <c r="AE841" i="3" s="1"/>
  <c r="AG841" i="3" s="1"/>
  <c r="AM841" i="3" s="1"/>
  <c r="N785" i="3"/>
  <c r="O785" i="3" s="1"/>
  <c r="Q785" i="3" s="1"/>
  <c r="P785" i="3"/>
  <c r="AD728" i="3"/>
  <c r="AE728" i="3" s="1"/>
  <c r="AG728" i="3" s="1"/>
  <c r="AM728" i="3" s="1"/>
  <c r="AD669" i="3"/>
  <c r="AE669" i="3" s="1"/>
  <c r="AG669" i="3" s="1"/>
  <c r="AM669" i="3" s="1"/>
  <c r="N655" i="3"/>
  <c r="O655" i="3" s="1"/>
  <c r="Q655" i="3" s="1"/>
  <c r="N1264" i="3"/>
  <c r="O1264" i="3"/>
  <c r="Q1264" i="3"/>
  <c r="AD1202" i="3"/>
  <c r="AE1202" i="3"/>
  <c r="AG1202" i="3" s="1"/>
  <c r="AM1202" i="3" s="1"/>
  <c r="AD1189" i="3"/>
  <c r="AE1189" i="3"/>
  <c r="AG1189" i="3" s="1"/>
  <c r="AM1189" i="3" s="1"/>
  <c r="AD1171" i="3"/>
  <c r="AE1171" i="3" s="1"/>
  <c r="AG1171" i="3" s="1"/>
  <c r="AM1171" i="3" s="1"/>
  <c r="AD1085" i="3"/>
  <c r="AE1085" i="3" s="1"/>
  <c r="AG1085" i="3" s="1"/>
  <c r="AM1085" i="3" s="1"/>
  <c r="N1080" i="3"/>
  <c r="O1080" i="3"/>
  <c r="Q1080" i="3" s="1"/>
  <c r="N1072" i="3"/>
  <c r="O1072" i="3" s="1"/>
  <c r="Q1072" i="3" s="1"/>
  <c r="AD1040" i="3"/>
  <c r="AE1040" i="3" s="1"/>
  <c r="AG1040" i="3" s="1"/>
  <c r="AM1040" i="3" s="1"/>
  <c r="N999" i="3"/>
  <c r="O999" i="3" s="1"/>
  <c r="Q999" i="3" s="1"/>
  <c r="Q996" i="3"/>
  <c r="AD952" i="3"/>
  <c r="AE952" i="3" s="1"/>
  <c r="AG952" i="3" s="1"/>
  <c r="AM952" i="3" s="1"/>
  <c r="N907" i="3"/>
  <c r="O907" i="3" s="1"/>
  <c r="Q907" i="3"/>
  <c r="AG880" i="3"/>
  <c r="AM880" i="3" s="1"/>
  <c r="Q872" i="3"/>
  <c r="AD855" i="3"/>
  <c r="AE855" i="3" s="1"/>
  <c r="AG855" i="3" s="1"/>
  <c r="AM855" i="3" s="1"/>
  <c r="N826" i="3"/>
  <c r="O826" i="3" s="1"/>
  <c r="Q826" i="3" s="1"/>
  <c r="Q963" i="3"/>
  <c r="AD961" i="3"/>
  <c r="AE961" i="3"/>
  <c r="AG961" i="3" s="1"/>
  <c r="AM961" i="3" s="1"/>
  <c r="AD894" i="3"/>
  <c r="AE894" i="3" s="1"/>
  <c r="AG894" i="3" s="1"/>
  <c r="AM894" i="3" s="1"/>
  <c r="N824" i="3"/>
  <c r="O824" i="3" s="1"/>
  <c r="Q824" i="3" s="1"/>
  <c r="Q792" i="3"/>
  <c r="P763" i="3"/>
  <c r="Q879" i="3"/>
  <c r="P761" i="3"/>
  <c r="N761" i="3"/>
  <c r="O761" i="3"/>
  <c r="N1130" i="3"/>
  <c r="O1130" i="3"/>
  <c r="Q1130" i="3" s="1"/>
  <c r="N1127" i="3"/>
  <c r="O1127" i="3" s="1"/>
  <c r="Q1127" i="3" s="1"/>
  <c r="AD1096" i="3"/>
  <c r="AE1096" i="3" s="1"/>
  <c r="AG1096" i="3" s="1"/>
  <c r="AM1096" i="3" s="1"/>
  <c r="N1081" i="3"/>
  <c r="O1081" i="3"/>
  <c r="Q1081" i="3" s="1"/>
  <c r="N1065" i="3"/>
  <c r="O1065" i="3"/>
  <c r="Q1065" i="3" s="1"/>
  <c r="N1030" i="3"/>
  <c r="O1030" i="3"/>
  <c r="Q1030" i="3" s="1"/>
  <c r="AD1028" i="3"/>
  <c r="AE1028" i="3" s="1"/>
  <c r="AG1028" i="3" s="1"/>
  <c r="AM1028" i="3" s="1"/>
  <c r="AD977" i="3"/>
  <c r="AE977" i="3" s="1"/>
  <c r="AG977" i="3" s="1"/>
  <c r="AM977" i="3" s="1"/>
  <c r="AD957" i="3"/>
  <c r="AE957" i="3" s="1"/>
  <c r="AG957" i="3" s="1"/>
  <c r="AM957" i="3" s="1"/>
  <c r="AD950" i="3"/>
  <c r="AE950" i="3" s="1"/>
  <c r="AG950" i="3" s="1"/>
  <c r="AM950" i="3" s="1"/>
  <c r="AD827" i="3"/>
  <c r="AE827" i="3" s="1"/>
  <c r="AG827" i="3" s="1"/>
  <c r="AM827" i="3" s="1"/>
  <c r="N685" i="3"/>
  <c r="O685" i="3" s="1"/>
  <c r="N630" i="3"/>
  <c r="O630" i="3" s="1"/>
  <c r="Q630" i="3" s="1"/>
  <c r="P630" i="3"/>
  <c r="AD1247" i="3"/>
  <c r="AE1247" i="3" s="1"/>
  <c r="AG1247" i="3" s="1"/>
  <c r="AM1247" i="3" s="1"/>
  <c r="N1223" i="3"/>
  <c r="O1223" i="3"/>
  <c r="Q1223" i="3" s="1"/>
  <c r="AD1207" i="3"/>
  <c r="AE1207" i="3" s="1"/>
  <c r="AG1207" i="3" s="1"/>
  <c r="AM1207" i="3" s="1"/>
  <c r="AD1159" i="3"/>
  <c r="AE1159" i="3" s="1"/>
  <c r="AG1159" i="3" s="1"/>
  <c r="AM1159" i="3" s="1"/>
  <c r="AD1137" i="3"/>
  <c r="AE1137" i="3" s="1"/>
  <c r="AG1137" i="3" s="1"/>
  <c r="AM1137" i="3" s="1"/>
  <c r="AD1128" i="3"/>
  <c r="AE1128" i="3" s="1"/>
  <c r="AG1128" i="3" s="1"/>
  <c r="AM1128" i="3" s="1"/>
  <c r="AD1123" i="3"/>
  <c r="AE1123" i="3" s="1"/>
  <c r="AG1123" i="3" s="1"/>
  <c r="AM1123" i="3" s="1"/>
  <c r="N1120" i="3"/>
  <c r="O1120" i="3"/>
  <c r="Q1120" i="3"/>
  <c r="N1085" i="3"/>
  <c r="O1085" i="3"/>
  <c r="Q1085" i="3" s="1"/>
  <c r="N1019" i="3"/>
  <c r="O1019" i="3"/>
  <c r="Q1019" i="3" s="1"/>
  <c r="AD1011" i="3"/>
  <c r="AE1011" i="3" s="1"/>
  <c r="AG1011" i="3" s="1"/>
  <c r="AM1011" i="3" s="1"/>
  <c r="N991" i="3"/>
  <c r="O991" i="3" s="1"/>
  <c r="Q991" i="3"/>
  <c r="N986" i="3"/>
  <c r="O986" i="3" s="1"/>
  <c r="Q986" i="3"/>
  <c r="N983" i="3"/>
  <c r="O983" i="3" s="1"/>
  <c r="Q983" i="3" s="1"/>
  <c r="N911" i="3"/>
  <c r="O911" i="3" s="1"/>
  <c r="Q911" i="3" s="1"/>
  <c r="AG906" i="3"/>
  <c r="AM906" i="3" s="1"/>
  <c r="AD811" i="3"/>
  <c r="AE811" i="3" s="1"/>
  <c r="AF811" i="3"/>
  <c r="Q724" i="3"/>
  <c r="AD718" i="3"/>
  <c r="AE718" i="3" s="1"/>
  <c r="AG718" i="3" s="1"/>
  <c r="AM718" i="3" s="1"/>
  <c r="AD799" i="3"/>
  <c r="AE799" i="3" s="1"/>
  <c r="AG799" i="3" s="1"/>
  <c r="AM799" i="3" s="1"/>
  <c r="N787" i="3"/>
  <c r="O787" i="3" s="1"/>
  <c r="Q787" i="3" s="1"/>
  <c r="AD784" i="3"/>
  <c r="AE784" i="3" s="1"/>
  <c r="AD778" i="3"/>
  <c r="AE778" i="3" s="1"/>
  <c r="AG778" i="3" s="1"/>
  <c r="AM778" i="3" s="1"/>
  <c r="N768" i="3"/>
  <c r="O768" i="3" s="1"/>
  <c r="Q768" i="3" s="1"/>
  <c r="AF693" i="3"/>
  <c r="N1005" i="3"/>
  <c r="O1005" i="3" s="1"/>
  <c r="Q1005" i="3" s="1"/>
  <c r="N977" i="3"/>
  <c r="O977" i="3"/>
  <c r="Q977" i="3"/>
  <c r="AD942" i="3"/>
  <c r="AE942" i="3"/>
  <c r="AG942" i="3" s="1"/>
  <c r="AM942" i="3" s="1"/>
  <c r="AD926" i="3"/>
  <c r="AE926" i="3"/>
  <c r="AG926" i="3" s="1"/>
  <c r="AM926" i="3" s="1"/>
  <c r="AD922" i="3"/>
  <c r="AE922" i="3" s="1"/>
  <c r="AG922" i="3" s="1"/>
  <c r="AM922" i="3" s="1"/>
  <c r="N913" i="3"/>
  <c r="O913" i="3"/>
  <c r="Q913" i="3"/>
  <c r="AD854" i="3"/>
  <c r="AE854" i="3"/>
  <c r="AD834" i="3"/>
  <c r="AE834" i="3" s="1"/>
  <c r="AG834" i="3" s="1"/>
  <c r="AM834" i="3" s="1"/>
  <c r="N813" i="3"/>
  <c r="O813" i="3"/>
  <c r="Q813" i="3" s="1"/>
  <c r="AD727" i="3"/>
  <c r="AE727" i="3" s="1"/>
  <c r="N726" i="3"/>
  <c r="O726" i="3" s="1"/>
  <c r="Q726" i="3"/>
  <c r="N716" i="3"/>
  <c r="O716" i="3"/>
  <c r="Q716" i="3" s="1"/>
  <c r="N702" i="3"/>
  <c r="O702" i="3" s="1"/>
  <c r="Q702" i="3" s="1"/>
  <c r="AD668" i="3"/>
  <c r="AE668" i="3" s="1"/>
  <c r="AG668" i="3" s="1"/>
  <c r="AM668" i="3" s="1"/>
  <c r="P641" i="3"/>
  <c r="N633" i="3"/>
  <c r="O633" i="3"/>
  <c r="Q633" i="3"/>
  <c r="AG666" i="3"/>
  <c r="AM666" i="3" s="1"/>
  <c r="AD1013" i="3"/>
  <c r="AE1013" i="3" s="1"/>
  <c r="AG1013" i="3" s="1"/>
  <c r="AM1013" i="3" s="1"/>
  <c r="AD1010" i="3"/>
  <c r="AE1010" i="3"/>
  <c r="AG1010" i="3" s="1"/>
  <c r="AM1010" i="3" s="1"/>
  <c r="AD1007" i="3"/>
  <c r="AE1007" i="3"/>
  <c r="AG1007" i="3" s="1"/>
  <c r="AM1007" i="3" s="1"/>
  <c r="AD988" i="3"/>
  <c r="AE988" i="3"/>
  <c r="AG988" i="3" s="1"/>
  <c r="AM988" i="3" s="1"/>
  <c r="AD983" i="3"/>
  <c r="AE983" i="3" s="1"/>
  <c r="AG983" i="3" s="1"/>
  <c r="AM983" i="3" s="1"/>
  <c r="N957" i="3"/>
  <c r="O957" i="3"/>
  <c r="Q957" i="3" s="1"/>
  <c r="AD946" i="3"/>
  <c r="AE946" i="3" s="1"/>
  <c r="AG946" i="3" s="1"/>
  <c r="AM946" i="3" s="1"/>
  <c r="AD934" i="3"/>
  <c r="AE934" i="3" s="1"/>
  <c r="AG934" i="3" s="1"/>
  <c r="AM934" i="3" s="1"/>
  <c r="AD931" i="3"/>
  <c r="AE931" i="3" s="1"/>
  <c r="AG931" i="3" s="1"/>
  <c r="AM931" i="3" s="1"/>
  <c r="AD867" i="3"/>
  <c r="AE867" i="3" s="1"/>
  <c r="AG867" i="3" s="1"/>
  <c r="AM867" i="3" s="1"/>
  <c r="AD846" i="3"/>
  <c r="AE846" i="3" s="1"/>
  <c r="AG846" i="3" s="1"/>
  <c r="AM846" i="3" s="1"/>
  <c r="N839" i="3"/>
  <c r="O839" i="3"/>
  <c r="Q839" i="3" s="1"/>
  <c r="N819" i="3"/>
  <c r="O819" i="3"/>
  <c r="Q819" i="3" s="1"/>
  <c r="AD815" i="3"/>
  <c r="AE815" i="3" s="1"/>
  <c r="AG815" i="3" s="1"/>
  <c r="AM815" i="3" s="1"/>
  <c r="AD805" i="3"/>
  <c r="AE805" i="3"/>
  <c r="AG805" i="3" s="1"/>
  <c r="AM805" i="3" s="1"/>
  <c r="AD792" i="3"/>
  <c r="AE792" i="3"/>
  <c r="AG792" i="3"/>
  <c r="AM792" i="3" s="1"/>
  <c r="AD785" i="3"/>
  <c r="AE785" i="3" s="1"/>
  <c r="AG785" i="3" s="1"/>
  <c r="AM785" i="3" s="1"/>
  <c r="N777" i="3"/>
  <c r="O777" i="3"/>
  <c r="Q777" i="3" s="1"/>
  <c r="AD766" i="3"/>
  <c r="AE766" i="3" s="1"/>
  <c r="AG766" i="3" s="1"/>
  <c r="AM766" i="3" s="1"/>
  <c r="N752" i="3"/>
  <c r="O752" i="3"/>
  <c r="Q752" i="3" s="1"/>
  <c r="N721" i="3"/>
  <c r="O721" i="3"/>
  <c r="Q721" i="3" s="1"/>
  <c r="AD706" i="3"/>
  <c r="AE706" i="3" s="1"/>
  <c r="AG706" i="3" s="1"/>
  <c r="AM706" i="3" s="1"/>
  <c r="N657" i="3"/>
  <c r="O657" i="3"/>
  <c r="Q657" i="3" s="1"/>
  <c r="AD642" i="3"/>
  <c r="AE642" i="3" s="1"/>
  <c r="AG642" i="3" s="1"/>
  <c r="AM642" i="3" s="1"/>
  <c r="N905" i="3"/>
  <c r="O905" i="3"/>
  <c r="Q905" i="3" s="1"/>
  <c r="N804" i="3"/>
  <c r="O804" i="3"/>
  <c r="Q804" i="3" s="1"/>
  <c r="AD800" i="3"/>
  <c r="AE800" i="3" s="1"/>
  <c r="AG800" i="3" s="1"/>
  <c r="AM800" i="3" s="1"/>
  <c r="N795" i="3"/>
  <c r="O795" i="3"/>
  <c r="Q795" i="3" s="1"/>
  <c r="N788" i="3"/>
  <c r="O788" i="3" s="1"/>
  <c r="Q788" i="3" s="1"/>
  <c r="AD756" i="3"/>
  <c r="AE756" i="3" s="1"/>
  <c r="AG756" i="3" s="1"/>
  <c r="AM756" i="3" s="1"/>
  <c r="N730" i="3"/>
  <c r="O730" i="3" s="1"/>
  <c r="Q730" i="3" s="1"/>
  <c r="N717" i="3"/>
  <c r="O717" i="3" s="1"/>
  <c r="Q717" i="3" s="1"/>
  <c r="AD715" i="3"/>
  <c r="AE715" i="3" s="1"/>
  <c r="AG715" i="3" s="1"/>
  <c r="AM715" i="3" s="1"/>
  <c r="AD704" i="3"/>
  <c r="AE704" i="3" s="1"/>
  <c r="AG704" i="3"/>
  <c r="AM704" i="3" s="1"/>
  <c r="AD658" i="3"/>
  <c r="AE658" i="3" s="1"/>
  <c r="AG658" i="3" s="1"/>
  <c r="AM658" i="3" s="1"/>
  <c r="N647" i="3"/>
  <c r="O647" i="3"/>
  <c r="Q647" i="3"/>
  <c r="N809" i="3"/>
  <c r="O809" i="3"/>
  <c r="Q809" i="3" s="1"/>
  <c r="N796" i="3"/>
  <c r="O796" i="3"/>
  <c r="Q796" i="3" s="1"/>
  <c r="AD767" i="3"/>
  <c r="AE767" i="3" s="1"/>
  <c r="AG767" i="3" s="1"/>
  <c r="AM767" i="3" s="1"/>
  <c r="N766" i="3"/>
  <c r="O766" i="3"/>
  <c r="Q766" i="3" s="1"/>
  <c r="N731" i="3"/>
  <c r="O731" i="3" s="1"/>
  <c r="Q731" i="3" s="1"/>
  <c r="AD707" i="3"/>
  <c r="AE707" i="3" s="1"/>
  <c r="AG707" i="3"/>
  <c r="AM707" i="3" s="1"/>
  <c r="N690" i="3"/>
  <c r="O690" i="3" s="1"/>
  <c r="Q690" i="3" s="1"/>
  <c r="N677" i="3"/>
  <c r="O677" i="3" s="1"/>
  <c r="Q677" i="3" s="1"/>
  <c r="AD667" i="3"/>
  <c r="AE667" i="3" s="1"/>
  <c r="AG667" i="3" s="1"/>
  <c r="AM667" i="3" s="1"/>
  <c r="AD656" i="3"/>
  <c r="AE656" i="3" s="1"/>
  <c r="AG656" i="3" s="1"/>
  <c r="AM656" i="3" s="1"/>
  <c r="N651" i="3"/>
  <c r="O651" i="3"/>
  <c r="Q651" i="3" s="1"/>
  <c r="AG643" i="3"/>
  <c r="AM643" i="3" s="1"/>
  <c r="N992" i="3"/>
  <c r="O992" i="3"/>
  <c r="Q992" i="3" s="1"/>
  <c r="AD969" i="3"/>
  <c r="AE969" i="3" s="1"/>
  <c r="AG969" i="3" s="1"/>
  <c r="AM969" i="3" s="1"/>
  <c r="AD962" i="3"/>
  <c r="AE962" i="3"/>
  <c r="AG962" i="3" s="1"/>
  <c r="AM962" i="3" s="1"/>
  <c r="AD954" i="3"/>
  <c r="AE954" i="3" s="1"/>
  <c r="AG954" i="3" s="1"/>
  <c r="AM954" i="3" s="1"/>
  <c r="N910" i="3"/>
  <c r="O910" i="3" s="1"/>
  <c r="Q910" i="3" s="1"/>
  <c r="N881" i="3"/>
  <c r="O881" i="3"/>
  <c r="Q881" i="3"/>
  <c r="AD878" i="3"/>
  <c r="AE878" i="3" s="1"/>
  <c r="AG878" i="3" s="1"/>
  <c r="AM878" i="3"/>
  <c r="N874" i="3"/>
  <c r="O874" i="3" s="1"/>
  <c r="Q874" i="3" s="1"/>
  <c r="N864" i="3"/>
  <c r="O864" i="3"/>
  <c r="Q864" i="3" s="1"/>
  <c r="AD859" i="3"/>
  <c r="AE859" i="3" s="1"/>
  <c r="AG859" i="3" s="1"/>
  <c r="AM859" i="3" s="1"/>
  <c r="AD833" i="3"/>
  <c r="AE833" i="3"/>
  <c r="AG833" i="3" s="1"/>
  <c r="AM833" i="3" s="1"/>
  <c r="N815" i="3"/>
  <c r="O815" i="3" s="1"/>
  <c r="Q815" i="3" s="1"/>
  <c r="P812" i="3"/>
  <c r="N786" i="3"/>
  <c r="O786" i="3"/>
  <c r="Q786" i="3" s="1"/>
  <c r="AD780" i="3"/>
  <c r="AE780" i="3" s="1"/>
  <c r="AG780" i="3" s="1"/>
  <c r="AM780" i="3" s="1"/>
  <c r="N775" i="3"/>
  <c r="O775" i="3"/>
  <c r="Q775" i="3" s="1"/>
  <c r="N773" i="3"/>
  <c r="O773" i="3" s="1"/>
  <c r="Q773" i="3" s="1"/>
  <c r="AD771" i="3"/>
  <c r="AE771" i="3" s="1"/>
  <c r="AG771" i="3" s="1"/>
  <c r="AM771" i="3" s="1"/>
  <c r="N756" i="3"/>
  <c r="O756" i="3" s="1"/>
  <c r="Q756" i="3" s="1"/>
  <c r="AD754" i="3"/>
  <c r="AE754" i="3" s="1"/>
  <c r="N753" i="3"/>
  <c r="O753" i="3"/>
  <c r="Q753" i="3" s="1"/>
  <c r="N734" i="3"/>
  <c r="O734" i="3" s="1"/>
  <c r="Q734" i="3" s="1"/>
  <c r="AD723" i="3"/>
  <c r="AE723" i="3" s="1"/>
  <c r="AG723" i="3"/>
  <c r="AM723" i="3" s="1"/>
  <c r="N715" i="3"/>
  <c r="O715" i="3" s="1"/>
  <c r="Q715" i="3" s="1"/>
  <c r="N701" i="3"/>
  <c r="O701" i="3" s="1"/>
  <c r="Q701" i="3" s="1"/>
  <c r="AG848" i="3"/>
  <c r="AM848" i="3" s="1"/>
  <c r="AF823" i="3"/>
  <c r="AD791" i="3"/>
  <c r="AE791" i="3"/>
  <c r="AG791" i="3" s="1"/>
  <c r="AM791" i="3" s="1"/>
  <c r="Q770" i="3"/>
  <c r="N764" i="3"/>
  <c r="O764" i="3"/>
  <c r="Q764" i="3" s="1"/>
  <c r="AG741" i="3"/>
  <c r="AM741" i="3" s="1"/>
  <c r="AD696" i="3"/>
  <c r="AE696" i="3" s="1"/>
  <c r="AG696" i="3" s="1"/>
  <c r="AM696" i="3" s="1"/>
  <c r="AD966" i="3"/>
  <c r="AE966" i="3"/>
  <c r="AG966" i="3" s="1"/>
  <c r="AM966" i="3" s="1"/>
  <c r="N959" i="3"/>
  <c r="O959" i="3" s="1"/>
  <c r="Q959" i="3" s="1"/>
  <c r="N947" i="3"/>
  <c r="O947" i="3"/>
  <c r="Q947" i="3"/>
  <c r="AD945" i="3"/>
  <c r="AE945" i="3" s="1"/>
  <c r="AG945" i="3" s="1"/>
  <c r="AM945" i="3" s="1"/>
  <c r="AD938" i="3"/>
  <c r="AE938" i="3" s="1"/>
  <c r="AG938" i="3" s="1"/>
  <c r="AM938" i="3" s="1"/>
  <c r="N935" i="3"/>
  <c r="O935" i="3" s="1"/>
  <c r="Q935" i="3" s="1"/>
  <c r="AD890" i="3"/>
  <c r="AE890" i="3" s="1"/>
  <c r="AG890" i="3" s="1"/>
  <c r="AM890" i="3" s="1"/>
  <c r="AD879" i="3"/>
  <c r="AE879" i="3" s="1"/>
  <c r="AG879" i="3" s="1"/>
  <c r="AM879" i="3" s="1"/>
  <c r="AD798" i="3"/>
  <c r="AE798" i="3" s="1"/>
  <c r="AG798" i="3" s="1"/>
  <c r="AM798" i="3" s="1"/>
  <c r="AF784" i="3"/>
  <c r="AD708" i="3"/>
  <c r="AE708" i="3"/>
  <c r="AG708" i="3" s="1"/>
  <c r="AM708" i="3" s="1"/>
  <c r="N707" i="3"/>
  <c r="O707" i="3"/>
  <c r="Q707" i="3"/>
  <c r="AD702" i="3"/>
  <c r="AE702" i="3"/>
  <c r="AG702" i="3" s="1"/>
  <c r="AM702" i="3" s="1"/>
  <c r="AF682" i="3"/>
  <c r="N659" i="3"/>
  <c r="O659" i="3"/>
  <c r="Q659" i="3" s="1"/>
  <c r="Q95" i="3"/>
  <c r="Q109" i="3"/>
  <c r="Q339" i="3"/>
  <c r="Q31" i="3"/>
  <c r="P142" i="3"/>
  <c r="AF171" i="3"/>
  <c r="P186" i="3"/>
  <c r="Q186" i="3" s="1"/>
  <c r="AF186" i="3"/>
  <c r="N190" i="3"/>
  <c r="O190" i="3"/>
  <c r="Q190" i="3" s="1"/>
  <c r="N290" i="3"/>
  <c r="O290" i="3"/>
  <c r="Q290" i="3" s="1"/>
  <c r="AD314" i="3"/>
  <c r="AE314" i="3" s="1"/>
  <c r="AG314" i="3" s="1"/>
  <c r="AM314" i="3" s="1"/>
  <c r="Q335" i="3"/>
  <c r="AD380" i="3"/>
  <c r="AE380" i="3" s="1"/>
  <c r="AG380" i="3" s="1"/>
  <c r="AM380" i="3" s="1"/>
  <c r="P142" i="4"/>
  <c r="Q142" i="4"/>
  <c r="Q506" i="3"/>
  <c r="Q440" i="3"/>
  <c r="AF40" i="3"/>
  <c r="AF56" i="3"/>
  <c r="P62" i="3"/>
  <c r="AF65" i="3"/>
  <c r="AG228" i="3"/>
  <c r="AM228" i="3" s="1"/>
  <c r="AG270" i="3"/>
  <c r="AM270" i="3"/>
  <c r="N274" i="3"/>
  <c r="O274" i="3"/>
  <c r="Q274" i="3" s="1"/>
  <c r="AG354" i="3"/>
  <c r="AM354" i="3" s="1"/>
  <c r="N188" i="3"/>
  <c r="O188" i="3"/>
  <c r="Q188" i="3" s="1"/>
  <c r="AG341" i="3"/>
  <c r="AM341" i="3" s="1"/>
  <c r="AD612" i="3"/>
  <c r="AE612" i="3" s="1"/>
  <c r="AG612" i="3" s="1"/>
  <c r="AM612" i="3" s="1"/>
  <c r="N597" i="3"/>
  <c r="O597" i="3" s="1"/>
  <c r="Q597" i="3" s="1"/>
  <c r="N588" i="3"/>
  <c r="O588" i="3" s="1"/>
  <c r="Q588" i="3" s="1"/>
  <c r="N586" i="3"/>
  <c r="O586" i="3"/>
  <c r="Q586" i="3" s="1"/>
  <c r="N576" i="3"/>
  <c r="O576" i="3"/>
  <c r="Q576" i="3" s="1"/>
  <c r="N573" i="3"/>
  <c r="O573" i="3" s="1"/>
  <c r="Q573" i="3"/>
  <c r="AD571" i="3"/>
  <c r="AE571" i="3" s="1"/>
  <c r="AG571" i="3" s="1"/>
  <c r="AM571" i="3" s="1"/>
  <c r="AD511" i="3"/>
  <c r="AE511" i="3" s="1"/>
  <c r="AG511" i="3" s="1"/>
  <c r="AM511" i="3" s="1"/>
  <c r="AD492" i="3"/>
  <c r="AE492" i="3" s="1"/>
  <c r="AG492" i="3" s="1"/>
  <c r="AM492" i="3" s="1"/>
  <c r="N485" i="3"/>
  <c r="O485" i="3" s="1"/>
  <c r="Q485" i="3" s="1"/>
  <c r="N484" i="3"/>
  <c r="O484" i="3"/>
  <c r="Q484" i="3" s="1"/>
  <c r="AD480" i="3"/>
  <c r="AE480" i="3" s="1"/>
  <c r="AG480" i="3" s="1"/>
  <c r="AM480" i="3" s="1"/>
  <c r="AD479" i="3"/>
  <c r="AE479" i="3" s="1"/>
  <c r="N475" i="3"/>
  <c r="O475" i="3" s="1"/>
  <c r="Q475" i="3" s="1"/>
  <c r="N453" i="3"/>
  <c r="O453" i="3"/>
  <c r="Q453" i="3"/>
  <c r="AD447" i="3"/>
  <c r="AE447" i="3"/>
  <c r="AG447" i="3" s="1"/>
  <c r="AM447" i="3" s="1"/>
  <c r="AD438" i="3"/>
  <c r="AE438" i="3" s="1"/>
  <c r="AG438" i="3" s="1"/>
  <c r="AM438" i="3" s="1"/>
  <c r="AD431" i="3"/>
  <c r="AE431" i="3" s="1"/>
  <c r="AG431" i="3" s="1"/>
  <c r="AM431" i="3" s="1"/>
  <c r="AD422" i="3"/>
  <c r="AE422" i="3"/>
  <c r="AG422" i="3" s="1"/>
  <c r="AM422" i="3" s="1"/>
  <c r="AD421" i="3"/>
  <c r="AE421" i="3" s="1"/>
  <c r="AG421" i="3" s="1"/>
  <c r="AM421" i="3" s="1"/>
  <c r="N421" i="3"/>
  <c r="O421" i="3" s="1"/>
  <c r="Q421" i="3" s="1"/>
  <c r="AD417" i="3"/>
  <c r="AE417" i="3" s="1"/>
  <c r="AG417" i="3" s="1"/>
  <c r="AM417" i="3" s="1"/>
  <c r="AD409" i="3"/>
  <c r="AE409" i="3" s="1"/>
  <c r="AG409" i="3" s="1"/>
  <c r="AM409" i="3" s="1"/>
  <c r="N403" i="3"/>
  <c r="O403" i="3"/>
  <c r="Q403" i="3" s="1"/>
  <c r="AD392" i="3"/>
  <c r="AE392" i="3"/>
  <c r="AG392" i="3" s="1"/>
  <c r="AM392" i="3" s="1"/>
  <c r="AD391" i="3"/>
  <c r="AE391" i="3" s="1"/>
  <c r="AG391" i="3" s="1"/>
  <c r="AM391" i="3" s="1"/>
  <c r="P385" i="3"/>
  <c r="P383" i="3"/>
  <c r="AG653" i="3"/>
  <c r="AM653" i="3" s="1"/>
  <c r="Q662" i="3"/>
  <c r="AF403" i="3"/>
  <c r="AI11" i="4"/>
  <c r="AO11" i="4"/>
  <c r="AD1310" i="3"/>
  <c r="AE1310" i="3" s="1"/>
  <c r="AG1310" i="3"/>
  <c r="AM1310" i="3" s="1"/>
  <c r="AF1316" i="3"/>
  <c r="AF1312" i="3"/>
  <c r="AD1311" i="3"/>
  <c r="AE1311" i="3"/>
  <c r="AG1311" i="3" s="1"/>
  <c r="AM1311" i="3" s="1"/>
  <c r="N1279" i="3"/>
  <c r="O1279" i="3"/>
  <c r="Q1279" i="3" s="1"/>
  <c r="P1317" i="3"/>
  <c r="N1316" i="3"/>
  <c r="O1316" i="3"/>
  <c r="Q1316" i="3" s="1"/>
  <c r="P1313" i="3"/>
  <c r="N1310" i="3"/>
  <c r="O1310" i="3" s="1"/>
  <c r="Q1310" i="3" s="1"/>
  <c r="N1260" i="3"/>
  <c r="O1260" i="3" s="1"/>
  <c r="Q1260" i="3"/>
  <c r="AD1258" i="3"/>
  <c r="AE1258" i="3" s="1"/>
  <c r="AG1258" i="3" s="1"/>
  <c r="AM1258" i="3" s="1"/>
  <c r="AD1322" i="3"/>
  <c r="AE1322" i="3" s="1"/>
  <c r="AG1322" i="3" s="1"/>
  <c r="AM1322" i="3" s="1"/>
  <c r="Q1308" i="3"/>
  <c r="Q1298" i="3"/>
  <c r="AF1290" i="3"/>
  <c r="AF1287" i="3"/>
  <c r="AG1287" i="3" s="1"/>
  <c r="AM1287" i="3" s="1"/>
  <c r="N1263" i="3"/>
  <c r="O1263" i="3"/>
  <c r="Q1263" i="3"/>
  <c r="AF1261" i="3"/>
  <c r="AD1253" i="3"/>
  <c r="AE1253" i="3" s="1"/>
  <c r="AG1253" i="3" s="1"/>
  <c r="AM1253" i="3" s="1"/>
  <c r="AD1235" i="3"/>
  <c r="AE1235" i="3" s="1"/>
  <c r="AG1235" i="3" s="1"/>
  <c r="AM1235" i="3" s="1"/>
  <c r="N1219" i="3"/>
  <c r="O1219" i="3"/>
  <c r="Q1219" i="3"/>
  <c r="N1210" i="3"/>
  <c r="O1210" i="3"/>
  <c r="Q1210" i="3" s="1"/>
  <c r="N1274" i="3"/>
  <c r="O1274" i="3"/>
  <c r="Q1274" i="3" s="1"/>
  <c r="N1266" i="3"/>
  <c r="O1266" i="3" s="1"/>
  <c r="Q1266" i="3" s="1"/>
  <c r="P1254" i="3"/>
  <c r="N1242" i="3"/>
  <c r="O1242" i="3"/>
  <c r="Q1242" i="3" s="1"/>
  <c r="N1235" i="3"/>
  <c r="O1235" i="3" s="1"/>
  <c r="Q1235" i="3" s="1"/>
  <c r="AF1233" i="3"/>
  <c r="AG1233" i="3" s="1"/>
  <c r="AM1233" i="3" s="1"/>
  <c r="AD1230" i="3"/>
  <c r="AE1230" i="3" s="1"/>
  <c r="AG1230" i="3" s="1"/>
  <c r="AM1230" i="3"/>
  <c r="P1222" i="3"/>
  <c r="AD1221" i="3"/>
  <c r="AE1221" i="3" s="1"/>
  <c r="AG1221" i="3" s="1"/>
  <c r="AM1221" i="3" s="1"/>
  <c r="AF1211" i="3"/>
  <c r="AF1198" i="3"/>
  <c r="AD1198" i="3"/>
  <c r="AE1198" i="3" s="1"/>
  <c r="P1200" i="3"/>
  <c r="Q1200" i="3" s="1"/>
  <c r="N1200" i="3"/>
  <c r="O1200" i="3"/>
  <c r="AD1263" i="3"/>
  <c r="AE1263" i="3" s="1"/>
  <c r="AG1263" i="3" s="1"/>
  <c r="AM1263" i="3" s="1"/>
  <c r="N1248" i="3"/>
  <c r="O1248" i="3" s="1"/>
  <c r="Q1248" i="3" s="1"/>
  <c r="AD1227" i="3"/>
  <c r="AE1227" i="3"/>
  <c r="AG1227" i="3" s="1"/>
  <c r="AM1227" i="3" s="1"/>
  <c r="N1228" i="3"/>
  <c r="O1228" i="3" s="1"/>
  <c r="Q1228" i="3" s="1"/>
  <c r="AD1217" i="3"/>
  <c r="AE1217" i="3" s="1"/>
  <c r="AG1217" i="3" s="1"/>
  <c r="AM1217" i="3" s="1"/>
  <c r="AD1203" i="3"/>
  <c r="AE1203" i="3" s="1"/>
  <c r="AG1203" i="3" s="1"/>
  <c r="AM1203" i="3" s="1"/>
  <c r="N1203" i="3"/>
  <c r="O1203" i="3"/>
  <c r="Q1203" i="3" s="1"/>
  <c r="N1189" i="3"/>
  <c r="O1189" i="3" s="1"/>
  <c r="Q1189" i="3"/>
  <c r="Q1186" i="3"/>
  <c r="N1173" i="3"/>
  <c r="O1173" i="3"/>
  <c r="Q1173" i="3" s="1"/>
  <c r="N1157" i="3"/>
  <c r="O1157" i="3"/>
  <c r="Q1157" i="3" s="1"/>
  <c r="Q1154" i="3"/>
  <c r="AD1147" i="3"/>
  <c r="AE1147" i="3" s="1"/>
  <c r="AG1147" i="3" s="1"/>
  <c r="AM1147" i="3" s="1"/>
  <c r="AD1146" i="3"/>
  <c r="AE1146" i="3" s="1"/>
  <c r="AG1146" i="3" s="1"/>
  <c r="AM1146" i="3" s="1"/>
  <c r="AD1144" i="3"/>
  <c r="AE1144" i="3"/>
  <c r="AG1144" i="3" s="1"/>
  <c r="AM1144" i="3" s="1"/>
  <c r="AF1144" i="3"/>
  <c r="P1143" i="3"/>
  <c r="N1143" i="3"/>
  <c r="O1143" i="3"/>
  <c r="Q1143" i="3"/>
  <c r="AD1134" i="3"/>
  <c r="AE1134" i="3"/>
  <c r="AG1134" i="3" s="1"/>
  <c r="AM1134" i="3" s="1"/>
  <c r="AF1131" i="3"/>
  <c r="N1123" i="3"/>
  <c r="O1123" i="3"/>
  <c r="Q1123" i="3" s="1"/>
  <c r="N1122" i="3"/>
  <c r="O1122" i="3" s="1"/>
  <c r="Q1122" i="3" s="1"/>
  <c r="P1122" i="3"/>
  <c r="AD1104" i="3"/>
  <c r="AE1104" i="3"/>
  <c r="AG1104" i="3" s="1"/>
  <c r="AM1104" i="3"/>
  <c r="AF1099" i="3"/>
  <c r="AF1095" i="3"/>
  <c r="P1045" i="3"/>
  <c r="N1045" i="3"/>
  <c r="O1045" i="3"/>
  <c r="P993" i="3"/>
  <c r="N993" i="3"/>
  <c r="O993" i="3" s="1"/>
  <c r="Q993" i="3" s="1"/>
  <c r="N1107" i="3"/>
  <c r="O1107" i="3" s="1"/>
  <c r="Q1107" i="3" s="1"/>
  <c r="P1037" i="3"/>
  <c r="N1037" i="3"/>
  <c r="O1037" i="3"/>
  <c r="Q1037" i="3" s="1"/>
  <c r="AD1127" i="3"/>
  <c r="AE1127" i="3" s="1"/>
  <c r="AG1127" i="3" s="1"/>
  <c r="AM1127" i="3" s="1"/>
  <c r="AF1127" i="3"/>
  <c r="N1057" i="3"/>
  <c r="O1057" i="3" s="1"/>
  <c r="P1057" i="3"/>
  <c r="N1206" i="3"/>
  <c r="O1206" i="3"/>
  <c r="Q1206" i="3"/>
  <c r="N1199" i="3"/>
  <c r="O1199" i="3"/>
  <c r="Q1199" i="3" s="1"/>
  <c r="AF1182" i="3"/>
  <c r="AD1182" i="3"/>
  <c r="AE1182" i="3" s="1"/>
  <c r="AD1181" i="3"/>
  <c r="AE1181" i="3" s="1"/>
  <c r="AG1181" i="3" s="1"/>
  <c r="AM1181" i="3" s="1"/>
  <c r="AF1166" i="3"/>
  <c r="AD1166" i="3"/>
  <c r="AE1166" i="3" s="1"/>
  <c r="AD1165" i="3"/>
  <c r="AE1165" i="3" s="1"/>
  <c r="AG1165" i="3"/>
  <c r="AM1165" i="3" s="1"/>
  <c r="AF1150" i="3"/>
  <c r="AD1150" i="3"/>
  <c r="AE1150" i="3" s="1"/>
  <c r="AG1150" i="3" s="1"/>
  <c r="AM1150" i="3" s="1"/>
  <c r="AD1149" i="3"/>
  <c r="AE1149" i="3" s="1"/>
  <c r="AG1149" i="3" s="1"/>
  <c r="AM1149" i="3" s="1"/>
  <c r="P1147" i="3"/>
  <c r="Q1147" i="3" s="1"/>
  <c r="N1147" i="3"/>
  <c r="O1147" i="3" s="1"/>
  <c r="P1128" i="3"/>
  <c r="N1128" i="3"/>
  <c r="O1128" i="3"/>
  <c r="N1105" i="3"/>
  <c r="O1105" i="3"/>
  <c r="Q1105" i="3" s="1"/>
  <c r="AD1100" i="3"/>
  <c r="AE1100" i="3" s="1"/>
  <c r="AF1100" i="3"/>
  <c r="N1099" i="3"/>
  <c r="O1099" i="3" s="1"/>
  <c r="Q1099" i="3"/>
  <c r="N1093" i="3"/>
  <c r="O1093" i="3"/>
  <c r="Q1093" i="3"/>
  <c r="AF1012" i="3"/>
  <c r="AD1012" i="3"/>
  <c r="AE1012" i="3" s="1"/>
  <c r="P1006" i="3"/>
  <c r="N1006" i="3"/>
  <c r="O1006" i="3" s="1"/>
  <c r="Q1006" i="3" s="1"/>
  <c r="P945" i="3"/>
  <c r="N945" i="3"/>
  <c r="O945" i="3" s="1"/>
  <c r="Q945" i="3" s="1"/>
  <c r="AD1209" i="3"/>
  <c r="AE1209" i="3" s="1"/>
  <c r="AG1209" i="3" s="1"/>
  <c r="AM1209" i="3" s="1"/>
  <c r="N1196" i="3"/>
  <c r="O1196" i="3"/>
  <c r="Q1196" i="3" s="1"/>
  <c r="N1188" i="3"/>
  <c r="O1188" i="3" s="1"/>
  <c r="Q1188" i="3"/>
  <c r="N1172" i="3"/>
  <c r="O1172" i="3"/>
  <c r="Q1172" i="3"/>
  <c r="N1156" i="3"/>
  <c r="O1156" i="3"/>
  <c r="Q1156" i="3" s="1"/>
  <c r="AD1148" i="3"/>
  <c r="AE1148" i="3"/>
  <c r="AG1148" i="3" s="1"/>
  <c r="AM1148" i="3" s="1"/>
  <c r="N1138" i="3"/>
  <c r="O1138" i="3"/>
  <c r="Q1138" i="3" s="1"/>
  <c r="N1113" i="3"/>
  <c r="O1113" i="3"/>
  <c r="Q1113" i="3" s="1"/>
  <c r="N1097" i="3"/>
  <c r="O1097" i="3" s="1"/>
  <c r="Q1097" i="3" s="1"/>
  <c r="N1073" i="3"/>
  <c r="O1073" i="3"/>
  <c r="Q1073" i="3" s="1"/>
  <c r="AD1058" i="3"/>
  <c r="AE1058" i="3" s="1"/>
  <c r="AG1058" i="3" s="1"/>
  <c r="AM1058" i="3" s="1"/>
  <c r="AD1049" i="3"/>
  <c r="AE1049" i="3" s="1"/>
  <c r="AG1049" i="3" s="1"/>
  <c r="AM1049" i="3" s="1"/>
  <c r="AD1048" i="3"/>
  <c r="AE1048" i="3"/>
  <c r="AG1048" i="3" s="1"/>
  <c r="AM1048" i="3" s="1"/>
  <c r="N1047" i="3"/>
  <c r="O1047" i="3"/>
  <c r="Q1047" i="3" s="1"/>
  <c r="AD1046" i="3"/>
  <c r="AE1046" i="3" s="1"/>
  <c r="AG1046" i="3" s="1"/>
  <c r="AM1046" i="3"/>
  <c r="AD1032" i="3"/>
  <c r="AE1032" i="3" s="1"/>
  <c r="AG1032" i="3" s="1"/>
  <c r="AM1032" i="3" s="1"/>
  <c r="P1029" i="3"/>
  <c r="N1029" i="3"/>
  <c r="O1029" i="3"/>
  <c r="AD1026" i="3"/>
  <c r="AE1026" i="3"/>
  <c r="AF1026" i="3"/>
  <c r="AG1017" i="3"/>
  <c r="AM1017" i="3"/>
  <c r="AD1014" i="3"/>
  <c r="AE1014" i="3"/>
  <c r="AG1014" i="3" s="1"/>
  <c r="AM1014" i="3" s="1"/>
  <c r="AF973" i="3"/>
  <c r="AD973" i="3"/>
  <c r="AE973" i="3" s="1"/>
  <c r="AD1009" i="3"/>
  <c r="AE1009" i="3" s="1"/>
  <c r="AF1009" i="3"/>
  <c r="AD1005" i="3"/>
  <c r="AE1005" i="3" s="1"/>
  <c r="AG1005" i="3" s="1"/>
  <c r="AM1005" i="3" s="1"/>
  <c r="N1139" i="3"/>
  <c r="O1139" i="3" s="1"/>
  <c r="Q1139" i="3" s="1"/>
  <c r="N1134" i="3"/>
  <c r="O1134" i="3" s="1"/>
  <c r="Q1134" i="3"/>
  <c r="N1131" i="3"/>
  <c r="O1131" i="3"/>
  <c r="Q1131" i="3" s="1"/>
  <c r="AD1126" i="3"/>
  <c r="AE1126" i="3" s="1"/>
  <c r="AG1126" i="3" s="1"/>
  <c r="AM1126" i="3" s="1"/>
  <c r="AD1125" i="3"/>
  <c r="AE1125" i="3" s="1"/>
  <c r="AG1125" i="3"/>
  <c r="AM1125" i="3" s="1"/>
  <c r="N1111" i="3"/>
  <c r="O1111" i="3" s="1"/>
  <c r="Q1111" i="3" s="1"/>
  <c r="N1095" i="3"/>
  <c r="O1095" i="3"/>
  <c r="Q1095" i="3" s="1"/>
  <c r="AD1057" i="3"/>
  <c r="AE1057" i="3"/>
  <c r="AG1057" i="3" s="1"/>
  <c r="AM1057" i="3" s="1"/>
  <c r="AF1057" i="3"/>
  <c r="AD1056" i="3"/>
  <c r="AE1056" i="3" s="1"/>
  <c r="AG1056" i="3" s="1"/>
  <c r="AM1056" i="3" s="1"/>
  <c r="AD1052" i="3"/>
  <c r="AE1052" i="3" s="1"/>
  <c r="AG1052" i="3" s="1"/>
  <c r="AM1052" i="3" s="1"/>
  <c r="N1043" i="3"/>
  <c r="O1043" i="3" s="1"/>
  <c r="Q1043" i="3" s="1"/>
  <c r="P1041" i="3"/>
  <c r="N1041" i="3"/>
  <c r="O1041" i="3"/>
  <c r="Q1041" i="3" s="1"/>
  <c r="N1035" i="3"/>
  <c r="O1035" i="3" s="1"/>
  <c r="Q1035" i="3" s="1"/>
  <c r="N1003" i="3"/>
  <c r="O1003" i="3" s="1"/>
  <c r="Q1003" i="3" s="1"/>
  <c r="AF691" i="3"/>
  <c r="AD691" i="3"/>
  <c r="AE691" i="3" s="1"/>
  <c r="AG691" i="3" s="1"/>
  <c r="AM691" i="3"/>
  <c r="AD1087" i="3"/>
  <c r="AE1087" i="3" s="1"/>
  <c r="AG1087" i="3" s="1"/>
  <c r="AM1087" i="3" s="1"/>
  <c r="AD1079" i="3"/>
  <c r="AE1079" i="3"/>
  <c r="AG1079" i="3" s="1"/>
  <c r="AM1079" i="3" s="1"/>
  <c r="N1063" i="3"/>
  <c r="O1063" i="3" s="1"/>
  <c r="Q1063" i="3" s="1"/>
  <c r="AD1054" i="3"/>
  <c r="AE1054" i="3" s="1"/>
  <c r="AG1054" i="3" s="1"/>
  <c r="AM1054" i="3" s="1"/>
  <c r="N1053" i="3"/>
  <c r="O1053" i="3"/>
  <c r="Q1053" i="3"/>
  <c r="AD1045" i="3"/>
  <c r="AE1045" i="3" s="1"/>
  <c r="AG1045" i="3" s="1"/>
  <c r="AM1045" i="3" s="1"/>
  <c r="AD1037" i="3"/>
  <c r="AE1037" i="3" s="1"/>
  <c r="AG1037" i="3" s="1"/>
  <c r="AM1037" i="3" s="1"/>
  <c r="N1011" i="3"/>
  <c r="O1011" i="3"/>
  <c r="Q1011" i="3" s="1"/>
  <c r="N981" i="3"/>
  <c r="O981" i="3" s="1"/>
  <c r="Q981" i="3" s="1"/>
  <c r="N953" i="3"/>
  <c r="O953" i="3" s="1"/>
  <c r="Q953" i="3" s="1"/>
  <c r="N931" i="3"/>
  <c r="O931" i="3" s="1"/>
  <c r="P931" i="3"/>
  <c r="AD897" i="3"/>
  <c r="AE897" i="3" s="1"/>
  <c r="AG897" i="3" s="1"/>
  <c r="AM897" i="3" s="1"/>
  <c r="P886" i="3"/>
  <c r="N886" i="3"/>
  <c r="O886" i="3"/>
  <c r="P878" i="3"/>
  <c r="N878" i="3"/>
  <c r="O878" i="3"/>
  <c r="Q878" i="3" s="1"/>
  <c r="AD769" i="3"/>
  <c r="AE769" i="3" s="1"/>
  <c r="AF769" i="3"/>
  <c r="AF694" i="3"/>
  <c r="AD694" i="3"/>
  <c r="AE694" i="3"/>
  <c r="P842" i="3"/>
  <c r="N842" i="3"/>
  <c r="O842" i="3"/>
  <c r="Q842" i="3" s="1"/>
  <c r="N1046" i="3"/>
  <c r="O1046" i="3"/>
  <c r="Q1046" i="3"/>
  <c r="N1042" i="3"/>
  <c r="O1042" i="3" s="1"/>
  <c r="Q1042" i="3" s="1"/>
  <c r="N1034" i="3"/>
  <c r="O1034" i="3"/>
  <c r="Q1034" i="3"/>
  <c r="AD1024" i="3"/>
  <c r="AE1024" i="3"/>
  <c r="AG1024" i="3" s="1"/>
  <c r="AM1024" i="3" s="1"/>
  <c r="N1021" i="3"/>
  <c r="O1021" i="3" s="1"/>
  <c r="Q1021" i="3" s="1"/>
  <c r="N1014" i="3"/>
  <c r="O1014" i="3"/>
  <c r="Q1014" i="3" s="1"/>
  <c r="AD1008" i="3"/>
  <c r="AE1008" i="3" s="1"/>
  <c r="AG1008" i="3" s="1"/>
  <c r="AM1008" i="3" s="1"/>
  <c r="N961" i="3"/>
  <c r="O961" i="3"/>
  <c r="Q961" i="3"/>
  <c r="N955" i="3"/>
  <c r="O955" i="3"/>
  <c r="Q955" i="3" s="1"/>
  <c r="P940" i="3"/>
  <c r="N940" i="3"/>
  <c r="O940" i="3"/>
  <c r="Q940" i="3"/>
  <c r="AD898" i="3"/>
  <c r="AE898" i="3"/>
  <c r="AG898" i="3" s="1"/>
  <c r="AM898" i="3" s="1"/>
  <c r="AD887" i="3"/>
  <c r="AE887" i="3" s="1"/>
  <c r="AG887" i="3" s="1"/>
  <c r="AM887" i="3" s="1"/>
  <c r="AD873" i="3"/>
  <c r="AE873" i="3" s="1"/>
  <c r="AG873" i="3" s="1"/>
  <c r="AM873" i="3"/>
  <c r="AD871" i="3"/>
  <c r="AE871" i="3"/>
  <c r="AF871" i="3"/>
  <c r="N855" i="3"/>
  <c r="O855" i="3" s="1"/>
  <c r="Q855" i="3" s="1"/>
  <c r="P855" i="3"/>
  <c r="Q919" i="3"/>
  <c r="N918" i="3"/>
  <c r="O918" i="3"/>
  <c r="Q918" i="3" s="1"/>
  <c r="N903" i="3"/>
  <c r="O903" i="3" s="1"/>
  <c r="Q903" i="3"/>
  <c r="N894" i="3"/>
  <c r="O894" i="3"/>
  <c r="Q894" i="3"/>
  <c r="N882" i="3"/>
  <c r="O882" i="3"/>
  <c r="Q882" i="3" s="1"/>
  <c r="N858" i="3"/>
  <c r="O858" i="3"/>
  <c r="Q858" i="3" s="1"/>
  <c r="N847" i="3"/>
  <c r="O847" i="3" s="1"/>
  <c r="Q847" i="3" s="1"/>
  <c r="N817" i="3"/>
  <c r="O817" i="3" s="1"/>
  <c r="Q817" i="3" s="1"/>
  <c r="AG806" i="3"/>
  <c r="AM806" i="3"/>
  <c r="P803" i="3"/>
  <c r="N803" i="3"/>
  <c r="O803" i="3"/>
  <c r="Q803" i="3" s="1"/>
  <c r="AF788" i="3"/>
  <c r="AD788" i="3"/>
  <c r="AE788" i="3" s="1"/>
  <c r="AG788" i="3" s="1"/>
  <c r="AM788" i="3" s="1"/>
  <c r="N783" i="3"/>
  <c r="O783" i="3" s="1"/>
  <c r="Q783" i="3" s="1"/>
  <c r="P683" i="3"/>
  <c r="N683" i="3"/>
  <c r="O683" i="3"/>
  <c r="Q683" i="3"/>
  <c r="AD679" i="3"/>
  <c r="AE679" i="3" s="1"/>
  <c r="AG679" i="3" s="1"/>
  <c r="AM679" i="3" s="1"/>
  <c r="AF679" i="3"/>
  <c r="P644" i="3"/>
  <c r="N644" i="3"/>
  <c r="O644" i="3" s="1"/>
  <c r="Q644" i="3" s="1"/>
  <c r="N917" i="3"/>
  <c r="O917" i="3" s="1"/>
  <c r="Q917" i="3" s="1"/>
  <c r="AD913" i="3"/>
  <c r="AE913" i="3" s="1"/>
  <c r="AG913" i="3" s="1"/>
  <c r="AM913" i="3" s="1"/>
  <c r="AD912" i="3"/>
  <c r="AE912" i="3" s="1"/>
  <c r="AG912" i="3"/>
  <c r="AM912" i="3" s="1"/>
  <c r="N899" i="3"/>
  <c r="O899" i="3" s="1"/>
  <c r="Q899" i="3" s="1"/>
  <c r="Q875" i="3"/>
  <c r="AD870" i="3"/>
  <c r="AE870" i="3"/>
  <c r="AG870" i="3" s="1"/>
  <c r="AM870" i="3" s="1"/>
  <c r="AD866" i="3"/>
  <c r="AE866" i="3" s="1"/>
  <c r="AG866" i="3" s="1"/>
  <c r="AM866" i="3" s="1"/>
  <c r="AD861" i="3"/>
  <c r="AE861" i="3" s="1"/>
  <c r="AG861" i="3" s="1"/>
  <c r="AM861" i="3" s="1"/>
  <c r="N856" i="3"/>
  <c r="O856" i="3"/>
  <c r="Q856" i="3"/>
  <c r="N829" i="3"/>
  <c r="O829" i="3"/>
  <c r="Q829" i="3" s="1"/>
  <c r="P781" i="3"/>
  <c r="N781" i="3"/>
  <c r="O781" i="3" s="1"/>
  <c r="AD908" i="3"/>
  <c r="AE908" i="3" s="1"/>
  <c r="AG908" i="3" s="1"/>
  <c r="AM908" i="3" s="1"/>
  <c r="AD902" i="3"/>
  <c r="AE902" i="3" s="1"/>
  <c r="AG902" i="3" s="1"/>
  <c r="AM902" i="3" s="1"/>
  <c r="N893" i="3"/>
  <c r="O893" i="3"/>
  <c r="Q893" i="3" s="1"/>
  <c r="AD891" i="3"/>
  <c r="AE891" i="3" s="1"/>
  <c r="AG891" i="3" s="1"/>
  <c r="AM891" i="3" s="1"/>
  <c r="AD881" i="3"/>
  <c r="AE881" i="3"/>
  <c r="AG881" i="3" s="1"/>
  <c r="AM881" i="3" s="1"/>
  <c r="N863" i="3"/>
  <c r="O863" i="3" s="1"/>
  <c r="Q863" i="3" s="1"/>
  <c r="N860" i="3"/>
  <c r="O860" i="3" s="1"/>
  <c r="Q860" i="3" s="1"/>
  <c r="AF854" i="3"/>
  <c r="AF847" i="3"/>
  <c r="AD847" i="3"/>
  <c r="AE847" i="3" s="1"/>
  <c r="P838" i="3"/>
  <c r="N838" i="3"/>
  <c r="O838" i="3"/>
  <c r="Q838" i="3" s="1"/>
  <c r="P798" i="3"/>
  <c r="N798" i="3"/>
  <c r="O798" i="3" s="1"/>
  <c r="Q798" i="3"/>
  <c r="AF736" i="3"/>
  <c r="AD736" i="3"/>
  <c r="AE736" i="3"/>
  <c r="N876" i="3"/>
  <c r="O876" i="3"/>
  <c r="Q876" i="3" s="1"/>
  <c r="N873" i="3"/>
  <c r="O873" i="3"/>
  <c r="Q873" i="3"/>
  <c r="N867" i="3"/>
  <c r="O867" i="3" s="1"/>
  <c r="Q867" i="3" s="1"/>
  <c r="AD862" i="3"/>
  <c r="AE862" i="3" s="1"/>
  <c r="AG862" i="3" s="1"/>
  <c r="AM862" i="3" s="1"/>
  <c r="N854" i="3"/>
  <c r="O854" i="3" s="1"/>
  <c r="Q854" i="3" s="1"/>
  <c r="N843" i="3"/>
  <c r="O843" i="3" s="1"/>
  <c r="Q843" i="3" s="1"/>
  <c r="AD831" i="3"/>
  <c r="AE831" i="3" s="1"/>
  <c r="AG831" i="3" s="1"/>
  <c r="AM831" i="3" s="1"/>
  <c r="AD829" i="3"/>
  <c r="AE829" i="3" s="1"/>
  <c r="AG829" i="3" s="1"/>
  <c r="AM829" i="3" s="1"/>
  <c r="N821" i="3"/>
  <c r="O821" i="3"/>
  <c r="Q821" i="3" s="1"/>
  <c r="N811" i="3"/>
  <c r="O811" i="3" s="1"/>
  <c r="Q811" i="3" s="1"/>
  <c r="N791" i="3"/>
  <c r="O791" i="3"/>
  <c r="Q791" i="3"/>
  <c r="AD779" i="3"/>
  <c r="AE779" i="3" s="1"/>
  <c r="AG779" i="3" s="1"/>
  <c r="AM779" i="3" s="1"/>
  <c r="AF759" i="3"/>
  <c r="AF754" i="3"/>
  <c r="AF752" i="3"/>
  <c r="AD752" i="3"/>
  <c r="AE752" i="3" s="1"/>
  <c r="P733" i="3"/>
  <c r="Q733" i="3" s="1"/>
  <c r="AF727" i="3"/>
  <c r="AG727" i="3" s="1"/>
  <c r="AM727" i="3" s="1"/>
  <c r="P725" i="3"/>
  <c r="N725" i="3"/>
  <c r="O725" i="3" s="1"/>
  <c r="Q725" i="3" s="1"/>
  <c r="N711" i="3"/>
  <c r="O711" i="3" s="1"/>
  <c r="Q711" i="3" s="1"/>
  <c r="P706" i="3"/>
  <c r="N706" i="3"/>
  <c r="O706" i="3"/>
  <c r="Q706" i="3" s="1"/>
  <c r="AD705" i="3"/>
  <c r="AE705" i="3" s="1"/>
  <c r="AG705" i="3" s="1"/>
  <c r="AM705" i="3" s="1"/>
  <c r="AF705" i="3"/>
  <c r="AF677" i="3"/>
  <c r="AD677" i="3"/>
  <c r="AE677" i="3" s="1"/>
  <c r="AG677" i="3" s="1"/>
  <c r="AM677" i="3" s="1"/>
  <c r="AD832" i="3"/>
  <c r="AE832" i="3" s="1"/>
  <c r="AG832" i="3" s="1"/>
  <c r="AM832" i="3" s="1"/>
  <c r="AF762" i="3"/>
  <c r="AD762" i="3"/>
  <c r="AE762" i="3" s="1"/>
  <c r="AG762" i="3" s="1"/>
  <c r="AM762" i="3" s="1"/>
  <c r="AD774" i="3"/>
  <c r="AE774" i="3" s="1"/>
  <c r="AG774" i="3" s="1"/>
  <c r="AM774" i="3"/>
  <c r="AD764" i="3"/>
  <c r="AE764" i="3" s="1"/>
  <c r="AG764" i="3" s="1"/>
  <c r="AM764" i="3"/>
  <c r="AD760" i="3"/>
  <c r="AE760" i="3"/>
  <c r="AG760" i="3" s="1"/>
  <c r="AM760" i="3" s="1"/>
  <c r="AD747" i="3"/>
  <c r="AE747" i="3" s="1"/>
  <c r="AG747" i="3" s="1"/>
  <c r="AM747" i="3" s="1"/>
  <c r="N747" i="3"/>
  <c r="O747" i="3"/>
  <c r="Q747" i="3" s="1"/>
  <c r="AD744" i="3"/>
  <c r="AE744" i="3"/>
  <c r="AG744" i="3" s="1"/>
  <c r="AM744" i="3" s="1"/>
  <c r="N697" i="3"/>
  <c r="O697" i="3"/>
  <c r="Q697" i="3" s="1"/>
  <c r="N687" i="3"/>
  <c r="O687" i="3"/>
  <c r="Q687" i="3" s="1"/>
  <c r="Q685" i="3"/>
  <c r="AF683" i="3"/>
  <c r="AD683" i="3"/>
  <c r="AE683" i="3" s="1"/>
  <c r="AG683" i="3" s="1"/>
  <c r="AM683" i="3" s="1"/>
  <c r="AF644" i="3"/>
  <c r="AD644" i="3"/>
  <c r="AE644" i="3" s="1"/>
  <c r="AG644" i="3" s="1"/>
  <c r="AM644" i="3" s="1"/>
  <c r="AD775" i="3"/>
  <c r="AE775" i="3" s="1"/>
  <c r="AG775" i="3" s="1"/>
  <c r="AM775" i="3" s="1"/>
  <c r="AD765" i="3"/>
  <c r="AE765" i="3" s="1"/>
  <c r="AG765" i="3" s="1"/>
  <c r="AM765" i="3" s="1"/>
  <c r="P746" i="3"/>
  <c r="Q746" i="3" s="1"/>
  <c r="N746" i="3"/>
  <c r="O746" i="3"/>
  <c r="N739" i="3"/>
  <c r="O739" i="3"/>
  <c r="Q739" i="3" s="1"/>
  <c r="N722" i="3"/>
  <c r="O722" i="3"/>
  <c r="Q722" i="3" s="1"/>
  <c r="AD717" i="3"/>
  <c r="AE717" i="3" s="1"/>
  <c r="AG717" i="3"/>
  <c r="AM717" i="3" s="1"/>
  <c r="AF716" i="3"/>
  <c r="AD716" i="3"/>
  <c r="AE716" i="3" s="1"/>
  <c r="N714" i="3"/>
  <c r="O714" i="3" s="1"/>
  <c r="Q714" i="3" s="1"/>
  <c r="AD676" i="3"/>
  <c r="AE676" i="3" s="1"/>
  <c r="AG676" i="3"/>
  <c r="AM676" i="3" s="1"/>
  <c r="N664" i="3"/>
  <c r="O664" i="3"/>
  <c r="Q664" i="3" s="1"/>
  <c r="Q649" i="3"/>
  <c r="AF629" i="3"/>
  <c r="AD629" i="3"/>
  <c r="AE629" i="3" s="1"/>
  <c r="AG629" i="3" s="1"/>
  <c r="AM629" i="3" s="1"/>
  <c r="AD720" i="3"/>
  <c r="AE720" i="3" s="1"/>
  <c r="AG720" i="3" s="1"/>
  <c r="AM720" i="3" s="1"/>
  <c r="AD712" i="3"/>
  <c r="AE712" i="3" s="1"/>
  <c r="AG712" i="3" s="1"/>
  <c r="AM712" i="3" s="1"/>
  <c r="AD698" i="3"/>
  <c r="AE698" i="3" s="1"/>
  <c r="AG698" i="3" s="1"/>
  <c r="AM698" i="3" s="1"/>
  <c r="N691" i="3"/>
  <c r="O691" i="3"/>
  <c r="Q691" i="3" s="1"/>
  <c r="N689" i="3"/>
  <c r="O689" i="3"/>
  <c r="Q689" i="3" s="1"/>
  <c r="AD680" i="3"/>
  <c r="AE680" i="3" s="1"/>
  <c r="AG680" i="3"/>
  <c r="AM680" i="3" s="1"/>
  <c r="N679" i="3"/>
  <c r="O679" i="3" s="1"/>
  <c r="Q679" i="3" s="1"/>
  <c r="N669" i="3"/>
  <c r="O669" i="3" s="1"/>
  <c r="Q669" i="3" s="1"/>
  <c r="N661" i="3"/>
  <c r="O661" i="3" s="1"/>
  <c r="Q661" i="3"/>
  <c r="N634" i="3"/>
  <c r="O634" i="3"/>
  <c r="Q634" i="3" s="1"/>
  <c r="AD737" i="3"/>
  <c r="AE737" i="3" s="1"/>
  <c r="AG737" i="3" s="1"/>
  <c r="AM737" i="3" s="1"/>
  <c r="AF722" i="3"/>
  <c r="AD721" i="3"/>
  <c r="AE721" i="3" s="1"/>
  <c r="AG721" i="3" s="1"/>
  <c r="AM721" i="3" s="1"/>
  <c r="N719" i="3"/>
  <c r="O719" i="3"/>
  <c r="Q719" i="3" s="1"/>
  <c r="N718" i="3"/>
  <c r="O718" i="3" s="1"/>
  <c r="Q718" i="3" s="1"/>
  <c r="AD713" i="3"/>
  <c r="AE713" i="3" s="1"/>
  <c r="AG713" i="3" s="1"/>
  <c r="AM713" i="3" s="1"/>
  <c r="N705" i="3"/>
  <c r="O705" i="3"/>
  <c r="Q705" i="3" s="1"/>
  <c r="AD699" i="3"/>
  <c r="AE699" i="3"/>
  <c r="AG699" i="3" s="1"/>
  <c r="AM699" i="3" s="1"/>
  <c r="AD681" i="3"/>
  <c r="AE681" i="3"/>
  <c r="AG681" i="3" s="1"/>
  <c r="AM681" i="3" s="1"/>
  <c r="AD673" i="3"/>
  <c r="AE673" i="3" s="1"/>
  <c r="AG673" i="3" s="1"/>
  <c r="AM673" i="3" s="1"/>
  <c r="N660" i="3"/>
  <c r="O660" i="3" s="1"/>
  <c r="Q660" i="3" s="1"/>
  <c r="N670" i="3"/>
  <c r="O670" i="3" s="1"/>
  <c r="Q670" i="3" s="1"/>
  <c r="N653" i="3"/>
  <c r="O653" i="3"/>
  <c r="Q653" i="3"/>
  <c r="Q1194" i="3"/>
  <c r="Q1045" i="3"/>
  <c r="AG811" i="3"/>
  <c r="AM811" i="3" s="1"/>
  <c r="Q1309" i="3"/>
  <c r="Q1313" i="3"/>
  <c r="G8" i="10"/>
  <c r="F6" i="10"/>
  <c r="D8" i="10"/>
  <c r="H8" i="10"/>
  <c r="E8" i="10"/>
  <c r="AG170" i="3"/>
  <c r="AM170" i="3" s="1"/>
  <c r="AG1261" i="3"/>
  <c r="AM1261" i="3" s="1"/>
  <c r="AG923" i="3"/>
  <c r="AM923" i="3"/>
  <c r="AG490" i="3"/>
  <c r="AM490" i="3"/>
  <c r="N593" i="3"/>
  <c r="O593" i="3"/>
  <c r="Q593" i="3" s="1"/>
  <c r="AF118" i="3"/>
  <c r="AG118" i="3" s="1"/>
  <c r="AM118" i="3" s="1"/>
  <c r="Q42" i="3"/>
  <c r="N57" i="3"/>
  <c r="O57" i="3"/>
  <c r="Q57" i="3"/>
  <c r="P150" i="3"/>
  <c r="Q150" i="3"/>
  <c r="AF142" i="3"/>
  <c r="AD142" i="3"/>
  <c r="AE142" i="3" s="1"/>
  <c r="AF144" i="3"/>
  <c r="AD144" i="3"/>
  <c r="AE144" i="3" s="1"/>
  <c r="AG144" i="3" s="1"/>
  <c r="AM144" i="3" s="1"/>
  <c r="AF146" i="3"/>
  <c r="AD146" i="3"/>
  <c r="AE146" i="3" s="1"/>
  <c r="AG146" i="3" s="1"/>
  <c r="AM146" i="3"/>
  <c r="AF283" i="3"/>
  <c r="AD283" i="3"/>
  <c r="AE283" i="3" s="1"/>
  <c r="Q318" i="3"/>
  <c r="AF107" i="3"/>
  <c r="AD107" i="3"/>
  <c r="AE107" i="3" s="1"/>
  <c r="Q519" i="3"/>
  <c r="AF28" i="3"/>
  <c r="AD28" i="3"/>
  <c r="AE28" i="3"/>
  <c r="AG28" i="3" s="1"/>
  <c r="AM28" i="3" s="1"/>
  <c r="P90" i="3"/>
  <c r="N90" i="3"/>
  <c r="O90" i="3"/>
  <c r="P135" i="3"/>
  <c r="N135" i="3"/>
  <c r="O135" i="3" s="1"/>
  <c r="AG949" i="3"/>
  <c r="AM949" i="3" s="1"/>
  <c r="AG1224" i="3"/>
  <c r="AM1224" i="3" s="1"/>
  <c r="AG345" i="3"/>
  <c r="AM345" i="3" s="1"/>
  <c r="Q369" i="3"/>
  <c r="AD351" i="3"/>
  <c r="AE351" i="3"/>
  <c r="AF351" i="3"/>
  <c r="AF103" i="3"/>
  <c r="AD103" i="3"/>
  <c r="AE103" i="3" s="1"/>
  <c r="AD1072" i="3"/>
  <c r="AE1072" i="3" s="1"/>
  <c r="AG1072" i="3" s="1"/>
  <c r="AM1072" i="3" s="1"/>
  <c r="Q385" i="3"/>
  <c r="Q187" i="3"/>
  <c r="Q279" i="3"/>
  <c r="AF600" i="3"/>
  <c r="AG600" i="3" s="1"/>
  <c r="AM600" i="3"/>
  <c r="AD32" i="3"/>
  <c r="AE32" i="3"/>
  <c r="AG32" i="3" s="1"/>
  <c r="AM32" i="3" s="1"/>
  <c r="AG124" i="3"/>
  <c r="AM124" i="3" s="1"/>
  <c r="P79" i="3"/>
  <c r="N79" i="3"/>
  <c r="O79" i="3"/>
  <c r="AF82" i="3"/>
  <c r="AD82" i="3"/>
  <c r="AE82" i="3"/>
  <c r="AG82" i="3" s="1"/>
  <c r="AM82" i="3" s="1"/>
  <c r="AF84" i="3"/>
  <c r="AD84" i="3"/>
  <c r="AE84" i="3"/>
  <c r="AG84" i="3" s="1"/>
  <c r="AM84" i="3" s="1"/>
  <c r="P1155" i="3"/>
  <c r="N1155" i="3"/>
  <c r="O1155" i="3"/>
  <c r="Q1155" i="3" s="1"/>
  <c r="P1151" i="3"/>
  <c r="N1151" i="3"/>
  <c r="O1151" i="3"/>
  <c r="Q1151" i="3"/>
  <c r="Q1124" i="3"/>
  <c r="AG357" i="3"/>
  <c r="AM357" i="3" s="1"/>
  <c r="AG319" i="3"/>
  <c r="AM319" i="3" s="1"/>
  <c r="AF105" i="3"/>
  <c r="AF129" i="3"/>
  <c r="AD129" i="3"/>
  <c r="AE129" i="3" s="1"/>
  <c r="AG129" i="3" s="1"/>
  <c r="AM129" i="3" s="1"/>
  <c r="AG1111" i="3"/>
  <c r="AM1111" i="3" s="1"/>
  <c r="E15" i="10"/>
  <c r="P215" i="3"/>
  <c r="AF73" i="3"/>
  <c r="AD73" i="3"/>
  <c r="AE73" i="3"/>
  <c r="AG73" i="3" s="1"/>
  <c r="AM73" i="3" s="1"/>
  <c r="AF256" i="3"/>
  <c r="AD256" i="3"/>
  <c r="AE256" i="3"/>
  <c r="AG256" i="3" s="1"/>
  <c r="AM256" i="3" s="1"/>
  <c r="AF262" i="3"/>
  <c r="AD262" i="3"/>
  <c r="AE262" i="3" s="1"/>
  <c r="AG262" i="3" s="1"/>
  <c r="AM262" i="3" s="1"/>
  <c r="P447" i="3"/>
  <c r="N447" i="3"/>
  <c r="O447" i="3" s="1"/>
  <c r="P443" i="3"/>
  <c r="N443" i="3"/>
  <c r="O443" i="3" s="1"/>
  <c r="Q443" i="3" s="1"/>
  <c r="P204" i="3"/>
  <c r="N204" i="3"/>
  <c r="O204" i="3"/>
  <c r="Q204" i="3" s="1"/>
  <c r="Q1051" i="3"/>
  <c r="Q591" i="3"/>
  <c r="H15" i="10"/>
  <c r="AG534" i="3"/>
  <c r="AM534" i="3" s="1"/>
  <c r="N53" i="3"/>
  <c r="O53" i="3" s="1"/>
  <c r="Q53" i="3" s="1"/>
  <c r="AG469" i="3"/>
  <c r="AM469" i="3" s="1"/>
  <c r="P180" i="3"/>
  <c r="N180" i="3"/>
  <c r="O180" i="3"/>
  <c r="Q180" i="3" s="1"/>
  <c r="P184" i="3"/>
  <c r="N184" i="3"/>
  <c r="O184" i="3" s="1"/>
  <c r="N251" i="3"/>
  <c r="O251" i="3" s="1"/>
  <c r="Q251" i="3" s="1"/>
  <c r="P251" i="3"/>
  <c r="AF332" i="3"/>
  <c r="AD332" i="3"/>
  <c r="AE332" i="3" s="1"/>
  <c r="AF334" i="3"/>
  <c r="AD334" i="3"/>
  <c r="AE334" i="3" s="1"/>
  <c r="AF336" i="3"/>
  <c r="AD336" i="3"/>
  <c r="AE336" i="3" s="1"/>
  <c r="AF338" i="3"/>
  <c r="AD338" i="3"/>
  <c r="AE338" i="3" s="1"/>
  <c r="AG338" i="3" s="1"/>
  <c r="AM338" i="3" s="1"/>
  <c r="P529" i="3"/>
  <c r="N529" i="3"/>
  <c r="O529" i="3" s="1"/>
  <c r="I15" i="10"/>
  <c r="Q426" i="3"/>
  <c r="P558" i="3"/>
  <c r="N558" i="3"/>
  <c r="O558" i="3" s="1"/>
  <c r="Q558" i="3" s="1"/>
  <c r="AG1012" i="3"/>
  <c r="AM1012" i="3" s="1"/>
  <c r="Q575" i="3"/>
  <c r="AM646" i="3"/>
  <c r="Q760" i="3"/>
  <c r="AG418" i="3"/>
  <c r="AM418" i="3"/>
  <c r="AG238" i="3"/>
  <c r="AM238" i="3"/>
  <c r="AG161" i="3"/>
  <c r="AM161" i="3"/>
  <c r="AF241" i="3"/>
  <c r="AD241" i="3"/>
  <c r="AE241" i="3" s="1"/>
  <c r="AF243" i="3"/>
  <c r="AD243" i="3"/>
  <c r="AE243" i="3" s="1"/>
  <c r="AF245" i="3"/>
  <c r="AG245" i="3" s="1"/>
  <c r="AM245" i="3" s="1"/>
  <c r="AD245" i="3"/>
  <c r="AE245" i="3" s="1"/>
  <c r="AF247" i="3"/>
  <c r="AD247" i="3"/>
  <c r="AE247" i="3" s="1"/>
  <c r="AG247" i="3" s="1"/>
  <c r="AM247" i="3" s="1"/>
  <c r="P321" i="3"/>
  <c r="N321" i="3"/>
  <c r="O321" i="3"/>
  <c r="P325" i="3"/>
  <c r="N325" i="3"/>
  <c r="O325" i="3"/>
  <c r="AF892" i="3"/>
  <c r="AD892" i="3"/>
  <c r="AE892" i="3" s="1"/>
  <c r="AG892" i="3" s="1"/>
  <c r="AM892" i="3" s="1"/>
  <c r="Q379" i="3"/>
  <c r="AF116" i="3"/>
  <c r="AD116" i="3"/>
  <c r="AE116" i="3"/>
  <c r="N587" i="3"/>
  <c r="O587" i="3"/>
  <c r="P587" i="3"/>
  <c r="AF919" i="3"/>
  <c r="AD919" i="3"/>
  <c r="AE919" i="3" s="1"/>
  <c r="AG919" i="3" s="1"/>
  <c r="AM919" i="3" s="1"/>
  <c r="N623" i="3"/>
  <c r="O623" i="3"/>
  <c r="Q623" i="3" s="1"/>
  <c r="P59" i="3"/>
  <c r="N59" i="3"/>
  <c r="O59" i="3"/>
  <c r="AF1035" i="3"/>
  <c r="AD1035" i="3"/>
  <c r="AE1035" i="3"/>
  <c r="AG1035" i="3" s="1"/>
  <c r="AM1035" i="3" s="1"/>
  <c r="AF1031" i="3"/>
  <c r="AD1031" i="3"/>
  <c r="AE1031" i="3" s="1"/>
  <c r="AG1031" i="3" s="1"/>
  <c r="AM1031" i="3" s="1"/>
  <c r="AF655" i="3"/>
  <c r="AD655" i="3"/>
  <c r="AE655" i="3" s="1"/>
  <c r="AG655" i="3" s="1"/>
  <c r="AM655" i="3" s="1"/>
  <c r="AG43" i="3"/>
  <c r="AM43" i="3"/>
  <c r="AG272" i="3"/>
  <c r="AM272" i="3"/>
  <c r="Q192" i="3"/>
  <c r="N118" i="3"/>
  <c r="O118" i="3"/>
  <c r="Q118" i="3" s="1"/>
  <c r="Q128" i="3"/>
  <c r="N107" i="3"/>
  <c r="O107" i="3"/>
  <c r="Q107" i="3" s="1"/>
  <c r="AD40" i="3"/>
  <c r="AE40" i="3"/>
  <c r="AD42" i="3"/>
  <c r="AE42" i="3" s="1"/>
  <c r="N162" i="3"/>
  <c r="O162" i="3" s="1"/>
  <c r="Q162" i="3"/>
  <c r="AD369" i="3"/>
  <c r="AE369" i="3" s="1"/>
  <c r="AG369" i="3" s="1"/>
  <c r="AM369" i="3" s="1"/>
  <c r="N1305" i="3"/>
  <c r="O1305" i="3" s="1"/>
  <c r="Q1305" i="3" s="1"/>
  <c r="P1305" i="3"/>
  <c r="N1012" i="3"/>
  <c r="O1012" i="3"/>
  <c r="Q1012" i="3" s="1"/>
  <c r="P807" i="3"/>
  <c r="AD797" i="3"/>
  <c r="AE797" i="3" s="1"/>
  <c r="AG80" i="3"/>
  <c r="AM80" i="3"/>
  <c r="AD37" i="3"/>
  <c r="AE37" i="3" s="1"/>
  <c r="AG37" i="3" s="1"/>
  <c r="AM37" i="3" s="1"/>
  <c r="Q208" i="3"/>
  <c r="Q27" i="3"/>
  <c r="N170" i="3"/>
  <c r="O170" i="3" s="1"/>
  <c r="Q170" i="3" s="1"/>
  <c r="Q112" i="3"/>
  <c r="AG353" i="3"/>
  <c r="AM353" i="3"/>
  <c r="AD119" i="3"/>
  <c r="AE119" i="3"/>
  <c r="AG119" i="3" s="1"/>
  <c r="AM119" i="3" s="1"/>
  <c r="AD308" i="3"/>
  <c r="AE308" i="3" s="1"/>
  <c r="AG308" i="3" s="1"/>
  <c r="AM308" i="3" s="1"/>
  <c r="AF986" i="3"/>
  <c r="AD986" i="3"/>
  <c r="AE986" i="3" s="1"/>
  <c r="AG549" i="3"/>
  <c r="AM549" i="3" s="1"/>
  <c r="AG517" i="3"/>
  <c r="AM517" i="3"/>
  <c r="N26" i="3"/>
  <c r="O26" i="3"/>
  <c r="Q26" i="3" s="1"/>
  <c r="N28" i="3"/>
  <c r="O28" i="3" s="1"/>
  <c r="Q28" i="3" s="1"/>
  <c r="Q46" i="3"/>
  <c r="Q316" i="3"/>
  <c r="Q348" i="3"/>
  <c r="N18" i="3"/>
  <c r="O18" i="3" s="1"/>
  <c r="Q18" i="3" s="1"/>
  <c r="AD288" i="3"/>
  <c r="AE288" i="3"/>
  <c r="AG288" i="3"/>
  <c r="AM288" i="3" s="1"/>
  <c r="AD352" i="3"/>
  <c r="AE352" i="3" s="1"/>
  <c r="AG830" i="3"/>
  <c r="AM830" i="3" s="1"/>
  <c r="AF751" i="3"/>
  <c r="AD751" i="3"/>
  <c r="AE751" i="3" s="1"/>
  <c r="AG751" i="3" s="1"/>
  <c r="AM751" i="3" s="1"/>
  <c r="AG293" i="3"/>
  <c r="AM293" i="3"/>
  <c r="Q373" i="3"/>
  <c r="AG362" i="3"/>
  <c r="AM362" i="3"/>
  <c r="AG294" i="3"/>
  <c r="AM294" i="3" s="1"/>
  <c r="AD76" i="3"/>
  <c r="AE76" i="3" s="1"/>
  <c r="AG76" i="3" s="1"/>
  <c r="AM76" i="3" s="1"/>
  <c r="N198" i="3"/>
  <c r="O198" i="3" s="1"/>
  <c r="Q198" i="3"/>
  <c r="Q622" i="3"/>
  <c r="AG603" i="3"/>
  <c r="AM603" i="3" s="1"/>
  <c r="P845" i="3"/>
  <c r="N845" i="3"/>
  <c r="O845" i="3" s="1"/>
  <c r="Q845" i="3" s="1"/>
  <c r="P640" i="3"/>
  <c r="N640" i="3"/>
  <c r="O640" i="3"/>
  <c r="P638" i="3"/>
  <c r="N638" i="3"/>
  <c r="O638" i="3"/>
  <c r="Q638" i="3"/>
  <c r="P636" i="3"/>
  <c r="N636" i="3"/>
  <c r="O636" i="3"/>
  <c r="Q568" i="3"/>
  <c r="AG459" i="3"/>
  <c r="AM459" i="3" s="1"/>
  <c r="Q543" i="3"/>
  <c r="AG460" i="3"/>
  <c r="AM460" i="3"/>
  <c r="AG358" i="3"/>
  <c r="AM358" i="3"/>
  <c r="AG197" i="3"/>
  <c r="AM197" i="3" s="1"/>
  <c r="Q210" i="3"/>
  <c r="AG265" i="3"/>
  <c r="AM265" i="3" s="1"/>
  <c r="N101" i="3"/>
  <c r="O101" i="3" s="1"/>
  <c r="Q101" i="3"/>
  <c r="Q375" i="3"/>
  <c r="Q315" i="3"/>
  <c r="N239" i="3"/>
  <c r="O239" i="3"/>
  <c r="Q239" i="3" s="1"/>
  <c r="P73" i="3"/>
  <c r="Q73" i="3"/>
  <c r="AD78" i="3"/>
  <c r="AE78" i="3"/>
  <c r="AG78" i="3" s="1"/>
  <c r="AM78" i="3" s="1"/>
  <c r="N103" i="3"/>
  <c r="O103" i="3" s="1"/>
  <c r="Q103" i="3"/>
  <c r="N249" i="3"/>
  <c r="O249" i="3"/>
  <c r="Q249" i="3" s="1"/>
  <c r="N609" i="3"/>
  <c r="O609" i="3"/>
  <c r="Q609" i="3" s="1"/>
  <c r="P1237" i="3"/>
  <c r="N1237" i="3"/>
  <c r="O1237" i="3" s="1"/>
  <c r="Q1237" i="3" s="1"/>
  <c r="Q1102" i="3"/>
  <c r="AF1063" i="3"/>
  <c r="AD1063" i="3"/>
  <c r="AE1063" i="3"/>
  <c r="AG1063" i="3" s="1"/>
  <c r="AM1063" i="3" s="1"/>
  <c r="AF947" i="3"/>
  <c r="AD947" i="3"/>
  <c r="AE947" i="3" s="1"/>
  <c r="N763" i="3"/>
  <c r="O763" i="3" s="1"/>
  <c r="Q763" i="3"/>
  <c r="AF852" i="3"/>
  <c r="AG852" i="3" s="1"/>
  <c r="AM852" i="3" s="1"/>
  <c r="AD852" i="3"/>
  <c r="AE852" i="3" s="1"/>
  <c r="Q757" i="3"/>
  <c r="AG559" i="3"/>
  <c r="AM559" i="3" s="1"/>
  <c r="AG172" i="3"/>
  <c r="AM172" i="3"/>
  <c r="N49" i="3"/>
  <c r="O49" i="3"/>
  <c r="Q49" i="3" s="1"/>
  <c r="Q96" i="3"/>
  <c r="AD58" i="3"/>
  <c r="AE58" i="3"/>
  <c r="AG58" i="3" s="1"/>
  <c r="AM58" i="3" s="1"/>
  <c r="Q309" i="3"/>
  <c r="AG85" i="3"/>
  <c r="AM85" i="3" s="1"/>
  <c r="Q174" i="3"/>
  <c r="Q371" i="3"/>
  <c r="AG344" i="3"/>
  <c r="AM344" i="3" s="1"/>
  <c r="N36" i="3"/>
  <c r="O36" i="3"/>
  <c r="Q36" i="3" s="1"/>
  <c r="AD281" i="3"/>
  <c r="AE281" i="3" s="1"/>
  <c r="AG281" i="3" s="1"/>
  <c r="AM281" i="3" s="1"/>
  <c r="AD591" i="3"/>
  <c r="AE591" i="3"/>
  <c r="AG591" i="3" s="1"/>
  <c r="AM591" i="3" s="1"/>
  <c r="AG1244" i="3"/>
  <c r="AM1244" i="3" s="1"/>
  <c r="N1024" i="3"/>
  <c r="O1024" i="3" s="1"/>
  <c r="P1024" i="3"/>
  <c r="Q924" i="3"/>
  <c r="Q319" i="3"/>
  <c r="Q212" i="3"/>
  <c r="AG313" i="3"/>
  <c r="AM313" i="3" s="1"/>
  <c r="AM327" i="3"/>
  <c r="AG340" i="3"/>
  <c r="AM340" i="3" s="1"/>
  <c r="AG71" i="3"/>
  <c r="AM71" i="3" s="1"/>
  <c r="Q377" i="3"/>
  <c r="AD26" i="3"/>
  <c r="AE26" i="3"/>
  <c r="AG26" i="3"/>
  <c r="AM26" i="3" s="1"/>
  <c r="N77" i="3"/>
  <c r="O77" i="3" s="1"/>
  <c r="Q77" i="3"/>
  <c r="N182" i="3"/>
  <c r="O182" i="3" s="1"/>
  <c r="Q182" i="3" s="1"/>
  <c r="N217" i="3"/>
  <c r="O217" i="3"/>
  <c r="Q217" i="3" s="1"/>
  <c r="AD608" i="3"/>
  <c r="AE608" i="3" s="1"/>
  <c r="AG608" i="3" s="1"/>
  <c r="AM608" i="3" s="1"/>
  <c r="AD583" i="3"/>
  <c r="AE583" i="3" s="1"/>
  <c r="AG583" i="3" s="1"/>
  <c r="AM583" i="3" s="1"/>
  <c r="AD581" i="3"/>
  <c r="AE581" i="3" s="1"/>
  <c r="AG581" i="3" s="1"/>
  <c r="AM581" i="3" s="1"/>
  <c r="N516" i="3"/>
  <c r="O516" i="3"/>
  <c r="Q516" i="3" s="1"/>
  <c r="N1283" i="3"/>
  <c r="O1283" i="3" s="1"/>
  <c r="Q1283" i="3"/>
  <c r="AG690" i="3"/>
  <c r="AM690" i="3" s="1"/>
  <c r="Q490" i="3"/>
  <c r="Q91" i="3"/>
  <c r="Q467" i="3"/>
  <c r="AG545" i="3"/>
  <c r="AM545" i="3" s="1"/>
  <c r="AG547" i="3"/>
  <c r="AM547" i="3" s="1"/>
  <c r="AG325" i="3"/>
  <c r="AM325" i="3"/>
  <c r="Q293" i="3"/>
  <c r="AG126" i="3"/>
  <c r="AM126" i="3" s="1"/>
  <c r="AG190" i="3"/>
  <c r="AM190" i="3" s="1"/>
  <c r="AG189" i="3"/>
  <c r="AM189" i="3" s="1"/>
  <c r="Q282" i="3"/>
  <c r="AD181" i="3"/>
  <c r="AE181" i="3" s="1"/>
  <c r="AG181" i="3" s="1"/>
  <c r="AM181" i="3" s="1"/>
  <c r="AG361" i="3"/>
  <c r="AM361" i="3"/>
  <c r="N219" i="3"/>
  <c r="O219" i="3"/>
  <c r="Q219" i="3"/>
  <c r="N472" i="3"/>
  <c r="O472" i="3"/>
  <c r="Q472" i="3" s="1"/>
  <c r="AD1294" i="3"/>
  <c r="AE1294" i="3"/>
  <c r="AG1294" i="3" s="1"/>
  <c r="AM1294" i="3" s="1"/>
  <c r="N1161" i="3"/>
  <c r="O1161" i="3"/>
  <c r="Q1161" i="3" s="1"/>
  <c r="N976" i="3"/>
  <c r="O976" i="3" s="1"/>
  <c r="Q976" i="3" s="1"/>
  <c r="N974" i="3"/>
  <c r="O974" i="3" s="1"/>
  <c r="Q974" i="3" s="1"/>
  <c r="N972" i="3"/>
  <c r="O972" i="3"/>
  <c r="Q972" i="3"/>
  <c r="N968" i="3"/>
  <c r="O968" i="3"/>
  <c r="Q968" i="3" s="1"/>
  <c r="P966" i="3"/>
  <c r="N966" i="3"/>
  <c r="O966" i="3" s="1"/>
  <c r="P964" i="3"/>
  <c r="N964" i="3"/>
  <c r="O964" i="3"/>
  <c r="AD927" i="3"/>
  <c r="AE927" i="3"/>
  <c r="AG927" i="3" s="1"/>
  <c r="AM927" i="3" s="1"/>
  <c r="AD925" i="3"/>
  <c r="AE925" i="3" s="1"/>
  <c r="AG925" i="3" s="1"/>
  <c r="AM925" i="3" s="1"/>
  <c r="AD863" i="3"/>
  <c r="AE863" i="3"/>
  <c r="AG863" i="3" s="1"/>
  <c r="AM863" i="3" s="1"/>
  <c r="Q169" i="3"/>
  <c r="AG203" i="3"/>
  <c r="AM203" i="3" s="1"/>
  <c r="AG263" i="3"/>
  <c r="AM263" i="3"/>
  <c r="Q98" i="3"/>
  <c r="AG495" i="3"/>
  <c r="AM495" i="3"/>
  <c r="AG374" i="3"/>
  <c r="AM374" i="3"/>
  <c r="AG36" i="3"/>
  <c r="AM36" i="3" s="1"/>
  <c r="Q100" i="3"/>
  <c r="Q221" i="3"/>
  <c r="AM66" i="3"/>
  <c r="AG41" i="3"/>
  <c r="AM41" i="3" s="1"/>
  <c r="AG202" i="3"/>
  <c r="AM202" i="3"/>
  <c r="N132" i="3"/>
  <c r="O132" i="3"/>
  <c r="Q132" i="3" s="1"/>
  <c r="AD306" i="3"/>
  <c r="AE306" i="3" s="1"/>
  <c r="AG306" i="3" s="1"/>
  <c r="AM306" i="3" s="1"/>
  <c r="AD1170" i="3"/>
  <c r="AE1170" i="3" s="1"/>
  <c r="AG1170" i="3" s="1"/>
  <c r="AM1170" i="3" s="1"/>
  <c r="N898" i="3"/>
  <c r="O898" i="3" s="1"/>
  <c r="Q898" i="3" s="1"/>
  <c r="N896" i="3"/>
  <c r="O896" i="3" s="1"/>
  <c r="Q896" i="3" s="1"/>
  <c r="Q729" i="3"/>
  <c r="AG963" i="3"/>
  <c r="AM963" i="3" s="1"/>
  <c r="AG1051" i="3"/>
  <c r="AM1051" i="3" s="1"/>
  <c r="N1201" i="3"/>
  <c r="O1201" i="3"/>
  <c r="Q1201" i="3" s="1"/>
  <c r="N1267" i="3"/>
  <c r="O1267" i="3" s="1"/>
  <c r="Q1267" i="3" s="1"/>
  <c r="Q1302" i="3"/>
  <c r="AD1226" i="3"/>
  <c r="AE1226" i="3"/>
  <c r="N1207" i="3"/>
  <c r="O1207" i="3" s="1"/>
  <c r="Q1207" i="3" s="1"/>
  <c r="AD1205" i="3"/>
  <c r="AE1205" i="3"/>
  <c r="Q1204" i="3"/>
  <c r="AG1076" i="3"/>
  <c r="AM1076" i="3" s="1"/>
  <c r="N849" i="3"/>
  <c r="O849" i="3" s="1"/>
  <c r="AD783" i="3"/>
  <c r="AE783" i="3"/>
  <c r="AG783" i="3" s="1"/>
  <c r="AM783" i="3" s="1"/>
  <c r="N782" i="3"/>
  <c r="O782" i="3" s="1"/>
  <c r="Q782" i="3"/>
  <c r="AD759" i="3"/>
  <c r="AE759" i="3"/>
  <c r="AG759" i="3" s="1"/>
  <c r="AM759" i="3" s="1"/>
  <c r="AD731" i="3"/>
  <c r="AE731" i="3" s="1"/>
  <c r="AG731" i="3" s="1"/>
  <c r="AM731" i="3" s="1"/>
  <c r="AD692" i="3"/>
  <c r="AE692" i="3" s="1"/>
  <c r="AG692" i="3" s="1"/>
  <c r="AM692" i="3" s="1"/>
  <c r="AD572" i="3"/>
  <c r="AE572" i="3"/>
  <c r="AG572" i="3" s="1"/>
  <c r="AM572" i="3" s="1"/>
  <c r="N455" i="3"/>
  <c r="O455" i="3" s="1"/>
  <c r="Q455" i="3" s="1"/>
  <c r="AD445" i="3"/>
  <c r="AE445" i="3" s="1"/>
  <c r="AG445" i="3" s="1"/>
  <c r="AM445" i="3" s="1"/>
  <c r="N391" i="3"/>
  <c r="O391" i="3" s="1"/>
  <c r="Q391" i="3"/>
  <c r="Q920" i="3"/>
  <c r="Q946" i="3"/>
  <c r="Q998" i="3"/>
  <c r="Q1064" i="3"/>
  <c r="AG1212" i="3"/>
  <c r="AM1212" i="3" s="1"/>
  <c r="N1322" i="3"/>
  <c r="O1322" i="3"/>
  <c r="Q1322" i="3" s="1"/>
  <c r="N1307" i="3"/>
  <c r="O1307" i="3" s="1"/>
  <c r="Q1307" i="3"/>
  <c r="AD1269" i="3"/>
  <c r="AE1269" i="3"/>
  <c r="AG1269" i="3" s="1"/>
  <c r="AM1269" i="3" s="1"/>
  <c r="N1253" i="3"/>
  <c r="O1253" i="3"/>
  <c r="Q1253" i="3" s="1"/>
  <c r="AD1231" i="3"/>
  <c r="AE1231" i="3" s="1"/>
  <c r="AG1231" i="3" s="1"/>
  <c r="AM1231" i="3" s="1"/>
  <c r="N1230" i="3"/>
  <c r="O1230" i="3"/>
  <c r="Q1230" i="3" s="1"/>
  <c r="AD1201" i="3"/>
  <c r="AE1201" i="3" s="1"/>
  <c r="N1192" i="3"/>
  <c r="O1192" i="3"/>
  <c r="Q1192" i="3" s="1"/>
  <c r="N1142" i="3"/>
  <c r="O1142" i="3" s="1"/>
  <c r="Q1142" i="3"/>
  <c r="N1118" i="3"/>
  <c r="O1118" i="3"/>
  <c r="Q1118" i="3" s="1"/>
  <c r="AD1094" i="3"/>
  <c r="AE1094" i="3"/>
  <c r="AG1094" i="3" s="1"/>
  <c r="AM1094" i="3" s="1"/>
  <c r="AD1092" i="3"/>
  <c r="AE1092" i="3" s="1"/>
  <c r="AD1070" i="3"/>
  <c r="AE1070" i="3" s="1"/>
  <c r="AG1070" i="3" s="1"/>
  <c r="AM1070" i="3"/>
  <c r="AD1033" i="3"/>
  <c r="AE1033" i="3"/>
  <c r="AG1033" i="3" s="1"/>
  <c r="AM1033" i="3" s="1"/>
  <c r="N1022" i="3"/>
  <c r="O1022" i="3"/>
  <c r="N909" i="3"/>
  <c r="O909" i="3" s="1"/>
  <c r="Q909" i="3"/>
  <c r="N822" i="3"/>
  <c r="O822" i="3"/>
  <c r="Q822" i="3" s="1"/>
  <c r="AD820" i="3"/>
  <c r="AE820" i="3"/>
  <c r="AG820" i="3" s="1"/>
  <c r="AM820" i="3" s="1"/>
  <c r="AD738" i="3"/>
  <c r="AE738" i="3" s="1"/>
  <c r="N652" i="3"/>
  <c r="O652" i="3" s="1"/>
  <c r="Q652" i="3"/>
  <c r="AG828" i="3"/>
  <c r="AM828" i="3" s="1"/>
  <c r="Q837" i="3"/>
  <c r="Q1032" i="3"/>
  <c r="Q1133" i="3"/>
  <c r="Q1179" i="3"/>
  <c r="AG960" i="3"/>
  <c r="AM960" i="3"/>
  <c r="AD650" i="3"/>
  <c r="AE650" i="3"/>
  <c r="AG650" i="3" s="1"/>
  <c r="AM650" i="3" s="1"/>
  <c r="AF648" i="3"/>
  <c r="AG648" i="3" s="1"/>
  <c r="AM648" i="3" s="1"/>
  <c r="Q948" i="3"/>
  <c r="AG1001" i="3"/>
  <c r="AM1001" i="3"/>
  <c r="AD542" i="3"/>
  <c r="AE542" i="3"/>
  <c r="AG542" i="3" s="1"/>
  <c r="AM542" i="3" s="1"/>
  <c r="N539" i="3"/>
  <c r="O539" i="3" s="1"/>
  <c r="Q539" i="3" s="1"/>
  <c r="N439" i="3"/>
  <c r="O439" i="3" s="1"/>
  <c r="Q439" i="3" s="1"/>
  <c r="AD396" i="3"/>
  <c r="AE396" i="3"/>
  <c r="AG396" i="3" s="1"/>
  <c r="AM396" i="3" s="1"/>
  <c r="AG665" i="3"/>
  <c r="AM665" i="3" s="1"/>
  <c r="AG824" i="3"/>
  <c r="AM824" i="3" s="1"/>
  <c r="AG943" i="3"/>
  <c r="AM943" i="3" s="1"/>
  <c r="Q853" i="3"/>
  <c r="AD1304" i="3"/>
  <c r="AE1304" i="3" s="1"/>
  <c r="AG1304" i="3" s="1"/>
  <c r="AM1304" i="3"/>
  <c r="N1292" i="3"/>
  <c r="O1292" i="3" s="1"/>
  <c r="Q1292" i="3" s="1"/>
  <c r="AD1213" i="3"/>
  <c r="AE1213" i="3"/>
  <c r="AG1213" i="3" s="1"/>
  <c r="AM1213" i="3" s="1"/>
  <c r="AD1211" i="3"/>
  <c r="AE1211" i="3" s="1"/>
  <c r="AG1211" i="3" s="1"/>
  <c r="AM1211" i="3" s="1"/>
  <c r="AD1173" i="3"/>
  <c r="AE1173" i="3" s="1"/>
  <c r="AG1173" i="3" s="1"/>
  <c r="AM1173" i="3" s="1"/>
  <c r="AD1139" i="3"/>
  <c r="AE1139" i="3" s="1"/>
  <c r="AG1139" i="3" s="1"/>
  <c r="AM1139" i="3" s="1"/>
  <c r="N1058" i="3"/>
  <c r="O1058" i="3" s="1"/>
  <c r="Q1058" i="3" s="1"/>
  <c r="AD998" i="3"/>
  <c r="AE998" i="3" s="1"/>
  <c r="AG998" i="3" s="1"/>
  <c r="AM998" i="3" s="1"/>
  <c r="N921" i="3"/>
  <c r="O921" i="3"/>
  <c r="Q921" i="3" s="1"/>
  <c r="N887" i="3"/>
  <c r="O887" i="3"/>
  <c r="Q887" i="3"/>
  <c r="N852" i="3"/>
  <c r="O852" i="3" s="1"/>
  <c r="Q852" i="3" s="1"/>
  <c r="AD837" i="3"/>
  <c r="AE837" i="3" s="1"/>
  <c r="AG837" i="3" s="1"/>
  <c r="AM837" i="3" s="1"/>
  <c r="N816" i="3"/>
  <c r="O816" i="3" s="1"/>
  <c r="N797" i="3"/>
  <c r="O797" i="3"/>
  <c r="Q797" i="3"/>
  <c r="AD795" i="3"/>
  <c r="AE795" i="3" s="1"/>
  <c r="AG795" i="3" s="1"/>
  <c r="AM795" i="3" s="1"/>
  <c r="P710" i="3"/>
  <c r="AG663" i="3"/>
  <c r="AM663" i="3" s="1"/>
  <c r="AG659" i="3"/>
  <c r="AM659" i="3" s="1"/>
  <c r="AG773" i="3"/>
  <c r="AM773" i="3" s="1"/>
  <c r="Q987" i="3"/>
  <c r="AD888" i="3"/>
  <c r="AE888" i="3" s="1"/>
  <c r="AG888" i="3" s="1"/>
  <c r="AM888" i="3" s="1"/>
  <c r="N583" i="3"/>
  <c r="O583" i="3"/>
  <c r="Q583" i="3" s="1"/>
  <c r="N531" i="3"/>
  <c r="O531" i="3" s="1"/>
  <c r="Q531" i="3" s="1"/>
  <c r="N473" i="3"/>
  <c r="O473" i="3" s="1"/>
  <c r="Q473" i="3"/>
  <c r="N471" i="3"/>
  <c r="O471" i="3"/>
  <c r="Q471" i="3" s="1"/>
  <c r="N402" i="3"/>
  <c r="O402" i="3"/>
  <c r="Q402" i="3" s="1"/>
  <c r="AG719" i="3"/>
  <c r="AM719" i="3" s="1"/>
  <c r="Q938" i="3"/>
  <c r="AD1302" i="3"/>
  <c r="AE1302" i="3" s="1"/>
  <c r="AG1302" i="3" s="1"/>
  <c r="AM1302" i="3" s="1"/>
  <c r="AD1293" i="3"/>
  <c r="AE1293" i="3" s="1"/>
  <c r="AG1293" i="3" s="1"/>
  <c r="AM1293" i="3" s="1"/>
  <c r="N1284" i="3"/>
  <c r="O1284" i="3" s="1"/>
  <c r="Q1284" i="3" s="1"/>
  <c r="AD1243" i="3"/>
  <c r="AE1243" i="3"/>
  <c r="AG1243" i="3" s="1"/>
  <c r="AM1243" i="3" s="1"/>
  <c r="N1220" i="3"/>
  <c r="O1220" i="3" s="1"/>
  <c r="Q1220" i="3" s="1"/>
  <c r="N1195" i="3"/>
  <c r="O1195" i="3" s="1"/>
  <c r="Q1195" i="3" s="1"/>
  <c r="N1180" i="3"/>
  <c r="O1180" i="3"/>
  <c r="Q1180" i="3"/>
  <c r="AD1117" i="3"/>
  <c r="AE1117" i="3"/>
  <c r="AG1117" i="3" s="1"/>
  <c r="AM1117" i="3" s="1"/>
  <c r="AD1113" i="3"/>
  <c r="AE1113" i="3"/>
  <c r="AG1113" i="3" s="1"/>
  <c r="AM1113" i="3" s="1"/>
  <c r="N1077" i="3"/>
  <c r="O1077" i="3" s="1"/>
  <c r="Q1077" i="3"/>
  <c r="AD1075" i="3"/>
  <c r="AE1075" i="3" s="1"/>
  <c r="AG1075" i="3" s="1"/>
  <c r="AM1075" i="3" s="1"/>
  <c r="AD1064" i="3"/>
  <c r="AE1064" i="3" s="1"/>
  <c r="AD1019" i="3"/>
  <c r="AE1019" i="3" s="1"/>
  <c r="AG1019" i="3" s="1"/>
  <c r="AM1019" i="3" s="1"/>
  <c r="AD1016" i="3"/>
  <c r="AE1016" i="3" s="1"/>
  <c r="N1013" i="3"/>
  <c r="O1013" i="3" s="1"/>
  <c r="Q1013" i="3" s="1"/>
  <c r="N897" i="3"/>
  <c r="O897" i="3" s="1"/>
  <c r="Q897" i="3"/>
  <c r="AD842" i="3"/>
  <c r="AE842" i="3"/>
  <c r="AG842" i="3" s="1"/>
  <c r="AM842" i="3" s="1"/>
  <c r="N830" i="3"/>
  <c r="O830" i="3" s="1"/>
  <c r="Q830" i="3"/>
  <c r="AD770" i="3"/>
  <c r="AE770" i="3"/>
  <c r="AG770" i="3" s="1"/>
  <c r="AM770" i="3" s="1"/>
  <c r="N749" i="3"/>
  <c r="O749" i="3" s="1"/>
  <c r="Q749" i="3"/>
  <c r="AG999" i="3"/>
  <c r="AM999" i="3"/>
  <c r="AG1140" i="3"/>
  <c r="AM1140" i="3" s="1"/>
  <c r="AG1228" i="3"/>
  <c r="AM1228" i="3"/>
  <c r="AD1131" i="3"/>
  <c r="AE1131" i="3"/>
  <c r="AG1131" i="3" s="1"/>
  <c r="AM1131" i="3" s="1"/>
  <c r="AG857" i="3"/>
  <c r="AM857" i="3" s="1"/>
  <c r="AD849" i="3"/>
  <c r="AE849" i="3" s="1"/>
  <c r="AG849" i="3" s="1"/>
  <c r="AM849" i="3" s="1"/>
  <c r="Q846" i="3"/>
  <c r="AD835" i="3"/>
  <c r="AE835" i="3" s="1"/>
  <c r="AG835" i="3" s="1"/>
  <c r="AM835" i="3" s="1"/>
  <c r="AD733" i="3"/>
  <c r="AE733" i="3" s="1"/>
  <c r="AG743" i="3"/>
  <c r="AM743" i="3" s="1"/>
  <c r="AG1082" i="3"/>
  <c r="AM1082" i="3" s="1"/>
  <c r="N1295" i="3"/>
  <c r="O1295" i="3" s="1"/>
  <c r="Q1295" i="3" s="1"/>
  <c r="AD1264" i="3"/>
  <c r="AE1264" i="3" s="1"/>
  <c r="AG1264" i="3"/>
  <c r="AM1264" i="3" s="1"/>
  <c r="AG670" i="3"/>
  <c r="AM670" i="3" s="1"/>
  <c r="Q778" i="3"/>
  <c r="Q794" i="3"/>
  <c r="N1293" i="3"/>
  <c r="O1293" i="3"/>
  <c r="Q1293" i="3"/>
  <c r="N1278" i="3"/>
  <c r="O1278" i="3"/>
  <c r="Q1278" i="3" s="1"/>
  <c r="N1276" i="3"/>
  <c r="O1276" i="3"/>
  <c r="N1225" i="3"/>
  <c r="O1225" i="3"/>
  <c r="Q1225" i="3" s="1"/>
  <c r="N1202" i="3"/>
  <c r="O1202" i="3" s="1"/>
  <c r="Q1202" i="3" s="1"/>
  <c r="AD1163" i="3"/>
  <c r="AE1163" i="3" s="1"/>
  <c r="AG1163" i="3" s="1"/>
  <c r="AM1163" i="3" s="1"/>
  <c r="N1075" i="3"/>
  <c r="O1075" i="3"/>
  <c r="Q1075" i="3" s="1"/>
  <c r="AD1062" i="3"/>
  <c r="AE1062" i="3"/>
  <c r="AG1062" i="3" s="1"/>
  <c r="AM1062" i="3" s="1"/>
  <c r="AD994" i="3"/>
  <c r="AE994" i="3" s="1"/>
  <c r="AG994" i="3" s="1"/>
  <c r="AM994" i="3" s="1"/>
  <c r="AD976" i="3"/>
  <c r="AE976" i="3" s="1"/>
  <c r="AG976" i="3" s="1"/>
  <c r="AM976" i="3" s="1"/>
  <c r="N926" i="3"/>
  <c r="O926" i="3"/>
  <c r="Q926" i="3"/>
  <c r="AD889" i="3"/>
  <c r="AE889" i="3" s="1"/>
  <c r="AG889" i="3" s="1"/>
  <c r="AM889" i="3" s="1"/>
  <c r="AD884" i="3"/>
  <c r="AE884" i="3" s="1"/>
  <c r="AG884" i="3" s="1"/>
  <c r="AM884" i="3" s="1"/>
  <c r="AD807" i="3"/>
  <c r="AE807" i="3" s="1"/>
  <c r="AG807" i="3" s="1"/>
  <c r="AM807" i="3" s="1"/>
  <c r="AD787" i="3"/>
  <c r="AE787" i="3" s="1"/>
  <c r="AG787" i="3" s="1"/>
  <c r="AM787" i="3" s="1"/>
  <c r="N674" i="3"/>
  <c r="O674" i="3"/>
  <c r="Q674" i="3" s="1"/>
  <c r="AD672" i="3"/>
  <c r="AE672" i="3"/>
  <c r="AG672" i="3" s="1"/>
  <c r="AM672" i="3" s="1"/>
  <c r="AD652" i="3"/>
  <c r="AE652" i="3"/>
  <c r="AG652" i="3" s="1"/>
  <c r="AM652" i="3" s="1"/>
  <c r="AD10" i="3"/>
  <c r="AE10" i="3" s="1"/>
  <c r="AG10" i="3"/>
  <c r="AG15" i="3"/>
  <c r="AM15" i="3" s="1"/>
  <c r="AD11" i="3"/>
  <c r="AE11" i="3"/>
  <c r="AG11" i="3" s="1"/>
  <c r="AM11" i="3" s="1"/>
  <c r="I6" i="10"/>
  <c r="N16" i="3"/>
  <c r="O16" i="3" s="1"/>
  <c r="Q16" i="3" s="1"/>
  <c r="AG16" i="3"/>
  <c r="AM16" i="3" s="1"/>
  <c r="I20" i="10"/>
  <c r="I24" i="10" s="1"/>
  <c r="N12" i="3"/>
  <c r="O12" i="3" s="1"/>
  <c r="Q12" i="3" s="1"/>
  <c r="C18" i="2"/>
  <c r="N10" i="3"/>
  <c r="O10" i="3" s="1"/>
  <c r="Q10" i="3" s="1"/>
  <c r="Q11" i="3"/>
  <c r="H11" i="10"/>
  <c r="G11" i="10"/>
  <c r="E11" i="10"/>
  <c r="I11" i="10"/>
  <c r="D11" i="10"/>
  <c r="F11" i="10"/>
  <c r="I14" i="10"/>
  <c r="F14" i="10"/>
  <c r="H14" i="10"/>
  <c r="D14" i="10"/>
  <c r="E14" i="10"/>
  <c r="G14" i="10"/>
  <c r="H16" i="10"/>
  <c r="G16" i="10"/>
  <c r="F16" i="10"/>
  <c r="E16" i="10"/>
  <c r="I16" i="10"/>
  <c r="D16" i="10"/>
  <c r="I17" i="10"/>
  <c r="F17" i="10"/>
  <c r="D17" i="10"/>
  <c r="E17" i="10"/>
  <c r="G17" i="10"/>
  <c r="F18" i="10"/>
  <c r="I18" i="10"/>
  <c r="G18" i="10"/>
  <c r="H18" i="10"/>
  <c r="D18" i="10"/>
  <c r="G12" i="10"/>
  <c r="F12" i="10"/>
  <c r="I12" i="10"/>
  <c r="F20" i="10"/>
  <c r="E20" i="10"/>
  <c r="D12" i="10"/>
  <c r="H21" i="10"/>
  <c r="I7" i="10"/>
  <c r="I8" i="10"/>
  <c r="D15" i="10"/>
  <c r="D7" i="10"/>
  <c r="D20" i="10"/>
  <c r="E7" i="10"/>
  <c r="F7" i="10"/>
  <c r="G20" i="10"/>
  <c r="H7" i="10"/>
  <c r="C24" i="10"/>
  <c r="E24" i="10"/>
  <c r="D13" i="10"/>
  <c r="Q832" i="3"/>
  <c r="AG854" i="3"/>
  <c r="AM854" i="3" s="1"/>
  <c r="Q1165" i="3"/>
  <c r="AG1124" i="3"/>
  <c r="AM1124" i="3" s="1"/>
  <c r="Q761" i="3"/>
  <c r="Q886" i="3"/>
  <c r="Q1128" i="3"/>
  <c r="Q410" i="3"/>
  <c r="Q486" i="3"/>
  <c r="Q268" i="3"/>
  <c r="AG429" i="3"/>
  <c r="AM429" i="3" s="1"/>
  <c r="AG614" i="3"/>
  <c r="AM614" i="3"/>
  <c r="Q386" i="3"/>
  <c r="AG171" i="3"/>
  <c r="AM171" i="3" s="1"/>
  <c r="AG411" i="3"/>
  <c r="AM411" i="3" s="1"/>
  <c r="AG164" i="3"/>
  <c r="AM164" i="3"/>
  <c r="AG72" i="3"/>
  <c r="AM72" i="3" s="1"/>
  <c r="AG273" i="3"/>
  <c r="AM273" i="3" s="1"/>
  <c r="AG528" i="3"/>
  <c r="AM528" i="3"/>
  <c r="AG974" i="3"/>
  <c r="AM974" i="3" s="1"/>
  <c r="Q562" i="3"/>
  <c r="AG462" i="3"/>
  <c r="AM462" i="3" s="1"/>
  <c r="AG457" i="3"/>
  <c r="AM457" i="3" s="1"/>
  <c r="AG527" i="3"/>
  <c r="AM527" i="3" s="1"/>
  <c r="AG1099" i="3"/>
  <c r="AM1099" i="3"/>
  <c r="Q117" i="3"/>
  <c r="Q141" i="3"/>
  <c r="Q356" i="3"/>
  <c r="AG350" i="3"/>
  <c r="AM350" i="3" s="1"/>
  <c r="AG187" i="3"/>
  <c r="AM187" i="3" s="1"/>
  <c r="Q620" i="3"/>
  <c r="AD74" i="3"/>
  <c r="AE74" i="3" s="1"/>
  <c r="AG74" i="3" s="1"/>
  <c r="AM74" i="3" s="1"/>
  <c r="AF101" i="3"/>
  <c r="Q584" i="3"/>
  <c r="Q23" i="3"/>
  <c r="Q215" i="3"/>
  <c r="Q105" i="3"/>
  <c r="Q341" i="3"/>
  <c r="P14" i="9"/>
  <c r="AD89" i="3"/>
  <c r="AE89" i="3"/>
  <c r="AG89" i="3" s="1"/>
  <c r="AM89" i="3" s="1"/>
  <c r="N93" i="3"/>
  <c r="O93" i="3"/>
  <c r="Q93" i="3" s="1"/>
  <c r="N25" i="3"/>
  <c r="O25" i="3"/>
  <c r="Q25" i="3"/>
  <c r="N37" i="3"/>
  <c r="O37" i="3" s="1"/>
  <c r="Q37" i="3" s="1"/>
  <c r="AD56" i="3"/>
  <c r="AE56" i="3" s="1"/>
  <c r="AG56" i="3" s="1"/>
  <c r="AM56" i="3" s="1"/>
  <c r="AG701" i="3"/>
  <c r="AM701" i="3" s="1"/>
  <c r="Q1241" i="3"/>
  <c r="Q394" i="3"/>
  <c r="Q241" i="3"/>
  <c r="B24" i="10"/>
  <c r="Q617" i="3"/>
  <c r="Q495" i="3"/>
  <c r="Q366" i="3"/>
  <c r="Q13" i="9"/>
  <c r="R13" i="9"/>
  <c r="Q14" i="9" s="1"/>
  <c r="R14" i="9" s="1"/>
  <c r="Q15" i="9" s="1"/>
  <c r="R15" i="9" s="1"/>
  <c r="Q16" i="9" s="1"/>
  <c r="R16" i="9" s="1"/>
  <c r="Q17" i="9" s="1"/>
  <c r="R17" i="9" s="1"/>
  <c r="Q18" i="9" s="1"/>
  <c r="R18" i="9" s="1"/>
  <c r="Q494" i="3"/>
  <c r="N24" i="3"/>
  <c r="O24" i="3" s="1"/>
  <c r="Q24" i="3" s="1"/>
  <c r="N67" i="3"/>
  <c r="O67" i="3"/>
  <c r="N82" i="3"/>
  <c r="O82" i="3" s="1"/>
  <c r="Q82" i="3" s="1"/>
  <c r="N255" i="3"/>
  <c r="O255" i="3" s="1"/>
  <c r="Q255" i="3" s="1"/>
  <c r="AF352" i="3"/>
  <c r="S165" i="4"/>
  <c r="S168" i="4"/>
  <c r="S171" i="4"/>
  <c r="S174" i="4"/>
  <c r="S177" i="4"/>
  <c r="S206" i="4"/>
  <c r="S239" i="4"/>
  <c r="S324" i="4"/>
  <c r="S363" i="4"/>
  <c r="AG100" i="3"/>
  <c r="AM100" i="3" s="1"/>
  <c r="N151" i="3"/>
  <c r="O151" i="3"/>
  <c r="N223" i="3"/>
  <c r="O223" i="3"/>
  <c r="Q223" i="3" s="1"/>
  <c r="N380" i="3"/>
  <c r="O380" i="3"/>
  <c r="Q380" i="3" s="1"/>
  <c r="S45" i="4"/>
  <c r="S57" i="4"/>
  <c r="S60" i="4"/>
  <c r="S63" i="4"/>
  <c r="P159" i="4"/>
  <c r="Q159" i="4"/>
  <c r="S215" i="4"/>
  <c r="S267" i="4"/>
  <c r="N167" i="3"/>
  <c r="O167" i="3"/>
  <c r="Q167" i="3"/>
  <c r="N243" i="3"/>
  <c r="O243" i="3"/>
  <c r="Q243" i="3" s="1"/>
  <c r="P114" i="4"/>
  <c r="Q114" i="4"/>
  <c r="P154" i="4"/>
  <c r="Q154" i="4"/>
  <c r="P201" i="4"/>
  <c r="Q201" i="4"/>
  <c r="S292" i="4"/>
  <c r="S341" i="4"/>
  <c r="N104" i="3"/>
  <c r="O104" i="3" s="1"/>
  <c r="Q104" i="3" s="1"/>
  <c r="AD260" i="3"/>
  <c r="AE260" i="3" s="1"/>
  <c r="AG260" i="3" s="1"/>
  <c r="AM260" i="3" s="1"/>
  <c r="AD186" i="3"/>
  <c r="AE186" i="3" s="1"/>
  <c r="AG186" i="3" s="1"/>
  <c r="AM186" i="3" s="1"/>
  <c r="N264" i="3"/>
  <c r="O264" i="3"/>
  <c r="Q264" i="3"/>
  <c r="S17" i="4"/>
  <c r="S20" i="4"/>
  <c r="S23" i="4"/>
  <c r="S31" i="4"/>
  <c r="S34" i="4"/>
  <c r="S40" i="4"/>
  <c r="S43" i="4"/>
  <c r="S69" i="4"/>
  <c r="S72" i="4"/>
  <c r="P80" i="4"/>
  <c r="Q80" i="4"/>
  <c r="S123" i="4"/>
  <c r="S210" i="4"/>
  <c r="S213" i="4"/>
  <c r="S240" i="4"/>
  <c r="S262" i="4"/>
  <c r="S350" i="4"/>
  <c r="S155" i="4"/>
  <c r="S158" i="4"/>
  <c r="P169" i="4"/>
  <c r="Q169" i="4" s="1"/>
  <c r="S199" i="4"/>
  <c r="P207" i="4"/>
  <c r="Q207" i="4"/>
  <c r="S221" i="4"/>
  <c r="S249" i="4"/>
  <c r="S265" i="4"/>
  <c r="S290" i="4"/>
  <c r="S304" i="4"/>
  <c r="S353" i="4"/>
  <c r="Q1286" i="3"/>
  <c r="N86" i="3"/>
  <c r="O86" i="3" s="1"/>
  <c r="Q86" i="3" s="1"/>
  <c r="N164" i="3"/>
  <c r="O164" i="3"/>
  <c r="Q164" i="3" s="1"/>
  <c r="P49" i="4"/>
  <c r="Q49" i="4" s="1"/>
  <c r="P52" i="4"/>
  <c r="Q52" i="4" s="1"/>
  <c r="S98" i="4"/>
  <c r="S101" i="4"/>
  <c r="S104" i="4"/>
  <c r="P110" i="4"/>
  <c r="Q110" i="4"/>
  <c r="P126" i="4"/>
  <c r="Q126" i="4" s="1"/>
  <c r="P155" i="4"/>
  <c r="Q155" i="4" s="1"/>
  <c r="S235" i="4"/>
  <c r="AD111" i="3"/>
  <c r="AE111" i="3" s="1"/>
  <c r="AG111" i="3" s="1"/>
  <c r="AM111" i="3" s="1"/>
  <c r="S21" i="4"/>
  <c r="S24" i="4"/>
  <c r="S32" i="4"/>
  <c r="S70" i="4"/>
  <c r="S73" i="4"/>
  <c r="P111" i="4"/>
  <c r="Q111" i="4" s="1"/>
  <c r="S121" i="4"/>
  <c r="S124" i="4"/>
  <c r="S194" i="4"/>
  <c r="S244" i="4"/>
  <c r="S56" i="4"/>
  <c r="S62" i="4"/>
  <c r="S318" i="4"/>
  <c r="S371" i="4"/>
  <c r="P67" i="3"/>
  <c r="AD291" i="3"/>
  <c r="AE291" i="3" s="1"/>
  <c r="AG291" i="3" s="1"/>
  <c r="AM291" i="3" s="1"/>
  <c r="P53" i="4"/>
  <c r="Q53" i="4" s="1"/>
  <c r="P150" i="4"/>
  <c r="Q150" i="4" s="1"/>
  <c r="S203" i="4"/>
  <c r="S272" i="4"/>
  <c r="S275" i="4"/>
  <c r="S305" i="4"/>
  <c r="S310" i="4"/>
  <c r="S321" i="4"/>
  <c r="S340" i="4"/>
  <c r="S357" i="4"/>
  <c r="S374" i="4"/>
  <c r="S377" i="4"/>
  <c r="AG1276" i="3"/>
  <c r="AM1276" i="3" s="1"/>
  <c r="N569" i="3"/>
  <c r="O569" i="3" s="1"/>
  <c r="Q569" i="3" s="1"/>
  <c r="N557" i="3"/>
  <c r="O557" i="3" s="1"/>
  <c r="Q557" i="3" s="1"/>
  <c r="AD406" i="3"/>
  <c r="AE406" i="3" s="1"/>
  <c r="AG406" i="3" s="1"/>
  <c r="AM406" i="3" s="1"/>
  <c r="N401" i="3"/>
  <c r="O401" i="3"/>
  <c r="Q401" i="3" s="1"/>
  <c r="Q658" i="3"/>
  <c r="Q1205" i="3"/>
  <c r="N1317" i="3"/>
  <c r="O1317" i="3"/>
  <c r="Q1317" i="3"/>
  <c r="N1314" i="3"/>
  <c r="O1314" i="3" s="1"/>
  <c r="Q1314" i="3" s="1"/>
  <c r="N1303" i="3"/>
  <c r="O1303" i="3"/>
  <c r="Q1303" i="3" s="1"/>
  <c r="N1272" i="3"/>
  <c r="O1272" i="3" s="1"/>
  <c r="Q1272" i="3" s="1"/>
  <c r="N1246" i="3"/>
  <c r="O1246" i="3"/>
  <c r="Q1246" i="3" s="1"/>
  <c r="N1244" i="3"/>
  <c r="O1244" i="3" s="1"/>
  <c r="Q1244" i="3" s="1"/>
  <c r="AD1222" i="3"/>
  <c r="AE1222" i="3" s="1"/>
  <c r="AG1222" i="3" s="1"/>
  <c r="AM1222" i="3" s="1"/>
  <c r="AF1222" i="3"/>
  <c r="N1216" i="3"/>
  <c r="O1216" i="3"/>
  <c r="Q1216" i="3"/>
  <c r="N1091" i="3"/>
  <c r="O1091" i="3" s="1"/>
  <c r="Q1091" i="3" s="1"/>
  <c r="AD1041" i="3"/>
  <c r="AE1041" i="3" s="1"/>
  <c r="AG1041" i="3" s="1"/>
  <c r="AM1041" i="3" s="1"/>
  <c r="Q631" i="3"/>
  <c r="P601" i="3"/>
  <c r="AD1090" i="3"/>
  <c r="AE1090" i="3" s="1"/>
  <c r="AG1090" i="3" s="1"/>
  <c r="AM1090" i="3" s="1"/>
  <c r="Q1306" i="3"/>
  <c r="AG1108" i="3"/>
  <c r="AM1108" i="3" s="1"/>
  <c r="N1010" i="3"/>
  <c r="O1010" i="3"/>
  <c r="Q1010" i="3" s="1"/>
  <c r="AD516" i="3"/>
  <c r="AE516" i="3" s="1"/>
  <c r="AG516" i="3" s="1"/>
  <c r="AM516" i="3" s="1"/>
  <c r="N423" i="3"/>
  <c r="O423" i="3"/>
  <c r="Q423" i="3" s="1"/>
  <c r="Q922" i="3"/>
  <c r="AD1318" i="3"/>
  <c r="AE1318" i="3" s="1"/>
  <c r="AG1318" i="3" s="1"/>
  <c r="AM1318" i="3" s="1"/>
  <c r="AD1236" i="3"/>
  <c r="AE1236" i="3" s="1"/>
  <c r="AG1236" i="3" s="1"/>
  <c r="AM1236" i="3"/>
  <c r="N1224" i="3"/>
  <c r="O1224" i="3" s="1"/>
  <c r="Q1224" i="3" s="1"/>
  <c r="AG1077" i="3"/>
  <c r="AM1077" i="3" s="1"/>
  <c r="Q990" i="3"/>
  <c r="N406" i="3"/>
  <c r="O406" i="3"/>
  <c r="Q406" i="3" s="1"/>
  <c r="AD389" i="3"/>
  <c r="AE389" i="3" s="1"/>
  <c r="AG389" i="3" s="1"/>
  <c r="AM389" i="3" s="1"/>
  <c r="N1312" i="3"/>
  <c r="O1312" i="3" s="1"/>
  <c r="Q1312" i="3"/>
  <c r="AD602" i="3"/>
  <c r="AE602" i="3"/>
  <c r="AG602" i="3"/>
  <c r="AM602" i="3" s="1"/>
  <c r="AD566" i="3"/>
  <c r="AE566" i="3" s="1"/>
  <c r="AG566" i="3" s="1"/>
  <c r="AM566" i="3" s="1"/>
  <c r="AD468" i="3"/>
  <c r="AE468" i="3" s="1"/>
  <c r="AG468" i="3" s="1"/>
  <c r="AM468" i="3" s="1"/>
  <c r="N448" i="3"/>
  <c r="O448" i="3"/>
  <c r="Q448" i="3"/>
  <c r="Q650" i="3"/>
  <c r="Q1071" i="3"/>
  <c r="Q1276" i="3"/>
  <c r="N1259" i="3"/>
  <c r="O1259" i="3"/>
  <c r="P1259" i="3"/>
  <c r="AG1088" i="3"/>
  <c r="AM1088" i="3" s="1"/>
  <c r="E18" i="10"/>
  <c r="N546" i="3"/>
  <c r="O546" i="3"/>
  <c r="Q546" i="3"/>
  <c r="N518" i="3"/>
  <c r="O518" i="3" s="1"/>
  <c r="Q518" i="3" s="1"/>
  <c r="S110" i="4"/>
  <c r="S116" i="4"/>
  <c r="AG748" i="3"/>
  <c r="AM748" i="3" s="1"/>
  <c r="AD1299" i="3"/>
  <c r="AE1299" i="3"/>
  <c r="AG1299" i="3" s="1"/>
  <c r="AM1299" i="3" s="1"/>
  <c r="N1290" i="3"/>
  <c r="O1290" i="3" s="1"/>
  <c r="Q1290" i="3" s="1"/>
  <c r="AD1286" i="3"/>
  <c r="AE1286" i="3" s="1"/>
  <c r="AG1286" i="3" s="1"/>
  <c r="AM1286" i="3" s="1"/>
  <c r="AD1277" i="3"/>
  <c r="AE1277" i="3" s="1"/>
  <c r="N1247" i="3"/>
  <c r="O1247" i="3"/>
  <c r="Q1247" i="3"/>
  <c r="N1177" i="3"/>
  <c r="O1177" i="3" s="1"/>
  <c r="H17" i="10"/>
  <c r="Q1251" i="3"/>
  <c r="AF1114" i="3"/>
  <c r="AD1114" i="3"/>
  <c r="AE1114" i="3" s="1"/>
  <c r="AG1114" i="3" s="1"/>
  <c r="AM1114" i="3" s="1"/>
  <c r="Q1009" i="3"/>
  <c r="AD507" i="3"/>
  <c r="AE507" i="3" s="1"/>
  <c r="AG507" i="3" s="1"/>
  <c r="AM507" i="3" s="1"/>
  <c r="N387" i="3"/>
  <c r="O387" i="3" s="1"/>
  <c r="Q387" i="3" s="1"/>
  <c r="S111" i="4"/>
  <c r="S117" i="4"/>
  <c r="AG818" i="3"/>
  <c r="AM818" i="3" s="1"/>
  <c r="Q1239" i="3"/>
  <c r="AD1178" i="3"/>
  <c r="AE1178" i="3"/>
  <c r="AG1178" i="3"/>
  <c r="AM1178" i="3" s="1"/>
  <c r="AD619" i="3"/>
  <c r="AE619" i="3" s="1"/>
  <c r="AG619" i="3" s="1"/>
  <c r="AM619" i="3" s="1"/>
  <c r="AD584" i="3"/>
  <c r="AE584" i="3"/>
  <c r="AG584" i="3" s="1"/>
  <c r="AM584" i="3" s="1"/>
  <c r="N534" i="3"/>
  <c r="O534" i="3"/>
  <c r="Q534" i="3" s="1"/>
  <c r="N501" i="3"/>
  <c r="O501" i="3" s="1"/>
  <c r="Q501" i="3" s="1"/>
  <c r="N383" i="3"/>
  <c r="O383" i="3" s="1"/>
  <c r="Q383" i="3"/>
  <c r="Q1221" i="3"/>
  <c r="AD1278" i="3"/>
  <c r="AE1278" i="3" s="1"/>
  <c r="AG1204" i="3"/>
  <c r="AM1204" i="3" s="1"/>
  <c r="AD1164" i="3"/>
  <c r="AE1164" i="3"/>
  <c r="AG1164" i="3" s="1"/>
  <c r="AM1164" i="3" s="1"/>
  <c r="AD1158" i="3"/>
  <c r="AE1158" i="3" s="1"/>
  <c r="AG1158" i="3" s="1"/>
  <c r="AM1158" i="3" s="1"/>
  <c r="AF1107" i="3"/>
  <c r="AD1107" i="3"/>
  <c r="AE1107" i="3" s="1"/>
  <c r="AG1107" i="3" s="1"/>
  <c r="AM1107" i="3" s="1"/>
  <c r="Q571" i="3"/>
  <c r="AG1289" i="3"/>
  <c r="AM1289" i="3" s="1"/>
  <c r="N1280" i="3"/>
  <c r="O1280" i="3" s="1"/>
  <c r="AD1268" i="3"/>
  <c r="AE1268" i="3" s="1"/>
  <c r="AG1268" i="3" s="1"/>
  <c r="AM1268" i="3" s="1"/>
  <c r="AD1242" i="3"/>
  <c r="AE1242" i="3"/>
  <c r="AG1242" i="3" s="1"/>
  <c r="AM1242" i="3" s="1"/>
  <c r="N1212" i="3"/>
  <c r="O1212" i="3" s="1"/>
  <c r="Q1212" i="3"/>
  <c r="AD1091" i="3"/>
  <c r="AE1091" i="3" s="1"/>
  <c r="AG1091" i="3" s="1"/>
  <c r="AM1091" i="3" s="1"/>
  <c r="N1084" i="3"/>
  <c r="O1084" i="3"/>
  <c r="Q1084" i="3"/>
  <c r="N1016" i="3"/>
  <c r="O1016" i="3"/>
  <c r="Q1016" i="3" s="1"/>
  <c r="N1004" i="3"/>
  <c r="O1004" i="3"/>
  <c r="Q1004" i="3" s="1"/>
  <c r="AD993" i="3"/>
  <c r="AE993" i="3" s="1"/>
  <c r="AG993" i="3" s="1"/>
  <c r="AM993" i="3" s="1"/>
  <c r="AD981" i="3"/>
  <c r="AE981" i="3"/>
  <c r="AG981" i="3" s="1"/>
  <c r="AM981" i="3" s="1"/>
  <c r="N943" i="3"/>
  <c r="O943" i="3" s="1"/>
  <c r="Q943" i="3"/>
  <c r="AD929" i="3"/>
  <c r="AE929" i="3" s="1"/>
  <c r="AG929" i="3" s="1"/>
  <c r="AM929" i="3" s="1"/>
  <c r="N908" i="3"/>
  <c r="O908" i="3"/>
  <c r="Q908" i="3" s="1"/>
  <c r="N850" i="3"/>
  <c r="O850" i="3" s="1"/>
  <c r="Q850" i="3" s="1"/>
  <c r="AD682" i="3"/>
  <c r="AE682" i="3" s="1"/>
  <c r="AG682" i="3" s="1"/>
  <c r="AM682" i="3" s="1"/>
  <c r="N673" i="3"/>
  <c r="O673" i="3"/>
  <c r="Q673" i="3" s="1"/>
  <c r="AD632" i="3"/>
  <c r="AE632" i="3" s="1"/>
  <c r="AG632" i="3" s="1"/>
  <c r="AM632" i="3" s="1"/>
  <c r="AG797" i="3"/>
  <c r="AM797" i="3" s="1"/>
  <c r="Q767" i="3"/>
  <c r="AD1177" i="3"/>
  <c r="AE1177" i="3" s="1"/>
  <c r="AG1177" i="3" s="1"/>
  <c r="AM1177" i="3" s="1"/>
  <c r="N1163" i="3"/>
  <c r="O1163" i="3" s="1"/>
  <c r="Q1163" i="3" s="1"/>
  <c r="N1100" i="3"/>
  <c r="O1100" i="3" s="1"/>
  <c r="Q1100" i="3" s="1"/>
  <c r="AD1080" i="3"/>
  <c r="AE1080" i="3" s="1"/>
  <c r="AD1036" i="3"/>
  <c r="AE1036" i="3" s="1"/>
  <c r="AG1036" i="3" s="1"/>
  <c r="AM1036" i="3" s="1"/>
  <c r="AD1029" i="3"/>
  <c r="AE1029" i="3"/>
  <c r="AG1029" i="3" s="1"/>
  <c r="AM1029" i="3" s="1"/>
  <c r="N969" i="3"/>
  <c r="O969" i="3" s="1"/>
  <c r="Q969" i="3" s="1"/>
  <c r="N951" i="3"/>
  <c r="O951" i="3"/>
  <c r="AF849" i="3"/>
  <c r="AD804" i="3"/>
  <c r="AE804" i="3" s="1"/>
  <c r="AG804" i="3"/>
  <c r="AM804" i="3" s="1"/>
  <c r="N793" i="3"/>
  <c r="O793" i="3"/>
  <c r="Q793" i="3" s="1"/>
  <c r="N637" i="3"/>
  <c r="O637" i="3"/>
  <c r="AD630" i="3"/>
  <c r="AE630" i="3" s="1"/>
  <c r="AG630" i="3" s="1"/>
  <c r="AM630" i="3" s="1"/>
  <c r="AI356" i="4"/>
  <c r="AO356" i="4"/>
  <c r="AH322" i="4"/>
  <c r="AF322" i="4"/>
  <c r="AG322" i="4"/>
  <c r="N1213" i="3"/>
  <c r="O1213" i="3" s="1"/>
  <c r="Q1213" i="3" s="1"/>
  <c r="N1098" i="3"/>
  <c r="O1098" i="3"/>
  <c r="Q1098" i="3" s="1"/>
  <c r="AF1092" i="3"/>
  <c r="N1007" i="3"/>
  <c r="O1007" i="3"/>
  <c r="Q1007" i="3"/>
  <c r="AD819" i="3"/>
  <c r="AE819" i="3" s="1"/>
  <c r="AG819" i="3" s="1"/>
  <c r="AM819" i="3" s="1"/>
  <c r="AD816" i="3"/>
  <c r="AE816" i="3" s="1"/>
  <c r="AG816" i="3" s="1"/>
  <c r="AM816" i="3" s="1"/>
  <c r="N784" i="3"/>
  <c r="O784" i="3" s="1"/>
  <c r="Q784" i="3" s="1"/>
  <c r="AD633" i="3"/>
  <c r="AE633" i="3"/>
  <c r="AG633" i="3" s="1"/>
  <c r="AM633" i="3" s="1"/>
  <c r="AF362" i="4"/>
  <c r="AG362" i="4"/>
  <c r="AH179" i="4"/>
  <c r="AF179" i="4"/>
  <c r="AG179" i="4" s="1"/>
  <c r="AH166" i="4"/>
  <c r="AF166" i="4"/>
  <c r="AG166" i="4"/>
  <c r="AD1053" i="3"/>
  <c r="AE1053" i="3" s="1"/>
  <c r="AG1053" i="3" s="1"/>
  <c r="AM1053" i="3" s="1"/>
  <c r="AD920" i="3"/>
  <c r="AE920" i="3" s="1"/>
  <c r="AG920" i="3" s="1"/>
  <c r="AM920" i="3" s="1"/>
  <c r="AD900" i="3"/>
  <c r="AE900" i="3" s="1"/>
  <c r="AG900" i="3" s="1"/>
  <c r="AM900" i="3" s="1"/>
  <c r="N889" i="3"/>
  <c r="O889" i="3"/>
  <c r="Q889" i="3" s="1"/>
  <c r="N751" i="3"/>
  <c r="O751" i="3" s="1"/>
  <c r="Q751" i="3" s="1"/>
  <c r="Q710" i="3"/>
  <c r="AI264" i="4"/>
  <c r="AO264" i="4"/>
  <c r="AF233" i="4"/>
  <c r="AG233" i="4"/>
  <c r="N1258" i="3"/>
  <c r="O1258" i="3" s="1"/>
  <c r="Q1258" i="3"/>
  <c r="N1211" i="3"/>
  <c r="O1211" i="3"/>
  <c r="Q1211" i="3" s="1"/>
  <c r="AD1175" i="3"/>
  <c r="AE1175" i="3" s="1"/>
  <c r="AG1175" i="3" s="1"/>
  <c r="AM1175" i="3" s="1"/>
  <c r="N1171" i="3"/>
  <c r="O1171" i="3"/>
  <c r="Q1171" i="3" s="1"/>
  <c r="AD1162" i="3"/>
  <c r="AE1162" i="3"/>
  <c r="AG1162" i="3" s="1"/>
  <c r="AM1162" i="3" s="1"/>
  <c r="N1159" i="3"/>
  <c r="O1159" i="3"/>
  <c r="Q1159" i="3" s="1"/>
  <c r="AD1157" i="3"/>
  <c r="AE1157" i="3" s="1"/>
  <c r="AG1157" i="3" s="1"/>
  <c r="AM1157" i="3" s="1"/>
  <c r="N1148" i="3"/>
  <c r="O1148" i="3" s="1"/>
  <c r="Q1148" i="3" s="1"/>
  <c r="N1114" i="3"/>
  <c r="O1114" i="3"/>
  <c r="Q1114" i="3" s="1"/>
  <c r="N1101" i="3"/>
  <c r="O1101" i="3" s="1"/>
  <c r="Q1101" i="3" s="1"/>
  <c r="N1050" i="3"/>
  <c r="O1050" i="3"/>
  <c r="Q1050" i="3"/>
  <c r="N978" i="3"/>
  <c r="O978" i="3" s="1"/>
  <c r="Q978" i="3"/>
  <c r="AD937" i="3"/>
  <c r="AE937" i="3"/>
  <c r="AG937" i="3" s="1"/>
  <c r="AM937" i="3" s="1"/>
  <c r="AD877" i="3"/>
  <c r="AE877" i="3"/>
  <c r="AG877" i="3"/>
  <c r="AM877" i="3" s="1"/>
  <c r="AD874" i="3"/>
  <c r="AE874" i="3" s="1"/>
  <c r="AG874" i="3" s="1"/>
  <c r="AM874" i="3" s="1"/>
  <c r="AD822" i="3"/>
  <c r="AE822" i="3" s="1"/>
  <c r="AG822" i="3" s="1"/>
  <c r="AM822" i="3" s="1"/>
  <c r="P816" i="3"/>
  <c r="AD790" i="3"/>
  <c r="AE790" i="3" s="1"/>
  <c r="AG790" i="3" s="1"/>
  <c r="AM790" i="3" s="1"/>
  <c r="AD772" i="3"/>
  <c r="AE772" i="3" s="1"/>
  <c r="AG772" i="3" s="1"/>
  <c r="AM772" i="3" s="1"/>
  <c r="N771" i="3"/>
  <c r="O771" i="3" s="1"/>
  <c r="Q771" i="3"/>
  <c r="N759" i="3"/>
  <c r="O759" i="3"/>
  <c r="Q759" i="3" s="1"/>
  <c r="N692" i="3"/>
  <c r="O692" i="3" s="1"/>
  <c r="Q692" i="3"/>
  <c r="Q776" i="3"/>
  <c r="N754" i="3"/>
  <c r="O754" i="3" s="1"/>
  <c r="Q754" i="3"/>
  <c r="AD729" i="3"/>
  <c r="AE729" i="3" s="1"/>
  <c r="AG729" i="3" s="1"/>
  <c r="AM729" i="3" s="1"/>
  <c r="AD722" i="3"/>
  <c r="AE722" i="3" s="1"/>
  <c r="AG722" i="3" s="1"/>
  <c r="AM722" i="3" s="1"/>
  <c r="AD714" i="3"/>
  <c r="AE714" i="3"/>
  <c r="AG714" i="3" s="1"/>
  <c r="AM714" i="3" s="1"/>
  <c r="AI383" i="4"/>
  <c r="AO383" i="4" s="1"/>
  <c r="AI340" i="4"/>
  <c r="AO340" i="4"/>
  <c r="AF334" i="4"/>
  <c r="AG334" i="4" s="1"/>
  <c r="N1269" i="3"/>
  <c r="O1269" i="3" s="1"/>
  <c r="Q1269" i="3" s="1"/>
  <c r="AD1265" i="3"/>
  <c r="AE1265" i="3" s="1"/>
  <c r="AG1265" i="3" s="1"/>
  <c r="AM1265" i="3" s="1"/>
  <c r="Q1177" i="3"/>
  <c r="N1137" i="3"/>
  <c r="O1137" i="3"/>
  <c r="Q1137" i="3" s="1"/>
  <c r="AD1030" i="3"/>
  <c r="AE1030" i="3"/>
  <c r="AG1030" i="3" s="1"/>
  <c r="AM1030" i="3" s="1"/>
  <c r="AD1021" i="3"/>
  <c r="AE1021" i="3"/>
  <c r="AG1021" i="3" s="1"/>
  <c r="AM1021" i="3" s="1"/>
  <c r="AF972" i="3"/>
  <c r="AG972" i="3" s="1"/>
  <c r="AM972" i="3" s="1"/>
  <c r="P971" i="3"/>
  <c r="Q971" i="3" s="1"/>
  <c r="N939" i="3"/>
  <c r="O939" i="3" s="1"/>
  <c r="Q939" i="3" s="1"/>
  <c r="AD885" i="3"/>
  <c r="AE885" i="3" s="1"/>
  <c r="AG885" i="3" s="1"/>
  <c r="AM885" i="3" s="1"/>
  <c r="AF875" i="3"/>
  <c r="AG875" i="3"/>
  <c r="AM875" i="3" s="1"/>
  <c r="AD850" i="3"/>
  <c r="AE850" i="3"/>
  <c r="AG850" i="3" s="1"/>
  <c r="AM850" i="3" s="1"/>
  <c r="P849" i="3"/>
  <c r="N812" i="3"/>
  <c r="O812" i="3" s="1"/>
  <c r="Q812" i="3" s="1"/>
  <c r="AD745" i="3"/>
  <c r="AE745" i="3" s="1"/>
  <c r="AG745" i="3" s="1"/>
  <c r="AM745" i="3" s="1"/>
  <c r="AF733" i="3"/>
  <c r="N728" i="3"/>
  <c r="O728" i="3" s="1"/>
  <c r="Q728" i="3" s="1"/>
  <c r="AD709" i="3"/>
  <c r="AE709" i="3"/>
  <c r="N666" i="3"/>
  <c r="O666" i="3" s="1"/>
  <c r="Q666" i="3" s="1"/>
  <c r="N643" i="3"/>
  <c r="O643" i="3" s="1"/>
  <c r="Q643" i="3" s="1"/>
  <c r="AD634" i="3"/>
  <c r="AE634" i="3"/>
  <c r="AG634" i="3" s="1"/>
  <c r="AM634" i="3" s="1"/>
  <c r="AF305" i="4"/>
  <c r="AG305" i="4"/>
  <c r="N1254" i="3"/>
  <c r="O1254" i="3"/>
  <c r="Q1254" i="3" s="1"/>
  <c r="AD1225" i="3"/>
  <c r="AE1225" i="3" s="1"/>
  <c r="AG1225" i="3" s="1"/>
  <c r="AM1225" i="3" s="1"/>
  <c r="N1044" i="3"/>
  <c r="O1044" i="3" s="1"/>
  <c r="Q1044" i="3" s="1"/>
  <c r="AD1004" i="3"/>
  <c r="AE1004" i="3" s="1"/>
  <c r="AG1004" i="3" s="1"/>
  <c r="AM1004" i="3" s="1"/>
  <c r="AD914" i="3"/>
  <c r="AE914" i="3" s="1"/>
  <c r="AG914" i="3" s="1"/>
  <c r="AM914" i="3"/>
  <c r="AD883" i="3"/>
  <c r="AE883" i="3" s="1"/>
  <c r="AG883" i="3" s="1"/>
  <c r="AM883" i="3" s="1"/>
  <c r="AD823" i="3"/>
  <c r="AE823" i="3"/>
  <c r="AG823" i="3" s="1"/>
  <c r="AM823" i="3" s="1"/>
  <c r="N805" i="3"/>
  <c r="O805" i="3" s="1"/>
  <c r="Q805" i="3" s="1"/>
  <c r="AD803" i="3"/>
  <c r="AE803" i="3" s="1"/>
  <c r="AG803" i="3" s="1"/>
  <c r="AM803" i="3" s="1"/>
  <c r="AF738" i="3"/>
  <c r="AD730" i="3"/>
  <c r="AE730" i="3"/>
  <c r="AG730" i="3" s="1"/>
  <c r="AM730" i="3" s="1"/>
  <c r="N641" i="3"/>
  <c r="O641" i="3"/>
  <c r="Q641" i="3" s="1"/>
  <c r="AF251" i="4"/>
  <c r="AG251" i="4" s="1"/>
  <c r="AD1116" i="3"/>
  <c r="AE1116" i="3" s="1"/>
  <c r="AG1116" i="3"/>
  <c r="AM1116" i="3" s="1"/>
  <c r="AD758" i="3"/>
  <c r="AE758" i="3" s="1"/>
  <c r="AG758" i="3" s="1"/>
  <c r="AM758" i="3" s="1"/>
  <c r="AF323" i="4"/>
  <c r="AG323" i="4" s="1"/>
  <c r="AF317" i="4"/>
  <c r="AG317" i="4" s="1"/>
  <c r="AH317" i="4"/>
  <c r="AH209" i="4"/>
  <c r="AF209" i="4"/>
  <c r="AG209" i="4"/>
  <c r="AH144" i="4"/>
  <c r="AI216" i="4"/>
  <c r="AO216" i="4"/>
  <c r="AI171" i="4"/>
  <c r="AO171" i="4"/>
  <c r="AF164" i="4"/>
  <c r="AG164" i="4"/>
  <c r="AF148" i="4"/>
  <c r="AG148" i="4"/>
  <c r="AF139" i="4"/>
  <c r="AG139" i="4" s="1"/>
  <c r="AI119" i="4"/>
  <c r="AO119" i="4"/>
  <c r="AF106" i="4"/>
  <c r="AG106" i="4"/>
  <c r="AF74" i="4"/>
  <c r="AG74" i="4"/>
  <c r="AF69" i="4"/>
  <c r="AG69" i="4"/>
  <c r="AF44" i="4"/>
  <c r="AG44" i="4"/>
  <c r="AF18" i="4"/>
  <c r="AG18" i="4" s="1"/>
  <c r="AH13" i="4"/>
  <c r="AI377" i="4"/>
  <c r="AO377" i="4" s="1"/>
  <c r="AF374" i="4"/>
  <c r="AG374" i="4" s="1"/>
  <c r="AI360" i="4"/>
  <c r="AO360" i="4" s="1"/>
  <c r="AF347" i="4"/>
  <c r="AG347" i="4" s="1"/>
  <c r="AI337" i="4"/>
  <c r="AO337" i="4"/>
  <c r="AI332" i="4"/>
  <c r="AO332" i="4" s="1"/>
  <c r="AF311" i="4"/>
  <c r="AG311" i="4" s="1"/>
  <c r="AF293" i="4"/>
  <c r="AG293" i="4" s="1"/>
  <c r="AI289" i="4"/>
  <c r="AO289" i="4" s="1"/>
  <c r="AI284" i="4"/>
  <c r="AO284" i="4" s="1"/>
  <c r="AF258" i="4"/>
  <c r="AG258" i="4"/>
  <c r="AI251" i="4"/>
  <c r="AO251" i="4" s="1"/>
  <c r="AI240" i="4"/>
  <c r="AO240" i="4" s="1"/>
  <c r="AI235" i="4"/>
  <c r="AO235" i="4" s="1"/>
  <c r="AF224" i="4"/>
  <c r="AG224" i="4" s="1"/>
  <c r="AI211" i="4"/>
  <c r="AO211" i="4" s="1"/>
  <c r="AF198" i="4"/>
  <c r="AG198" i="4"/>
  <c r="AF168" i="4"/>
  <c r="AG168" i="4"/>
  <c r="AF159" i="4"/>
  <c r="AG159" i="4" s="1"/>
  <c r="AI157" i="4"/>
  <c r="AO157" i="4" s="1"/>
  <c r="AF154" i="4"/>
  <c r="AG154" i="4" s="1"/>
  <c r="AI139" i="4"/>
  <c r="AO139" i="4" s="1"/>
  <c r="AI123" i="4"/>
  <c r="AO123" i="4"/>
  <c r="AI104" i="4"/>
  <c r="AO104" i="4" s="1"/>
  <c r="AF94" i="4"/>
  <c r="AG94" i="4" s="1"/>
  <c r="AF87" i="4"/>
  <c r="AG87" i="4" s="1"/>
  <c r="AI74" i="4"/>
  <c r="AO74" i="4" s="1"/>
  <c r="AI69" i="4"/>
  <c r="AO69" i="4" s="1"/>
  <c r="AF62" i="4"/>
  <c r="AG62" i="4"/>
  <c r="AF39" i="4"/>
  <c r="AG39" i="4" s="1"/>
  <c r="AF34" i="4"/>
  <c r="AG34" i="4" s="1"/>
  <c r="AF32" i="4"/>
  <c r="AG32" i="4" s="1"/>
  <c r="AI311" i="4"/>
  <c r="AO311" i="4" s="1"/>
  <c r="AI307" i="4"/>
  <c r="AO307" i="4" s="1"/>
  <c r="AI293" i="4"/>
  <c r="AO293" i="4"/>
  <c r="AI279" i="4"/>
  <c r="AO279" i="4"/>
  <c r="AI198" i="4"/>
  <c r="AO198" i="4" s="1"/>
  <c r="AI166" i="4"/>
  <c r="AO166" i="4" s="1"/>
  <c r="AH156" i="4"/>
  <c r="AF136" i="4"/>
  <c r="AG136" i="4"/>
  <c r="AH120" i="4"/>
  <c r="AH103" i="4"/>
  <c r="AI87" i="4"/>
  <c r="AO87" i="4"/>
  <c r="AI64" i="4"/>
  <c r="AO64" i="4" s="1"/>
  <c r="AI62" i="4"/>
  <c r="AO62" i="4"/>
  <c r="AF55" i="4"/>
  <c r="AG55" i="4"/>
  <c r="AI46" i="4"/>
  <c r="AO46" i="4"/>
  <c r="AI32" i="4"/>
  <c r="AO32" i="4"/>
  <c r="AH22" i="4"/>
  <c r="AF368" i="4"/>
  <c r="AG368" i="4"/>
  <c r="AI334" i="4"/>
  <c r="AO334" i="4" s="1"/>
  <c r="AF202" i="4"/>
  <c r="AG202" i="4" s="1"/>
  <c r="AF172" i="4"/>
  <c r="AG172" i="4" s="1"/>
  <c r="AI134" i="4"/>
  <c r="AO134" i="4" s="1"/>
  <c r="AI132" i="4"/>
  <c r="AO132" i="4" s="1"/>
  <c r="AF124" i="4"/>
  <c r="AG124" i="4"/>
  <c r="AF110" i="4"/>
  <c r="AG110" i="4" s="1"/>
  <c r="AF101" i="4"/>
  <c r="AG101" i="4" s="1"/>
  <c r="AF89" i="4"/>
  <c r="AG89" i="4" s="1"/>
  <c r="AF84" i="4"/>
  <c r="AG84" i="4" s="1"/>
  <c r="AF73" i="4"/>
  <c r="AG73" i="4"/>
  <c r="AF36" i="4"/>
  <c r="AG36" i="4"/>
  <c r="AH31" i="4"/>
  <c r="AI20" i="4"/>
  <c r="AO20" i="4"/>
  <c r="AF376" i="4"/>
  <c r="AG376" i="4"/>
  <c r="AF326" i="4"/>
  <c r="AG326" i="4"/>
  <c r="AF301" i="4"/>
  <c r="AG301" i="4"/>
  <c r="AF262" i="4"/>
  <c r="AG262" i="4"/>
  <c r="AI255" i="4"/>
  <c r="AO255" i="4" s="1"/>
  <c r="AI248" i="4"/>
  <c r="AO248" i="4"/>
  <c r="AF204" i="4"/>
  <c r="AG204" i="4"/>
  <c r="AF195" i="4"/>
  <c r="AG195" i="4"/>
  <c r="AF193" i="4"/>
  <c r="AG193" i="4"/>
  <c r="AF176" i="4"/>
  <c r="AG176" i="4"/>
  <c r="AI122" i="4"/>
  <c r="AO122" i="4" s="1"/>
  <c r="AF91" i="4"/>
  <c r="AG91" i="4"/>
  <c r="AF68" i="4"/>
  <c r="AG68" i="4"/>
  <c r="AI379" i="4"/>
  <c r="AO379" i="4"/>
  <c r="AI376" i="4"/>
  <c r="AO376" i="4"/>
  <c r="AI368" i="4"/>
  <c r="AO368" i="4"/>
  <c r="AI363" i="4"/>
  <c r="AO363" i="4" s="1"/>
  <c r="AF359" i="4"/>
  <c r="AG359" i="4"/>
  <c r="AI341" i="4"/>
  <c r="AO341" i="4"/>
  <c r="AF328" i="4"/>
  <c r="AG328" i="4"/>
  <c r="AI326" i="4"/>
  <c r="AO326" i="4"/>
  <c r="AI324" i="4"/>
  <c r="AO324" i="4"/>
  <c r="AF308" i="4"/>
  <c r="AG308" i="4" s="1"/>
  <c r="AF290" i="4"/>
  <c r="AG290" i="4"/>
  <c r="AI288" i="4"/>
  <c r="AO288" i="4"/>
  <c r="AI276" i="4"/>
  <c r="AO276" i="4"/>
  <c r="AH271" i="4"/>
  <c r="AI262" i="4"/>
  <c r="AO262" i="4"/>
  <c r="AI252" i="4"/>
  <c r="AO252" i="4"/>
  <c r="AI239" i="4"/>
  <c r="AO239" i="4" s="1"/>
  <c r="AI234" i="4"/>
  <c r="AO234" i="4" s="1"/>
  <c r="AI230" i="4"/>
  <c r="AO230" i="4" s="1"/>
  <c r="AI208" i="4"/>
  <c r="AO208" i="4" s="1"/>
  <c r="AI195" i="4"/>
  <c r="AO195" i="4" s="1"/>
  <c r="AI193" i="4"/>
  <c r="AO193" i="4"/>
  <c r="AI176" i="4"/>
  <c r="AO176" i="4" s="1"/>
  <c r="AF131" i="4"/>
  <c r="AG131" i="4" s="1"/>
  <c r="AI115" i="4"/>
  <c r="AO115" i="4" s="1"/>
  <c r="AF98" i="4"/>
  <c r="AG98" i="4" s="1"/>
  <c r="AF93" i="4"/>
  <c r="AG93" i="4" s="1"/>
  <c r="AF86" i="4"/>
  <c r="AG86" i="4"/>
  <c r="AI68" i="4"/>
  <c r="AO68" i="4" s="1"/>
  <c r="AF59" i="4"/>
  <c r="AG59" i="4" s="1"/>
  <c r="AI50" i="4"/>
  <c r="AO50" i="4" s="1"/>
  <c r="AF45" i="4"/>
  <c r="AG45" i="4" s="1"/>
  <c r="AH40" i="4"/>
  <c r="AI29" i="4"/>
  <c r="AO29" i="4"/>
  <c r="AF17" i="4"/>
  <c r="AG17" i="4" s="1"/>
  <c r="AI338" i="4"/>
  <c r="AO338" i="4"/>
  <c r="AI328" i="4"/>
  <c r="AO328" i="4"/>
  <c r="AI303" i="4"/>
  <c r="AO303" i="4"/>
  <c r="AI254" i="4"/>
  <c r="AO254" i="4"/>
  <c r="AI219" i="4"/>
  <c r="AO219" i="4"/>
  <c r="AF173" i="4"/>
  <c r="AG173" i="4" s="1"/>
  <c r="AI165" i="4"/>
  <c r="AO165" i="4"/>
  <c r="AI149" i="4"/>
  <c r="AO149" i="4"/>
  <c r="AI145" i="4"/>
  <c r="AO145" i="4"/>
  <c r="AI140" i="4"/>
  <c r="AO140" i="4"/>
  <c r="AF137" i="4"/>
  <c r="AG137" i="4"/>
  <c r="AI131" i="4"/>
  <c r="AO131" i="4" s="1"/>
  <c r="AI126" i="4"/>
  <c r="AO126" i="4"/>
  <c r="AI117" i="4"/>
  <c r="AO117" i="4"/>
  <c r="AF100" i="4"/>
  <c r="AG100" i="4"/>
  <c r="AI70" i="4"/>
  <c r="AO70" i="4"/>
  <c r="AF65" i="4"/>
  <c r="AG65" i="4"/>
  <c r="AF54" i="4"/>
  <c r="AG54" i="4" s="1"/>
  <c r="AH49" i="4"/>
  <c r="AI38" i="4"/>
  <c r="AO38" i="4" s="1"/>
  <c r="AF28" i="4"/>
  <c r="AG28" i="4" s="1"/>
  <c r="AF26" i="4"/>
  <c r="AG26" i="4" s="1"/>
  <c r="AI19" i="4"/>
  <c r="AO19" i="4"/>
  <c r="AF380" i="4"/>
  <c r="AG380" i="4" s="1"/>
  <c r="AI365" i="4"/>
  <c r="AO365" i="4" s="1"/>
  <c r="AF356" i="4"/>
  <c r="AG356" i="4" s="1"/>
  <c r="AI335" i="4"/>
  <c r="AO335" i="4" s="1"/>
  <c r="AI330" i="4"/>
  <c r="AO330" i="4" s="1"/>
  <c r="AI321" i="4"/>
  <c r="AO321" i="4"/>
  <c r="AI296" i="4"/>
  <c r="AO296" i="4" s="1"/>
  <c r="AI287" i="4"/>
  <c r="AO287" i="4" s="1"/>
  <c r="AI273" i="4"/>
  <c r="AO273" i="4" s="1"/>
  <c r="AI266" i="4"/>
  <c r="AO266" i="4" s="1"/>
  <c r="AI261" i="4"/>
  <c r="AO261" i="4" s="1"/>
  <c r="AI249" i="4"/>
  <c r="AO249" i="4"/>
  <c r="AI247" i="4"/>
  <c r="AO247" i="4" s="1"/>
  <c r="AI243" i="4"/>
  <c r="AO243" i="4" s="1"/>
  <c r="AF238" i="4"/>
  <c r="AG238" i="4" s="1"/>
  <c r="AI225" i="4"/>
  <c r="AO225" i="4" s="1"/>
  <c r="AF218" i="4"/>
  <c r="AG218" i="4" s="1"/>
  <c r="AI186" i="4"/>
  <c r="AO186" i="4"/>
  <c r="AF111" i="4"/>
  <c r="AG111" i="4" s="1"/>
  <c r="AI95" i="4"/>
  <c r="AO95" i="4" s="1"/>
  <c r="AI81" i="4"/>
  <c r="AO81" i="4" s="1"/>
  <c r="AI79" i="4"/>
  <c r="AO79" i="4" s="1"/>
  <c r="AI77" i="4"/>
  <c r="AO77" i="4" s="1"/>
  <c r="AI72" i="4"/>
  <c r="AO72" i="4"/>
  <c r="AF56" i="4"/>
  <c r="AG56" i="4" s="1"/>
  <c r="AI47" i="4"/>
  <c r="AO47" i="4" s="1"/>
  <c r="AF37" i="4"/>
  <c r="AG37" i="4" s="1"/>
  <c r="AF35" i="4"/>
  <c r="AG35" i="4" s="1"/>
  <c r="AG1145" i="3"/>
  <c r="AM1145" i="3" s="1"/>
  <c r="Q931" i="3"/>
  <c r="Q171" i="3"/>
  <c r="Q526" i="3"/>
  <c r="AG471" i="3"/>
  <c r="AM471" i="3" s="1"/>
  <c r="AG1026" i="3"/>
  <c r="AM1026" i="3"/>
  <c r="AG736" i="3"/>
  <c r="AM736" i="3"/>
  <c r="AG1161" i="3"/>
  <c r="AM1161" i="3"/>
  <c r="G6" i="10"/>
  <c r="G24" i="10" s="1"/>
  <c r="D6" i="10"/>
  <c r="D24" i="10" s="1"/>
  <c r="H6" i="10"/>
  <c r="AG585" i="3"/>
  <c r="AM585" i="3" s="1"/>
  <c r="AG521" i="3"/>
  <c r="AM521" i="3" s="1"/>
  <c r="AG414" i="3"/>
  <c r="AM414" i="3" s="1"/>
  <c r="Q411" i="3"/>
  <c r="Q1160" i="3"/>
  <c r="Q179" i="3"/>
  <c r="Q502" i="3"/>
  <c r="AG75" i="3"/>
  <c r="AM75" i="3"/>
  <c r="AG55" i="3"/>
  <c r="AM55" i="3" s="1"/>
  <c r="AG440" i="3"/>
  <c r="AM440" i="3" s="1"/>
  <c r="Q1056" i="3"/>
  <c r="AG213" i="3"/>
  <c r="AM213" i="3" s="1"/>
  <c r="Q436" i="3"/>
  <c r="AG1317" i="3"/>
  <c r="AM1317" i="3" s="1"/>
  <c r="AG25" i="3"/>
  <c r="AM25" i="3" s="1"/>
  <c r="AG321" i="3"/>
  <c r="AM321" i="3" s="1"/>
  <c r="AF230" i="3"/>
  <c r="AD230" i="3"/>
  <c r="AE230" i="3" s="1"/>
  <c r="AG329" i="3"/>
  <c r="AM329" i="3" s="1"/>
  <c r="P20" i="3"/>
  <c r="N20" i="3"/>
  <c r="O20" i="3" s="1"/>
  <c r="Q461" i="3"/>
  <c r="AF83" i="3"/>
  <c r="AD83" i="3"/>
  <c r="AE83" i="3" s="1"/>
  <c r="AD30" i="3"/>
  <c r="AE30" i="3"/>
  <c r="AG30" i="3" s="1"/>
  <c r="AM30" i="3" s="1"/>
  <c r="N32" i="3"/>
  <c r="O32" i="3" s="1"/>
  <c r="Q32" i="3"/>
  <c r="AG175" i="3"/>
  <c r="AM175" i="3"/>
  <c r="AF239" i="3"/>
  <c r="AD239" i="3"/>
  <c r="AE239" i="3"/>
  <c r="AG239" i="3" s="1"/>
  <c r="AM239" i="3" s="1"/>
  <c r="N34" i="3"/>
  <c r="O34" i="3" s="1"/>
  <c r="Q34" i="3"/>
  <c r="N76" i="3"/>
  <c r="O76" i="3"/>
  <c r="Q76" i="3" s="1"/>
  <c r="AG42" i="3"/>
  <c r="AM42" i="3" s="1"/>
  <c r="P195" i="3"/>
  <c r="N195" i="3"/>
  <c r="O195" i="3" s="1"/>
  <c r="Q195" i="3" s="1"/>
  <c r="N142" i="3"/>
  <c r="O142" i="3" s="1"/>
  <c r="Q142" i="3" s="1"/>
  <c r="N14" i="3"/>
  <c r="O14" i="3"/>
  <c r="Q14" i="3" s="1"/>
  <c r="N119" i="3"/>
  <c r="O119" i="3" s="1"/>
  <c r="Q119" i="3" s="1"/>
  <c r="AD127" i="3"/>
  <c r="AE127" i="3" s="1"/>
  <c r="AG127" i="3" s="1"/>
  <c r="AM127" i="3" s="1"/>
  <c r="P151" i="3"/>
  <c r="Q151" i="3"/>
  <c r="AG101" i="3"/>
  <c r="AM101" i="3"/>
  <c r="N323" i="3"/>
  <c r="O323" i="3"/>
  <c r="Q323" i="3" s="1"/>
  <c r="S37" i="4"/>
  <c r="S48" i="4"/>
  <c r="S95" i="4"/>
  <c r="S109" i="4"/>
  <c r="S130" i="4"/>
  <c r="S144" i="4"/>
  <c r="S183" i="4"/>
  <c r="S197" i="4"/>
  <c r="S211" i="4"/>
  <c r="S233" i="4"/>
  <c r="S238" i="4"/>
  <c r="S243" i="4"/>
  <c r="S268" i="4"/>
  <c r="S273" i="4"/>
  <c r="S293" i="4"/>
  <c r="S346" i="4"/>
  <c r="S354" i="4"/>
  <c r="S365" i="4"/>
  <c r="S368" i="4"/>
  <c r="S379" i="4"/>
  <c r="S12" i="4"/>
  <c r="S15" i="4"/>
  <c r="S18" i="4"/>
  <c r="S46" i="4"/>
  <c r="S51" i="4"/>
  <c r="S236" i="4"/>
  <c r="S241" i="4"/>
  <c r="S246" i="4"/>
  <c r="S256" i="4"/>
  <c r="S261" i="4"/>
  <c r="S276" i="4"/>
  <c r="S281" i="4"/>
  <c r="S291" i="4"/>
  <c r="S296" i="4"/>
  <c r="S301" i="4"/>
  <c r="S315" i="4"/>
  <c r="S49" i="4"/>
  <c r="S77" i="4"/>
  <c r="S107" i="4"/>
  <c r="S152" i="4"/>
  <c r="S184" i="4"/>
  <c r="S229" i="4"/>
  <c r="S259" i="4"/>
  <c r="S279" i="4"/>
  <c r="S284" i="4"/>
  <c r="S289" i="4"/>
  <c r="S299" i="4"/>
  <c r="S313" i="4"/>
  <c r="S331" i="4"/>
  <c r="S347" i="4"/>
  <c r="S366" i="4"/>
  <c r="S369" i="4"/>
  <c r="S380" i="4"/>
  <c r="S13" i="4"/>
  <c r="S16" i="4"/>
  <c r="S52" i="4"/>
  <c r="S54" i="4"/>
  <c r="S129" i="4"/>
  <c r="S134" i="4"/>
  <c r="S150" i="4"/>
  <c r="S179" i="4"/>
  <c r="S187" i="4"/>
  <c r="S190" i="4"/>
  <c r="S193" i="4"/>
  <c r="S196" i="4"/>
  <c r="S222" i="4"/>
  <c r="S227" i="4"/>
  <c r="S247" i="4"/>
  <c r="S252" i="4"/>
  <c r="S282" i="4"/>
  <c r="S287" i="4"/>
  <c r="S311" i="4"/>
  <c r="S316" i="4"/>
  <c r="S329" i="4"/>
  <c r="S334" i="4"/>
  <c r="S342" i="4"/>
  <c r="S358" i="4"/>
  <c r="S372" i="4"/>
  <c r="S26" i="4"/>
  <c r="S36" i="4"/>
  <c r="S97" i="4"/>
  <c r="S127" i="4"/>
  <c r="S153" i="4"/>
  <c r="S182" i="4"/>
  <c r="S218" i="4"/>
  <c r="S220" i="4"/>
  <c r="S225" i="4"/>
  <c r="S250" i="4"/>
  <c r="S285" i="4"/>
  <c r="S307" i="4"/>
  <c r="S319" i="4"/>
  <c r="S332" i="4"/>
  <c r="S337" i="4"/>
  <c r="S22" i="4"/>
  <c r="S55" i="4"/>
  <c r="S66" i="4"/>
  <c r="S68" i="4"/>
  <c r="S71" i="4"/>
  <c r="S120" i="4"/>
  <c r="S135" i="4"/>
  <c r="S138" i="4"/>
  <c r="S141" i="4"/>
  <c r="S169" i="4"/>
  <c r="S216" i="4"/>
  <c r="S228" i="4"/>
  <c r="S248" i="4"/>
  <c r="S253" i="4"/>
  <c r="S258" i="4"/>
  <c r="S278" i="4"/>
  <c r="S288" i="4"/>
  <c r="S298" i="4"/>
  <c r="S312" i="4"/>
  <c r="S325" i="4"/>
  <c r="S330" i="4"/>
  <c r="S335" i="4"/>
  <c r="S376" i="4"/>
  <c r="S364" i="4"/>
  <c r="S367" i="4"/>
  <c r="N567" i="3"/>
  <c r="O567" i="3" s="1"/>
  <c r="Q567" i="3" s="1"/>
  <c r="N483" i="3"/>
  <c r="O483" i="3" s="1"/>
  <c r="Q483" i="3" s="1"/>
  <c r="N477" i="3"/>
  <c r="O477" i="3" s="1"/>
  <c r="Q477" i="3"/>
  <c r="AD388" i="3"/>
  <c r="AE388" i="3" s="1"/>
  <c r="AG388" i="3" s="1"/>
  <c r="AM388" i="3" s="1"/>
  <c r="S351" i="4"/>
  <c r="S359" i="4"/>
  <c r="S370" i="4"/>
  <c r="AD433" i="3"/>
  <c r="AE433" i="3" s="1"/>
  <c r="AG433" i="3" s="1"/>
  <c r="AM433" i="3" s="1"/>
  <c r="AD402" i="3"/>
  <c r="AE402" i="3" s="1"/>
  <c r="AG402" i="3" s="1"/>
  <c r="AM402" i="3" s="1"/>
  <c r="AD382" i="3"/>
  <c r="AE382" i="3" s="1"/>
  <c r="AG382" i="3" s="1"/>
  <c r="AM382" i="3" s="1"/>
  <c r="N395" i="3"/>
  <c r="O395" i="3" s="1"/>
  <c r="Q395" i="3" s="1"/>
  <c r="N400" i="3"/>
  <c r="O400" i="3"/>
  <c r="Q400" i="3" s="1"/>
  <c r="AD443" i="3"/>
  <c r="AE443" i="3" s="1"/>
  <c r="AG443" i="3" s="1"/>
  <c r="AM443" i="3" s="1"/>
  <c r="AD390" i="3"/>
  <c r="AE390" i="3" s="1"/>
  <c r="AG390" i="3" s="1"/>
  <c r="AM390" i="3" s="1"/>
  <c r="N1321" i="3"/>
  <c r="O1321" i="3" s="1"/>
  <c r="Q1321" i="3"/>
  <c r="AG955" i="3"/>
  <c r="AM955" i="3"/>
  <c r="Q960" i="3"/>
  <c r="Q1281" i="3"/>
  <c r="Q1249" i="3"/>
  <c r="Q1197" i="3"/>
  <c r="N1294" i="3"/>
  <c r="O1294" i="3"/>
  <c r="Q1294" i="3" s="1"/>
  <c r="P1294" i="3"/>
  <c r="P1289" i="3"/>
  <c r="N1289" i="3"/>
  <c r="O1289" i="3" s="1"/>
  <c r="Q1289" i="3" s="1"/>
  <c r="N1300" i="3"/>
  <c r="O1300" i="3" s="1"/>
  <c r="Q1300" i="3" s="1"/>
  <c r="AD1240" i="3"/>
  <c r="AE1240" i="3"/>
  <c r="AG1240" i="3" s="1"/>
  <c r="AM1240" i="3" s="1"/>
  <c r="AF1226" i="3"/>
  <c r="AG1226" i="3"/>
  <c r="AM1226" i="3" s="1"/>
  <c r="AD1220" i="3"/>
  <c r="AE1220" i="3" s="1"/>
  <c r="AG1220" i="3"/>
  <c r="AM1220" i="3" s="1"/>
  <c r="AD1193" i="3"/>
  <c r="AE1193" i="3" s="1"/>
  <c r="AG1193" i="3" s="1"/>
  <c r="AM1193" i="3" s="1"/>
  <c r="AD1185" i="3"/>
  <c r="AE1185" i="3" s="1"/>
  <c r="AG1185" i="3" s="1"/>
  <c r="AM1185" i="3" s="1"/>
  <c r="N1158" i="3"/>
  <c r="O1158" i="3" s="1"/>
  <c r="Q1158" i="3"/>
  <c r="N1222" i="3"/>
  <c r="O1222" i="3" s="1"/>
  <c r="Q1222" i="3" s="1"/>
  <c r="N925" i="3"/>
  <c r="O925" i="3"/>
  <c r="Q925" i="3" s="1"/>
  <c r="P925" i="3"/>
  <c r="N1273" i="3"/>
  <c r="O1273" i="3" s="1"/>
  <c r="Q1273" i="3"/>
  <c r="N1265" i="3"/>
  <c r="O1265" i="3"/>
  <c r="Q1265" i="3"/>
  <c r="AD1260" i="3"/>
  <c r="AE1260" i="3" s="1"/>
  <c r="AG1260" i="3" s="1"/>
  <c r="AM1260" i="3" s="1"/>
  <c r="AD1252" i="3"/>
  <c r="AE1252" i="3" s="1"/>
  <c r="AG1252" i="3" s="1"/>
  <c r="AM1252" i="3" s="1"/>
  <c r="AG1205" i="3"/>
  <c r="AM1205" i="3" s="1"/>
  <c r="P979" i="3"/>
  <c r="N979" i="3"/>
  <c r="O979" i="3" s="1"/>
  <c r="Q979" i="3" s="1"/>
  <c r="AD1314" i="3"/>
  <c r="AE1314" i="3" s="1"/>
  <c r="AG1314" i="3" s="1"/>
  <c r="AM1314" i="3" s="1"/>
  <c r="AD1291" i="3"/>
  <c r="AE1291" i="3"/>
  <c r="AG1291" i="3" s="1"/>
  <c r="AM1291" i="3" s="1"/>
  <c r="P1280" i="3"/>
  <c r="AD1267" i="3"/>
  <c r="AE1267" i="3" s="1"/>
  <c r="AG1267" i="3" s="1"/>
  <c r="AM1267" i="3" s="1"/>
  <c r="AD1194" i="3"/>
  <c r="AE1194" i="3"/>
  <c r="AG1194" i="3"/>
  <c r="AM1194" i="3" s="1"/>
  <c r="AD1191" i="3"/>
  <c r="AE1191" i="3" s="1"/>
  <c r="AG1191" i="3"/>
  <c r="AM1191" i="3" s="1"/>
  <c r="N1190" i="3"/>
  <c r="O1190" i="3"/>
  <c r="Q1190" i="3" s="1"/>
  <c r="N1185" i="3"/>
  <c r="O1185" i="3"/>
  <c r="Q1185" i="3"/>
  <c r="N1162" i="3"/>
  <c r="O1162" i="3" s="1"/>
  <c r="Q1162" i="3" s="1"/>
  <c r="AG1132" i="3"/>
  <c r="AM1132" i="3" s="1"/>
  <c r="AG1201" i="3"/>
  <c r="AM1201" i="3"/>
  <c r="AF1278" i="3"/>
  <c r="AG1278" i="3"/>
  <c r="AM1278" i="3" s="1"/>
  <c r="AF1277" i="3"/>
  <c r="AD1245" i="3"/>
  <c r="AE1245" i="3" s="1"/>
  <c r="AG1245" i="3" s="1"/>
  <c r="AM1245" i="3" s="1"/>
  <c r="N1240" i="3"/>
  <c r="O1240" i="3"/>
  <c r="Q1240" i="3" s="1"/>
  <c r="N1170" i="3"/>
  <c r="O1170" i="3" s="1"/>
  <c r="Q1170" i="3" s="1"/>
  <c r="AD1308" i="3"/>
  <c r="AE1308" i="3" s="1"/>
  <c r="AG1308" i="3" s="1"/>
  <c r="AM1308" i="3" s="1"/>
  <c r="AD1155" i="3"/>
  <c r="AE1155" i="3"/>
  <c r="AG1155" i="3" s="1"/>
  <c r="AM1155" i="3" s="1"/>
  <c r="Q1022" i="3"/>
  <c r="AD1300" i="3"/>
  <c r="AE1300" i="3" s="1"/>
  <c r="AG1300" i="3" s="1"/>
  <c r="AM1300" i="3" s="1"/>
  <c r="AD1288" i="3"/>
  <c r="AE1288" i="3" s="1"/>
  <c r="AG1288" i="3" s="1"/>
  <c r="AM1288" i="3" s="1"/>
  <c r="N1232" i="3"/>
  <c r="O1232" i="3" s="1"/>
  <c r="Q1232" i="3"/>
  <c r="AD1192" i="3"/>
  <c r="AE1192" i="3"/>
  <c r="AG1192" i="3" s="1"/>
  <c r="AM1192" i="3" s="1"/>
  <c r="N1191" i="3"/>
  <c r="O1191" i="3" s="1"/>
  <c r="Q1191" i="3" s="1"/>
  <c r="AD1187" i="3"/>
  <c r="AE1187" i="3" s="1"/>
  <c r="AG1187" i="3"/>
  <c r="AM1187" i="3" s="1"/>
  <c r="N1287" i="3"/>
  <c r="O1287" i="3" s="1"/>
  <c r="Q1287" i="3" s="1"/>
  <c r="N1226" i="3"/>
  <c r="O1226" i="3"/>
  <c r="Q1226" i="3" s="1"/>
  <c r="AD1210" i="3"/>
  <c r="AE1210" i="3" s="1"/>
  <c r="AG1210" i="3" s="1"/>
  <c r="AM1210" i="3" s="1"/>
  <c r="Q1144" i="3"/>
  <c r="N1318" i="3"/>
  <c r="O1318" i="3"/>
  <c r="Q1318" i="3" s="1"/>
  <c r="N1176" i="3"/>
  <c r="O1176" i="3" s="1"/>
  <c r="Q1176" i="3" s="1"/>
  <c r="N1175" i="3"/>
  <c r="O1175" i="3"/>
  <c r="Q1175" i="3" s="1"/>
  <c r="P1140" i="3"/>
  <c r="N1140" i="3"/>
  <c r="O1140" i="3" s="1"/>
  <c r="Q1140" i="3" s="1"/>
  <c r="N1121" i="3"/>
  <c r="O1121" i="3" s="1"/>
  <c r="Q1121" i="3" s="1"/>
  <c r="AF1080" i="3"/>
  <c r="AF1064" i="3"/>
  <c r="N985" i="3"/>
  <c r="O985" i="3"/>
  <c r="Q985" i="3" s="1"/>
  <c r="P985" i="3"/>
  <c r="AD1103" i="3"/>
  <c r="AE1103" i="3" s="1"/>
  <c r="AG1103" i="3" s="1"/>
  <c r="AM1103" i="3" s="1"/>
  <c r="AG1016" i="3"/>
  <c r="AM1016" i="3"/>
  <c r="AD1084" i="3"/>
  <c r="AE1084" i="3" s="1"/>
  <c r="AG1084" i="3" s="1"/>
  <c r="AM1084" i="3" s="1"/>
  <c r="N1096" i="3"/>
  <c r="O1096" i="3"/>
  <c r="Q1096" i="3" s="1"/>
  <c r="AD1003" i="3"/>
  <c r="AE1003" i="3" s="1"/>
  <c r="AG1003" i="3" s="1"/>
  <c r="AM1003" i="3" s="1"/>
  <c r="N831" i="3"/>
  <c r="O831" i="3" s="1"/>
  <c r="Q831" i="3" s="1"/>
  <c r="P831" i="3"/>
  <c r="N1152" i="3"/>
  <c r="O1152" i="3"/>
  <c r="Q1152" i="3"/>
  <c r="AD1121" i="3"/>
  <c r="AE1121" i="3" s="1"/>
  <c r="AG1121" i="3" s="1"/>
  <c r="AM1121" i="3" s="1"/>
  <c r="AD1118" i="3"/>
  <c r="AE1118" i="3" s="1"/>
  <c r="AG1118" i="3" s="1"/>
  <c r="AM1118" i="3" s="1"/>
  <c r="N1116" i="3"/>
  <c r="O1116" i="3"/>
  <c r="Q1116" i="3" s="1"/>
  <c r="N1103" i="3"/>
  <c r="O1103" i="3"/>
  <c r="Q1103" i="3"/>
  <c r="N1068" i="3"/>
  <c r="O1068" i="3"/>
  <c r="Q1068" i="3" s="1"/>
  <c r="N1023" i="3"/>
  <c r="O1023" i="3" s="1"/>
  <c r="Q1023" i="3"/>
  <c r="N1008" i="3"/>
  <c r="O1008" i="3" s="1"/>
  <c r="Q1008" i="3" s="1"/>
  <c r="P1000" i="3"/>
  <c r="N1000" i="3"/>
  <c r="O1000" i="3" s="1"/>
  <c r="Q1000" i="3" s="1"/>
  <c r="N1126" i="3"/>
  <c r="O1126" i="3"/>
  <c r="Q1126" i="3" s="1"/>
  <c r="N1104" i="3"/>
  <c r="O1104" i="3" s="1"/>
  <c r="Q1104" i="3"/>
  <c r="AD1086" i="3"/>
  <c r="AE1086" i="3"/>
  <c r="AG1086" i="3" s="1"/>
  <c r="AM1086" i="3" s="1"/>
  <c r="N1026" i="3"/>
  <c r="O1026" i="3"/>
  <c r="Q1026" i="3" s="1"/>
  <c r="AF812" i="3"/>
  <c r="AD812" i="3"/>
  <c r="AE812" i="3"/>
  <c r="AG812" i="3" s="1"/>
  <c r="AM812" i="3" s="1"/>
  <c r="N1092" i="3"/>
  <c r="O1092" i="3"/>
  <c r="Q1092" i="3"/>
  <c r="N994" i="3"/>
  <c r="O994" i="3"/>
  <c r="Q994" i="3" s="1"/>
  <c r="P994" i="3"/>
  <c r="AF990" i="3"/>
  <c r="AD990" i="3"/>
  <c r="AE990" i="3" s="1"/>
  <c r="AG990" i="3"/>
  <c r="AM990" i="3" s="1"/>
  <c r="N932" i="3"/>
  <c r="O932" i="3" s="1"/>
  <c r="Q932" i="3" s="1"/>
  <c r="P932" i="3"/>
  <c r="AD918" i="3"/>
  <c r="AE918" i="3" s="1"/>
  <c r="AG918" i="3" s="1"/>
  <c r="AM918" i="3" s="1"/>
  <c r="AD915" i="3"/>
  <c r="AE915" i="3" s="1"/>
  <c r="AG915" i="3" s="1"/>
  <c r="AM915" i="3" s="1"/>
  <c r="N902" i="3"/>
  <c r="O902" i="3" s="1"/>
  <c r="Q902" i="3"/>
  <c r="AD869" i="3"/>
  <c r="AE869" i="3" s="1"/>
  <c r="AG869" i="3" s="1"/>
  <c r="AM869" i="3" s="1"/>
  <c r="AD864" i="3"/>
  <c r="AE864" i="3" s="1"/>
  <c r="AG864" i="3" s="1"/>
  <c r="AM864" i="3" s="1"/>
  <c r="AD845" i="3"/>
  <c r="AE845" i="3"/>
  <c r="AG845" i="3" s="1"/>
  <c r="AM845" i="3" s="1"/>
  <c r="AD930" i="3"/>
  <c r="AE930" i="3" s="1"/>
  <c r="AG930" i="3" s="1"/>
  <c r="AM930" i="3" s="1"/>
  <c r="AD838" i="3"/>
  <c r="AE838" i="3" s="1"/>
  <c r="AG838" i="3" s="1"/>
  <c r="AM838" i="3" s="1"/>
  <c r="AD808" i="3"/>
  <c r="AE808" i="3" s="1"/>
  <c r="AG808" i="3" s="1"/>
  <c r="AM808" i="3" s="1"/>
  <c r="N915" i="3"/>
  <c r="O915" i="3"/>
  <c r="Q915" i="3" s="1"/>
  <c r="AD865" i="3"/>
  <c r="AE865" i="3" s="1"/>
  <c r="AG865" i="3"/>
  <c r="AM865" i="3" s="1"/>
  <c r="AD853" i="3"/>
  <c r="AE853" i="3" s="1"/>
  <c r="AG853" i="3" s="1"/>
  <c r="AM853" i="3" s="1"/>
  <c r="AG840" i="3"/>
  <c r="AM840" i="3" s="1"/>
  <c r="Q816" i="3"/>
  <c r="P765" i="3"/>
  <c r="N765" i="3"/>
  <c r="O765" i="3" s="1"/>
  <c r="Q765" i="3" s="1"/>
  <c r="P951" i="3"/>
  <c r="Q951" i="3"/>
  <c r="AF924" i="3"/>
  <c r="AD886" i="3"/>
  <c r="AE886" i="3" s="1"/>
  <c r="AG886" i="3" s="1"/>
  <c r="AM886" i="3" s="1"/>
  <c r="AF886" i="3"/>
  <c r="N884" i="3"/>
  <c r="O884" i="3" s="1"/>
  <c r="Q884" i="3"/>
  <c r="AD662" i="3"/>
  <c r="AE662" i="3" s="1"/>
  <c r="AF662" i="3"/>
  <c r="AF660" i="3"/>
  <c r="AD660" i="3"/>
  <c r="AE660" i="3"/>
  <c r="AG660" i="3" s="1"/>
  <c r="AM660" i="3" s="1"/>
  <c r="N950" i="3"/>
  <c r="O950" i="3"/>
  <c r="Q950" i="3" s="1"/>
  <c r="N941" i="3"/>
  <c r="O941" i="3" s="1"/>
  <c r="Q941" i="3" s="1"/>
  <c r="N965" i="3"/>
  <c r="O965" i="3"/>
  <c r="Q965" i="3" s="1"/>
  <c r="AD910" i="3"/>
  <c r="AE910" i="3" s="1"/>
  <c r="AG910" i="3"/>
  <c r="AM910" i="3" s="1"/>
  <c r="N865" i="3"/>
  <c r="O865" i="3" s="1"/>
  <c r="Q865" i="3" s="1"/>
  <c r="AG796" i="3"/>
  <c r="AM796" i="3"/>
  <c r="AD928" i="3"/>
  <c r="AE928" i="3" s="1"/>
  <c r="AG928" i="3" s="1"/>
  <c r="AM928" i="3" s="1"/>
  <c r="Q895" i="3"/>
  <c r="AD856" i="3"/>
  <c r="AE856" i="3" s="1"/>
  <c r="AG856" i="3"/>
  <c r="AM856" i="3" s="1"/>
  <c r="N836" i="3"/>
  <c r="O836" i="3"/>
  <c r="Q836" i="3" s="1"/>
  <c r="AD970" i="3"/>
  <c r="AE970" i="3" s="1"/>
  <c r="AG970" i="3" s="1"/>
  <c r="AM970" i="3" s="1"/>
  <c r="N934" i="3"/>
  <c r="O934" i="3"/>
  <c r="Q934" i="3" s="1"/>
  <c r="N923" i="3"/>
  <c r="O923" i="3" s="1"/>
  <c r="Q923" i="3" s="1"/>
  <c r="AD896" i="3"/>
  <c r="AE896" i="3"/>
  <c r="AG896" i="3" s="1"/>
  <c r="AM896" i="3" s="1"/>
  <c r="N862" i="3"/>
  <c r="O862" i="3"/>
  <c r="Q862" i="3"/>
  <c r="N844" i="3"/>
  <c r="O844" i="3" s="1"/>
  <c r="Q844" i="3" s="1"/>
  <c r="N639" i="3"/>
  <c r="O639" i="3"/>
  <c r="P639" i="3"/>
  <c r="Q639" i="3" s="1"/>
  <c r="AD640" i="3"/>
  <c r="AE640" i="3" s="1"/>
  <c r="AG640" i="3" s="1"/>
  <c r="AM640" i="3" s="1"/>
  <c r="AD638" i="3"/>
  <c r="AE638" i="3" s="1"/>
  <c r="AG638" i="3" s="1"/>
  <c r="AM638" i="3" s="1"/>
  <c r="AF638" i="3"/>
  <c r="Q637" i="3"/>
  <c r="AD776" i="3"/>
  <c r="AE776" i="3"/>
  <c r="AG776" i="3" s="1"/>
  <c r="AM776" i="3" s="1"/>
  <c r="N772" i="3"/>
  <c r="O772" i="3" s="1"/>
  <c r="Q772" i="3" s="1"/>
  <c r="N700" i="3"/>
  <c r="O700" i="3" s="1"/>
  <c r="Q700" i="3" s="1"/>
  <c r="AD697" i="3"/>
  <c r="AE697" i="3" s="1"/>
  <c r="AG697" i="3" s="1"/>
  <c r="AM697" i="3" s="1"/>
  <c r="N694" i="3"/>
  <c r="O694" i="3"/>
  <c r="Q694" i="3"/>
  <c r="P645" i="3"/>
  <c r="N645" i="3"/>
  <c r="O645" i="3"/>
  <c r="Q645" i="3" s="1"/>
  <c r="N755" i="3"/>
  <c r="O755" i="3" s="1"/>
  <c r="Q755" i="3" s="1"/>
  <c r="N723" i="3"/>
  <c r="O723" i="3"/>
  <c r="Q723" i="3"/>
  <c r="AF709" i="3"/>
  <c r="AD675" i="3"/>
  <c r="AE675" i="3" s="1"/>
  <c r="AG675" i="3" s="1"/>
  <c r="AM675" i="3" s="1"/>
  <c r="AD636" i="3"/>
  <c r="AE636" i="3" s="1"/>
  <c r="AG636" i="3" s="1"/>
  <c r="AM636" i="3" s="1"/>
  <c r="N769" i="3"/>
  <c r="O769" i="3" s="1"/>
  <c r="Q769" i="3" s="1"/>
  <c r="N708" i="3"/>
  <c r="O708" i="3" s="1"/>
  <c r="Q708" i="3" s="1"/>
  <c r="N695" i="3"/>
  <c r="O695" i="3"/>
  <c r="Q695" i="3" s="1"/>
  <c r="N800" i="3"/>
  <c r="O800" i="3" s="1"/>
  <c r="Q800" i="3" s="1"/>
  <c r="N750" i="3"/>
  <c r="O750" i="3"/>
  <c r="Q750" i="3" s="1"/>
  <c r="N736" i="3"/>
  <c r="O736" i="3"/>
  <c r="Q736" i="3"/>
  <c r="N675" i="3"/>
  <c r="O675" i="3"/>
  <c r="P675" i="3"/>
  <c r="N665" i="3"/>
  <c r="O665" i="3"/>
  <c r="Q665" i="3" s="1"/>
  <c r="P665" i="3"/>
  <c r="N663" i="3"/>
  <c r="O663" i="3" s="1"/>
  <c r="Q663" i="3" s="1"/>
  <c r="P663" i="3"/>
  <c r="AH367" i="4"/>
  <c r="AF367" i="4"/>
  <c r="AG367" i="4" s="1"/>
  <c r="AD782" i="3"/>
  <c r="AE782" i="3" s="1"/>
  <c r="AG782" i="3"/>
  <c r="AM782" i="3" s="1"/>
  <c r="N780" i="3"/>
  <c r="O780" i="3" s="1"/>
  <c r="Q780" i="3" s="1"/>
  <c r="AD700" i="3"/>
  <c r="AE700" i="3" s="1"/>
  <c r="AG700" i="3" s="1"/>
  <c r="AM700" i="3" s="1"/>
  <c r="N713" i="3"/>
  <c r="O713" i="3"/>
  <c r="Q713" i="3" s="1"/>
  <c r="AI380" i="4"/>
  <c r="AO380" i="4" s="1"/>
  <c r="AF284" i="4"/>
  <c r="AG284" i="4"/>
  <c r="AF383" i="4"/>
  <c r="AG383" i="4" s="1"/>
  <c r="AF377" i="4"/>
  <c r="AG377" i="4"/>
  <c r="AF343" i="4"/>
  <c r="AG343" i="4" s="1"/>
  <c r="AH343" i="4"/>
  <c r="AF373" i="4"/>
  <c r="AG373" i="4" s="1"/>
  <c r="AH364" i="4"/>
  <c r="AF338" i="4"/>
  <c r="AG338" i="4"/>
  <c r="AH319" i="4"/>
  <c r="AF319" i="4"/>
  <c r="AG319" i="4" s="1"/>
  <c r="AH280" i="4"/>
  <c r="AF280" i="4"/>
  <c r="AG280" i="4" s="1"/>
  <c r="AF340" i="4"/>
  <c r="AG340" i="4"/>
  <c r="AH370" i="4"/>
  <c r="AF370" i="4"/>
  <c r="AG370" i="4"/>
  <c r="AH355" i="4"/>
  <c r="AH316" i="4"/>
  <c r="AF316" i="4"/>
  <c r="AG316" i="4" s="1"/>
  <c r="AF256" i="4"/>
  <c r="AG256" i="4"/>
  <c r="AF181" i="4"/>
  <c r="AG181" i="4" s="1"/>
  <c r="AI347" i="4"/>
  <c r="AO347" i="4" s="1"/>
  <c r="AF341" i="4"/>
  <c r="AG341" i="4"/>
  <c r="AF298" i="4"/>
  <c r="AG298" i="4"/>
  <c r="AH230" i="4"/>
  <c r="AF230" i="4"/>
  <c r="AG230" i="4" s="1"/>
  <c r="AH218" i="4"/>
  <c r="AF212" i="4"/>
  <c r="AG212" i="4" s="1"/>
  <c r="AF331" i="4"/>
  <c r="AG331" i="4" s="1"/>
  <c r="AF236" i="4"/>
  <c r="AG236" i="4" s="1"/>
  <c r="AF240" i="4"/>
  <c r="AG240" i="4"/>
  <c r="AH240" i="4"/>
  <c r="AF211" i="4"/>
  <c r="AG211" i="4"/>
  <c r="AH211" i="4"/>
  <c r="AF257" i="4"/>
  <c r="AG257" i="4" s="1"/>
  <c r="AF182" i="4"/>
  <c r="AG182" i="4" s="1"/>
  <c r="AH182" i="4"/>
  <c r="AF265" i="4"/>
  <c r="AG265" i="4" s="1"/>
  <c r="AH250" i="4"/>
  <c r="AF250" i="4"/>
  <c r="AG250" i="4"/>
  <c r="AF313" i="4"/>
  <c r="AG313" i="4"/>
  <c r="AF283" i="4"/>
  <c r="AG283" i="4" s="1"/>
  <c r="AF269" i="4"/>
  <c r="AG269" i="4" s="1"/>
  <c r="AF261" i="4"/>
  <c r="AG261" i="4" s="1"/>
  <c r="AI209" i="4"/>
  <c r="AO209" i="4"/>
  <c r="AF221" i="4"/>
  <c r="AG221" i="4" s="1"/>
  <c r="AH221" i="4"/>
  <c r="AF208" i="4"/>
  <c r="AG208" i="4" s="1"/>
  <c r="AH208" i="4"/>
  <c r="AF157" i="4"/>
  <c r="AG157" i="4" s="1"/>
  <c r="AF153" i="4"/>
  <c r="AG153" i="4" s="1"/>
  <c r="AF126" i="4"/>
  <c r="AG126" i="4"/>
  <c r="AF88" i="4"/>
  <c r="AG88" i="4" s="1"/>
  <c r="AF171" i="4"/>
  <c r="AG171" i="4"/>
  <c r="AI163" i="4"/>
  <c r="AO163" i="4" s="1"/>
  <c r="AH159" i="4"/>
  <c r="AI107" i="4"/>
  <c r="AO107" i="4"/>
  <c r="AF174" i="4"/>
  <c r="AG174" i="4" s="1"/>
  <c r="AF134" i="4"/>
  <c r="AG134" i="4"/>
  <c r="AF114" i="4"/>
  <c r="AG114" i="4" s="1"/>
  <c r="AH46" i="4"/>
  <c r="AH37" i="4"/>
  <c r="AH28" i="4"/>
  <c r="AH19" i="4"/>
  <c r="AH143" i="4"/>
  <c r="AI127" i="4"/>
  <c r="AO127" i="4"/>
  <c r="AF85" i="4"/>
  <c r="AG85" i="4" s="1"/>
  <c r="AI150" i="4"/>
  <c r="AO150" i="4"/>
  <c r="AH111" i="4"/>
  <c r="AF102" i="4"/>
  <c r="AG102" i="4"/>
  <c r="AF96" i="4"/>
  <c r="AG96" i="4"/>
  <c r="AH52" i="4"/>
  <c r="AH43" i="4"/>
  <c r="AH34" i="4"/>
  <c r="AH25" i="4"/>
  <c r="AF155" i="4"/>
  <c r="AG155" i="4"/>
  <c r="AF117" i="4"/>
  <c r="AG117" i="4" s="1"/>
  <c r="AF115" i="4"/>
  <c r="AG115" i="4"/>
  <c r="AH58" i="4"/>
  <c r="AG107" i="3"/>
  <c r="AM107" i="3"/>
  <c r="Q1024" i="3"/>
  <c r="Q587" i="3"/>
  <c r="Q529" i="3"/>
  <c r="Q184" i="3"/>
  <c r="Q964" i="3"/>
  <c r="Q640" i="3"/>
  <c r="AG116" i="3"/>
  <c r="AM116" i="3" s="1"/>
  <c r="Q79" i="3"/>
  <c r="Q135" i="3"/>
  <c r="AG283" i="3"/>
  <c r="AM283" i="3" s="1"/>
  <c r="AG336" i="3"/>
  <c r="AM336" i="3" s="1"/>
  <c r="AG986" i="3"/>
  <c r="AM986" i="3" s="1"/>
  <c r="Q59" i="3"/>
  <c r="Q325" i="3"/>
  <c r="AG334" i="3"/>
  <c r="AM334" i="3" s="1"/>
  <c r="Q321" i="3"/>
  <c r="AG332" i="3"/>
  <c r="AM332" i="3" s="1"/>
  <c r="AM10" i="3"/>
  <c r="AG12" i="3"/>
  <c r="AM12" i="3" s="1"/>
  <c r="C19" i="2"/>
  <c r="Q67" i="3"/>
  <c r="Q20" i="3"/>
  <c r="Q1259" i="3"/>
  <c r="P334" i="4"/>
  <c r="Q334" i="4" s="1"/>
  <c r="P78" i="4"/>
  <c r="Q78" i="4" s="1"/>
  <c r="S195" i="4"/>
  <c r="R211" i="4"/>
  <c r="S245" i="4"/>
  <c r="S251" i="4"/>
  <c r="R268" i="4"/>
  <c r="S343" i="4"/>
  <c r="S349" i="4"/>
  <c r="AF361" i="4"/>
  <c r="AG361" i="4"/>
  <c r="AF350" i="4"/>
  <c r="AG350" i="4"/>
  <c r="AH330" i="4"/>
  <c r="AI310" i="4"/>
  <c r="AO310" i="4" s="1"/>
  <c r="AI283" i="4"/>
  <c r="AO283" i="4"/>
  <c r="AI280" i="4"/>
  <c r="AO280" i="4" s="1"/>
  <c r="AF272" i="4"/>
  <c r="AG272" i="4"/>
  <c r="AH252" i="4"/>
  <c r="AI237" i="4"/>
  <c r="AO237" i="4"/>
  <c r="AF178" i="4"/>
  <c r="AG178" i="4"/>
  <c r="AF175" i="4"/>
  <c r="AG175" i="4" s="1"/>
  <c r="AF156" i="4"/>
  <c r="AG156" i="4"/>
  <c r="AH130" i="4"/>
  <c r="AI120" i="4"/>
  <c r="AO120" i="4"/>
  <c r="AH99" i="4"/>
  <c r="AI48" i="4"/>
  <c r="AO48" i="4"/>
  <c r="AF42" i="4"/>
  <c r="AG42" i="4"/>
  <c r="AI14" i="4"/>
  <c r="AO14" i="4" s="1"/>
  <c r="R15" i="4"/>
  <c r="AF369" i="4"/>
  <c r="AG369" i="4" s="1"/>
  <c r="P81" i="4"/>
  <c r="Q81" i="4"/>
  <c r="P24" i="4"/>
  <c r="Q24" i="4" s="1"/>
  <c r="S122" i="4"/>
  <c r="S128" i="4"/>
  <c r="S160" i="4"/>
  <c r="S237" i="4"/>
  <c r="S266" i="4"/>
  <c r="S280" i="4"/>
  <c r="AI361" i="4"/>
  <c r="AO361" i="4"/>
  <c r="AF307" i="4"/>
  <c r="AG307" i="4" s="1"/>
  <c r="AI299" i="4"/>
  <c r="AO299" i="4" s="1"/>
  <c r="AI294" i="4"/>
  <c r="AO294" i="4" s="1"/>
  <c r="AF266" i="4"/>
  <c r="AG266" i="4"/>
  <c r="AF222" i="4"/>
  <c r="AG222" i="4" s="1"/>
  <c r="AI197" i="4"/>
  <c r="AO197" i="4"/>
  <c r="AF194" i="4"/>
  <c r="AG194" i="4" s="1"/>
  <c r="AF186" i="4"/>
  <c r="AG186" i="4" s="1"/>
  <c r="AI147" i="4"/>
  <c r="AO147" i="4"/>
  <c r="AI144" i="4"/>
  <c r="AO144" i="4"/>
  <c r="AI138" i="4"/>
  <c r="AO138" i="4"/>
  <c r="AF135" i="4"/>
  <c r="AG135" i="4" s="1"/>
  <c r="AI108" i="4"/>
  <c r="AO108" i="4"/>
  <c r="AI102" i="4"/>
  <c r="AO102" i="4" s="1"/>
  <c r="AI97" i="4"/>
  <c r="AO97" i="4"/>
  <c r="AI56" i="4"/>
  <c r="AO56" i="4" s="1"/>
  <c r="AF47" i="4"/>
  <c r="AG47" i="4"/>
  <c r="AI33" i="4"/>
  <c r="AO33" i="4" s="1"/>
  <c r="AI22" i="4"/>
  <c r="AO22" i="4"/>
  <c r="AF16" i="4"/>
  <c r="AG16" i="4" s="1"/>
  <c r="AF119" i="4"/>
  <c r="AG119" i="4" s="1"/>
  <c r="P242" i="4"/>
  <c r="Q242" i="4"/>
  <c r="P357" i="4"/>
  <c r="Q357" i="4"/>
  <c r="S65" i="4"/>
  <c r="S212" i="4"/>
  <c r="AF263" i="4"/>
  <c r="AG263" i="4" s="1"/>
  <c r="AF239" i="4"/>
  <c r="AG239" i="4" s="1"/>
  <c r="R12" i="4"/>
  <c r="P186" i="4"/>
  <c r="Q186" i="4" s="1"/>
  <c r="P133" i="4"/>
  <c r="Q133" i="4"/>
  <c r="P183" i="4"/>
  <c r="Q183" i="4"/>
  <c r="S25" i="4"/>
  <c r="P131" i="4"/>
  <c r="Q131" i="4" s="1"/>
  <c r="S143" i="4"/>
  <c r="P178" i="4"/>
  <c r="Q178" i="4"/>
  <c r="P184" i="4"/>
  <c r="Q184" i="4" s="1"/>
  <c r="S373" i="4"/>
  <c r="AI366" i="4"/>
  <c r="AO366" i="4" s="1"/>
  <c r="AI344" i="4"/>
  <c r="AO344" i="4"/>
  <c r="AI318" i="4"/>
  <c r="AO318" i="4" s="1"/>
  <c r="AI285" i="4"/>
  <c r="AO285" i="4" s="1"/>
  <c r="AI282" i="4"/>
  <c r="AO282" i="4"/>
  <c r="AI274" i="4"/>
  <c r="AO274" i="4" s="1"/>
  <c r="AF244" i="4"/>
  <c r="AG244" i="4"/>
  <c r="AI214" i="4"/>
  <c r="AO214" i="4"/>
  <c r="AF191" i="4"/>
  <c r="AG191" i="4"/>
  <c r="AF149" i="4"/>
  <c r="AG149" i="4" s="1"/>
  <c r="AI110" i="4"/>
  <c r="AO110" i="4"/>
  <c r="AF107" i="4"/>
  <c r="AG107" i="4" s="1"/>
  <c r="AI99" i="4"/>
  <c r="AO99" i="4"/>
  <c r="AF77" i="4"/>
  <c r="AG77" i="4"/>
  <c r="AF41" i="4"/>
  <c r="AG41" i="4"/>
  <c r="AF116" i="4"/>
  <c r="AG116" i="4" s="1"/>
  <c r="P231" i="4"/>
  <c r="Q231" i="4"/>
  <c r="AF371" i="4"/>
  <c r="AG371" i="4" s="1"/>
  <c r="AI96" i="4"/>
  <c r="AO96" i="4"/>
  <c r="AI55" i="4"/>
  <c r="AO55" i="4"/>
  <c r="AF46" i="4"/>
  <c r="AG46" i="4"/>
  <c r="AI13" i="4"/>
  <c r="AO13" i="4" s="1"/>
  <c r="P288" i="4"/>
  <c r="Q288" i="4"/>
  <c r="S106" i="4"/>
  <c r="S149" i="4"/>
  <c r="S167" i="4"/>
  <c r="AF329" i="4"/>
  <c r="AG329" i="4" s="1"/>
  <c r="AF295" i="4"/>
  <c r="AG295" i="4"/>
  <c r="AF246" i="4"/>
  <c r="AG246" i="4" s="1"/>
  <c r="AF160" i="4"/>
  <c r="AG160" i="4"/>
  <c r="AF61" i="4"/>
  <c r="AG61" i="4" s="1"/>
  <c r="P228" i="4"/>
  <c r="Q228" i="4"/>
  <c r="P360" i="4"/>
  <c r="Q360" i="4" s="1"/>
  <c r="P189" i="4"/>
  <c r="Q189" i="4"/>
  <c r="AF281" i="4"/>
  <c r="AG281" i="4" s="1"/>
  <c r="AF207" i="4"/>
  <c r="AG207" i="4"/>
  <c r="AI152" i="4"/>
  <c r="AO152" i="4" s="1"/>
  <c r="AI101" i="4"/>
  <c r="AO101" i="4"/>
  <c r="AF79" i="4"/>
  <c r="AG79" i="4" s="1"/>
  <c r="AI66" i="4"/>
  <c r="AO66" i="4"/>
  <c r="AI21" i="4"/>
  <c r="AO21" i="4" s="1"/>
  <c r="AF15" i="4"/>
  <c r="AG15" i="4"/>
  <c r="AF50" i="4"/>
  <c r="AG50" i="4" s="1"/>
  <c r="AF324" i="4"/>
  <c r="AG324" i="4"/>
  <c r="P31" i="4"/>
  <c r="Q31" i="4" s="1"/>
  <c r="P63" i="4"/>
  <c r="Q63" i="4"/>
  <c r="S86" i="4"/>
  <c r="S219" i="4"/>
  <c r="AI343" i="4"/>
  <c r="AO343" i="4"/>
  <c r="AI323" i="4"/>
  <c r="AO323" i="4" s="1"/>
  <c r="AI320" i="4"/>
  <c r="AO320" i="4"/>
  <c r="AI295" i="4"/>
  <c r="AO295" i="4" s="1"/>
  <c r="AI281" i="4"/>
  <c r="AO281" i="4"/>
  <c r="AF229" i="4"/>
  <c r="AG229" i="4" s="1"/>
  <c r="AI227" i="4"/>
  <c r="AO227" i="4"/>
  <c r="AI182" i="4"/>
  <c r="AO182" i="4" s="1"/>
  <c r="AF95" i="4"/>
  <c r="AG95" i="4"/>
  <c r="AI84" i="4"/>
  <c r="AO84" i="4" s="1"/>
  <c r="AF76" i="4"/>
  <c r="AG76" i="4"/>
  <c r="AI57" i="4"/>
  <c r="AO57" i="4" s="1"/>
  <c r="AI15" i="4"/>
  <c r="AO15" i="4"/>
  <c r="P64" i="4"/>
  <c r="Q64" i="4" s="1"/>
  <c r="AF327" i="4"/>
  <c r="AG327" i="4"/>
  <c r="P337" i="4"/>
  <c r="Q337" i="4" s="1"/>
  <c r="P331" i="4"/>
  <c r="Q331" i="4"/>
  <c r="P61" i="4"/>
  <c r="Q61" i="4" s="1"/>
  <c r="AF161" i="4"/>
  <c r="AG161" i="4"/>
  <c r="P174" i="4"/>
  <c r="Q174" i="4" s="1"/>
  <c r="S58" i="4"/>
  <c r="S156" i="4"/>
  <c r="P253" i="4"/>
  <c r="Q253" i="4" s="1"/>
  <c r="AI362" i="4"/>
  <c r="AO362" i="4"/>
  <c r="AI331" i="4"/>
  <c r="AO331" i="4" s="1"/>
  <c r="AI308" i="4"/>
  <c r="AO308" i="4"/>
  <c r="AI300" i="4"/>
  <c r="AO300" i="4" s="1"/>
  <c r="AI292" i="4"/>
  <c r="AO292" i="4"/>
  <c r="AF286" i="4"/>
  <c r="AG286" i="4" s="1"/>
  <c r="AI267" i="4"/>
  <c r="AO267" i="4"/>
  <c r="AI232" i="4"/>
  <c r="AO232" i="4" s="1"/>
  <c r="AI207" i="4"/>
  <c r="AO207" i="4"/>
  <c r="AI204" i="4"/>
  <c r="AO204" i="4" s="1"/>
  <c r="AI151" i="4"/>
  <c r="AO151" i="4"/>
  <c r="AF120" i="4"/>
  <c r="AG120" i="4" s="1"/>
  <c r="AI100" i="4"/>
  <c r="AO100" i="4"/>
  <c r="AF81" i="4"/>
  <c r="AG81" i="4" s="1"/>
  <c r="AI73" i="4"/>
  <c r="AO73" i="4"/>
  <c r="AF48" i="4"/>
  <c r="AG48" i="4" s="1"/>
  <c r="AI43" i="4"/>
  <c r="AO43" i="4"/>
  <c r="AI34" i="4"/>
  <c r="AO34" i="4" s="1"/>
  <c r="AF14" i="4"/>
  <c r="AG14" i="4"/>
  <c r="AI12" i="4"/>
  <c r="AO12" i="4" s="1"/>
  <c r="P239" i="4"/>
  <c r="Q239" i="4"/>
  <c r="P55" i="4"/>
  <c r="Q55" i="4" s="1"/>
  <c r="P124" i="4"/>
  <c r="Q124" i="4"/>
  <c r="AF275" i="4"/>
  <c r="AG275" i="4" s="1"/>
  <c r="S27" i="4"/>
  <c r="S91" i="4"/>
  <c r="P148" i="4"/>
  <c r="Q148" i="4" s="1"/>
  <c r="S185" i="4"/>
  <c r="P196" i="4"/>
  <c r="Q196" i="4"/>
  <c r="AI258" i="4"/>
  <c r="AO258" i="4" s="1"/>
  <c r="AI52" i="4"/>
  <c r="AO52" i="4"/>
  <c r="P47" i="4"/>
  <c r="Q47" i="4"/>
  <c r="S64" i="4"/>
  <c r="S75" i="4"/>
  <c r="S83" i="4"/>
  <c r="AI298" i="4"/>
  <c r="AO298" i="4"/>
  <c r="AF287" i="4"/>
  <c r="AG287" i="4" s="1"/>
  <c r="AF268" i="4"/>
  <c r="AG268" i="4"/>
  <c r="AI212" i="4"/>
  <c r="AO212" i="4" s="1"/>
  <c r="S67" i="4"/>
  <c r="S89" i="4"/>
  <c r="S103" i="4"/>
  <c r="S186" i="4"/>
  <c r="P218" i="4"/>
  <c r="Q218" i="4"/>
  <c r="AI244" i="4"/>
  <c r="AO244" i="4" s="1"/>
  <c r="AF108" i="4"/>
  <c r="AG108" i="4"/>
  <c r="AI89" i="4"/>
  <c r="AO89" i="4" s="1"/>
  <c r="S39" i="4"/>
  <c r="S42" i="4"/>
  <c r="S84" i="4"/>
  <c r="P106" i="4"/>
  <c r="Q106" i="4" s="1"/>
  <c r="S147" i="4"/>
  <c r="P158" i="4"/>
  <c r="Q158" i="4" s="1"/>
  <c r="S164" i="4"/>
  <c r="S170" i="4"/>
  <c r="S192" i="4"/>
  <c r="S208" i="4"/>
  <c r="S328" i="4"/>
  <c r="AF188" i="4"/>
  <c r="AG188" i="4"/>
  <c r="AI59" i="4"/>
  <c r="AO59" i="4" s="1"/>
  <c r="S79" i="4"/>
  <c r="AI199" i="4"/>
  <c r="AO199" i="4" s="1"/>
  <c r="S29" i="4"/>
  <c r="S85" i="4"/>
  <c r="S93" i="4"/>
  <c r="S162" i="4"/>
  <c r="S217" i="4"/>
  <c r="AF129" i="4"/>
  <c r="AG129" i="4"/>
  <c r="S140" i="4"/>
  <c r="P145" i="4"/>
  <c r="Q145" i="4"/>
  <c r="S209" i="4"/>
  <c r="AF231" i="4"/>
  <c r="AG231" i="4" s="1"/>
  <c r="AI137" i="4"/>
  <c r="AO137" i="4"/>
  <c r="AF63" i="4"/>
  <c r="AG63" i="4"/>
  <c r="S269" i="4"/>
  <c r="AI306" i="4"/>
  <c r="AO306" i="4" s="1"/>
  <c r="AF271" i="4"/>
  <c r="AG271" i="4"/>
  <c r="AI242" i="4"/>
  <c r="AO242" i="4" s="1"/>
  <c r="AI181" i="4"/>
  <c r="AO181" i="4"/>
  <c r="AI170" i="4"/>
  <c r="AO170" i="4" s="1"/>
  <c r="AI158" i="4"/>
  <c r="AO158" i="4"/>
  <c r="AF147" i="4"/>
  <c r="AG147" i="4" s="1"/>
  <c r="AF127" i="4"/>
  <c r="AG127" i="4"/>
  <c r="AI37" i="4"/>
  <c r="AO37" i="4" s="1"/>
  <c r="AI30" i="4"/>
  <c r="AO30" i="4"/>
  <c r="S264" i="4"/>
  <c r="S333" i="4"/>
  <c r="S336" i="4"/>
  <c r="S118" i="4"/>
  <c r="AI370" i="4"/>
  <c r="AO370" i="4" s="1"/>
  <c r="AI352" i="4"/>
  <c r="AO352" i="4"/>
  <c r="AI329" i="4"/>
  <c r="AO329" i="4" s="1"/>
  <c r="AI319" i="4"/>
  <c r="AO319" i="4"/>
  <c r="AI313" i="4"/>
  <c r="AO313" i="4" s="1"/>
  <c r="AI278" i="4"/>
  <c r="AO278" i="4"/>
  <c r="AI250" i="4"/>
  <c r="AO250" i="4" s="1"/>
  <c r="AI224" i="4"/>
  <c r="AO224" i="4"/>
  <c r="AI201" i="4"/>
  <c r="AO201" i="4" s="1"/>
  <c r="AF190" i="4"/>
  <c r="AG190" i="4"/>
  <c r="AF183" i="4"/>
  <c r="AG183" i="4" s="1"/>
  <c r="AI175" i="4"/>
  <c r="AO175" i="4"/>
  <c r="AF167" i="4"/>
  <c r="AG167" i="4" s="1"/>
  <c r="AF162" i="4"/>
  <c r="AG162" i="4"/>
  <c r="AI116" i="4"/>
  <c r="AO116" i="4" s="1"/>
  <c r="AI86" i="4"/>
  <c r="AO86" i="4"/>
  <c r="AI76" i="4"/>
  <c r="AO76" i="4" s="1"/>
  <c r="AI71" i="4"/>
  <c r="AO71" i="4"/>
  <c r="AI61" i="4"/>
  <c r="AO61" i="4" s="1"/>
  <c r="AI54" i="4"/>
  <c r="AO54" i="4"/>
  <c r="AH105" i="4"/>
  <c r="AF24" i="4"/>
  <c r="AG24" i="4"/>
  <c r="AF21" i="4"/>
  <c r="AG21" i="4"/>
  <c r="P307" i="4"/>
  <c r="Q307" i="4"/>
  <c r="S114" i="4"/>
  <c r="AI359" i="4"/>
  <c r="AO359" i="4" s="1"/>
  <c r="AF344" i="4"/>
  <c r="AG344" i="4"/>
  <c r="AI339" i="4"/>
  <c r="AO339" i="4" s="1"/>
  <c r="AI336" i="4"/>
  <c r="AO336" i="4"/>
  <c r="AF302" i="4"/>
  <c r="AG302" i="4" s="1"/>
  <c r="AI297" i="4"/>
  <c r="AO297" i="4"/>
  <c r="AF228" i="4"/>
  <c r="AG228" i="4" s="1"/>
  <c r="AF226" i="4"/>
  <c r="AG226" i="4"/>
  <c r="AF213" i="4"/>
  <c r="AG213" i="4" s="1"/>
  <c r="AF203" i="4"/>
  <c r="AG203" i="4"/>
  <c r="AF185" i="4"/>
  <c r="AG185" i="4" s="1"/>
  <c r="AI183" i="4"/>
  <c r="AO183" i="4"/>
  <c r="AI180" i="4"/>
  <c r="AO180" i="4" s="1"/>
  <c r="AF141" i="4"/>
  <c r="AG141" i="4"/>
  <c r="AF113" i="4"/>
  <c r="AG113" i="4" s="1"/>
  <c r="AI88" i="4"/>
  <c r="AO88" i="4"/>
  <c r="AI63" i="4"/>
  <c r="AO63" i="4" s="1"/>
  <c r="AI24" i="4"/>
  <c r="AO24" i="4"/>
  <c r="S345" i="4"/>
  <c r="S348" i="4"/>
  <c r="AI351" i="4"/>
  <c r="AO351" i="4"/>
  <c r="AF349" i="4"/>
  <c r="AG349" i="4" s="1"/>
  <c r="AF325" i="4"/>
  <c r="AG325" i="4"/>
  <c r="AI315" i="4"/>
  <c r="AO315" i="4" s="1"/>
  <c r="AI277" i="4"/>
  <c r="AO277" i="4"/>
  <c r="AI275" i="4"/>
  <c r="AO275" i="4" s="1"/>
  <c r="AF245" i="4"/>
  <c r="AG245" i="4"/>
  <c r="AI236" i="4"/>
  <c r="AO236" i="4" s="1"/>
  <c r="AI233" i="4"/>
  <c r="AO233" i="4"/>
  <c r="AI226" i="4"/>
  <c r="AO226" i="4" s="1"/>
  <c r="AI221" i="4"/>
  <c r="AO221" i="4"/>
  <c r="AI218" i="4"/>
  <c r="AO218" i="4" s="1"/>
  <c r="AI203" i="4"/>
  <c r="AO203" i="4"/>
  <c r="AI200" i="4"/>
  <c r="AO200" i="4" s="1"/>
  <c r="AI174" i="4"/>
  <c r="AO174" i="4"/>
  <c r="AI141" i="4"/>
  <c r="AO141" i="4" s="1"/>
  <c r="AI93" i="4"/>
  <c r="AO93" i="4"/>
  <c r="AI85" i="4"/>
  <c r="AO85" i="4" s="1"/>
  <c r="AI80" i="4"/>
  <c r="AO80" i="4"/>
  <c r="AF75" i="4"/>
  <c r="AG75" i="4" s="1"/>
  <c r="AF53" i="4"/>
  <c r="AG53" i="4"/>
  <c r="AF320" i="4"/>
  <c r="AG320" i="4" s="1"/>
  <c r="S255" i="4"/>
  <c r="S260" i="4"/>
  <c r="S308" i="4"/>
  <c r="S362" i="4"/>
  <c r="AF335" i="4"/>
  <c r="AG335" i="4"/>
  <c r="AF314" i="4"/>
  <c r="AG314" i="4" s="1"/>
  <c r="AF274" i="4"/>
  <c r="AG274" i="4"/>
  <c r="AI259" i="4"/>
  <c r="AO259" i="4" s="1"/>
  <c r="AI238" i="4"/>
  <c r="AO238" i="4"/>
  <c r="AF225" i="4"/>
  <c r="AG225" i="4" s="1"/>
  <c r="AI205" i="4"/>
  <c r="AO205" i="4"/>
  <c r="AI179" i="4"/>
  <c r="AO179" i="4" s="1"/>
  <c r="AF151" i="4"/>
  <c r="AG151" i="4"/>
  <c r="AI143" i="4"/>
  <c r="AO143" i="4" s="1"/>
  <c r="AI135" i="4"/>
  <c r="AO135" i="4"/>
  <c r="AF128" i="4"/>
  <c r="AG128" i="4" s="1"/>
  <c r="AF112" i="4"/>
  <c r="AG112" i="4"/>
  <c r="AF67" i="4"/>
  <c r="AG67" i="4" s="1"/>
  <c r="AF57" i="4"/>
  <c r="AG57" i="4"/>
  <c r="AI35" i="4"/>
  <c r="AO35" i="4" s="1"/>
  <c r="AF30" i="4"/>
  <c r="AG30" i="4"/>
  <c r="AI23" i="4"/>
  <c r="AO23" i="4" s="1"/>
  <c r="AF210" i="4"/>
  <c r="AG210" i="4"/>
  <c r="S327" i="4"/>
  <c r="S338" i="4"/>
  <c r="S383" i="4"/>
  <c r="AI382" i="4"/>
  <c r="AO382" i="4" s="1"/>
  <c r="AI355" i="4"/>
  <c r="AO355" i="4" s="1"/>
  <c r="AI346" i="4"/>
  <c r="AO346" i="4"/>
  <c r="AI317" i="4"/>
  <c r="AO317" i="4" s="1"/>
  <c r="AI314" i="4"/>
  <c r="AO314" i="4"/>
  <c r="AI304" i="4"/>
  <c r="AO304" i="4" s="1"/>
  <c r="AF248" i="4"/>
  <c r="AG248" i="4"/>
  <c r="AF242" i="4"/>
  <c r="AG242" i="4" s="1"/>
  <c r="AI220" i="4"/>
  <c r="AO220" i="4"/>
  <c r="AI210" i="4"/>
  <c r="AO210" i="4" s="1"/>
  <c r="AI194" i="4"/>
  <c r="AO194" i="4"/>
  <c r="AI173" i="4"/>
  <c r="AO173" i="4" s="1"/>
  <c r="AF170" i="4"/>
  <c r="AG170" i="4"/>
  <c r="AF165" i="4"/>
  <c r="AG165" i="4" s="1"/>
  <c r="AF158" i="4"/>
  <c r="AG158" i="4"/>
  <c r="AI128" i="4"/>
  <c r="AO128" i="4" s="1"/>
  <c r="AF109" i="4"/>
  <c r="AG109" i="4"/>
  <c r="AI92" i="4"/>
  <c r="AO92" i="4" s="1"/>
  <c r="AI82" i="4"/>
  <c r="AO82" i="4"/>
  <c r="AF25" i="4"/>
  <c r="AG25" i="4" s="1"/>
  <c r="Q1280" i="3"/>
  <c r="Q966" i="3"/>
  <c r="Q781" i="3"/>
  <c r="Q1057" i="3"/>
  <c r="Q447" i="3"/>
  <c r="Q22" i="3"/>
  <c r="N19" i="3"/>
  <c r="O19" i="3"/>
  <c r="P19" i="3"/>
  <c r="AG968" i="3"/>
  <c r="AM968" i="3" s="1"/>
  <c r="Q514" i="3"/>
  <c r="Q62" i="3"/>
  <c r="AG383" i="3"/>
  <c r="AM383" i="3"/>
  <c r="Q305" i="3"/>
  <c r="Q949" i="3"/>
  <c r="AG360" i="3"/>
  <c r="AM360" i="3" s="1"/>
  <c r="Q427" i="3"/>
  <c r="Q308" i="3"/>
  <c r="AG309" i="3"/>
  <c r="AM309" i="3" s="1"/>
  <c r="AG50" i="3"/>
  <c r="AF51" i="3"/>
  <c r="AG51" i="3" s="1"/>
  <c r="AM51" i="3" s="1"/>
  <c r="AD51" i="3"/>
  <c r="AE51" i="3"/>
  <c r="R8" i="9"/>
  <c r="P38" i="3"/>
  <c r="N38" i="3"/>
  <c r="O38" i="3"/>
  <c r="Q38" i="3" s="1"/>
  <c r="Q115" i="3"/>
  <c r="P330" i="3"/>
  <c r="N330" i="3"/>
  <c r="O330" i="3" s="1"/>
  <c r="Q330" i="3" s="1"/>
  <c r="P342" i="3"/>
  <c r="N342" i="3"/>
  <c r="O342" i="3" s="1"/>
  <c r="Q342" i="3" s="1"/>
  <c r="AF128" i="3"/>
  <c r="AD128" i="3"/>
  <c r="AE128" i="3"/>
  <c r="P18" i="9"/>
  <c r="Q6" i="9"/>
  <c r="P15" i="9"/>
  <c r="AF199" i="3"/>
  <c r="AD199" i="3"/>
  <c r="AE199" i="3" s="1"/>
  <c r="AD268" i="3"/>
  <c r="AE268" i="3" s="1"/>
  <c r="AG268" i="3" s="1"/>
  <c r="AM268" i="3" s="1"/>
  <c r="AF268" i="3"/>
  <c r="AF295" i="3"/>
  <c r="AD295" i="3"/>
  <c r="AE295" i="3"/>
  <c r="AG295" i="3" s="1"/>
  <c r="AM295" i="3" s="1"/>
  <c r="R20" i="4"/>
  <c r="P20" i="4"/>
  <c r="Q20" i="4" s="1"/>
  <c r="AF67" i="3"/>
  <c r="AD67" i="3"/>
  <c r="AE67" i="3"/>
  <c r="AG67" i="3" s="1"/>
  <c r="AM67" i="3" s="1"/>
  <c r="P157" i="3"/>
  <c r="N157" i="3"/>
  <c r="O157" i="3" s="1"/>
  <c r="Q157" i="3" s="1"/>
  <c r="AG64" i="3"/>
  <c r="AM64" i="3" s="1"/>
  <c r="AG53" i="3"/>
  <c r="AM53" i="3" s="1"/>
  <c r="P263" i="3"/>
  <c r="N263" i="3"/>
  <c r="O263" i="3" s="1"/>
  <c r="Q263" i="3" s="1"/>
  <c r="AF200" i="3"/>
  <c r="AD200" i="3"/>
  <c r="AE200" i="3" s="1"/>
  <c r="AG200" i="3" s="1"/>
  <c r="AM200" i="3" s="1"/>
  <c r="S205" i="4"/>
  <c r="P238" i="4"/>
  <c r="Q238" i="4" s="1"/>
  <c r="P67" i="4"/>
  <c r="Q67" i="4"/>
  <c r="N137" i="3"/>
  <c r="O137" i="3" s="1"/>
  <c r="Q137" i="3" s="1"/>
  <c r="Q276" i="3"/>
  <c r="S161" i="4"/>
  <c r="AD105" i="3"/>
  <c r="AE105" i="3" s="1"/>
  <c r="AG105" i="3" s="1"/>
  <c r="AM105" i="3" s="1"/>
  <c r="S87" i="4"/>
  <c r="S181" i="4"/>
  <c r="S232" i="4"/>
  <c r="Q278" i="3"/>
  <c r="AG297" i="3"/>
  <c r="AM297" i="3"/>
  <c r="S159" i="4"/>
  <c r="S176" i="4"/>
  <c r="S214" i="4"/>
  <c r="S137" i="4"/>
  <c r="S230" i="4"/>
  <c r="N349" i="3"/>
  <c r="O349" i="3"/>
  <c r="Q349" i="3"/>
  <c r="S19" i="4"/>
  <c r="AD109" i="3"/>
  <c r="AE109" i="3"/>
  <c r="AG109" i="3"/>
  <c r="AM109" i="3" s="1"/>
  <c r="N329" i="3"/>
  <c r="O329" i="3"/>
  <c r="Q329" i="3"/>
  <c r="S14" i="4"/>
  <c r="S132" i="4"/>
  <c r="S146" i="4"/>
  <c r="P823" i="3"/>
  <c r="N823" i="3"/>
  <c r="O823" i="3" s="1"/>
  <c r="Q823" i="3" s="1"/>
  <c r="AH358" i="4"/>
  <c r="AF358" i="4"/>
  <c r="AG358" i="4"/>
  <c r="AF346" i="4"/>
  <c r="AG346" i="4"/>
  <c r="AH346" i="4"/>
  <c r="AF1237" i="3"/>
  <c r="AD1237" i="3"/>
  <c r="AE1237" i="3" s="1"/>
  <c r="AG1237" i="3" s="1"/>
  <c r="AM1237" i="3" s="1"/>
  <c r="P1112" i="3"/>
  <c r="N1112" i="3"/>
  <c r="O1112" i="3"/>
  <c r="Q1112" i="3"/>
  <c r="AD951" i="3"/>
  <c r="AE951" i="3"/>
  <c r="AF951" i="3"/>
  <c r="AF732" i="3"/>
  <c r="AD732" i="3"/>
  <c r="AE732" i="3" s="1"/>
  <c r="AG732" i="3" s="1"/>
  <c r="AM732" i="3" s="1"/>
  <c r="H19" i="10"/>
  <c r="AD546" i="3"/>
  <c r="AE546" i="3" s="1"/>
  <c r="AG546" i="3" s="1"/>
  <c r="AM546" i="3" s="1"/>
  <c r="H20" i="10"/>
  <c r="N601" i="3"/>
  <c r="O601" i="3"/>
  <c r="Q601" i="3" s="1"/>
  <c r="Q524" i="3"/>
  <c r="AD520" i="3"/>
  <c r="AE520" i="3"/>
  <c r="AG520" i="3" s="1"/>
  <c r="AM520" i="3" s="1"/>
  <c r="Q510" i="3"/>
  <c r="S112" i="4"/>
  <c r="P1135" i="3"/>
  <c r="N1135" i="3"/>
  <c r="O1135" i="3"/>
  <c r="Q1135" i="3"/>
  <c r="I13" i="10"/>
  <c r="AD1270" i="3"/>
  <c r="AE1270" i="3" s="1"/>
  <c r="AG1270" i="3" s="1"/>
  <c r="AM1270" i="3" s="1"/>
  <c r="AF1270" i="3"/>
  <c r="N1262" i="3"/>
  <c r="O1262" i="3" s="1"/>
  <c r="Q1262" i="3" s="1"/>
  <c r="P1262" i="3"/>
  <c r="N1218" i="3"/>
  <c r="O1218" i="3"/>
  <c r="Q1218" i="3" s="1"/>
  <c r="P1218" i="3"/>
  <c r="N1297" i="3"/>
  <c r="O1297" i="3"/>
  <c r="Q1297" i="3"/>
  <c r="AD1323" i="3"/>
  <c r="AE1323" i="3"/>
  <c r="AG1323" i="3" s="1"/>
  <c r="AM1323" i="3" s="1"/>
  <c r="Q1150" i="3"/>
  <c r="N1268" i="3"/>
  <c r="O1268" i="3"/>
  <c r="Q1268" i="3"/>
  <c r="N1245" i="3"/>
  <c r="O1245" i="3" s="1"/>
  <c r="Q1245" i="3" s="1"/>
  <c r="P1245" i="3"/>
  <c r="AD1081" i="3"/>
  <c r="AE1081" i="3"/>
  <c r="AG1081" i="3" s="1"/>
  <c r="AM1081" i="3" s="1"/>
  <c r="Q1129" i="3"/>
  <c r="P1086" i="3"/>
  <c r="Q1086" i="3" s="1"/>
  <c r="N1086" i="3"/>
  <c r="O1086" i="3"/>
  <c r="AF1143" i="3"/>
  <c r="AD1143" i="3"/>
  <c r="AE1143" i="3" s="1"/>
  <c r="AG1143" i="3" s="1"/>
  <c r="AM1143" i="3" s="1"/>
  <c r="AD1172" i="3"/>
  <c r="AE1172" i="3"/>
  <c r="AG1172" i="3" s="1"/>
  <c r="AM1172" i="3" s="1"/>
  <c r="AD1074" i="3"/>
  <c r="AE1074" i="3"/>
  <c r="AG1074" i="3" s="1"/>
  <c r="AM1074" i="3" s="1"/>
  <c r="AD944" i="3"/>
  <c r="AE944" i="3" s="1"/>
  <c r="AG944" i="3" s="1"/>
  <c r="AM944" i="3" s="1"/>
  <c r="P927" i="3"/>
  <c r="N927" i="3"/>
  <c r="O927" i="3"/>
  <c r="Q927" i="3" s="1"/>
  <c r="N1217" i="3"/>
  <c r="O1217" i="3"/>
  <c r="Q1217" i="3"/>
  <c r="AF1215" i="3"/>
  <c r="AG1215" i="3"/>
  <c r="AM1215" i="3" s="1"/>
  <c r="AF1208" i="3"/>
  <c r="AG1208" i="3" s="1"/>
  <c r="AM1208" i="3" s="1"/>
  <c r="AD1105" i="3"/>
  <c r="AE1105" i="3"/>
  <c r="AG1105" i="3" s="1"/>
  <c r="AM1105" i="3" s="1"/>
  <c r="AF1067" i="3"/>
  <c r="P808" i="3"/>
  <c r="N808" i="3"/>
  <c r="O808" i="3"/>
  <c r="Q937" i="3"/>
  <c r="Q880" i="3"/>
  <c r="AD964" i="3"/>
  <c r="AE964" i="3"/>
  <c r="AG964" i="3" s="1"/>
  <c r="AM964" i="3" s="1"/>
  <c r="AG876" i="3"/>
  <c r="AM876" i="3" s="1"/>
  <c r="N1108" i="3"/>
  <c r="O1108" i="3"/>
  <c r="Q1108" i="3" s="1"/>
  <c r="AD1068" i="3"/>
  <c r="AE1068" i="3"/>
  <c r="AF1068" i="3"/>
  <c r="N906" i="3"/>
  <c r="O906" i="3"/>
  <c r="Q906" i="3" s="1"/>
  <c r="Q870" i="3"/>
  <c r="AD1180" i="3"/>
  <c r="AE1180" i="3"/>
  <c r="AG1180" i="3" s="1"/>
  <c r="AM1180" i="3" s="1"/>
  <c r="AD1110" i="3"/>
  <c r="AE1110" i="3" s="1"/>
  <c r="AG1110" i="3" s="1"/>
  <c r="AM1110" i="3" s="1"/>
  <c r="AD899" i="3"/>
  <c r="AE899" i="3" s="1"/>
  <c r="AG899" i="3" s="1"/>
  <c r="AM899" i="3" s="1"/>
  <c r="AF882" i="3"/>
  <c r="AD882" i="3"/>
  <c r="AE882" i="3" s="1"/>
  <c r="AG882" i="3" s="1"/>
  <c r="AM882" i="3" s="1"/>
  <c r="AG742" i="3"/>
  <c r="AM742" i="3" s="1"/>
  <c r="N1039" i="3"/>
  <c r="O1039" i="3"/>
  <c r="Q1039" i="3"/>
  <c r="AD1018" i="3"/>
  <c r="AE1018" i="3"/>
  <c r="AF1018" i="3"/>
  <c r="Q901" i="3"/>
  <c r="AD979" i="3"/>
  <c r="AE979" i="3" s="1"/>
  <c r="AG979" i="3" s="1"/>
  <c r="AM979" i="3" s="1"/>
  <c r="N835" i="3"/>
  <c r="O835" i="3"/>
  <c r="Q835" i="3"/>
  <c r="AD801" i="3"/>
  <c r="AE801" i="3"/>
  <c r="AG801" i="3" s="1"/>
  <c r="AM801" i="3" s="1"/>
  <c r="AF781" i="3"/>
  <c r="AG781" i="3" s="1"/>
  <c r="AM781" i="3" s="1"/>
  <c r="AF755" i="3"/>
  <c r="N828" i="3"/>
  <c r="O828" i="3"/>
  <c r="Q828" i="3" s="1"/>
  <c r="N825" i="3"/>
  <c r="O825" i="3"/>
  <c r="Q825" i="3"/>
  <c r="N789" i="3"/>
  <c r="O789" i="3"/>
  <c r="Q789" i="3"/>
  <c r="N696" i="3"/>
  <c r="O696" i="3" s="1"/>
  <c r="Q696" i="3" s="1"/>
  <c r="P980" i="3"/>
  <c r="Q980" i="3"/>
  <c r="N857" i="3"/>
  <c r="O857" i="3"/>
  <c r="Q857" i="3"/>
  <c r="P841" i="3"/>
  <c r="Q841" i="3" s="1"/>
  <c r="N807" i="3"/>
  <c r="O807" i="3"/>
  <c r="Q807" i="3"/>
  <c r="AD786" i="3"/>
  <c r="AE786" i="3"/>
  <c r="AG786" i="3"/>
  <c r="AM786" i="3" s="1"/>
  <c r="AF749" i="3"/>
  <c r="AD839" i="3"/>
  <c r="AE839" i="3" s="1"/>
  <c r="AG839" i="3" s="1"/>
  <c r="AM839" i="3" s="1"/>
  <c r="AD768" i="3"/>
  <c r="AE768" i="3" s="1"/>
  <c r="AG768" i="3" s="1"/>
  <c r="AM768" i="3" s="1"/>
  <c r="AF382" i="4"/>
  <c r="AG382" i="4" s="1"/>
  <c r="AF365" i="4"/>
  <c r="AG365" i="4"/>
  <c r="AH365" i="4"/>
  <c r="AF654" i="3"/>
  <c r="AH310" i="4"/>
  <c r="AF310" i="4"/>
  <c r="AG310" i="4"/>
  <c r="AH254" i="4"/>
  <c r="AF254" i="4"/>
  <c r="AG254" i="4" s="1"/>
  <c r="AH353" i="4"/>
  <c r="AF353" i="4"/>
  <c r="AG353" i="4"/>
  <c r="AI374" i="4"/>
  <c r="AO374" i="4"/>
  <c r="AI325" i="4"/>
  <c r="AO325" i="4"/>
  <c r="AI265" i="4"/>
  <c r="AO265" i="4"/>
  <c r="AF40" i="4"/>
  <c r="AG40" i="4"/>
  <c r="AI349" i="4"/>
  <c r="AO349" i="4"/>
  <c r="AI291" i="4"/>
  <c r="AO291" i="4"/>
  <c r="AI162" i="4"/>
  <c r="AO162" i="4"/>
  <c r="AI111" i="4"/>
  <c r="AO111" i="4"/>
  <c r="AF379" i="4"/>
  <c r="AG379" i="4"/>
  <c r="AF264" i="4"/>
  <c r="AG264" i="4"/>
  <c r="AF49" i="4"/>
  <c r="AG49" i="4"/>
  <c r="AF22" i="4"/>
  <c r="AG22" i="4"/>
  <c r="AI312" i="4"/>
  <c r="AO312" i="4"/>
  <c r="AF29" i="4"/>
  <c r="AG29" i="4"/>
  <c r="AI113" i="4"/>
  <c r="AO113" i="4"/>
  <c r="AI354" i="4"/>
  <c r="AO354" i="4"/>
  <c r="AF220" i="4"/>
  <c r="AG220" i="4"/>
  <c r="AI121" i="4"/>
  <c r="AO121" i="4"/>
  <c r="AI381" i="4"/>
  <c r="AO381" i="4" s="1"/>
  <c r="AI333" i="4"/>
  <c r="AO333" i="4"/>
  <c r="AI58" i="4"/>
  <c r="AF337" i="4"/>
  <c r="AG337" i="4"/>
  <c r="AF299" i="4"/>
  <c r="AG299" i="4"/>
  <c r="AF145" i="4"/>
  <c r="AG145" i="4"/>
  <c r="AF38" i="4"/>
  <c r="AG38" i="4"/>
  <c r="AI372" i="4"/>
  <c r="AO372" i="4"/>
  <c r="AF332" i="4"/>
  <c r="AG332" i="4"/>
  <c r="AI260" i="4"/>
  <c r="AO260" i="4"/>
  <c r="AI229" i="4"/>
  <c r="AO229" i="4"/>
  <c r="AF214" i="4"/>
  <c r="AG214" i="4"/>
  <c r="AF92" i="4"/>
  <c r="AG92" i="4"/>
  <c r="AF72" i="4"/>
  <c r="AG72" i="4"/>
  <c r="AH14" i="4"/>
  <c r="AH213" i="4"/>
  <c r="AH190" i="4"/>
  <c r="AH149" i="4"/>
  <c r="AH147" i="4"/>
  <c r="AH127" i="4"/>
  <c r="AH125" i="4"/>
  <c r="AO58" i="4"/>
  <c r="Q808" i="3"/>
  <c r="AM50" i="3"/>
  <c r="Q19" i="3"/>
  <c r="AG1018" i="3"/>
  <c r="AM1018" i="3" s="1"/>
  <c r="H24" i="10"/>
  <c r="AG1290" i="3" l="1"/>
  <c r="AM1290" i="3" s="1"/>
  <c r="AF597" i="3"/>
  <c r="AD597" i="3"/>
  <c r="AE597" i="3" s="1"/>
  <c r="AG597" i="3" s="1"/>
  <c r="AM597" i="3" s="1"/>
  <c r="AF595" i="3"/>
  <c r="AD595" i="3"/>
  <c r="AE595" i="3" s="1"/>
  <c r="AG595" i="3" s="1"/>
  <c r="AM595" i="3" s="1"/>
  <c r="AD563" i="3"/>
  <c r="AE563" i="3" s="1"/>
  <c r="AG563" i="3" s="1"/>
  <c r="AM563" i="3" s="1"/>
  <c r="AF563" i="3"/>
  <c r="AF399" i="3"/>
  <c r="AD399" i="3"/>
  <c r="AE399" i="3" s="1"/>
  <c r="AG1080" i="3"/>
  <c r="AM1080" i="3" s="1"/>
  <c r="AG122" i="3"/>
  <c r="AM122" i="3" s="1"/>
  <c r="AG519" i="3"/>
  <c r="AM519" i="3" s="1"/>
  <c r="AG1092" i="3"/>
  <c r="AM1092" i="3" s="1"/>
  <c r="AG755" i="3"/>
  <c r="AM755" i="3" s="1"/>
  <c r="AG83" i="3"/>
  <c r="AM83" i="3" s="1"/>
  <c r="AG479" i="3"/>
  <c r="AM479" i="3" s="1"/>
  <c r="AF246" i="3"/>
  <c r="AD246" i="3"/>
  <c r="AE246" i="3" s="1"/>
  <c r="AG246" i="3" s="1"/>
  <c r="AM246" i="3" s="1"/>
  <c r="AF280" i="3"/>
  <c r="AD280" i="3"/>
  <c r="AE280" i="3" s="1"/>
  <c r="AG280" i="3" s="1"/>
  <c r="AM280" i="3" s="1"/>
  <c r="AG716" i="3"/>
  <c r="AM716" i="3" s="1"/>
  <c r="AG1272" i="3"/>
  <c r="AM1272" i="3" s="1"/>
  <c r="AG40" i="3"/>
  <c r="AM40" i="3" s="1"/>
  <c r="AG199" i="3"/>
  <c r="AM199" i="3" s="1"/>
  <c r="AG662" i="3"/>
  <c r="AM662" i="3" s="1"/>
  <c r="AG947" i="3"/>
  <c r="AM947" i="3" s="1"/>
  <c r="AG403" i="3"/>
  <c r="AM403" i="3" s="1"/>
  <c r="AG1064" i="3"/>
  <c r="AM1064" i="3" s="1"/>
  <c r="AG1166" i="3"/>
  <c r="AM1166" i="3" s="1"/>
  <c r="AG554" i="3"/>
  <c r="AM554" i="3" s="1"/>
  <c r="AF201" i="3"/>
  <c r="AD201" i="3"/>
  <c r="AE201" i="3" s="1"/>
  <c r="AG201" i="3" s="1"/>
  <c r="AM201" i="3" s="1"/>
  <c r="AG951" i="3"/>
  <c r="AM951" i="3" s="1"/>
  <c r="AG230" i="3"/>
  <c r="AM230" i="3" s="1"/>
  <c r="AG243" i="3"/>
  <c r="AM243" i="3" s="1"/>
  <c r="AG103" i="3"/>
  <c r="AM103" i="3" s="1"/>
  <c r="AG24" i="3"/>
  <c r="AM24" i="3" s="1"/>
  <c r="AG128" i="3"/>
  <c r="AM128" i="3" s="1"/>
  <c r="AG1068" i="3"/>
  <c r="AM1068" i="3" s="1"/>
  <c r="AG352" i="3"/>
  <c r="AM352" i="3" s="1"/>
  <c r="AG241" i="3"/>
  <c r="AM241" i="3" s="1"/>
  <c r="AG163" i="3"/>
  <c r="AM163" i="3" s="1"/>
  <c r="AG435" i="3"/>
  <c r="AM435" i="3" s="1"/>
  <c r="AF33" i="3"/>
  <c r="AD33" i="3"/>
  <c r="AE33" i="3" s="1"/>
  <c r="AF62" i="3"/>
  <c r="AD62" i="3"/>
  <c r="AE62" i="3" s="1"/>
  <c r="AG57" i="3"/>
  <c r="AM57" i="3" s="1"/>
  <c r="AF724" i="3"/>
  <c r="AD724" i="3"/>
  <c r="AE724" i="3" s="1"/>
  <c r="AG724" i="3" s="1"/>
  <c r="AM724" i="3" s="1"/>
  <c r="AG1069" i="3"/>
  <c r="AM1069" i="3" s="1"/>
  <c r="AG322" i="3"/>
  <c r="AM322" i="3" s="1"/>
  <c r="AF604" i="3"/>
  <c r="AD604" i="3"/>
  <c r="AE604" i="3" s="1"/>
  <c r="AG604" i="3" s="1"/>
  <c r="AM604" i="3" s="1"/>
  <c r="AF1120" i="3"/>
  <c r="AD1120" i="3"/>
  <c r="AE1120" i="3" s="1"/>
  <c r="AG1120" i="3" s="1"/>
  <c r="AM1120" i="3" s="1"/>
  <c r="AF777" i="3"/>
  <c r="AD777" i="3"/>
  <c r="AE777" i="3" s="1"/>
  <c r="AG777" i="3" s="1"/>
  <c r="AM777" i="3" s="1"/>
  <c r="AG13" i="3"/>
  <c r="AM13" i="3" s="1"/>
  <c r="AF254" i="3"/>
  <c r="AD254" i="3"/>
  <c r="AE254" i="3" s="1"/>
  <c r="AG905" i="3"/>
  <c r="AM905" i="3" s="1"/>
  <c r="AG47" i="3"/>
  <c r="AM47" i="3" s="1"/>
  <c r="AG628" i="3"/>
  <c r="AM628" i="3" s="1"/>
  <c r="AG299" i="3"/>
  <c r="AM299" i="3" s="1"/>
  <c r="AD359" i="3"/>
  <c r="AE359" i="3" s="1"/>
  <c r="AG359" i="3" s="1"/>
  <c r="AM359" i="3" s="1"/>
  <c r="AF645" i="3"/>
  <c r="AD645" i="3"/>
  <c r="AE645" i="3" s="1"/>
  <c r="AG373" i="3"/>
  <c r="AM373" i="3" s="1"/>
  <c r="AG81" i="3"/>
  <c r="AM81" i="3" s="1"/>
  <c r="AF1282" i="3"/>
  <c r="AD1282" i="3"/>
  <c r="AE1282" i="3" s="1"/>
  <c r="AD139" i="3"/>
  <c r="AE139" i="3" s="1"/>
  <c r="AG139" i="3" s="1"/>
  <c r="AM139" i="3" s="1"/>
  <c r="AF1050" i="3"/>
  <c r="AD1050" i="3"/>
  <c r="AE1050" i="3" s="1"/>
  <c r="AD753" i="3"/>
  <c r="AE753" i="3" s="1"/>
  <c r="AF753" i="3"/>
  <c r="AG351" i="3"/>
  <c r="AM351" i="3" s="1"/>
  <c r="AG142" i="3"/>
  <c r="AM142" i="3" s="1"/>
  <c r="AG847" i="3"/>
  <c r="AM847" i="3" s="1"/>
  <c r="AG769" i="3"/>
  <c r="AM769" i="3" s="1"/>
  <c r="AG451" i="3"/>
  <c r="AM451" i="3" s="1"/>
  <c r="AF794" i="3"/>
  <c r="AD794" i="3"/>
  <c r="AE794" i="3" s="1"/>
  <c r="AF657" i="3"/>
  <c r="AD657" i="3"/>
  <c r="AE657" i="3" s="1"/>
  <c r="AG65" i="3"/>
  <c r="AM65" i="3" s="1"/>
  <c r="AG92" i="3"/>
  <c r="AM92" i="3" s="1"/>
  <c r="AG59" i="3"/>
  <c r="AM59" i="3" s="1"/>
  <c r="AD296" i="3"/>
  <c r="AE296" i="3" s="1"/>
  <c r="AG296" i="3" s="1"/>
  <c r="AM296" i="3" s="1"/>
  <c r="AD17" i="3"/>
  <c r="AE17" i="3" s="1"/>
  <c r="AG17" i="3" s="1"/>
  <c r="AM17" i="3" s="1"/>
  <c r="AD226" i="3"/>
  <c r="AE226" i="3" s="1"/>
  <c r="AG226" i="3" s="1"/>
  <c r="AM226" i="3" s="1"/>
  <c r="AD310" i="3"/>
  <c r="AE310" i="3" s="1"/>
  <c r="AG310" i="3" s="1"/>
  <c r="AM310" i="3" s="1"/>
  <c r="AG1009" i="3"/>
  <c r="AM1009" i="3" s="1"/>
  <c r="AG1100" i="3"/>
  <c r="AM1100" i="3" s="1"/>
  <c r="AG1198" i="3"/>
  <c r="AM1198" i="3" s="1"/>
  <c r="AG514" i="3"/>
  <c r="AM514" i="3" s="1"/>
  <c r="AF45" i="3"/>
  <c r="AG45" i="3" s="1"/>
  <c r="AM45" i="3" s="1"/>
  <c r="AG465" i="3"/>
  <c r="AM465" i="3" s="1"/>
  <c r="AD14" i="3"/>
  <c r="AE14" i="3" s="1"/>
  <c r="AG14" i="3" s="1"/>
  <c r="AM14" i="3" s="1"/>
  <c r="AD150" i="3"/>
  <c r="AE150" i="3" s="1"/>
  <c r="AG150" i="3" s="1"/>
  <c r="AM150" i="3" s="1"/>
  <c r="AG784" i="3"/>
  <c r="AM784" i="3" s="1"/>
  <c r="AD1195" i="3"/>
  <c r="AE1195" i="3" s="1"/>
  <c r="AG1195" i="3" s="1"/>
  <c r="AM1195" i="3" s="1"/>
  <c r="AG450" i="3"/>
  <c r="AM450" i="3" s="1"/>
  <c r="AD287" i="3"/>
  <c r="AE287" i="3" s="1"/>
  <c r="AG287" i="3" s="1"/>
  <c r="AM287" i="3" s="1"/>
  <c r="AG1038" i="3"/>
  <c r="AM1038" i="3" s="1"/>
  <c r="AD21" i="3"/>
  <c r="AE21" i="3" s="1"/>
  <c r="AG21" i="3" s="1"/>
  <c r="AM21" i="3" s="1"/>
  <c r="AD54" i="3"/>
  <c r="AE54" i="3" s="1"/>
  <c r="AG54" i="3" s="1"/>
  <c r="AM54" i="3" s="1"/>
  <c r="AD117" i="3"/>
  <c r="AE117" i="3" s="1"/>
  <c r="AG117" i="3" s="1"/>
  <c r="AM117" i="3" s="1"/>
  <c r="AD157" i="3"/>
  <c r="AE157" i="3" s="1"/>
  <c r="AG157" i="3" s="1"/>
  <c r="AM157" i="3" s="1"/>
  <c r="AD231" i="3"/>
  <c r="AE231" i="3" s="1"/>
  <c r="AG231" i="3" s="1"/>
  <c r="AM231" i="3" s="1"/>
  <c r="AG355" i="3"/>
  <c r="AM355" i="3" s="1"/>
  <c r="AD514" i="3"/>
  <c r="AE514" i="3" s="1"/>
  <c r="AD1200" i="3"/>
  <c r="AE1200" i="3" s="1"/>
  <c r="AG1200" i="3" s="1"/>
  <c r="AM1200" i="3" s="1"/>
  <c r="AD1160" i="3"/>
  <c r="AE1160" i="3" s="1"/>
  <c r="AG1160" i="3" s="1"/>
  <c r="AM1160" i="3" s="1"/>
  <c r="AF1059" i="3"/>
  <c r="AG1059" i="3" s="1"/>
  <c r="AM1059" i="3" s="1"/>
  <c r="AD1034" i="3"/>
  <c r="AE1034" i="3" s="1"/>
  <c r="AG1034" i="3" s="1"/>
  <c r="AM1034" i="3" s="1"/>
  <c r="AD1006" i="3"/>
  <c r="AE1006" i="3" s="1"/>
  <c r="AG1006" i="3" s="1"/>
  <c r="AM1006" i="3" s="1"/>
  <c r="AD997" i="3"/>
  <c r="AE997" i="3" s="1"/>
  <c r="AG997" i="3" s="1"/>
  <c r="AM997" i="3" s="1"/>
  <c r="AD978" i="3"/>
  <c r="AE978" i="3" s="1"/>
  <c r="AG978" i="3" s="1"/>
  <c r="AM978" i="3" s="1"/>
  <c r="AD688" i="3"/>
  <c r="AE688" i="3" s="1"/>
  <c r="AD342" i="3"/>
  <c r="AE342" i="3" s="1"/>
  <c r="AG342" i="3" s="1"/>
  <c r="AM342" i="3" s="1"/>
  <c r="AD593" i="3"/>
  <c r="AE593" i="3" s="1"/>
  <c r="AG593" i="3" s="1"/>
  <c r="AM593" i="3" s="1"/>
  <c r="AD458" i="3"/>
  <c r="AE458" i="3" s="1"/>
  <c r="AG458" i="3" s="1"/>
  <c r="AM458" i="3" s="1"/>
  <c r="AG726" i="3"/>
  <c r="AM726" i="3" s="1"/>
  <c r="AD1250" i="3"/>
  <c r="AE1250" i="3" s="1"/>
  <c r="AF1168" i="3"/>
  <c r="AG1168" i="3" s="1"/>
  <c r="AM1168" i="3" s="1"/>
  <c r="AD1078" i="3"/>
  <c r="AE1078" i="3" s="1"/>
  <c r="AG1078" i="3" s="1"/>
  <c r="AM1078" i="3" s="1"/>
  <c r="AD1066" i="3"/>
  <c r="AE1066" i="3" s="1"/>
  <c r="AG1066" i="3" s="1"/>
  <c r="AM1066" i="3" s="1"/>
  <c r="AD1000" i="3"/>
  <c r="AE1000" i="3" s="1"/>
  <c r="AG1000" i="3" s="1"/>
  <c r="AM1000" i="3" s="1"/>
  <c r="AD967" i="3"/>
  <c r="AE967" i="3" s="1"/>
  <c r="AG967" i="3" s="1"/>
  <c r="AM967" i="3" s="1"/>
  <c r="AD749" i="3"/>
  <c r="AE749" i="3" s="1"/>
  <c r="AG749" i="3" s="1"/>
  <c r="AM749" i="3" s="1"/>
  <c r="AD710" i="3"/>
  <c r="AE710" i="3" s="1"/>
  <c r="AG710" i="3" s="1"/>
  <c r="AM710" i="3" s="1"/>
  <c r="AG895" i="3"/>
  <c r="AM895" i="3" s="1"/>
  <c r="AG825" i="3"/>
  <c r="AM825" i="3" s="1"/>
  <c r="AD168" i="3"/>
  <c r="AE168" i="3" s="1"/>
  <c r="AG192" i="3"/>
  <c r="AM192" i="3" s="1"/>
  <c r="AD211" i="3"/>
  <c r="AE211" i="3" s="1"/>
  <c r="AG211" i="3" s="1"/>
  <c r="AM211" i="3" s="1"/>
  <c r="AD252" i="3"/>
  <c r="AE252" i="3" s="1"/>
  <c r="AG252" i="3" s="1"/>
  <c r="AM252" i="3" s="1"/>
  <c r="AD266" i="3"/>
  <c r="AE266" i="3" s="1"/>
  <c r="AG266" i="3" s="1"/>
  <c r="AM266" i="3" s="1"/>
  <c r="AD1275" i="3"/>
  <c r="AE1275" i="3" s="1"/>
  <c r="AG1275" i="3" s="1"/>
  <c r="AM1275" i="3" s="1"/>
  <c r="AD1234" i="3"/>
  <c r="AE1234" i="3" s="1"/>
  <c r="AG1234" i="3" s="1"/>
  <c r="AM1234" i="3" s="1"/>
  <c r="AD1083" i="3"/>
  <c r="AE1083" i="3" s="1"/>
  <c r="AG1083" i="3" s="1"/>
  <c r="AM1083" i="3" s="1"/>
  <c r="AD924" i="3"/>
  <c r="AE924" i="3" s="1"/>
  <c r="AG924" i="3" s="1"/>
  <c r="AM924" i="3" s="1"/>
  <c r="AD684" i="3"/>
  <c r="AE684" i="3" s="1"/>
  <c r="AG684" i="3" s="1"/>
  <c r="AM684" i="3" s="1"/>
  <c r="AD240" i="3"/>
  <c r="AE240" i="3" s="1"/>
  <c r="AG240" i="3" s="1"/>
  <c r="AM240" i="3" s="1"/>
  <c r="AG285" i="3"/>
  <c r="AM285" i="3" s="1"/>
  <c r="AD1256" i="3"/>
  <c r="AE1256" i="3" s="1"/>
  <c r="AD1073" i="3"/>
  <c r="AE1073" i="3" s="1"/>
  <c r="AG1073" i="3" s="1"/>
  <c r="AM1073" i="3" s="1"/>
  <c r="AD165" i="3"/>
  <c r="AE165" i="3" s="1"/>
  <c r="AG165" i="3" s="1"/>
  <c r="AM165" i="3" s="1"/>
  <c r="AD249" i="3"/>
  <c r="AE249" i="3" s="1"/>
  <c r="AG249" i="3" s="1"/>
  <c r="AM249" i="3" s="1"/>
  <c r="AD318" i="3"/>
  <c r="AE318" i="3" s="1"/>
  <c r="AG318" i="3" s="1"/>
  <c r="AM318" i="3" s="1"/>
  <c r="AG1135" i="3"/>
  <c r="AM1135" i="3" s="1"/>
  <c r="AG533" i="3"/>
  <c r="AM533" i="3" s="1"/>
  <c r="AD176" i="3"/>
  <c r="AE176" i="3" s="1"/>
  <c r="AG176" i="3" s="1"/>
  <c r="AM176" i="3" s="1"/>
  <c r="AD215" i="3"/>
  <c r="AE215" i="3" s="1"/>
  <c r="AG215" i="3" s="1"/>
  <c r="AM215" i="3" s="1"/>
  <c r="AD237" i="3"/>
  <c r="AE237" i="3" s="1"/>
  <c r="AG237" i="3" s="1"/>
  <c r="AM237" i="3" s="1"/>
  <c r="AD560" i="3"/>
  <c r="AE560" i="3" s="1"/>
  <c r="AG560" i="3" s="1"/>
  <c r="AM560" i="3" s="1"/>
  <c r="AG911" i="3"/>
  <c r="AM911" i="3" s="1"/>
  <c r="AD1119" i="3"/>
  <c r="AE1119" i="3" s="1"/>
  <c r="AG1119" i="3" s="1"/>
  <c r="AM1119" i="3" s="1"/>
  <c r="AD1071" i="3"/>
  <c r="AE1071" i="3" s="1"/>
  <c r="AG1071" i="3" s="1"/>
  <c r="AM1071" i="3" s="1"/>
  <c r="AD1067" i="3"/>
  <c r="AE1067" i="3" s="1"/>
  <c r="AG1067" i="3" s="1"/>
  <c r="AM1067" i="3" s="1"/>
  <c r="AD1060" i="3"/>
  <c r="AE1060" i="3" s="1"/>
  <c r="AG1060" i="3" s="1"/>
  <c r="AM1060" i="3" s="1"/>
  <c r="AG695" i="3"/>
  <c r="AM695" i="3" s="1"/>
  <c r="AG750" i="3"/>
  <c r="AM750" i="3" s="1"/>
  <c r="AD739" i="3"/>
  <c r="AE739" i="3" s="1"/>
  <c r="AG985" i="3"/>
  <c r="AM985" i="3" s="1"/>
  <c r="AG1216" i="3"/>
  <c r="AM1216" i="3" s="1"/>
  <c r="AD1281" i="3"/>
  <c r="AE1281" i="3" s="1"/>
  <c r="AG1281" i="3" s="1"/>
  <c r="AM1281" i="3" s="1"/>
  <c r="AD1065" i="3"/>
  <c r="AE1065" i="3" s="1"/>
  <c r="AG631" i="3"/>
  <c r="AM631" i="3" s="1"/>
  <c r="AD1296" i="3"/>
  <c r="AE1296" i="3" s="1"/>
  <c r="AG1296" i="3" s="1"/>
  <c r="AM1296" i="3" s="1"/>
  <c r="AD1284" i="3"/>
  <c r="AE1284" i="3" s="1"/>
  <c r="AG1284" i="3" s="1"/>
  <c r="AM1284" i="3" s="1"/>
  <c r="AD1223" i="3"/>
  <c r="AE1223" i="3" s="1"/>
  <c r="AG1223" i="3" s="1"/>
  <c r="AM1223" i="3" s="1"/>
  <c r="AD1218" i="3"/>
  <c r="AE1218" i="3" s="1"/>
  <c r="AG1218" i="3" s="1"/>
  <c r="AM1218" i="3" s="1"/>
  <c r="AD843" i="3"/>
  <c r="AE843" i="3" s="1"/>
  <c r="AG843" i="3" s="1"/>
  <c r="AM843" i="3" s="1"/>
  <c r="AD755" i="3"/>
  <c r="AE755" i="3" s="1"/>
  <c r="AD678" i="3"/>
  <c r="AE678" i="3" s="1"/>
  <c r="AG678" i="3" s="1"/>
  <c r="AM678" i="3" s="1"/>
  <c r="AG1277" i="3"/>
  <c r="AM1277" i="3" s="1"/>
  <c r="AG738" i="3"/>
  <c r="AM738" i="3" s="1"/>
  <c r="Q849" i="3"/>
  <c r="AG1182" i="3"/>
  <c r="AM1182" i="3" s="1"/>
  <c r="AG733" i="3"/>
  <c r="AM733" i="3" s="1"/>
  <c r="Q675" i="3"/>
  <c r="AG709" i="3"/>
  <c r="AM709" i="3" s="1"/>
  <c r="AG973" i="3"/>
  <c r="AM973" i="3" s="1"/>
  <c r="Q1029" i="3"/>
  <c r="AG871" i="3"/>
  <c r="AM871" i="3" s="1"/>
  <c r="AG754" i="3"/>
  <c r="AM754" i="3" s="1"/>
  <c r="AG752" i="3"/>
  <c r="AM752" i="3" s="1"/>
  <c r="AG694" i="3"/>
  <c r="AM694" i="3" s="1"/>
  <c r="Q636" i="3"/>
  <c r="Q90" i="3"/>
  <c r="AG38" i="3"/>
  <c r="AM38" i="3" s="1"/>
  <c r="AG394" i="3"/>
  <c r="AM394" i="3" s="1"/>
  <c r="Q1115" i="3"/>
  <c r="Q1178" i="3"/>
  <c r="AG1316" i="3"/>
  <c r="AM1316" i="3" s="1"/>
  <c r="AG537" i="3"/>
  <c r="AM537" i="3" s="1"/>
  <c r="Q44" i="3"/>
  <c r="AG365" i="3"/>
  <c r="AM365" i="3" s="1"/>
  <c r="Q469" i="3"/>
  <c r="Q165" i="3"/>
  <c r="Q124" i="3"/>
  <c r="P129" i="3"/>
  <c r="N129" i="3"/>
  <c r="O129" i="3" s="1"/>
  <c r="Q129" i="3" s="1"/>
  <c r="N211" i="3"/>
  <c r="O211" i="3" s="1"/>
  <c r="Q211" i="3" s="1"/>
  <c r="P211" i="3"/>
  <c r="R167" i="4"/>
  <c r="P167" i="4"/>
  <c r="Q167" i="4" s="1"/>
  <c r="R170" i="4"/>
  <c r="P170" i="4"/>
  <c r="Q170" i="4" s="1"/>
  <c r="AG18" i="3"/>
  <c r="AM18" i="3" s="1"/>
  <c r="AF99" i="3"/>
  <c r="AD99" i="3"/>
  <c r="AE99" i="3" s="1"/>
  <c r="AG99" i="3" s="1"/>
  <c r="AM99" i="3" s="1"/>
  <c r="AG209" i="3"/>
  <c r="AM209" i="3" s="1"/>
  <c r="K136" i="6"/>
  <c r="K404" i="6" s="1"/>
  <c r="J404" i="6"/>
  <c r="D3" i="6" s="1"/>
  <c r="AG20" i="3"/>
  <c r="AM20" i="3" s="1"/>
  <c r="AF326" i="3"/>
  <c r="AD326" i="3"/>
  <c r="AE326" i="3" s="1"/>
  <c r="R25" i="4"/>
  <c r="P25" i="4"/>
  <c r="Q25" i="4" s="1"/>
  <c r="R45" i="4"/>
  <c r="P45" i="4"/>
  <c r="Q45" i="4" s="1"/>
  <c r="Q606" i="3"/>
  <c r="P74" i="3"/>
  <c r="N74" i="3"/>
  <c r="O74" i="3" s="1"/>
  <c r="P81" i="3"/>
  <c r="N81" i="3"/>
  <c r="O81" i="3" s="1"/>
  <c r="Q81" i="3" s="1"/>
  <c r="Q160" i="3"/>
  <c r="AG586" i="3"/>
  <c r="AM586" i="3" s="1"/>
  <c r="Q205" i="3"/>
  <c r="AG34" i="3"/>
  <c r="AM34" i="3" s="1"/>
  <c r="AG39" i="3"/>
  <c r="AM39" i="3" s="1"/>
  <c r="AG208" i="3"/>
  <c r="AM208" i="3" s="1"/>
  <c r="Q183" i="3"/>
  <c r="P231" i="3"/>
  <c r="N231" i="3"/>
  <c r="O231" i="3" s="1"/>
  <c r="Q231" i="3" s="1"/>
  <c r="AD102" i="3"/>
  <c r="AE102" i="3" s="1"/>
  <c r="AG102" i="3" s="1"/>
  <c r="AM102" i="3" s="1"/>
  <c r="Q302" i="3"/>
  <c r="R262" i="4"/>
  <c r="P262" i="4"/>
  <c r="Q262" i="4" s="1"/>
  <c r="AD149" i="3"/>
  <c r="AE149" i="3" s="1"/>
  <c r="AG149" i="3" s="1"/>
  <c r="AM149" i="3" s="1"/>
  <c r="P56" i="3"/>
  <c r="N56" i="3"/>
  <c r="O56" i="3" s="1"/>
  <c r="P147" i="3"/>
  <c r="N147" i="3"/>
  <c r="O147" i="3" s="1"/>
  <c r="Q147" i="3" s="1"/>
  <c r="AD115" i="3"/>
  <c r="AE115" i="3" s="1"/>
  <c r="AG115" i="3" s="1"/>
  <c r="AM115" i="3" s="1"/>
  <c r="AG131" i="3"/>
  <c r="AM131" i="3" s="1"/>
  <c r="AG194" i="3"/>
  <c r="AM194" i="3" s="1"/>
  <c r="P336" i="3"/>
  <c r="N336" i="3"/>
  <c r="O336" i="3" s="1"/>
  <c r="Q336" i="3" s="1"/>
  <c r="AD138" i="3"/>
  <c r="AE138" i="3" s="1"/>
  <c r="AG138" i="3" s="1"/>
  <c r="AM138" i="3" s="1"/>
  <c r="P161" i="3"/>
  <c r="N161" i="3"/>
  <c r="O161" i="3" s="1"/>
  <c r="AF195" i="3"/>
  <c r="AG195" i="3" s="1"/>
  <c r="AM195" i="3" s="1"/>
  <c r="AD112" i="3"/>
  <c r="AE112" i="3" s="1"/>
  <c r="AG112" i="3" s="1"/>
  <c r="AM112" i="3" s="1"/>
  <c r="N304" i="3"/>
  <c r="O304" i="3" s="1"/>
  <c r="Q304" i="3" s="1"/>
  <c r="Q9" i="9"/>
  <c r="R129" i="4"/>
  <c r="P129" i="4"/>
  <c r="Q129" i="4" s="1"/>
  <c r="AG224" i="3"/>
  <c r="AM224" i="3" s="1"/>
  <c r="P271" i="3"/>
  <c r="N271" i="3"/>
  <c r="O271" i="3" s="1"/>
  <c r="Q271" i="3" s="1"/>
  <c r="Q343" i="3"/>
  <c r="N17" i="3"/>
  <c r="O17" i="3" s="1"/>
  <c r="Q17" i="3" s="1"/>
  <c r="P65" i="3"/>
  <c r="Q65" i="3" s="1"/>
  <c r="N127" i="3"/>
  <c r="O127" i="3" s="1"/>
  <c r="Q127" i="3" s="1"/>
  <c r="P160" i="3"/>
  <c r="AF168" i="3"/>
  <c r="P259" i="3"/>
  <c r="N259" i="3"/>
  <c r="O259" i="3" s="1"/>
  <c r="R324" i="4"/>
  <c r="P324" i="4"/>
  <c r="Q324" i="4" s="1"/>
  <c r="S33" i="4"/>
  <c r="S385" i="4" s="1"/>
  <c r="S148" i="4"/>
  <c r="S283" i="4"/>
  <c r="N158" i="3"/>
  <c r="O158" i="3" s="1"/>
  <c r="Q158" i="3" s="1"/>
  <c r="P51" i="4"/>
  <c r="Q51" i="4" s="1"/>
  <c r="S257" i="4"/>
  <c r="P18" i="4"/>
  <c r="Q18" i="4" s="1"/>
  <c r="P127" i="4"/>
  <c r="Q127" i="4" s="1"/>
  <c r="S154" i="4"/>
  <c r="S355" i="4"/>
  <c r="N163" i="3"/>
  <c r="O163" i="3" s="1"/>
  <c r="Q163" i="3" s="1"/>
  <c r="N228" i="3"/>
  <c r="O228" i="3" s="1"/>
  <c r="Q228" i="3" s="1"/>
  <c r="N234" i="3"/>
  <c r="O234" i="3" s="1"/>
  <c r="Q234" i="3" s="1"/>
  <c r="S74" i="4"/>
  <c r="S133" i="4"/>
  <c r="S297" i="4"/>
  <c r="R363" i="4"/>
  <c r="P363" i="4"/>
  <c r="Q363" i="4" s="1"/>
  <c r="S47" i="4"/>
  <c r="S61" i="4"/>
  <c r="P84" i="4"/>
  <c r="Q84" i="4" s="1"/>
  <c r="N530" i="3"/>
  <c r="O530" i="3" s="1"/>
  <c r="Q530" i="3" s="1"/>
  <c r="S82" i="4"/>
  <c r="S295" i="4"/>
  <c r="S59" i="4"/>
  <c r="P112" i="4"/>
  <c r="Q112" i="4" s="1"/>
  <c r="S234" i="4"/>
  <c r="AF1027" i="3"/>
  <c r="AD1027" i="3"/>
  <c r="AE1027" i="3" s="1"/>
  <c r="AG1027" i="3" s="1"/>
  <c r="AM1027" i="3" s="1"/>
  <c r="F9" i="10"/>
  <c r="F24" i="10" s="1"/>
  <c r="AD504" i="3"/>
  <c r="AE504" i="3" s="1"/>
  <c r="AG504" i="3" s="1"/>
  <c r="AM504" i="3" s="1"/>
  <c r="AD637" i="3"/>
  <c r="AE637" i="3" s="1"/>
  <c r="AG637" i="3" s="1"/>
  <c r="AM637" i="3" s="1"/>
  <c r="N590" i="3"/>
  <c r="O590" i="3" s="1"/>
  <c r="P590" i="3"/>
  <c r="AD577" i="3"/>
  <c r="AE577" i="3" s="1"/>
  <c r="AF577" i="3"/>
  <c r="P1252" i="3"/>
  <c r="Q1252" i="3" s="1"/>
  <c r="AD543" i="3"/>
  <c r="AE543" i="3" s="1"/>
  <c r="AF543" i="3"/>
  <c r="AG1065" i="3"/>
  <c r="AM1065" i="3" s="1"/>
  <c r="P1060" i="3"/>
  <c r="N1060" i="3"/>
  <c r="O1060" i="3" s="1"/>
  <c r="Q1060" i="3" s="1"/>
  <c r="AF793" i="3"/>
  <c r="AD793" i="3"/>
  <c r="AE793" i="3" s="1"/>
  <c r="S115" i="4"/>
  <c r="AF860" i="3"/>
  <c r="AD860" i="3"/>
  <c r="AE860" i="3" s="1"/>
  <c r="AG860" i="3" s="1"/>
  <c r="AM860" i="3" s="1"/>
  <c r="AG821" i="3"/>
  <c r="AM821" i="3" s="1"/>
  <c r="P885" i="3"/>
  <c r="N885" i="3"/>
  <c r="O885" i="3" s="1"/>
  <c r="Q885" i="3" s="1"/>
  <c r="AD956" i="3"/>
  <c r="AE956" i="3" s="1"/>
  <c r="AG956" i="3" s="1"/>
  <c r="AM956" i="3" s="1"/>
  <c r="AD1197" i="3"/>
  <c r="AE1197" i="3" s="1"/>
  <c r="AG1197" i="3" s="1"/>
  <c r="AM1197" i="3" s="1"/>
  <c r="AF1156" i="3"/>
  <c r="AD1156" i="3"/>
  <c r="AE1156" i="3" s="1"/>
  <c r="P1119" i="3"/>
  <c r="N1119" i="3"/>
  <c r="O1119" i="3" s="1"/>
  <c r="N1315" i="3"/>
  <c r="O1315" i="3" s="1"/>
  <c r="Q1315" i="3" s="1"/>
  <c r="AG1250" i="3"/>
  <c r="AM1250" i="3" s="1"/>
  <c r="AF304" i="4"/>
  <c r="AG304" i="4" s="1"/>
  <c r="AH304" i="4"/>
  <c r="S119" i="4"/>
  <c r="AD1154" i="3"/>
  <c r="AE1154" i="3" s="1"/>
  <c r="AG1154" i="3" s="1"/>
  <c r="AM1154" i="3" s="1"/>
  <c r="N1291" i="3"/>
  <c r="O1291" i="3" s="1"/>
  <c r="Q1291" i="3" s="1"/>
  <c r="P1291" i="3"/>
  <c r="P1183" i="3"/>
  <c r="N1183" i="3"/>
  <c r="O1183" i="3" s="1"/>
  <c r="Q1183" i="3" s="1"/>
  <c r="N1117" i="3"/>
  <c r="O1117" i="3" s="1"/>
  <c r="Q1117" i="3" s="1"/>
  <c r="AD693" i="3"/>
  <c r="AE693" i="3" s="1"/>
  <c r="AG693" i="3" s="1"/>
  <c r="AM693" i="3" s="1"/>
  <c r="P1174" i="3"/>
  <c r="N1174" i="3"/>
  <c r="O1174" i="3" s="1"/>
  <c r="AF1133" i="3"/>
  <c r="AD1133" i="3"/>
  <c r="AE1133" i="3" s="1"/>
  <c r="AD1101" i="3"/>
  <c r="AE1101" i="3" s="1"/>
  <c r="AG1101" i="3" s="1"/>
  <c r="AM1101" i="3" s="1"/>
  <c r="N1088" i="3"/>
  <c r="O1088" i="3" s="1"/>
  <c r="Q1088" i="3" s="1"/>
  <c r="N1277" i="3"/>
  <c r="O1277" i="3" s="1"/>
  <c r="Q1277" i="3" s="1"/>
  <c r="AD1184" i="3"/>
  <c r="AE1184" i="3" s="1"/>
  <c r="AG1184" i="3" s="1"/>
  <c r="AM1184" i="3" s="1"/>
  <c r="N997" i="3"/>
  <c r="O997" i="3" s="1"/>
  <c r="Q997" i="3" s="1"/>
  <c r="AD858" i="3"/>
  <c r="AE858" i="3" s="1"/>
  <c r="AG858" i="3" s="1"/>
  <c r="AM858" i="3" s="1"/>
  <c r="AF858" i="3"/>
  <c r="AF1256" i="3"/>
  <c r="AD1129" i="3"/>
  <c r="AE1129" i="3" s="1"/>
  <c r="AG1129" i="3" s="1"/>
  <c r="AM1129" i="3" s="1"/>
  <c r="N1109" i="3"/>
  <c r="O1109" i="3" s="1"/>
  <c r="Q1109" i="3" s="1"/>
  <c r="AD984" i="3"/>
  <c r="AE984" i="3" s="1"/>
  <c r="AF984" i="3"/>
  <c r="N698" i="3"/>
  <c r="O698" i="3" s="1"/>
  <c r="Q698" i="3" s="1"/>
  <c r="AF330" i="4"/>
  <c r="AG330" i="4" s="1"/>
  <c r="AD1186" i="3"/>
  <c r="AE1186" i="3" s="1"/>
  <c r="AG1186" i="3" s="1"/>
  <c r="AM1186" i="3" s="1"/>
  <c r="AD1130" i="3"/>
  <c r="AE1130" i="3" s="1"/>
  <c r="AG1130" i="3" s="1"/>
  <c r="AM1130" i="3" s="1"/>
  <c r="N1110" i="3"/>
  <c r="O1110" i="3" s="1"/>
  <c r="Q1110" i="3" s="1"/>
  <c r="P741" i="3"/>
  <c r="N741" i="3"/>
  <c r="O741" i="3" s="1"/>
  <c r="P681" i="3"/>
  <c r="Q681" i="3" s="1"/>
  <c r="AF138" i="4"/>
  <c r="AG138" i="4" s="1"/>
  <c r="AD1259" i="3"/>
  <c r="AE1259" i="3" s="1"/>
  <c r="AG1259" i="3" s="1"/>
  <c r="AM1259" i="3" s="1"/>
  <c r="AD1179" i="3"/>
  <c r="AE1179" i="3" s="1"/>
  <c r="AG1179" i="3" s="1"/>
  <c r="AM1179" i="3" s="1"/>
  <c r="AI371" i="4"/>
  <c r="AO371" i="4" s="1"/>
  <c r="AH339" i="4"/>
  <c r="N735" i="3"/>
  <c r="O735" i="3" s="1"/>
  <c r="P735" i="3"/>
  <c r="N1146" i="3"/>
  <c r="O1146" i="3" s="1"/>
  <c r="Q1146" i="3" s="1"/>
  <c r="N1055" i="3"/>
  <c r="O1055" i="3" s="1"/>
  <c r="Q1055" i="3" s="1"/>
  <c r="AI375" i="4"/>
  <c r="AO375" i="4" s="1"/>
  <c r="AD982" i="3"/>
  <c r="AE982" i="3" s="1"/>
  <c r="AG982" i="3" s="1"/>
  <c r="AM982" i="3" s="1"/>
  <c r="AI169" i="4"/>
  <c r="AO169" i="4" s="1"/>
  <c r="AD940" i="3"/>
  <c r="AE940" i="3" s="1"/>
  <c r="AG940" i="3" s="1"/>
  <c r="AM940" i="3" s="1"/>
  <c r="AD813" i="3"/>
  <c r="AE813" i="3" s="1"/>
  <c r="AG813" i="3" s="1"/>
  <c r="AM813" i="3" s="1"/>
  <c r="AF739" i="3"/>
  <c r="AG739" i="3" s="1"/>
  <c r="AM739" i="3" s="1"/>
  <c r="AI286" i="4"/>
  <c r="AO286" i="4" s="1"/>
  <c r="AH140" i="4"/>
  <c r="AF140" i="4"/>
  <c r="AG140" i="4" s="1"/>
  <c r="AF932" i="3"/>
  <c r="AG932" i="3" s="1"/>
  <c r="AM932" i="3" s="1"/>
  <c r="AD703" i="3"/>
  <c r="AE703" i="3" s="1"/>
  <c r="AG703" i="3" s="1"/>
  <c r="AM703" i="3" s="1"/>
  <c r="N929" i="3"/>
  <c r="O929" i="3" s="1"/>
  <c r="Q929" i="3" s="1"/>
  <c r="N891" i="3"/>
  <c r="O891" i="3" s="1"/>
  <c r="Q891" i="3" s="1"/>
  <c r="AF288" i="4"/>
  <c r="AG288" i="4" s="1"/>
  <c r="N848" i="3"/>
  <c r="O848" i="3" s="1"/>
  <c r="P848" i="3"/>
  <c r="AD686" i="3"/>
  <c r="AE686" i="3" s="1"/>
  <c r="AG686" i="3" s="1"/>
  <c r="AM686" i="3" s="1"/>
  <c r="AI302" i="4"/>
  <c r="AO302" i="4" s="1"/>
  <c r="AH150" i="4"/>
  <c r="AH66" i="4"/>
  <c r="AF66" i="4"/>
  <c r="AG66" i="4" s="1"/>
  <c r="Q851" i="3"/>
  <c r="Q779" i="3"/>
  <c r="AG763" i="3"/>
  <c r="AM763" i="3" s="1"/>
  <c r="AD654" i="3"/>
  <c r="AE654" i="3" s="1"/>
  <c r="AG654" i="3" s="1"/>
  <c r="AM654" i="3" s="1"/>
  <c r="AI327" i="4"/>
  <c r="AO327" i="4" s="1"/>
  <c r="AI215" i="4"/>
  <c r="AO215" i="4" s="1"/>
  <c r="AH20" i="4"/>
  <c r="AF20" i="4"/>
  <c r="AG20" i="4" s="1"/>
  <c r="P833" i="3"/>
  <c r="Q833" i="3" s="1"/>
  <c r="P744" i="3"/>
  <c r="Q744" i="3" s="1"/>
  <c r="AF688" i="3"/>
  <c r="AF142" i="4"/>
  <c r="AG142" i="4" s="1"/>
  <c r="AF60" i="4"/>
  <c r="AG60" i="4" s="1"/>
  <c r="AH60" i="4"/>
  <c r="AF352" i="4"/>
  <c r="AG352" i="4" s="1"/>
  <c r="AF189" i="4"/>
  <c r="AG189" i="4" s="1"/>
  <c r="AF289" i="4"/>
  <c r="AG289" i="4" s="1"/>
  <c r="AI378" i="4"/>
  <c r="AO378" i="4" s="1"/>
  <c r="AF247" i="4"/>
  <c r="AG247" i="4" s="1"/>
  <c r="AF82" i="4"/>
  <c r="AG82" i="4" s="1"/>
  <c r="AI45" i="4"/>
  <c r="AO45" i="4" s="1"/>
  <c r="AG1256" i="3" l="1"/>
  <c r="AM1256" i="3" s="1"/>
  <c r="AG62" i="3"/>
  <c r="AM62" i="3" s="1"/>
  <c r="AG1156" i="3"/>
  <c r="AM1156" i="3" s="1"/>
  <c r="AG168" i="3"/>
  <c r="AM168" i="3" s="1"/>
  <c r="AG645" i="3"/>
  <c r="AM645" i="3" s="1"/>
  <c r="AG33" i="3"/>
  <c r="AM33" i="3" s="1"/>
  <c r="AG399" i="3"/>
  <c r="AM399" i="3" s="1"/>
  <c r="AG326" i="3"/>
  <c r="AM326" i="3" s="1"/>
  <c r="AG753" i="3"/>
  <c r="AM753" i="3" s="1"/>
  <c r="AG688" i="3"/>
  <c r="AM688" i="3" s="1"/>
  <c r="AG1050" i="3"/>
  <c r="AM1050" i="3" s="1"/>
  <c r="AG1133" i="3"/>
  <c r="AM1133" i="3" s="1"/>
  <c r="AG657" i="3"/>
  <c r="AM657" i="3" s="1"/>
  <c r="AG794" i="3"/>
  <c r="AM794" i="3" s="1"/>
  <c r="AG1282" i="3"/>
  <c r="AM1282" i="3" s="1"/>
  <c r="AG254" i="3"/>
  <c r="AM254" i="3" s="1"/>
  <c r="D5" i="4"/>
  <c r="C21" i="2"/>
  <c r="Q56" i="3"/>
  <c r="Q161" i="3"/>
  <c r="Q735" i="3"/>
  <c r="D5" i="6"/>
  <c r="C22" i="2"/>
  <c r="AG984" i="3"/>
  <c r="AM984" i="3" s="1"/>
  <c r="Q1174" i="3"/>
  <c r="AG577" i="3"/>
  <c r="AM577" i="3" s="1"/>
  <c r="Q74" i="3"/>
  <c r="Q1325" i="3" s="1"/>
  <c r="D5" i="3" s="1"/>
  <c r="Q848" i="3"/>
  <c r="Q1119" i="3"/>
  <c r="AG793" i="3"/>
  <c r="AM793" i="3" s="1"/>
  <c r="Q590" i="3"/>
  <c r="AG543" i="3"/>
  <c r="AM543" i="3" s="1"/>
  <c r="Q741" i="3"/>
  <c r="Q259" i="3"/>
  <c r="AI385" i="4"/>
  <c r="D6" i="4" s="1"/>
  <c r="AG1325" i="3" l="1"/>
  <c r="D6" i="3" s="1"/>
  <c r="E5" i="3" s="1"/>
  <c r="C23" i="2"/>
  <c r="G26" i="2" s="1"/>
  <c r="G2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7" authorId="0" shapeId="0" xr:uid="{00000000-0006-0000-0100-000001000000}">
      <text>
        <r>
          <rPr>
            <b/>
            <sz val="9"/>
            <color indexed="55"/>
            <rFont val="Tahoma"/>
            <family val="2"/>
            <charset val="1"/>
          </rPr>
          <t xml:space="preserve">6.4 Fator de Criticidade de Solicitação de Serviço (SISP)
</t>
        </r>
        <r>
          <rPr>
            <sz val="9"/>
            <color indexed="55"/>
            <rFont val="Tahoma"/>
            <family val="2"/>
            <charset val="1"/>
          </rPr>
          <t>Em função da criticidade e da necessidade de alocação de recursos extras para
atendimento da demanda no prazo estipulado pelo cliente, será adotado um Fator de
Criticidade de 1,35 (um vírgula trinta e cinco), que deverá ser multiplicado pelo tamanho
funcional da demanda considerada crítica, de modo a remunerar adequadamente o
aumento do esforço de atendimento. Este fator é considerado para demandas que devem
ser atendidas em finais de semana, feriados e fora do horário comercial. Entende-se
como horário comercial o horário de 08:00 às 18:00 h, horário de Brasília.</t>
        </r>
      </text>
    </comment>
    <comment ref="G27" authorId="0" shapeId="0" xr:uid="{00000000-0006-0000-0100-000002000000}">
      <text>
        <r>
          <rPr>
            <b/>
            <sz val="9"/>
            <color indexed="55"/>
            <rFont val="Tahoma"/>
            <family val="2"/>
            <charset val="1"/>
          </rPr>
          <t>Variação: 1 a 1,35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8" authorId="0" shapeId="0" xr:uid="{00000000-0006-0000-0300-000001000000}">
      <text>
        <r>
          <rPr>
            <sz val="9"/>
            <color indexed="55"/>
            <rFont val="Tahoma"/>
            <family val="2"/>
            <charset val="1"/>
          </rPr>
          <t>Número sequencial do item da contagem.</t>
        </r>
      </text>
    </comment>
    <comment ref="B8" authorId="0" shapeId="0" xr:uid="{00000000-0006-0000-0300-000002000000}">
      <text>
        <r>
          <rPr>
            <sz val="9"/>
            <color indexed="55"/>
            <rFont val="Tahoma"/>
            <family val="2"/>
            <charset val="1"/>
          </rPr>
          <t>Verificar a descrição sobre os tipos de manutenção na aba Tipo Projeto</t>
        </r>
      </text>
    </comment>
    <comment ref="T8" authorId="0" shapeId="0" xr:uid="{00000000-0006-0000-0300-000003000000}">
      <text>
        <r>
          <rPr>
            <sz val="9"/>
            <color indexed="55"/>
            <rFont val="Tahoma"/>
            <family val="2"/>
            <charset val="1"/>
          </rPr>
          <t>Item (Fundamentação) na qual a contagem se baseou</t>
        </r>
      </text>
    </comment>
    <comment ref="W8" authorId="0" shapeId="0" xr:uid="{00000000-0006-0000-0300-000004000000}">
      <text>
        <r>
          <rPr>
            <sz val="9"/>
            <color indexed="55"/>
            <rFont val="Tahoma"/>
            <family val="2"/>
            <charset val="1"/>
          </rPr>
          <t>Verificar a descrição sobre os tipos de manutenção na aba Tipo Projeto</t>
        </r>
      </text>
    </comment>
    <comment ref="AJ8" authorId="0" shapeId="0" xr:uid="{00000000-0006-0000-0300-000005000000}">
      <text>
        <r>
          <rPr>
            <sz val="9"/>
            <color indexed="55"/>
            <rFont val="Tahoma"/>
            <family val="2"/>
            <charset val="1"/>
          </rPr>
          <t>Item (Fundamentação) na qual a contagem se baseou</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500-000001000000}">
      <text>
        <r>
          <rPr>
            <sz val="9"/>
            <color indexed="55"/>
            <rFont val="Tahoma"/>
            <family val="2"/>
            <charset val="1"/>
          </rPr>
          <t>Número sequencial do item da contagem.</t>
        </r>
      </text>
    </comment>
    <comment ref="L8" authorId="0" shapeId="0" xr:uid="{00000000-0006-0000-0500-000002000000}">
      <text>
        <r>
          <rPr>
            <sz val="9"/>
            <color indexed="55"/>
            <rFont val="Tahoma"/>
            <family val="2"/>
            <charset val="1"/>
          </rPr>
          <t>Item (Fundamentação) na qual a contagem se baseou</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00000000-0006-0000-0800-000001000000}">
      <text>
        <r>
          <rPr>
            <b/>
            <sz val="9"/>
            <color indexed="55"/>
            <rFont val="Segoe UI"/>
            <family val="2"/>
            <charset val="1"/>
          </rPr>
          <t xml:space="preserve">Basis Tecnologia:
</t>
        </r>
        <r>
          <rPr>
            <sz val="9"/>
            <color indexed="55"/>
            <rFont val="Segoe UI"/>
            <family val="2"/>
            <charset val="1"/>
          </rPr>
          <t>*Se não informado será utilizado t = 0,35</t>
        </r>
      </text>
    </comment>
    <comment ref="K16" authorId="0" shapeId="0" xr:uid="{00000000-0006-0000-0800-000002000000}">
      <text>
        <r>
          <rPr>
            <b/>
            <sz val="9"/>
            <color indexed="55"/>
            <rFont val="Segoe UI"/>
            <family val="2"/>
            <charset val="1"/>
          </rPr>
          <t xml:space="preserve">Basis Tecnologia:
</t>
        </r>
        <r>
          <rPr>
            <sz val="9"/>
            <color indexed="55"/>
            <rFont val="Segoe UI"/>
            <family val="2"/>
            <charset val="1"/>
          </rPr>
          <t xml:space="preserve">Td: prazo V: tamanho em PF t: expoente t </t>
        </r>
      </text>
    </comment>
  </commentList>
</comments>
</file>

<file path=xl/sharedStrings.xml><?xml version="1.0" encoding="utf-8"?>
<sst xmlns="http://schemas.openxmlformats.org/spreadsheetml/2006/main" count="674" uniqueCount="314">
  <si>
    <t>Template V.2.0</t>
  </si>
  <si>
    <t>Contagem de Pontos de Função</t>
  </si>
  <si>
    <t>Identificação</t>
  </si>
  <si>
    <t>O.S.:</t>
  </si>
  <si>
    <t>Tipo de Atividade:</t>
  </si>
  <si>
    <t>Tipo de Contagem:</t>
  </si>
  <si>
    <t>Aplicação:</t>
  </si>
  <si>
    <t>Elaborador da contagem:</t>
  </si>
  <si>
    <t>Data da Contagem:</t>
  </si>
  <si>
    <t>Revisor da contagem:</t>
  </si>
  <si>
    <t>Data da Revisão:</t>
  </si>
  <si>
    <t>Propósito da Contagem</t>
  </si>
  <si>
    <t>Escopo da Contagem</t>
  </si>
  <si>
    <t>Quadro Resumo</t>
  </si>
  <si>
    <t>Projeto de Desenvolvimento e Manutenção</t>
  </si>
  <si>
    <t>Arquivo Lógico Interno (ALI)</t>
  </si>
  <si>
    <t>Distribuição de Esforço por Fase do Projeto 
(conforme item 6.1.2.1 do SISP 2.0)</t>
  </si>
  <si>
    <t>Arquivo de Interface Externa (AIE)</t>
  </si>
  <si>
    <t>Consulta Externa (CE)</t>
  </si>
  <si>
    <t>Engenharia de Requisitos</t>
  </si>
  <si>
    <t>Entrada Externa (EE)</t>
  </si>
  <si>
    <t>Design e Arquitetura</t>
  </si>
  <si>
    <t>Saída Externa (SE)</t>
  </si>
  <si>
    <t>Implementação</t>
  </si>
  <si>
    <t>INM</t>
  </si>
  <si>
    <t>Testes</t>
  </si>
  <si>
    <t>UST</t>
  </si>
  <si>
    <t>Homologação</t>
  </si>
  <si>
    <t>Total (A)</t>
  </si>
  <si>
    <t>Implantação</t>
  </si>
  <si>
    <t>Percentual de Esforço (E)</t>
  </si>
  <si>
    <t>Projeto de Redocumentação de Requisitos</t>
  </si>
  <si>
    <t>Distribuição de Esforço conforme item 4.11 do SISP</t>
  </si>
  <si>
    <t>Fator de criticidade</t>
  </si>
  <si>
    <t>Quantidade Final Ajustada</t>
  </si>
  <si>
    <t>Redocumentação somente requisitos</t>
  </si>
  <si>
    <t>Percentual de Esforço (E2)</t>
  </si>
  <si>
    <t>Contagem de Pontos de Função
Contagem Detalhada</t>
  </si>
  <si>
    <t>Validação/Controle de Divergência
Fábrica de Métricas/Cliente</t>
  </si>
  <si>
    <t>Fábrica de Métricas</t>
  </si>
  <si>
    <t>Situação:</t>
  </si>
  <si>
    <t>Contagem Fábrica de Software:</t>
  </si>
  <si>
    <t>Contagem Fábrica de Métricas:</t>
  </si>
  <si>
    <t>ID</t>
  </si>
  <si>
    <t>Tipo Projeto</t>
  </si>
  <si>
    <t>Fator Ajuste</t>
  </si>
  <si>
    <t>Módulo</t>
  </si>
  <si>
    <t>Requisito</t>
  </si>
  <si>
    <t>Processos elementares</t>
  </si>
  <si>
    <t>Tipo</t>
  </si>
  <si>
    <t>TD / DER</t>
  </si>
  <si>
    <t>RLR / ALR</t>
  </si>
  <si>
    <t>Complexidade</t>
  </si>
  <si>
    <t>PF</t>
  </si>
  <si>
    <t>Observação/Parecer Técnico</t>
  </si>
  <si>
    <t>Validação</t>
  </si>
  <si>
    <t>Parecer Técnico</t>
  </si>
  <si>
    <t>Resposta Fábrica de Software</t>
  </si>
  <si>
    <t>Parecer Final</t>
  </si>
  <si>
    <t>Validação Final</t>
  </si>
  <si>
    <t>Qtd.</t>
  </si>
  <si>
    <t>Descrição</t>
  </si>
  <si>
    <t>C_T</t>
  </si>
  <si>
    <t>C_D</t>
  </si>
  <si>
    <t>PF_T</t>
  </si>
  <si>
    <t>PF_D</t>
  </si>
  <si>
    <t>Só inserir linhas antes desta.</t>
  </si>
  <si>
    <t>Tamanho Funcional</t>
  </si>
  <si>
    <t>Contagem de Pontos de Função
INM - Itens Não mensuráveis</t>
  </si>
  <si>
    <t>Quantidade de Pontos de Função:</t>
  </si>
  <si>
    <t>Item PT</t>
  </si>
  <si>
    <t>Release</t>
  </si>
  <si>
    <t>Desenvolvimento</t>
  </si>
  <si>
    <t>Fund.</t>
  </si>
  <si>
    <t>Qtd</t>
  </si>
  <si>
    <t>DER</t>
  </si>
  <si>
    <t>RL/AR</t>
  </si>
  <si>
    <t>Só inserir linhas depois desta.</t>
  </si>
  <si>
    <t>Contagem de Pontos de Função
Contagem Estimada</t>
  </si>
  <si>
    <t>Funções de Dados / Transação</t>
  </si>
  <si>
    <t>Observação</t>
  </si>
  <si>
    <t>Tamanho Funcional Estimado:</t>
  </si>
  <si>
    <t>Template V.1.6</t>
  </si>
  <si>
    <t>Contagem de Unidade de Serviço Técnico - UST</t>
  </si>
  <si>
    <t>Quantidade de UST:</t>
  </si>
  <si>
    <t>Quantidade UST em PF:</t>
  </si>
  <si>
    <t>Item Catálogo</t>
  </si>
  <si>
    <t>Horas</t>
  </si>
  <si>
    <t>Descrição do Serviço Técnico / Atividade</t>
  </si>
  <si>
    <t xml:space="preserve"> </t>
  </si>
  <si>
    <t>Tamanho Total UST:</t>
  </si>
  <si>
    <t>Tamnho UST em PF:</t>
  </si>
  <si>
    <t>Template V.1.1</t>
  </si>
  <si>
    <t>Contagem de Pontos de Função
Contagem Indicativa</t>
  </si>
  <si>
    <t>Arquivos Lógicos</t>
  </si>
  <si>
    <t>Funções de Dados</t>
  </si>
  <si>
    <t>Tamanho Funcional Indicativo:</t>
  </si>
  <si>
    <t>Contagem de Pontos de Função
Distribuição de Esforço/ Redução de Prazo</t>
  </si>
  <si>
    <t>DISTRIBUIÇÃO DE PRAZO DE PROJETO</t>
  </si>
  <si>
    <t>REDUÇÃO DE PRAZO</t>
  </si>
  <si>
    <t>P1 - Informe o tipo de Prazo (Úteis/Corridos):</t>
  </si>
  <si>
    <t>Corridos</t>
  </si>
  <si>
    <t>Tamanho do Projeto</t>
  </si>
  <si>
    <t>DESCRIÇÃO</t>
  </si>
  <si>
    <t>VALORES</t>
  </si>
  <si>
    <t>P2 - Informe a versão do SISP:</t>
  </si>
  <si>
    <t>SISP v2.0/2.1</t>
  </si>
  <si>
    <t>Data limite desejada</t>
  </si>
  <si>
    <t>P3 - Informe Tipo do Sistema:</t>
  </si>
  <si>
    <t>Sistema OO</t>
  </si>
  <si>
    <t>Expoent t para o Tipo:</t>
  </si>
  <si>
    <t>Complex.
Baixa</t>
  </si>
  <si>
    <t>Complex.
Média</t>
  </si>
  <si>
    <t>Prazo desejado p/conclusão (dias)</t>
  </si>
  <si>
    <t>Até 10 PF</t>
  </si>
  <si>
    <t>Taxa de redução do prazo-projeto</t>
  </si>
  <si>
    <t>P4 - Informe a complexidade do projeto:</t>
  </si>
  <si>
    <t xml:space="preserve">Projetos com mais de 99 PF </t>
  </si>
  <si>
    <t>De 11 PF a 20 PF</t>
  </si>
  <si>
    <t>SISP</t>
  </si>
  <si>
    <t>LINEAR</t>
  </si>
  <si>
    <t>P5 - Informe o tamanho do Projeto em PF:</t>
  </si>
  <si>
    <t>De 21 PF a 30 PF</t>
  </si>
  <si>
    <t>Taxa de aumento de esforço</t>
  </si>
  <si>
    <t>Fases do Projeto</t>
  </si>
  <si>
    <t>% SISP</t>
  </si>
  <si>
    <t>% OS</t>
  </si>
  <si>
    <t>Dias</t>
  </si>
  <si>
    <t>Cronograma</t>
  </si>
  <si>
    <t>De 31 PF a 40 PF</t>
  </si>
  <si>
    <t>Índice multiplicador de esforço</t>
  </si>
  <si>
    <t>Início</t>
  </si>
  <si>
    <t>Fim</t>
  </si>
  <si>
    <t>De 41 PF a 50 PF</t>
  </si>
  <si>
    <t>Novo Tamanho Funcional (PF)</t>
  </si>
  <si>
    <t>De 51 PF a 60 PF</t>
  </si>
  <si>
    <t>CRONOGRAMA COM REDUÇÃO DE PRAZO</t>
  </si>
  <si>
    <t>Arquitetura &amp; Design</t>
  </si>
  <si>
    <t>De 61 PF a 70 PF</t>
  </si>
  <si>
    <t>Data Início</t>
  </si>
  <si>
    <t>Data Fim</t>
  </si>
  <si>
    <t>De 71 PF a 80 PF</t>
  </si>
  <si>
    <t>De 81 PF a 90 PF</t>
  </si>
  <si>
    <t>De 91 PF a 100 PF</t>
  </si>
  <si>
    <t>+ de 99 PF</t>
  </si>
  <si>
    <r>
      <rPr>
        <sz val="10"/>
        <rFont val="Calibri"/>
        <family val="2"/>
        <charset val="1"/>
      </rPr>
      <t xml:space="preserve">Cálculo pela fórmula de Capers Jones: 
</t>
    </r>
    <r>
      <rPr>
        <b/>
        <sz val="10"/>
        <color indexed="55"/>
        <rFont val="Calibri"/>
        <family val="2"/>
        <charset val="1"/>
      </rPr>
      <t>Td = V^t</t>
    </r>
  </si>
  <si>
    <t>TOTAL</t>
  </si>
  <si>
    <t>Redução 
do prazo</t>
  </si>
  <si>
    <t>Aumento
no esforço</t>
  </si>
  <si>
    <t>Redução do prazo</t>
  </si>
  <si>
    <t>Curva
Linear</t>
  </si>
  <si>
    <t>Contagem de Pontos de Função - SISP 2.0
Esforço</t>
  </si>
  <si>
    <t>Produtividade (h/PFs) -----------&gt;</t>
  </si>
  <si>
    <t>Quant. PF</t>
  </si>
  <si>
    <t>Total</t>
  </si>
  <si>
    <t>Identificação da Manutenção</t>
  </si>
  <si>
    <t>Serviço e Produto UST</t>
  </si>
  <si>
    <t>Fator de Ajuste</t>
  </si>
  <si>
    <t>1 - Registro de Necessidades</t>
  </si>
  <si>
    <t>Básica</t>
  </si>
  <si>
    <t>Intermediária</t>
  </si>
  <si>
    <t>Mediana</t>
  </si>
  <si>
    <t>Alta</t>
  </si>
  <si>
    <t>Item</t>
  </si>
  <si>
    <t xml:space="preserve">PF </t>
  </si>
  <si>
    <t xml:space="preserve">Especificidade </t>
  </si>
  <si>
    <t>2 - Atualização dos dados de necessidade ou demandas</t>
  </si>
  <si>
    <t>3 - Geração de relatórios</t>
  </si>
  <si>
    <t>4 - Atualização de relatórios</t>
  </si>
  <si>
    <t>5 - Levantamento de Necessidades de Informação</t>
  </si>
  <si>
    <t>6 - Parecer sobre necessidade</t>
  </si>
  <si>
    <t>7 - Estimativa de esforço
HST</t>
  </si>
  <si>
    <t>8 - Necessidade de
usuário</t>
  </si>
  <si>
    <t>9 - Caso de uso</t>
  </si>
  <si>
    <t>10 - Protótipo de solução</t>
  </si>
  <si>
    <t>11 - Regras de negócio</t>
  </si>
  <si>
    <t>12 - Documento de Visão</t>
  </si>
  <si>
    <t>13 - Modelo de arquitetura de Desenvolvimento</t>
  </si>
  <si>
    <t>14 - Desenho de Solução
(UML)</t>
  </si>
  <si>
    <t>15 - Dicionário de dados</t>
  </si>
  <si>
    <t>16 - Estimativas</t>
  </si>
  <si>
    <t>17 - Análise de viabilidade de soluções</t>
  </si>
  <si>
    <t>18 - Definição de arquitetura de referência</t>
  </si>
  <si>
    <t>19 - Documentação da arquitetura existente</t>
  </si>
  <si>
    <t>20 - Planejamento de projeto</t>
  </si>
  <si>
    <t>21 - Relatório de Situação de Projeto</t>
  </si>
  <si>
    <t>22 - Suporte a Projetos</t>
  </si>
  <si>
    <t>23 - Apoio ao Controle de Projetos</t>
  </si>
  <si>
    <t>24 - Apoio ao Gerenciamento de Projetos</t>
  </si>
  <si>
    <t>25 - Controle de Portfolio de Projetos</t>
  </si>
  <si>
    <t>26 - Controle de Portfolio de Serviços</t>
  </si>
  <si>
    <t>27 - Indicadores de desempenho</t>
  </si>
  <si>
    <t>28 - Níveis de serviço</t>
  </si>
  <si>
    <t>29 - Validação de qualidade</t>
  </si>
  <si>
    <t>30 - Riscos</t>
  </si>
  <si>
    <t>31 - Planejamento de Metodologia</t>
  </si>
  <si>
    <t>32 - Adequação metodológica</t>
  </si>
  <si>
    <t>33 - Validação de aplicação de metodologia</t>
  </si>
  <si>
    <t>34 - Apostila</t>
  </si>
  <si>
    <t>35 - Manual</t>
  </si>
  <si>
    <t>36 - Documentação do Sistema</t>
  </si>
  <si>
    <t>37 - Curso presencial</t>
  </si>
  <si>
    <t>38 - Workshop</t>
  </si>
  <si>
    <t>39 - Treinamento automatizado</t>
  </si>
  <si>
    <t>40 - Treinamento áudio visual</t>
  </si>
  <si>
    <t>41 - Apoio para atendimento de usuários '</t>
  </si>
  <si>
    <t>42 - Resultado de pesquisa</t>
  </si>
  <si>
    <t>43 - Levantamento de processos</t>
  </si>
  <si>
    <t>44 - Documentação de Processos</t>
  </si>
  <si>
    <t>45 - Melhoria de Processos</t>
  </si>
  <si>
    <t>46 - Análise e Controle de Processos</t>
  </si>
  <si>
    <t>47 - Automação de processos</t>
  </si>
  <si>
    <t>48 - Elaboração de artefatos ou instrumentos de suporte para processo por campo</t>
  </si>
  <si>
    <t>49 - Teste de processo automatizado</t>
  </si>
  <si>
    <t>50 - Triagem de Demandas</t>
  </si>
  <si>
    <t>51 - Painel de demandas</t>
  </si>
  <si>
    <t>52 - Priorização de Demandas</t>
  </si>
  <si>
    <t>Tipo de Sistema</t>
  </si>
  <si>
    <t>Expoente</t>
  </si>
  <si>
    <t>Sistema Comum – Mainframe</t>
  </si>
  <si>
    <t>Desenvolvimento de sistema com alto grau de reuso ou manutenção evolutiva</t>
  </si>
  <si>
    <t>Sistema Comum – WEB ou Cliente Servidor</t>
  </si>
  <si>
    <t>Se o projeto OO não for novidade para equipe, não tiver o desenvolvimento de componentes reusáveis, considerar sistema comum</t>
  </si>
  <si>
    <t>Sistema Cliente/Servidor</t>
  </si>
  <si>
    <t>Com alta complexidade arquitetural e integração com outros sistemas</t>
  </si>
  <si>
    <t>Sistemas Gerenciais complexos</t>
  </si>
  <si>
    <t>Com muitas integrações, Datawarehousing, Geoprocessamento, Workflow</t>
  </si>
  <si>
    <t>Software Básico, Frameworks, Sistemas Comerciais</t>
  </si>
  <si>
    <t>Software Militar</t>
  </si>
  <si>
    <t>Manutenção em Interface</t>
  </si>
  <si>
    <t xml:space="preserve">Manutenção em Interface 
A manutenção em interface, denominada na literatura de manutenção cosmética, é associada às demandas de alterações de interface
Nestes casos, a aferição do tamanho em pontos de função das funções transacionais impactadas será realizada com a aplicação de um fator de redução de modo a considerar 20% da contagem de uma função transacional de mais baixa complexidade (3 PF), ou seja 0,6 PF, independentemente da complexidade da funcionalidade alterada. Neste tipo de manutenção não são contadas funções de dados.
PF_INTERFACE = 0,6 PF x QUANTIDADE DE FUNÇÕES TRANSACIONAIS IMPACTADAS
</t>
  </si>
  <si>
    <t>Atualização de Dados</t>
  </si>
  <si>
    <t>Desenvolvimento, Manutenção e Publicação de Páginas Estáticas</t>
  </si>
  <si>
    <t>Componente Interno Reusável - Arquivo</t>
  </si>
  <si>
    <t xml:space="preserve">Componente Interno Reusável - Arquivos
Em alguns casos são demandadas manutenções em componentes, que implementam regras de negócio, específicos de uma aplicação e estes são reusados por várias funcionalidades da aplicação. 
Existem casos onde são realizadas manutenções de valores de elementos internos de configuração que afetam o comportamento ou a apresentação do sistema de forma geral, tais como páginas de estilos (arquivos CSS de sistemas Web), arquivos com mensagens de erro, arquivos de configuração de sistema e arquivos de internacionalização. Nestes casos, a aferição do tamanho em pontos de função será realizada com a aplicação de um fator de redução de modo a considerar 20% da contagem de uma função transacional de mais baixa complexidade (3 PF), ou seja 0,6 PF. Assim sendo, deve ser utilizada a seguinte fórmula de cálculo:
PF_COMPONENTE_ARQUIVO = 0,6 PF x QTD_ARQUIVOS_ALTERADOS
</t>
  </si>
  <si>
    <t>Pontos de Função por Funcionalidade</t>
  </si>
  <si>
    <t>Nº</t>
  </si>
  <si>
    <t>Funcionalidade</t>
  </si>
  <si>
    <t>Contagem de Pontos de Função
Pontos de Função por Funcionalidade</t>
  </si>
  <si>
    <t>Escrita de Comentário</t>
  </si>
  <si>
    <t>Escrita de comentários em código-fonte para elucidar seu funcionamento:
- Para realizar está atividade um profissionais com os perfis de analista e desenvolvedor deverá realizar engenharia reversa para entendimento da implementação e regras de negócio, escrevendo comentários explicativos sobre o funcionamento do código-fonte;
- Os comentários serão analisados quanto a sua coerência e pertinência, sendo desconsiderados os que não atenderem esse critério;</t>
  </si>
  <si>
    <t>Alteração Tabela Code Table</t>
  </si>
  <si>
    <t>Alterações referentes à DDL em tabelas CODE TABLE e respectivas funcionalidades, de sistemas em produção (não se aplica ao desenvolvimento de novos sistemas nem as atividades de “popular” a tabela), sendo previstas as seguintes atividades e seus percentuais de ponto de função:
- Inclusão de tabela e funcionalidades;
- Alteração da tabela e funcionalidades;
- Excluir tabela e funcionalidades;
- Inclusão de funcionalidade;
- Alteração de funcionalidade;
- Exclusão de funcionalidade.</t>
  </si>
  <si>
    <t>Exclusão Páginas Estáticas/Help/Menu Estático</t>
  </si>
  <si>
    <t>Alterações referentes à criação ou exclusão de telas para:
- Adição ou reestruturação de menus de navegação estáticos;
- Adição ou reestruturação de Ajuda (help estático);
- Criação, alteração ou exclusão de páginas estáticas.
* 0,2 de um ponto de função, para Alteração e/ou Criação de uma tela.
* 0,1 de um ponto de função, para Exclusão de uma tela</t>
  </si>
  <si>
    <t>Correção Segurança Código – Recorrente</t>
  </si>
  <si>
    <t>Correção de problema de segurança em código-fonte, consistindo na refatoração de código-fonte sem alteração de funcionalidade:
- Os problemas segurança serão classificados conforme sua criticidade, sendo atribuído um percentual em para cada tipo:
  o Muito Alta
  o Alta
  o Média
  o Baixa
  o Muito Baixa
- Se o problema for recorrente, e a mesma solução puder aplicada na resolução de todos, será pago 0,02 de um ponto de função para cada ocorrência;
- A correção de problemas de segurança não devem gerar outros problemas de segurança ou de qualidade de código, sendo esta um condição para aceitação do serviço;</t>
  </si>
  <si>
    <t>Exclusão de Tabela Code Table</t>
  </si>
  <si>
    <t xml:space="preserve"> Inclusão/Alteração/Exclusão Funcionalidade Code Table</t>
  </si>
  <si>
    <t>Refatoração Código</t>
  </si>
  <si>
    <t xml:space="preserve">Refatoração de código-fonte, sem alteração de funcionalidade, para:
- Melhoria de reusabilidade, portabilidade, manutenibilidade, segurança, desempenho, capacidade de mudança, confiabilidade e testabilidade
- Aplicação de padrões de projetos;
- Criação de camadas lógicas;
- Poderá ser solicitada várias refatorações em uma mesma ordem de serviço, não alterando o percentual de pagamento;
</t>
  </si>
  <si>
    <t>Correção Segurança Código – Muito Baixo</t>
  </si>
  <si>
    <t>Inclusão Tabela Code Table</t>
  </si>
  <si>
    <t>Criação camada de Apresentação</t>
  </si>
  <si>
    <t>Exclusão</t>
  </si>
  <si>
    <t>Manutenção Corretiva - Não Desenvolvido pela Empresa</t>
  </si>
  <si>
    <t>Alteração Layout Tela</t>
  </si>
  <si>
    <t>Alterações referentes aos layouts de telas, tais como:
- Mudança de posição de campos em telas, em relatórios ou em layout de arquivos, sem que haja alteração em elementos de dados, arquivos referenciados ou informações de controle;
- Inclusão, alteração ou exclusão de imagem;
- Divisão de telas e/ou relatórios, sem que tenha havido mudança na funcionalidade;
- Atualização de rótulos de dados sem que haja mudança de funcionalidade
* 0,04 de um ponto de função, para cada elemento</t>
  </si>
  <si>
    <t>Alterações de Campos e Variáveis:</t>
  </si>
  <si>
    <t>Alterações referentes a Campos e Variáveis:
- Inclusão, alteração ou exclusão em telas ou relatórios de campos e variáveis, sem que tenha havido mudança na funcionalidade;
- Padronização de nomenclatura de campos e variáveis em programas e tabelas.
0,08 de um ponto de função, para cada dados/campos</t>
  </si>
  <si>
    <t>Alteração Parâmetros</t>
  </si>
  <si>
    <t>Pontos de Função de Teste</t>
  </si>
  <si>
    <t>Migração de Dados</t>
  </si>
  <si>
    <t>Manutenção Corretiva - Desenvolvido pela Empresa</t>
  </si>
  <si>
    <t>Apuração Especial – Reexecução</t>
  </si>
  <si>
    <t>Adaptação em Funcionalidades sem Alteração de Requisitos Funcionais</t>
  </si>
  <si>
    <t>Inclusão</t>
  </si>
  <si>
    <t>Atualização de Versão – Banco de Dados</t>
  </si>
  <si>
    <t>Mudança de Plataforma - Linguagem de Programação</t>
  </si>
  <si>
    <t>Apuração Especial – Geração de Relatórios</t>
  </si>
  <si>
    <t>Atualização de Versão – Linguagem de Programação</t>
  </si>
  <si>
    <t xml:space="preserve">Desenvolvimento, Manutenção e Publicação de Páginas Estáticas de Intranet, Internet ou Portal 
Nesta seção são tratados desenvolvimentos e manutenções específicas em páginas estáticas de portais, intranets ou websites. As demandas desta seção abrangem a publicação de páginas Web com conteúdo estático.
Estas demandas são consideradas como desenvolvimento de consultas. Nestes casos, considera-se 20% dos pontos de função das consultas desenvolvidas. Cada página é contada como uma consulta. As consultas são consideradas consultas externas simples (3 PF). Ou seja, 0,6 PF por cada página desenvolvida ou mantida, de acordo com a fórmula abaixo:
PF_PUBLICAÇÃO =  0,6 PF x Quantidade de Páginas Alteradas ou Incluídas
</t>
  </si>
  <si>
    <t>Manutenção de Documentação de Sistemas Legados</t>
  </si>
  <si>
    <t>Correção Qualidade Código – Alto</t>
  </si>
  <si>
    <t xml:space="preserve">Correção de problema de qualidade de código, consistindo na refatoração de código-fonte sem alteração de funcionalidade:
- Os problemas de qualidade de código-fonte serão classificados da conforme seu impacto, sendo atribuído um percentual em para cada tipo:
  o Muito Alta
  o Alta
  o Média
  o Baixa
  o Muito Baixa
- Se o problema for recorrente, e a mesma solução puder aplicada na resolução de todos problemas, será pago 0,01 de um ponto de função para cada ocorrência;
- A correção de problemas de qualidade de código-fonte não devem gerar outros problemas de qualidade ou de segurança, sendo esta um condição para aceitação do serviço;
</t>
  </si>
  <si>
    <t>Apuração Especial – Base de Dados</t>
  </si>
  <si>
    <t xml:space="preserve"> Inclusão/Alteração/Exclusão itens Lista (Combo) e/ou Tabela Física</t>
  </si>
  <si>
    <t>Alterações referentes à inclusão, alteração ou exclusão de dados pertencentes a listas (combobox), componentes corporativos ou tabelas físicas já existentes</t>
  </si>
  <si>
    <t xml:space="preserve"> Apuração Especial – Base de Dados</t>
  </si>
  <si>
    <t>Mudança de Plataforma - Banco de Dados (relacional p/ relacional)</t>
  </si>
  <si>
    <t>Atualização de Versão</t>
  </si>
  <si>
    <t>Componente Interno Reusável</t>
  </si>
  <si>
    <t>Mudança de Plataforma - Banco de Dados (hierárquico p/ relacional)</t>
  </si>
  <si>
    <t>Alteração Texto Mensagem</t>
  </si>
  <si>
    <t>Alterações de texto de mensagens de retorno ao usuário, desde que não façam parte de um ALI ou AIE
* 0,04 de um ponto de função, para cada mensagens</t>
  </si>
  <si>
    <t>Alteração</t>
  </si>
  <si>
    <t>Alteração Conteúdo Email</t>
  </si>
  <si>
    <t>Alteração de conteúdo de mensagens de e-mail enviadas pelo sistema</t>
  </si>
  <si>
    <t>Correção Qualidade Código – Recorrente</t>
  </si>
  <si>
    <t>Correção Qualidade Código – Muito Baixo</t>
  </si>
  <si>
    <t>Correção Qualidade Código – Baixo</t>
  </si>
  <si>
    <t>Correção Qualidade Código – Muito Alto</t>
  </si>
  <si>
    <t>Correção Qualidade Código – Médio</t>
  </si>
  <si>
    <t>Atualizar Versão Componente</t>
  </si>
  <si>
    <t xml:space="preserve">Atualização de versões de componentes e refatoração de códigos-fonte para atender a versão do componente:
- Poderá ser solicita a atualização de mais de um componente na mesma ordem de serviço;
</t>
  </si>
  <si>
    <t xml:space="preserve"> Atualizar Versão Componente – Adicional: Arquivo</t>
  </si>
  <si>
    <t xml:space="preserve">Atualização de versões de componentes e refatoração de códigos-fonte para atender a versão do componente:
- Poderá ser solicita a atualização de mais de um componente na mesma ordem de serviço;
*  0,05 ponto de função por arquivo refatorado
</t>
  </si>
  <si>
    <t xml:space="preserve"> Refatoração Código – Adicional: Camada, Arquivo</t>
  </si>
  <si>
    <t>Correção Segurança Código – Baixo</t>
  </si>
  <si>
    <t>Correção Segurança Código – Muito Alto</t>
  </si>
  <si>
    <t>Correção Segurança Código – Médio</t>
  </si>
  <si>
    <t>Correção Segurança Código – Alto</t>
  </si>
  <si>
    <t>Criação/Alteração Páginas Estáticas/Help/Menu Estático</t>
  </si>
  <si>
    <t>Verificação de Erros - Sem Documentação</t>
  </si>
  <si>
    <t>Verificação de Erros - Com documentação</t>
  </si>
  <si>
    <t>Carga mca</t>
  </si>
  <si>
    <t/>
  </si>
  <si>
    <t>Unidade de carga</t>
  </si>
  <si>
    <t>Gerenciar Escaninho</t>
  </si>
  <si>
    <t>Manter Item de Catálogo</t>
  </si>
  <si>
    <t>Aplicativo Móvel</t>
  </si>
  <si>
    <t>Desenvolvimento ou Manutenção</t>
  </si>
  <si>
    <t>Total de PF Bruto</t>
  </si>
  <si>
    <t>PFB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</si>
</sst>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yyyy"/>
    <numFmt numFmtId="165" formatCode="_-* #,##0.00_-;\-* #,##0.00_-;_-* \-??_-;_-@_-"/>
    <numFmt numFmtId="166" formatCode="_-* #,##0_-;\-* #,##0_-;_-* \-??_-;_-@_-"/>
    <numFmt numFmtId="167" formatCode="0.0"/>
    <numFmt numFmtId="168" formatCode="00%"/>
  </numFmts>
  <fonts count="32">
    <font>
      <sz val="10"/>
      <name val="Arial"/>
      <charset val="1"/>
    </font>
    <font>
      <sz val="11"/>
      <name val="Calibri"/>
      <family val="2"/>
      <charset val="1"/>
    </font>
    <font>
      <i/>
      <sz val="10"/>
      <name val="Verdana"/>
      <family val="2"/>
      <charset val="1"/>
    </font>
    <font>
      <b/>
      <sz val="18"/>
      <name val="Verdana"/>
      <family val="2"/>
      <charset val="1"/>
    </font>
    <font>
      <sz val="10"/>
      <name val="Verdana"/>
      <family val="2"/>
      <charset val="1"/>
    </font>
    <font>
      <b/>
      <sz val="12"/>
      <name val="Calibri"/>
      <family val="2"/>
      <charset val="1"/>
    </font>
    <font>
      <b/>
      <sz val="11"/>
      <name val="Calibri"/>
      <family val="2"/>
      <charset val="1"/>
    </font>
    <font>
      <b/>
      <sz val="9"/>
      <color indexed="55"/>
      <name val="Tahoma"/>
      <family val="2"/>
      <charset val="1"/>
    </font>
    <font>
      <sz val="9"/>
      <color indexed="55"/>
      <name val="Tahoma"/>
      <family val="2"/>
      <charset val="1"/>
    </font>
    <font>
      <sz val="10"/>
      <name val="Arial"/>
      <family val="2"/>
      <charset val="1"/>
    </font>
    <font>
      <b/>
      <sz val="10"/>
      <name val="Verdana"/>
      <family val="2"/>
      <charset val="1"/>
    </font>
    <font>
      <sz val="14"/>
      <name val="Arial"/>
      <family val="2"/>
      <charset val="1"/>
    </font>
    <font>
      <b/>
      <sz val="11"/>
      <name val="Verdana"/>
      <family val="2"/>
      <charset val="1"/>
    </font>
    <font>
      <b/>
      <sz val="16"/>
      <name val="Verdana"/>
      <family val="2"/>
      <charset val="1"/>
    </font>
    <font>
      <b/>
      <sz val="10"/>
      <name val="Arial"/>
      <family val="2"/>
      <charset val="1"/>
    </font>
    <font>
      <b/>
      <sz val="12"/>
      <name val="Arial"/>
      <family val="2"/>
      <charset val="1"/>
    </font>
    <font>
      <sz val="11"/>
      <name val="Arial"/>
      <family val="2"/>
      <charset val="1"/>
    </font>
    <font>
      <b/>
      <sz val="10"/>
      <color indexed="55"/>
      <name val="Calibri"/>
      <family val="2"/>
      <charset val="1"/>
    </font>
    <font>
      <b/>
      <sz val="10"/>
      <name val="Calibri"/>
      <family val="2"/>
      <charset val="1"/>
    </font>
    <font>
      <sz val="12"/>
      <name val="Calibri"/>
      <family val="2"/>
      <charset val="1"/>
    </font>
    <font>
      <sz val="10"/>
      <name val="Calibri"/>
      <family val="2"/>
      <charset val="1"/>
    </font>
    <font>
      <b/>
      <sz val="9"/>
      <color indexed="55"/>
      <name val="Segoe UI"/>
      <family val="2"/>
      <charset val="1"/>
    </font>
    <font>
      <sz val="9"/>
      <color indexed="55"/>
      <name val="Segoe UI"/>
      <family val="2"/>
      <charset val="1"/>
    </font>
    <font>
      <sz val="10"/>
      <name val="Arial"/>
      <charset val="1"/>
    </font>
    <font>
      <b/>
      <sz val="11"/>
      <color rgb="FF000000"/>
      <name val="Calibri"/>
      <family val="2"/>
      <charset val="1"/>
    </font>
    <font>
      <sz val="11"/>
      <color rgb="FF000000"/>
      <name val="Calibri"/>
      <family val="2"/>
      <charset val="1"/>
    </font>
    <font>
      <b/>
      <sz val="11"/>
      <color rgb="FFBFBFBF"/>
      <name val="Calibri"/>
      <family val="2"/>
      <charset val="1"/>
    </font>
    <font>
      <b/>
      <sz val="7"/>
      <color rgb="FF231F20"/>
      <name val="TimesNewRomanPS-BoldMT"/>
      <charset val="1"/>
    </font>
    <font>
      <sz val="7"/>
      <color rgb="FF231F20"/>
      <name val="Times New Roman"/>
      <family val="1"/>
      <charset val="1"/>
    </font>
    <font>
      <b/>
      <sz val="14"/>
      <color rgb="FF0070C0"/>
      <name val="Verdana"/>
      <family val="2"/>
      <charset val="1"/>
    </font>
    <font>
      <b/>
      <sz val="10"/>
      <color rgb="FF000000"/>
      <name val="Calibri"/>
      <family val="2"/>
      <charset val="1"/>
    </font>
    <font>
      <b/>
      <sz val="14"/>
      <color rgb="FF000000"/>
      <name val="Calibri"/>
      <family val="2"/>
      <charset val="1"/>
    </font>
  </fonts>
  <fills count="11">
    <fill>
      <patternFill patternType="none"/>
    </fill>
    <fill>
      <patternFill patternType="gray125"/>
    </fill>
    <fill>
      <patternFill patternType="solid">
        <fgColor rgb="FFF2F2F2"/>
        <bgColor rgb="FFFFFFFF"/>
      </patternFill>
    </fill>
    <fill>
      <patternFill patternType="solid">
        <fgColor rgb="FFFFFF00"/>
        <bgColor rgb="FFFFFF00"/>
      </patternFill>
    </fill>
    <fill>
      <patternFill patternType="solid">
        <fgColor rgb="FFD9D9D9"/>
        <bgColor rgb="FFD7E4BD"/>
      </patternFill>
    </fill>
    <fill>
      <patternFill patternType="solid">
        <fgColor rgb="FFFFFFFF"/>
        <bgColor rgb="FFF2F2F2"/>
      </patternFill>
    </fill>
    <fill>
      <patternFill patternType="solid">
        <fgColor rgb="FFBFBFBF"/>
        <bgColor rgb="FFC4BD97"/>
      </patternFill>
    </fill>
    <fill>
      <patternFill patternType="solid">
        <fgColor rgb="FFC4BD97"/>
        <bgColor rgb="FFBFBFBF"/>
      </patternFill>
    </fill>
    <fill>
      <patternFill patternType="solid">
        <fgColor rgb="FFA6A6A6"/>
        <bgColor rgb="FFC4BD97"/>
      </patternFill>
    </fill>
    <fill>
      <patternFill patternType="solid">
        <fgColor rgb="FF9BBB59"/>
        <bgColor rgb="FF98B855"/>
      </patternFill>
    </fill>
    <fill>
      <patternFill patternType="solid">
        <fgColor rgb="FFFFFF00"/>
        <bgColor rgb="FFF2F2F2"/>
      </patternFill>
    </fill>
  </fills>
  <borders count="4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thin">
        <color indexed="64"/>
      </top>
      <bottom style="medium">
        <color indexed="64"/>
      </bottom>
      <diagonal/>
    </border>
  </borders>
  <cellStyleXfs count="3">
    <xf numFmtId="0" fontId="0" fillId="0" borderId="0"/>
    <xf numFmtId="9" fontId="23" fillId="0" borderId="0" applyBorder="0" applyProtection="0"/>
    <xf numFmtId="165" fontId="23" fillId="0" borderId="0" applyBorder="0" applyProtection="0"/>
  </cellStyleXfs>
  <cellXfs count="289">
    <xf numFmtId="0" fontId="0" fillId="0" borderId="0" xfId="0"/>
    <xf numFmtId="0" fontId="1" fillId="0" borderId="0" xfId="0" applyFont="1" applyAlignment="1" applyProtection="1">
      <alignment vertical="center"/>
      <protection locked="0"/>
    </xf>
    <xf numFmtId="0" fontId="2" fillId="0" borderId="1" xfId="0" applyFont="1" applyBorder="1" applyAlignment="1" applyProtection="1">
      <alignment horizontal="left" indent="1"/>
      <protection hidden="1"/>
    </xf>
    <xf numFmtId="0" fontId="4" fillId="0" borderId="0" xfId="0" applyFont="1" applyProtection="1">
      <protection locked="0"/>
    </xf>
    <xf numFmtId="0" fontId="4" fillId="0" borderId="0" xfId="0" applyFont="1" applyProtection="1">
      <protection locked="0" hidden="1"/>
    </xf>
    <xf numFmtId="0" fontId="6" fillId="0" borderId="2" xfId="0" applyFont="1" applyBorder="1" applyAlignment="1" applyProtection="1">
      <alignment horizontal="left" vertical="center"/>
      <protection locked="0"/>
    </xf>
    <xf numFmtId="0" fontId="1" fillId="2" borderId="2" xfId="0" applyFont="1" applyFill="1" applyBorder="1" applyAlignment="1">
      <alignment horizontal="center" vertical="center"/>
    </xf>
    <xf numFmtId="168" fontId="1" fillId="0" borderId="3" xfId="1" applyNumberFormat="1" applyFont="1" applyBorder="1" applyAlignment="1" applyProtection="1">
      <alignment horizontal="center" vertical="center"/>
      <protection locked="0"/>
    </xf>
    <xf numFmtId="168" fontId="1" fillId="0" borderId="2" xfId="1" applyNumberFormat="1" applyFont="1" applyBorder="1" applyAlignment="1" applyProtection="1">
      <alignment horizontal="center" vertical="center"/>
      <protection locked="0"/>
    </xf>
    <xf numFmtId="2" fontId="1" fillId="2" borderId="2" xfId="0" applyNumberFormat="1" applyFont="1" applyFill="1" applyBorder="1" applyAlignment="1">
      <alignment horizontal="center" vertical="center"/>
    </xf>
    <xf numFmtId="2" fontId="5" fillId="2" borderId="2" xfId="0" applyNumberFormat="1" applyFont="1" applyFill="1" applyBorder="1" applyAlignment="1">
      <alignment horizontal="center" vertical="center"/>
    </xf>
    <xf numFmtId="9" fontId="5" fillId="2" borderId="2" xfId="1" applyFont="1" applyFill="1" applyBorder="1" applyAlignment="1" applyProtection="1">
      <alignment horizontal="center" vertical="center"/>
    </xf>
    <xf numFmtId="0" fontId="5" fillId="0" borderId="0" xfId="0" applyFont="1" applyAlignment="1" applyProtection="1">
      <alignment horizontal="right" vertical="center"/>
      <protection locked="0"/>
    </xf>
    <xf numFmtId="9" fontId="5" fillId="0" borderId="0" xfId="1" applyFont="1" applyBorder="1" applyAlignment="1" applyProtection="1">
      <alignment horizontal="center" vertical="center"/>
      <protection locked="0"/>
    </xf>
    <xf numFmtId="2" fontId="5" fillId="0" borderId="2" xfId="0" applyNumberFormat="1" applyFont="1"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0" fontId="0" fillId="0" borderId="0" xfId="0" applyAlignment="1" applyProtection="1">
      <alignment horizontal="center" vertical="center" wrapText="1"/>
      <protection locked="0"/>
    </xf>
    <xf numFmtId="0" fontId="9" fillId="0" borderId="0" xfId="0" applyFont="1" applyAlignment="1" applyProtection="1">
      <alignment vertical="center" wrapText="1"/>
      <protection locked="0"/>
    </xf>
    <xf numFmtId="0" fontId="0" fillId="0" borderId="0" xfId="0" applyAlignment="1" applyProtection="1">
      <alignment horizontal="left" vertical="center" wrapText="1"/>
      <protection locked="0"/>
    </xf>
    <xf numFmtId="0" fontId="2" fillId="0" borderId="1" xfId="0" applyFont="1" applyBorder="1" applyAlignment="1" applyProtection="1">
      <alignment horizontal="left" indent="1"/>
      <protection locked="0" hidden="1"/>
    </xf>
    <xf numFmtId="0" fontId="2" fillId="0" borderId="0" xfId="0" applyFont="1" applyAlignment="1" applyProtection="1">
      <alignment horizontal="left" vertical="center" indent="13"/>
      <protection locked="0"/>
    </xf>
    <xf numFmtId="0" fontId="3" fillId="0" borderId="0" xfId="0" applyFont="1" applyAlignment="1" applyProtection="1">
      <alignment horizontal="center" vertical="center"/>
      <protection locked="0"/>
    </xf>
    <xf numFmtId="0" fontId="3" fillId="0" borderId="0" xfId="0" applyFont="1" applyAlignment="1" applyProtection="1">
      <alignment horizontal="left" vertical="center" wrapText="1"/>
      <protection locked="0"/>
    </xf>
    <xf numFmtId="49" fontId="3" fillId="0" borderId="0" xfId="0" applyNumberFormat="1" applyFont="1" applyAlignment="1" applyProtection="1">
      <alignment horizontal="center" vertical="center"/>
      <protection locked="0"/>
    </xf>
    <xf numFmtId="0" fontId="3" fillId="3" borderId="2" xfId="0" applyFont="1" applyFill="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2" borderId="2" xfId="0" applyFont="1" applyFill="1" applyBorder="1" applyAlignment="1" applyProtection="1">
      <alignment horizontal="right" vertical="center"/>
      <protection locked="0"/>
    </xf>
    <xf numFmtId="165" fontId="13" fillId="3" borderId="2" xfId="2" applyFont="1" applyFill="1" applyBorder="1" applyAlignment="1" applyProtection="1">
      <alignment horizontal="center" vertical="center"/>
    </xf>
    <xf numFmtId="0" fontId="12" fillId="0" borderId="4"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12" fillId="0" borderId="1" xfId="0" applyFont="1" applyBorder="1" applyAlignment="1" applyProtection="1">
      <alignment horizontal="left" vertical="center" wrapText="1"/>
      <protection locked="0"/>
    </xf>
    <xf numFmtId="0" fontId="12" fillId="0" borderId="0" xfId="0" applyFont="1" applyAlignment="1" applyProtection="1">
      <alignment vertical="center"/>
      <protection locked="0"/>
    </xf>
    <xf numFmtId="0" fontId="12" fillId="0" borderId="0" xfId="0" applyFont="1" applyAlignment="1" applyProtection="1">
      <alignment horizontal="left" vertical="center" wrapText="1"/>
      <protection locked="0"/>
    </xf>
    <xf numFmtId="0" fontId="14" fillId="4" borderId="3" xfId="0" applyFont="1" applyFill="1" applyBorder="1" applyAlignment="1" applyProtection="1">
      <alignment horizontal="center" vertical="center" wrapText="1"/>
      <protection locked="0"/>
    </xf>
    <xf numFmtId="0" fontId="14" fillId="4" borderId="2" xfId="0" applyFont="1" applyFill="1" applyBorder="1" applyAlignment="1" applyProtection="1">
      <alignment horizontal="center" vertical="center"/>
      <protection locked="0"/>
    </xf>
    <xf numFmtId="0" fontId="14" fillId="4" borderId="5" xfId="0" applyFont="1" applyFill="1" applyBorder="1" applyAlignment="1" applyProtection="1">
      <alignment horizontal="center" vertical="center"/>
      <protection locked="0"/>
    </xf>
    <xf numFmtId="0" fontId="14" fillId="4" borderId="6" xfId="0" applyFont="1" applyFill="1" applyBorder="1" applyAlignment="1" applyProtection="1">
      <alignment vertical="center"/>
      <protection locked="0"/>
    </xf>
    <xf numFmtId="0" fontId="15" fillId="0" borderId="0" xfId="0" applyFont="1" applyAlignment="1" applyProtection="1">
      <alignment vertical="center"/>
      <protection locked="0"/>
    </xf>
    <xf numFmtId="0" fontId="9" fillId="4" borderId="2" xfId="0" applyFont="1" applyFill="1" applyBorder="1" applyAlignment="1" applyProtection="1">
      <alignment horizontal="center" vertical="center" wrapText="1"/>
      <protection locked="0"/>
    </xf>
    <xf numFmtId="0" fontId="9" fillId="4" borderId="5" xfId="0" applyFont="1" applyFill="1" applyBorder="1" applyAlignment="1" applyProtection="1">
      <alignment horizontal="center" vertical="center" wrapText="1"/>
      <protection locked="0"/>
    </xf>
    <xf numFmtId="0" fontId="9" fillId="4" borderId="7" xfId="0" applyFont="1" applyFill="1" applyBorder="1" applyAlignment="1" applyProtection="1">
      <alignment horizontal="center" vertical="center" wrapText="1"/>
      <protection locked="0"/>
    </xf>
    <xf numFmtId="0" fontId="14" fillId="4" borderId="8" xfId="0" applyFont="1" applyFill="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9" fillId="0" borderId="2" xfId="0" applyFont="1" applyBorder="1" applyAlignment="1" applyProtection="1">
      <alignment horizontal="center" vertical="center"/>
      <protection locked="0"/>
    </xf>
    <xf numFmtId="0" fontId="9" fillId="0" borderId="2" xfId="0" applyFont="1" applyBorder="1" applyAlignment="1" applyProtection="1">
      <alignment horizontal="left" vertical="center"/>
      <protection locked="0"/>
    </xf>
    <xf numFmtId="0" fontId="9" fillId="2" borderId="2" xfId="0" applyFont="1" applyFill="1" applyBorder="1" applyAlignment="1">
      <alignment horizontal="center" vertical="center"/>
    </xf>
    <xf numFmtId="0" fontId="9" fillId="5" borderId="2" xfId="0" applyFont="1" applyFill="1" applyBorder="1" applyAlignment="1" applyProtection="1">
      <alignment horizontal="center" vertical="center" wrapText="1"/>
      <protection locked="0"/>
    </xf>
    <xf numFmtId="0" fontId="9" fillId="5" borderId="2" xfId="0" applyFont="1" applyFill="1" applyBorder="1" applyAlignment="1" applyProtection="1">
      <alignment vertical="center" wrapText="1"/>
      <protection locked="0"/>
    </xf>
    <xf numFmtId="0" fontId="9" fillId="5" borderId="2" xfId="0" applyFont="1" applyFill="1" applyBorder="1" applyAlignment="1" applyProtection="1">
      <alignment horizontal="center" vertical="center"/>
      <protection locked="0"/>
    </xf>
    <xf numFmtId="0" fontId="9" fillId="2" borderId="5" xfId="0" applyFont="1" applyFill="1" applyBorder="1" applyAlignment="1" applyProtection="1">
      <alignment horizontal="left" vertical="center" wrapText="1"/>
      <protection locked="0"/>
    </xf>
    <xf numFmtId="0" fontId="9" fillId="5" borderId="7" xfId="0" applyFont="1" applyFill="1" applyBorder="1" applyAlignment="1" applyProtection="1">
      <alignment horizontal="center" vertical="center"/>
      <protection locked="0"/>
    </xf>
    <xf numFmtId="0" fontId="9" fillId="2" borderId="2" xfId="0" applyFont="1" applyFill="1" applyBorder="1" applyAlignment="1" applyProtection="1">
      <alignment horizontal="left" vertical="center" wrapText="1"/>
      <protection locked="0"/>
    </xf>
    <xf numFmtId="0" fontId="9" fillId="5" borderId="8" xfId="0" applyFont="1" applyFill="1" applyBorder="1" applyAlignment="1" applyProtection="1">
      <alignment vertical="center" wrapText="1"/>
      <protection locked="0"/>
    </xf>
    <xf numFmtId="0" fontId="9" fillId="4" borderId="2" xfId="0" applyFont="1" applyFill="1" applyBorder="1" applyAlignment="1">
      <alignment horizontal="center" vertical="center" wrapText="1"/>
    </xf>
    <xf numFmtId="0" fontId="9" fillId="4" borderId="2" xfId="0" applyFont="1" applyFill="1" applyBorder="1" applyAlignment="1" applyProtection="1">
      <alignment vertical="center" wrapText="1"/>
      <protection locked="0"/>
    </xf>
    <xf numFmtId="0" fontId="16" fillId="0" borderId="0" xfId="0" applyFont="1" applyAlignment="1" applyProtection="1">
      <alignment vertical="center"/>
      <protection locked="0"/>
    </xf>
    <xf numFmtId="0" fontId="16" fillId="0" borderId="2" xfId="0" applyFont="1" applyBorder="1" applyAlignment="1" applyProtection="1">
      <alignment horizontal="center" vertical="center"/>
      <protection locked="0"/>
    </xf>
    <xf numFmtId="0" fontId="14" fillId="4" borderId="2" xfId="0" applyFont="1" applyFill="1" applyBorder="1" applyAlignment="1">
      <alignment horizontal="center" vertical="center" wrapText="1"/>
    </xf>
    <xf numFmtId="0" fontId="9" fillId="3" borderId="5" xfId="0" applyFont="1" applyFill="1" applyBorder="1" applyAlignment="1" applyProtection="1">
      <alignment vertical="center"/>
      <protection locked="0"/>
    </xf>
    <xf numFmtId="0" fontId="9" fillId="3" borderId="6" xfId="0" applyFont="1" applyFill="1" applyBorder="1" applyAlignment="1" applyProtection="1">
      <alignment vertical="center"/>
      <protection locked="0"/>
    </xf>
    <xf numFmtId="0" fontId="9" fillId="3" borderId="6" xfId="0" applyFont="1" applyFill="1" applyBorder="1" applyAlignment="1" applyProtection="1">
      <alignment horizontal="left" vertical="center" wrapText="1"/>
      <protection locked="0"/>
    </xf>
    <xf numFmtId="0" fontId="9" fillId="3" borderId="1" xfId="0" applyFont="1" applyFill="1" applyBorder="1" applyAlignment="1" applyProtection="1">
      <alignment vertical="center"/>
      <protection locked="0"/>
    </xf>
    <xf numFmtId="0" fontId="9" fillId="3" borderId="1" xfId="0" applyFont="1" applyFill="1" applyBorder="1" applyAlignment="1" applyProtection="1">
      <alignment horizontal="left" vertical="center" wrapText="1"/>
      <protection locked="0"/>
    </xf>
    <xf numFmtId="0" fontId="9" fillId="3" borderId="8" xfId="0" applyFont="1" applyFill="1" applyBorder="1" applyAlignment="1" applyProtection="1">
      <alignment vertical="center"/>
      <protection locked="0"/>
    </xf>
    <xf numFmtId="0" fontId="9" fillId="0" borderId="0" xfId="0" applyFont="1" applyAlignment="1" applyProtection="1">
      <alignment horizontal="center" vertical="center"/>
      <protection locked="0"/>
    </xf>
    <xf numFmtId="0" fontId="9" fillId="0" borderId="0" xfId="0" applyFont="1" applyAlignment="1" applyProtection="1">
      <alignment vertical="center"/>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horizontal="left" vertical="center" wrapText="1"/>
      <protection locked="0"/>
    </xf>
    <xf numFmtId="0" fontId="14" fillId="2" borderId="3" xfId="0" applyFont="1" applyFill="1" applyBorder="1" applyAlignment="1" applyProtection="1">
      <alignment horizontal="center" vertical="center" wrapText="1"/>
      <protection locked="0"/>
    </xf>
    <xf numFmtId="0" fontId="14" fillId="2" borderId="3" xfId="0" applyFont="1" applyFill="1" applyBorder="1" applyAlignment="1">
      <alignment horizontal="center" vertical="center"/>
    </xf>
    <xf numFmtId="0" fontId="14" fillId="0" borderId="3" xfId="0" applyFont="1" applyBorder="1" applyAlignment="1" applyProtection="1">
      <alignment horizontal="center" vertical="center"/>
      <protection locked="0"/>
    </xf>
    <xf numFmtId="0" fontId="14" fillId="4" borderId="2" xfId="0" applyFont="1" applyFill="1" applyBorder="1" applyAlignment="1" applyProtection="1">
      <alignment horizontal="center" vertical="center" wrapText="1"/>
      <protection locked="0"/>
    </xf>
    <xf numFmtId="0" fontId="14" fillId="4" borderId="4" xfId="0" applyFont="1" applyFill="1" applyBorder="1" applyAlignment="1" applyProtection="1">
      <alignment horizontal="center" vertical="center" wrapText="1"/>
      <protection locked="0"/>
    </xf>
    <xf numFmtId="0" fontId="9" fillId="5" borderId="2" xfId="0" applyFont="1" applyFill="1" applyBorder="1" applyAlignment="1">
      <alignment horizontal="center" vertical="center"/>
    </xf>
    <xf numFmtId="0" fontId="9" fillId="2" borderId="2" xfId="0" applyFont="1" applyFill="1" applyBorder="1" applyAlignment="1">
      <alignment horizontal="center" vertical="center" wrapText="1"/>
    </xf>
    <xf numFmtId="0" fontId="9" fillId="5" borderId="2" xfId="0" applyFont="1" applyFill="1" applyBorder="1" applyAlignment="1">
      <alignment vertical="center" wrapText="1"/>
    </xf>
    <xf numFmtId="0" fontId="3" fillId="0" borderId="0" xfId="0" applyFont="1" applyAlignment="1" applyProtection="1">
      <alignment vertical="center"/>
      <protection locked="0"/>
    </xf>
    <xf numFmtId="0" fontId="2" fillId="0" borderId="9" xfId="0" applyFont="1" applyBorder="1" applyAlignment="1" applyProtection="1">
      <alignment horizontal="left" vertical="center" indent="13"/>
      <protection locked="0"/>
    </xf>
    <xf numFmtId="0" fontId="0" fillId="0" borderId="1" xfId="0" applyBorder="1" applyAlignment="1" applyProtection="1">
      <alignment vertical="center"/>
      <protection locked="0"/>
    </xf>
    <xf numFmtId="0" fontId="3" fillId="0" borderId="0" xfId="0" applyFont="1" applyAlignment="1" applyProtection="1">
      <alignment vertical="center" wrapText="1"/>
      <protection locked="0"/>
    </xf>
    <xf numFmtId="0" fontId="0" fillId="0" borderId="6" xfId="0" applyBorder="1" applyAlignment="1" applyProtection="1">
      <alignment vertical="center"/>
      <protection locked="0"/>
    </xf>
    <xf numFmtId="0" fontId="12" fillId="0" borderId="6" xfId="0" applyFont="1" applyBorder="1" applyAlignment="1" applyProtection="1">
      <alignment horizontal="center" vertical="center"/>
      <protection locked="0"/>
    </xf>
    <xf numFmtId="0" fontId="14" fillId="4" borderId="10" xfId="0" applyFont="1" applyFill="1" applyBorder="1" applyAlignment="1" applyProtection="1">
      <alignment horizontal="center" vertical="center" wrapText="1"/>
      <protection locked="0"/>
    </xf>
    <xf numFmtId="0" fontId="9" fillId="5" borderId="5" xfId="0" applyFont="1" applyFill="1" applyBorder="1" applyAlignment="1" applyProtection="1">
      <alignment horizontal="center" vertical="center" wrapText="1"/>
      <protection locked="0"/>
    </xf>
    <xf numFmtId="2" fontId="9" fillId="2" borderId="2" xfId="0" applyNumberFormat="1" applyFont="1" applyFill="1" applyBorder="1" applyAlignment="1">
      <alignment horizontal="center" vertical="center" wrapText="1"/>
    </xf>
    <xf numFmtId="0" fontId="9" fillId="0" borderId="2" xfId="0" applyFont="1" applyBorder="1" applyAlignment="1" applyProtection="1">
      <alignment vertical="center" wrapText="1"/>
      <protection locked="0"/>
    </xf>
    <xf numFmtId="0" fontId="14" fillId="2" borderId="2" xfId="0" applyFont="1" applyFill="1" applyBorder="1" applyAlignment="1" applyProtection="1">
      <alignment horizontal="right" vertical="center"/>
      <protection locked="0"/>
    </xf>
    <xf numFmtId="0" fontId="14" fillId="2" borderId="2" xfId="0" applyFont="1" applyFill="1" applyBorder="1" applyAlignment="1">
      <alignment vertical="center"/>
    </xf>
    <xf numFmtId="0" fontId="2" fillId="0" borderId="0" xfId="0" applyFont="1" applyAlignment="1" applyProtection="1">
      <alignment horizontal="left" vertical="center"/>
      <protection locked="0"/>
    </xf>
    <xf numFmtId="164" fontId="13" fillId="0" borderId="0" xfId="0" applyNumberFormat="1" applyFont="1" applyAlignment="1" applyProtection="1">
      <alignment horizontal="center" vertical="center"/>
      <protection locked="0"/>
    </xf>
    <xf numFmtId="0" fontId="9" fillId="2" borderId="2" xfId="0" applyFont="1" applyFill="1" applyBorder="1" applyAlignment="1" applyProtection="1">
      <alignment horizontal="center" vertical="center" wrapText="1"/>
      <protection locked="0"/>
    </xf>
    <xf numFmtId="0" fontId="14" fillId="2" borderId="3" xfId="0" applyFont="1" applyFill="1" applyBorder="1" applyAlignment="1" applyProtection="1">
      <alignment horizontal="center" vertical="center"/>
      <protection locked="0"/>
    </xf>
    <xf numFmtId="0" fontId="0" fillId="0" borderId="2" xfId="0" applyBorder="1" applyAlignment="1" applyProtection="1">
      <alignment horizontal="center" vertical="center"/>
      <protection locked="0"/>
    </xf>
    <xf numFmtId="2" fontId="0" fillId="0" borderId="2" xfId="0" applyNumberFormat="1" applyBorder="1" applyAlignment="1" applyProtection="1">
      <alignment horizontal="center" vertical="center"/>
      <protection locked="0"/>
    </xf>
    <xf numFmtId="0" fontId="9" fillId="0" borderId="2" xfId="0" applyFont="1" applyBorder="1" applyAlignment="1" applyProtection="1">
      <alignment horizontal="center" vertical="center" wrapText="1"/>
      <protection locked="0"/>
    </xf>
    <xf numFmtId="0" fontId="0" fillId="0" borderId="0" xfId="0" applyProtection="1">
      <protection locked="0"/>
    </xf>
    <xf numFmtId="0" fontId="0" fillId="0" borderId="0" xfId="0" applyAlignment="1" applyProtection="1">
      <alignment horizontal="center"/>
      <protection locked="0"/>
    </xf>
    <xf numFmtId="0" fontId="2" fillId="0" borderId="0" xfId="0" applyFont="1" applyProtection="1">
      <protection locked="0"/>
    </xf>
    <xf numFmtId="0" fontId="1" fillId="0" borderId="0" xfId="0" applyFont="1"/>
    <xf numFmtId="0" fontId="24" fillId="6" borderId="7" xfId="0" applyFont="1" applyFill="1" applyBorder="1" applyAlignment="1">
      <alignment horizontal="center" vertical="center"/>
    </xf>
    <xf numFmtId="0" fontId="24" fillId="7" borderId="1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12" xfId="0" applyFont="1" applyFill="1" applyBorder="1" applyAlignment="1">
      <alignment horizontal="center" vertical="center" wrapText="1"/>
    </xf>
    <xf numFmtId="0" fontId="24" fillId="7" borderId="13" xfId="0" applyFont="1" applyFill="1" applyBorder="1" applyAlignment="1">
      <alignment horizontal="center" vertical="center" wrapText="1"/>
    </xf>
    <xf numFmtId="0" fontId="6" fillId="8" borderId="14" xfId="0" applyFont="1" applyFill="1" applyBorder="1" applyAlignment="1">
      <alignment horizontal="center"/>
    </xf>
    <xf numFmtId="0" fontId="6" fillId="8" borderId="15" xfId="0" applyFont="1" applyFill="1" applyBorder="1" applyAlignment="1">
      <alignment horizontal="center"/>
    </xf>
    <xf numFmtId="1" fontId="1" fillId="2" borderId="16" xfId="0" applyNumberFormat="1" applyFont="1" applyFill="1" applyBorder="1" applyAlignment="1">
      <alignment horizontal="right" vertical="center"/>
    </xf>
    <xf numFmtId="1" fontId="1" fillId="2" borderId="17" xfId="0" applyNumberFormat="1" applyFont="1" applyFill="1" applyBorder="1" applyAlignment="1">
      <alignment horizontal="right" vertical="center"/>
    </xf>
    <xf numFmtId="2" fontId="1" fillId="2" borderId="18" xfId="0" applyNumberFormat="1" applyFont="1" applyFill="1" applyBorder="1" applyAlignment="1">
      <alignment horizontal="right" vertical="center"/>
    </xf>
    <xf numFmtId="2" fontId="1" fillId="2" borderId="19" xfId="0" applyNumberFormat="1" applyFont="1" applyFill="1" applyBorder="1" applyAlignment="1">
      <alignment horizontal="right" vertical="center"/>
    </xf>
    <xf numFmtId="0" fontId="6" fillId="6" borderId="2" xfId="0" applyFont="1" applyFill="1" applyBorder="1" applyAlignment="1">
      <alignment horizontal="center" vertical="center"/>
    </xf>
    <xf numFmtId="0" fontId="6" fillId="6" borderId="12" xfId="0" applyFont="1" applyFill="1" applyBorder="1" applyAlignment="1">
      <alignment horizontal="center" vertical="center"/>
    </xf>
    <xf numFmtId="166" fontId="19" fillId="7" borderId="20" xfId="0" applyNumberFormat="1" applyFont="1" applyFill="1" applyBorder="1" applyAlignment="1">
      <alignment horizontal="center" vertical="center"/>
    </xf>
    <xf numFmtId="167" fontId="19" fillId="7" borderId="21" xfId="0" applyNumberFormat="1" applyFont="1" applyFill="1" applyBorder="1" applyAlignment="1">
      <alignment vertical="center"/>
    </xf>
    <xf numFmtId="0" fontId="6" fillId="6" borderId="7" xfId="0" applyFont="1" applyFill="1" applyBorder="1" applyAlignment="1">
      <alignment horizontal="center" vertical="center"/>
    </xf>
    <xf numFmtId="9" fontId="1" fillId="2" borderId="2" xfId="1" applyFont="1" applyFill="1" applyBorder="1" applyAlignment="1" applyProtection="1">
      <alignment horizontal="center" vertical="center"/>
    </xf>
    <xf numFmtId="9" fontId="1" fillId="3" borderId="2" xfId="1" applyFont="1" applyFill="1" applyBorder="1" applyAlignment="1" applyProtection="1">
      <alignment horizontal="center" vertical="center"/>
      <protection locked="0"/>
    </xf>
    <xf numFmtId="166" fontId="1" fillId="2" borderId="2" xfId="2" applyNumberFormat="1" applyFont="1" applyFill="1" applyBorder="1" applyAlignment="1" applyProtection="1">
      <alignment horizontal="left" vertical="center"/>
    </xf>
    <xf numFmtId="164" fontId="1" fillId="3" borderId="2" xfId="0" applyNumberFormat="1" applyFont="1" applyFill="1" applyBorder="1" applyAlignment="1" applyProtection="1">
      <alignment horizontal="center"/>
      <protection locked="0"/>
    </xf>
    <xf numFmtId="164" fontId="1" fillId="2" borderId="12" xfId="0" applyNumberFormat="1" applyFont="1" applyFill="1" applyBorder="1" applyAlignment="1">
      <alignment horizontal="center"/>
    </xf>
    <xf numFmtId="9" fontId="25" fillId="6" borderId="2" xfId="1" applyFont="1" applyFill="1" applyBorder="1" applyAlignment="1" applyProtection="1">
      <alignment horizontal="center" vertical="center"/>
    </xf>
    <xf numFmtId="164" fontId="1" fillId="2" borderId="2" xfId="0" applyNumberFormat="1" applyFont="1" applyFill="1" applyBorder="1" applyAlignment="1">
      <alignment horizontal="center"/>
    </xf>
    <xf numFmtId="0" fontId="6" fillId="6" borderId="22" xfId="0" applyFont="1" applyFill="1" applyBorder="1" applyAlignment="1">
      <alignment horizontal="center"/>
    </xf>
    <xf numFmtId="0" fontId="6" fillId="6" borderId="23" xfId="0" applyFont="1" applyFill="1" applyBorder="1" applyAlignment="1">
      <alignment horizontal="center"/>
    </xf>
    <xf numFmtId="0" fontId="6" fillId="6" borderId="24" xfId="0" applyFont="1" applyFill="1" applyBorder="1" applyAlignment="1">
      <alignment horizontal="center"/>
    </xf>
    <xf numFmtId="0" fontId="6" fillId="6" borderId="25" xfId="0" applyFont="1" applyFill="1" applyBorder="1" applyAlignment="1">
      <alignment horizontal="center"/>
    </xf>
    <xf numFmtId="0" fontId="6" fillId="6" borderId="18" xfId="0" applyFont="1" applyFill="1" applyBorder="1" applyAlignment="1">
      <alignment horizontal="center"/>
    </xf>
    <xf numFmtId="9" fontId="6" fillId="6" borderId="26" xfId="0" applyNumberFormat="1" applyFont="1" applyFill="1" applyBorder="1" applyAlignment="1">
      <alignment horizontal="center"/>
    </xf>
    <xf numFmtId="166" fontId="6" fillId="2" borderId="26" xfId="0" applyNumberFormat="1" applyFont="1" applyFill="1" applyBorder="1" applyAlignment="1">
      <alignment horizontal="center"/>
    </xf>
    <xf numFmtId="164" fontId="1" fillId="2" borderId="3" xfId="0" applyNumberFormat="1" applyFont="1" applyFill="1" applyBorder="1" applyAlignment="1">
      <alignment horizontal="center"/>
    </xf>
    <xf numFmtId="164" fontId="1" fillId="2" borderId="19" xfId="0" applyNumberFormat="1" applyFont="1" applyFill="1" applyBorder="1" applyAlignment="1">
      <alignment horizontal="center"/>
    </xf>
    <xf numFmtId="9" fontId="6" fillId="6" borderId="8" xfId="0" applyNumberFormat="1" applyFont="1" applyFill="1" applyBorder="1" applyAlignment="1">
      <alignment horizontal="center"/>
    </xf>
    <xf numFmtId="166" fontId="6" fillId="2" borderId="8" xfId="0" applyNumberFormat="1" applyFont="1" applyFill="1" applyBorder="1" applyAlignment="1">
      <alignment horizontal="center"/>
    </xf>
    <xf numFmtId="164" fontId="1" fillId="2" borderId="2" xfId="0" applyNumberFormat="1" applyFont="1" applyFill="1" applyBorder="1" applyAlignment="1">
      <alignment horizontal="center" vertical="center"/>
    </xf>
    <xf numFmtId="166" fontId="26" fillId="6" borderId="20" xfId="1" applyNumberFormat="1" applyFont="1" applyFill="1" applyBorder="1" applyAlignment="1" applyProtection="1">
      <alignment horizontal="left" vertical="center"/>
    </xf>
    <xf numFmtId="0" fontId="24" fillId="6" borderId="27" xfId="0" applyFont="1" applyFill="1" applyBorder="1" applyAlignment="1">
      <alignment horizontal="right"/>
    </xf>
    <xf numFmtId="9" fontId="6" fillId="2" borderId="27" xfId="1" applyFont="1" applyFill="1" applyBorder="1" applyAlignment="1" applyProtection="1">
      <alignment horizontal="center" vertical="center"/>
    </xf>
    <xf numFmtId="166" fontId="1" fillId="0" borderId="0" xfId="0" applyNumberFormat="1" applyFont="1"/>
    <xf numFmtId="0" fontId="1" fillId="0" borderId="0" xfId="0" applyFont="1" applyProtection="1">
      <protection locked="0"/>
    </xf>
    <xf numFmtId="0" fontId="6" fillId="6" borderId="20" xfId="0" applyFont="1" applyFill="1" applyBorder="1" applyAlignment="1">
      <alignment horizontal="center" vertical="center"/>
    </xf>
    <xf numFmtId="9" fontId="6" fillId="6" borderId="28" xfId="0" applyNumberFormat="1" applyFont="1" applyFill="1" applyBorder="1" applyAlignment="1">
      <alignment horizontal="center"/>
    </xf>
    <xf numFmtId="166" fontId="6" fillId="2" borderId="28" xfId="0" applyNumberFormat="1" applyFont="1" applyFill="1" applyBorder="1" applyAlignment="1">
      <alignment horizontal="center"/>
    </xf>
    <xf numFmtId="164" fontId="1" fillId="2" borderId="27" xfId="0" applyNumberFormat="1" applyFont="1" applyFill="1" applyBorder="1" applyAlignment="1">
      <alignment horizontal="center" vertical="center"/>
    </xf>
    <xf numFmtId="164" fontId="1" fillId="2" borderId="21" xfId="0" applyNumberFormat="1" applyFont="1" applyFill="1" applyBorder="1" applyAlignment="1">
      <alignment horizontal="center"/>
    </xf>
    <xf numFmtId="0" fontId="1" fillId="0" borderId="0" xfId="0" applyFont="1" applyAlignment="1" applyProtection="1">
      <alignment horizontal="center"/>
      <protection locked="0"/>
    </xf>
    <xf numFmtId="0" fontId="6" fillId="6" borderId="16" xfId="0" applyFont="1" applyFill="1" applyBorder="1" applyAlignment="1">
      <alignment horizontal="center" wrapText="1"/>
    </xf>
    <xf numFmtId="0" fontId="6" fillId="6" borderId="17" xfId="0" applyFont="1" applyFill="1" applyBorder="1" applyAlignment="1">
      <alignment horizontal="center" wrapText="1"/>
    </xf>
    <xf numFmtId="0" fontId="25" fillId="4" borderId="7" xfId="0" applyFont="1" applyFill="1" applyBorder="1"/>
    <xf numFmtId="166" fontId="25" fillId="4" borderId="12" xfId="0" applyNumberFormat="1" applyFont="1" applyFill="1" applyBorder="1"/>
    <xf numFmtId="0" fontId="25" fillId="4" borderId="20" xfId="0" applyFont="1" applyFill="1" applyBorder="1"/>
    <xf numFmtId="166" fontId="25" fillId="4" borderId="21" xfId="0" applyNumberFormat="1" applyFont="1" applyFill="1" applyBorder="1"/>
    <xf numFmtId="0" fontId="14" fillId="8" borderId="16" xfId="0" applyFont="1" applyFill="1" applyBorder="1" applyAlignment="1">
      <alignment horizontal="center" vertical="center" wrapText="1"/>
    </xf>
    <xf numFmtId="0" fontId="14" fillId="8" borderId="29" xfId="0" applyFont="1" applyFill="1" applyBorder="1" applyAlignment="1">
      <alignment horizontal="center" vertical="center" wrapText="1"/>
    </xf>
    <xf numFmtId="0" fontId="14" fillId="8" borderId="17" xfId="0" applyFont="1" applyFill="1" applyBorder="1" applyAlignment="1">
      <alignment horizontal="center" vertical="center" wrapText="1"/>
    </xf>
    <xf numFmtId="0" fontId="0" fillId="2" borderId="7" xfId="0" applyFill="1" applyBorder="1"/>
    <xf numFmtId="166" fontId="23" fillId="2" borderId="2" xfId="2" applyNumberFormat="1" applyFill="1" applyBorder="1" applyProtection="1"/>
    <xf numFmtId="166" fontId="23" fillId="2" borderId="12" xfId="2" applyNumberFormat="1" applyFill="1" applyBorder="1" applyProtection="1"/>
    <xf numFmtId="166" fontId="23" fillId="7" borderId="2" xfId="2" applyNumberFormat="1" applyFill="1" applyBorder="1" applyProtection="1"/>
    <xf numFmtId="166" fontId="23" fillId="7" borderId="12" xfId="2" applyNumberFormat="1" applyFill="1" applyBorder="1" applyProtection="1"/>
    <xf numFmtId="0" fontId="0" fillId="2" borderId="20" xfId="0" applyFill="1" applyBorder="1"/>
    <xf numFmtId="166" fontId="23" fillId="2" borderId="27" xfId="2" applyNumberFormat="1" applyFill="1" applyBorder="1" applyProtection="1"/>
    <xf numFmtId="166" fontId="23" fillId="2" borderId="21" xfId="2" applyNumberFormat="1" applyFill="1" applyBorder="1" applyProtection="1"/>
    <xf numFmtId="0" fontId="3" fillId="0" borderId="0" xfId="0" applyFont="1" applyAlignment="1">
      <alignment vertical="center"/>
    </xf>
    <xf numFmtId="0" fontId="0" fillId="0" borderId="0" xfId="0" applyAlignment="1">
      <alignment vertical="center"/>
    </xf>
    <xf numFmtId="0" fontId="14" fillId="0" borderId="0" xfId="0" applyFont="1"/>
    <xf numFmtId="0" fontId="0" fillId="3" borderId="0" xfId="0" applyFill="1" applyAlignment="1">
      <alignment horizontal="center"/>
    </xf>
    <xf numFmtId="0" fontId="6" fillId="4" borderId="2" xfId="0" applyFont="1" applyFill="1" applyBorder="1" applyAlignment="1">
      <alignment horizontal="center" vertical="center" wrapText="1"/>
    </xf>
    <xf numFmtId="0" fontId="14" fillId="4" borderId="2" xfId="0" applyFont="1" applyFill="1" applyBorder="1" applyAlignment="1">
      <alignment horizontal="center"/>
    </xf>
    <xf numFmtId="0" fontId="6" fillId="4" borderId="2" xfId="0" applyFont="1" applyFill="1" applyBorder="1" applyAlignment="1">
      <alignment horizontal="center" vertical="center"/>
    </xf>
    <xf numFmtId="9" fontId="9" fillId="4" borderId="2" xfId="1" applyFont="1" applyFill="1" applyBorder="1" applyProtection="1"/>
    <xf numFmtId="0" fontId="9" fillId="5" borderId="2" xfId="0" applyFont="1" applyFill="1" applyBorder="1" applyAlignment="1">
      <alignment horizontal="center" vertical="center" wrapText="1"/>
    </xf>
    <xf numFmtId="0" fontId="0" fillId="0" borderId="2" xfId="0" applyBorder="1"/>
    <xf numFmtId="0" fontId="14" fillId="5" borderId="2" xfId="0" applyFont="1" applyFill="1" applyBorder="1" applyAlignment="1">
      <alignment horizontal="center" vertical="center" wrapText="1"/>
    </xf>
    <xf numFmtId="0" fontId="14" fillId="0" borderId="2" xfId="0" applyFont="1" applyBorder="1"/>
    <xf numFmtId="0" fontId="0" fillId="0" borderId="0" xfId="0" applyAlignment="1">
      <alignment horizontal="left" vertical="center"/>
    </xf>
    <xf numFmtId="167" fontId="0" fillId="0" borderId="0" xfId="0" applyNumberFormat="1" applyAlignment="1">
      <alignment horizontal="center" vertical="center"/>
    </xf>
    <xf numFmtId="0" fontId="0" fillId="0" borderId="0" xfId="0" applyAlignment="1">
      <alignment horizontal="center" vertical="center"/>
    </xf>
    <xf numFmtId="0" fontId="14" fillId="4" borderId="2" xfId="0" applyFont="1" applyFill="1" applyBorder="1" applyAlignment="1">
      <alignment horizontal="center" vertical="center"/>
    </xf>
    <xf numFmtId="0" fontId="9" fillId="0" borderId="2" xfId="0" applyFont="1" applyBorder="1" applyAlignment="1">
      <alignment vertical="center"/>
    </xf>
    <xf numFmtId="0" fontId="9" fillId="0" borderId="2" xfId="0" applyFont="1" applyBorder="1" applyAlignment="1">
      <alignment horizontal="center" vertical="center"/>
    </xf>
    <xf numFmtId="0" fontId="27" fillId="4" borderId="20" xfId="0" applyFont="1" applyFill="1" applyBorder="1" applyAlignment="1">
      <alignment horizontal="center" vertical="center" wrapText="1"/>
    </xf>
    <xf numFmtId="0" fontId="27" fillId="4" borderId="27" xfId="0" applyFont="1" applyFill="1" applyBorder="1" applyAlignment="1">
      <alignment horizontal="center" vertical="center" wrapText="1"/>
    </xf>
    <xf numFmtId="0" fontId="27" fillId="4" borderId="21" xfId="0" applyFont="1" applyFill="1" applyBorder="1" applyAlignment="1">
      <alignment horizontal="center" vertical="center" wrapText="1"/>
    </xf>
    <xf numFmtId="2" fontId="0" fillId="0" borderId="2" xfId="0" applyNumberFormat="1" applyBorder="1" applyAlignment="1">
      <alignment horizontal="center" vertical="center"/>
    </xf>
    <xf numFmtId="0" fontId="28" fillId="0" borderId="13" xfId="0" applyFont="1" applyBorder="1" applyAlignment="1">
      <alignment vertical="center" wrapText="1"/>
    </xf>
    <xf numFmtId="0" fontId="28" fillId="0" borderId="30" xfId="0" applyFont="1" applyBorder="1" applyAlignment="1">
      <alignment horizontal="center" vertical="center" wrapText="1"/>
    </xf>
    <xf numFmtId="0" fontId="28" fillId="0" borderId="30" xfId="0" applyFont="1" applyBorder="1" applyAlignment="1">
      <alignment vertical="center" wrapText="1"/>
    </xf>
    <xf numFmtId="0" fontId="9" fillId="0" borderId="2" xfId="0" applyFont="1" applyBorder="1" applyAlignment="1">
      <alignment vertical="center" wrapText="1"/>
    </xf>
    <xf numFmtId="0" fontId="0" fillId="0" borderId="2" xfId="0" applyBorder="1" applyAlignment="1">
      <alignment vertical="center"/>
    </xf>
    <xf numFmtId="0" fontId="9" fillId="0" borderId="0" xfId="0" applyFont="1" applyAlignment="1">
      <alignment vertical="center"/>
    </xf>
    <xf numFmtId="0" fontId="0" fillId="0" borderId="0" xfId="0" applyAlignment="1">
      <alignment wrapText="1"/>
    </xf>
    <xf numFmtId="0" fontId="14" fillId="6" borderId="2" xfId="0" applyFont="1" applyFill="1" applyBorder="1" applyAlignment="1">
      <alignment horizontal="center" vertical="center"/>
    </xf>
    <xf numFmtId="0" fontId="14" fillId="6" borderId="2" xfId="0" applyFont="1" applyFill="1" applyBorder="1" applyAlignment="1">
      <alignment horizontal="center" vertical="center" wrapText="1"/>
    </xf>
    <xf numFmtId="0" fontId="9" fillId="0" borderId="2" xfId="0" applyFont="1" applyBorder="1"/>
    <xf numFmtId="0" fontId="9" fillId="0" borderId="2" xfId="0" applyFont="1" applyBorder="1" applyAlignment="1">
      <alignment wrapText="1"/>
    </xf>
    <xf numFmtId="0" fontId="0" fillId="0" borderId="2" xfId="0" applyBorder="1" applyAlignment="1">
      <alignment horizontal="center"/>
    </xf>
    <xf numFmtId="0" fontId="9" fillId="10" borderId="2" xfId="0" applyFont="1" applyFill="1" applyBorder="1" applyAlignment="1" applyProtection="1">
      <alignment vertical="center" wrapText="1"/>
      <protection locked="0"/>
    </xf>
    <xf numFmtId="0" fontId="1" fillId="2" borderId="2" xfId="0" applyFont="1" applyFill="1" applyBorder="1" applyAlignment="1">
      <alignment horizontal="left" vertical="center"/>
    </xf>
    <xf numFmtId="164" fontId="1" fillId="2" borderId="2" xfId="0" applyNumberFormat="1" applyFont="1" applyFill="1" applyBorder="1" applyAlignment="1">
      <alignment horizontal="left" vertical="center"/>
    </xf>
    <xf numFmtId="0" fontId="3" fillId="0" borderId="1" xfId="0" applyFont="1" applyBorder="1" applyAlignment="1" applyProtection="1">
      <alignment horizontal="right" vertical="center" wrapText="1"/>
      <protection locked="0" hidden="1"/>
    </xf>
    <xf numFmtId="0" fontId="5" fillId="4" borderId="2" xfId="0" applyFont="1" applyFill="1" applyBorder="1" applyAlignment="1" applyProtection="1">
      <alignment horizontal="center" vertical="center"/>
      <protection locked="0"/>
    </xf>
    <xf numFmtId="0" fontId="1" fillId="0" borderId="2" xfId="0" applyFont="1" applyBorder="1" applyAlignment="1" applyProtection="1">
      <alignment horizontal="left" vertical="center"/>
      <protection locked="0"/>
    </xf>
    <xf numFmtId="0" fontId="6" fillId="0" borderId="2" xfId="0" applyFont="1" applyBorder="1" applyAlignment="1" applyProtection="1">
      <alignment horizontal="left" vertical="center"/>
      <protection locked="0"/>
    </xf>
    <xf numFmtId="0" fontId="6" fillId="0" borderId="2" xfId="0" applyFont="1" applyBorder="1" applyAlignment="1" applyProtection="1">
      <alignment vertical="center"/>
      <protection locked="0"/>
    </xf>
    <xf numFmtId="0" fontId="1" fillId="0" borderId="2" xfId="0" applyFont="1" applyBorder="1" applyAlignment="1" applyProtection="1">
      <alignment horizontal="left" vertical="top"/>
      <protection locked="0"/>
    </xf>
    <xf numFmtId="0" fontId="6" fillId="2" borderId="2" xfId="0" applyFont="1" applyFill="1" applyBorder="1" applyAlignment="1" applyProtection="1">
      <alignment horizontal="center" vertical="center" wrapText="1"/>
      <protection locked="0"/>
    </xf>
    <xf numFmtId="0" fontId="5" fillId="2" borderId="2" xfId="0" applyFont="1" applyFill="1" applyBorder="1" applyAlignment="1" applyProtection="1">
      <alignment horizontal="center" vertical="center"/>
      <protection locked="0"/>
    </xf>
    <xf numFmtId="0" fontId="5" fillId="2" borderId="2" xfId="0" applyFont="1" applyFill="1" applyBorder="1" applyAlignment="1" applyProtection="1">
      <alignment horizontal="right" vertical="center"/>
      <protection locked="0"/>
    </xf>
    <xf numFmtId="0" fontId="5" fillId="2" borderId="2" xfId="0" applyFont="1" applyFill="1" applyBorder="1" applyAlignment="1" applyProtection="1">
      <alignment vertical="center"/>
      <protection locked="0"/>
    </xf>
    <xf numFmtId="0" fontId="5" fillId="2" borderId="2" xfId="0" applyFont="1" applyFill="1" applyBorder="1" applyAlignment="1" applyProtection="1">
      <alignment horizontal="left" vertical="center"/>
      <protection locked="0"/>
    </xf>
    <xf numFmtId="164" fontId="6" fillId="3" borderId="2" xfId="0" applyNumberFormat="1" applyFont="1" applyFill="1" applyBorder="1" applyAlignment="1" applyProtection="1">
      <alignment horizontal="center" vertical="center"/>
      <protection locked="0"/>
    </xf>
    <xf numFmtId="0" fontId="10" fillId="2" borderId="2" xfId="0" applyFont="1" applyFill="1" applyBorder="1" applyAlignment="1" applyProtection="1">
      <alignment horizontal="right" vertical="center"/>
      <protection locked="0"/>
    </xf>
    <xf numFmtId="49" fontId="6" fillId="3" borderId="2" xfId="0" applyNumberFormat="1" applyFont="1" applyFill="1" applyBorder="1" applyAlignment="1" applyProtection="1">
      <alignment horizontal="center" vertical="center"/>
      <protection locked="0"/>
    </xf>
    <xf numFmtId="0" fontId="11" fillId="0" borderId="2" xfId="0" applyFont="1" applyBorder="1" applyAlignment="1" applyProtection="1">
      <alignment horizontal="center" vertical="center" wrapText="1"/>
      <protection locked="0"/>
    </xf>
    <xf numFmtId="0" fontId="12" fillId="2" borderId="2" xfId="0" applyFont="1" applyFill="1" applyBorder="1" applyAlignment="1" applyProtection="1">
      <alignment horizontal="right" vertical="center"/>
      <protection locked="0"/>
    </xf>
    <xf numFmtId="0" fontId="29" fillId="0" borderId="9" xfId="0" applyFont="1" applyBorder="1" applyAlignment="1" applyProtection="1">
      <alignment horizontal="center" vertical="center" wrapText="1"/>
      <protection locked="0"/>
    </xf>
    <xf numFmtId="0" fontId="14" fillId="4" borderId="31" xfId="0" applyFont="1" applyFill="1" applyBorder="1" applyAlignment="1" applyProtection="1">
      <alignment horizontal="center" vertical="center"/>
      <protection locked="0"/>
    </xf>
    <xf numFmtId="0" fontId="14" fillId="4" borderId="3" xfId="0" applyFont="1" applyFill="1" applyBorder="1" applyAlignment="1" applyProtection="1">
      <alignment horizontal="center" vertical="center" wrapText="1"/>
      <protection locked="0"/>
    </xf>
    <xf numFmtId="0" fontId="3" fillId="0" borderId="1" xfId="0" applyFont="1" applyBorder="1" applyAlignment="1" applyProtection="1">
      <alignment horizontal="right" vertical="center" wrapText="1"/>
      <protection locked="0"/>
    </xf>
    <xf numFmtId="0" fontId="14" fillId="4" borderId="31" xfId="0" applyFont="1" applyFill="1" applyBorder="1" applyAlignment="1" applyProtection="1">
      <alignment horizontal="center" vertical="center" wrapText="1"/>
      <protection locked="0"/>
    </xf>
    <xf numFmtId="0" fontId="14" fillId="4" borderId="2" xfId="0" applyFont="1" applyFill="1" applyBorder="1" applyAlignment="1" applyProtection="1">
      <alignment horizontal="center" vertical="center"/>
      <protection locked="0"/>
    </xf>
    <xf numFmtId="0" fontId="14" fillId="4" borderId="5" xfId="0" applyFont="1" applyFill="1" applyBorder="1" applyAlignment="1" applyProtection="1">
      <alignment horizontal="center" vertical="center"/>
      <protection locked="0"/>
    </xf>
    <xf numFmtId="0" fontId="14" fillId="4" borderId="32" xfId="0" applyFont="1" applyFill="1" applyBorder="1" applyAlignment="1" applyProtection="1">
      <alignment horizontal="center" vertical="center"/>
      <protection locked="0"/>
    </xf>
    <xf numFmtId="0" fontId="14" fillId="9" borderId="2" xfId="0" applyFont="1" applyFill="1" applyBorder="1" applyAlignment="1" applyProtection="1">
      <alignment horizontal="center" vertical="center"/>
      <protection locked="0"/>
    </xf>
    <xf numFmtId="0" fontId="14" fillId="9" borderId="2" xfId="0" applyFont="1" applyFill="1" applyBorder="1" applyAlignment="1" applyProtection="1">
      <alignment horizontal="center" vertical="center" wrapText="1"/>
      <protection locked="0"/>
    </xf>
    <xf numFmtId="0" fontId="9" fillId="3" borderId="9" xfId="0" applyFont="1" applyFill="1" applyBorder="1" applyAlignment="1" applyProtection="1">
      <alignment horizontal="center" vertical="center"/>
      <protection locked="0"/>
    </xf>
    <xf numFmtId="0" fontId="9" fillId="3" borderId="0" xfId="0" applyFont="1" applyFill="1" applyAlignment="1" applyProtection="1">
      <alignment horizontal="center" vertical="center"/>
      <protection locked="0"/>
    </xf>
    <xf numFmtId="0" fontId="10" fillId="2" borderId="5" xfId="0" applyFont="1" applyFill="1" applyBorder="1" applyAlignment="1" applyProtection="1">
      <alignment horizontal="right" vertical="center"/>
      <protection locked="0"/>
    </xf>
    <xf numFmtId="0" fontId="10" fillId="2" borderId="6" xfId="0" applyFont="1" applyFill="1" applyBorder="1" applyAlignment="1" applyProtection="1">
      <alignment horizontal="right" vertical="center"/>
      <protection locked="0"/>
    </xf>
    <xf numFmtId="0" fontId="10" fillId="2" borderId="8" xfId="0" applyFont="1" applyFill="1" applyBorder="1" applyAlignment="1" applyProtection="1">
      <alignment horizontal="right" vertical="center"/>
      <protection locked="0"/>
    </xf>
    <xf numFmtId="49" fontId="6" fillId="3" borderId="5" xfId="0" applyNumberFormat="1" applyFont="1" applyFill="1" applyBorder="1" applyAlignment="1" applyProtection="1">
      <alignment horizontal="center" vertical="center"/>
      <protection locked="0"/>
    </xf>
    <xf numFmtId="49" fontId="6" fillId="3" borderId="6" xfId="0" applyNumberFormat="1" applyFont="1" applyFill="1" applyBorder="1" applyAlignment="1" applyProtection="1">
      <alignment horizontal="center" vertical="center"/>
      <protection locked="0"/>
    </xf>
    <xf numFmtId="49" fontId="6" fillId="3" borderId="8" xfId="0" applyNumberFormat="1" applyFont="1" applyFill="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12" fillId="0" borderId="4" xfId="0" applyFont="1" applyBorder="1" applyAlignment="1" applyProtection="1">
      <alignment horizontal="center" vertical="center"/>
      <protection locked="0"/>
    </xf>
    <xf numFmtId="0" fontId="14" fillId="4" borderId="2" xfId="0" applyFont="1" applyFill="1" applyBorder="1" applyAlignment="1" applyProtection="1">
      <alignment horizontal="center" vertical="center" wrapText="1"/>
      <protection locked="0"/>
    </xf>
    <xf numFmtId="0" fontId="9" fillId="3" borderId="5" xfId="0" applyFont="1" applyFill="1" applyBorder="1" applyAlignment="1" applyProtection="1">
      <alignment horizontal="center" vertical="center"/>
      <protection locked="0"/>
    </xf>
    <xf numFmtId="0" fontId="9" fillId="3" borderId="6" xfId="0" applyFont="1" applyFill="1" applyBorder="1" applyAlignment="1" applyProtection="1">
      <alignment horizontal="center" vertical="center"/>
      <protection locked="0"/>
    </xf>
    <xf numFmtId="0" fontId="9" fillId="3" borderId="8" xfId="0" applyFont="1" applyFill="1" applyBorder="1" applyAlignment="1" applyProtection="1">
      <alignment horizontal="center" vertical="center"/>
      <protection locked="0"/>
    </xf>
    <xf numFmtId="0" fontId="9" fillId="3" borderId="2" xfId="0" applyFont="1" applyFill="1" applyBorder="1" applyAlignment="1" applyProtection="1">
      <alignment horizontal="center" vertical="center"/>
      <protection locked="0"/>
    </xf>
    <xf numFmtId="2" fontId="13" fillId="3" borderId="5" xfId="0" applyNumberFormat="1" applyFont="1" applyFill="1" applyBorder="1" applyAlignment="1">
      <alignment horizontal="center" vertical="center"/>
    </xf>
    <xf numFmtId="2" fontId="13" fillId="3" borderId="8" xfId="0" applyNumberFormat="1" applyFont="1" applyFill="1" applyBorder="1" applyAlignment="1">
      <alignment horizontal="center" vertical="center"/>
    </xf>
    <xf numFmtId="0" fontId="2" fillId="0" borderId="9" xfId="0" applyFont="1" applyBorder="1" applyAlignment="1" applyProtection="1">
      <alignment horizontal="left" vertical="center" indent="13"/>
      <protection locked="0"/>
    </xf>
    <xf numFmtId="0" fontId="10" fillId="2" borderId="2" xfId="0" applyFont="1" applyFill="1" applyBorder="1" applyAlignment="1" applyProtection="1">
      <alignment horizontal="center" vertical="center"/>
      <protection locked="0"/>
    </xf>
    <xf numFmtId="164" fontId="13" fillId="3" borderId="2" xfId="0" applyNumberFormat="1" applyFont="1" applyFill="1" applyBorder="1" applyAlignment="1">
      <alignment horizontal="center" vertical="center"/>
    </xf>
    <xf numFmtId="0" fontId="14" fillId="2" borderId="2" xfId="0" applyFont="1" applyFill="1" applyBorder="1" applyAlignment="1" applyProtection="1">
      <alignment horizontal="right" vertical="center" wrapText="1"/>
      <protection locked="0"/>
    </xf>
    <xf numFmtId="0" fontId="9" fillId="5" borderId="2" xfId="0" applyFont="1" applyFill="1" applyBorder="1" applyAlignment="1" applyProtection="1">
      <alignment horizontal="center" vertical="center" wrapText="1"/>
      <protection locked="0"/>
    </xf>
    <xf numFmtId="0" fontId="13" fillId="3" borderId="2" xfId="0" applyFont="1" applyFill="1" applyBorder="1" applyAlignment="1">
      <alignment horizontal="center" vertical="center"/>
    </xf>
    <xf numFmtId="0" fontId="14" fillId="4" borderId="3" xfId="0" applyFont="1" applyFill="1" applyBorder="1" applyAlignment="1" applyProtection="1">
      <alignment horizontal="center" vertical="center"/>
      <protection locked="0"/>
    </xf>
    <xf numFmtId="2" fontId="14" fillId="2" borderId="2" xfId="0" applyNumberFormat="1" applyFont="1" applyFill="1" applyBorder="1" applyAlignment="1">
      <alignment horizontal="center" vertical="center" wrapText="1"/>
    </xf>
    <xf numFmtId="0" fontId="14" fillId="2" borderId="2" xfId="0" applyFont="1" applyFill="1" applyBorder="1" applyAlignment="1" applyProtection="1">
      <alignment horizontal="right" vertical="center"/>
      <protection locked="0"/>
    </xf>
    <xf numFmtId="0" fontId="13" fillId="0" borderId="1" xfId="0" applyFont="1" applyBorder="1" applyAlignment="1" applyProtection="1">
      <alignment horizontal="right" vertical="center" wrapText="1"/>
      <protection locked="0"/>
    </xf>
    <xf numFmtId="0" fontId="6" fillId="6" borderId="29" xfId="0" applyFont="1" applyFill="1" applyBorder="1" applyAlignment="1">
      <alignment horizontal="center" vertical="center" wrapText="1"/>
    </xf>
    <xf numFmtId="0" fontId="24" fillId="6" borderId="33" xfId="0" applyFont="1" applyFill="1" applyBorder="1" applyAlignment="1">
      <alignment horizontal="center" vertical="center" wrapText="1"/>
    </xf>
    <xf numFmtId="0" fontId="30" fillId="3" borderId="34" xfId="0" applyFont="1" applyFill="1" applyBorder="1" applyAlignment="1" applyProtection="1">
      <alignment horizontal="center" vertical="center" wrapText="1"/>
      <protection locked="0"/>
    </xf>
    <xf numFmtId="0" fontId="24" fillId="6" borderId="16" xfId="0" applyFont="1" applyFill="1" applyBorder="1" applyAlignment="1">
      <alignment horizontal="center" vertical="center"/>
    </xf>
    <xf numFmtId="0" fontId="24" fillId="6" borderId="17" xfId="0" applyFont="1" applyFill="1" applyBorder="1" applyAlignment="1">
      <alignment horizontal="center" vertical="center"/>
    </xf>
    <xf numFmtId="0" fontId="24" fillId="6" borderId="33" xfId="0" applyFont="1" applyFill="1" applyBorder="1" applyAlignment="1">
      <alignment horizontal="right" vertical="center"/>
    </xf>
    <xf numFmtId="0" fontId="24" fillId="3" borderId="35" xfId="0" applyFont="1" applyFill="1" applyBorder="1" applyAlignment="1" applyProtection="1">
      <alignment horizontal="center" vertical="center"/>
      <protection locked="0"/>
    </xf>
    <xf numFmtId="0" fontId="24" fillId="6" borderId="7" xfId="0" applyFont="1" applyFill="1" applyBorder="1" applyAlignment="1">
      <alignment horizontal="center" vertical="center"/>
    </xf>
    <xf numFmtId="164" fontId="6" fillId="3" borderId="12" xfId="0" applyNumberFormat="1" applyFont="1" applyFill="1" applyBorder="1" applyAlignment="1" applyProtection="1">
      <alignment horizontal="center" vertical="center"/>
      <protection locked="0"/>
    </xf>
    <xf numFmtId="166" fontId="24" fillId="2" borderId="12" xfId="0" applyNumberFormat="1" applyFont="1" applyFill="1" applyBorder="1" applyAlignment="1">
      <alignment horizontal="center" vertical="center"/>
    </xf>
    <xf numFmtId="0" fontId="24" fillId="6" borderId="20" xfId="0" applyFont="1" applyFill="1" applyBorder="1" applyAlignment="1">
      <alignment horizontal="center" vertical="center"/>
    </xf>
    <xf numFmtId="0" fontId="25" fillId="2" borderId="21" xfId="0" applyFont="1" applyFill="1" applyBorder="1" applyAlignment="1">
      <alignment horizontal="center" vertical="center"/>
    </xf>
    <xf numFmtId="0" fontId="3" fillId="0" borderId="0" xfId="0" applyFont="1" applyAlignment="1" applyProtection="1">
      <alignment horizontal="right" vertical="center" wrapText="1"/>
      <protection locked="0"/>
    </xf>
    <xf numFmtId="0" fontId="5" fillId="5" borderId="36" xfId="0" applyFont="1" applyFill="1" applyBorder="1" applyAlignment="1">
      <alignment horizontal="center"/>
    </xf>
    <xf numFmtId="0" fontId="5" fillId="5" borderId="36" xfId="0" applyFont="1" applyFill="1" applyBorder="1" applyAlignment="1">
      <alignment horizontal="center" vertical="center"/>
    </xf>
    <xf numFmtId="0" fontId="24" fillId="6" borderId="17" xfId="0" applyFont="1" applyFill="1" applyBorder="1" applyAlignment="1">
      <alignment horizontal="center" vertical="center" wrapText="1"/>
    </xf>
    <xf numFmtId="0" fontId="6" fillId="6" borderId="7" xfId="0" applyFont="1" applyFill="1" applyBorder="1" applyAlignment="1">
      <alignment horizontal="center" vertical="center"/>
    </xf>
    <xf numFmtId="0" fontId="6" fillId="8" borderId="37" xfId="0" applyFont="1" applyFill="1" applyBorder="1" applyAlignment="1">
      <alignment horizontal="center" vertical="center"/>
    </xf>
    <xf numFmtId="0" fontId="5" fillId="7" borderId="38" xfId="0" applyFont="1" applyFill="1" applyBorder="1" applyAlignment="1">
      <alignment horizontal="center" vertical="center"/>
    </xf>
    <xf numFmtId="0" fontId="30" fillId="3" borderId="35" xfId="0" applyFont="1" applyFill="1" applyBorder="1" applyAlignment="1" applyProtection="1">
      <alignment horizontal="center" vertical="center" wrapText="1"/>
      <protection locked="0"/>
    </xf>
    <xf numFmtId="0" fontId="1" fillId="0" borderId="0" xfId="0" applyFont="1" applyAlignment="1">
      <alignment horizontal="center"/>
    </xf>
    <xf numFmtId="0" fontId="24" fillId="6" borderId="39" xfId="0" applyFont="1" applyFill="1" applyBorder="1" applyAlignment="1">
      <alignment horizontal="right" vertical="center"/>
    </xf>
    <xf numFmtId="0" fontId="31" fillId="3" borderId="40" xfId="0" applyFont="1" applyFill="1" applyBorder="1" applyAlignment="1" applyProtection="1">
      <alignment horizontal="center" vertical="center"/>
      <protection locked="0"/>
    </xf>
    <xf numFmtId="0" fontId="6" fillId="8" borderId="41" xfId="0" applyFont="1" applyFill="1" applyBorder="1" applyAlignment="1">
      <alignment horizontal="center" vertical="center"/>
    </xf>
    <xf numFmtId="0" fontId="24" fillId="6" borderId="13" xfId="0" applyFont="1" applyFill="1" applyBorder="1" applyAlignment="1">
      <alignment horizontal="center" vertical="center"/>
    </xf>
    <xf numFmtId="0" fontId="6" fillId="6" borderId="16" xfId="0" applyFont="1" applyFill="1" applyBorder="1" applyAlignment="1">
      <alignment horizontal="center" vertical="center" wrapText="1"/>
    </xf>
    <xf numFmtId="0" fontId="6" fillId="6" borderId="29" xfId="0" applyFont="1" applyFill="1" applyBorder="1" applyAlignment="1">
      <alignment horizontal="center" vertical="center"/>
    </xf>
    <xf numFmtId="0" fontId="6" fillId="6" borderId="17" xfId="0" applyFont="1" applyFill="1" applyBorder="1" applyAlignment="1">
      <alignment horizontal="center" vertical="center"/>
    </xf>
    <xf numFmtId="0" fontId="24" fillId="6" borderId="38" xfId="0" applyFont="1" applyFill="1" applyBorder="1" applyAlignment="1">
      <alignment horizontal="center" vertical="center"/>
    </xf>
    <xf numFmtId="0" fontId="20" fillId="2" borderId="42" xfId="0" applyFont="1" applyFill="1" applyBorder="1" applyAlignment="1">
      <alignment horizontal="center" vertical="center" wrapText="1"/>
    </xf>
    <xf numFmtId="0" fontId="6" fillId="7" borderId="21" xfId="1" applyNumberFormat="1" applyFont="1" applyFill="1" applyBorder="1" applyAlignment="1" applyProtection="1">
      <alignment horizontal="left" vertical="center"/>
    </xf>
    <xf numFmtId="0" fontId="3" fillId="0" borderId="1" xfId="0" applyFont="1" applyBorder="1" applyAlignment="1">
      <alignment horizontal="right" vertical="center" wrapText="1"/>
    </xf>
    <xf numFmtId="0" fontId="14" fillId="4" borderId="2" xfId="0" applyFont="1" applyFill="1" applyBorder="1" applyAlignment="1">
      <alignment horizontal="center" vertical="center"/>
    </xf>
    <xf numFmtId="0" fontId="14" fillId="4" borderId="36" xfId="0" applyFont="1" applyFill="1" applyBorder="1" applyAlignment="1">
      <alignment horizontal="center" vertical="center"/>
    </xf>
    <xf numFmtId="0" fontId="16" fillId="0" borderId="0" xfId="0" applyFont="1" applyAlignment="1" applyProtection="1">
      <alignment horizontal="center" vertical="center"/>
      <protection locked="0"/>
    </xf>
  </cellXfs>
  <cellStyles count="3">
    <cellStyle name="Normal" xfId="0" builtinId="0"/>
    <cellStyle name="Porcentagem" xfId="1" builtinId="5"/>
    <cellStyle name="Vírgula" xfId="2" builtinId="3"/>
  </cellStyles>
  <dxfs count="15">
    <dxf>
      <fill>
        <patternFill>
          <bgColor rgb="FFD7E4BD"/>
        </patternFill>
      </fill>
    </dxf>
    <dxf>
      <font>
        <name val="Arial"/>
        <charset val="1"/>
        <scheme val="none"/>
      </font>
    </dxf>
    <dxf>
      <fill>
        <patternFill>
          <bgColor rgb="FFD7E4BD"/>
        </patternFill>
      </fill>
    </dxf>
    <dxf>
      <fill>
        <patternFill>
          <bgColor rgb="FFD7E4BD"/>
        </patternFill>
      </fill>
    </dxf>
    <dxf>
      <font>
        <name val="Arial"/>
        <charset val="1"/>
        <scheme val="none"/>
      </font>
    </dxf>
    <dxf>
      <font>
        <name val="Arial"/>
        <charset val="1"/>
        <scheme val="none"/>
      </font>
    </dxf>
    <dxf>
      <font>
        <name val="Arial"/>
        <charset val="1"/>
        <scheme val="none"/>
      </font>
    </dxf>
    <dxf>
      <font>
        <name val="Arial"/>
        <charset val="1"/>
        <scheme val="none"/>
      </font>
    </dxf>
    <dxf>
      <fill>
        <patternFill>
          <bgColor rgb="FFD7E4BD"/>
        </patternFill>
      </fill>
    </dxf>
    <dxf>
      <fill>
        <patternFill>
          <bgColor theme="9" tint="0.59996337778862885"/>
        </patternFill>
      </fill>
    </dxf>
    <dxf>
      <font>
        <name val="Arial"/>
        <charset val="1"/>
        <scheme val="none"/>
      </font>
    </dxf>
    <dxf>
      <fill>
        <patternFill>
          <bgColor rgb="FFD7E4BD"/>
        </patternFill>
      </fill>
    </dxf>
    <dxf>
      <font>
        <name val="Arial"/>
        <charset val="1"/>
        <scheme val="none"/>
      </font>
    </dxf>
    <dxf>
      <fill>
        <patternFill>
          <bgColor rgb="FFD7E4BD"/>
        </patternFill>
      </fill>
    </dxf>
    <dxf>
      <font>
        <name val="Arial"/>
        <charset val="1"/>
        <scheme val="none"/>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9BBB59"/>
      <rgbColor rgb="00800080"/>
      <rgbColor rgb="00008080"/>
      <rgbColor rgb="00BFBFBF"/>
      <rgbColor rgb="00878787"/>
      <rgbColor rgb="00558ED5"/>
      <rgbColor rgb="00BE4B48"/>
      <rgbColor rgb="00F2F2F2"/>
      <rgbColor rgb="00CCFFFF"/>
      <rgbColor rgb="00660066"/>
      <rgbColor rgb="00FF8080"/>
      <rgbColor rgb="000070C0"/>
      <rgbColor rgb="00D9D9D9"/>
      <rgbColor rgb="00000080"/>
      <rgbColor rgb="00FF00FF"/>
      <rgbColor rgb="00FFFF00"/>
      <rgbColor rgb="0000FFFF"/>
      <rgbColor rgb="00800080"/>
      <rgbColor rgb="00800000"/>
      <rgbColor rgb="00008080"/>
      <rgbColor rgb="000000FF"/>
      <rgbColor rgb="0000CCFF"/>
      <rgbColor rgb="00CCFFFF"/>
      <rgbColor rgb="00D7E4BD"/>
      <rgbColor rgb="00FFFF99"/>
      <rgbColor rgb="0099CCFF"/>
      <rgbColor rgb="00FF99CC"/>
      <rgbColor rgb="00CC99FF"/>
      <rgbColor rgb="00C4BD97"/>
      <rgbColor rgb="004F81BD"/>
      <rgbColor rgb="0033CCCC"/>
      <rgbColor rgb="0098B855"/>
      <rgbColor rgb="00FFC000"/>
      <rgbColor rgb="00FF9900"/>
      <rgbColor rgb="00E46C0A"/>
      <rgbColor rgb="008064A2"/>
      <rgbColor rgb="00A6A6A6"/>
      <rgbColor rgb="00003366"/>
      <rgbColor rgb="00339966"/>
      <rgbColor rgb="00003300"/>
      <rgbColor rgb="00333300"/>
      <rgbColor rgb="00993300"/>
      <rgbColor rgb="00993366"/>
      <rgbColor rgb="00333399"/>
      <rgbColor rgb="00231F2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2496421023928001E-2"/>
          <c:y val="4.9839088457858602E-2"/>
          <c:w val="0.90960529006748903"/>
          <c:h val="0.77472384100200098"/>
        </c:manualLayout>
      </c:layout>
      <c:lineChart>
        <c:grouping val="standard"/>
        <c:varyColors val="0"/>
        <c:ser>
          <c:idx val="0"/>
          <c:order val="0"/>
          <c:tx>
            <c:strRef>
              <c:f>'Redução de Prazo'!$R$26</c:f>
              <c:strCache>
                <c:ptCount val="1"/>
                <c:pt idx="0">
                  <c:v>SISP</c:v>
                </c:pt>
              </c:strCache>
            </c:strRef>
          </c:tx>
          <c:spPr>
            <a:ln w="12700">
              <a:solidFill>
                <a:srgbClr val="BE4B48"/>
              </a:solidFill>
              <a:prstDash val="solid"/>
            </a:ln>
          </c:spPr>
          <c:marker>
            <c:symbol val="none"/>
          </c:marker>
          <c:dLbls>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'Redução de Prazo'!$Q$27:$Q$86</c:f>
              <c:numCache>
                <c:formatCode>General</c:formatCode>
                <c:ptCount val="6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numCache>
            </c:numRef>
          </c:cat>
          <c:val>
            <c:numRef>
              <c:f>'Redução de Prazo'!$R$27:$R$86</c:f>
              <c:numCache>
                <c:formatCode>_-* #,##0_-;\-* #,##0_-;_-* \-??_-;_-@_-</c:formatCode>
                <c:ptCount val="60"/>
                <c:pt idx="0">
                  <c:v>9.4974870513428584</c:v>
                </c:pt>
                <c:pt idx="1">
                  <c:v>10.336729939663668</c:v>
                </c:pt>
                <c:pt idx="2">
                  <c:v>11.25013230004161</c:v>
                </c:pt>
                <c:pt idx="3">
                  <c:v>12.244247214274969</c:v>
                </c:pt>
                <c:pt idx="4">
                  <c:v>13.32620682547225</c:v>
                </c:pt>
                <c:pt idx="5">
                  <c:v>14.503773506649086</c:v>
                </c:pt>
                <c:pt idx="6">
                  <c:v>15.785395550824445</c:v>
                </c:pt>
                <c:pt idx="7">
                  <c:v>17.180267782157173</c:v>
                </c:pt>
                <c:pt idx="8">
                  <c:v>18.69839752296939</c:v>
                </c:pt>
                <c:pt idx="9">
                  <c:v>20.350676389928065</c:v>
                </c:pt>
                <c:pt idx="10">
                  <c:v>22.148958434476945</c:v>
                </c:pt>
                <c:pt idx="11">
                  <c:v>24.106145188126657</c:v>
                </c:pt>
                <c:pt idx="12">
                  <c:v>26.236278222749089</c:v>
                </c:pt>
                <c:pt idx="13">
                  <c:v>28.554639889937153</c:v>
                </c:pt>
                <c:pt idx="14">
                  <c:v>31.077862962171093</c:v>
                </c:pt>
                <c:pt idx="15">
                  <c:v>33.824049962396906</c:v>
                </c:pt>
                <c:pt idx="16">
                  <c:v>36.812903038130841</c:v>
                </c:pt>
                <c:pt idx="17">
                  <c:v>40.065865311854225</c:v>
                </c:pt>
                <c:pt idx="18">
                  <c:v>43.606274721797959</c:v>
                </c:pt>
                <c:pt idx="19">
                  <c:v>50</c:v>
                </c:pt>
                <c:pt idx="20">
                  <c:v>51.653280186659927</c:v>
                </c:pt>
                <c:pt idx="21">
                  <c:v>56.217608394821809</c:v>
                </c:pt>
                <c:pt idx="22">
                  <c:v>61.18526223722295</c:v>
                </c:pt>
                <c:pt idx="23">
                  <c:v>66.591881475032011</c:v>
                </c:pt>
                <c:pt idx="24">
                  <c:v>70</c:v>
                </c:pt>
                <c:pt idx="25">
                  <c:v>78.880599957951503</c:v>
                </c:pt>
                <c:pt idx="26">
                  <c:v>85.850862953132875</c:v>
                </c:pt>
                <c:pt idx="27">
                  <c:v>93.437051362774795</c:v>
                </c:pt>
                <c:pt idx="28">
                  <c:v>101.69359127043245</c:v>
                </c:pt>
                <c:pt idx="29">
                  <c:v>110.67971810589327</c:v>
                </c:pt>
                <c:pt idx="30">
                  <c:v>120.45990162176226</c:v>
                </c:pt>
                <c:pt idx="31">
                  <c:v>131.10430842299021</c:v>
                </c:pt>
                <c:pt idx="32">
                  <c:v>142.68930536769835</c:v>
                </c:pt>
                <c:pt idx="33">
                  <c:v>155.29800745088212</c:v>
                </c:pt>
                <c:pt idx="34">
                  <c:v>169.02087410171018</c:v>
                </c:pt>
                <c:pt idx="35">
                  <c:v>183.95635817247503</c:v>
                </c:pt>
                <c:pt idx="36">
                  <c:v>200.21161227527659</c:v>
                </c:pt>
                <c:pt idx="37">
                  <c:v>217.903257533957</c:v>
                </c:pt>
                <c:pt idx="38">
                  <c:v>237.15822026659424</c:v>
                </c:pt>
                <c:pt idx="39">
                  <c:v>258.11464260121767</c:v>
                </c:pt>
                <c:pt idx="40">
                  <c:v>280.92287355783799</c:v>
                </c:pt>
                <c:pt idx="41">
                  <c:v>305.74654770717279</c:v>
                </c:pt>
                <c:pt idx="42">
                  <c:v>332.76375914476068</c:v>
                </c:pt>
                <c:pt idx="43">
                  <c:v>362.16833920298285</c:v>
                </c:pt>
                <c:pt idx="44">
                  <c:v>394.17124706776224</c:v>
                </c:pt>
                <c:pt idx="45">
                  <c:v>429.00208327673522</c:v>
                </c:pt>
                <c:pt idx="46">
                  <c:v>466.91073695727931</c:v>
                </c:pt>
                <c:pt idx="47">
                  <c:v>508.16917862228996</c:v>
                </c:pt>
                <c:pt idx="48">
                  <c:v>553.0734113858698</c:v>
                </c:pt>
                <c:pt idx="49">
                  <c:v>601.94559459766924</c:v>
                </c:pt>
                <c:pt idx="50">
                  <c:v>655.13635513160523</c:v>
                </c:pt>
                <c:pt idx="51">
                  <c:v>713.02730291098419</c:v>
                </c:pt>
                <c:pt idx="52">
                  <c:v>776.03376871732564</c:v>
                </c:pt>
                <c:pt idx="53">
                  <c:v>844.60778392493023</c:v>
                </c:pt>
                <c:pt idx="54">
                  <c:v>919.24132353888274</c:v>
                </c:pt>
                <c:pt idx="55">
                  <c:v>1000.4698358032441</c:v>
                </c:pt>
                <c:pt idx="56">
                  <c:v>1088.8760837021161</c:v>
                </c:pt>
                <c:pt idx="57">
                  <c:v>1185.0943259139242</c:v>
                </c:pt>
                <c:pt idx="58">
                  <c:v>1289.8148672145812</c:v>
                </c:pt>
                <c:pt idx="59">
                  <c:v>1403.7890109758237</c:v>
                </c:pt>
              </c:numCache>
            </c:numRef>
          </c:val>
          <c:smooth val="0"/>
          <c:extLst>
            <c:ext xmlns:c16="http://schemas.microsoft.com/office/drawing/2014/chart" uri="{C3380CC4-5D6E-409C-BE32-E72D297353CC}">
              <c16:uniqueId val="{00000000-F244-4B68-9ED1-C96C042EEE34}"/>
            </c:ext>
          </c:extLst>
        </c:ser>
        <c:ser>
          <c:idx val="1"/>
          <c:order val="1"/>
          <c:tx>
            <c:strRef>
              <c:f>'Redução de Prazo'!$S$26</c:f>
              <c:strCache>
                <c:ptCount val="1"/>
                <c:pt idx="0">
                  <c:v>Curva
Linear</c:v>
                </c:pt>
              </c:strCache>
            </c:strRef>
          </c:tx>
          <c:spPr>
            <a:ln w="12700">
              <a:solidFill>
                <a:srgbClr val="98B855"/>
              </a:solidFill>
              <a:prstDash val="solid"/>
            </a:ln>
          </c:spPr>
          <c:marker>
            <c:symbol val="none"/>
          </c:marker>
          <c:dLbls>
            <c:spPr>
              <a:noFill/>
              <a:ln w="25400">
                <a:noFill/>
              </a:ln>
            </c:sp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'Redução de Prazo'!$Q$27:$Q$86</c:f>
              <c:numCache>
                <c:formatCode>General</c:formatCode>
                <c:ptCount val="6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numCache>
            </c:numRef>
          </c:cat>
          <c:val>
            <c:numRef>
              <c:f>'Redução de Prazo'!$S$27:$S$86</c:f>
              <c:numCache>
                <c:formatCode>_-* #,##0_-;\-* #,##0_-;_-* \-??_-;_-@_-</c:formatCode>
                <c:ptCount val="60"/>
                <c:pt idx="0">
                  <c:v>2.6222222222222218</c:v>
                </c:pt>
                <c:pt idx="1">
                  <c:v>5.2444444444444436</c:v>
                </c:pt>
                <c:pt idx="2">
                  <c:v>7.8666666666666645</c:v>
                </c:pt>
                <c:pt idx="3">
                  <c:v>10.488888888888887</c:v>
                </c:pt>
                <c:pt idx="4">
                  <c:v>13.111111111111109</c:v>
                </c:pt>
                <c:pt idx="5">
                  <c:v>15.733333333333329</c:v>
                </c:pt>
                <c:pt idx="6">
                  <c:v>18.355555555555554</c:v>
                </c:pt>
                <c:pt idx="7">
                  <c:v>20.977777777777774</c:v>
                </c:pt>
                <c:pt idx="8">
                  <c:v>23.599999999999994</c:v>
                </c:pt>
                <c:pt idx="9">
                  <c:v>26.222222222222218</c:v>
                </c:pt>
                <c:pt idx="10">
                  <c:v>28.844444444444438</c:v>
                </c:pt>
                <c:pt idx="11">
                  <c:v>31.466666666666658</c:v>
                </c:pt>
                <c:pt idx="12">
                  <c:v>34.088888888888881</c:v>
                </c:pt>
                <c:pt idx="13">
                  <c:v>36.711111111111109</c:v>
                </c:pt>
                <c:pt idx="14">
                  <c:v>39.333333333333321</c:v>
                </c:pt>
                <c:pt idx="15">
                  <c:v>41.955555555555549</c:v>
                </c:pt>
                <c:pt idx="16">
                  <c:v>44.577777777777776</c:v>
                </c:pt>
                <c:pt idx="17">
                  <c:v>47.199999999999989</c:v>
                </c:pt>
                <c:pt idx="18">
                  <c:v>49.822222222222216</c:v>
                </c:pt>
                <c:pt idx="19">
                  <c:v>52.444444444444436</c:v>
                </c:pt>
                <c:pt idx="20">
                  <c:v>55.066666666666656</c:v>
                </c:pt>
                <c:pt idx="21">
                  <c:v>57.688888888888876</c:v>
                </c:pt>
                <c:pt idx="22">
                  <c:v>60.311111111111103</c:v>
                </c:pt>
                <c:pt idx="23">
                  <c:v>62.933333333333316</c:v>
                </c:pt>
                <c:pt idx="24">
                  <c:v>65.555555555555543</c:v>
                </c:pt>
                <c:pt idx="25">
                  <c:v>68.177777777777763</c:v>
                </c:pt>
                <c:pt idx="26">
                  <c:v>70.8</c:v>
                </c:pt>
                <c:pt idx="27">
                  <c:v>73.422222222222217</c:v>
                </c:pt>
                <c:pt idx="28">
                  <c:v>76.044444444444423</c:v>
                </c:pt>
                <c:pt idx="29">
                  <c:v>78.666666666666643</c:v>
                </c:pt>
                <c:pt idx="30">
                  <c:v>81.288888888888877</c:v>
                </c:pt>
                <c:pt idx="31">
                  <c:v>83.911111111111097</c:v>
                </c:pt>
                <c:pt idx="32">
                  <c:v>86.533333333333317</c:v>
                </c:pt>
                <c:pt idx="33">
                  <c:v>89.155555555555551</c:v>
                </c:pt>
                <c:pt idx="34">
                  <c:v>91.777777777777757</c:v>
                </c:pt>
                <c:pt idx="35">
                  <c:v>94.399999999999977</c:v>
                </c:pt>
                <c:pt idx="36">
                  <c:v>97.022222222222197</c:v>
                </c:pt>
                <c:pt idx="37">
                  <c:v>99.644444444444431</c:v>
                </c:pt>
                <c:pt idx="38">
                  <c:v>102.26666666666665</c:v>
                </c:pt>
                <c:pt idx="39">
                  <c:v>104.88888888888887</c:v>
                </c:pt>
                <c:pt idx="40">
                  <c:v>107.51111111111108</c:v>
                </c:pt>
                <c:pt idx="41">
                  <c:v>110.13333333333331</c:v>
                </c:pt>
                <c:pt idx="42">
                  <c:v>112.75555555555553</c:v>
                </c:pt>
                <c:pt idx="43">
                  <c:v>115.37777777777775</c:v>
                </c:pt>
                <c:pt idx="44">
                  <c:v>117.99999999999999</c:v>
                </c:pt>
                <c:pt idx="45">
                  <c:v>120.62222222222221</c:v>
                </c:pt>
                <c:pt idx="46">
                  <c:v>123.24444444444441</c:v>
                </c:pt>
                <c:pt idx="47">
                  <c:v>125.86666666666663</c:v>
                </c:pt>
                <c:pt idx="48">
                  <c:v>128.48888888888885</c:v>
                </c:pt>
                <c:pt idx="49">
                  <c:v>131.11111111111109</c:v>
                </c:pt>
                <c:pt idx="50">
                  <c:v>133.73333333333332</c:v>
                </c:pt>
                <c:pt idx="51">
                  <c:v>136.35555555555553</c:v>
                </c:pt>
                <c:pt idx="52">
                  <c:v>138.97777777777776</c:v>
                </c:pt>
                <c:pt idx="53">
                  <c:v>141.6</c:v>
                </c:pt>
                <c:pt idx="54">
                  <c:v>144.2222222222222</c:v>
                </c:pt>
                <c:pt idx="55">
                  <c:v>146.84444444444443</c:v>
                </c:pt>
                <c:pt idx="56">
                  <c:v>149.46666666666661</c:v>
                </c:pt>
                <c:pt idx="57">
                  <c:v>152.08888888888885</c:v>
                </c:pt>
                <c:pt idx="58">
                  <c:v>154.71111111111108</c:v>
                </c:pt>
                <c:pt idx="59">
                  <c:v>157.33333333333329</c:v>
                </c:pt>
              </c:numCache>
            </c:numRef>
          </c:val>
          <c:smooth val="0"/>
          <c:extLst>
            <c:ext xmlns:c16="http://schemas.microsoft.com/office/drawing/2014/chart" uri="{C3380CC4-5D6E-409C-BE32-E72D297353CC}">
              <c16:uniqueId val="{00000001-F244-4B68-9ED1-C96C042EEE34}"/>
            </c:ext>
          </c:extLst>
        </c:ser>
        <c:dLbls>
          <c:showLegendKey val="0"/>
          <c:showVal val="0"/>
          <c:showCatName val="0"/>
          <c:showSerName val="0"/>
          <c:showPercent val="0"/>
          <c:showBubbleSize val="0"/>
        </c:dLbls>
        <c:smooth val="0"/>
        <c:axId val="1250426672"/>
        <c:axId val="1"/>
      </c:lineChart>
      <c:catAx>
        <c:axId val="1250426672"/>
        <c:scaling>
          <c:orientation val="minMax"/>
        </c:scaling>
        <c:delete val="0"/>
        <c:axPos val="b"/>
        <c:majorGridlines>
          <c:spPr>
            <a:ln w="3175">
              <a:solidFill>
                <a:srgbClr val="878787"/>
              </a:solidFill>
              <a:prstDash val="solid"/>
            </a:ln>
          </c:spPr>
        </c:majorGridlines>
        <c:title>
          <c:tx>
            <c:rich>
              <a:bodyPr/>
              <a:lstStyle/>
              <a:p>
                <a:pPr>
                  <a:defRPr sz="1000" b="1" i="0" u="none" strike="noStrike" baseline="0">
                    <a:solidFill>
                      <a:srgbClr val="231F20"/>
                    </a:solidFill>
                    <a:latin typeface="Calibri"/>
                    <a:ea typeface="Calibri"/>
                    <a:cs typeface="Calibri"/>
                  </a:defRPr>
                </a:pPr>
                <a:r>
                  <a:rPr lang="pt-BR"/>
                  <a:t>Redução do Prazo</a:t>
                </a:r>
              </a:p>
            </c:rich>
          </c:tx>
          <c:overlay val="0"/>
          <c:spPr>
            <a:noFill/>
            <a:ln>
              <a:noFill/>
            </a:ln>
          </c:spPr>
        </c:title>
        <c:numFmt formatCode="General" sourceLinked="1"/>
        <c:majorTickMark val="none"/>
        <c:minorTickMark val="none"/>
        <c:tickLblPos val="nextTo"/>
        <c:spPr>
          <a:ln w="3175">
            <a:solidFill>
              <a:srgbClr val="878787"/>
            </a:solidFill>
            <a:prstDash val="solid"/>
          </a:ln>
        </c:spPr>
        <c:txPr>
          <a:bodyPr rot="-5400000"/>
          <a:lstStyle/>
          <a:p>
            <a:pPr>
              <a:defRPr sz="700" b="0" strike="noStrike" spc="-1">
                <a:solidFill>
                  <a:srgbClr val="000000"/>
                </a:solidFill>
                <a:latin typeface="Calibri"/>
              </a:defRPr>
            </a:pPr>
            <a:endParaRPr lang="pt-BR"/>
          </a:p>
        </c:txPr>
        <c:crossAx val="1"/>
        <c:crosses val="autoZero"/>
        <c:auto val="1"/>
        <c:lblAlgn val="ctr"/>
        <c:lblOffset val="100"/>
        <c:noMultiLvlLbl val="1"/>
      </c:catAx>
      <c:valAx>
        <c:axId val="1"/>
        <c:scaling>
          <c:orientation val="minMax"/>
        </c:scaling>
        <c:delete val="1"/>
        <c:axPos val="l"/>
        <c:title>
          <c:tx>
            <c:rich>
              <a:bodyPr/>
              <a:lstStyle/>
              <a:p>
                <a:pPr>
                  <a:defRPr sz="1000" b="1" i="0" u="none" strike="noStrike" baseline="0">
                    <a:solidFill>
                      <a:srgbClr val="231F20"/>
                    </a:solidFill>
                    <a:latin typeface="Calibri"/>
                    <a:ea typeface="Calibri"/>
                    <a:cs typeface="Calibri"/>
                  </a:defRPr>
                </a:pPr>
                <a:r>
                  <a:rPr lang="pt-BR"/>
                  <a:t>Aumento na contagem</a:t>
                </a:r>
              </a:p>
            </c:rich>
          </c:tx>
          <c:overlay val="0"/>
          <c:spPr>
            <a:noFill/>
            <a:ln>
              <a:noFill/>
            </a:ln>
          </c:spPr>
        </c:title>
        <c:numFmt formatCode="_-* #,##0_-;\-* #,##0_-;_-* \-??_-;_-@_-" sourceLinked="1"/>
        <c:majorTickMark val="out"/>
        <c:minorTickMark val="none"/>
        <c:tickLblPos val="nextTo"/>
        <c:crossAx val="1250426672"/>
        <c:crosses val="autoZero"/>
        <c:crossBetween val="midCat"/>
      </c:valAx>
      <c:spPr>
        <a:solidFill>
          <a:srgbClr val="FFFFFF"/>
        </a:solidFill>
        <a:ln>
          <a:solidFill>
            <a:srgbClr val="000000"/>
          </a:solidFill>
        </a:ln>
      </c:spPr>
    </c:plotArea>
    <c:legend>
      <c:legendPos val="r"/>
      <c:layout>
        <c:manualLayout>
          <c:xMode val="edge"/>
          <c:yMode val="edge"/>
          <c:wMode val="edge"/>
          <c:hMode val="edge"/>
          <c:x val="0.92879585662479203"/>
          <c:y val="0.33121967619216142"/>
          <c:w val="0.99871030434172814"/>
          <c:h val="0.51487758412220952"/>
        </c:manualLayout>
      </c:layout>
      <c:overlay val="1"/>
      <c:spPr>
        <a:noFill/>
        <a:ln>
          <a:noFill/>
        </a:ln>
      </c:spPr>
      <c:txPr>
        <a:bodyPr/>
        <a:lstStyle/>
        <a:p>
          <a:pPr>
            <a:defRPr sz="1000" b="0" strike="noStrike" spc="-1">
              <a:solidFill>
                <a:srgbClr val="000000"/>
              </a:solidFill>
              <a:latin typeface="Calibri"/>
            </a:defRPr>
          </a:pPr>
          <a:endParaRPr lang="pt-BR"/>
        </a:p>
      </c:txPr>
    </c:legend>
    <c:plotVisOnly val="1"/>
    <c:dispBlanksAs val="gap"/>
    <c:showDLblsOverMax val="1"/>
  </c:chart>
  <c:spPr>
    <a:solidFill>
      <a:srgbClr val="FFFFFF"/>
    </a:solidFill>
    <a:ln>
      <a:noFill/>
    </a:ln>
  </c:spPr>
  <c:printSettings>
    <c:headerFooter/>
    <c:pageMargins b="0.78740157499999996" l="0.511811024" r="0.511811024" t="0.78740157499999996" header="0.31496062000000002" footer="0.31496062000000002"/>
    <c:pageSetup/>
  </c:printSettings>
</c:chartSpace>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123840</xdr:rowOff>
    </xdr:from>
    <xdr:to>
      <xdr:col>16</xdr:col>
      <xdr:colOff>522000</xdr:colOff>
      <xdr:row>40</xdr:row>
      <xdr:rowOff>131400</xdr:rowOff>
    </xdr:to>
    <xdr:sp macro="" textlink="">
      <xdr:nvSpPr>
        <xdr:cNvPr id="2" name="CustomShape 1">
          <a:extLst>
            <a:ext uri="{FF2B5EF4-FFF2-40B4-BE49-F238E27FC236}">
              <a16:creationId xmlns:a16="http://schemas.microsoft.com/office/drawing/2014/main" id="{3926C0AD-C987-BDBA-556C-476B88170264}"/>
            </a:ext>
          </a:extLst>
        </xdr:cNvPr>
        <xdr:cNvSpPr/>
      </xdr:nvSpPr>
      <xdr:spPr>
        <a:xfrm>
          <a:off x="1222920" y="123840"/>
          <a:ext cx="9083160" cy="6357240"/>
        </a:xfrm>
        <a:prstGeom prst="rect">
          <a:avLst/>
        </a:prstGeom>
        <a:solidFill>
          <a:srgbClr val="FFFFFF"/>
        </a:solidFill>
        <a:ln w="9360">
          <a:solidFill>
            <a:srgbClr val="FFFFFF"/>
          </a:solidFill>
          <a:round/>
        </a:ln>
      </xdr:spPr>
      <xdr:style>
        <a:lnRef idx="0">
          <a:scrgbClr r="0" g="0" b="0"/>
        </a:lnRef>
        <a:fillRef idx="0">
          <a:scrgbClr r="0" g="0" b="0"/>
        </a:fillRef>
        <a:effectRef idx="0">
          <a:scrgbClr r="0" g="0" b="0"/>
        </a:effectRef>
        <a:fontRef idx="minor"/>
      </xdr:style>
      <xdr:txBody>
        <a:bodyPr lIns="90000" tIns="45000" rIns="90000" bIns="45000"/>
        <a:lstStyle/>
        <a:p>
          <a:pPr algn="l" rtl="0">
            <a:lnSpc>
              <a:spcPts val="1300"/>
            </a:lnSpc>
            <a:defRPr sz="1000"/>
          </a:pPr>
          <a:endParaRPr lang="pt-BR" sz="1200" b="0" i="0" u="none" strike="noStrike" baseline="0">
            <a:solidFill>
              <a:srgbClr val="231F20"/>
            </a:solidFill>
            <a:latin typeface="Times New Roman"/>
            <a:cs typeface="Times New Roman"/>
          </a:endParaRPr>
        </a:p>
        <a:p>
          <a:pPr algn="l" rtl="0">
            <a:defRPr sz="1000"/>
          </a:pPr>
          <a:r>
            <a:rPr lang="pt-BR" sz="1100" b="1" i="0" u="none" strike="noStrike" baseline="0">
              <a:solidFill>
                <a:srgbClr val="231F20"/>
              </a:solidFill>
              <a:latin typeface="Calibri"/>
              <a:cs typeface="Calibri"/>
            </a:rPr>
            <a:t>Instrução para utilização da Planilha de Contagem</a:t>
          </a:r>
          <a:endParaRPr lang="pt-BR" sz="1100" b="0" i="0" u="none" strike="noStrike" baseline="0">
            <a:solidFill>
              <a:srgbClr val="231F20"/>
            </a:solidFill>
            <a:latin typeface="Times New Roman"/>
            <a:cs typeface="Times New Roman"/>
          </a:endParaRPr>
        </a:p>
        <a:p>
          <a:pPr algn="l" rtl="0">
            <a:lnSpc>
              <a:spcPts val="1200"/>
            </a:lnSpc>
            <a:defRPr sz="1000"/>
          </a:pP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1) Na aba "Resumo" indicar o tipo de contagem e o tipo de atividade a ser realizada através das opções pré listadas. Utilize as respectivas abas "AFP - Detalhada", "AFP - Estimativa" ou "Indicativa" dependendo da contagem. </a:t>
          </a: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 O tipo de atividade define qual a tabela de distribuição de esforço será utilizada no cálculo final.</a:t>
          </a: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 Propósito da Contagem:</a:t>
          </a: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Uma medição de tamanho funcional é feita para fornecer uma resposta a um problema do negócio, e é o problema de negócio que determina o propósito.</a:t>
          </a: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O propósito é o objetivo pelo qual a contagem é realizada. Determina o tipo de contagem de ponto de função e o escopo da contagem necessária para obter a resposta ao problema de negócios sob investigação.</a:t>
          </a: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 Escopo da Contagem:</a:t>
          </a: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O escopo da contagem define o conjunto dos Requisitos Funcionais do Usuário que serão incluídos na contagem de pontos de função. Deve ser informado quais funcionalidades, requisitos ou casos de uso que serão incluídas na contagem de pontos de função.</a:t>
          </a:r>
          <a:endParaRPr lang="pt-BR" sz="1100" b="0" i="0" u="none" strike="noStrike" baseline="0">
            <a:solidFill>
              <a:srgbClr val="231F20"/>
            </a:solidFill>
            <a:latin typeface="Times New Roman"/>
            <a:cs typeface="Times New Roman"/>
          </a:endParaRPr>
        </a:p>
        <a:p>
          <a:pPr algn="l" rtl="0">
            <a:lnSpc>
              <a:spcPts val="1200"/>
            </a:lnSpc>
            <a:defRPr sz="1000"/>
          </a:pP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2) Nas abas "AFP - Detalhada", "AFP - Estimativa" e "AFP - Indicativa", devem ser preenchidos os campos:</a:t>
          </a: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 - Release com o respectivo número da release correspondente ao Requisito; na coluna "Release"</a:t>
          </a: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 - Módulo com o respectivo número do módulo correspondente ao Requisito ; na coluna "Módulo"</a:t>
          </a: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 - O número do Requisito Ex: "UC01"; na coluna "Requisito"</a:t>
          </a: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 - O detalhamento das ações do requisito; na coluna "Processos Elementares"</a:t>
          </a: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 * Selecionar o "tipo" entre a seleção pré listada</a:t>
          </a:r>
          <a:endParaRPr lang="pt-BR" sz="1100" b="0" i="0" u="none" strike="noStrike" baseline="0">
            <a:solidFill>
              <a:srgbClr val="231F20"/>
            </a:solidFill>
            <a:latin typeface="Times New Roman"/>
            <a:cs typeface="Times New Roman"/>
          </a:endParaRPr>
        </a:p>
        <a:p>
          <a:pPr algn="l" rtl="0">
            <a:lnSpc>
              <a:spcPts val="1200"/>
            </a:lnSpc>
            <a:defRPr sz="1000"/>
          </a:pPr>
          <a:endParaRPr lang="pt-BR" sz="1100" b="0" i="0" u="none" strike="noStrike" baseline="0">
            <a:solidFill>
              <a:srgbClr val="231F20"/>
            </a:solidFill>
            <a:latin typeface="Times New Roman"/>
            <a:cs typeface="Times New Roman"/>
          </a:endParaRPr>
        </a:p>
        <a:p>
          <a:pPr algn="l" rtl="0">
            <a:lnSpc>
              <a:spcPts val="1200"/>
            </a:lnSpc>
            <a:defRPr sz="1000"/>
          </a:pPr>
          <a:r>
            <a:rPr lang="pt-BR" sz="1100" b="0" i="0" u="none" strike="noStrike" baseline="0">
              <a:solidFill>
                <a:srgbClr val="231F20"/>
              </a:solidFill>
              <a:latin typeface="Calibri"/>
              <a:cs typeface="Calibri"/>
            </a:rPr>
            <a:t>3) Na aba "AFP - Detalhada" deverá ser selecionado o "tipo do  projeto", além da informação dos dados elementares (coluna "DER") e dos registros lógicos, para as funções de dados, ou dos arquivos referenciados, para as funções de transação (coluna "RL/AR").</a:t>
          </a: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 preenchido os campos:</a:t>
          </a:r>
          <a:endParaRPr lang="pt-BR" sz="1100" b="0" i="0" u="none" strike="noStrike" baseline="0">
            <a:solidFill>
              <a:srgbClr val="231F20"/>
            </a:solidFill>
            <a:latin typeface="Times New Roman"/>
            <a:cs typeface="Times New Roman"/>
          </a:endParaRPr>
        </a:p>
        <a:p>
          <a:pPr algn="l" rtl="0">
            <a:lnSpc>
              <a:spcPts val="1200"/>
            </a:lnSpc>
            <a:defRPr sz="1000"/>
          </a:pPr>
          <a:r>
            <a:rPr lang="pt-BR" sz="1100" b="0" i="0" u="none" strike="noStrike" baseline="0">
              <a:solidFill>
                <a:srgbClr val="231F20"/>
              </a:solidFill>
              <a:latin typeface="Calibri"/>
              <a:cs typeface="Calibri"/>
            </a:rPr>
            <a:t> - Preechimento após contagem da colunas "DER" e "AR/TR" com os respectivos valores</a:t>
          </a:r>
          <a:endParaRPr lang="pt-BR" sz="1100" b="0" i="0" u="none" strike="noStrike" baseline="0">
            <a:solidFill>
              <a:srgbClr val="231F20"/>
            </a:solidFill>
            <a:latin typeface="Times New Roman"/>
            <a:cs typeface="Times New Roman"/>
          </a:endParaRPr>
        </a:p>
        <a:p>
          <a:pPr algn="l" rtl="0">
            <a:lnSpc>
              <a:spcPts val="1200"/>
            </a:lnSpc>
            <a:defRPr sz="1000"/>
          </a:pPr>
          <a:endParaRPr lang="pt-BR" sz="1100" b="0" i="0" u="none" strike="noStrike" baseline="0">
            <a:solidFill>
              <a:srgbClr val="231F20"/>
            </a:solidFill>
            <a:latin typeface="Times New Roman"/>
            <a:cs typeface="Times New Roman"/>
          </a:endParaRPr>
        </a:p>
        <a:p>
          <a:pPr algn="l" rtl="0">
            <a:defRPr sz="1000"/>
          </a:pPr>
          <a:r>
            <a:rPr lang="pt-BR" sz="1100" b="0" i="0" u="none" strike="noStrike" baseline="0">
              <a:solidFill>
                <a:srgbClr val="231F20"/>
              </a:solidFill>
              <a:latin typeface="Calibri"/>
              <a:cs typeface="Calibri"/>
            </a:rPr>
            <a:t>4) Na aba Redução de Prazo será apresentada a distribuição do esforço em dias por fases, dado um prazo obtido pelo tamanho funcional. Necessário informar versão do Roteiro de Métricas SISP, Tipo do Prazo (Dias úteis ou corridos), Tipo do Projeto,  Complexidade do projeto, Tamanho em PF e Data de início. Ainda nesta aba, caso exista a necessidade de redução do prazo, informar os dados já mencionados e também a Data Limite para conclusão. A partir desta informação serão apresentados a nova distribuição do esforço e o  novo tamanho funcional considerando a porcentagem de redução desejada.</a:t>
          </a:r>
          <a:endParaRPr lang="pt-BR" sz="1100" b="0" i="0" u="none" strike="noStrike" baseline="0">
            <a:solidFill>
              <a:srgbClr val="231F20"/>
            </a:solidFill>
            <a:latin typeface="Times New Roman"/>
            <a:cs typeface="Times New Roman"/>
          </a:endParaRPr>
        </a:p>
        <a:p>
          <a:pPr algn="l" rtl="0">
            <a:lnSpc>
              <a:spcPts val="1100"/>
            </a:lnSpc>
            <a:defRPr sz="1000"/>
          </a:pPr>
          <a:endParaRPr lang="pt-BR" sz="1100" b="0" i="0" u="none" strike="noStrike" baseline="0">
            <a:solidFill>
              <a:srgbClr val="231F20"/>
            </a:solidFill>
            <a:latin typeface="Times New Roman"/>
            <a:cs typeface="Times New Roman"/>
          </a:endParaRPr>
        </a:p>
        <a:p>
          <a:pPr algn="l" rtl="0">
            <a:lnSpc>
              <a:spcPts val="1200"/>
            </a:lnSpc>
            <a:defRPr sz="1000"/>
          </a:pPr>
          <a:r>
            <a:rPr lang="pt-BR" sz="1100" b="0" i="0" u="none" strike="noStrike" baseline="0">
              <a:solidFill>
                <a:srgbClr val="231F20"/>
              </a:solidFill>
              <a:latin typeface="Calibri"/>
              <a:cs typeface="Calibri"/>
            </a:rPr>
            <a:t>5) Na aba "Fundamentação" será fundamentada a contagem a partir do link das telas, quando couber justificativa</a:t>
          </a:r>
          <a:endParaRPr lang="pt-BR" sz="1100" b="0" i="0" u="none" strike="noStrike" baseline="0">
            <a:solidFill>
              <a:srgbClr val="231F20"/>
            </a:solidFill>
            <a:latin typeface="Times New Roman"/>
            <a:cs typeface="Times New Roman"/>
          </a:endParaRPr>
        </a:p>
        <a:p>
          <a:pPr algn="l" rtl="0">
            <a:lnSpc>
              <a:spcPts val="1100"/>
            </a:lnSpc>
            <a:defRPr sz="1000"/>
          </a:pPr>
          <a:endParaRPr lang="pt-BR" sz="1100" b="0" i="0" u="none" strike="noStrike" baseline="0">
            <a:solidFill>
              <a:srgbClr val="231F20"/>
            </a:solidFill>
            <a:latin typeface="Times New Roman"/>
            <a:cs typeface="Times New Roman"/>
          </a:endParaRPr>
        </a:p>
        <a:p>
          <a:pPr algn="l" rtl="0">
            <a:lnSpc>
              <a:spcPts val="1200"/>
            </a:lnSpc>
            <a:defRPr sz="1000"/>
          </a:pPr>
          <a:r>
            <a:rPr lang="pt-BR" sz="1100" b="0" i="0" u="none" strike="noStrike" baseline="0">
              <a:solidFill>
                <a:srgbClr val="231F20"/>
              </a:solidFill>
              <a:latin typeface="Calibri"/>
              <a:cs typeface="Calibri"/>
            </a:rPr>
            <a:t>6) Na aba " Esforço" será preenchido da coluna "A" "Requisitos" os mesmos UC's relacionados na coluna "Requisito" da aba utilizada na contagem Ex: UC01</a:t>
          </a:r>
          <a:endParaRPr lang="pt-BR" sz="1100" b="0" i="0" u="none" strike="noStrike" baseline="0">
            <a:solidFill>
              <a:srgbClr val="231F20"/>
            </a:solidFill>
            <a:latin typeface="Times New Roman"/>
            <a:cs typeface="Times New Roman"/>
          </a:endParaRPr>
        </a:p>
        <a:p>
          <a:pPr algn="l" rtl="0">
            <a:lnSpc>
              <a:spcPts val="1100"/>
            </a:lnSpc>
            <a:defRPr sz="1000"/>
          </a:pPr>
          <a:endParaRPr lang="pt-BR" sz="1100" b="0" i="0" u="none" strike="noStrike" baseline="0">
            <a:solidFill>
              <a:srgbClr val="231F20"/>
            </a:solidFill>
            <a:latin typeface="Times New Roman"/>
            <a:cs typeface="Times New Roman"/>
          </a:endParaRPr>
        </a:p>
        <a:p>
          <a:pPr algn="l" rtl="0">
            <a:lnSpc>
              <a:spcPts val="1200"/>
            </a:lnSpc>
            <a:defRPr sz="1000"/>
          </a:pPr>
          <a:r>
            <a:rPr lang="pt-BR" sz="1100" b="0" i="0" u="none" strike="noStrike" baseline="0">
              <a:solidFill>
                <a:srgbClr val="231F20"/>
              </a:solidFill>
              <a:latin typeface="Calibri"/>
              <a:cs typeface="Calibri"/>
            </a:rPr>
            <a:t> </a:t>
          </a:r>
          <a:endParaRPr lang="pt-BR" sz="1100" b="0" i="0" u="none" strike="noStrike" baseline="0">
            <a:solidFill>
              <a:srgbClr val="231F20"/>
            </a:solidFill>
            <a:latin typeface="Times New Roman"/>
            <a:cs typeface="Times New Roman"/>
          </a:endParaRPr>
        </a:p>
        <a:p>
          <a:pPr algn="l" rtl="0">
            <a:lnSpc>
              <a:spcPts val="1100"/>
            </a:lnSpc>
            <a:defRPr sz="1000"/>
          </a:pPr>
          <a:endParaRPr lang="pt-BR" sz="1100" b="0" i="0" u="none" strike="noStrike" baseline="0">
            <a:solidFill>
              <a:srgbClr val="231F2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0</xdr:col>
      <xdr:colOff>1581150</xdr:colOff>
      <xdr:row>0</xdr:row>
      <xdr:rowOff>723900</xdr:rowOff>
    </xdr:to>
    <xdr:pic>
      <xdr:nvPicPr>
        <xdr:cNvPr id="2062" name="Imagem 1">
          <a:extLst>
            <a:ext uri="{FF2B5EF4-FFF2-40B4-BE49-F238E27FC236}">
              <a16:creationId xmlns:a16="http://schemas.microsoft.com/office/drawing/2014/main" id="{7397897C-3630-1831-3F6D-6CB32955A6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85725"/>
          <a:ext cx="14763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5</xdr:col>
      <xdr:colOff>523875</xdr:colOff>
      <xdr:row>26</xdr:row>
      <xdr:rowOff>66675</xdr:rowOff>
    </xdr:to>
    <xdr:sp macro="" textlink="">
      <xdr:nvSpPr>
        <xdr:cNvPr id="2063" name="shapetype_202" hidden="1">
          <a:extLst>
            <a:ext uri="{FF2B5EF4-FFF2-40B4-BE49-F238E27FC236}">
              <a16:creationId xmlns:a16="http://schemas.microsoft.com/office/drawing/2014/main" id="{99DC01C4-C92B-EB1C-E899-98A93788F566}"/>
            </a:ext>
          </a:extLst>
        </xdr:cNvPr>
        <xdr:cNvSpPr txBox="1">
          <a:spLocks noSelect="1" noChangeArrowheads="1"/>
        </xdr:cNvSpPr>
      </xdr:nvSpPr>
      <xdr:spPr bwMode="auto">
        <a:xfrm>
          <a:off x="0" y="0"/>
          <a:ext cx="6086475" cy="64389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523875</xdr:colOff>
      <xdr:row>26</xdr:row>
      <xdr:rowOff>66675</xdr:rowOff>
    </xdr:to>
    <xdr:sp macro="" textlink="">
      <xdr:nvSpPr>
        <xdr:cNvPr id="2064" name="shapetype_202" hidden="1">
          <a:extLst>
            <a:ext uri="{FF2B5EF4-FFF2-40B4-BE49-F238E27FC236}">
              <a16:creationId xmlns:a16="http://schemas.microsoft.com/office/drawing/2014/main" id="{28AAD035-D50E-031A-CAE1-87E704285110}"/>
            </a:ext>
          </a:extLst>
        </xdr:cNvPr>
        <xdr:cNvSpPr txBox="1">
          <a:spLocks noSelect="1" noChangeArrowheads="1"/>
        </xdr:cNvSpPr>
      </xdr:nvSpPr>
      <xdr:spPr bwMode="auto">
        <a:xfrm>
          <a:off x="0" y="0"/>
          <a:ext cx="6086475" cy="64389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1209675</xdr:colOff>
      <xdr:row>0</xdr:row>
      <xdr:rowOff>723900</xdr:rowOff>
    </xdr:to>
    <xdr:pic>
      <xdr:nvPicPr>
        <xdr:cNvPr id="3078" name="Imagem 1">
          <a:extLst>
            <a:ext uri="{FF2B5EF4-FFF2-40B4-BE49-F238E27FC236}">
              <a16:creationId xmlns:a16="http://schemas.microsoft.com/office/drawing/2014/main" id="{C345CD77-09F6-1AE8-19F6-CE44B0B98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85725"/>
          <a:ext cx="14763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1209675</xdr:colOff>
      <xdr:row>0</xdr:row>
      <xdr:rowOff>723900</xdr:rowOff>
    </xdr:to>
    <xdr:pic>
      <xdr:nvPicPr>
        <xdr:cNvPr id="4126" name="Imagem 1">
          <a:extLst>
            <a:ext uri="{FF2B5EF4-FFF2-40B4-BE49-F238E27FC236}">
              <a16:creationId xmlns:a16="http://schemas.microsoft.com/office/drawing/2014/main" id="{3B7E37CF-9F0E-B292-E259-7F899B87B7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85725"/>
          <a:ext cx="14763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6</xdr:col>
      <xdr:colOff>771525</xdr:colOff>
      <xdr:row>30</xdr:row>
      <xdr:rowOff>142875</xdr:rowOff>
    </xdr:to>
    <xdr:sp macro="" textlink="">
      <xdr:nvSpPr>
        <xdr:cNvPr id="4127" name="shapetype_202" hidden="1">
          <a:extLst>
            <a:ext uri="{FF2B5EF4-FFF2-40B4-BE49-F238E27FC236}">
              <a16:creationId xmlns:a16="http://schemas.microsoft.com/office/drawing/2014/main" id="{D36F991F-A9A9-56D9-719B-C98346672996}"/>
            </a:ext>
          </a:extLst>
        </xdr:cNvPr>
        <xdr:cNvSpPr txBox="1">
          <a:spLocks noSelect="1" noChangeArrowheads="1"/>
        </xdr:cNvSpPr>
      </xdr:nvSpPr>
      <xdr:spPr bwMode="auto">
        <a:xfrm>
          <a:off x="0" y="0"/>
          <a:ext cx="6096000" cy="6391275"/>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771525</xdr:colOff>
      <xdr:row>30</xdr:row>
      <xdr:rowOff>142875</xdr:rowOff>
    </xdr:to>
    <xdr:sp macro="" textlink="">
      <xdr:nvSpPr>
        <xdr:cNvPr id="4128" name="shapetype_202" hidden="1">
          <a:extLst>
            <a:ext uri="{FF2B5EF4-FFF2-40B4-BE49-F238E27FC236}">
              <a16:creationId xmlns:a16="http://schemas.microsoft.com/office/drawing/2014/main" id="{05A4D7D2-A3E5-3B36-B48F-7E3B03AFF117}"/>
            </a:ext>
          </a:extLst>
        </xdr:cNvPr>
        <xdr:cNvSpPr txBox="1">
          <a:spLocks noSelect="1" noChangeArrowheads="1"/>
        </xdr:cNvSpPr>
      </xdr:nvSpPr>
      <xdr:spPr bwMode="auto">
        <a:xfrm>
          <a:off x="0" y="0"/>
          <a:ext cx="6096000" cy="6391275"/>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771525</xdr:colOff>
      <xdr:row>30</xdr:row>
      <xdr:rowOff>142875</xdr:rowOff>
    </xdr:to>
    <xdr:sp macro="" textlink="">
      <xdr:nvSpPr>
        <xdr:cNvPr id="4129" name="shapetype_202" hidden="1">
          <a:extLst>
            <a:ext uri="{FF2B5EF4-FFF2-40B4-BE49-F238E27FC236}">
              <a16:creationId xmlns:a16="http://schemas.microsoft.com/office/drawing/2014/main" id="{A6190F6B-7E3D-17E1-64AB-D3079D7BD6FC}"/>
            </a:ext>
          </a:extLst>
        </xdr:cNvPr>
        <xdr:cNvSpPr txBox="1">
          <a:spLocks noSelect="1" noChangeArrowheads="1"/>
        </xdr:cNvSpPr>
      </xdr:nvSpPr>
      <xdr:spPr bwMode="auto">
        <a:xfrm>
          <a:off x="0" y="0"/>
          <a:ext cx="6096000" cy="6391275"/>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1209675</xdr:colOff>
      <xdr:row>0</xdr:row>
      <xdr:rowOff>723900</xdr:rowOff>
    </xdr:to>
    <xdr:pic>
      <xdr:nvPicPr>
        <xdr:cNvPr id="5125" name="Imagem 1">
          <a:extLst>
            <a:ext uri="{FF2B5EF4-FFF2-40B4-BE49-F238E27FC236}">
              <a16:creationId xmlns:a16="http://schemas.microsoft.com/office/drawing/2014/main" id="{3BB819F1-1660-2752-98C2-1C6FEA4750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85725"/>
          <a:ext cx="14763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104775</xdr:colOff>
      <xdr:row>0</xdr:row>
      <xdr:rowOff>85725</xdr:rowOff>
    </xdr:from>
    <xdr:to>
      <xdr:col>2</xdr:col>
      <xdr:colOff>1295400</xdr:colOff>
      <xdr:row>0</xdr:row>
      <xdr:rowOff>723900</xdr:rowOff>
    </xdr:to>
    <xdr:pic>
      <xdr:nvPicPr>
        <xdr:cNvPr id="6157" name="Imagem 1">
          <a:extLst>
            <a:ext uri="{FF2B5EF4-FFF2-40B4-BE49-F238E27FC236}">
              <a16:creationId xmlns:a16="http://schemas.microsoft.com/office/drawing/2014/main" id="{7EF4C5B7-265C-B878-A00B-D3B432138C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85725"/>
          <a:ext cx="1495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7</xdr:col>
      <xdr:colOff>1257300</xdr:colOff>
      <xdr:row>29</xdr:row>
      <xdr:rowOff>95250</xdr:rowOff>
    </xdr:to>
    <xdr:sp macro="" textlink="">
      <xdr:nvSpPr>
        <xdr:cNvPr id="6158" name="shapetype_202" hidden="1">
          <a:extLst>
            <a:ext uri="{FF2B5EF4-FFF2-40B4-BE49-F238E27FC236}">
              <a16:creationId xmlns:a16="http://schemas.microsoft.com/office/drawing/2014/main" id="{E87C9F4C-7B4E-3F5E-0BBE-A0B4E5CE278F}"/>
            </a:ext>
          </a:extLst>
        </xdr:cNvPr>
        <xdr:cNvSpPr txBox="1">
          <a:spLocks noSelect="1" noChangeArrowheads="1"/>
        </xdr:cNvSpPr>
      </xdr:nvSpPr>
      <xdr:spPr bwMode="auto">
        <a:xfrm>
          <a:off x="0" y="0"/>
          <a:ext cx="6134100" cy="63817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1257300</xdr:colOff>
      <xdr:row>29</xdr:row>
      <xdr:rowOff>95250</xdr:rowOff>
    </xdr:to>
    <xdr:sp macro="" textlink="">
      <xdr:nvSpPr>
        <xdr:cNvPr id="6159" name="shapetype_202" hidden="1">
          <a:extLst>
            <a:ext uri="{FF2B5EF4-FFF2-40B4-BE49-F238E27FC236}">
              <a16:creationId xmlns:a16="http://schemas.microsoft.com/office/drawing/2014/main" id="{0139FDAB-7884-9C0D-CCD4-2D7E65201BFB}"/>
            </a:ext>
          </a:extLst>
        </xdr:cNvPr>
        <xdr:cNvSpPr txBox="1">
          <a:spLocks noSelect="1" noChangeArrowheads="1"/>
        </xdr:cNvSpPr>
      </xdr:nvSpPr>
      <xdr:spPr bwMode="auto">
        <a:xfrm>
          <a:off x="0" y="0"/>
          <a:ext cx="6134100" cy="6381750"/>
        </a:xfrm>
        <a:prstGeom prst="rect">
          <a:avLst/>
        </a:prstGeom>
        <a:solidFill>
          <a:srgbClr val="FFFFFF"/>
        </a:solidFill>
        <a:ln w="9525">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2</xdr:col>
      <xdr:colOff>241300</xdr:colOff>
      <xdr:row>0</xdr:row>
      <xdr:rowOff>723900</xdr:rowOff>
    </xdr:to>
    <xdr:pic>
      <xdr:nvPicPr>
        <xdr:cNvPr id="7172" name="Imagem 1">
          <a:extLst>
            <a:ext uri="{FF2B5EF4-FFF2-40B4-BE49-F238E27FC236}">
              <a16:creationId xmlns:a16="http://schemas.microsoft.com/office/drawing/2014/main" id="{FB4D542A-270B-BFFB-2C35-3179554E83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85725"/>
          <a:ext cx="15208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1285875</xdr:colOff>
      <xdr:row>0</xdr:row>
      <xdr:rowOff>723900</xdr:rowOff>
    </xdr:to>
    <xdr:pic>
      <xdr:nvPicPr>
        <xdr:cNvPr id="8196" name="Imagem 1">
          <a:extLst>
            <a:ext uri="{FF2B5EF4-FFF2-40B4-BE49-F238E27FC236}">
              <a16:creationId xmlns:a16="http://schemas.microsoft.com/office/drawing/2014/main" id="{694E33BD-A6A8-14CC-2652-152F16028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85725"/>
          <a:ext cx="148590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247650</xdr:colOff>
      <xdr:row>18</xdr:row>
      <xdr:rowOff>114300</xdr:rowOff>
    </xdr:from>
    <xdr:to>
      <xdr:col>15</xdr:col>
      <xdr:colOff>171450</xdr:colOff>
      <xdr:row>41</xdr:row>
      <xdr:rowOff>76200</xdr:rowOff>
    </xdr:to>
    <xdr:graphicFrame macro="">
      <xdr:nvGraphicFramePr>
        <xdr:cNvPr id="9232" name="Gráfico 1">
          <a:extLst>
            <a:ext uri="{FF2B5EF4-FFF2-40B4-BE49-F238E27FC236}">
              <a16:creationId xmlns:a16="http://schemas.microsoft.com/office/drawing/2014/main" id="{B69C1B46-00BB-DDD6-BC50-09A771C5D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104775</xdr:colOff>
      <xdr:row>0</xdr:row>
      <xdr:rowOff>85725</xdr:rowOff>
    </xdr:from>
    <xdr:to>
      <xdr:col>2</xdr:col>
      <xdr:colOff>695325</xdr:colOff>
      <xdr:row>0</xdr:row>
      <xdr:rowOff>723900</xdr:rowOff>
    </xdr:to>
    <xdr:pic>
      <xdr:nvPicPr>
        <xdr:cNvPr id="9233" name="Imagem 1">
          <a:extLst>
            <a:ext uri="{FF2B5EF4-FFF2-40B4-BE49-F238E27FC236}">
              <a16:creationId xmlns:a16="http://schemas.microsoft.com/office/drawing/2014/main" id="{3E4EB114-7F57-E8D5-C889-11E844FD3C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85725"/>
          <a:ext cx="14763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9</xdr:col>
      <xdr:colOff>1009650</xdr:colOff>
      <xdr:row>26</xdr:row>
      <xdr:rowOff>9525</xdr:rowOff>
    </xdr:to>
    <xdr:sp macro="" textlink="">
      <xdr:nvSpPr>
        <xdr:cNvPr id="9234" name="shapetype_202" hidden="1">
          <a:extLst>
            <a:ext uri="{FF2B5EF4-FFF2-40B4-BE49-F238E27FC236}">
              <a16:creationId xmlns:a16="http://schemas.microsoft.com/office/drawing/2014/main" id="{E9823594-62D8-45A5-5F96-DC5F7532E25E}"/>
            </a:ext>
          </a:extLst>
        </xdr:cNvPr>
        <xdr:cNvSpPr txBox="1">
          <a:spLocks noSelect="1" noChangeArrowheads="1"/>
        </xdr:cNvSpPr>
      </xdr:nvSpPr>
      <xdr:spPr bwMode="auto">
        <a:xfrm>
          <a:off x="0" y="0"/>
          <a:ext cx="6115050" cy="6448425"/>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1009650</xdr:colOff>
      <xdr:row>26</xdr:row>
      <xdr:rowOff>9525</xdr:rowOff>
    </xdr:to>
    <xdr:sp macro="" textlink="">
      <xdr:nvSpPr>
        <xdr:cNvPr id="9235" name="shapetype_202" hidden="1">
          <a:extLst>
            <a:ext uri="{FF2B5EF4-FFF2-40B4-BE49-F238E27FC236}">
              <a16:creationId xmlns:a16="http://schemas.microsoft.com/office/drawing/2014/main" id="{A752C434-744C-DBF4-47E0-74BD7C9C64E3}"/>
            </a:ext>
          </a:extLst>
        </xdr:cNvPr>
        <xdr:cNvSpPr txBox="1">
          <a:spLocks noSelect="1" noChangeArrowheads="1"/>
        </xdr:cNvSpPr>
      </xdr:nvSpPr>
      <xdr:spPr bwMode="auto">
        <a:xfrm>
          <a:off x="0" y="0"/>
          <a:ext cx="6115050" cy="6448425"/>
        </a:xfrm>
        <a:prstGeom prst="rect">
          <a:avLst/>
        </a:prstGeom>
        <a:solidFill>
          <a:srgbClr val="FFFFFF"/>
        </a:solidFill>
        <a:ln w="9525">
          <a:solidFill>
            <a:srgbClr val="000000"/>
          </a:solidFill>
          <a:miter lim="800000"/>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38100</xdr:colOff>
      <xdr:row>0</xdr:row>
      <xdr:rowOff>723900</xdr:rowOff>
    </xdr:to>
    <xdr:pic>
      <xdr:nvPicPr>
        <xdr:cNvPr id="10244" name="Imagem 1">
          <a:extLst>
            <a:ext uri="{FF2B5EF4-FFF2-40B4-BE49-F238E27FC236}">
              <a16:creationId xmlns:a16="http://schemas.microsoft.com/office/drawing/2014/main" id="{23C9EBDF-D107-B603-0F9F-8FF3606E96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85725"/>
          <a:ext cx="14763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sheetPr>
  <dimension ref="A1"/>
  <sheetViews>
    <sheetView zoomScaleNormal="100" workbookViewId="0">
      <selection activeCell="A15" sqref="A15"/>
    </sheetView>
  </sheetViews>
  <sheetFormatPr defaultColWidth="8.54296875" defaultRowHeight="12.5"/>
  <sheetData/>
  <pageMargins left="0.51180555555555496" right="0.51180555555555496" top="0.78749999999999998" bottom="0.78749999999999998"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H30"/>
  <sheetViews>
    <sheetView showGridLines="0" tabSelected="1" zoomScaleNormal="100" workbookViewId="0">
      <selection activeCell="B4" sqref="B4:D4"/>
    </sheetView>
  </sheetViews>
  <sheetFormatPr defaultColWidth="8.81640625" defaultRowHeight="14.5"/>
  <cols>
    <col min="1" max="1" width="25.453125" style="1" customWidth="1" collapsed="1"/>
    <col min="2" max="2" width="10" style="1" customWidth="1" collapsed="1"/>
    <col min="3" max="3" width="14.453125" style="1" customWidth="1" collapsed="1"/>
    <col min="4" max="4" width="6.54296875" style="1" customWidth="1" collapsed="1"/>
    <col min="5" max="5" width="27" style="1" customWidth="1" collapsed="1"/>
    <col min="6" max="6" width="8.453125" style="1" customWidth="1" collapsed="1"/>
    <col min="7" max="7" width="23.54296875" style="1" customWidth="1" collapsed="1"/>
    <col min="8" max="16384" width="8.81640625" style="1"/>
  </cols>
  <sheetData>
    <row r="1" spans="1:8" s="4" customFormat="1" ht="69" customHeight="1">
      <c r="A1" s="2" t="s">
        <v>0</v>
      </c>
      <c r="B1" s="200" t="s">
        <v>1</v>
      </c>
      <c r="C1" s="200"/>
      <c r="D1" s="200"/>
      <c r="E1" s="200"/>
      <c r="F1" s="200"/>
      <c r="G1" s="200"/>
      <c r="H1" s="3"/>
    </row>
    <row r="2" spans="1:8" ht="9" customHeight="1"/>
    <row r="3" spans="1:8" ht="15.5">
      <c r="A3" s="201" t="s">
        <v>2</v>
      </c>
      <c r="B3" s="201"/>
      <c r="C3" s="201"/>
      <c r="D3" s="201"/>
      <c r="E3" s="201"/>
      <c r="F3" s="201"/>
      <c r="G3" s="201"/>
    </row>
    <row r="4" spans="1:8">
      <c r="A4" s="5" t="s">
        <v>3</v>
      </c>
      <c r="B4" s="202"/>
      <c r="C4" s="202"/>
      <c r="D4" s="202"/>
      <c r="E4" s="5" t="s">
        <v>4</v>
      </c>
      <c r="F4" s="202" t="s">
        <v>311</v>
      </c>
      <c r="G4" s="202"/>
    </row>
    <row r="5" spans="1:8">
      <c r="A5" s="5" t="s">
        <v>5</v>
      </c>
      <c r="B5" s="202"/>
      <c r="C5" s="202"/>
      <c r="D5" s="202"/>
      <c r="E5" s="5" t="s">
        <v>6</v>
      </c>
      <c r="F5" s="202"/>
      <c r="G5" s="202"/>
    </row>
    <row r="6" spans="1:8">
      <c r="A6" s="5" t="s">
        <v>7</v>
      </c>
      <c r="B6" s="198"/>
      <c r="C6" s="198"/>
      <c r="D6" s="198"/>
      <c r="E6" s="5" t="s">
        <v>8</v>
      </c>
      <c r="F6" s="199" t="str">
        <f>IF($B$5="Detalhada",IF('AFP - Detalhada'!N4&lt;&gt;"",'AFP - Detalhada'!N4,""),IF($B$5="Estimativa",IF('AFP - Estimativa'!H4&lt;&gt;"",'AFP - Estimativa'!H4,""),IF($B$5="Indicativa",IF('AFP - Indicativa'!G4&lt;&gt;"",'AFP - Indicativa'!G4,""),"")))</f>
        <v/>
      </c>
      <c r="G6" s="199"/>
    </row>
    <row r="7" spans="1:8">
      <c r="A7" s="5" t="s">
        <v>9</v>
      </c>
      <c r="B7" s="198" t="str">
        <f>IF($B$5="Detalhada",IF('AFP - Detalhada'!N5&lt;&gt;"",'AFP - Detalhada'!N5,""),IF($B$5="Estimativa",IF('AFP - Estimativa'!H5&lt;&gt;"",'AFP - Estimativa'!H5,""),IF($B$5="Indicativa",IF('AFP - Indicativa'!G5&lt;&gt;"",'AFP - Indicativa'!G5,""),"")))</f>
        <v/>
      </c>
      <c r="C7" s="198"/>
      <c r="D7" s="198"/>
      <c r="E7" s="5" t="s">
        <v>10</v>
      </c>
      <c r="F7" s="199" t="str">
        <f>IF($B$5="Detalhada",IF('AFP - Detalhada'!N6&lt;&gt;"",'AFP - Detalhada'!N6,""),IF($B$5="Estimativa",IF('AFP - Estimativa'!H6&lt;&gt;"",'AFP - Estimativa'!H6,""),IF($B$5="Indicativa",IF('AFP - Indicativa'!G6&lt;&gt;"",'AFP - Indicativa'!G6,""),"")))</f>
        <v/>
      </c>
      <c r="G7" s="199"/>
    </row>
    <row r="9" spans="1:8" ht="15.5">
      <c r="A9" s="201" t="s">
        <v>11</v>
      </c>
      <c r="B9" s="201"/>
      <c r="C9" s="201"/>
      <c r="D9" s="201"/>
      <c r="E9" s="201"/>
      <c r="F9" s="201"/>
      <c r="G9" s="201"/>
    </row>
    <row r="10" spans="1:8" ht="42.65" customHeight="1">
      <c r="A10" s="205"/>
      <c r="B10" s="205"/>
      <c r="C10" s="205"/>
      <c r="D10" s="205"/>
      <c r="E10" s="205"/>
      <c r="F10" s="205"/>
      <c r="G10" s="205"/>
    </row>
    <row r="12" spans="1:8" ht="15.5">
      <c r="A12" s="201" t="s">
        <v>12</v>
      </c>
      <c r="B12" s="201"/>
      <c r="C12" s="201"/>
      <c r="D12" s="201"/>
      <c r="E12" s="201"/>
      <c r="F12" s="201"/>
      <c r="G12" s="201"/>
    </row>
    <row r="13" spans="1:8" ht="46.75" customHeight="1">
      <c r="A13" s="205"/>
      <c r="B13" s="205"/>
      <c r="C13" s="205"/>
      <c r="D13" s="205"/>
      <c r="E13" s="205"/>
      <c r="F13" s="205"/>
      <c r="G13" s="205"/>
    </row>
    <row r="15" spans="1:8" ht="15.5">
      <c r="A15" s="201" t="s">
        <v>13</v>
      </c>
      <c r="B15" s="201"/>
      <c r="C15" s="201"/>
      <c r="E15" s="201" t="s">
        <v>14</v>
      </c>
      <c r="F15" s="201"/>
      <c r="G15" s="201"/>
    </row>
    <row r="16" spans="1:8" ht="14.5" customHeight="1">
      <c r="A16" s="203" t="s">
        <v>15</v>
      </c>
      <c r="B16" s="203"/>
      <c r="C16" s="6" t="str">
        <f>IF((IF($B$5="Detalhada",SUMIF('AFP - Detalhada'!$G$10:$G$1324,"ALI",'AFP - Detalhada'!$Q$10:$Q$1324),IF($B$5="Estimativa",SUMIF('AFP - Estimativa'!$H$10:$H$1082,"ALI",'AFP - Estimativa'!$I$10:$I$1082)*(1+'AFP - Estimativa'!$C$6),IF($B$5="Indicativa",SUMIF('AFP - Indicativa'!$G$10:$G$108,"ALI",'AFP - Indicativa'!$H$10:$H$108)*(1+'AFP - Indicativa'!$E$6))))),IF($B$5="Detalhada",SUMIF('AFP - Detalhada'!$G$10:$G$1324,"ALI",'AFP - Detalhada'!$Q$10:$Q$1324),IF($B$5="Estimativa",SUMIF('AFP - Estimativa'!$H$10:$H$1082,"ALI",'AFP - Estimativa'!$I$10:$I$1082)*(1+'AFP - Estimativa'!$C$6),IF($B$5="Indicativa",SUMIF('AFP - Indicativa'!$G$10:$G$108,"ALI",'AFP - Indicativa'!$H$10:$H$108)*(1+'AFP - Indicativa'!$E$6)))),"")</f>
        <v/>
      </c>
      <c r="E16" s="206" t="s">
        <v>16</v>
      </c>
      <c r="F16" s="206"/>
      <c r="G16" s="206"/>
    </row>
    <row r="17" spans="1:7" ht="15" customHeight="1">
      <c r="A17" s="203" t="s">
        <v>17</v>
      </c>
      <c r="B17" s="203"/>
      <c r="C17" s="6" t="str">
        <f>IF((IF($B$5="Detalhada",SUMIF('AFP - Detalhada'!$G$10:$G$1324,"AIE",'AFP - Detalhada'!$Q$10:$Q$1324),IF($B$5="Estimativa",SUMIF('AFP - Estimativa'!$H$10:$H$1082,"AIE",'AFP - Estimativa'!$I$10:$I$1082)*(1+'AFP - Estimativa'!$C$6),IF($B$5="Indicativa",SUMIF('AFP - Indicativa'!$G$10:$G$108,"AIE",'AFP - Indicativa'!$H$10:$H$108)*(1+'AFP - Indicativa'!$E$6))))),(IF($B$5="Detalhada",SUMIF('AFP - Detalhada'!$G$10:$G$1324,"AIE",'AFP - Detalhada'!$Q$10:$Q$1324),IF($B$5="Estimativa",SUMIF('AFP - Estimativa'!$H$10:$H$1082,"AIE",'AFP - Estimativa'!$I$10:$I$1082)*(1+'AFP - Estimativa'!$C$6),IF($B$5="Indicativa",SUMIF('AFP - Indicativa'!$G$10:$G$108,"AIE",'AFP - Indicativa'!$H$10:$H$108)*(1+'AFP - Indicativa'!$E$6))))),"")</f>
        <v/>
      </c>
      <c r="E17" s="206"/>
      <c r="F17" s="206"/>
      <c r="G17" s="206"/>
    </row>
    <row r="18" spans="1:7">
      <c r="A18" s="203" t="s">
        <v>18</v>
      </c>
      <c r="B18" s="203"/>
      <c r="C18" s="6" t="str">
        <f>IF($B$5="Detalhada",SUMIF('AFP - Detalhada'!$G$10:$G$1324,"CE",'AFP - Detalhada'!$Q$10:$Q$1324),IF($B$5="Estimativa",SUMIF('AFP - Estimativa'!$H$10:$H$1082,"CE",'AFP - Estimativa'!$I$10:$I$1082)*(1+'AFP - Estimativa'!$C$6),""))</f>
        <v/>
      </c>
      <c r="E18" s="204" t="s">
        <v>23</v>
      </c>
      <c r="F18" s="204"/>
      <c r="G18" s="7">
        <v>0.4</v>
      </c>
    </row>
    <row r="19" spans="1:7">
      <c r="A19" s="203" t="s">
        <v>20</v>
      </c>
      <c r="B19" s="203"/>
      <c r="C19" s="6" t="str">
        <f>IF($B$5="Detalhada",SUMIF('AFP - Detalhada'!$G$10:$G$1324,"EE",'AFP - Detalhada'!$Q$10:$Q$1324),IF($B$5="Estimativa",SUMIF('AFP - Estimativa'!$H$10:$H$1082,"EE",'AFP - Estimativa'!$I$10:$I$1082)*(1+'AFP - Estimativa'!$C$6),""))</f>
        <v/>
      </c>
      <c r="E19" s="204" t="s">
        <v>21</v>
      </c>
      <c r="F19" s="204"/>
      <c r="G19" s="8">
        <v>0.1</v>
      </c>
    </row>
    <row r="20" spans="1:7">
      <c r="A20" s="203" t="s">
        <v>22</v>
      </c>
      <c r="B20" s="203"/>
      <c r="C20" s="6" t="str">
        <f>IF($B$5="Detalhada",SUMIF('AFP - Detalhada'!$G$10:$G$1324,"SE",'AFP - Detalhada'!$Q$10:$Q$1324),IF($B$5="Estimativa",SUMIF('AFP - Estimativa'!$H$10:$H$1082,"SE",'AFP - Estimativa'!$I$10:$I$1082)*(1+'AFP - Estimativa'!$C$6),""))</f>
        <v/>
      </c>
      <c r="E20" s="204" t="s">
        <v>19</v>
      </c>
      <c r="F20" s="204"/>
      <c r="G20" s="8">
        <v>0.25</v>
      </c>
    </row>
    <row r="21" spans="1:7">
      <c r="A21" s="203" t="s">
        <v>24</v>
      </c>
      <c r="B21" s="203"/>
      <c r="C21" s="9">
        <f>PF_INM</f>
        <v>0</v>
      </c>
      <c r="E21" s="204" t="s">
        <v>29</v>
      </c>
      <c r="F21" s="204"/>
      <c r="G21" s="8">
        <v>0.05</v>
      </c>
    </row>
    <row r="22" spans="1:7">
      <c r="A22" s="203" t="s">
        <v>26</v>
      </c>
      <c r="B22" s="203"/>
      <c r="C22" s="9">
        <f>UST!K404</f>
        <v>0</v>
      </c>
      <c r="E22" s="204" t="s">
        <v>27</v>
      </c>
      <c r="F22" s="204"/>
      <c r="G22" s="8">
        <v>0.05</v>
      </c>
    </row>
    <row r="23" spans="1:7" ht="15.5">
      <c r="A23" s="207" t="s">
        <v>28</v>
      </c>
      <c r="B23" s="207"/>
      <c r="C23" s="10">
        <f>SUM(C16:C22)</f>
        <v>0</v>
      </c>
      <c r="E23" s="204" t="s">
        <v>25</v>
      </c>
      <c r="F23" s="204"/>
      <c r="G23" s="8">
        <v>0.15</v>
      </c>
    </row>
    <row r="24" spans="1:7" ht="15.75" customHeight="1">
      <c r="E24" s="208" t="s">
        <v>30</v>
      </c>
      <c r="F24" s="208"/>
      <c r="G24" s="11">
        <f>SUM(G18:G23)</f>
        <v>1</v>
      </c>
    </row>
    <row r="25" spans="1:7" ht="15.75" customHeight="1">
      <c r="A25" s="201" t="s">
        <v>31</v>
      </c>
      <c r="B25" s="201"/>
      <c r="C25" s="201"/>
      <c r="E25" s="12"/>
      <c r="F25" s="12"/>
      <c r="G25" s="13"/>
    </row>
    <row r="26" spans="1:7" ht="15.5">
      <c r="A26" s="201"/>
      <c r="B26" s="201"/>
      <c r="C26" s="201"/>
      <c r="E26" s="209" t="str">
        <f>CONCATENATE("Quantidade Final (A) x ",IF(F4&lt;&gt;"",IF(F4="Desenvolvimento ou manutenção","(E1)","(E2)"),""))</f>
        <v>Quantidade Final (A) x (E1)</v>
      </c>
      <c r="F26" s="209"/>
      <c r="G26" s="10">
        <f>C23*IF(F4&lt;&gt;"",IF(F4="Desenvolvimento ou manutenção",G24,C30),0)</f>
        <v>0</v>
      </c>
    </row>
    <row r="27" spans="1:7" ht="15.65" customHeight="1">
      <c r="A27" s="206" t="s">
        <v>32</v>
      </c>
      <c r="B27" s="206"/>
      <c r="C27" s="206"/>
      <c r="E27" s="209" t="s">
        <v>33</v>
      </c>
      <c r="F27" s="209"/>
      <c r="G27" s="14">
        <v>1</v>
      </c>
    </row>
    <row r="28" spans="1:7" ht="15.5">
      <c r="A28" s="206"/>
      <c r="B28" s="206"/>
      <c r="C28" s="206"/>
      <c r="E28" s="210" t="s">
        <v>34</v>
      </c>
      <c r="F28" s="210"/>
      <c r="G28" s="10">
        <f>G26*G27</f>
        <v>0</v>
      </c>
    </row>
    <row r="29" spans="1:7" ht="15.5">
      <c r="A29" s="204" t="s">
        <v>35</v>
      </c>
      <c r="B29" s="204"/>
      <c r="C29" s="7">
        <v>0.2</v>
      </c>
      <c r="E29" s="210" t="s">
        <v>312</v>
      </c>
      <c r="F29" s="210"/>
      <c r="G29" s="10">
        <f>IF(Tipo_Contagem="Estimativa",(SUM('AFP - Estimativa'!K11:K1081))+'AFP - INM'!S385,IF(Tipo_Contagem="Detalhada",(SUM('AFP - Detalhada'!O10:P1323))+'AFP - INM'!S385,'AFP - Indicativa'!H109))</f>
        <v>0</v>
      </c>
    </row>
    <row r="30" spans="1:7" ht="15.5">
      <c r="A30" s="208" t="s">
        <v>36</v>
      </c>
      <c r="B30" s="208"/>
      <c r="C30" s="11">
        <f>SUM(C29:C29)</f>
        <v>0.2</v>
      </c>
    </row>
  </sheetData>
  <mergeCells count="40">
    <mergeCell ref="A23:B23"/>
    <mergeCell ref="E23:F23"/>
    <mergeCell ref="E24:F24"/>
    <mergeCell ref="A29:B29"/>
    <mergeCell ref="A30:B30"/>
    <mergeCell ref="A25:C26"/>
    <mergeCell ref="E26:F26"/>
    <mergeCell ref="A27:C28"/>
    <mergeCell ref="E27:F27"/>
    <mergeCell ref="E28:F28"/>
    <mergeCell ref="E29:F29"/>
    <mergeCell ref="A20:B20"/>
    <mergeCell ref="E20:F20"/>
    <mergeCell ref="A21:B21"/>
    <mergeCell ref="E21:F21"/>
    <mergeCell ref="A22:B22"/>
    <mergeCell ref="E22:F22"/>
    <mergeCell ref="A19:B19"/>
    <mergeCell ref="E19:F19"/>
    <mergeCell ref="F7:G7"/>
    <mergeCell ref="A9:G9"/>
    <mergeCell ref="A12:G12"/>
    <mergeCell ref="A13:G13"/>
    <mergeCell ref="A15:C15"/>
    <mergeCell ref="E15:G15"/>
    <mergeCell ref="A10:G10"/>
    <mergeCell ref="A16:B16"/>
    <mergeCell ref="E16:G17"/>
    <mergeCell ref="A17:B17"/>
    <mergeCell ref="A18:B18"/>
    <mergeCell ref="E18:F18"/>
    <mergeCell ref="B6:D6"/>
    <mergeCell ref="F6:G6"/>
    <mergeCell ref="B7:D7"/>
    <mergeCell ref="B1:G1"/>
    <mergeCell ref="A3:G3"/>
    <mergeCell ref="B4:D4"/>
    <mergeCell ref="F4:G4"/>
    <mergeCell ref="B5:D5"/>
    <mergeCell ref="F5:G5"/>
  </mergeCells>
  <dataValidations count="2">
    <dataValidation type="list" allowBlank="1" showInputMessage="1" showErrorMessage="1" sqref="B5:D5" xr:uid="{00000000-0002-0000-0100-000000000000}">
      <formula1>"Indicativa,Estimativa,Detalhada"</formula1>
      <formula2>0</formula2>
    </dataValidation>
    <dataValidation type="list" allowBlank="1" showInputMessage="1" showErrorMessage="1" sqref="F4:G4" xr:uid="{00000000-0002-0000-0100-000001000000}">
      <formula1>"Desenvolvimento ou Manutenção,Redocumentação"</formula1>
      <formula2>0</formula2>
    </dataValidation>
  </dataValidations>
  <pageMargins left="0.51180555555555496" right="0.51180555555555496" top="0.78749999999999998" bottom="0.78749999999999998" header="0.51180555555555496" footer="0.51180555555555496"/>
  <pageSetup paperSize="9" firstPageNumber="0"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AM1325"/>
  <sheetViews>
    <sheetView showGridLines="0" zoomScaleNormal="100" workbookViewId="0">
      <selection activeCell="N3" sqref="N3:R3"/>
    </sheetView>
  </sheetViews>
  <sheetFormatPr defaultColWidth="8.81640625" defaultRowHeight="12.5"/>
  <cols>
    <col min="1" max="1" width="5.54296875" style="15" customWidth="1" collapsed="1"/>
    <col min="2" max="2" width="27.453125" style="16" customWidth="1" collapsed="1"/>
    <col min="3" max="3" width="8.453125" style="16" customWidth="1" collapsed="1"/>
    <col min="4" max="4" width="24.1796875" style="17" customWidth="1" collapsed="1"/>
    <col min="5" max="5" width="27.7265625" style="17" customWidth="1" collapsed="1"/>
    <col min="6" max="6" width="38.453125" style="18" customWidth="1" collapsed="1"/>
    <col min="7" max="7" width="12.453125" style="15" customWidth="1" collapsed="1"/>
    <col min="8" max="8" width="5.81640625" style="15" customWidth="1" collapsed="1"/>
    <col min="9" max="9" width="16.1796875" style="19" customWidth="1" collapsed="1"/>
    <col min="10" max="10" width="5.81640625" style="15" customWidth="1" collapsed="1"/>
    <col min="11" max="11" width="16.1796875" style="19" customWidth="1" collapsed="1"/>
    <col min="12" max="13" width="15.54296875" style="16" hidden="1" customWidth="1" collapsed="1"/>
    <col min="14" max="14" width="15.1796875" style="15" customWidth="1" collapsed="1"/>
    <col min="15" max="16" width="16.54296875" style="16" hidden="1" customWidth="1" collapsed="1"/>
    <col min="17" max="17" width="8.453125" style="16" customWidth="1" collapsed="1"/>
    <col min="18" max="18" width="40.453125" style="16" customWidth="1" collapsed="1"/>
    <col min="19" max="19" width="4.453125" style="16" customWidth="1" collapsed="1"/>
    <col min="20" max="20" width="14" style="15" customWidth="1" collapsed="1"/>
    <col min="21" max="21" width="31.453125" style="16" customWidth="1" collapsed="1"/>
    <col min="22" max="22" width="8.453125" style="16" customWidth="1" collapsed="1"/>
    <col min="23" max="23" width="9.54296875" style="16" customWidth="1" collapsed="1"/>
    <col min="24" max="24" width="9.1796875" style="16" customWidth="1" collapsed="1"/>
    <col min="25" max="25" width="11.453125" style="16" customWidth="1" collapsed="1"/>
    <col min="26" max="26" width="9.1796875" style="16" customWidth="1" collapsed="1"/>
    <col min="27" max="27" width="11.26953125" style="16" customWidth="1" collapsed="1"/>
    <col min="28" max="29" width="9.1796875" style="16" hidden="1" customWidth="1" collapsed="1"/>
    <col min="30" max="30" width="14.453125" style="16" customWidth="1" collapsed="1"/>
    <col min="31" max="32" width="9.1796875" style="16" hidden="1" customWidth="1" collapsed="1"/>
    <col min="33" max="33" width="8.81640625" style="16" customWidth="1" collapsed="1"/>
    <col min="34" max="34" width="36.54296875" style="16" customWidth="1" collapsed="1"/>
    <col min="35" max="35" width="5.453125" style="16" customWidth="1" collapsed="1"/>
    <col min="36" max="36" width="40.1796875" style="16" customWidth="1" collapsed="1"/>
    <col min="37" max="37" width="5.453125" style="16" customWidth="1" collapsed="1"/>
    <col min="38" max="38" width="45.54296875" style="16" customWidth="1" collapsed="1"/>
    <col min="39" max="39" width="12.1796875" style="16" customWidth="1" collapsed="1"/>
    <col min="40" max="16384" width="8.81640625" style="16"/>
  </cols>
  <sheetData>
    <row r="1" spans="1:39" ht="69" customHeight="1">
      <c r="A1" s="2" t="str">
        <f>Resumo!A1</f>
        <v>Template V.2.0</v>
      </c>
      <c r="B1" s="20"/>
      <c r="C1" s="219" t="s">
        <v>37</v>
      </c>
      <c r="D1" s="219"/>
      <c r="E1" s="219"/>
      <c r="F1" s="219"/>
      <c r="G1" s="219"/>
      <c r="H1" s="219"/>
      <c r="I1" s="219"/>
      <c r="J1" s="219"/>
      <c r="K1" s="219"/>
      <c r="L1" s="219"/>
      <c r="M1" s="219"/>
      <c r="N1" s="219"/>
      <c r="O1" s="219"/>
      <c r="P1" s="219"/>
      <c r="Q1" s="219"/>
      <c r="R1" s="219"/>
    </row>
    <row r="2" spans="1:39" ht="9" customHeight="1">
      <c r="A2" s="21"/>
      <c r="B2" s="21"/>
      <c r="C2" s="22"/>
      <c r="D2" s="22"/>
      <c r="E2" s="22"/>
      <c r="F2" s="22"/>
      <c r="G2" s="22"/>
      <c r="H2" s="22"/>
      <c r="I2" s="23"/>
      <c r="J2" s="22"/>
      <c r="K2" s="23"/>
      <c r="L2" s="22"/>
      <c r="M2" s="22"/>
      <c r="N2" s="22"/>
      <c r="O2" s="22"/>
      <c r="P2" s="22"/>
      <c r="Q2" s="22"/>
      <c r="R2" s="22"/>
      <c r="V2" s="22"/>
    </row>
    <row r="3" spans="1:39" ht="18.649999999999999" customHeight="1">
      <c r="A3" s="16"/>
      <c r="B3" s="24"/>
      <c r="C3" s="22"/>
      <c r="D3" s="22"/>
      <c r="E3" s="22"/>
      <c r="F3" s="22"/>
      <c r="G3" s="212" t="s">
        <v>7</v>
      </c>
      <c r="H3" s="212"/>
      <c r="I3" s="212"/>
      <c r="J3" s="212"/>
      <c r="K3" s="212"/>
      <c r="L3" s="25"/>
      <c r="M3" s="25"/>
      <c r="N3" s="213"/>
      <c r="O3" s="213"/>
      <c r="P3" s="213"/>
      <c r="Q3" s="213"/>
      <c r="R3" s="213"/>
      <c r="T3" s="214" t="s">
        <v>38</v>
      </c>
      <c r="U3" s="214"/>
      <c r="V3" s="214"/>
      <c r="W3" s="212" t="s">
        <v>7</v>
      </c>
      <c r="X3" s="212"/>
      <c r="Y3" s="212"/>
      <c r="Z3" s="212"/>
      <c r="AA3" s="212"/>
      <c r="AB3" s="25"/>
      <c r="AC3" s="25"/>
      <c r="AD3" s="213" t="s">
        <v>39</v>
      </c>
      <c r="AE3" s="213"/>
      <c r="AF3" s="213"/>
      <c r="AG3" s="213"/>
      <c r="AH3" s="213"/>
    </row>
    <row r="4" spans="1:39" ht="18.649999999999999" customHeight="1">
      <c r="A4" s="16"/>
      <c r="B4" s="24"/>
      <c r="C4" s="22"/>
      <c r="D4" s="22"/>
      <c r="E4" s="26" t="s">
        <v>40</v>
      </c>
      <c r="F4" s="22"/>
      <c r="G4" s="212" t="s">
        <v>8</v>
      </c>
      <c r="H4" s="212"/>
      <c r="I4" s="212"/>
      <c r="J4" s="212"/>
      <c r="K4" s="212"/>
      <c r="L4" s="25"/>
      <c r="M4" s="25"/>
      <c r="N4" s="211"/>
      <c r="O4" s="211"/>
      <c r="P4" s="211"/>
      <c r="Q4" s="211"/>
      <c r="R4" s="211"/>
      <c r="T4" s="214"/>
      <c r="U4" s="214"/>
      <c r="V4" s="214"/>
      <c r="W4" s="212" t="s">
        <v>8</v>
      </c>
      <c r="X4" s="212"/>
      <c r="Y4" s="212"/>
      <c r="Z4" s="212"/>
      <c r="AA4" s="212"/>
      <c r="AB4" s="25"/>
      <c r="AC4" s="25"/>
      <c r="AD4" s="211"/>
      <c r="AE4" s="211"/>
      <c r="AF4" s="211"/>
      <c r="AG4" s="211"/>
      <c r="AH4" s="211"/>
    </row>
    <row r="5" spans="1:39" ht="18.649999999999999" customHeight="1">
      <c r="A5" s="215" t="s">
        <v>41</v>
      </c>
      <c r="B5" s="215"/>
      <c r="C5" s="215"/>
      <c r="D5" s="28">
        <f>$Q$1325+'AFP - INM'!$S385</f>
        <v>0</v>
      </c>
      <c r="E5" s="216" t="str">
        <f>IF(D6=0,"",IF(D5&lt;&gt;D6,"Em Divergência","Concluído"))</f>
        <v/>
      </c>
      <c r="F5" s="22"/>
      <c r="G5" s="212" t="s">
        <v>9</v>
      </c>
      <c r="H5" s="212"/>
      <c r="I5" s="212"/>
      <c r="J5" s="212"/>
      <c r="K5" s="212"/>
      <c r="L5" s="25"/>
      <c r="M5" s="25"/>
      <c r="N5" s="213"/>
      <c r="O5" s="213"/>
      <c r="P5" s="213"/>
      <c r="Q5" s="213"/>
      <c r="R5" s="213"/>
      <c r="T5" s="214"/>
      <c r="U5" s="214"/>
      <c r="V5" s="214"/>
      <c r="W5" s="212" t="s">
        <v>9</v>
      </c>
      <c r="X5" s="212"/>
      <c r="Y5" s="212"/>
      <c r="Z5" s="212"/>
      <c r="AA5" s="212"/>
      <c r="AB5" s="25"/>
      <c r="AC5" s="25"/>
      <c r="AD5" s="213"/>
      <c r="AE5" s="213"/>
      <c r="AF5" s="213"/>
      <c r="AG5" s="213"/>
      <c r="AH5" s="213"/>
    </row>
    <row r="6" spans="1:39" ht="18.649999999999999" customHeight="1">
      <c r="A6" s="215" t="s">
        <v>42</v>
      </c>
      <c r="B6" s="215"/>
      <c r="C6" s="215"/>
      <c r="D6" s="28">
        <f>$AG$1325+'AFP - INM'!$AI385</f>
        <v>0</v>
      </c>
      <c r="E6" s="216"/>
      <c r="F6" s="22"/>
      <c r="G6" s="212" t="s">
        <v>10</v>
      </c>
      <c r="H6" s="212"/>
      <c r="I6" s="212"/>
      <c r="J6" s="212"/>
      <c r="K6" s="212"/>
      <c r="L6" s="25"/>
      <c r="M6" s="25"/>
      <c r="N6" s="211"/>
      <c r="O6" s="211"/>
      <c r="P6" s="211"/>
      <c r="Q6" s="211"/>
      <c r="R6" s="211"/>
      <c r="T6" s="214"/>
      <c r="U6" s="214"/>
      <c r="V6" s="214"/>
      <c r="W6" s="212" t="s">
        <v>10</v>
      </c>
      <c r="X6" s="212"/>
      <c r="Y6" s="212"/>
      <c r="Z6" s="212"/>
      <c r="AA6" s="212"/>
      <c r="AB6" s="25"/>
      <c r="AC6" s="25"/>
      <c r="AD6" s="211"/>
      <c r="AE6" s="211"/>
      <c r="AF6" s="211"/>
      <c r="AG6" s="211"/>
      <c r="AH6" s="211"/>
    </row>
    <row r="7" spans="1:39" ht="9" customHeight="1">
      <c r="A7" s="29"/>
      <c r="B7" s="30"/>
      <c r="C7" s="30"/>
      <c r="D7" s="30"/>
      <c r="E7" s="30"/>
      <c r="F7" s="30"/>
      <c r="G7" s="30"/>
      <c r="H7" s="30"/>
      <c r="I7" s="31"/>
      <c r="J7" s="32"/>
      <c r="K7" s="33"/>
      <c r="L7" s="30"/>
      <c r="M7" s="30"/>
      <c r="N7" s="30"/>
      <c r="O7" s="30"/>
      <c r="P7" s="30"/>
      <c r="Q7" s="30"/>
      <c r="R7" s="30"/>
      <c r="V7" s="30"/>
    </row>
    <row r="8" spans="1:39" s="38" customFormat="1" ht="18.649999999999999" customHeight="1">
      <c r="A8" s="217" t="s">
        <v>43</v>
      </c>
      <c r="B8" s="218" t="s">
        <v>44</v>
      </c>
      <c r="C8" s="218" t="s">
        <v>45</v>
      </c>
      <c r="D8" s="218" t="s">
        <v>46</v>
      </c>
      <c r="E8" s="218" t="s">
        <v>47</v>
      </c>
      <c r="F8" s="220" t="s">
        <v>48</v>
      </c>
      <c r="G8" s="221" t="s">
        <v>49</v>
      </c>
      <c r="H8" s="222" t="s">
        <v>50</v>
      </c>
      <c r="I8" s="222"/>
      <c r="J8" s="223" t="s">
        <v>51</v>
      </c>
      <c r="K8" s="223"/>
      <c r="L8" s="37"/>
      <c r="M8" s="37"/>
      <c r="N8" s="222" t="s">
        <v>52</v>
      </c>
      <c r="O8" s="37"/>
      <c r="P8" s="37"/>
      <c r="Q8" s="221" t="s">
        <v>53</v>
      </c>
      <c r="R8" s="221" t="s">
        <v>54</v>
      </c>
      <c r="T8" s="218" t="s">
        <v>55</v>
      </c>
      <c r="U8" s="218" t="s">
        <v>44</v>
      </c>
      <c r="V8" s="218" t="s">
        <v>45</v>
      </c>
      <c r="W8" s="221" t="s">
        <v>49</v>
      </c>
      <c r="X8" s="222" t="s">
        <v>50</v>
      </c>
      <c r="Y8" s="222"/>
      <c r="Z8" s="223" t="s">
        <v>51</v>
      </c>
      <c r="AA8" s="223"/>
      <c r="AB8" s="37"/>
      <c r="AC8" s="37"/>
      <c r="AD8" s="222" t="s">
        <v>52</v>
      </c>
      <c r="AE8" s="37"/>
      <c r="AF8" s="37"/>
      <c r="AG8" s="221" t="s">
        <v>53</v>
      </c>
      <c r="AH8" s="221" t="s">
        <v>56</v>
      </c>
      <c r="AJ8" s="221" t="s">
        <v>57</v>
      </c>
      <c r="AL8" s="224" t="s">
        <v>58</v>
      </c>
      <c r="AM8" s="225" t="s">
        <v>59</v>
      </c>
    </row>
    <row r="9" spans="1:39" s="43" customFormat="1" ht="15.5">
      <c r="A9" s="217"/>
      <c r="B9" s="218"/>
      <c r="C9" s="218"/>
      <c r="D9" s="218"/>
      <c r="E9" s="218"/>
      <c r="F9" s="220"/>
      <c r="G9" s="221"/>
      <c r="H9" s="39" t="s">
        <v>60</v>
      </c>
      <c r="I9" s="40" t="s">
        <v>61</v>
      </c>
      <c r="J9" s="41" t="s">
        <v>60</v>
      </c>
      <c r="K9" s="39" t="s">
        <v>61</v>
      </c>
      <c r="L9" s="42" t="s">
        <v>62</v>
      </c>
      <c r="M9" s="36" t="s">
        <v>63</v>
      </c>
      <c r="N9" s="222"/>
      <c r="O9" s="35" t="s">
        <v>64</v>
      </c>
      <c r="P9" s="36" t="s">
        <v>65</v>
      </c>
      <c r="Q9" s="221"/>
      <c r="R9" s="221"/>
      <c r="T9" s="218"/>
      <c r="U9" s="218"/>
      <c r="V9" s="218"/>
      <c r="W9" s="221"/>
      <c r="X9" s="39" t="s">
        <v>60</v>
      </c>
      <c r="Y9" s="40" t="s">
        <v>61</v>
      </c>
      <c r="Z9" s="41" t="s">
        <v>60</v>
      </c>
      <c r="AA9" s="39" t="s">
        <v>61</v>
      </c>
      <c r="AB9" s="42" t="s">
        <v>62</v>
      </c>
      <c r="AC9" s="36" t="s">
        <v>63</v>
      </c>
      <c r="AD9" s="222"/>
      <c r="AE9" s="35" t="s">
        <v>64</v>
      </c>
      <c r="AF9" s="36" t="s">
        <v>65</v>
      </c>
      <c r="AG9" s="221"/>
      <c r="AH9" s="221"/>
      <c r="AJ9" s="221"/>
      <c r="AL9" s="224"/>
      <c r="AM9" s="225"/>
    </row>
    <row r="10" spans="1:39" s="56" customFormat="1" ht="24.75" customHeight="1">
      <c r="A10" s="44"/>
      <c r="B10" s="45"/>
      <c r="C10" s="46">
        <f>IF(B10&lt;&gt;"",VLOOKUP(B10,'Tipo Projeto'!$A$3:$B$35,2,0),0)</f>
        <v>0</v>
      </c>
      <c r="D10" s="47"/>
      <c r="E10" s="47"/>
      <c r="F10" s="48"/>
      <c r="G10" s="47"/>
      <c r="H10" s="49"/>
      <c r="I10" s="50"/>
      <c r="J10" s="51"/>
      <c r="K10" s="52"/>
      <c r="L10" s="53" t="str">
        <f t="shared" ref="L10:L73" si="0">IF(G10="EE",IF(OR(AND(OR(J10=1,J10=0),H10&gt;0,H10&lt;5),AND(OR(J10=1,J10=0),H10&gt;4,H10&lt;16),AND(J10=2,H10&gt;0,H10&lt;5)),"Simples",IF(OR(AND(OR(J10=1,J10=0),H10&gt;15),AND(J10=2,H10&gt;4,H10&lt;16),AND(J10&gt;2,H10&gt;0,H10&lt;5)),"Médio",IF(OR(AND(J10=2,H10&gt;15),AND(J10&gt;2,H10&gt;4,H10&lt;16),AND(J10&gt;2,H10&gt;15)),"Complexo",""))), IF(OR(G10="CE",G10="SE"),IF(OR(AND(OR(J10=1,J10=0),H10&gt;0,H10&lt;6),AND(OR(J10=1,J10=0),H10&gt;5,H10&lt;20),AND(J10&gt;1,J10&lt;4,H10&gt;0,H10&lt;6)),"Simples",IF(OR(AND(OR(J10=1,J10=0),H10&gt;19),AND(J10&gt;1,J10&lt;4,H10&gt;5,H10&lt;20),AND(J10&gt;3,H10&gt;0,H10&lt;6)),"Médio",IF(OR(AND(J10&gt;1,J10&lt;4,H10&gt;19),AND(J10&gt;3,H10&gt;5,H10&lt;20),AND(J10&gt;3,H10&gt;19)),"Complexo",""))),""))</f>
        <v/>
      </c>
      <c r="M10" s="48" t="str">
        <f t="shared" ref="M10:M73" si="1">IF(G10="ALI",IF(OR(AND(OR(J10=1,J10=0),H10&gt;0,H10&lt;20),AND(OR(J10=1,J10=0),H10&gt;19,H10&lt;51),AND(J10&gt;1,J10&lt;6,H10&gt;0,H10&lt;20)),"Simples",IF(OR(AND(OR(J10=1,J10=0),H10&gt;50),AND(J10&gt;1,J10&lt;6,H10&gt;19,H10&lt;51),AND(J10&gt;5,H10&gt;0,H10&lt;20)),"Médio",IF(OR(AND(J10&gt;1,J10&lt;6,H10&gt;50),AND(J10&gt;5,H10&gt;19,H10&lt;51),AND(J10&gt;5,H10&gt;50)),"Complexo",""))), IF(G10="AIE",IF(OR(AND(OR(J10=1, J10=0),H10&gt;0,H10&lt;20),AND(OR(J10=1, J10=0),H10&gt;19,H10&lt;51),AND(J10&gt;1,J10&lt;6,H10&gt;0,H10&lt;20)),"Simples",IF(OR(AND(OR(J10=1, J10=0),H10&gt;50),AND(J10&gt;1,J10&lt;6,H10&gt;19,H10&lt;51),AND(J10&gt;5,H10&gt;0,H10&lt;20)),"Médio",IF(OR(AND(J10&gt;1,J10&lt;6,H10&gt;50),AND(J10&gt;5,H10&gt;19,H10&lt;51),AND(J10&gt;5,H10&gt;50)),"Complexo",""))),""))</f>
        <v/>
      </c>
      <c r="N10" s="54" t="str">
        <f t="shared" ref="N10:N73" si="2">IF(L10="",M10,IF(M10="",L10,""))</f>
        <v/>
      </c>
      <c r="O10" s="55">
        <f t="shared" ref="O10:O73" si="3">IF(AND(OR(G10="EE",G10="CE"),N10="Simples"),3, IF(AND(OR(G10="EE",G10="CE"),N10="Médio"),4, IF(AND(OR(G10="EE",G10="CE"),N10="Complexo"),6, IF(AND(G10="SE",N10="Simples"),4, IF(AND(G10="SE",N10="Médio"),5, IF(AND(G10="SE",N10="Complexo"),7,0))))))</f>
        <v>0</v>
      </c>
      <c r="P10" s="55">
        <f t="shared" ref="P10:P73" si="4">IF(AND(G10="ALI",M10="Simples"),7, IF(AND(G10="ALI",M10="Médio"),10, IF(AND(G10="ALI",M10="Complexo"),15, IF(AND(G10="AIE",M10="Simples"),5, IF(AND(G10="AIE",M10="Médio"),7, IF(AND(G10="AIE",M10="Complexo"),10,0))))))</f>
        <v>0</v>
      </c>
      <c r="Q10" s="54">
        <f t="shared" ref="Q10:Q73" si="5">IF(B10&lt;&gt;"Manutenção em interface",IF(B10&lt;&gt;"Desenv., Manutenção e Publicação de Páginas Estáticas",(O10+P10)*C10,C10),C10)</f>
        <v>0</v>
      </c>
      <c r="R10" s="47"/>
      <c r="T10" s="57"/>
      <c r="U10" s="45"/>
      <c r="V10" s="46">
        <f>IF(U10&lt;&gt;"",VLOOKUP(U10,'Tipo Projeto'!$A$3:$B$35,2,0),0)</f>
        <v>0</v>
      </c>
      <c r="W10" s="47"/>
      <c r="X10" s="49"/>
      <c r="Y10" s="50"/>
      <c r="Z10" s="51"/>
      <c r="AA10" s="52"/>
      <c r="AB10" s="53" t="str">
        <f t="shared" ref="AB10:AB73" si="6">IF(W10="EE",IF(OR(AND(OR(Z10=1,Z10=0),X10&gt;0,X10&lt;5),AND(OR(Z10=1,Z10=0),X10&gt;4,X10&lt;16),AND(Z10=2,X10&gt;0,X10&lt;5)),"Simples",IF(OR(AND(OR(Z10=1,Z10=0),X10&gt;15),AND(Z10=2,X10&gt;4,X10&lt;16),AND(Z10&gt;2,X10&gt;0,X10&lt;5)),"Médio",IF(OR(AND(Z10=2,X10&gt;15),AND(Z10&gt;2,X10&gt;4,X10&lt;16),AND(Z10&gt;2,X10&gt;15)),"Complexo",""))), IF(OR(W10="CE",W10="SE"),IF(OR(AND(OR(Z10=1,Z10=0),X10&gt;0,X10&lt;6),AND(OR(Z10=1,Z10=0),X10&gt;5,X10&lt;20),AND(Z10&gt;1,Z10&lt;4,X10&gt;0,X10&lt;6)),"Simples",IF(OR(AND(OR(Z10=1,Z10=0),X10&gt;19),AND(Z10&gt;1,Z10&lt;4,X10&gt;5,X10&lt;20),AND(Z10&gt;3,X10&gt;0,X10&lt;6)),"Médio",IF(OR(AND(Z10&gt;1,Z10&lt;4,X10&gt;19),AND(Z10&gt;3,X10&gt;5,X10&lt;20),AND(Z10&gt;3,X10&gt;19)),"Complexo",""))),""))</f>
        <v/>
      </c>
      <c r="AC10" s="48" t="str">
        <f t="shared" ref="AC10:AC73" si="7">IF(W10="ALI",IF(OR(AND(OR(Z10=1,Z10=0),X10&gt;0,X10&lt;20),AND(OR(Z10=1,Z10=0),X10&gt;19,X10&lt;51),AND(Z10&gt;1,Z10&lt;6,X10&gt;0,X10&lt;20)),"Simples",IF(OR(AND(OR(Z10=1,Z10=0),X10&gt;50),AND(Z10&gt;1,Z10&lt;6,X10&gt;19,X10&lt;51),AND(Z10&gt;5,X10&gt;0,X10&lt;20)),"Médio",IF(OR(AND(Z10&gt;1,Z10&lt;6,X10&gt;50),AND(Z10&gt;5,X10&gt;19,X10&lt;51),AND(Z10&gt;5,X10&gt;50)),"Complexo",""))), IF(W10="AIE",IF(OR(AND(OR(Z10=1, Z10=0),X10&gt;0,X10&lt;20),AND(OR(Z10=1, Z10=0),X10&gt;19,X10&lt;51),AND(Z10&gt;1,Z10&lt;6,X10&gt;0,X10&lt;20)),"Simples",IF(OR(AND(OR(Z10=1, Z10=0),X10&gt;50),AND(Z10&gt;1,Z10&lt;6,X10&gt;19,X10&lt;51),AND(Z10&gt;5,X10&gt;0,X10&lt;20)),"Médio",IF(OR(AND(Z10&gt;1,Z10&lt;6,X10&gt;50),AND(Z10&gt;5,X10&gt;19,X10&lt;51),AND(Z10&gt;5,X10&gt;50)),"Complexo",""))),""))</f>
        <v/>
      </c>
      <c r="AD10" s="54" t="str">
        <f t="shared" ref="AD10:AD73" si="8">IF(AB10="",AC10,IF(AC10="",AB10,""))</f>
        <v/>
      </c>
      <c r="AE10" s="55">
        <f t="shared" ref="AE10:AE73" si="9">IF(AND(OR(W10="EE",W10="CE"),AD10="Simples"),3, IF(AND(OR(W10="EE",W10="CE"),AD10="Médio"),4, IF(AND(OR(W10="EE",W10="CE"),AD10="Complexo"),6, IF(AND(W10="SE",AD10="Simples"),4, IF(AND(W10="SE",AD10="Médio"),5, IF(AND(W10="SE",AD10="Complexo"),7,0))))))</f>
        <v>0</v>
      </c>
      <c r="AF10" s="55">
        <f t="shared" ref="AF10:AF73" si="10">IF(AND(W10="ALI",AC10="Simples"),7, IF(AND(W10="ALI",AC10="Médio"),10, IF(AND(W10="ALI",AC10="Complexo"),15, IF(AND(W10="AIE",AC10="Simples"),5, IF(AND(W10="AIE",AC10="Médio"),7, IF(AND(W10="AIE",AC10="Complexo"),10,0))))))</f>
        <v>0</v>
      </c>
      <c r="AG10" s="58">
        <f t="shared" ref="AG10:AG73" si="11">IF(T10="OK",Q10,( IF(U10&lt;&gt;"Manutenção em interface",IF(U10&lt;&gt;"Desenv., Manutenção e Publicação de Páginas Estáticas",(AE10+AF10)*V10,V10),V10)))</f>
        <v>0</v>
      </c>
      <c r="AH10" s="47"/>
      <c r="AJ10" s="47"/>
      <c r="AL10" s="47"/>
      <c r="AM10" s="47" t="str">
        <f t="shared" ref="AM10:AM73" si="12">IF(AG10=0,"",IF(AG10=Q10,"OK","Divergente"))</f>
        <v/>
      </c>
    </row>
    <row r="11" spans="1:39" s="56" customFormat="1" ht="24.75" customHeight="1">
      <c r="A11" s="44"/>
      <c r="B11" s="45"/>
      <c r="C11" s="46">
        <f>IF(B11&lt;&gt;"",VLOOKUP(B11,'Tipo Projeto'!$A$3:$B$35,2,0),0)</f>
        <v>0</v>
      </c>
      <c r="D11" s="47"/>
      <c r="E11" s="47"/>
      <c r="F11" s="48"/>
      <c r="G11" s="47"/>
      <c r="H11" s="49"/>
      <c r="I11" s="50"/>
      <c r="J11" s="51"/>
      <c r="K11" s="52"/>
      <c r="L11" s="53" t="str">
        <f t="shared" si="0"/>
        <v/>
      </c>
      <c r="M11" s="48" t="str">
        <f t="shared" si="1"/>
        <v/>
      </c>
      <c r="N11" s="54" t="str">
        <f t="shared" si="2"/>
        <v/>
      </c>
      <c r="O11" s="55">
        <f t="shared" si="3"/>
        <v>0</v>
      </c>
      <c r="P11" s="55">
        <f t="shared" si="4"/>
        <v>0</v>
      </c>
      <c r="Q11" s="54">
        <f t="shared" si="5"/>
        <v>0</v>
      </c>
      <c r="R11" s="47" t="s">
        <v>306</v>
      </c>
      <c r="T11" s="57"/>
      <c r="U11" s="45"/>
      <c r="V11" s="46">
        <f>IF(U11&lt;&gt;"",VLOOKUP(U11,'Tipo Projeto'!$A$3:$B$35,2,0),0)</f>
        <v>0</v>
      </c>
      <c r="W11" s="47"/>
      <c r="X11" s="49"/>
      <c r="Y11" s="50"/>
      <c r="Z11" s="51"/>
      <c r="AA11" s="52"/>
      <c r="AB11" s="53" t="str">
        <f t="shared" si="6"/>
        <v/>
      </c>
      <c r="AC11" s="48" t="str">
        <f t="shared" si="7"/>
        <v/>
      </c>
      <c r="AD11" s="54" t="str">
        <f t="shared" si="8"/>
        <v/>
      </c>
      <c r="AE11" s="55">
        <f t="shared" si="9"/>
        <v>0</v>
      </c>
      <c r="AF11" s="55">
        <f t="shared" si="10"/>
        <v>0</v>
      </c>
      <c r="AG11" s="58">
        <f t="shared" si="11"/>
        <v>0</v>
      </c>
      <c r="AH11" s="47" t="s">
        <v>306</v>
      </c>
      <c r="AJ11" s="47"/>
      <c r="AL11" s="47"/>
      <c r="AM11" s="47" t="str">
        <f t="shared" si="12"/>
        <v/>
      </c>
    </row>
    <row r="12" spans="1:39" s="56" customFormat="1" ht="24.75" customHeight="1">
      <c r="A12" s="44"/>
      <c r="B12" s="45"/>
      <c r="C12" s="46">
        <f>IF(B12&lt;&gt;"",VLOOKUP(B12,'Tipo Projeto'!$A$3:$B$35,2,0),0)</f>
        <v>0</v>
      </c>
      <c r="D12" s="47"/>
      <c r="E12" s="47"/>
      <c r="F12" s="48"/>
      <c r="G12" s="47"/>
      <c r="H12" s="49"/>
      <c r="I12" s="50"/>
      <c r="J12" s="51"/>
      <c r="K12" s="52"/>
      <c r="L12" s="53" t="str">
        <f t="shared" si="0"/>
        <v/>
      </c>
      <c r="M12" s="48" t="str">
        <f t="shared" si="1"/>
        <v/>
      </c>
      <c r="N12" s="54" t="str">
        <f t="shared" si="2"/>
        <v/>
      </c>
      <c r="O12" s="55">
        <f t="shared" si="3"/>
        <v>0</v>
      </c>
      <c r="P12" s="55">
        <f t="shared" si="4"/>
        <v>0</v>
      </c>
      <c r="Q12" s="54">
        <f t="shared" si="5"/>
        <v>0</v>
      </c>
      <c r="R12" s="47" t="s">
        <v>306</v>
      </c>
      <c r="T12" s="57"/>
      <c r="U12" s="45"/>
      <c r="V12" s="46">
        <f>IF(U12&lt;&gt;"",VLOOKUP(U12,'Tipo Projeto'!$A$3:$B$35,2,0),0)</f>
        <v>0</v>
      </c>
      <c r="W12" s="47"/>
      <c r="X12" s="49"/>
      <c r="Y12" s="50"/>
      <c r="Z12" s="51"/>
      <c r="AA12" s="52"/>
      <c r="AB12" s="53" t="str">
        <f t="shared" si="6"/>
        <v/>
      </c>
      <c r="AC12" s="48" t="str">
        <f t="shared" si="7"/>
        <v/>
      </c>
      <c r="AD12" s="54" t="str">
        <f t="shared" si="8"/>
        <v/>
      </c>
      <c r="AE12" s="55">
        <f t="shared" si="9"/>
        <v>0</v>
      </c>
      <c r="AF12" s="55">
        <f t="shared" si="10"/>
        <v>0</v>
      </c>
      <c r="AG12" s="58">
        <f t="shared" si="11"/>
        <v>0</v>
      </c>
      <c r="AH12" s="47" t="s">
        <v>306</v>
      </c>
      <c r="AJ12" s="47" t="s">
        <v>306</v>
      </c>
      <c r="AL12" s="47"/>
      <c r="AM12" s="47" t="str">
        <f t="shared" si="12"/>
        <v/>
      </c>
    </row>
    <row r="13" spans="1:39" s="56" customFormat="1" ht="24.75" customHeight="1">
      <c r="A13" s="44"/>
      <c r="B13" s="45"/>
      <c r="C13" s="46">
        <f>IF(B13&lt;&gt;"",VLOOKUP(B13,'Tipo Projeto'!$A$3:$B$35,2,0),0)</f>
        <v>0</v>
      </c>
      <c r="D13" s="47"/>
      <c r="E13" s="47"/>
      <c r="F13" s="48"/>
      <c r="G13" s="47"/>
      <c r="H13" s="49"/>
      <c r="I13" s="50"/>
      <c r="J13" s="51"/>
      <c r="K13" s="52"/>
      <c r="L13" s="53" t="str">
        <f t="shared" si="0"/>
        <v/>
      </c>
      <c r="M13" s="48" t="str">
        <f t="shared" si="1"/>
        <v/>
      </c>
      <c r="N13" s="54" t="str">
        <f t="shared" si="2"/>
        <v/>
      </c>
      <c r="O13" s="55">
        <f t="shared" si="3"/>
        <v>0</v>
      </c>
      <c r="P13" s="55">
        <f t="shared" si="4"/>
        <v>0</v>
      </c>
      <c r="Q13" s="54">
        <f t="shared" si="5"/>
        <v>0</v>
      </c>
      <c r="R13" s="47" t="s">
        <v>306</v>
      </c>
      <c r="T13" s="57"/>
      <c r="U13" s="45"/>
      <c r="V13" s="46">
        <f>IF(U13&lt;&gt;"",VLOOKUP(U13,'Tipo Projeto'!$A$3:$B$35,2,0),0)</f>
        <v>0</v>
      </c>
      <c r="W13" s="47"/>
      <c r="X13" s="49"/>
      <c r="Y13" s="50"/>
      <c r="Z13" s="51"/>
      <c r="AA13" s="52"/>
      <c r="AB13" s="53" t="str">
        <f t="shared" si="6"/>
        <v/>
      </c>
      <c r="AC13" s="48" t="str">
        <f t="shared" si="7"/>
        <v/>
      </c>
      <c r="AD13" s="54" t="str">
        <f t="shared" si="8"/>
        <v/>
      </c>
      <c r="AE13" s="55">
        <f t="shared" si="9"/>
        <v>0</v>
      </c>
      <c r="AF13" s="55">
        <f t="shared" si="10"/>
        <v>0</v>
      </c>
      <c r="AG13" s="58">
        <f t="shared" si="11"/>
        <v>0</v>
      </c>
      <c r="AH13" s="47" t="s">
        <v>306</v>
      </c>
      <c r="AJ13" s="47" t="s">
        <v>306</v>
      </c>
      <c r="AL13" s="47"/>
      <c r="AM13" s="47" t="str">
        <f t="shared" si="12"/>
        <v/>
      </c>
    </row>
    <row r="14" spans="1:39" s="56" customFormat="1" ht="24.75" customHeight="1">
      <c r="A14" s="44"/>
      <c r="B14" s="45"/>
      <c r="C14" s="46">
        <f>IF(B14&lt;&gt;"",VLOOKUP(B14,'Tipo Projeto'!$A$3:$B$35,2,0),0)</f>
        <v>0</v>
      </c>
      <c r="D14" s="47"/>
      <c r="E14" s="47"/>
      <c r="F14" s="48"/>
      <c r="G14" s="47"/>
      <c r="H14" s="49"/>
      <c r="I14" s="50"/>
      <c r="J14" s="51"/>
      <c r="K14" s="52"/>
      <c r="L14" s="53" t="str">
        <f t="shared" si="0"/>
        <v/>
      </c>
      <c r="M14" s="48" t="str">
        <f t="shared" si="1"/>
        <v/>
      </c>
      <c r="N14" s="54" t="str">
        <f t="shared" si="2"/>
        <v/>
      </c>
      <c r="O14" s="55">
        <f t="shared" si="3"/>
        <v>0</v>
      </c>
      <c r="P14" s="55">
        <f t="shared" si="4"/>
        <v>0</v>
      </c>
      <c r="Q14" s="54">
        <f t="shared" si="5"/>
        <v>0</v>
      </c>
      <c r="R14" s="47" t="s">
        <v>306</v>
      </c>
      <c r="T14" s="57"/>
      <c r="U14" s="45"/>
      <c r="V14" s="46">
        <f>IF(U14&lt;&gt;"",VLOOKUP(U14,'Tipo Projeto'!$A$3:$B$35,2,0),0)</f>
        <v>0</v>
      </c>
      <c r="W14" s="47"/>
      <c r="X14" s="49"/>
      <c r="Y14" s="50"/>
      <c r="Z14" s="51"/>
      <c r="AA14" s="52"/>
      <c r="AB14" s="53" t="str">
        <f t="shared" si="6"/>
        <v/>
      </c>
      <c r="AC14" s="48" t="str">
        <f t="shared" si="7"/>
        <v/>
      </c>
      <c r="AD14" s="54" t="str">
        <f t="shared" si="8"/>
        <v/>
      </c>
      <c r="AE14" s="55">
        <f t="shared" si="9"/>
        <v>0</v>
      </c>
      <c r="AF14" s="55">
        <f t="shared" si="10"/>
        <v>0</v>
      </c>
      <c r="AG14" s="58">
        <f t="shared" si="11"/>
        <v>0</v>
      </c>
      <c r="AH14" s="47" t="s">
        <v>306</v>
      </c>
      <c r="AJ14" s="47" t="s">
        <v>306</v>
      </c>
      <c r="AL14" s="47"/>
      <c r="AM14" s="47" t="str">
        <f t="shared" si="12"/>
        <v/>
      </c>
    </row>
    <row r="15" spans="1:39" s="56" customFormat="1" ht="24.75" customHeight="1">
      <c r="A15" s="44"/>
      <c r="B15" s="45"/>
      <c r="C15" s="46">
        <f>IF(B15&lt;&gt;"",VLOOKUP(B15,'Tipo Projeto'!$A$3:$B$35,2,0),0)</f>
        <v>0</v>
      </c>
      <c r="D15" s="47"/>
      <c r="E15" s="47"/>
      <c r="F15" s="48"/>
      <c r="G15" s="47"/>
      <c r="H15" s="49"/>
      <c r="I15" s="50"/>
      <c r="J15" s="51"/>
      <c r="K15" s="52"/>
      <c r="L15" s="53" t="str">
        <f t="shared" si="0"/>
        <v/>
      </c>
      <c r="M15" s="48" t="str">
        <f t="shared" si="1"/>
        <v/>
      </c>
      <c r="N15" s="54" t="str">
        <f t="shared" si="2"/>
        <v/>
      </c>
      <c r="O15" s="55">
        <f t="shared" si="3"/>
        <v>0</v>
      </c>
      <c r="P15" s="55">
        <f t="shared" si="4"/>
        <v>0</v>
      </c>
      <c r="Q15" s="54">
        <f t="shared" si="5"/>
        <v>0</v>
      </c>
      <c r="R15" s="47" t="s">
        <v>306</v>
      </c>
      <c r="T15" s="57"/>
      <c r="U15" s="45"/>
      <c r="V15" s="46">
        <f>IF(U15&lt;&gt;"",VLOOKUP(U15,'Tipo Projeto'!$A$3:$B$35,2,0),0)</f>
        <v>0</v>
      </c>
      <c r="W15" s="47"/>
      <c r="X15" s="49"/>
      <c r="Y15" s="50"/>
      <c r="Z15" s="51"/>
      <c r="AA15" s="52"/>
      <c r="AB15" s="53" t="str">
        <f t="shared" si="6"/>
        <v/>
      </c>
      <c r="AC15" s="48" t="str">
        <f t="shared" si="7"/>
        <v/>
      </c>
      <c r="AD15" s="54" t="str">
        <f t="shared" si="8"/>
        <v/>
      </c>
      <c r="AE15" s="55">
        <f t="shared" si="9"/>
        <v>0</v>
      </c>
      <c r="AF15" s="55">
        <f t="shared" si="10"/>
        <v>0</v>
      </c>
      <c r="AG15" s="58">
        <f t="shared" si="11"/>
        <v>0</v>
      </c>
      <c r="AH15" s="47" t="s">
        <v>306</v>
      </c>
      <c r="AJ15" s="47" t="s">
        <v>306</v>
      </c>
      <c r="AL15" s="47"/>
      <c r="AM15" s="47" t="str">
        <f t="shared" si="12"/>
        <v/>
      </c>
    </row>
    <row r="16" spans="1:39" s="56" customFormat="1" ht="24.75" customHeight="1">
      <c r="A16" s="44"/>
      <c r="B16" s="45"/>
      <c r="C16" s="46">
        <f>IF(B16&lt;&gt;"",VLOOKUP(B16,'Tipo Projeto'!$A$3:$B$35,2,0),0)</f>
        <v>0</v>
      </c>
      <c r="D16" s="47"/>
      <c r="E16" s="47"/>
      <c r="F16" s="48"/>
      <c r="G16" s="47"/>
      <c r="H16" s="49"/>
      <c r="I16" s="50"/>
      <c r="J16" s="51"/>
      <c r="K16" s="52"/>
      <c r="L16" s="53" t="str">
        <f t="shared" si="0"/>
        <v/>
      </c>
      <c r="M16" s="48" t="str">
        <f t="shared" si="1"/>
        <v/>
      </c>
      <c r="N16" s="54" t="str">
        <f t="shared" si="2"/>
        <v/>
      </c>
      <c r="O16" s="55">
        <f t="shared" si="3"/>
        <v>0</v>
      </c>
      <c r="P16" s="55">
        <f t="shared" si="4"/>
        <v>0</v>
      </c>
      <c r="Q16" s="54">
        <f t="shared" si="5"/>
        <v>0</v>
      </c>
      <c r="R16" s="47" t="s">
        <v>306</v>
      </c>
      <c r="T16" s="57"/>
      <c r="U16" s="45"/>
      <c r="V16" s="46">
        <f>IF(U16&lt;&gt;"",VLOOKUP(U16,'Tipo Projeto'!$A$3:$B$35,2,0),0)</f>
        <v>0</v>
      </c>
      <c r="W16" s="47"/>
      <c r="X16" s="49"/>
      <c r="Y16" s="50"/>
      <c r="Z16" s="51"/>
      <c r="AA16" s="52"/>
      <c r="AB16" s="53" t="str">
        <f t="shared" si="6"/>
        <v/>
      </c>
      <c r="AC16" s="48" t="str">
        <f t="shared" si="7"/>
        <v/>
      </c>
      <c r="AD16" s="54" t="str">
        <f t="shared" si="8"/>
        <v/>
      </c>
      <c r="AE16" s="55">
        <f t="shared" si="9"/>
        <v>0</v>
      </c>
      <c r="AF16" s="55">
        <f t="shared" si="10"/>
        <v>0</v>
      </c>
      <c r="AG16" s="58">
        <f t="shared" si="11"/>
        <v>0</v>
      </c>
      <c r="AH16" s="47" t="s">
        <v>306</v>
      </c>
      <c r="AJ16" s="47" t="s">
        <v>306</v>
      </c>
      <c r="AL16" s="47"/>
      <c r="AM16" s="47" t="str">
        <f t="shared" si="12"/>
        <v/>
      </c>
    </row>
    <row r="17" spans="1:39" s="56" customFormat="1" ht="24.75" customHeight="1">
      <c r="A17" s="44"/>
      <c r="B17" s="45"/>
      <c r="C17" s="46">
        <f>IF(B17&lt;&gt;"",VLOOKUP(B17,'Tipo Projeto'!$A$3:$B$35,2,0),0)</f>
        <v>0</v>
      </c>
      <c r="D17" s="47"/>
      <c r="E17" s="47"/>
      <c r="F17" s="48"/>
      <c r="G17" s="47"/>
      <c r="H17" s="49"/>
      <c r="I17" s="50"/>
      <c r="J17" s="51"/>
      <c r="K17" s="52"/>
      <c r="L17" s="53" t="str">
        <f t="shared" si="0"/>
        <v/>
      </c>
      <c r="M17" s="48" t="str">
        <f t="shared" si="1"/>
        <v/>
      </c>
      <c r="N17" s="54" t="str">
        <f t="shared" si="2"/>
        <v/>
      </c>
      <c r="O17" s="55">
        <f t="shared" si="3"/>
        <v>0</v>
      </c>
      <c r="P17" s="55">
        <f t="shared" si="4"/>
        <v>0</v>
      </c>
      <c r="Q17" s="54">
        <f t="shared" si="5"/>
        <v>0</v>
      </c>
      <c r="R17" s="47" t="s">
        <v>306</v>
      </c>
      <c r="T17" s="57"/>
      <c r="U17" s="45"/>
      <c r="V17" s="46">
        <f>IF(U17&lt;&gt;"",VLOOKUP(U17,'Tipo Projeto'!$A$3:$B$35,2,0),0)</f>
        <v>0</v>
      </c>
      <c r="W17" s="47"/>
      <c r="X17" s="49"/>
      <c r="Y17" s="50"/>
      <c r="Z17" s="51"/>
      <c r="AA17" s="52"/>
      <c r="AB17" s="53" t="str">
        <f t="shared" si="6"/>
        <v/>
      </c>
      <c r="AC17" s="48" t="str">
        <f t="shared" si="7"/>
        <v/>
      </c>
      <c r="AD17" s="54" t="str">
        <f t="shared" si="8"/>
        <v/>
      </c>
      <c r="AE17" s="55">
        <f t="shared" si="9"/>
        <v>0</v>
      </c>
      <c r="AF17" s="55">
        <f t="shared" si="10"/>
        <v>0</v>
      </c>
      <c r="AG17" s="58">
        <f t="shared" si="11"/>
        <v>0</v>
      </c>
      <c r="AH17" s="47" t="s">
        <v>306</v>
      </c>
      <c r="AJ17" s="47" t="s">
        <v>306</v>
      </c>
      <c r="AL17" s="47"/>
      <c r="AM17" s="47" t="str">
        <f t="shared" si="12"/>
        <v/>
      </c>
    </row>
    <row r="18" spans="1:39" s="56" customFormat="1" ht="24.75" customHeight="1">
      <c r="A18" s="44"/>
      <c r="B18" s="45"/>
      <c r="C18" s="46">
        <f>IF(B18&lt;&gt;"",VLOOKUP(B18,'Tipo Projeto'!$A$3:$B$35,2,0),0)</f>
        <v>0</v>
      </c>
      <c r="D18" s="47"/>
      <c r="E18" s="47"/>
      <c r="F18" s="48"/>
      <c r="G18" s="47"/>
      <c r="H18" s="49"/>
      <c r="I18" s="50"/>
      <c r="J18" s="51"/>
      <c r="K18" s="52"/>
      <c r="L18" s="53" t="str">
        <f t="shared" si="0"/>
        <v/>
      </c>
      <c r="M18" s="48" t="str">
        <f t="shared" si="1"/>
        <v/>
      </c>
      <c r="N18" s="54" t="str">
        <f t="shared" si="2"/>
        <v/>
      </c>
      <c r="O18" s="55">
        <f t="shared" si="3"/>
        <v>0</v>
      </c>
      <c r="P18" s="55">
        <f t="shared" si="4"/>
        <v>0</v>
      </c>
      <c r="Q18" s="54">
        <f t="shared" si="5"/>
        <v>0</v>
      </c>
      <c r="R18" s="47"/>
      <c r="T18" s="57"/>
      <c r="U18" s="45"/>
      <c r="V18" s="46">
        <f>IF(U18&lt;&gt;"",VLOOKUP(U18,'Tipo Projeto'!$A$3:$B$35,2,0),0)</f>
        <v>0</v>
      </c>
      <c r="W18" s="47"/>
      <c r="X18" s="49"/>
      <c r="Y18" s="50"/>
      <c r="Z18" s="51"/>
      <c r="AA18" s="52"/>
      <c r="AB18" s="53" t="str">
        <f t="shared" si="6"/>
        <v/>
      </c>
      <c r="AC18" s="48" t="str">
        <f t="shared" si="7"/>
        <v/>
      </c>
      <c r="AD18" s="54" t="str">
        <f t="shared" si="8"/>
        <v/>
      </c>
      <c r="AE18" s="55">
        <f t="shared" si="9"/>
        <v>0</v>
      </c>
      <c r="AF18" s="55">
        <f t="shared" si="10"/>
        <v>0</v>
      </c>
      <c r="AG18" s="58">
        <f t="shared" si="11"/>
        <v>0</v>
      </c>
      <c r="AH18" s="47"/>
      <c r="AJ18" s="47"/>
      <c r="AL18" s="47"/>
      <c r="AM18" s="47" t="str">
        <f t="shared" si="12"/>
        <v/>
      </c>
    </row>
    <row r="19" spans="1:39" s="56" customFormat="1" ht="24.75" customHeight="1">
      <c r="A19" s="44"/>
      <c r="B19" s="45"/>
      <c r="C19" s="46">
        <f>IF(B19&lt;&gt;"",VLOOKUP(B19,'Tipo Projeto'!$A$3:$B$35,2,0),0)</f>
        <v>0</v>
      </c>
      <c r="D19" s="47"/>
      <c r="E19" s="47"/>
      <c r="F19" s="48"/>
      <c r="G19" s="47"/>
      <c r="H19" s="49"/>
      <c r="I19" s="50"/>
      <c r="J19" s="51"/>
      <c r="K19" s="52"/>
      <c r="L19" s="53" t="str">
        <f t="shared" si="0"/>
        <v/>
      </c>
      <c r="M19" s="48" t="str">
        <f t="shared" si="1"/>
        <v/>
      </c>
      <c r="N19" s="54" t="str">
        <f t="shared" si="2"/>
        <v/>
      </c>
      <c r="O19" s="55">
        <f t="shared" si="3"/>
        <v>0</v>
      </c>
      <c r="P19" s="55">
        <f t="shared" si="4"/>
        <v>0</v>
      </c>
      <c r="Q19" s="54">
        <f t="shared" si="5"/>
        <v>0</v>
      </c>
      <c r="R19" s="47"/>
      <c r="T19" s="57"/>
      <c r="U19" s="45"/>
      <c r="V19" s="46">
        <f>IF(U19&lt;&gt;"",VLOOKUP(U19,'Tipo Projeto'!$A$3:$B$35,2,0),0)</f>
        <v>0</v>
      </c>
      <c r="W19" s="47"/>
      <c r="X19" s="49"/>
      <c r="Y19" s="50"/>
      <c r="Z19" s="51"/>
      <c r="AA19" s="52"/>
      <c r="AB19" s="53" t="str">
        <f t="shared" si="6"/>
        <v/>
      </c>
      <c r="AC19" s="48" t="str">
        <f t="shared" si="7"/>
        <v/>
      </c>
      <c r="AD19" s="54" t="str">
        <f t="shared" si="8"/>
        <v/>
      </c>
      <c r="AE19" s="55">
        <f t="shared" si="9"/>
        <v>0</v>
      </c>
      <c r="AF19" s="55">
        <f t="shared" si="10"/>
        <v>0</v>
      </c>
      <c r="AG19" s="58">
        <f t="shared" si="11"/>
        <v>0</v>
      </c>
      <c r="AH19" s="47"/>
      <c r="AJ19" s="47"/>
      <c r="AL19" s="47"/>
      <c r="AM19" s="47" t="str">
        <f t="shared" si="12"/>
        <v/>
      </c>
    </row>
    <row r="20" spans="1:39" s="56" customFormat="1" ht="24.75" customHeight="1">
      <c r="A20" s="44"/>
      <c r="B20" s="45"/>
      <c r="C20" s="46">
        <f>IF(B20&lt;&gt;"",VLOOKUP(B20,'Tipo Projeto'!$A$3:$B$35,2,0),0)</f>
        <v>0</v>
      </c>
      <c r="D20" s="47"/>
      <c r="E20" s="47"/>
      <c r="F20" s="48"/>
      <c r="G20" s="47"/>
      <c r="H20" s="49"/>
      <c r="I20" s="50"/>
      <c r="J20" s="51"/>
      <c r="K20" s="52"/>
      <c r="L20" s="53" t="str">
        <f t="shared" si="0"/>
        <v/>
      </c>
      <c r="M20" s="48" t="str">
        <f t="shared" si="1"/>
        <v/>
      </c>
      <c r="N20" s="54" t="str">
        <f t="shared" si="2"/>
        <v/>
      </c>
      <c r="O20" s="55">
        <f t="shared" si="3"/>
        <v>0</v>
      </c>
      <c r="P20" s="55">
        <f t="shared" si="4"/>
        <v>0</v>
      </c>
      <c r="Q20" s="54">
        <f t="shared" si="5"/>
        <v>0</v>
      </c>
      <c r="R20" s="47"/>
      <c r="T20" s="57"/>
      <c r="U20" s="45"/>
      <c r="V20" s="46">
        <f>IF(U20&lt;&gt;"",VLOOKUP(U20,'Tipo Projeto'!$A$3:$B$35,2,0),0)</f>
        <v>0</v>
      </c>
      <c r="W20" s="47"/>
      <c r="X20" s="49"/>
      <c r="Y20" s="50"/>
      <c r="Z20" s="51"/>
      <c r="AA20" s="52"/>
      <c r="AB20" s="53" t="str">
        <f t="shared" si="6"/>
        <v/>
      </c>
      <c r="AC20" s="48" t="str">
        <f t="shared" si="7"/>
        <v/>
      </c>
      <c r="AD20" s="54" t="str">
        <f t="shared" si="8"/>
        <v/>
      </c>
      <c r="AE20" s="55">
        <f t="shared" si="9"/>
        <v>0</v>
      </c>
      <c r="AF20" s="55">
        <f t="shared" si="10"/>
        <v>0</v>
      </c>
      <c r="AG20" s="58">
        <f t="shared" si="11"/>
        <v>0</v>
      </c>
      <c r="AH20" s="47"/>
      <c r="AJ20" s="47"/>
      <c r="AL20" s="47"/>
      <c r="AM20" s="47" t="str">
        <f t="shared" si="12"/>
        <v/>
      </c>
    </row>
    <row r="21" spans="1:39" s="56" customFormat="1" ht="24.75" customHeight="1">
      <c r="A21" s="44"/>
      <c r="B21" s="45"/>
      <c r="C21" s="46">
        <f>IF(B21&lt;&gt;"",VLOOKUP(B21,'Tipo Projeto'!$A$3:$B$35,2,0),0)</f>
        <v>0</v>
      </c>
      <c r="D21" s="47"/>
      <c r="E21" s="47"/>
      <c r="F21" s="48"/>
      <c r="G21" s="47"/>
      <c r="H21" s="49"/>
      <c r="I21" s="50"/>
      <c r="J21" s="51"/>
      <c r="K21" s="52"/>
      <c r="L21" s="53" t="str">
        <f t="shared" si="0"/>
        <v/>
      </c>
      <c r="M21" s="48" t="str">
        <f t="shared" si="1"/>
        <v/>
      </c>
      <c r="N21" s="54" t="str">
        <f t="shared" si="2"/>
        <v/>
      </c>
      <c r="O21" s="55">
        <f t="shared" si="3"/>
        <v>0</v>
      </c>
      <c r="P21" s="55">
        <f t="shared" si="4"/>
        <v>0</v>
      </c>
      <c r="Q21" s="54">
        <f t="shared" si="5"/>
        <v>0</v>
      </c>
      <c r="R21" s="47"/>
      <c r="T21" s="57"/>
      <c r="U21" s="45"/>
      <c r="V21" s="46">
        <f>IF(U21&lt;&gt;"",VLOOKUP(U21,'Tipo Projeto'!$A$3:$B$35,2,0),0)</f>
        <v>0</v>
      </c>
      <c r="W21" s="47"/>
      <c r="X21" s="49"/>
      <c r="Y21" s="50"/>
      <c r="Z21" s="51"/>
      <c r="AA21" s="52"/>
      <c r="AB21" s="53" t="str">
        <f t="shared" si="6"/>
        <v/>
      </c>
      <c r="AC21" s="48" t="str">
        <f t="shared" si="7"/>
        <v/>
      </c>
      <c r="AD21" s="54" t="str">
        <f t="shared" si="8"/>
        <v/>
      </c>
      <c r="AE21" s="55">
        <f t="shared" si="9"/>
        <v>0</v>
      </c>
      <c r="AF21" s="55">
        <f t="shared" si="10"/>
        <v>0</v>
      </c>
      <c r="AG21" s="58">
        <f t="shared" si="11"/>
        <v>0</v>
      </c>
      <c r="AH21" s="47"/>
      <c r="AJ21" s="47"/>
      <c r="AL21" s="47"/>
      <c r="AM21" s="47" t="str">
        <f t="shared" si="12"/>
        <v/>
      </c>
    </row>
    <row r="22" spans="1:39" s="56" customFormat="1" ht="24.75" customHeight="1">
      <c r="A22" s="44"/>
      <c r="B22" s="45"/>
      <c r="C22" s="46">
        <f>IF(B22&lt;&gt;"",VLOOKUP(B22,'Tipo Projeto'!$A$3:$B$35,2,0),0)</f>
        <v>0</v>
      </c>
      <c r="D22" s="47"/>
      <c r="E22" s="47"/>
      <c r="F22" s="48"/>
      <c r="G22" s="47"/>
      <c r="H22" s="49"/>
      <c r="I22" s="50"/>
      <c r="J22" s="51"/>
      <c r="K22" s="52"/>
      <c r="L22" s="53" t="str">
        <f t="shared" si="0"/>
        <v/>
      </c>
      <c r="M22" s="48" t="str">
        <f t="shared" si="1"/>
        <v/>
      </c>
      <c r="N22" s="54" t="str">
        <f t="shared" si="2"/>
        <v/>
      </c>
      <c r="O22" s="55">
        <f t="shared" si="3"/>
        <v>0</v>
      </c>
      <c r="P22" s="55">
        <f t="shared" si="4"/>
        <v>0</v>
      </c>
      <c r="Q22" s="54">
        <f t="shared" si="5"/>
        <v>0</v>
      </c>
      <c r="R22" s="47"/>
      <c r="T22" s="57"/>
      <c r="U22" s="45"/>
      <c r="V22" s="46">
        <f>IF(U22&lt;&gt;"",VLOOKUP(U22,'Tipo Projeto'!$A$3:$B$35,2,0),0)</f>
        <v>0</v>
      </c>
      <c r="W22" s="47"/>
      <c r="X22" s="49"/>
      <c r="Y22" s="50"/>
      <c r="Z22" s="51"/>
      <c r="AA22" s="52"/>
      <c r="AB22" s="53" t="str">
        <f t="shared" si="6"/>
        <v/>
      </c>
      <c r="AC22" s="48" t="str">
        <f t="shared" si="7"/>
        <v/>
      </c>
      <c r="AD22" s="54" t="str">
        <f t="shared" si="8"/>
        <v/>
      </c>
      <c r="AE22" s="55">
        <f t="shared" si="9"/>
        <v>0</v>
      </c>
      <c r="AF22" s="55">
        <f t="shared" si="10"/>
        <v>0</v>
      </c>
      <c r="AG22" s="58">
        <f t="shared" si="11"/>
        <v>0</v>
      </c>
      <c r="AH22" s="47"/>
      <c r="AJ22" s="47"/>
      <c r="AL22" s="47"/>
      <c r="AM22" s="47" t="str">
        <f t="shared" si="12"/>
        <v/>
      </c>
    </row>
    <row r="23" spans="1:39" s="56" customFormat="1" ht="24.75" customHeight="1">
      <c r="A23" s="44"/>
      <c r="B23" s="45"/>
      <c r="C23" s="46">
        <f>IF(B23&lt;&gt;"",VLOOKUP(B23,'Tipo Projeto'!$A$3:$B$35,2,0),0)</f>
        <v>0</v>
      </c>
      <c r="D23" s="47"/>
      <c r="E23" s="47"/>
      <c r="F23" s="48"/>
      <c r="G23" s="47"/>
      <c r="H23" s="49"/>
      <c r="I23" s="50"/>
      <c r="J23" s="51"/>
      <c r="K23" s="52"/>
      <c r="L23" s="53" t="str">
        <f t="shared" si="0"/>
        <v/>
      </c>
      <c r="M23" s="48" t="str">
        <f t="shared" si="1"/>
        <v/>
      </c>
      <c r="N23" s="54" t="str">
        <f t="shared" si="2"/>
        <v/>
      </c>
      <c r="O23" s="55">
        <f t="shared" si="3"/>
        <v>0</v>
      </c>
      <c r="P23" s="55">
        <f t="shared" si="4"/>
        <v>0</v>
      </c>
      <c r="Q23" s="54">
        <f t="shared" si="5"/>
        <v>0</v>
      </c>
      <c r="R23" s="47"/>
      <c r="T23" s="57"/>
      <c r="U23" s="45"/>
      <c r="V23" s="46">
        <f>IF(U23&lt;&gt;"",VLOOKUP(U23,'Tipo Projeto'!$A$3:$B$35,2,0),0)</f>
        <v>0</v>
      </c>
      <c r="W23" s="47"/>
      <c r="X23" s="49"/>
      <c r="Y23" s="50"/>
      <c r="Z23" s="51"/>
      <c r="AA23" s="52"/>
      <c r="AB23" s="53" t="str">
        <f t="shared" si="6"/>
        <v/>
      </c>
      <c r="AC23" s="48" t="str">
        <f t="shared" si="7"/>
        <v/>
      </c>
      <c r="AD23" s="54" t="str">
        <f t="shared" si="8"/>
        <v/>
      </c>
      <c r="AE23" s="55">
        <f t="shared" si="9"/>
        <v>0</v>
      </c>
      <c r="AF23" s="55">
        <f t="shared" si="10"/>
        <v>0</v>
      </c>
      <c r="AG23" s="58">
        <f t="shared" si="11"/>
        <v>0</v>
      </c>
      <c r="AH23" s="47"/>
      <c r="AJ23" s="47"/>
      <c r="AL23" s="47"/>
      <c r="AM23" s="47" t="str">
        <f t="shared" si="12"/>
        <v/>
      </c>
    </row>
    <row r="24" spans="1:39" s="56" customFormat="1" ht="24.75" customHeight="1">
      <c r="A24" s="44"/>
      <c r="B24" s="45"/>
      <c r="C24" s="46">
        <f>IF(B24&lt;&gt;"",VLOOKUP(B24,'Tipo Projeto'!$A$3:$B$35,2,0),0)</f>
        <v>0</v>
      </c>
      <c r="D24" s="47"/>
      <c r="E24" s="47"/>
      <c r="F24" s="48"/>
      <c r="G24" s="47"/>
      <c r="H24" s="49"/>
      <c r="I24" s="50"/>
      <c r="J24" s="51"/>
      <c r="K24" s="52"/>
      <c r="L24" s="53" t="str">
        <f t="shared" si="0"/>
        <v/>
      </c>
      <c r="M24" s="48" t="str">
        <f t="shared" si="1"/>
        <v/>
      </c>
      <c r="N24" s="54" t="str">
        <f t="shared" si="2"/>
        <v/>
      </c>
      <c r="O24" s="55">
        <f t="shared" si="3"/>
        <v>0</v>
      </c>
      <c r="P24" s="55">
        <f t="shared" si="4"/>
        <v>0</v>
      </c>
      <c r="Q24" s="54">
        <f t="shared" si="5"/>
        <v>0</v>
      </c>
      <c r="R24" s="47"/>
      <c r="T24" s="57"/>
      <c r="U24" s="45"/>
      <c r="V24" s="46">
        <f>IF(U24&lt;&gt;"",VLOOKUP(U24,'Tipo Projeto'!$A$3:$B$35,2,0),0)</f>
        <v>0</v>
      </c>
      <c r="W24" s="47"/>
      <c r="X24" s="49"/>
      <c r="Y24" s="50"/>
      <c r="Z24" s="51"/>
      <c r="AA24" s="52"/>
      <c r="AB24" s="53" t="str">
        <f t="shared" si="6"/>
        <v/>
      </c>
      <c r="AC24" s="48" t="str">
        <f t="shared" si="7"/>
        <v/>
      </c>
      <c r="AD24" s="54" t="str">
        <f t="shared" si="8"/>
        <v/>
      </c>
      <c r="AE24" s="55">
        <f t="shared" si="9"/>
        <v>0</v>
      </c>
      <c r="AF24" s="55">
        <f t="shared" si="10"/>
        <v>0</v>
      </c>
      <c r="AG24" s="58">
        <f t="shared" si="11"/>
        <v>0</v>
      </c>
      <c r="AH24" s="47"/>
      <c r="AJ24" s="47"/>
      <c r="AL24" s="47"/>
      <c r="AM24" s="47" t="str">
        <f t="shared" si="12"/>
        <v/>
      </c>
    </row>
    <row r="25" spans="1:39" s="56" customFormat="1" ht="24.75" customHeight="1">
      <c r="A25" s="44"/>
      <c r="B25" s="45"/>
      <c r="C25" s="46">
        <f>IF(B25&lt;&gt;"",VLOOKUP(B25,'Tipo Projeto'!$A$3:$B$35,2,0),0)</f>
        <v>0</v>
      </c>
      <c r="D25" s="47"/>
      <c r="E25" s="47"/>
      <c r="F25" s="48"/>
      <c r="G25" s="47"/>
      <c r="H25" s="49"/>
      <c r="I25" s="50"/>
      <c r="J25" s="51"/>
      <c r="K25" s="52"/>
      <c r="L25" s="53" t="str">
        <f t="shared" si="0"/>
        <v/>
      </c>
      <c r="M25" s="48" t="str">
        <f t="shared" si="1"/>
        <v/>
      </c>
      <c r="N25" s="54" t="str">
        <f t="shared" si="2"/>
        <v/>
      </c>
      <c r="O25" s="55">
        <f t="shared" si="3"/>
        <v>0</v>
      </c>
      <c r="P25" s="55">
        <f t="shared" si="4"/>
        <v>0</v>
      </c>
      <c r="Q25" s="54">
        <f t="shared" si="5"/>
        <v>0</v>
      </c>
      <c r="R25" s="47"/>
      <c r="T25" s="57"/>
      <c r="U25" s="45"/>
      <c r="V25" s="46">
        <f>IF(U25&lt;&gt;"",VLOOKUP(U25,'Tipo Projeto'!$A$3:$B$35,2,0),0)</f>
        <v>0</v>
      </c>
      <c r="W25" s="47"/>
      <c r="X25" s="49"/>
      <c r="Y25" s="50"/>
      <c r="Z25" s="51"/>
      <c r="AA25" s="52"/>
      <c r="AB25" s="53" t="str">
        <f t="shared" si="6"/>
        <v/>
      </c>
      <c r="AC25" s="48" t="str">
        <f t="shared" si="7"/>
        <v/>
      </c>
      <c r="AD25" s="54" t="str">
        <f t="shared" si="8"/>
        <v/>
      </c>
      <c r="AE25" s="55">
        <f t="shared" si="9"/>
        <v>0</v>
      </c>
      <c r="AF25" s="55">
        <f t="shared" si="10"/>
        <v>0</v>
      </c>
      <c r="AG25" s="58">
        <f t="shared" si="11"/>
        <v>0</v>
      </c>
      <c r="AH25" s="47"/>
      <c r="AJ25" s="47"/>
      <c r="AL25" s="47"/>
      <c r="AM25" s="47" t="str">
        <f t="shared" si="12"/>
        <v/>
      </c>
    </row>
    <row r="26" spans="1:39" s="56" customFormat="1" ht="24.75" customHeight="1">
      <c r="A26" s="44"/>
      <c r="B26" s="45"/>
      <c r="C26" s="46">
        <f>IF(B26&lt;&gt;"",VLOOKUP(B26,'Tipo Projeto'!$A$3:$B$35,2,0),0)</f>
        <v>0</v>
      </c>
      <c r="D26" s="47"/>
      <c r="E26" s="47"/>
      <c r="F26" s="48"/>
      <c r="G26" s="47"/>
      <c r="H26" s="49"/>
      <c r="I26" s="50"/>
      <c r="J26" s="51"/>
      <c r="K26" s="52"/>
      <c r="L26" s="53" t="str">
        <f t="shared" si="0"/>
        <v/>
      </c>
      <c r="M26" s="48" t="str">
        <f t="shared" si="1"/>
        <v/>
      </c>
      <c r="N26" s="54" t="str">
        <f t="shared" si="2"/>
        <v/>
      </c>
      <c r="O26" s="55">
        <f t="shared" si="3"/>
        <v>0</v>
      </c>
      <c r="P26" s="55">
        <f t="shared" si="4"/>
        <v>0</v>
      </c>
      <c r="Q26" s="54">
        <f t="shared" si="5"/>
        <v>0</v>
      </c>
      <c r="R26" s="47"/>
      <c r="T26" s="57"/>
      <c r="U26" s="45"/>
      <c r="V26" s="46">
        <f>IF(U26&lt;&gt;"",VLOOKUP(U26,'Tipo Projeto'!$A$3:$B$35,2,0),0)</f>
        <v>0</v>
      </c>
      <c r="W26" s="47"/>
      <c r="X26" s="49"/>
      <c r="Y26" s="50"/>
      <c r="Z26" s="51"/>
      <c r="AA26" s="52"/>
      <c r="AB26" s="53" t="str">
        <f t="shared" si="6"/>
        <v/>
      </c>
      <c r="AC26" s="48" t="str">
        <f t="shared" si="7"/>
        <v/>
      </c>
      <c r="AD26" s="54" t="str">
        <f t="shared" si="8"/>
        <v/>
      </c>
      <c r="AE26" s="55">
        <f t="shared" si="9"/>
        <v>0</v>
      </c>
      <c r="AF26" s="55">
        <f t="shared" si="10"/>
        <v>0</v>
      </c>
      <c r="AG26" s="58">
        <f t="shared" si="11"/>
        <v>0</v>
      </c>
      <c r="AH26" s="47"/>
      <c r="AJ26" s="47"/>
      <c r="AL26" s="47"/>
      <c r="AM26" s="47" t="str">
        <f t="shared" si="12"/>
        <v/>
      </c>
    </row>
    <row r="27" spans="1:39" s="56" customFormat="1" ht="24.75" customHeight="1">
      <c r="A27" s="44"/>
      <c r="B27" s="45"/>
      <c r="C27" s="46">
        <f>IF(B27&lt;&gt;"",VLOOKUP(B27,'Tipo Projeto'!$A$3:$B$35,2,0),0)</f>
        <v>0</v>
      </c>
      <c r="D27" s="47"/>
      <c r="E27" s="47"/>
      <c r="F27" s="48"/>
      <c r="G27" s="47"/>
      <c r="H27" s="49"/>
      <c r="I27" s="50"/>
      <c r="J27" s="51"/>
      <c r="K27" s="52"/>
      <c r="L27" s="53" t="str">
        <f t="shared" si="0"/>
        <v/>
      </c>
      <c r="M27" s="48" t="str">
        <f t="shared" si="1"/>
        <v/>
      </c>
      <c r="N27" s="54" t="str">
        <f t="shared" si="2"/>
        <v/>
      </c>
      <c r="O27" s="55">
        <f t="shared" si="3"/>
        <v>0</v>
      </c>
      <c r="P27" s="55">
        <f t="shared" si="4"/>
        <v>0</v>
      </c>
      <c r="Q27" s="54">
        <f t="shared" si="5"/>
        <v>0</v>
      </c>
      <c r="R27" s="47"/>
      <c r="T27" s="57"/>
      <c r="U27" s="45"/>
      <c r="V27" s="46">
        <f>IF(U27&lt;&gt;"",VLOOKUP(U27,'Tipo Projeto'!$A$3:$B$35,2,0),0)</f>
        <v>0</v>
      </c>
      <c r="W27" s="47"/>
      <c r="X27" s="49"/>
      <c r="Y27" s="50"/>
      <c r="Z27" s="51"/>
      <c r="AA27" s="52"/>
      <c r="AB27" s="53" t="str">
        <f t="shared" si="6"/>
        <v/>
      </c>
      <c r="AC27" s="48" t="str">
        <f t="shared" si="7"/>
        <v/>
      </c>
      <c r="AD27" s="54" t="str">
        <f t="shared" si="8"/>
        <v/>
      </c>
      <c r="AE27" s="55">
        <f t="shared" si="9"/>
        <v>0</v>
      </c>
      <c r="AF27" s="55">
        <f t="shared" si="10"/>
        <v>0</v>
      </c>
      <c r="AG27" s="58">
        <f t="shared" si="11"/>
        <v>0</v>
      </c>
      <c r="AH27" s="47"/>
      <c r="AJ27" s="47"/>
      <c r="AL27" s="47"/>
      <c r="AM27" s="47" t="str">
        <f t="shared" si="12"/>
        <v/>
      </c>
    </row>
    <row r="28" spans="1:39" s="56" customFormat="1" ht="24.75" customHeight="1">
      <c r="A28" s="44"/>
      <c r="B28" s="45"/>
      <c r="C28" s="46">
        <f>IF(B28&lt;&gt;"",VLOOKUP(B28,'Tipo Projeto'!$A$3:$B$35,2,0),0)</f>
        <v>0</v>
      </c>
      <c r="D28" s="47"/>
      <c r="E28" s="47"/>
      <c r="F28" s="48"/>
      <c r="G28" s="47"/>
      <c r="H28" s="49"/>
      <c r="I28" s="50"/>
      <c r="J28" s="51"/>
      <c r="K28" s="52"/>
      <c r="L28" s="53" t="str">
        <f t="shared" si="0"/>
        <v/>
      </c>
      <c r="M28" s="48" t="str">
        <f t="shared" si="1"/>
        <v/>
      </c>
      <c r="N28" s="54" t="str">
        <f t="shared" si="2"/>
        <v/>
      </c>
      <c r="O28" s="55">
        <f t="shared" si="3"/>
        <v>0</v>
      </c>
      <c r="P28" s="55">
        <f t="shared" si="4"/>
        <v>0</v>
      </c>
      <c r="Q28" s="54">
        <f t="shared" si="5"/>
        <v>0</v>
      </c>
      <c r="R28" s="47"/>
      <c r="T28" s="57"/>
      <c r="U28" s="45"/>
      <c r="V28" s="46">
        <f>IF(U28&lt;&gt;"",VLOOKUP(U28,'Tipo Projeto'!$A$3:$B$35,2,0),0)</f>
        <v>0</v>
      </c>
      <c r="W28" s="47"/>
      <c r="X28" s="49"/>
      <c r="Y28" s="50"/>
      <c r="Z28" s="51"/>
      <c r="AA28" s="52"/>
      <c r="AB28" s="53" t="str">
        <f t="shared" si="6"/>
        <v/>
      </c>
      <c r="AC28" s="48" t="str">
        <f t="shared" si="7"/>
        <v/>
      </c>
      <c r="AD28" s="54" t="str">
        <f t="shared" si="8"/>
        <v/>
      </c>
      <c r="AE28" s="55">
        <f t="shared" si="9"/>
        <v>0</v>
      </c>
      <c r="AF28" s="55">
        <f t="shared" si="10"/>
        <v>0</v>
      </c>
      <c r="AG28" s="58">
        <f t="shared" si="11"/>
        <v>0</v>
      </c>
      <c r="AH28" s="47"/>
      <c r="AJ28" s="47"/>
      <c r="AL28" s="47"/>
      <c r="AM28" s="47" t="str">
        <f t="shared" si="12"/>
        <v/>
      </c>
    </row>
    <row r="29" spans="1:39" s="56" customFormat="1" ht="24.75" customHeight="1">
      <c r="A29" s="44"/>
      <c r="B29" s="45"/>
      <c r="C29" s="46">
        <f>IF(B29&lt;&gt;"",VLOOKUP(B29,'Tipo Projeto'!$A$3:$B$35,2,0),0)</f>
        <v>0</v>
      </c>
      <c r="D29" s="47"/>
      <c r="E29" s="47"/>
      <c r="F29" s="48"/>
      <c r="G29" s="47"/>
      <c r="H29" s="49"/>
      <c r="I29" s="50"/>
      <c r="J29" s="51"/>
      <c r="K29" s="52"/>
      <c r="L29" s="53" t="str">
        <f t="shared" si="0"/>
        <v/>
      </c>
      <c r="M29" s="48" t="str">
        <f t="shared" si="1"/>
        <v/>
      </c>
      <c r="N29" s="54" t="str">
        <f t="shared" si="2"/>
        <v/>
      </c>
      <c r="O29" s="55">
        <f t="shared" si="3"/>
        <v>0</v>
      </c>
      <c r="P29" s="55">
        <f t="shared" si="4"/>
        <v>0</v>
      </c>
      <c r="Q29" s="54">
        <f t="shared" si="5"/>
        <v>0</v>
      </c>
      <c r="R29" s="47"/>
      <c r="T29" s="57"/>
      <c r="U29" s="45"/>
      <c r="V29" s="46">
        <f>IF(U29&lt;&gt;"",VLOOKUP(U29,'Tipo Projeto'!$A$3:$B$35,2,0),0)</f>
        <v>0</v>
      </c>
      <c r="W29" s="47"/>
      <c r="X29" s="49"/>
      <c r="Y29" s="50"/>
      <c r="Z29" s="51"/>
      <c r="AA29" s="52"/>
      <c r="AB29" s="53" t="str">
        <f t="shared" si="6"/>
        <v/>
      </c>
      <c r="AC29" s="48" t="str">
        <f t="shared" si="7"/>
        <v/>
      </c>
      <c r="AD29" s="54" t="str">
        <f t="shared" si="8"/>
        <v/>
      </c>
      <c r="AE29" s="55">
        <f t="shared" si="9"/>
        <v>0</v>
      </c>
      <c r="AF29" s="55">
        <f t="shared" si="10"/>
        <v>0</v>
      </c>
      <c r="AG29" s="58">
        <f t="shared" si="11"/>
        <v>0</v>
      </c>
      <c r="AH29" s="47"/>
      <c r="AJ29" s="47"/>
      <c r="AL29" s="47"/>
      <c r="AM29" s="47" t="str">
        <f t="shared" si="12"/>
        <v/>
      </c>
    </row>
    <row r="30" spans="1:39" s="56" customFormat="1" ht="24.75" customHeight="1">
      <c r="A30" s="44"/>
      <c r="B30" s="45"/>
      <c r="C30" s="46">
        <f>IF(B30&lt;&gt;"",VLOOKUP(B30,'Tipo Projeto'!$A$3:$B$35,2,0),0)</f>
        <v>0</v>
      </c>
      <c r="D30" s="47"/>
      <c r="E30" s="47"/>
      <c r="F30" s="48"/>
      <c r="G30" s="47"/>
      <c r="H30" s="49"/>
      <c r="I30" s="50"/>
      <c r="J30" s="51"/>
      <c r="K30" s="52"/>
      <c r="L30" s="53" t="str">
        <f t="shared" si="0"/>
        <v/>
      </c>
      <c r="M30" s="48" t="str">
        <f t="shared" si="1"/>
        <v/>
      </c>
      <c r="N30" s="54" t="str">
        <f t="shared" si="2"/>
        <v/>
      </c>
      <c r="O30" s="55">
        <f t="shared" si="3"/>
        <v>0</v>
      </c>
      <c r="P30" s="55">
        <f t="shared" si="4"/>
        <v>0</v>
      </c>
      <c r="Q30" s="54">
        <f t="shared" si="5"/>
        <v>0</v>
      </c>
      <c r="R30" s="47"/>
      <c r="T30" s="57"/>
      <c r="U30" s="45"/>
      <c r="V30" s="46">
        <f>IF(U30&lt;&gt;"",VLOOKUP(U30,'Tipo Projeto'!$A$3:$B$35,2,0),0)</f>
        <v>0</v>
      </c>
      <c r="W30" s="47"/>
      <c r="X30" s="49"/>
      <c r="Y30" s="50"/>
      <c r="Z30" s="51"/>
      <c r="AA30" s="52"/>
      <c r="AB30" s="53" t="str">
        <f t="shared" si="6"/>
        <v/>
      </c>
      <c r="AC30" s="48" t="str">
        <f t="shared" si="7"/>
        <v/>
      </c>
      <c r="AD30" s="54" t="str">
        <f t="shared" si="8"/>
        <v/>
      </c>
      <c r="AE30" s="55">
        <f t="shared" si="9"/>
        <v>0</v>
      </c>
      <c r="AF30" s="55">
        <f t="shared" si="10"/>
        <v>0</v>
      </c>
      <c r="AG30" s="58">
        <f t="shared" si="11"/>
        <v>0</v>
      </c>
      <c r="AH30" s="47"/>
      <c r="AJ30" s="47"/>
      <c r="AL30" s="47"/>
      <c r="AM30" s="47" t="str">
        <f t="shared" si="12"/>
        <v/>
      </c>
    </row>
    <row r="31" spans="1:39" s="56" customFormat="1" ht="24.75" customHeight="1">
      <c r="A31" s="44"/>
      <c r="B31" s="45"/>
      <c r="C31" s="46">
        <f>IF(B31&lt;&gt;"",VLOOKUP(B31,'Tipo Projeto'!$A$3:$B$35,2,0),0)</f>
        <v>0</v>
      </c>
      <c r="D31" s="47"/>
      <c r="E31" s="47"/>
      <c r="F31" s="48"/>
      <c r="G31" s="47"/>
      <c r="H31" s="49"/>
      <c r="I31" s="50"/>
      <c r="J31" s="51"/>
      <c r="K31" s="52"/>
      <c r="L31" s="53" t="str">
        <f t="shared" si="0"/>
        <v/>
      </c>
      <c r="M31" s="48" t="str">
        <f t="shared" si="1"/>
        <v/>
      </c>
      <c r="N31" s="54" t="str">
        <f t="shared" si="2"/>
        <v/>
      </c>
      <c r="O31" s="55">
        <f t="shared" si="3"/>
        <v>0</v>
      </c>
      <c r="P31" s="55">
        <f t="shared" si="4"/>
        <v>0</v>
      </c>
      <c r="Q31" s="54">
        <f t="shared" si="5"/>
        <v>0</v>
      </c>
      <c r="R31" s="47"/>
      <c r="T31" s="57"/>
      <c r="U31" s="45"/>
      <c r="V31" s="46">
        <f>IF(U31&lt;&gt;"",VLOOKUP(U31,'Tipo Projeto'!$A$3:$B$35,2,0),0)</f>
        <v>0</v>
      </c>
      <c r="W31" s="47"/>
      <c r="X31" s="49"/>
      <c r="Y31" s="50"/>
      <c r="Z31" s="51"/>
      <c r="AA31" s="52"/>
      <c r="AB31" s="53" t="str">
        <f t="shared" si="6"/>
        <v/>
      </c>
      <c r="AC31" s="48" t="str">
        <f t="shared" si="7"/>
        <v/>
      </c>
      <c r="AD31" s="54" t="str">
        <f t="shared" si="8"/>
        <v/>
      </c>
      <c r="AE31" s="55">
        <f t="shared" si="9"/>
        <v>0</v>
      </c>
      <c r="AF31" s="55">
        <f t="shared" si="10"/>
        <v>0</v>
      </c>
      <c r="AG31" s="58">
        <f t="shared" si="11"/>
        <v>0</v>
      </c>
      <c r="AH31" s="47"/>
      <c r="AJ31" s="47"/>
      <c r="AL31" s="47"/>
      <c r="AM31" s="47" t="str">
        <f t="shared" si="12"/>
        <v/>
      </c>
    </row>
    <row r="32" spans="1:39" s="56" customFormat="1" ht="24.75" customHeight="1">
      <c r="A32" s="44"/>
      <c r="B32" s="45"/>
      <c r="C32" s="46">
        <f>IF(B32&lt;&gt;"",VLOOKUP(B32,'Tipo Projeto'!$A$3:$B$35,2,0),0)</f>
        <v>0</v>
      </c>
      <c r="D32" s="47"/>
      <c r="E32" s="47"/>
      <c r="F32" s="48"/>
      <c r="G32" s="47"/>
      <c r="H32" s="49"/>
      <c r="I32" s="50"/>
      <c r="J32" s="51"/>
      <c r="K32" s="52"/>
      <c r="L32" s="53" t="str">
        <f t="shared" si="0"/>
        <v/>
      </c>
      <c r="M32" s="48" t="str">
        <f t="shared" si="1"/>
        <v/>
      </c>
      <c r="N32" s="54" t="str">
        <f t="shared" si="2"/>
        <v/>
      </c>
      <c r="O32" s="55">
        <f t="shared" si="3"/>
        <v>0</v>
      </c>
      <c r="P32" s="55">
        <f t="shared" si="4"/>
        <v>0</v>
      </c>
      <c r="Q32" s="54">
        <f t="shared" si="5"/>
        <v>0</v>
      </c>
      <c r="R32" s="47"/>
      <c r="T32" s="57"/>
      <c r="U32" s="45"/>
      <c r="V32" s="46">
        <f>IF(U32&lt;&gt;"",VLOOKUP(U32,'Tipo Projeto'!$A$3:$B$35,2,0),0)</f>
        <v>0</v>
      </c>
      <c r="W32" s="47"/>
      <c r="X32" s="49"/>
      <c r="Y32" s="50"/>
      <c r="Z32" s="51"/>
      <c r="AA32" s="52"/>
      <c r="AB32" s="53" t="str">
        <f t="shared" si="6"/>
        <v/>
      </c>
      <c r="AC32" s="48" t="str">
        <f t="shared" si="7"/>
        <v/>
      </c>
      <c r="AD32" s="54" t="str">
        <f t="shared" si="8"/>
        <v/>
      </c>
      <c r="AE32" s="55">
        <f t="shared" si="9"/>
        <v>0</v>
      </c>
      <c r="AF32" s="55">
        <f t="shared" si="10"/>
        <v>0</v>
      </c>
      <c r="AG32" s="58">
        <f t="shared" si="11"/>
        <v>0</v>
      </c>
      <c r="AH32" s="47"/>
      <c r="AJ32" s="47"/>
      <c r="AL32" s="47"/>
      <c r="AM32" s="47" t="str">
        <f t="shared" si="12"/>
        <v/>
      </c>
    </row>
    <row r="33" spans="1:39" s="56" customFormat="1" ht="24.75" customHeight="1">
      <c r="A33" s="44"/>
      <c r="B33" s="45"/>
      <c r="C33" s="46">
        <f>IF(B33&lt;&gt;"",VLOOKUP(B33,'Tipo Projeto'!$A$3:$B$35,2,0),0)</f>
        <v>0</v>
      </c>
      <c r="D33" s="47"/>
      <c r="E33" s="47"/>
      <c r="F33" s="48"/>
      <c r="G33" s="47"/>
      <c r="H33" s="49"/>
      <c r="I33" s="50"/>
      <c r="J33" s="51"/>
      <c r="K33" s="52"/>
      <c r="L33" s="53" t="str">
        <f t="shared" si="0"/>
        <v/>
      </c>
      <c r="M33" s="48" t="str">
        <f t="shared" si="1"/>
        <v/>
      </c>
      <c r="N33" s="54" t="str">
        <f t="shared" si="2"/>
        <v/>
      </c>
      <c r="O33" s="55">
        <f t="shared" si="3"/>
        <v>0</v>
      </c>
      <c r="P33" s="55">
        <f t="shared" si="4"/>
        <v>0</v>
      </c>
      <c r="Q33" s="54">
        <f t="shared" si="5"/>
        <v>0</v>
      </c>
      <c r="R33" s="47"/>
      <c r="T33" s="57"/>
      <c r="U33" s="45"/>
      <c r="V33" s="46">
        <f>IF(U33&lt;&gt;"",VLOOKUP(U33,'Tipo Projeto'!$A$3:$B$35,2,0),0)</f>
        <v>0</v>
      </c>
      <c r="W33" s="47"/>
      <c r="X33" s="49"/>
      <c r="Y33" s="50"/>
      <c r="Z33" s="51"/>
      <c r="AA33" s="52"/>
      <c r="AB33" s="53" t="str">
        <f t="shared" si="6"/>
        <v/>
      </c>
      <c r="AC33" s="48" t="str">
        <f t="shared" si="7"/>
        <v/>
      </c>
      <c r="AD33" s="54" t="str">
        <f t="shared" si="8"/>
        <v/>
      </c>
      <c r="AE33" s="55">
        <f t="shared" si="9"/>
        <v>0</v>
      </c>
      <c r="AF33" s="55">
        <f t="shared" si="10"/>
        <v>0</v>
      </c>
      <c r="AG33" s="58">
        <f t="shared" si="11"/>
        <v>0</v>
      </c>
      <c r="AH33" s="47"/>
      <c r="AJ33" s="47"/>
      <c r="AL33" s="47"/>
      <c r="AM33" s="47" t="str">
        <f t="shared" si="12"/>
        <v/>
      </c>
    </row>
    <row r="34" spans="1:39" s="56" customFormat="1" ht="24.75" customHeight="1">
      <c r="A34" s="44"/>
      <c r="B34" s="45"/>
      <c r="C34" s="46">
        <f>IF(B34&lt;&gt;"",VLOOKUP(B34,'Tipo Projeto'!$A$3:$B$35,2,0),0)</f>
        <v>0</v>
      </c>
      <c r="D34" s="47"/>
      <c r="E34" s="47"/>
      <c r="F34" s="48"/>
      <c r="G34" s="47"/>
      <c r="H34" s="49"/>
      <c r="I34" s="50"/>
      <c r="J34" s="51"/>
      <c r="K34" s="52"/>
      <c r="L34" s="53" t="str">
        <f t="shared" si="0"/>
        <v/>
      </c>
      <c r="M34" s="48" t="str">
        <f t="shared" si="1"/>
        <v/>
      </c>
      <c r="N34" s="54" t="str">
        <f t="shared" si="2"/>
        <v/>
      </c>
      <c r="O34" s="55">
        <f t="shared" si="3"/>
        <v>0</v>
      </c>
      <c r="P34" s="55">
        <f t="shared" si="4"/>
        <v>0</v>
      </c>
      <c r="Q34" s="54">
        <f t="shared" si="5"/>
        <v>0</v>
      </c>
      <c r="R34" s="47"/>
      <c r="T34" s="57"/>
      <c r="U34" s="45"/>
      <c r="V34" s="46">
        <f>IF(U34&lt;&gt;"",VLOOKUP(U34,'Tipo Projeto'!$A$3:$B$35,2,0),0)</f>
        <v>0</v>
      </c>
      <c r="W34" s="47"/>
      <c r="X34" s="49"/>
      <c r="Y34" s="50"/>
      <c r="Z34" s="51"/>
      <c r="AA34" s="52"/>
      <c r="AB34" s="53" t="str">
        <f t="shared" si="6"/>
        <v/>
      </c>
      <c r="AC34" s="48" t="str">
        <f t="shared" si="7"/>
        <v/>
      </c>
      <c r="AD34" s="54" t="str">
        <f t="shared" si="8"/>
        <v/>
      </c>
      <c r="AE34" s="55">
        <f t="shared" si="9"/>
        <v>0</v>
      </c>
      <c r="AF34" s="55">
        <f t="shared" si="10"/>
        <v>0</v>
      </c>
      <c r="AG34" s="58">
        <f t="shared" si="11"/>
        <v>0</v>
      </c>
      <c r="AH34" s="47"/>
      <c r="AJ34" s="47"/>
      <c r="AL34" s="47"/>
      <c r="AM34" s="47" t="str">
        <f t="shared" si="12"/>
        <v/>
      </c>
    </row>
    <row r="35" spans="1:39" s="56" customFormat="1" ht="24.75" customHeight="1">
      <c r="A35" s="44"/>
      <c r="B35" s="45"/>
      <c r="C35" s="46">
        <f>IF(B35&lt;&gt;"",VLOOKUP(B35,'Tipo Projeto'!$A$3:$B$35,2,0),0)</f>
        <v>0</v>
      </c>
      <c r="D35" s="47"/>
      <c r="E35" s="47"/>
      <c r="F35" s="48"/>
      <c r="G35" s="47"/>
      <c r="H35" s="49"/>
      <c r="I35" s="50"/>
      <c r="J35" s="51"/>
      <c r="K35" s="52"/>
      <c r="L35" s="53" t="str">
        <f t="shared" si="0"/>
        <v/>
      </c>
      <c r="M35" s="48" t="str">
        <f t="shared" si="1"/>
        <v/>
      </c>
      <c r="N35" s="54" t="str">
        <f t="shared" si="2"/>
        <v/>
      </c>
      <c r="O35" s="55">
        <f t="shared" si="3"/>
        <v>0</v>
      </c>
      <c r="P35" s="55">
        <f t="shared" si="4"/>
        <v>0</v>
      </c>
      <c r="Q35" s="54">
        <f t="shared" si="5"/>
        <v>0</v>
      </c>
      <c r="R35" s="47"/>
      <c r="T35" s="57"/>
      <c r="U35" s="45"/>
      <c r="V35" s="46">
        <f>IF(U35&lt;&gt;"",VLOOKUP(U35,'Tipo Projeto'!$A$3:$B$35,2,0),0)</f>
        <v>0</v>
      </c>
      <c r="W35" s="47"/>
      <c r="X35" s="49"/>
      <c r="Y35" s="50"/>
      <c r="Z35" s="51"/>
      <c r="AA35" s="52"/>
      <c r="AB35" s="53" t="str">
        <f t="shared" si="6"/>
        <v/>
      </c>
      <c r="AC35" s="48" t="str">
        <f t="shared" si="7"/>
        <v/>
      </c>
      <c r="AD35" s="54" t="str">
        <f t="shared" si="8"/>
        <v/>
      </c>
      <c r="AE35" s="55">
        <f t="shared" si="9"/>
        <v>0</v>
      </c>
      <c r="AF35" s="55">
        <f t="shared" si="10"/>
        <v>0</v>
      </c>
      <c r="AG35" s="58">
        <f t="shared" si="11"/>
        <v>0</v>
      </c>
      <c r="AH35" s="47"/>
      <c r="AJ35" s="47"/>
      <c r="AL35" s="47"/>
      <c r="AM35" s="47" t="str">
        <f t="shared" si="12"/>
        <v/>
      </c>
    </row>
    <row r="36" spans="1:39" s="56" customFormat="1" ht="24.75" customHeight="1">
      <c r="A36" s="44"/>
      <c r="B36" s="45"/>
      <c r="C36" s="46">
        <f>IF(B36&lt;&gt;"",VLOOKUP(B36,'Tipo Projeto'!$A$3:$B$35,2,0),0)</f>
        <v>0</v>
      </c>
      <c r="D36" s="47"/>
      <c r="E36" s="47"/>
      <c r="F36" s="48"/>
      <c r="G36" s="47"/>
      <c r="H36" s="49"/>
      <c r="I36" s="50"/>
      <c r="J36" s="51"/>
      <c r="K36" s="52"/>
      <c r="L36" s="53" t="str">
        <f t="shared" si="0"/>
        <v/>
      </c>
      <c r="M36" s="48" t="str">
        <f t="shared" si="1"/>
        <v/>
      </c>
      <c r="N36" s="54" t="str">
        <f t="shared" si="2"/>
        <v/>
      </c>
      <c r="O36" s="55">
        <f t="shared" si="3"/>
        <v>0</v>
      </c>
      <c r="P36" s="55">
        <f t="shared" si="4"/>
        <v>0</v>
      </c>
      <c r="Q36" s="54">
        <f t="shared" si="5"/>
        <v>0</v>
      </c>
      <c r="R36" s="47"/>
      <c r="T36" s="57"/>
      <c r="U36" s="45"/>
      <c r="V36" s="46">
        <f>IF(U36&lt;&gt;"",VLOOKUP(U36,'Tipo Projeto'!$A$3:$B$35,2,0),0)</f>
        <v>0</v>
      </c>
      <c r="W36" s="47"/>
      <c r="X36" s="49"/>
      <c r="Y36" s="50"/>
      <c r="Z36" s="51"/>
      <c r="AA36" s="52"/>
      <c r="AB36" s="53" t="str">
        <f t="shared" si="6"/>
        <v/>
      </c>
      <c r="AC36" s="48" t="str">
        <f t="shared" si="7"/>
        <v/>
      </c>
      <c r="AD36" s="54" t="str">
        <f t="shared" si="8"/>
        <v/>
      </c>
      <c r="AE36" s="55">
        <f t="shared" si="9"/>
        <v>0</v>
      </c>
      <c r="AF36" s="55">
        <f t="shared" si="10"/>
        <v>0</v>
      </c>
      <c r="AG36" s="58">
        <f t="shared" si="11"/>
        <v>0</v>
      </c>
      <c r="AH36" s="47"/>
      <c r="AJ36" s="47"/>
      <c r="AL36" s="47"/>
      <c r="AM36" s="47" t="str">
        <f t="shared" si="12"/>
        <v/>
      </c>
    </row>
    <row r="37" spans="1:39" s="56" customFormat="1" ht="24.75" customHeight="1">
      <c r="A37" s="44"/>
      <c r="B37" s="45"/>
      <c r="C37" s="46">
        <f>IF(B37&lt;&gt;"",VLOOKUP(B37,'Tipo Projeto'!$A$3:$B$35,2,0),0)</f>
        <v>0</v>
      </c>
      <c r="D37" s="47"/>
      <c r="E37" s="47"/>
      <c r="F37" s="48"/>
      <c r="G37" s="47"/>
      <c r="H37" s="49"/>
      <c r="I37" s="50"/>
      <c r="J37" s="51"/>
      <c r="K37" s="52"/>
      <c r="L37" s="53" t="str">
        <f t="shared" si="0"/>
        <v/>
      </c>
      <c r="M37" s="48" t="str">
        <f t="shared" si="1"/>
        <v/>
      </c>
      <c r="N37" s="54" t="str">
        <f t="shared" si="2"/>
        <v/>
      </c>
      <c r="O37" s="55">
        <f t="shared" si="3"/>
        <v>0</v>
      </c>
      <c r="P37" s="55">
        <f t="shared" si="4"/>
        <v>0</v>
      </c>
      <c r="Q37" s="54">
        <f t="shared" si="5"/>
        <v>0</v>
      </c>
      <c r="R37" s="47"/>
      <c r="T37" s="57"/>
      <c r="U37" s="45"/>
      <c r="V37" s="46">
        <f>IF(U37&lt;&gt;"",VLOOKUP(U37,'Tipo Projeto'!$A$3:$B$35,2,0),0)</f>
        <v>0</v>
      </c>
      <c r="W37" s="47"/>
      <c r="X37" s="49"/>
      <c r="Y37" s="50"/>
      <c r="Z37" s="51"/>
      <c r="AA37" s="52"/>
      <c r="AB37" s="53" t="str">
        <f t="shared" si="6"/>
        <v/>
      </c>
      <c r="AC37" s="48" t="str">
        <f t="shared" si="7"/>
        <v/>
      </c>
      <c r="AD37" s="54" t="str">
        <f t="shared" si="8"/>
        <v/>
      </c>
      <c r="AE37" s="55">
        <f t="shared" si="9"/>
        <v>0</v>
      </c>
      <c r="AF37" s="55">
        <f t="shared" si="10"/>
        <v>0</v>
      </c>
      <c r="AG37" s="58">
        <f t="shared" si="11"/>
        <v>0</v>
      </c>
      <c r="AH37" s="47"/>
      <c r="AJ37" s="47"/>
      <c r="AL37" s="47"/>
      <c r="AM37" s="47" t="str">
        <f t="shared" si="12"/>
        <v/>
      </c>
    </row>
    <row r="38" spans="1:39" s="56" customFormat="1" ht="24.75" customHeight="1">
      <c r="A38" s="44"/>
      <c r="B38" s="45"/>
      <c r="C38" s="46">
        <f>IF(B38&lt;&gt;"",VLOOKUP(B38,'Tipo Projeto'!$A$3:$B$35,2,0),0)</f>
        <v>0</v>
      </c>
      <c r="D38" s="47"/>
      <c r="E38" s="47"/>
      <c r="F38" s="48"/>
      <c r="G38" s="47"/>
      <c r="H38" s="49"/>
      <c r="I38" s="50"/>
      <c r="J38" s="51"/>
      <c r="K38" s="52"/>
      <c r="L38" s="53" t="str">
        <f t="shared" si="0"/>
        <v/>
      </c>
      <c r="M38" s="48" t="str">
        <f t="shared" si="1"/>
        <v/>
      </c>
      <c r="N38" s="54" t="str">
        <f t="shared" si="2"/>
        <v/>
      </c>
      <c r="O38" s="55">
        <f t="shared" si="3"/>
        <v>0</v>
      </c>
      <c r="P38" s="55">
        <f t="shared" si="4"/>
        <v>0</v>
      </c>
      <c r="Q38" s="54">
        <f t="shared" si="5"/>
        <v>0</v>
      </c>
      <c r="R38" s="47"/>
      <c r="T38" s="57"/>
      <c r="U38" s="45"/>
      <c r="V38" s="46">
        <f>IF(U38&lt;&gt;"",VLOOKUP(U38,'Tipo Projeto'!$A$3:$B$35,2,0),0)</f>
        <v>0</v>
      </c>
      <c r="W38" s="47"/>
      <c r="X38" s="49"/>
      <c r="Y38" s="50"/>
      <c r="Z38" s="51"/>
      <c r="AA38" s="52"/>
      <c r="AB38" s="53" t="str">
        <f t="shared" si="6"/>
        <v/>
      </c>
      <c r="AC38" s="48" t="str">
        <f t="shared" si="7"/>
        <v/>
      </c>
      <c r="AD38" s="54" t="str">
        <f t="shared" si="8"/>
        <v/>
      </c>
      <c r="AE38" s="55">
        <f t="shared" si="9"/>
        <v>0</v>
      </c>
      <c r="AF38" s="55">
        <f t="shared" si="10"/>
        <v>0</v>
      </c>
      <c r="AG38" s="58">
        <f t="shared" si="11"/>
        <v>0</v>
      </c>
      <c r="AH38" s="47"/>
      <c r="AJ38" s="47"/>
      <c r="AL38" s="47"/>
      <c r="AM38" s="47" t="str">
        <f t="shared" si="12"/>
        <v/>
      </c>
    </row>
    <row r="39" spans="1:39" s="56" customFormat="1" ht="24.75" customHeight="1">
      <c r="A39" s="44"/>
      <c r="B39" s="45"/>
      <c r="C39" s="46">
        <f>IF(B39&lt;&gt;"",VLOOKUP(B39,'Tipo Projeto'!$A$3:$B$35,2,0),0)</f>
        <v>0</v>
      </c>
      <c r="D39" s="47"/>
      <c r="E39" s="47"/>
      <c r="F39" s="48"/>
      <c r="G39" s="47"/>
      <c r="H39" s="49"/>
      <c r="I39" s="50"/>
      <c r="J39" s="51"/>
      <c r="K39" s="52"/>
      <c r="L39" s="53" t="str">
        <f t="shared" si="0"/>
        <v/>
      </c>
      <c r="M39" s="48" t="str">
        <f t="shared" si="1"/>
        <v/>
      </c>
      <c r="N39" s="54" t="str">
        <f t="shared" si="2"/>
        <v/>
      </c>
      <c r="O39" s="55">
        <f t="shared" si="3"/>
        <v>0</v>
      </c>
      <c r="P39" s="55">
        <f t="shared" si="4"/>
        <v>0</v>
      </c>
      <c r="Q39" s="54">
        <f t="shared" si="5"/>
        <v>0</v>
      </c>
      <c r="R39" s="47"/>
      <c r="T39" s="57"/>
      <c r="U39" s="45"/>
      <c r="V39" s="46">
        <f>IF(U39&lt;&gt;"",VLOOKUP(U39,'Tipo Projeto'!$A$3:$B$35,2,0),0)</f>
        <v>0</v>
      </c>
      <c r="W39" s="47"/>
      <c r="X39" s="49"/>
      <c r="Y39" s="50"/>
      <c r="Z39" s="51"/>
      <c r="AA39" s="52"/>
      <c r="AB39" s="53" t="str">
        <f t="shared" si="6"/>
        <v/>
      </c>
      <c r="AC39" s="48" t="str">
        <f t="shared" si="7"/>
        <v/>
      </c>
      <c r="AD39" s="54" t="str">
        <f t="shared" si="8"/>
        <v/>
      </c>
      <c r="AE39" s="55">
        <f t="shared" si="9"/>
        <v>0</v>
      </c>
      <c r="AF39" s="55">
        <f t="shared" si="10"/>
        <v>0</v>
      </c>
      <c r="AG39" s="58">
        <f t="shared" si="11"/>
        <v>0</v>
      </c>
      <c r="AH39" s="47"/>
      <c r="AJ39" s="47"/>
      <c r="AL39" s="47"/>
      <c r="AM39" s="47" t="str">
        <f t="shared" si="12"/>
        <v/>
      </c>
    </row>
    <row r="40" spans="1:39" s="56" customFormat="1" ht="24.75" customHeight="1">
      <c r="A40" s="44"/>
      <c r="B40" s="45"/>
      <c r="C40" s="46">
        <f>IF(B40&lt;&gt;"",VLOOKUP(B40,'Tipo Projeto'!$A$3:$B$35,2,0),0)</f>
        <v>0</v>
      </c>
      <c r="D40" s="47"/>
      <c r="E40" s="47"/>
      <c r="F40" s="48"/>
      <c r="G40" s="47"/>
      <c r="H40" s="49"/>
      <c r="I40" s="50"/>
      <c r="J40" s="51"/>
      <c r="K40" s="52"/>
      <c r="L40" s="53" t="str">
        <f t="shared" si="0"/>
        <v/>
      </c>
      <c r="M40" s="48" t="str">
        <f t="shared" si="1"/>
        <v/>
      </c>
      <c r="N40" s="54" t="str">
        <f t="shared" si="2"/>
        <v/>
      </c>
      <c r="O40" s="55">
        <f t="shared" si="3"/>
        <v>0</v>
      </c>
      <c r="P40" s="55">
        <f t="shared" si="4"/>
        <v>0</v>
      </c>
      <c r="Q40" s="54">
        <f t="shared" si="5"/>
        <v>0</v>
      </c>
      <c r="R40" s="47"/>
      <c r="T40" s="57"/>
      <c r="U40" s="45"/>
      <c r="V40" s="46">
        <f>IF(U40&lt;&gt;"",VLOOKUP(U40,'Tipo Projeto'!$A$3:$B$35,2,0),0)</f>
        <v>0</v>
      </c>
      <c r="W40" s="47"/>
      <c r="X40" s="49"/>
      <c r="Y40" s="50"/>
      <c r="Z40" s="51"/>
      <c r="AA40" s="52"/>
      <c r="AB40" s="53" t="str">
        <f t="shared" si="6"/>
        <v/>
      </c>
      <c r="AC40" s="48" t="str">
        <f t="shared" si="7"/>
        <v/>
      </c>
      <c r="AD40" s="54" t="str">
        <f t="shared" si="8"/>
        <v/>
      </c>
      <c r="AE40" s="55">
        <f t="shared" si="9"/>
        <v>0</v>
      </c>
      <c r="AF40" s="55">
        <f t="shared" si="10"/>
        <v>0</v>
      </c>
      <c r="AG40" s="58">
        <f t="shared" si="11"/>
        <v>0</v>
      </c>
      <c r="AH40" s="47"/>
      <c r="AJ40" s="47"/>
      <c r="AL40" s="47"/>
      <c r="AM40" s="47" t="str">
        <f t="shared" si="12"/>
        <v/>
      </c>
    </row>
    <row r="41" spans="1:39" s="56" customFormat="1" ht="24.75" customHeight="1">
      <c r="A41" s="44"/>
      <c r="B41" s="45"/>
      <c r="C41" s="46">
        <f>IF(B41&lt;&gt;"",VLOOKUP(B41,'Tipo Projeto'!$A$3:$B$35,2,0),0)</f>
        <v>0</v>
      </c>
      <c r="D41" s="47"/>
      <c r="E41" s="47"/>
      <c r="F41" s="48"/>
      <c r="G41" s="47"/>
      <c r="H41" s="49"/>
      <c r="I41" s="50"/>
      <c r="J41" s="51"/>
      <c r="K41" s="52"/>
      <c r="L41" s="53" t="str">
        <f t="shared" si="0"/>
        <v/>
      </c>
      <c r="M41" s="48" t="str">
        <f t="shared" si="1"/>
        <v/>
      </c>
      <c r="N41" s="54" t="str">
        <f t="shared" si="2"/>
        <v/>
      </c>
      <c r="O41" s="55">
        <f t="shared" si="3"/>
        <v>0</v>
      </c>
      <c r="P41" s="55">
        <f t="shared" si="4"/>
        <v>0</v>
      </c>
      <c r="Q41" s="54">
        <f t="shared" si="5"/>
        <v>0</v>
      </c>
      <c r="R41" s="47"/>
      <c r="T41" s="57"/>
      <c r="U41" s="45"/>
      <c r="V41" s="46">
        <f>IF(U41&lt;&gt;"",VLOOKUP(U41,'Tipo Projeto'!$A$3:$B$35,2,0),0)</f>
        <v>0</v>
      </c>
      <c r="W41" s="47"/>
      <c r="X41" s="49"/>
      <c r="Y41" s="50"/>
      <c r="Z41" s="51"/>
      <c r="AA41" s="52"/>
      <c r="AB41" s="53" t="str">
        <f t="shared" si="6"/>
        <v/>
      </c>
      <c r="AC41" s="48" t="str">
        <f t="shared" si="7"/>
        <v/>
      </c>
      <c r="AD41" s="54" t="str">
        <f t="shared" si="8"/>
        <v/>
      </c>
      <c r="AE41" s="55">
        <f t="shared" si="9"/>
        <v>0</v>
      </c>
      <c r="AF41" s="55">
        <f t="shared" si="10"/>
        <v>0</v>
      </c>
      <c r="AG41" s="58">
        <f t="shared" si="11"/>
        <v>0</v>
      </c>
      <c r="AH41" s="47"/>
      <c r="AJ41" s="47"/>
      <c r="AL41" s="47"/>
      <c r="AM41" s="47" t="str">
        <f t="shared" si="12"/>
        <v/>
      </c>
    </row>
    <row r="42" spans="1:39" s="56" customFormat="1" ht="24.75" customHeight="1">
      <c r="A42" s="44"/>
      <c r="B42" s="45"/>
      <c r="C42" s="46">
        <f>IF(B42&lt;&gt;"",VLOOKUP(B42,'Tipo Projeto'!$A$3:$B$35,2,0),0)</f>
        <v>0</v>
      </c>
      <c r="D42" s="47"/>
      <c r="E42" s="47"/>
      <c r="F42" s="48"/>
      <c r="G42" s="47"/>
      <c r="H42" s="49"/>
      <c r="I42" s="50"/>
      <c r="J42" s="51"/>
      <c r="K42" s="52"/>
      <c r="L42" s="53" t="str">
        <f t="shared" si="0"/>
        <v/>
      </c>
      <c r="M42" s="48" t="str">
        <f t="shared" si="1"/>
        <v/>
      </c>
      <c r="N42" s="54" t="str">
        <f t="shared" si="2"/>
        <v/>
      </c>
      <c r="O42" s="55">
        <f t="shared" si="3"/>
        <v>0</v>
      </c>
      <c r="P42" s="55">
        <f t="shared" si="4"/>
        <v>0</v>
      </c>
      <c r="Q42" s="54">
        <f t="shared" si="5"/>
        <v>0</v>
      </c>
      <c r="R42" s="47"/>
      <c r="T42" s="57"/>
      <c r="U42" s="45"/>
      <c r="V42" s="46">
        <f>IF(U42&lt;&gt;"",VLOOKUP(U42,'Tipo Projeto'!$A$3:$B$35,2,0),0)</f>
        <v>0</v>
      </c>
      <c r="W42" s="47"/>
      <c r="X42" s="49"/>
      <c r="Y42" s="50"/>
      <c r="Z42" s="51"/>
      <c r="AA42" s="52"/>
      <c r="AB42" s="53" t="str">
        <f t="shared" si="6"/>
        <v/>
      </c>
      <c r="AC42" s="48" t="str">
        <f t="shared" si="7"/>
        <v/>
      </c>
      <c r="AD42" s="54" t="str">
        <f t="shared" si="8"/>
        <v/>
      </c>
      <c r="AE42" s="55">
        <f t="shared" si="9"/>
        <v>0</v>
      </c>
      <c r="AF42" s="55">
        <f t="shared" si="10"/>
        <v>0</v>
      </c>
      <c r="AG42" s="58">
        <f t="shared" si="11"/>
        <v>0</v>
      </c>
      <c r="AH42" s="47"/>
      <c r="AJ42" s="47"/>
      <c r="AL42" s="47"/>
      <c r="AM42" s="47" t="str">
        <f t="shared" si="12"/>
        <v/>
      </c>
    </row>
    <row r="43" spans="1:39" s="56" customFormat="1" ht="24.75" customHeight="1">
      <c r="A43" s="44"/>
      <c r="B43" s="45"/>
      <c r="C43" s="46">
        <f>IF(B43&lt;&gt;"",VLOOKUP(B43,'Tipo Projeto'!$A$3:$B$35,2,0),0)</f>
        <v>0</v>
      </c>
      <c r="D43" s="47"/>
      <c r="E43" s="47"/>
      <c r="F43" s="48"/>
      <c r="G43" s="47"/>
      <c r="H43" s="49"/>
      <c r="I43" s="50"/>
      <c r="J43" s="51"/>
      <c r="K43" s="52"/>
      <c r="L43" s="53" t="str">
        <f t="shared" si="0"/>
        <v/>
      </c>
      <c r="M43" s="48" t="str">
        <f t="shared" si="1"/>
        <v/>
      </c>
      <c r="N43" s="54" t="str">
        <f t="shared" si="2"/>
        <v/>
      </c>
      <c r="O43" s="55">
        <f t="shared" si="3"/>
        <v>0</v>
      </c>
      <c r="P43" s="55">
        <f t="shared" si="4"/>
        <v>0</v>
      </c>
      <c r="Q43" s="54">
        <f t="shared" si="5"/>
        <v>0</v>
      </c>
      <c r="R43" s="47"/>
      <c r="T43" s="57"/>
      <c r="U43" s="45"/>
      <c r="V43" s="46">
        <f>IF(U43&lt;&gt;"",VLOOKUP(U43,'Tipo Projeto'!$A$3:$B$35,2,0),0)</f>
        <v>0</v>
      </c>
      <c r="W43" s="47"/>
      <c r="X43" s="49"/>
      <c r="Y43" s="50"/>
      <c r="Z43" s="51"/>
      <c r="AA43" s="52"/>
      <c r="AB43" s="53" t="str">
        <f t="shared" si="6"/>
        <v/>
      </c>
      <c r="AC43" s="48" t="str">
        <f t="shared" si="7"/>
        <v/>
      </c>
      <c r="AD43" s="54" t="str">
        <f t="shared" si="8"/>
        <v/>
      </c>
      <c r="AE43" s="55">
        <f t="shared" si="9"/>
        <v>0</v>
      </c>
      <c r="AF43" s="55">
        <f t="shared" si="10"/>
        <v>0</v>
      </c>
      <c r="AG43" s="58">
        <f t="shared" si="11"/>
        <v>0</v>
      </c>
      <c r="AH43" s="47"/>
      <c r="AJ43" s="47"/>
      <c r="AL43" s="47"/>
      <c r="AM43" s="47" t="str">
        <f t="shared" si="12"/>
        <v/>
      </c>
    </row>
    <row r="44" spans="1:39" s="56" customFormat="1" ht="24.75" customHeight="1">
      <c r="A44" s="44"/>
      <c r="B44" s="45"/>
      <c r="C44" s="46">
        <f>IF(B44&lt;&gt;"",VLOOKUP(B44,'Tipo Projeto'!$A$3:$B$35,2,0),0)</f>
        <v>0</v>
      </c>
      <c r="D44" s="47"/>
      <c r="E44" s="47"/>
      <c r="F44" s="48"/>
      <c r="G44" s="47"/>
      <c r="H44" s="49"/>
      <c r="I44" s="50"/>
      <c r="J44" s="51"/>
      <c r="K44" s="52"/>
      <c r="L44" s="53" t="str">
        <f t="shared" si="0"/>
        <v/>
      </c>
      <c r="M44" s="48" t="str">
        <f t="shared" si="1"/>
        <v/>
      </c>
      <c r="N44" s="54" t="str">
        <f t="shared" si="2"/>
        <v/>
      </c>
      <c r="O44" s="55">
        <f t="shared" si="3"/>
        <v>0</v>
      </c>
      <c r="P44" s="55">
        <f t="shared" si="4"/>
        <v>0</v>
      </c>
      <c r="Q44" s="54">
        <f t="shared" si="5"/>
        <v>0</v>
      </c>
      <c r="R44" s="47"/>
      <c r="T44" s="57"/>
      <c r="U44" s="45"/>
      <c r="V44" s="46">
        <f>IF(U44&lt;&gt;"",VLOOKUP(U44,'Tipo Projeto'!$A$3:$B$35,2,0),0)</f>
        <v>0</v>
      </c>
      <c r="W44" s="47"/>
      <c r="X44" s="49"/>
      <c r="Y44" s="50"/>
      <c r="Z44" s="51"/>
      <c r="AA44" s="52"/>
      <c r="AB44" s="53" t="str">
        <f t="shared" si="6"/>
        <v/>
      </c>
      <c r="AC44" s="48" t="str">
        <f t="shared" si="7"/>
        <v/>
      </c>
      <c r="AD44" s="54" t="str">
        <f t="shared" si="8"/>
        <v/>
      </c>
      <c r="AE44" s="55">
        <f t="shared" si="9"/>
        <v>0</v>
      </c>
      <c r="AF44" s="55">
        <f t="shared" si="10"/>
        <v>0</v>
      </c>
      <c r="AG44" s="58">
        <f t="shared" si="11"/>
        <v>0</v>
      </c>
      <c r="AH44" s="47"/>
      <c r="AJ44" s="47"/>
      <c r="AL44" s="47"/>
      <c r="AM44" s="47" t="str">
        <f t="shared" si="12"/>
        <v/>
      </c>
    </row>
    <row r="45" spans="1:39" s="56" customFormat="1" ht="24.75" customHeight="1">
      <c r="A45" s="44"/>
      <c r="B45" s="45"/>
      <c r="C45" s="46">
        <f>IF(B45&lt;&gt;"",VLOOKUP(B45,'Tipo Projeto'!$A$3:$B$35,2,0),0)</f>
        <v>0</v>
      </c>
      <c r="D45" s="47"/>
      <c r="E45" s="47"/>
      <c r="F45" s="48"/>
      <c r="G45" s="47"/>
      <c r="H45" s="49"/>
      <c r="I45" s="50"/>
      <c r="J45" s="51"/>
      <c r="K45" s="52"/>
      <c r="L45" s="53" t="str">
        <f t="shared" si="0"/>
        <v/>
      </c>
      <c r="M45" s="48" t="str">
        <f t="shared" si="1"/>
        <v/>
      </c>
      <c r="N45" s="54" t="str">
        <f t="shared" si="2"/>
        <v/>
      </c>
      <c r="O45" s="55">
        <f t="shared" si="3"/>
        <v>0</v>
      </c>
      <c r="P45" s="55">
        <f t="shared" si="4"/>
        <v>0</v>
      </c>
      <c r="Q45" s="54">
        <f t="shared" si="5"/>
        <v>0</v>
      </c>
      <c r="R45" s="47"/>
      <c r="T45" s="57"/>
      <c r="U45" s="45"/>
      <c r="V45" s="46">
        <f>IF(U45&lt;&gt;"",VLOOKUP(U45,'Tipo Projeto'!$A$3:$B$35,2,0),0)</f>
        <v>0</v>
      </c>
      <c r="W45" s="47"/>
      <c r="X45" s="49"/>
      <c r="Y45" s="50"/>
      <c r="Z45" s="51"/>
      <c r="AA45" s="52"/>
      <c r="AB45" s="53" t="str">
        <f t="shared" si="6"/>
        <v/>
      </c>
      <c r="AC45" s="48" t="str">
        <f t="shared" si="7"/>
        <v/>
      </c>
      <c r="AD45" s="54" t="str">
        <f t="shared" si="8"/>
        <v/>
      </c>
      <c r="AE45" s="55">
        <f t="shared" si="9"/>
        <v>0</v>
      </c>
      <c r="AF45" s="55">
        <f t="shared" si="10"/>
        <v>0</v>
      </c>
      <c r="AG45" s="58">
        <f t="shared" si="11"/>
        <v>0</v>
      </c>
      <c r="AH45" s="47"/>
      <c r="AJ45" s="47"/>
      <c r="AL45" s="47"/>
      <c r="AM45" s="47" t="str">
        <f t="shared" si="12"/>
        <v/>
      </c>
    </row>
    <row r="46" spans="1:39" s="56" customFormat="1" ht="24.75" customHeight="1">
      <c r="A46" s="44"/>
      <c r="B46" s="45"/>
      <c r="C46" s="46">
        <f>IF(B46&lt;&gt;"",VLOOKUP(B46,'Tipo Projeto'!$A$3:$B$35,2,0),0)</f>
        <v>0</v>
      </c>
      <c r="D46" s="47"/>
      <c r="E46" s="47"/>
      <c r="F46" s="48"/>
      <c r="G46" s="47"/>
      <c r="H46" s="49"/>
      <c r="I46" s="50"/>
      <c r="J46" s="51"/>
      <c r="K46" s="52"/>
      <c r="L46" s="53" t="str">
        <f t="shared" si="0"/>
        <v/>
      </c>
      <c r="M46" s="48" t="str">
        <f t="shared" si="1"/>
        <v/>
      </c>
      <c r="N46" s="54" t="str">
        <f t="shared" si="2"/>
        <v/>
      </c>
      <c r="O46" s="55">
        <f t="shared" si="3"/>
        <v>0</v>
      </c>
      <c r="P46" s="55">
        <f t="shared" si="4"/>
        <v>0</v>
      </c>
      <c r="Q46" s="54">
        <f t="shared" si="5"/>
        <v>0</v>
      </c>
      <c r="R46" s="47"/>
      <c r="T46" s="57"/>
      <c r="U46" s="45"/>
      <c r="V46" s="46">
        <f>IF(U46&lt;&gt;"",VLOOKUP(U46,'Tipo Projeto'!$A$3:$B$35,2,0),0)</f>
        <v>0</v>
      </c>
      <c r="W46" s="47"/>
      <c r="X46" s="49"/>
      <c r="Y46" s="50"/>
      <c r="Z46" s="51"/>
      <c r="AA46" s="52"/>
      <c r="AB46" s="53" t="str">
        <f t="shared" si="6"/>
        <v/>
      </c>
      <c r="AC46" s="48" t="str">
        <f t="shared" si="7"/>
        <v/>
      </c>
      <c r="AD46" s="54" t="str">
        <f t="shared" si="8"/>
        <v/>
      </c>
      <c r="AE46" s="55">
        <f t="shared" si="9"/>
        <v>0</v>
      </c>
      <c r="AF46" s="55">
        <f t="shared" si="10"/>
        <v>0</v>
      </c>
      <c r="AG46" s="58">
        <f t="shared" si="11"/>
        <v>0</v>
      </c>
      <c r="AH46" s="47"/>
      <c r="AJ46" s="47"/>
      <c r="AL46" s="47"/>
      <c r="AM46" s="47" t="str">
        <f t="shared" si="12"/>
        <v/>
      </c>
    </row>
    <row r="47" spans="1:39" s="56" customFormat="1" ht="24.75" customHeight="1">
      <c r="A47" s="44"/>
      <c r="B47" s="45"/>
      <c r="C47" s="46">
        <f>IF(B47&lt;&gt;"",VLOOKUP(B47,'Tipo Projeto'!$A$3:$B$35,2,0),0)</f>
        <v>0</v>
      </c>
      <c r="D47" s="47"/>
      <c r="E47" s="47"/>
      <c r="F47" s="48"/>
      <c r="G47" s="47"/>
      <c r="H47" s="49"/>
      <c r="I47" s="50"/>
      <c r="J47" s="51"/>
      <c r="K47" s="52"/>
      <c r="L47" s="53" t="str">
        <f t="shared" si="0"/>
        <v/>
      </c>
      <c r="M47" s="48" t="str">
        <f t="shared" si="1"/>
        <v/>
      </c>
      <c r="N47" s="54" t="str">
        <f t="shared" si="2"/>
        <v/>
      </c>
      <c r="O47" s="55">
        <f t="shared" si="3"/>
        <v>0</v>
      </c>
      <c r="P47" s="55">
        <f t="shared" si="4"/>
        <v>0</v>
      </c>
      <c r="Q47" s="54">
        <f t="shared" si="5"/>
        <v>0</v>
      </c>
      <c r="R47" s="47"/>
      <c r="T47" s="57"/>
      <c r="U47" s="45"/>
      <c r="V47" s="46">
        <f>IF(U47&lt;&gt;"",VLOOKUP(U47,'Tipo Projeto'!$A$3:$B$35,2,0),0)</f>
        <v>0</v>
      </c>
      <c r="W47" s="47"/>
      <c r="X47" s="49"/>
      <c r="Y47" s="50"/>
      <c r="Z47" s="51"/>
      <c r="AA47" s="52"/>
      <c r="AB47" s="53" t="str">
        <f t="shared" si="6"/>
        <v/>
      </c>
      <c r="AC47" s="48" t="str">
        <f t="shared" si="7"/>
        <v/>
      </c>
      <c r="AD47" s="54" t="str">
        <f t="shared" si="8"/>
        <v/>
      </c>
      <c r="AE47" s="55">
        <f t="shared" si="9"/>
        <v>0</v>
      </c>
      <c r="AF47" s="55">
        <f t="shared" si="10"/>
        <v>0</v>
      </c>
      <c r="AG47" s="58">
        <f t="shared" si="11"/>
        <v>0</v>
      </c>
      <c r="AH47" s="47"/>
      <c r="AJ47" s="47"/>
      <c r="AL47" s="47"/>
      <c r="AM47" s="47" t="str">
        <f t="shared" si="12"/>
        <v/>
      </c>
    </row>
    <row r="48" spans="1:39" s="56" customFormat="1" ht="24.75" customHeight="1">
      <c r="A48" s="44"/>
      <c r="B48" s="45"/>
      <c r="C48" s="46">
        <f>IF(B48&lt;&gt;"",VLOOKUP(B48,'Tipo Projeto'!$A$3:$B$35,2,0),0)</f>
        <v>0</v>
      </c>
      <c r="D48" s="47"/>
      <c r="E48" s="47"/>
      <c r="F48" s="48"/>
      <c r="G48" s="47"/>
      <c r="H48" s="49"/>
      <c r="I48" s="50"/>
      <c r="J48" s="51"/>
      <c r="K48" s="52"/>
      <c r="L48" s="53" t="str">
        <f t="shared" si="0"/>
        <v/>
      </c>
      <c r="M48" s="48" t="str">
        <f t="shared" si="1"/>
        <v/>
      </c>
      <c r="N48" s="54" t="str">
        <f t="shared" si="2"/>
        <v/>
      </c>
      <c r="O48" s="55">
        <f t="shared" si="3"/>
        <v>0</v>
      </c>
      <c r="P48" s="55">
        <f t="shared" si="4"/>
        <v>0</v>
      </c>
      <c r="Q48" s="54">
        <f t="shared" si="5"/>
        <v>0</v>
      </c>
      <c r="R48" s="47"/>
      <c r="T48" s="57"/>
      <c r="U48" s="45"/>
      <c r="V48" s="46">
        <f>IF(U48&lt;&gt;"",VLOOKUP(U48,'Tipo Projeto'!$A$3:$B$35,2,0),0)</f>
        <v>0</v>
      </c>
      <c r="W48" s="47"/>
      <c r="X48" s="49"/>
      <c r="Y48" s="50"/>
      <c r="Z48" s="51"/>
      <c r="AA48" s="52"/>
      <c r="AB48" s="53" t="str">
        <f t="shared" si="6"/>
        <v/>
      </c>
      <c r="AC48" s="48" t="str">
        <f t="shared" si="7"/>
        <v/>
      </c>
      <c r="AD48" s="54" t="str">
        <f t="shared" si="8"/>
        <v/>
      </c>
      <c r="AE48" s="55">
        <f t="shared" si="9"/>
        <v>0</v>
      </c>
      <c r="AF48" s="55">
        <f t="shared" si="10"/>
        <v>0</v>
      </c>
      <c r="AG48" s="58">
        <f t="shared" si="11"/>
        <v>0</v>
      </c>
      <c r="AH48" s="47"/>
      <c r="AJ48" s="47"/>
      <c r="AL48" s="47"/>
      <c r="AM48" s="47" t="str">
        <f t="shared" si="12"/>
        <v/>
      </c>
    </row>
    <row r="49" spans="1:39" s="56" customFormat="1" ht="24.75" customHeight="1">
      <c r="A49" s="44"/>
      <c r="B49" s="45"/>
      <c r="C49" s="46">
        <f>IF(B49&lt;&gt;"",VLOOKUP(B49,'Tipo Projeto'!$A$3:$B$35,2,0),0)</f>
        <v>0</v>
      </c>
      <c r="D49" s="47"/>
      <c r="E49" s="47"/>
      <c r="F49" s="48"/>
      <c r="G49" s="47"/>
      <c r="H49" s="49"/>
      <c r="I49" s="50"/>
      <c r="J49" s="51"/>
      <c r="K49" s="52"/>
      <c r="L49" s="53" t="str">
        <f t="shared" si="0"/>
        <v/>
      </c>
      <c r="M49" s="48" t="str">
        <f t="shared" si="1"/>
        <v/>
      </c>
      <c r="N49" s="54" t="str">
        <f t="shared" si="2"/>
        <v/>
      </c>
      <c r="O49" s="55">
        <f t="shared" si="3"/>
        <v>0</v>
      </c>
      <c r="P49" s="55">
        <f t="shared" si="4"/>
        <v>0</v>
      </c>
      <c r="Q49" s="54">
        <f t="shared" si="5"/>
        <v>0</v>
      </c>
      <c r="R49" s="47"/>
      <c r="T49" s="57"/>
      <c r="U49" s="45"/>
      <c r="V49" s="46">
        <f>IF(U49&lt;&gt;"",VLOOKUP(U49,'Tipo Projeto'!$A$3:$B$35,2,0),0)</f>
        <v>0</v>
      </c>
      <c r="W49" s="47"/>
      <c r="X49" s="49"/>
      <c r="Y49" s="50"/>
      <c r="Z49" s="51"/>
      <c r="AA49" s="52"/>
      <c r="AB49" s="53" t="str">
        <f t="shared" si="6"/>
        <v/>
      </c>
      <c r="AC49" s="48" t="str">
        <f t="shared" si="7"/>
        <v/>
      </c>
      <c r="AD49" s="54" t="str">
        <f t="shared" si="8"/>
        <v/>
      </c>
      <c r="AE49" s="55">
        <f t="shared" si="9"/>
        <v>0</v>
      </c>
      <c r="AF49" s="55">
        <f t="shared" si="10"/>
        <v>0</v>
      </c>
      <c r="AG49" s="58">
        <f t="shared" si="11"/>
        <v>0</v>
      </c>
      <c r="AH49" s="47"/>
      <c r="AJ49" s="47"/>
      <c r="AL49" s="47"/>
      <c r="AM49" s="47" t="str">
        <f t="shared" si="12"/>
        <v/>
      </c>
    </row>
    <row r="50" spans="1:39" s="56" customFormat="1" ht="24.75" customHeight="1">
      <c r="A50" s="44"/>
      <c r="B50" s="45"/>
      <c r="C50" s="46">
        <f>IF(B50&lt;&gt;"",VLOOKUP(B50,'Tipo Projeto'!$A$3:$B$35,2,0),0)</f>
        <v>0</v>
      </c>
      <c r="D50" s="47"/>
      <c r="E50" s="47"/>
      <c r="F50" s="48"/>
      <c r="G50" s="47"/>
      <c r="H50" s="49"/>
      <c r="I50" s="50"/>
      <c r="J50" s="51"/>
      <c r="K50" s="52"/>
      <c r="L50" s="53" t="str">
        <f t="shared" si="0"/>
        <v/>
      </c>
      <c r="M50" s="48" t="str">
        <f t="shared" si="1"/>
        <v/>
      </c>
      <c r="N50" s="54" t="str">
        <f t="shared" si="2"/>
        <v/>
      </c>
      <c r="O50" s="55">
        <f t="shared" si="3"/>
        <v>0</v>
      </c>
      <c r="P50" s="55">
        <f t="shared" si="4"/>
        <v>0</v>
      </c>
      <c r="Q50" s="54">
        <f t="shared" si="5"/>
        <v>0</v>
      </c>
      <c r="R50" s="47"/>
      <c r="T50" s="57"/>
      <c r="U50" s="45"/>
      <c r="V50" s="46">
        <f>IF(U50&lt;&gt;"",VLOOKUP(U50,'Tipo Projeto'!$A$3:$B$35,2,0),0)</f>
        <v>0</v>
      </c>
      <c r="W50" s="47"/>
      <c r="X50" s="49"/>
      <c r="Y50" s="50"/>
      <c r="Z50" s="51"/>
      <c r="AA50" s="52"/>
      <c r="AB50" s="53" t="str">
        <f t="shared" si="6"/>
        <v/>
      </c>
      <c r="AC50" s="48" t="str">
        <f t="shared" si="7"/>
        <v/>
      </c>
      <c r="AD50" s="54" t="str">
        <f t="shared" si="8"/>
        <v/>
      </c>
      <c r="AE50" s="55">
        <f t="shared" si="9"/>
        <v>0</v>
      </c>
      <c r="AF50" s="55">
        <f t="shared" si="10"/>
        <v>0</v>
      </c>
      <c r="AG50" s="58">
        <f t="shared" si="11"/>
        <v>0</v>
      </c>
      <c r="AH50" s="47"/>
      <c r="AJ50" s="47"/>
      <c r="AL50" s="47"/>
      <c r="AM50" s="47" t="str">
        <f t="shared" si="12"/>
        <v/>
      </c>
    </row>
    <row r="51" spans="1:39" s="56" customFormat="1" ht="24.75" customHeight="1">
      <c r="A51" s="44"/>
      <c r="B51" s="45"/>
      <c r="C51" s="46">
        <f>IF(B51&lt;&gt;"",VLOOKUP(B51,'Tipo Projeto'!$A$3:$B$35,2,0),0)</f>
        <v>0</v>
      </c>
      <c r="D51" s="47"/>
      <c r="E51" s="47"/>
      <c r="F51" s="48"/>
      <c r="G51" s="47"/>
      <c r="H51" s="49"/>
      <c r="I51" s="50"/>
      <c r="J51" s="51"/>
      <c r="K51" s="52"/>
      <c r="L51" s="53" t="str">
        <f t="shared" si="0"/>
        <v/>
      </c>
      <c r="M51" s="48" t="str">
        <f t="shared" si="1"/>
        <v/>
      </c>
      <c r="N51" s="54" t="str">
        <f t="shared" si="2"/>
        <v/>
      </c>
      <c r="O51" s="55">
        <f t="shared" si="3"/>
        <v>0</v>
      </c>
      <c r="P51" s="55">
        <f t="shared" si="4"/>
        <v>0</v>
      </c>
      <c r="Q51" s="54">
        <f t="shared" si="5"/>
        <v>0</v>
      </c>
      <c r="R51" s="47"/>
      <c r="T51" s="57"/>
      <c r="U51" s="45"/>
      <c r="V51" s="46">
        <f>IF(U51&lt;&gt;"",VLOOKUP(U51,'Tipo Projeto'!$A$3:$B$35,2,0),0)</f>
        <v>0</v>
      </c>
      <c r="W51" s="47"/>
      <c r="X51" s="49"/>
      <c r="Y51" s="50"/>
      <c r="Z51" s="51"/>
      <c r="AA51" s="52"/>
      <c r="AB51" s="53" t="str">
        <f t="shared" si="6"/>
        <v/>
      </c>
      <c r="AC51" s="48" t="str">
        <f t="shared" si="7"/>
        <v/>
      </c>
      <c r="AD51" s="54" t="str">
        <f t="shared" si="8"/>
        <v/>
      </c>
      <c r="AE51" s="55">
        <f t="shared" si="9"/>
        <v>0</v>
      </c>
      <c r="AF51" s="55">
        <f t="shared" si="10"/>
        <v>0</v>
      </c>
      <c r="AG51" s="58">
        <f t="shared" si="11"/>
        <v>0</v>
      </c>
      <c r="AH51" s="47"/>
      <c r="AJ51" s="47"/>
      <c r="AL51" s="47"/>
      <c r="AM51" s="47" t="str">
        <f t="shared" si="12"/>
        <v/>
      </c>
    </row>
    <row r="52" spans="1:39" s="56" customFormat="1" ht="24.75" customHeight="1">
      <c r="A52" s="44"/>
      <c r="B52" s="45"/>
      <c r="C52" s="46">
        <f>IF(B52&lt;&gt;"",VLOOKUP(B52,'Tipo Projeto'!$A$3:$B$35,2,0),0)</f>
        <v>0</v>
      </c>
      <c r="D52" s="47"/>
      <c r="E52" s="47"/>
      <c r="F52" s="48"/>
      <c r="G52" s="47"/>
      <c r="H52" s="49"/>
      <c r="I52" s="50"/>
      <c r="J52" s="51"/>
      <c r="K52" s="52"/>
      <c r="L52" s="53" t="str">
        <f t="shared" si="0"/>
        <v/>
      </c>
      <c r="M52" s="48" t="str">
        <f t="shared" si="1"/>
        <v/>
      </c>
      <c r="N52" s="54" t="str">
        <f t="shared" si="2"/>
        <v/>
      </c>
      <c r="O52" s="55">
        <f t="shared" si="3"/>
        <v>0</v>
      </c>
      <c r="P52" s="55">
        <f t="shared" si="4"/>
        <v>0</v>
      </c>
      <c r="Q52" s="54">
        <f t="shared" si="5"/>
        <v>0</v>
      </c>
      <c r="R52" s="47"/>
      <c r="T52" s="57"/>
      <c r="U52" s="45"/>
      <c r="V52" s="46">
        <f>IF(U52&lt;&gt;"",VLOOKUP(U52,'Tipo Projeto'!$A$3:$B$35,2,0),0)</f>
        <v>0</v>
      </c>
      <c r="W52" s="47"/>
      <c r="X52" s="49"/>
      <c r="Y52" s="50"/>
      <c r="Z52" s="51"/>
      <c r="AA52" s="52"/>
      <c r="AB52" s="53" t="str">
        <f t="shared" si="6"/>
        <v/>
      </c>
      <c r="AC52" s="48" t="str">
        <f t="shared" si="7"/>
        <v/>
      </c>
      <c r="AD52" s="54" t="str">
        <f t="shared" si="8"/>
        <v/>
      </c>
      <c r="AE52" s="55">
        <f t="shared" si="9"/>
        <v>0</v>
      </c>
      <c r="AF52" s="55">
        <f t="shared" si="10"/>
        <v>0</v>
      </c>
      <c r="AG52" s="58">
        <f t="shared" si="11"/>
        <v>0</v>
      </c>
      <c r="AH52" s="47"/>
      <c r="AJ52" s="47"/>
      <c r="AL52" s="47"/>
      <c r="AM52" s="47" t="str">
        <f t="shared" si="12"/>
        <v/>
      </c>
    </row>
    <row r="53" spans="1:39" s="56" customFormat="1" ht="24.75" customHeight="1">
      <c r="A53" s="44"/>
      <c r="B53" s="45"/>
      <c r="C53" s="46">
        <f>IF(B53&lt;&gt;"",VLOOKUP(B53,'Tipo Projeto'!$A$3:$B$35,2,0),0)</f>
        <v>0</v>
      </c>
      <c r="D53" s="47"/>
      <c r="E53" s="47"/>
      <c r="F53" s="48"/>
      <c r="G53" s="47"/>
      <c r="H53" s="49"/>
      <c r="I53" s="50"/>
      <c r="J53" s="51"/>
      <c r="K53" s="52"/>
      <c r="L53" s="53" t="str">
        <f t="shared" si="0"/>
        <v/>
      </c>
      <c r="M53" s="48" t="str">
        <f t="shared" si="1"/>
        <v/>
      </c>
      <c r="N53" s="54" t="str">
        <f t="shared" si="2"/>
        <v/>
      </c>
      <c r="O53" s="55">
        <f t="shared" si="3"/>
        <v>0</v>
      </c>
      <c r="P53" s="55">
        <f t="shared" si="4"/>
        <v>0</v>
      </c>
      <c r="Q53" s="54">
        <f t="shared" si="5"/>
        <v>0</v>
      </c>
      <c r="R53" s="47"/>
      <c r="T53" s="57"/>
      <c r="U53" s="45"/>
      <c r="V53" s="46">
        <f>IF(U53&lt;&gt;"",VLOOKUP(U53,'Tipo Projeto'!$A$3:$B$35,2,0),0)</f>
        <v>0</v>
      </c>
      <c r="W53" s="47"/>
      <c r="X53" s="49"/>
      <c r="Y53" s="50"/>
      <c r="Z53" s="51"/>
      <c r="AA53" s="52"/>
      <c r="AB53" s="53" t="str">
        <f t="shared" si="6"/>
        <v/>
      </c>
      <c r="AC53" s="48" t="str">
        <f t="shared" si="7"/>
        <v/>
      </c>
      <c r="AD53" s="54" t="str">
        <f t="shared" si="8"/>
        <v/>
      </c>
      <c r="AE53" s="55">
        <f t="shared" si="9"/>
        <v>0</v>
      </c>
      <c r="AF53" s="55">
        <f t="shared" si="10"/>
        <v>0</v>
      </c>
      <c r="AG53" s="58">
        <f t="shared" si="11"/>
        <v>0</v>
      </c>
      <c r="AH53" s="47"/>
      <c r="AJ53" s="47"/>
      <c r="AL53" s="47"/>
      <c r="AM53" s="47" t="str">
        <f t="shared" si="12"/>
        <v/>
      </c>
    </row>
    <row r="54" spans="1:39" s="56" customFormat="1" ht="24.75" customHeight="1">
      <c r="A54" s="44"/>
      <c r="B54" s="45"/>
      <c r="C54" s="46">
        <f>IF(B54&lt;&gt;"",VLOOKUP(B54,'Tipo Projeto'!$A$3:$B$35,2,0),0)</f>
        <v>0</v>
      </c>
      <c r="D54" s="47"/>
      <c r="E54" s="47"/>
      <c r="F54" s="48"/>
      <c r="G54" s="47"/>
      <c r="H54" s="49"/>
      <c r="I54" s="50"/>
      <c r="J54" s="51"/>
      <c r="K54" s="52"/>
      <c r="L54" s="53" t="str">
        <f t="shared" si="0"/>
        <v/>
      </c>
      <c r="M54" s="48" t="str">
        <f t="shared" si="1"/>
        <v/>
      </c>
      <c r="N54" s="54" t="str">
        <f t="shared" si="2"/>
        <v/>
      </c>
      <c r="O54" s="55">
        <f t="shared" si="3"/>
        <v>0</v>
      </c>
      <c r="P54" s="55">
        <f t="shared" si="4"/>
        <v>0</v>
      </c>
      <c r="Q54" s="54">
        <f t="shared" si="5"/>
        <v>0</v>
      </c>
      <c r="R54" s="47"/>
      <c r="T54" s="57"/>
      <c r="U54" s="45"/>
      <c r="V54" s="46">
        <f>IF(U54&lt;&gt;"",VLOOKUP(U54,'Tipo Projeto'!$A$3:$B$35,2,0),0)</f>
        <v>0</v>
      </c>
      <c r="W54" s="47"/>
      <c r="X54" s="49"/>
      <c r="Y54" s="50"/>
      <c r="Z54" s="51"/>
      <c r="AA54" s="52"/>
      <c r="AB54" s="53" t="str">
        <f t="shared" si="6"/>
        <v/>
      </c>
      <c r="AC54" s="48" t="str">
        <f t="shared" si="7"/>
        <v/>
      </c>
      <c r="AD54" s="54" t="str">
        <f t="shared" si="8"/>
        <v/>
      </c>
      <c r="AE54" s="55">
        <f t="shared" si="9"/>
        <v>0</v>
      </c>
      <c r="AF54" s="55">
        <f t="shared" si="10"/>
        <v>0</v>
      </c>
      <c r="AG54" s="58">
        <f t="shared" si="11"/>
        <v>0</v>
      </c>
      <c r="AH54" s="47"/>
      <c r="AJ54" s="47"/>
      <c r="AL54" s="47"/>
      <c r="AM54" s="47" t="str">
        <f t="shared" si="12"/>
        <v/>
      </c>
    </row>
    <row r="55" spans="1:39" s="56" customFormat="1" ht="24.75" customHeight="1">
      <c r="A55" s="44"/>
      <c r="B55" s="45"/>
      <c r="C55" s="46">
        <f>IF(B55&lt;&gt;"",VLOOKUP(B55,'Tipo Projeto'!$A$3:$B$35,2,0),0)</f>
        <v>0</v>
      </c>
      <c r="D55" s="47"/>
      <c r="E55" s="47"/>
      <c r="F55" s="48"/>
      <c r="G55" s="47"/>
      <c r="H55" s="49"/>
      <c r="I55" s="50"/>
      <c r="J55" s="51"/>
      <c r="K55" s="52"/>
      <c r="L55" s="53" t="str">
        <f t="shared" si="0"/>
        <v/>
      </c>
      <c r="M55" s="48" t="str">
        <f t="shared" si="1"/>
        <v/>
      </c>
      <c r="N55" s="54" t="str">
        <f t="shared" si="2"/>
        <v/>
      </c>
      <c r="O55" s="55">
        <f t="shared" si="3"/>
        <v>0</v>
      </c>
      <c r="P55" s="55">
        <f t="shared" si="4"/>
        <v>0</v>
      </c>
      <c r="Q55" s="54">
        <f t="shared" si="5"/>
        <v>0</v>
      </c>
      <c r="R55" s="47"/>
      <c r="T55" s="57"/>
      <c r="U55" s="45"/>
      <c r="V55" s="46">
        <f>IF(U55&lt;&gt;"",VLOOKUP(U55,'Tipo Projeto'!$A$3:$B$35,2,0),0)</f>
        <v>0</v>
      </c>
      <c r="W55" s="47"/>
      <c r="X55" s="49"/>
      <c r="Y55" s="50"/>
      <c r="Z55" s="51"/>
      <c r="AA55" s="52"/>
      <c r="AB55" s="53" t="str">
        <f t="shared" si="6"/>
        <v/>
      </c>
      <c r="AC55" s="48" t="str">
        <f t="shared" si="7"/>
        <v/>
      </c>
      <c r="AD55" s="54" t="str">
        <f t="shared" si="8"/>
        <v/>
      </c>
      <c r="AE55" s="55">
        <f t="shared" si="9"/>
        <v>0</v>
      </c>
      <c r="AF55" s="55">
        <f t="shared" si="10"/>
        <v>0</v>
      </c>
      <c r="AG55" s="58">
        <f t="shared" si="11"/>
        <v>0</v>
      </c>
      <c r="AH55" s="47"/>
      <c r="AJ55" s="47"/>
      <c r="AL55" s="47"/>
      <c r="AM55" s="47" t="str">
        <f t="shared" si="12"/>
        <v/>
      </c>
    </row>
    <row r="56" spans="1:39" s="56" customFormat="1" ht="24.75" customHeight="1">
      <c r="A56" s="44"/>
      <c r="B56" s="45"/>
      <c r="C56" s="46">
        <f>IF(B56&lt;&gt;"",VLOOKUP(B56,'Tipo Projeto'!$A$3:$B$35,2,0),0)</f>
        <v>0</v>
      </c>
      <c r="D56" s="47"/>
      <c r="E56" s="47"/>
      <c r="F56" s="48"/>
      <c r="G56" s="47"/>
      <c r="H56" s="49"/>
      <c r="I56" s="50"/>
      <c r="J56" s="51"/>
      <c r="K56" s="52"/>
      <c r="L56" s="53" t="str">
        <f t="shared" si="0"/>
        <v/>
      </c>
      <c r="M56" s="48" t="str">
        <f t="shared" si="1"/>
        <v/>
      </c>
      <c r="N56" s="54" t="str">
        <f t="shared" si="2"/>
        <v/>
      </c>
      <c r="O56" s="55">
        <f t="shared" si="3"/>
        <v>0</v>
      </c>
      <c r="P56" s="55">
        <f t="shared" si="4"/>
        <v>0</v>
      </c>
      <c r="Q56" s="54">
        <f t="shared" si="5"/>
        <v>0</v>
      </c>
      <c r="R56" s="47"/>
      <c r="T56" s="57"/>
      <c r="U56" s="45"/>
      <c r="V56" s="46">
        <f>IF(U56&lt;&gt;"",VLOOKUP(U56,'Tipo Projeto'!$A$3:$B$35,2,0),0)</f>
        <v>0</v>
      </c>
      <c r="W56" s="47"/>
      <c r="X56" s="49"/>
      <c r="Y56" s="50"/>
      <c r="Z56" s="51"/>
      <c r="AA56" s="52"/>
      <c r="AB56" s="53" t="str">
        <f t="shared" si="6"/>
        <v/>
      </c>
      <c r="AC56" s="48" t="str">
        <f t="shared" si="7"/>
        <v/>
      </c>
      <c r="AD56" s="54" t="str">
        <f t="shared" si="8"/>
        <v/>
      </c>
      <c r="AE56" s="55">
        <f t="shared" si="9"/>
        <v>0</v>
      </c>
      <c r="AF56" s="55">
        <f t="shared" si="10"/>
        <v>0</v>
      </c>
      <c r="AG56" s="58">
        <f t="shared" si="11"/>
        <v>0</v>
      </c>
      <c r="AH56" s="47"/>
      <c r="AJ56" s="47"/>
      <c r="AL56" s="47"/>
      <c r="AM56" s="47" t="str">
        <f t="shared" si="12"/>
        <v/>
      </c>
    </row>
    <row r="57" spans="1:39" s="56" customFormat="1" ht="24.75" customHeight="1">
      <c r="A57" s="44"/>
      <c r="B57" s="45"/>
      <c r="C57" s="46">
        <f>IF(B57&lt;&gt;"",VLOOKUP(B57,'Tipo Projeto'!$A$3:$B$35,2,0),0)</f>
        <v>0</v>
      </c>
      <c r="D57" s="47"/>
      <c r="E57" s="47"/>
      <c r="F57" s="48"/>
      <c r="G57" s="47"/>
      <c r="H57" s="49"/>
      <c r="I57" s="50"/>
      <c r="J57" s="51"/>
      <c r="K57" s="52"/>
      <c r="L57" s="53" t="str">
        <f t="shared" si="0"/>
        <v/>
      </c>
      <c r="M57" s="48" t="str">
        <f t="shared" si="1"/>
        <v/>
      </c>
      <c r="N57" s="54" t="str">
        <f t="shared" si="2"/>
        <v/>
      </c>
      <c r="O57" s="55">
        <f t="shared" si="3"/>
        <v>0</v>
      </c>
      <c r="P57" s="55">
        <f t="shared" si="4"/>
        <v>0</v>
      </c>
      <c r="Q57" s="54">
        <f t="shared" si="5"/>
        <v>0</v>
      </c>
      <c r="R57" s="47"/>
      <c r="T57" s="57"/>
      <c r="U57" s="45"/>
      <c r="V57" s="46">
        <f>IF(U57&lt;&gt;"",VLOOKUP(U57,'Tipo Projeto'!$A$3:$B$35,2,0),0)</f>
        <v>0</v>
      </c>
      <c r="W57" s="47"/>
      <c r="X57" s="49"/>
      <c r="Y57" s="50"/>
      <c r="Z57" s="51"/>
      <c r="AA57" s="52"/>
      <c r="AB57" s="53" t="str">
        <f t="shared" si="6"/>
        <v/>
      </c>
      <c r="AC57" s="48" t="str">
        <f t="shared" si="7"/>
        <v/>
      </c>
      <c r="AD57" s="54" t="str">
        <f t="shared" si="8"/>
        <v/>
      </c>
      <c r="AE57" s="55">
        <f t="shared" si="9"/>
        <v>0</v>
      </c>
      <c r="AF57" s="55">
        <f t="shared" si="10"/>
        <v>0</v>
      </c>
      <c r="AG57" s="58">
        <f t="shared" si="11"/>
        <v>0</v>
      </c>
      <c r="AH57" s="47"/>
      <c r="AJ57" s="47"/>
      <c r="AL57" s="47"/>
      <c r="AM57" s="47" t="str">
        <f t="shared" si="12"/>
        <v/>
      </c>
    </row>
    <row r="58" spans="1:39" s="56" customFormat="1" ht="24.75" customHeight="1">
      <c r="A58" s="44"/>
      <c r="B58" s="45"/>
      <c r="C58" s="46">
        <f>IF(B58&lt;&gt;"",VLOOKUP(B58,'Tipo Projeto'!$A$3:$B$35,2,0),0)</f>
        <v>0</v>
      </c>
      <c r="D58" s="47"/>
      <c r="E58" s="47"/>
      <c r="F58" s="48"/>
      <c r="G58" s="47"/>
      <c r="H58" s="49"/>
      <c r="I58" s="50"/>
      <c r="J58" s="51"/>
      <c r="K58" s="52"/>
      <c r="L58" s="53" t="str">
        <f t="shared" si="0"/>
        <v/>
      </c>
      <c r="M58" s="48" t="str">
        <f t="shared" si="1"/>
        <v/>
      </c>
      <c r="N58" s="54" t="str">
        <f t="shared" si="2"/>
        <v/>
      </c>
      <c r="O58" s="55">
        <f t="shared" si="3"/>
        <v>0</v>
      </c>
      <c r="P58" s="55">
        <f t="shared" si="4"/>
        <v>0</v>
      </c>
      <c r="Q58" s="54">
        <f t="shared" si="5"/>
        <v>0</v>
      </c>
      <c r="R58" s="47"/>
      <c r="T58" s="57"/>
      <c r="U58" s="45"/>
      <c r="V58" s="46">
        <f>IF(U58&lt;&gt;"",VLOOKUP(U58,'Tipo Projeto'!$A$3:$B$35,2,0),0)</f>
        <v>0</v>
      </c>
      <c r="W58" s="47"/>
      <c r="X58" s="49"/>
      <c r="Y58" s="50"/>
      <c r="Z58" s="51"/>
      <c r="AA58" s="52"/>
      <c r="AB58" s="53" t="str">
        <f t="shared" si="6"/>
        <v/>
      </c>
      <c r="AC58" s="48" t="str">
        <f t="shared" si="7"/>
        <v/>
      </c>
      <c r="AD58" s="54" t="str">
        <f t="shared" si="8"/>
        <v/>
      </c>
      <c r="AE58" s="55">
        <f t="shared" si="9"/>
        <v>0</v>
      </c>
      <c r="AF58" s="55">
        <f t="shared" si="10"/>
        <v>0</v>
      </c>
      <c r="AG58" s="58">
        <f t="shared" si="11"/>
        <v>0</v>
      </c>
      <c r="AH58" s="47"/>
      <c r="AJ58" s="47"/>
      <c r="AL58" s="47"/>
      <c r="AM58" s="47" t="str">
        <f t="shared" si="12"/>
        <v/>
      </c>
    </row>
    <row r="59" spans="1:39" s="56" customFormat="1" ht="24.75" customHeight="1">
      <c r="A59" s="44"/>
      <c r="B59" s="45"/>
      <c r="C59" s="46">
        <f>IF(B59&lt;&gt;"",VLOOKUP(B59,'Tipo Projeto'!$A$3:$B$35,2,0),0)</f>
        <v>0</v>
      </c>
      <c r="D59" s="47"/>
      <c r="E59" s="47"/>
      <c r="F59" s="48"/>
      <c r="G59" s="47"/>
      <c r="H59" s="49"/>
      <c r="I59" s="50"/>
      <c r="J59" s="51"/>
      <c r="K59" s="52"/>
      <c r="L59" s="53" t="str">
        <f t="shared" si="0"/>
        <v/>
      </c>
      <c r="M59" s="48" t="str">
        <f t="shared" si="1"/>
        <v/>
      </c>
      <c r="N59" s="54" t="str">
        <f t="shared" si="2"/>
        <v/>
      </c>
      <c r="O59" s="55">
        <f t="shared" si="3"/>
        <v>0</v>
      </c>
      <c r="P59" s="55">
        <f t="shared" si="4"/>
        <v>0</v>
      </c>
      <c r="Q59" s="54">
        <f t="shared" si="5"/>
        <v>0</v>
      </c>
      <c r="R59" s="47"/>
      <c r="T59" s="57"/>
      <c r="U59" s="45"/>
      <c r="V59" s="46">
        <f>IF(U59&lt;&gt;"",VLOOKUP(U59,'Tipo Projeto'!$A$3:$B$35,2,0),0)</f>
        <v>0</v>
      </c>
      <c r="W59" s="47"/>
      <c r="X59" s="49"/>
      <c r="Y59" s="50"/>
      <c r="Z59" s="51"/>
      <c r="AA59" s="52"/>
      <c r="AB59" s="53" t="str">
        <f t="shared" si="6"/>
        <v/>
      </c>
      <c r="AC59" s="48" t="str">
        <f t="shared" si="7"/>
        <v/>
      </c>
      <c r="AD59" s="54" t="str">
        <f t="shared" si="8"/>
        <v/>
      </c>
      <c r="AE59" s="55">
        <f t="shared" si="9"/>
        <v>0</v>
      </c>
      <c r="AF59" s="55">
        <f t="shared" si="10"/>
        <v>0</v>
      </c>
      <c r="AG59" s="58">
        <f t="shared" si="11"/>
        <v>0</v>
      </c>
      <c r="AH59" s="47"/>
      <c r="AJ59" s="47"/>
      <c r="AL59" s="47"/>
      <c r="AM59" s="47" t="str">
        <f t="shared" si="12"/>
        <v/>
      </c>
    </row>
    <row r="60" spans="1:39" s="56" customFormat="1" ht="24.75" customHeight="1">
      <c r="A60" s="44"/>
      <c r="B60" s="45"/>
      <c r="C60" s="46">
        <f>IF(B60&lt;&gt;"",VLOOKUP(B60,'Tipo Projeto'!$A$3:$B$35,2,0),0)</f>
        <v>0</v>
      </c>
      <c r="D60" s="47"/>
      <c r="E60" s="47"/>
      <c r="F60" s="48"/>
      <c r="G60" s="47"/>
      <c r="H60" s="49"/>
      <c r="I60" s="50"/>
      <c r="J60" s="51"/>
      <c r="K60" s="52"/>
      <c r="L60" s="53" t="str">
        <f t="shared" si="0"/>
        <v/>
      </c>
      <c r="M60" s="48" t="str">
        <f t="shared" si="1"/>
        <v/>
      </c>
      <c r="N60" s="54" t="str">
        <f t="shared" si="2"/>
        <v/>
      </c>
      <c r="O60" s="55">
        <f t="shared" si="3"/>
        <v>0</v>
      </c>
      <c r="P60" s="55">
        <f t="shared" si="4"/>
        <v>0</v>
      </c>
      <c r="Q60" s="54">
        <f t="shared" si="5"/>
        <v>0</v>
      </c>
      <c r="R60" s="47"/>
      <c r="T60" s="57"/>
      <c r="U60" s="45"/>
      <c r="V60" s="46">
        <f>IF(U60&lt;&gt;"",VLOOKUP(U60,'Tipo Projeto'!$A$3:$B$35,2,0),0)</f>
        <v>0</v>
      </c>
      <c r="W60" s="47"/>
      <c r="X60" s="49"/>
      <c r="Y60" s="50"/>
      <c r="Z60" s="51"/>
      <c r="AA60" s="52"/>
      <c r="AB60" s="53" t="str">
        <f t="shared" si="6"/>
        <v/>
      </c>
      <c r="AC60" s="48" t="str">
        <f t="shared" si="7"/>
        <v/>
      </c>
      <c r="AD60" s="54" t="str">
        <f t="shared" si="8"/>
        <v/>
      </c>
      <c r="AE60" s="55">
        <f t="shared" si="9"/>
        <v>0</v>
      </c>
      <c r="AF60" s="55">
        <f t="shared" si="10"/>
        <v>0</v>
      </c>
      <c r="AG60" s="58">
        <f t="shared" si="11"/>
        <v>0</v>
      </c>
      <c r="AH60" s="47"/>
      <c r="AJ60" s="47"/>
      <c r="AL60" s="47"/>
      <c r="AM60" s="47" t="str">
        <f t="shared" si="12"/>
        <v/>
      </c>
    </row>
    <row r="61" spans="1:39" s="56" customFormat="1" ht="24.75" customHeight="1">
      <c r="A61" s="44"/>
      <c r="B61" s="45"/>
      <c r="C61" s="46">
        <f>IF(B61&lt;&gt;"",VLOOKUP(B61,'Tipo Projeto'!$A$3:$B$35,2,0),0)</f>
        <v>0</v>
      </c>
      <c r="D61" s="47"/>
      <c r="E61" s="47"/>
      <c r="F61" s="48"/>
      <c r="G61" s="47"/>
      <c r="H61" s="49"/>
      <c r="I61" s="50"/>
      <c r="J61" s="51"/>
      <c r="K61" s="52"/>
      <c r="L61" s="53" t="str">
        <f t="shared" si="0"/>
        <v/>
      </c>
      <c r="M61" s="48" t="str">
        <f t="shared" si="1"/>
        <v/>
      </c>
      <c r="N61" s="54" t="str">
        <f t="shared" si="2"/>
        <v/>
      </c>
      <c r="O61" s="55">
        <f t="shared" si="3"/>
        <v>0</v>
      </c>
      <c r="P61" s="55">
        <f t="shared" si="4"/>
        <v>0</v>
      </c>
      <c r="Q61" s="54">
        <f t="shared" si="5"/>
        <v>0</v>
      </c>
      <c r="R61" s="47"/>
      <c r="T61" s="57"/>
      <c r="U61" s="45"/>
      <c r="V61" s="46">
        <f>IF(U61&lt;&gt;"",VLOOKUP(U61,'Tipo Projeto'!$A$3:$B$35,2,0),0)</f>
        <v>0</v>
      </c>
      <c r="W61" s="47"/>
      <c r="X61" s="49"/>
      <c r="Y61" s="50"/>
      <c r="Z61" s="51"/>
      <c r="AA61" s="52"/>
      <c r="AB61" s="53" t="str">
        <f t="shared" si="6"/>
        <v/>
      </c>
      <c r="AC61" s="48" t="str">
        <f t="shared" si="7"/>
        <v/>
      </c>
      <c r="AD61" s="54" t="str">
        <f t="shared" si="8"/>
        <v/>
      </c>
      <c r="AE61" s="55">
        <f t="shared" si="9"/>
        <v>0</v>
      </c>
      <c r="AF61" s="55">
        <f t="shared" si="10"/>
        <v>0</v>
      </c>
      <c r="AG61" s="58">
        <f t="shared" si="11"/>
        <v>0</v>
      </c>
      <c r="AH61" s="47"/>
      <c r="AJ61" s="47"/>
      <c r="AL61" s="47"/>
      <c r="AM61" s="47" t="str">
        <f t="shared" si="12"/>
        <v/>
      </c>
    </row>
    <row r="62" spans="1:39" s="56" customFormat="1" ht="24.75" customHeight="1">
      <c r="A62" s="44"/>
      <c r="B62" s="45"/>
      <c r="C62" s="46">
        <f>IF(B62&lt;&gt;"",VLOOKUP(B62,'Tipo Projeto'!$A$3:$B$35,2,0),0)</f>
        <v>0</v>
      </c>
      <c r="D62" s="47"/>
      <c r="E62" s="47"/>
      <c r="F62" s="48"/>
      <c r="G62" s="47"/>
      <c r="H62" s="49"/>
      <c r="I62" s="50"/>
      <c r="J62" s="51"/>
      <c r="K62" s="52"/>
      <c r="L62" s="53" t="str">
        <f t="shared" si="0"/>
        <v/>
      </c>
      <c r="M62" s="48" t="str">
        <f t="shared" si="1"/>
        <v/>
      </c>
      <c r="N62" s="54" t="str">
        <f t="shared" si="2"/>
        <v/>
      </c>
      <c r="O62" s="55">
        <f t="shared" si="3"/>
        <v>0</v>
      </c>
      <c r="P62" s="55">
        <f t="shared" si="4"/>
        <v>0</v>
      </c>
      <c r="Q62" s="54">
        <f t="shared" si="5"/>
        <v>0</v>
      </c>
      <c r="R62" s="47"/>
      <c r="T62" s="57"/>
      <c r="U62" s="45"/>
      <c r="V62" s="46">
        <f>IF(U62&lt;&gt;"",VLOOKUP(U62,'Tipo Projeto'!$A$3:$B$35,2,0),0)</f>
        <v>0</v>
      </c>
      <c r="W62" s="47"/>
      <c r="X62" s="49"/>
      <c r="Y62" s="50"/>
      <c r="Z62" s="51"/>
      <c r="AA62" s="52"/>
      <c r="AB62" s="53" t="str">
        <f t="shared" si="6"/>
        <v/>
      </c>
      <c r="AC62" s="48" t="str">
        <f t="shared" si="7"/>
        <v/>
      </c>
      <c r="AD62" s="54" t="str">
        <f t="shared" si="8"/>
        <v/>
      </c>
      <c r="AE62" s="55">
        <f t="shared" si="9"/>
        <v>0</v>
      </c>
      <c r="AF62" s="55">
        <f t="shared" si="10"/>
        <v>0</v>
      </c>
      <c r="AG62" s="58">
        <f t="shared" si="11"/>
        <v>0</v>
      </c>
      <c r="AH62" s="47"/>
      <c r="AJ62" s="47"/>
      <c r="AL62" s="47"/>
      <c r="AM62" s="47" t="str">
        <f t="shared" si="12"/>
        <v/>
      </c>
    </row>
    <row r="63" spans="1:39" s="56" customFormat="1" ht="24.75" customHeight="1">
      <c r="A63" s="44"/>
      <c r="B63" s="45"/>
      <c r="C63" s="46">
        <f>IF(B63&lt;&gt;"",VLOOKUP(B63,'Tipo Projeto'!$A$3:$B$35,2,0),0)</f>
        <v>0</v>
      </c>
      <c r="D63" s="47"/>
      <c r="E63" s="47"/>
      <c r="F63" s="48"/>
      <c r="G63" s="47"/>
      <c r="H63" s="49"/>
      <c r="I63" s="50"/>
      <c r="J63" s="51"/>
      <c r="K63" s="52"/>
      <c r="L63" s="53" t="str">
        <f t="shared" si="0"/>
        <v/>
      </c>
      <c r="M63" s="48" t="str">
        <f t="shared" si="1"/>
        <v/>
      </c>
      <c r="N63" s="54" t="str">
        <f t="shared" si="2"/>
        <v/>
      </c>
      <c r="O63" s="55">
        <f t="shared" si="3"/>
        <v>0</v>
      </c>
      <c r="P63" s="55">
        <f t="shared" si="4"/>
        <v>0</v>
      </c>
      <c r="Q63" s="54">
        <f t="shared" si="5"/>
        <v>0</v>
      </c>
      <c r="R63" s="47"/>
      <c r="T63" s="57"/>
      <c r="U63" s="45"/>
      <c r="V63" s="46">
        <f>IF(U63&lt;&gt;"",VLOOKUP(U63,'Tipo Projeto'!$A$3:$B$35,2,0),0)</f>
        <v>0</v>
      </c>
      <c r="W63" s="47"/>
      <c r="X63" s="49"/>
      <c r="Y63" s="50"/>
      <c r="Z63" s="51"/>
      <c r="AA63" s="52"/>
      <c r="AB63" s="53" t="str">
        <f t="shared" si="6"/>
        <v/>
      </c>
      <c r="AC63" s="48" t="str">
        <f t="shared" si="7"/>
        <v/>
      </c>
      <c r="AD63" s="54" t="str">
        <f t="shared" si="8"/>
        <v/>
      </c>
      <c r="AE63" s="55">
        <f t="shared" si="9"/>
        <v>0</v>
      </c>
      <c r="AF63" s="55">
        <f t="shared" si="10"/>
        <v>0</v>
      </c>
      <c r="AG63" s="58">
        <f t="shared" si="11"/>
        <v>0</v>
      </c>
      <c r="AH63" s="47"/>
      <c r="AJ63" s="47"/>
      <c r="AL63" s="47"/>
      <c r="AM63" s="47" t="str">
        <f t="shared" si="12"/>
        <v/>
      </c>
    </row>
    <row r="64" spans="1:39" s="56" customFormat="1" ht="24.75" customHeight="1">
      <c r="A64" s="44"/>
      <c r="B64" s="45"/>
      <c r="C64" s="46">
        <f>IF(B64&lt;&gt;"",VLOOKUP(B64,'Tipo Projeto'!$A$3:$B$35,2,0),0)</f>
        <v>0</v>
      </c>
      <c r="D64" s="47"/>
      <c r="E64" s="47"/>
      <c r="F64" s="48"/>
      <c r="G64" s="47"/>
      <c r="H64" s="49"/>
      <c r="I64" s="50"/>
      <c r="J64" s="51"/>
      <c r="K64" s="52"/>
      <c r="L64" s="53" t="str">
        <f t="shared" si="0"/>
        <v/>
      </c>
      <c r="M64" s="48" t="str">
        <f t="shared" si="1"/>
        <v/>
      </c>
      <c r="N64" s="54" t="str">
        <f t="shared" si="2"/>
        <v/>
      </c>
      <c r="O64" s="55">
        <f t="shared" si="3"/>
        <v>0</v>
      </c>
      <c r="P64" s="55">
        <f t="shared" si="4"/>
        <v>0</v>
      </c>
      <c r="Q64" s="54">
        <f t="shared" si="5"/>
        <v>0</v>
      </c>
      <c r="R64" s="47"/>
      <c r="T64" s="57"/>
      <c r="U64" s="45"/>
      <c r="V64" s="46">
        <f>IF(U64&lt;&gt;"",VLOOKUP(U64,'Tipo Projeto'!$A$3:$B$35,2,0),0)</f>
        <v>0</v>
      </c>
      <c r="W64" s="47"/>
      <c r="X64" s="49"/>
      <c r="Y64" s="50"/>
      <c r="Z64" s="51"/>
      <c r="AA64" s="52"/>
      <c r="AB64" s="53" t="str">
        <f t="shared" si="6"/>
        <v/>
      </c>
      <c r="AC64" s="48" t="str">
        <f t="shared" si="7"/>
        <v/>
      </c>
      <c r="AD64" s="54" t="str">
        <f t="shared" si="8"/>
        <v/>
      </c>
      <c r="AE64" s="55">
        <f t="shared" si="9"/>
        <v>0</v>
      </c>
      <c r="AF64" s="55">
        <f t="shared" si="10"/>
        <v>0</v>
      </c>
      <c r="AG64" s="58">
        <f t="shared" si="11"/>
        <v>0</v>
      </c>
      <c r="AH64" s="47"/>
      <c r="AJ64" s="47"/>
      <c r="AL64" s="47"/>
      <c r="AM64" s="47" t="str">
        <f t="shared" si="12"/>
        <v/>
      </c>
    </row>
    <row r="65" spans="1:39" s="56" customFormat="1" ht="24.75" customHeight="1">
      <c r="A65" s="44"/>
      <c r="B65" s="45"/>
      <c r="C65" s="46">
        <f>IF(B65&lt;&gt;"",VLOOKUP(B65,'Tipo Projeto'!$A$3:$B$35,2,0),0)</f>
        <v>0</v>
      </c>
      <c r="D65" s="47"/>
      <c r="E65" s="47"/>
      <c r="F65" s="48"/>
      <c r="G65" s="47"/>
      <c r="H65" s="49"/>
      <c r="I65" s="50"/>
      <c r="J65" s="51"/>
      <c r="K65" s="52"/>
      <c r="L65" s="53" t="str">
        <f t="shared" si="0"/>
        <v/>
      </c>
      <c r="M65" s="48" t="str">
        <f t="shared" si="1"/>
        <v/>
      </c>
      <c r="N65" s="54" t="str">
        <f t="shared" si="2"/>
        <v/>
      </c>
      <c r="O65" s="55">
        <f t="shared" si="3"/>
        <v>0</v>
      </c>
      <c r="P65" s="55">
        <f t="shared" si="4"/>
        <v>0</v>
      </c>
      <c r="Q65" s="54">
        <f t="shared" si="5"/>
        <v>0</v>
      </c>
      <c r="R65" s="47"/>
      <c r="T65" s="57"/>
      <c r="U65" s="45"/>
      <c r="V65" s="46">
        <f>IF(U65&lt;&gt;"",VLOOKUP(U65,'Tipo Projeto'!$A$3:$B$35,2,0),0)</f>
        <v>0</v>
      </c>
      <c r="W65" s="47"/>
      <c r="X65" s="49"/>
      <c r="Y65" s="50"/>
      <c r="Z65" s="51"/>
      <c r="AA65" s="52"/>
      <c r="AB65" s="53" t="str">
        <f t="shared" si="6"/>
        <v/>
      </c>
      <c r="AC65" s="48" t="str">
        <f t="shared" si="7"/>
        <v/>
      </c>
      <c r="AD65" s="54" t="str">
        <f t="shared" si="8"/>
        <v/>
      </c>
      <c r="AE65" s="55">
        <f t="shared" si="9"/>
        <v>0</v>
      </c>
      <c r="AF65" s="55">
        <f t="shared" si="10"/>
        <v>0</v>
      </c>
      <c r="AG65" s="58">
        <f t="shared" si="11"/>
        <v>0</v>
      </c>
      <c r="AH65" s="47"/>
      <c r="AJ65" s="47"/>
      <c r="AL65" s="47"/>
      <c r="AM65" s="47" t="str">
        <f t="shared" si="12"/>
        <v/>
      </c>
    </row>
    <row r="66" spans="1:39" s="56" customFormat="1" ht="24.75" customHeight="1">
      <c r="A66" s="44"/>
      <c r="B66" s="45"/>
      <c r="C66" s="46">
        <f>IF(B66&lt;&gt;"",VLOOKUP(B66,'Tipo Projeto'!$A$3:$B$35,2,0),0)</f>
        <v>0</v>
      </c>
      <c r="D66" s="47"/>
      <c r="E66" s="47"/>
      <c r="F66" s="48"/>
      <c r="G66" s="47"/>
      <c r="H66" s="49"/>
      <c r="I66" s="50"/>
      <c r="J66" s="51"/>
      <c r="K66" s="52"/>
      <c r="L66" s="53" t="str">
        <f t="shared" si="0"/>
        <v/>
      </c>
      <c r="M66" s="48" t="str">
        <f t="shared" si="1"/>
        <v/>
      </c>
      <c r="N66" s="54" t="str">
        <f t="shared" si="2"/>
        <v/>
      </c>
      <c r="O66" s="55">
        <f t="shared" si="3"/>
        <v>0</v>
      </c>
      <c r="P66" s="55">
        <f t="shared" si="4"/>
        <v>0</v>
      </c>
      <c r="Q66" s="54">
        <f t="shared" si="5"/>
        <v>0</v>
      </c>
      <c r="R66" s="47"/>
      <c r="T66" s="57"/>
      <c r="U66" s="45"/>
      <c r="V66" s="46">
        <f>IF(U66&lt;&gt;"",VLOOKUP(U66,'Tipo Projeto'!$A$3:$B$35,2,0),0)</f>
        <v>0</v>
      </c>
      <c r="W66" s="47"/>
      <c r="X66" s="49"/>
      <c r="Y66" s="50"/>
      <c r="Z66" s="51"/>
      <c r="AA66" s="52"/>
      <c r="AB66" s="53" t="str">
        <f t="shared" si="6"/>
        <v/>
      </c>
      <c r="AC66" s="48" t="str">
        <f t="shared" si="7"/>
        <v/>
      </c>
      <c r="AD66" s="54" t="str">
        <f t="shared" si="8"/>
        <v/>
      </c>
      <c r="AE66" s="55">
        <f t="shared" si="9"/>
        <v>0</v>
      </c>
      <c r="AF66" s="55">
        <f t="shared" si="10"/>
        <v>0</v>
      </c>
      <c r="AG66" s="58">
        <f t="shared" si="11"/>
        <v>0</v>
      </c>
      <c r="AH66" s="47"/>
      <c r="AJ66" s="47"/>
      <c r="AL66" s="47"/>
      <c r="AM66" s="47" t="str">
        <f t="shared" si="12"/>
        <v/>
      </c>
    </row>
    <row r="67" spans="1:39" s="56" customFormat="1" ht="24.75" customHeight="1">
      <c r="A67" s="44"/>
      <c r="B67" s="45"/>
      <c r="C67" s="46">
        <f>IF(B67&lt;&gt;"",VLOOKUP(B67,'Tipo Projeto'!$A$3:$B$35,2,0),0)</f>
        <v>0</v>
      </c>
      <c r="D67" s="47"/>
      <c r="E67" s="47"/>
      <c r="F67" s="48"/>
      <c r="G67" s="47"/>
      <c r="H67" s="49"/>
      <c r="I67" s="50"/>
      <c r="J67" s="51"/>
      <c r="K67" s="52"/>
      <c r="L67" s="53" t="str">
        <f t="shared" si="0"/>
        <v/>
      </c>
      <c r="M67" s="48" t="str">
        <f t="shared" si="1"/>
        <v/>
      </c>
      <c r="N67" s="54" t="str">
        <f t="shared" si="2"/>
        <v/>
      </c>
      <c r="O67" s="55">
        <f t="shared" si="3"/>
        <v>0</v>
      </c>
      <c r="P67" s="55">
        <f t="shared" si="4"/>
        <v>0</v>
      </c>
      <c r="Q67" s="54">
        <f t="shared" si="5"/>
        <v>0</v>
      </c>
      <c r="R67" s="47"/>
      <c r="T67" s="57"/>
      <c r="U67" s="45"/>
      <c r="V67" s="46">
        <f>IF(U67&lt;&gt;"",VLOOKUP(U67,'Tipo Projeto'!$A$3:$B$35,2,0),0)</f>
        <v>0</v>
      </c>
      <c r="W67" s="47"/>
      <c r="X67" s="49"/>
      <c r="Y67" s="50"/>
      <c r="Z67" s="51"/>
      <c r="AA67" s="52"/>
      <c r="AB67" s="53" t="str">
        <f t="shared" si="6"/>
        <v/>
      </c>
      <c r="AC67" s="48" t="str">
        <f t="shared" si="7"/>
        <v/>
      </c>
      <c r="AD67" s="54" t="str">
        <f t="shared" si="8"/>
        <v/>
      </c>
      <c r="AE67" s="55">
        <f t="shared" si="9"/>
        <v>0</v>
      </c>
      <c r="AF67" s="55">
        <f t="shared" si="10"/>
        <v>0</v>
      </c>
      <c r="AG67" s="58">
        <f t="shared" si="11"/>
        <v>0</v>
      </c>
      <c r="AH67" s="47"/>
      <c r="AJ67" s="47"/>
      <c r="AL67" s="47"/>
      <c r="AM67" s="47" t="str">
        <f t="shared" si="12"/>
        <v/>
      </c>
    </row>
    <row r="68" spans="1:39" s="56" customFormat="1" ht="24.75" customHeight="1">
      <c r="A68" s="44"/>
      <c r="B68" s="45"/>
      <c r="C68" s="46">
        <f>IF(B68&lt;&gt;"",VLOOKUP(B68,'Tipo Projeto'!$A$3:$B$35,2,0),0)</f>
        <v>0</v>
      </c>
      <c r="D68" s="47"/>
      <c r="E68" s="47"/>
      <c r="F68" s="48"/>
      <c r="G68" s="47"/>
      <c r="H68" s="49"/>
      <c r="I68" s="50"/>
      <c r="J68" s="51"/>
      <c r="K68" s="52"/>
      <c r="L68" s="53" t="str">
        <f t="shared" si="0"/>
        <v/>
      </c>
      <c r="M68" s="48" t="str">
        <f t="shared" si="1"/>
        <v/>
      </c>
      <c r="N68" s="54" t="str">
        <f t="shared" si="2"/>
        <v/>
      </c>
      <c r="O68" s="55">
        <f t="shared" si="3"/>
        <v>0</v>
      </c>
      <c r="P68" s="55">
        <f t="shared" si="4"/>
        <v>0</v>
      </c>
      <c r="Q68" s="54">
        <f t="shared" si="5"/>
        <v>0</v>
      </c>
      <c r="R68" s="47"/>
      <c r="T68" s="57"/>
      <c r="U68" s="45"/>
      <c r="V68" s="46">
        <f>IF(U68&lt;&gt;"",VLOOKUP(U68,'Tipo Projeto'!$A$3:$B$35,2,0),0)</f>
        <v>0</v>
      </c>
      <c r="W68" s="47"/>
      <c r="X68" s="49"/>
      <c r="Y68" s="50"/>
      <c r="Z68" s="51"/>
      <c r="AA68" s="52"/>
      <c r="AB68" s="53" t="str">
        <f t="shared" si="6"/>
        <v/>
      </c>
      <c r="AC68" s="48" t="str">
        <f t="shared" si="7"/>
        <v/>
      </c>
      <c r="AD68" s="54" t="str">
        <f t="shared" si="8"/>
        <v/>
      </c>
      <c r="AE68" s="55">
        <f t="shared" si="9"/>
        <v>0</v>
      </c>
      <c r="AF68" s="55">
        <f t="shared" si="10"/>
        <v>0</v>
      </c>
      <c r="AG68" s="58">
        <f t="shared" si="11"/>
        <v>0</v>
      </c>
      <c r="AH68" s="47"/>
      <c r="AJ68" s="47"/>
      <c r="AL68" s="47"/>
      <c r="AM68" s="47" t="str">
        <f t="shared" si="12"/>
        <v/>
      </c>
    </row>
    <row r="69" spans="1:39" s="56" customFormat="1" ht="24.75" customHeight="1">
      <c r="A69" s="44"/>
      <c r="B69" s="45"/>
      <c r="C69" s="46">
        <f>IF(B69&lt;&gt;"",VLOOKUP(B69,'Tipo Projeto'!$A$3:$B$35,2,0),0)</f>
        <v>0</v>
      </c>
      <c r="D69" s="47"/>
      <c r="E69" s="47"/>
      <c r="F69" s="48"/>
      <c r="G69" s="47"/>
      <c r="H69" s="49"/>
      <c r="I69" s="50"/>
      <c r="J69" s="51"/>
      <c r="K69" s="52"/>
      <c r="L69" s="53" t="str">
        <f t="shared" si="0"/>
        <v/>
      </c>
      <c r="M69" s="48" t="str">
        <f t="shared" si="1"/>
        <v/>
      </c>
      <c r="N69" s="54" t="str">
        <f t="shared" si="2"/>
        <v/>
      </c>
      <c r="O69" s="55">
        <f t="shared" si="3"/>
        <v>0</v>
      </c>
      <c r="P69" s="55">
        <f t="shared" si="4"/>
        <v>0</v>
      </c>
      <c r="Q69" s="54">
        <f t="shared" si="5"/>
        <v>0</v>
      </c>
      <c r="R69" s="47"/>
      <c r="T69" s="57"/>
      <c r="U69" s="45"/>
      <c r="V69" s="46">
        <f>IF(U69&lt;&gt;"",VLOOKUP(U69,'Tipo Projeto'!$A$3:$B$35,2,0),0)</f>
        <v>0</v>
      </c>
      <c r="W69" s="47"/>
      <c r="X69" s="49"/>
      <c r="Y69" s="50"/>
      <c r="Z69" s="51"/>
      <c r="AA69" s="52"/>
      <c r="AB69" s="53" t="str">
        <f t="shared" si="6"/>
        <v/>
      </c>
      <c r="AC69" s="48" t="str">
        <f t="shared" si="7"/>
        <v/>
      </c>
      <c r="AD69" s="54" t="str">
        <f t="shared" si="8"/>
        <v/>
      </c>
      <c r="AE69" s="55">
        <f t="shared" si="9"/>
        <v>0</v>
      </c>
      <c r="AF69" s="55">
        <f t="shared" si="10"/>
        <v>0</v>
      </c>
      <c r="AG69" s="58">
        <f t="shared" si="11"/>
        <v>0</v>
      </c>
      <c r="AH69" s="47"/>
      <c r="AJ69" s="47"/>
      <c r="AL69" s="47"/>
      <c r="AM69" s="47" t="str">
        <f t="shared" si="12"/>
        <v/>
      </c>
    </row>
    <row r="70" spans="1:39" s="56" customFormat="1" ht="24.75" customHeight="1">
      <c r="A70" s="44"/>
      <c r="B70" s="45"/>
      <c r="C70" s="46">
        <f>IF(B70&lt;&gt;"",VLOOKUP(B70,'Tipo Projeto'!$A$3:$B$35,2,0),0)</f>
        <v>0</v>
      </c>
      <c r="D70" s="47"/>
      <c r="E70" s="47"/>
      <c r="F70" s="48"/>
      <c r="G70" s="47"/>
      <c r="H70" s="49"/>
      <c r="I70" s="50"/>
      <c r="J70" s="51"/>
      <c r="K70" s="52"/>
      <c r="L70" s="53" t="str">
        <f t="shared" si="0"/>
        <v/>
      </c>
      <c r="M70" s="48" t="str">
        <f t="shared" si="1"/>
        <v/>
      </c>
      <c r="N70" s="54" t="str">
        <f t="shared" si="2"/>
        <v/>
      </c>
      <c r="O70" s="55">
        <f t="shared" si="3"/>
        <v>0</v>
      </c>
      <c r="P70" s="55">
        <f t="shared" si="4"/>
        <v>0</v>
      </c>
      <c r="Q70" s="54">
        <f t="shared" si="5"/>
        <v>0</v>
      </c>
      <c r="R70" s="47"/>
      <c r="T70" s="57"/>
      <c r="U70" s="45"/>
      <c r="V70" s="46">
        <f>IF(U70&lt;&gt;"",VLOOKUP(U70,'Tipo Projeto'!$A$3:$B$35,2,0),0)</f>
        <v>0</v>
      </c>
      <c r="W70" s="47"/>
      <c r="X70" s="49"/>
      <c r="Y70" s="50"/>
      <c r="Z70" s="51"/>
      <c r="AA70" s="52"/>
      <c r="AB70" s="53" t="str">
        <f t="shared" si="6"/>
        <v/>
      </c>
      <c r="AC70" s="48" t="str">
        <f t="shared" si="7"/>
        <v/>
      </c>
      <c r="AD70" s="54" t="str">
        <f t="shared" si="8"/>
        <v/>
      </c>
      <c r="AE70" s="55">
        <f t="shared" si="9"/>
        <v>0</v>
      </c>
      <c r="AF70" s="55">
        <f t="shared" si="10"/>
        <v>0</v>
      </c>
      <c r="AG70" s="58">
        <f t="shared" si="11"/>
        <v>0</v>
      </c>
      <c r="AH70" s="47"/>
      <c r="AJ70" s="47"/>
      <c r="AL70" s="47"/>
      <c r="AM70" s="47" t="str">
        <f t="shared" si="12"/>
        <v/>
      </c>
    </row>
    <row r="71" spans="1:39" s="56" customFormat="1" ht="24.75" customHeight="1">
      <c r="A71" s="44"/>
      <c r="B71" s="45"/>
      <c r="C71" s="46">
        <f>IF(B71&lt;&gt;"",VLOOKUP(B71,'Tipo Projeto'!$A$3:$B$35,2,0),0)</f>
        <v>0</v>
      </c>
      <c r="D71" s="47"/>
      <c r="E71" s="47"/>
      <c r="F71" s="48"/>
      <c r="G71" s="47"/>
      <c r="H71" s="49"/>
      <c r="I71" s="50"/>
      <c r="J71" s="51"/>
      <c r="K71" s="52"/>
      <c r="L71" s="53" t="str">
        <f t="shared" si="0"/>
        <v/>
      </c>
      <c r="M71" s="48" t="str">
        <f t="shared" si="1"/>
        <v/>
      </c>
      <c r="N71" s="54" t="str">
        <f t="shared" si="2"/>
        <v/>
      </c>
      <c r="O71" s="55">
        <f t="shared" si="3"/>
        <v>0</v>
      </c>
      <c r="P71" s="55">
        <f t="shared" si="4"/>
        <v>0</v>
      </c>
      <c r="Q71" s="54">
        <f t="shared" si="5"/>
        <v>0</v>
      </c>
      <c r="R71" s="47"/>
      <c r="T71" s="57"/>
      <c r="U71" s="45"/>
      <c r="V71" s="46">
        <f>IF(U71&lt;&gt;"",VLOOKUP(U71,'Tipo Projeto'!$A$3:$B$35,2,0),0)</f>
        <v>0</v>
      </c>
      <c r="W71" s="47"/>
      <c r="X71" s="49"/>
      <c r="Y71" s="50"/>
      <c r="Z71" s="51"/>
      <c r="AA71" s="52"/>
      <c r="AB71" s="53" t="str">
        <f t="shared" si="6"/>
        <v/>
      </c>
      <c r="AC71" s="48" t="str">
        <f t="shared" si="7"/>
        <v/>
      </c>
      <c r="AD71" s="54" t="str">
        <f t="shared" si="8"/>
        <v/>
      </c>
      <c r="AE71" s="55">
        <f t="shared" si="9"/>
        <v>0</v>
      </c>
      <c r="AF71" s="55">
        <f t="shared" si="10"/>
        <v>0</v>
      </c>
      <c r="AG71" s="58">
        <f t="shared" si="11"/>
        <v>0</v>
      </c>
      <c r="AH71" s="47"/>
      <c r="AJ71" s="47"/>
      <c r="AL71" s="47"/>
      <c r="AM71" s="47" t="str">
        <f t="shared" si="12"/>
        <v/>
      </c>
    </row>
    <row r="72" spans="1:39" s="56" customFormat="1" ht="24.75" customHeight="1">
      <c r="A72" s="44"/>
      <c r="B72" s="45"/>
      <c r="C72" s="46">
        <f>IF(B72&lt;&gt;"",VLOOKUP(B72,'Tipo Projeto'!$A$3:$B$35,2,0),0)</f>
        <v>0</v>
      </c>
      <c r="D72" s="47"/>
      <c r="E72" s="47"/>
      <c r="F72" s="48"/>
      <c r="G72" s="47"/>
      <c r="H72" s="49"/>
      <c r="I72" s="50"/>
      <c r="J72" s="51"/>
      <c r="K72" s="52"/>
      <c r="L72" s="53" t="str">
        <f t="shared" si="0"/>
        <v/>
      </c>
      <c r="M72" s="48" t="str">
        <f t="shared" si="1"/>
        <v/>
      </c>
      <c r="N72" s="54" t="str">
        <f t="shared" si="2"/>
        <v/>
      </c>
      <c r="O72" s="55">
        <f t="shared" si="3"/>
        <v>0</v>
      </c>
      <c r="P72" s="55">
        <f t="shared" si="4"/>
        <v>0</v>
      </c>
      <c r="Q72" s="54">
        <f t="shared" si="5"/>
        <v>0</v>
      </c>
      <c r="R72" s="47"/>
      <c r="T72" s="57"/>
      <c r="U72" s="45"/>
      <c r="V72" s="46">
        <f>IF(U72&lt;&gt;"",VLOOKUP(U72,'Tipo Projeto'!$A$3:$B$35,2,0),0)</f>
        <v>0</v>
      </c>
      <c r="W72" s="47"/>
      <c r="X72" s="49"/>
      <c r="Y72" s="50"/>
      <c r="Z72" s="51"/>
      <c r="AA72" s="52"/>
      <c r="AB72" s="53" t="str">
        <f t="shared" si="6"/>
        <v/>
      </c>
      <c r="AC72" s="48" t="str">
        <f t="shared" si="7"/>
        <v/>
      </c>
      <c r="AD72" s="54" t="str">
        <f t="shared" si="8"/>
        <v/>
      </c>
      <c r="AE72" s="55">
        <f t="shared" si="9"/>
        <v>0</v>
      </c>
      <c r="AF72" s="55">
        <f t="shared" si="10"/>
        <v>0</v>
      </c>
      <c r="AG72" s="58">
        <f t="shared" si="11"/>
        <v>0</v>
      </c>
      <c r="AH72" s="47"/>
      <c r="AJ72" s="47"/>
      <c r="AL72" s="47"/>
      <c r="AM72" s="47" t="str">
        <f t="shared" si="12"/>
        <v/>
      </c>
    </row>
    <row r="73" spans="1:39" s="56" customFormat="1" ht="24.75" customHeight="1">
      <c r="A73" s="44"/>
      <c r="B73" s="45"/>
      <c r="C73" s="46">
        <f>IF(B73&lt;&gt;"",VLOOKUP(B73,'Tipo Projeto'!$A$3:$B$35,2,0),0)</f>
        <v>0</v>
      </c>
      <c r="D73" s="47"/>
      <c r="E73" s="47"/>
      <c r="F73" s="48"/>
      <c r="G73" s="47"/>
      <c r="H73" s="49"/>
      <c r="I73" s="50"/>
      <c r="J73" s="51"/>
      <c r="K73" s="52"/>
      <c r="L73" s="53" t="str">
        <f t="shared" si="0"/>
        <v/>
      </c>
      <c r="M73" s="48" t="str">
        <f t="shared" si="1"/>
        <v/>
      </c>
      <c r="N73" s="54" t="str">
        <f t="shared" si="2"/>
        <v/>
      </c>
      <c r="O73" s="55">
        <f t="shared" si="3"/>
        <v>0</v>
      </c>
      <c r="P73" s="55">
        <f t="shared" si="4"/>
        <v>0</v>
      </c>
      <c r="Q73" s="54">
        <f t="shared" si="5"/>
        <v>0</v>
      </c>
      <c r="R73" s="47"/>
      <c r="T73" s="57"/>
      <c r="U73" s="45"/>
      <c r="V73" s="46">
        <f>IF(U73&lt;&gt;"",VLOOKUP(U73,'Tipo Projeto'!$A$3:$B$35,2,0),0)</f>
        <v>0</v>
      </c>
      <c r="W73" s="47"/>
      <c r="X73" s="49"/>
      <c r="Y73" s="50"/>
      <c r="Z73" s="51"/>
      <c r="AA73" s="52"/>
      <c r="AB73" s="53" t="str">
        <f t="shared" si="6"/>
        <v/>
      </c>
      <c r="AC73" s="48" t="str">
        <f t="shared" si="7"/>
        <v/>
      </c>
      <c r="AD73" s="54" t="str">
        <f t="shared" si="8"/>
        <v/>
      </c>
      <c r="AE73" s="55">
        <f t="shared" si="9"/>
        <v>0</v>
      </c>
      <c r="AF73" s="55">
        <f t="shared" si="10"/>
        <v>0</v>
      </c>
      <c r="AG73" s="58">
        <f t="shared" si="11"/>
        <v>0</v>
      </c>
      <c r="AH73" s="47"/>
      <c r="AJ73" s="47"/>
      <c r="AL73" s="47"/>
      <c r="AM73" s="47" t="str">
        <f t="shared" si="12"/>
        <v/>
      </c>
    </row>
    <row r="74" spans="1:39" s="56" customFormat="1" ht="24.75" customHeight="1">
      <c r="A74" s="44"/>
      <c r="B74" s="45"/>
      <c r="C74" s="46">
        <f>IF(B74&lt;&gt;"",VLOOKUP(B74,'Tipo Projeto'!$A$3:$B$35,2,0),0)</f>
        <v>0</v>
      </c>
      <c r="D74" s="47"/>
      <c r="E74" s="47"/>
      <c r="F74" s="48"/>
      <c r="G74" s="47"/>
      <c r="H74" s="49"/>
      <c r="I74" s="50"/>
      <c r="J74" s="51"/>
      <c r="K74" s="52"/>
      <c r="L74" s="53" t="str">
        <f t="shared" ref="L74:L137" si="13">IF(G74="EE",IF(OR(AND(OR(J74=1,J74=0),H74&gt;0,H74&lt;5),AND(OR(J74=1,J74=0),H74&gt;4,H74&lt;16),AND(J74=2,H74&gt;0,H74&lt;5)),"Simples",IF(OR(AND(OR(J74=1,J74=0),H74&gt;15),AND(J74=2,H74&gt;4,H74&lt;16),AND(J74&gt;2,H74&gt;0,H74&lt;5)),"Médio",IF(OR(AND(J74=2,H74&gt;15),AND(J74&gt;2,H74&gt;4,H74&lt;16),AND(J74&gt;2,H74&gt;15)),"Complexo",""))), IF(OR(G74="CE",G74="SE"),IF(OR(AND(OR(J74=1,J74=0),H74&gt;0,H74&lt;6),AND(OR(J74=1,J74=0),H74&gt;5,H74&lt;20),AND(J74&gt;1,J74&lt;4,H74&gt;0,H74&lt;6)),"Simples",IF(OR(AND(OR(J74=1,J74=0),H74&gt;19),AND(J74&gt;1,J74&lt;4,H74&gt;5,H74&lt;20),AND(J74&gt;3,H74&gt;0,H74&lt;6)),"Médio",IF(OR(AND(J74&gt;1,J74&lt;4,H74&gt;19),AND(J74&gt;3,H74&gt;5,H74&lt;20),AND(J74&gt;3,H74&gt;19)),"Complexo",""))),""))</f>
        <v/>
      </c>
      <c r="M74" s="48" t="str">
        <f t="shared" ref="M74:M137" si="14">IF(G74="ALI",IF(OR(AND(OR(J74=1,J74=0),H74&gt;0,H74&lt;20),AND(OR(J74=1,J74=0),H74&gt;19,H74&lt;51),AND(J74&gt;1,J74&lt;6,H74&gt;0,H74&lt;20)),"Simples",IF(OR(AND(OR(J74=1,J74=0),H74&gt;50),AND(J74&gt;1,J74&lt;6,H74&gt;19,H74&lt;51),AND(J74&gt;5,H74&gt;0,H74&lt;20)),"Médio",IF(OR(AND(J74&gt;1,J74&lt;6,H74&gt;50),AND(J74&gt;5,H74&gt;19,H74&lt;51),AND(J74&gt;5,H74&gt;50)),"Complexo",""))), IF(G74="AIE",IF(OR(AND(OR(J74=1, J74=0),H74&gt;0,H74&lt;20),AND(OR(J74=1, J74=0),H74&gt;19,H74&lt;51),AND(J74&gt;1,J74&lt;6,H74&gt;0,H74&lt;20)),"Simples",IF(OR(AND(OR(J74=1, J74=0),H74&gt;50),AND(J74&gt;1,J74&lt;6,H74&gt;19,H74&lt;51),AND(J74&gt;5,H74&gt;0,H74&lt;20)),"Médio",IF(OR(AND(J74&gt;1,J74&lt;6,H74&gt;50),AND(J74&gt;5,H74&gt;19,H74&lt;51),AND(J74&gt;5,H74&gt;50)),"Complexo",""))),""))</f>
        <v/>
      </c>
      <c r="N74" s="54" t="str">
        <f t="shared" ref="N74:N137" si="15">IF(L74="",M74,IF(M74="",L74,""))</f>
        <v/>
      </c>
      <c r="O74" s="55">
        <f t="shared" ref="O74:O137" si="16">IF(AND(OR(G74="EE",G74="CE"),N74="Simples"),3, IF(AND(OR(G74="EE",G74="CE"),N74="Médio"),4, IF(AND(OR(G74="EE",G74="CE"),N74="Complexo"),6, IF(AND(G74="SE",N74="Simples"),4, IF(AND(G74="SE",N74="Médio"),5, IF(AND(G74="SE",N74="Complexo"),7,0))))))</f>
        <v>0</v>
      </c>
      <c r="P74" s="55">
        <f t="shared" ref="P74:P137" si="17">IF(AND(G74="ALI",M74="Simples"),7, IF(AND(G74="ALI",M74="Médio"),10, IF(AND(G74="ALI",M74="Complexo"),15, IF(AND(G74="AIE",M74="Simples"),5, IF(AND(G74="AIE",M74="Médio"),7, IF(AND(G74="AIE",M74="Complexo"),10,0))))))</f>
        <v>0</v>
      </c>
      <c r="Q74" s="54">
        <f t="shared" ref="Q74:Q137" si="18">IF(B74&lt;&gt;"Manutenção em interface",IF(B74&lt;&gt;"Desenv., Manutenção e Publicação de Páginas Estáticas",(O74+P74)*C74,C74),C74)</f>
        <v>0</v>
      </c>
      <c r="R74" s="47"/>
      <c r="T74" s="57"/>
      <c r="U74" s="45"/>
      <c r="V74" s="46">
        <f>IF(U74&lt;&gt;"",VLOOKUP(U74,'Tipo Projeto'!$A$3:$B$35,2,0),0)</f>
        <v>0</v>
      </c>
      <c r="W74" s="47"/>
      <c r="X74" s="49"/>
      <c r="Y74" s="50"/>
      <c r="Z74" s="51"/>
      <c r="AA74" s="52"/>
      <c r="AB74" s="53" t="str">
        <f t="shared" ref="AB74:AB137" si="19">IF(W74="EE",IF(OR(AND(OR(Z74=1,Z74=0),X74&gt;0,X74&lt;5),AND(OR(Z74=1,Z74=0),X74&gt;4,X74&lt;16),AND(Z74=2,X74&gt;0,X74&lt;5)),"Simples",IF(OR(AND(OR(Z74=1,Z74=0),X74&gt;15),AND(Z74=2,X74&gt;4,X74&lt;16),AND(Z74&gt;2,X74&gt;0,X74&lt;5)),"Médio",IF(OR(AND(Z74=2,X74&gt;15),AND(Z74&gt;2,X74&gt;4,X74&lt;16),AND(Z74&gt;2,X74&gt;15)),"Complexo",""))), IF(OR(W74="CE",W74="SE"),IF(OR(AND(OR(Z74=1,Z74=0),X74&gt;0,X74&lt;6),AND(OR(Z74=1,Z74=0),X74&gt;5,X74&lt;20),AND(Z74&gt;1,Z74&lt;4,X74&gt;0,X74&lt;6)),"Simples",IF(OR(AND(OR(Z74=1,Z74=0),X74&gt;19),AND(Z74&gt;1,Z74&lt;4,X74&gt;5,X74&lt;20),AND(Z74&gt;3,X74&gt;0,X74&lt;6)),"Médio",IF(OR(AND(Z74&gt;1,Z74&lt;4,X74&gt;19),AND(Z74&gt;3,X74&gt;5,X74&lt;20),AND(Z74&gt;3,X74&gt;19)),"Complexo",""))),""))</f>
        <v/>
      </c>
      <c r="AC74" s="48" t="str">
        <f t="shared" ref="AC74:AC137" si="20">IF(W74="ALI",IF(OR(AND(OR(Z74=1,Z74=0),X74&gt;0,X74&lt;20),AND(OR(Z74=1,Z74=0),X74&gt;19,X74&lt;51),AND(Z74&gt;1,Z74&lt;6,X74&gt;0,X74&lt;20)),"Simples",IF(OR(AND(OR(Z74=1,Z74=0),X74&gt;50),AND(Z74&gt;1,Z74&lt;6,X74&gt;19,X74&lt;51),AND(Z74&gt;5,X74&gt;0,X74&lt;20)),"Médio",IF(OR(AND(Z74&gt;1,Z74&lt;6,X74&gt;50),AND(Z74&gt;5,X74&gt;19,X74&lt;51),AND(Z74&gt;5,X74&gt;50)),"Complexo",""))), IF(W74="AIE",IF(OR(AND(OR(Z74=1, Z74=0),X74&gt;0,X74&lt;20),AND(OR(Z74=1, Z74=0),X74&gt;19,X74&lt;51),AND(Z74&gt;1,Z74&lt;6,X74&gt;0,X74&lt;20)),"Simples",IF(OR(AND(OR(Z74=1, Z74=0),X74&gt;50),AND(Z74&gt;1,Z74&lt;6,X74&gt;19,X74&lt;51),AND(Z74&gt;5,X74&gt;0,X74&lt;20)),"Médio",IF(OR(AND(Z74&gt;1,Z74&lt;6,X74&gt;50),AND(Z74&gt;5,X74&gt;19,X74&lt;51),AND(Z74&gt;5,X74&gt;50)),"Complexo",""))),""))</f>
        <v/>
      </c>
      <c r="AD74" s="54" t="str">
        <f t="shared" ref="AD74:AD137" si="21">IF(AB74="",AC74,IF(AC74="",AB74,""))</f>
        <v/>
      </c>
      <c r="AE74" s="55">
        <f t="shared" ref="AE74:AE137" si="22">IF(AND(OR(W74="EE",W74="CE"),AD74="Simples"),3, IF(AND(OR(W74="EE",W74="CE"),AD74="Médio"),4, IF(AND(OR(W74="EE",W74="CE"),AD74="Complexo"),6, IF(AND(W74="SE",AD74="Simples"),4, IF(AND(W74="SE",AD74="Médio"),5, IF(AND(W74="SE",AD74="Complexo"),7,0))))))</f>
        <v>0</v>
      </c>
      <c r="AF74" s="55">
        <f t="shared" ref="AF74:AF137" si="23">IF(AND(W74="ALI",AC74="Simples"),7, IF(AND(W74="ALI",AC74="Médio"),10, IF(AND(W74="ALI",AC74="Complexo"),15, IF(AND(W74="AIE",AC74="Simples"),5, IF(AND(W74="AIE",AC74="Médio"),7, IF(AND(W74="AIE",AC74="Complexo"),10,0))))))</f>
        <v>0</v>
      </c>
      <c r="AG74" s="58">
        <f t="shared" ref="AG74:AG137" si="24">IF(T74="OK",Q74,( IF(U74&lt;&gt;"Manutenção em interface",IF(U74&lt;&gt;"Desenv., Manutenção e Publicação de Páginas Estáticas",(AE74+AF74)*V74,V74),V74)))</f>
        <v>0</v>
      </c>
      <c r="AH74" s="47"/>
      <c r="AJ74" s="47"/>
      <c r="AL74" s="47"/>
      <c r="AM74" s="47" t="str">
        <f t="shared" ref="AM74:AM137" si="25">IF(AG74=0,"",IF(AG74=Q74,"OK","Divergente"))</f>
        <v/>
      </c>
    </row>
    <row r="75" spans="1:39" s="56" customFormat="1" ht="24.75" customHeight="1">
      <c r="A75" s="44"/>
      <c r="B75" s="45"/>
      <c r="C75" s="46">
        <f>IF(B75&lt;&gt;"",VLOOKUP(B75,'Tipo Projeto'!$A$3:$B$35,2,0),0)</f>
        <v>0</v>
      </c>
      <c r="D75" s="47"/>
      <c r="E75" s="47"/>
      <c r="F75" s="48"/>
      <c r="G75" s="47"/>
      <c r="H75" s="49"/>
      <c r="I75" s="50"/>
      <c r="J75" s="51"/>
      <c r="K75" s="52"/>
      <c r="L75" s="53" t="str">
        <f t="shared" si="13"/>
        <v/>
      </c>
      <c r="M75" s="48" t="str">
        <f t="shared" si="14"/>
        <v/>
      </c>
      <c r="N75" s="54" t="str">
        <f t="shared" si="15"/>
        <v/>
      </c>
      <c r="O75" s="55">
        <f t="shared" si="16"/>
        <v>0</v>
      </c>
      <c r="P75" s="55">
        <f t="shared" si="17"/>
        <v>0</v>
      </c>
      <c r="Q75" s="54">
        <f t="shared" si="18"/>
        <v>0</v>
      </c>
      <c r="R75" s="47"/>
      <c r="T75" s="57"/>
      <c r="U75" s="45"/>
      <c r="V75" s="46">
        <f>IF(U75&lt;&gt;"",VLOOKUP(U75,'Tipo Projeto'!$A$3:$B$35,2,0),0)</f>
        <v>0</v>
      </c>
      <c r="W75" s="47"/>
      <c r="X75" s="49"/>
      <c r="Y75" s="50"/>
      <c r="Z75" s="51"/>
      <c r="AA75" s="52"/>
      <c r="AB75" s="53" t="str">
        <f t="shared" si="19"/>
        <v/>
      </c>
      <c r="AC75" s="48" t="str">
        <f t="shared" si="20"/>
        <v/>
      </c>
      <c r="AD75" s="54" t="str">
        <f t="shared" si="21"/>
        <v/>
      </c>
      <c r="AE75" s="55">
        <f t="shared" si="22"/>
        <v>0</v>
      </c>
      <c r="AF75" s="55">
        <f t="shared" si="23"/>
        <v>0</v>
      </c>
      <c r="AG75" s="58">
        <f t="shared" si="24"/>
        <v>0</v>
      </c>
      <c r="AH75" s="47"/>
      <c r="AJ75" s="47"/>
      <c r="AL75" s="47"/>
      <c r="AM75" s="47" t="str">
        <f t="shared" si="25"/>
        <v/>
      </c>
    </row>
    <row r="76" spans="1:39" s="56" customFormat="1" ht="24.75" customHeight="1">
      <c r="A76" s="44"/>
      <c r="B76" s="45"/>
      <c r="C76" s="46">
        <f>IF(B76&lt;&gt;"",VLOOKUP(B76,'Tipo Projeto'!$A$3:$B$35,2,0),0)</f>
        <v>0</v>
      </c>
      <c r="D76" s="47"/>
      <c r="E76" s="47"/>
      <c r="F76" s="48"/>
      <c r="G76" s="47"/>
      <c r="H76" s="49"/>
      <c r="I76" s="50"/>
      <c r="J76" s="51"/>
      <c r="K76" s="52"/>
      <c r="L76" s="53" t="str">
        <f t="shared" si="13"/>
        <v/>
      </c>
      <c r="M76" s="48" t="str">
        <f t="shared" si="14"/>
        <v/>
      </c>
      <c r="N76" s="54" t="str">
        <f t="shared" si="15"/>
        <v/>
      </c>
      <c r="O76" s="55">
        <f t="shared" si="16"/>
        <v>0</v>
      </c>
      <c r="P76" s="55">
        <f t="shared" si="17"/>
        <v>0</v>
      </c>
      <c r="Q76" s="54">
        <f t="shared" si="18"/>
        <v>0</v>
      </c>
      <c r="R76" s="47"/>
      <c r="T76" s="57"/>
      <c r="U76" s="45"/>
      <c r="V76" s="46">
        <f>IF(U76&lt;&gt;"",VLOOKUP(U76,'Tipo Projeto'!$A$3:$B$35,2,0),0)</f>
        <v>0</v>
      </c>
      <c r="W76" s="47"/>
      <c r="X76" s="49"/>
      <c r="Y76" s="50"/>
      <c r="Z76" s="51"/>
      <c r="AA76" s="52"/>
      <c r="AB76" s="53" t="str">
        <f t="shared" si="19"/>
        <v/>
      </c>
      <c r="AC76" s="48" t="str">
        <f t="shared" si="20"/>
        <v/>
      </c>
      <c r="AD76" s="54" t="str">
        <f t="shared" si="21"/>
        <v/>
      </c>
      <c r="AE76" s="55">
        <f t="shared" si="22"/>
        <v>0</v>
      </c>
      <c r="AF76" s="55">
        <f t="shared" si="23"/>
        <v>0</v>
      </c>
      <c r="AG76" s="58">
        <f t="shared" si="24"/>
        <v>0</v>
      </c>
      <c r="AH76" s="47"/>
      <c r="AJ76" s="47"/>
      <c r="AL76" s="47"/>
      <c r="AM76" s="47" t="str">
        <f t="shared" si="25"/>
        <v/>
      </c>
    </row>
    <row r="77" spans="1:39" s="56" customFormat="1" ht="24.75" customHeight="1">
      <c r="A77" s="44"/>
      <c r="B77" s="45"/>
      <c r="C77" s="46">
        <f>IF(B77&lt;&gt;"",VLOOKUP(B77,'Tipo Projeto'!$A$3:$B$35,2,0),0)</f>
        <v>0</v>
      </c>
      <c r="D77" s="47"/>
      <c r="E77" s="47"/>
      <c r="F77" s="48"/>
      <c r="G77" s="47"/>
      <c r="H77" s="49"/>
      <c r="I77" s="50"/>
      <c r="J77" s="51"/>
      <c r="K77" s="52"/>
      <c r="L77" s="53" t="str">
        <f t="shared" si="13"/>
        <v/>
      </c>
      <c r="M77" s="48" t="str">
        <f t="shared" si="14"/>
        <v/>
      </c>
      <c r="N77" s="54" t="str">
        <f t="shared" si="15"/>
        <v/>
      </c>
      <c r="O77" s="55">
        <f t="shared" si="16"/>
        <v>0</v>
      </c>
      <c r="P77" s="55">
        <f t="shared" si="17"/>
        <v>0</v>
      </c>
      <c r="Q77" s="54">
        <f t="shared" si="18"/>
        <v>0</v>
      </c>
      <c r="R77" s="47"/>
      <c r="T77" s="57"/>
      <c r="U77" s="45"/>
      <c r="V77" s="46">
        <f>IF(U77&lt;&gt;"",VLOOKUP(U77,'Tipo Projeto'!$A$3:$B$35,2,0),0)</f>
        <v>0</v>
      </c>
      <c r="W77" s="47"/>
      <c r="X77" s="49"/>
      <c r="Y77" s="50"/>
      <c r="Z77" s="51"/>
      <c r="AA77" s="52"/>
      <c r="AB77" s="53" t="str">
        <f t="shared" si="19"/>
        <v/>
      </c>
      <c r="AC77" s="48" t="str">
        <f t="shared" si="20"/>
        <v/>
      </c>
      <c r="AD77" s="54" t="str">
        <f t="shared" si="21"/>
        <v/>
      </c>
      <c r="AE77" s="55">
        <f t="shared" si="22"/>
        <v>0</v>
      </c>
      <c r="AF77" s="55">
        <f t="shared" si="23"/>
        <v>0</v>
      </c>
      <c r="AG77" s="58">
        <f t="shared" si="24"/>
        <v>0</v>
      </c>
      <c r="AH77" s="47"/>
      <c r="AJ77" s="47"/>
      <c r="AL77" s="47"/>
      <c r="AM77" s="47" t="str">
        <f t="shared" si="25"/>
        <v/>
      </c>
    </row>
    <row r="78" spans="1:39" s="56" customFormat="1" ht="24.75" customHeight="1">
      <c r="A78" s="44"/>
      <c r="B78" s="45"/>
      <c r="C78" s="46">
        <f>IF(B78&lt;&gt;"",VLOOKUP(B78,'Tipo Projeto'!$A$3:$B$35,2,0),0)</f>
        <v>0</v>
      </c>
      <c r="D78" s="47"/>
      <c r="E78" s="47"/>
      <c r="F78" s="48"/>
      <c r="G78" s="47"/>
      <c r="H78" s="49"/>
      <c r="I78" s="50"/>
      <c r="J78" s="51"/>
      <c r="K78" s="52"/>
      <c r="L78" s="53" t="str">
        <f t="shared" si="13"/>
        <v/>
      </c>
      <c r="M78" s="48" t="str">
        <f t="shared" si="14"/>
        <v/>
      </c>
      <c r="N78" s="54" t="str">
        <f t="shared" si="15"/>
        <v/>
      </c>
      <c r="O78" s="55">
        <f t="shared" si="16"/>
        <v>0</v>
      </c>
      <c r="P78" s="55">
        <f t="shared" si="17"/>
        <v>0</v>
      </c>
      <c r="Q78" s="54">
        <f t="shared" si="18"/>
        <v>0</v>
      </c>
      <c r="R78" s="47"/>
      <c r="T78" s="57"/>
      <c r="U78" s="45"/>
      <c r="V78" s="46">
        <f>IF(U78&lt;&gt;"",VLOOKUP(U78,'Tipo Projeto'!$A$3:$B$35,2,0),0)</f>
        <v>0</v>
      </c>
      <c r="W78" s="47"/>
      <c r="X78" s="49"/>
      <c r="Y78" s="50"/>
      <c r="Z78" s="51"/>
      <c r="AA78" s="52"/>
      <c r="AB78" s="53" t="str">
        <f t="shared" si="19"/>
        <v/>
      </c>
      <c r="AC78" s="48" t="str">
        <f t="shared" si="20"/>
        <v/>
      </c>
      <c r="AD78" s="54" t="str">
        <f t="shared" si="21"/>
        <v/>
      </c>
      <c r="AE78" s="55">
        <f t="shared" si="22"/>
        <v>0</v>
      </c>
      <c r="AF78" s="55">
        <f t="shared" si="23"/>
        <v>0</v>
      </c>
      <c r="AG78" s="58">
        <f t="shared" si="24"/>
        <v>0</v>
      </c>
      <c r="AH78" s="47"/>
      <c r="AJ78" s="47"/>
      <c r="AL78" s="47"/>
      <c r="AM78" s="47" t="str">
        <f t="shared" si="25"/>
        <v/>
      </c>
    </row>
    <row r="79" spans="1:39" s="56" customFormat="1" ht="24.75" customHeight="1">
      <c r="A79" s="44"/>
      <c r="B79" s="45"/>
      <c r="C79" s="46">
        <f>IF(B79&lt;&gt;"",VLOOKUP(B79,'Tipo Projeto'!$A$3:$B$35,2,0),0)</f>
        <v>0</v>
      </c>
      <c r="D79" s="47"/>
      <c r="E79" s="47"/>
      <c r="F79" s="48"/>
      <c r="G79" s="47"/>
      <c r="H79" s="49"/>
      <c r="I79" s="50"/>
      <c r="J79" s="51"/>
      <c r="K79" s="52"/>
      <c r="L79" s="53" t="str">
        <f t="shared" si="13"/>
        <v/>
      </c>
      <c r="M79" s="48" t="str">
        <f t="shared" si="14"/>
        <v/>
      </c>
      <c r="N79" s="54" t="str">
        <f t="shared" si="15"/>
        <v/>
      </c>
      <c r="O79" s="55">
        <f t="shared" si="16"/>
        <v>0</v>
      </c>
      <c r="P79" s="55">
        <f t="shared" si="17"/>
        <v>0</v>
      </c>
      <c r="Q79" s="54">
        <f t="shared" si="18"/>
        <v>0</v>
      </c>
      <c r="R79" s="47"/>
      <c r="T79" s="57"/>
      <c r="U79" s="45"/>
      <c r="V79" s="46">
        <f>IF(U79&lt;&gt;"",VLOOKUP(U79,'Tipo Projeto'!$A$3:$B$35,2,0),0)</f>
        <v>0</v>
      </c>
      <c r="W79" s="47"/>
      <c r="X79" s="49"/>
      <c r="Y79" s="50"/>
      <c r="Z79" s="51"/>
      <c r="AA79" s="52"/>
      <c r="AB79" s="53" t="str">
        <f t="shared" si="19"/>
        <v/>
      </c>
      <c r="AC79" s="48" t="str">
        <f t="shared" si="20"/>
        <v/>
      </c>
      <c r="AD79" s="54" t="str">
        <f t="shared" si="21"/>
        <v/>
      </c>
      <c r="AE79" s="55">
        <f t="shared" si="22"/>
        <v>0</v>
      </c>
      <c r="AF79" s="55">
        <f t="shared" si="23"/>
        <v>0</v>
      </c>
      <c r="AG79" s="58">
        <f t="shared" si="24"/>
        <v>0</v>
      </c>
      <c r="AH79" s="47"/>
      <c r="AJ79" s="47"/>
      <c r="AL79" s="47"/>
      <c r="AM79" s="47" t="str">
        <f t="shared" si="25"/>
        <v/>
      </c>
    </row>
    <row r="80" spans="1:39" s="56" customFormat="1" ht="24.75" customHeight="1">
      <c r="A80" s="44"/>
      <c r="B80" s="45"/>
      <c r="C80" s="46">
        <f>IF(B80&lt;&gt;"",VLOOKUP(B80,'Tipo Projeto'!$A$3:$B$35,2,0),0)</f>
        <v>0</v>
      </c>
      <c r="D80" s="47"/>
      <c r="E80" s="47"/>
      <c r="F80" s="48"/>
      <c r="G80" s="47"/>
      <c r="H80" s="49"/>
      <c r="I80" s="50"/>
      <c r="J80" s="51"/>
      <c r="K80" s="52"/>
      <c r="L80" s="53" t="str">
        <f t="shared" si="13"/>
        <v/>
      </c>
      <c r="M80" s="48" t="str">
        <f t="shared" si="14"/>
        <v/>
      </c>
      <c r="N80" s="54" t="str">
        <f t="shared" si="15"/>
        <v/>
      </c>
      <c r="O80" s="55">
        <f t="shared" si="16"/>
        <v>0</v>
      </c>
      <c r="P80" s="55">
        <f t="shared" si="17"/>
        <v>0</v>
      </c>
      <c r="Q80" s="54">
        <f t="shared" si="18"/>
        <v>0</v>
      </c>
      <c r="R80" s="47"/>
      <c r="T80" s="57"/>
      <c r="U80" s="45"/>
      <c r="V80" s="46">
        <f>IF(U80&lt;&gt;"",VLOOKUP(U80,'Tipo Projeto'!$A$3:$B$35,2,0),0)</f>
        <v>0</v>
      </c>
      <c r="W80" s="47"/>
      <c r="X80" s="49"/>
      <c r="Y80" s="50"/>
      <c r="Z80" s="51"/>
      <c r="AA80" s="52"/>
      <c r="AB80" s="53" t="str">
        <f t="shared" si="19"/>
        <v/>
      </c>
      <c r="AC80" s="48" t="str">
        <f t="shared" si="20"/>
        <v/>
      </c>
      <c r="AD80" s="54" t="str">
        <f t="shared" si="21"/>
        <v/>
      </c>
      <c r="AE80" s="55">
        <f t="shared" si="22"/>
        <v>0</v>
      </c>
      <c r="AF80" s="55">
        <f t="shared" si="23"/>
        <v>0</v>
      </c>
      <c r="AG80" s="58">
        <f t="shared" si="24"/>
        <v>0</v>
      </c>
      <c r="AH80" s="47"/>
      <c r="AJ80" s="47"/>
      <c r="AL80" s="47"/>
      <c r="AM80" s="47" t="str">
        <f t="shared" si="25"/>
        <v/>
      </c>
    </row>
    <row r="81" spans="1:39" s="56" customFormat="1" ht="24.75" customHeight="1">
      <c r="A81" s="44"/>
      <c r="B81" s="45"/>
      <c r="C81" s="46">
        <f>IF(B81&lt;&gt;"",VLOOKUP(B81,'Tipo Projeto'!$A$3:$B$35,2,0),0)</f>
        <v>0</v>
      </c>
      <c r="D81" s="47"/>
      <c r="E81" s="47"/>
      <c r="F81" s="48"/>
      <c r="G81" s="47"/>
      <c r="H81" s="49"/>
      <c r="I81" s="50"/>
      <c r="J81" s="51"/>
      <c r="K81" s="52"/>
      <c r="L81" s="53" t="str">
        <f t="shared" si="13"/>
        <v/>
      </c>
      <c r="M81" s="48" t="str">
        <f t="shared" si="14"/>
        <v/>
      </c>
      <c r="N81" s="54" t="str">
        <f t="shared" si="15"/>
        <v/>
      </c>
      <c r="O81" s="55">
        <f t="shared" si="16"/>
        <v>0</v>
      </c>
      <c r="P81" s="55">
        <f t="shared" si="17"/>
        <v>0</v>
      </c>
      <c r="Q81" s="54">
        <f t="shared" si="18"/>
        <v>0</v>
      </c>
      <c r="R81" s="47"/>
      <c r="T81" s="57"/>
      <c r="U81" s="45"/>
      <c r="V81" s="46">
        <f>IF(U81&lt;&gt;"",VLOOKUP(U81,'Tipo Projeto'!$A$3:$B$35,2,0),0)</f>
        <v>0</v>
      </c>
      <c r="W81" s="47"/>
      <c r="X81" s="49"/>
      <c r="Y81" s="50"/>
      <c r="Z81" s="51"/>
      <c r="AA81" s="52"/>
      <c r="AB81" s="53" t="str">
        <f t="shared" si="19"/>
        <v/>
      </c>
      <c r="AC81" s="48" t="str">
        <f t="shared" si="20"/>
        <v/>
      </c>
      <c r="AD81" s="54" t="str">
        <f t="shared" si="21"/>
        <v/>
      </c>
      <c r="AE81" s="55">
        <f t="shared" si="22"/>
        <v>0</v>
      </c>
      <c r="AF81" s="55">
        <f t="shared" si="23"/>
        <v>0</v>
      </c>
      <c r="AG81" s="58">
        <f t="shared" si="24"/>
        <v>0</v>
      </c>
      <c r="AH81" s="47"/>
      <c r="AJ81" s="47"/>
      <c r="AL81" s="47"/>
      <c r="AM81" s="47" t="str">
        <f t="shared" si="25"/>
        <v/>
      </c>
    </row>
    <row r="82" spans="1:39" s="56" customFormat="1" ht="24.75" customHeight="1">
      <c r="A82" s="44"/>
      <c r="B82" s="45"/>
      <c r="C82" s="46">
        <f>IF(B82&lt;&gt;"",VLOOKUP(B82,'Tipo Projeto'!$A$3:$B$35,2,0),0)</f>
        <v>0</v>
      </c>
      <c r="D82" s="47"/>
      <c r="E82" s="47"/>
      <c r="F82" s="48"/>
      <c r="G82" s="47"/>
      <c r="H82" s="49"/>
      <c r="I82" s="50"/>
      <c r="J82" s="51"/>
      <c r="K82" s="52"/>
      <c r="L82" s="53" t="str">
        <f t="shared" si="13"/>
        <v/>
      </c>
      <c r="M82" s="48" t="str">
        <f t="shared" si="14"/>
        <v/>
      </c>
      <c r="N82" s="54" t="str">
        <f t="shared" si="15"/>
        <v/>
      </c>
      <c r="O82" s="55">
        <f t="shared" si="16"/>
        <v>0</v>
      </c>
      <c r="P82" s="55">
        <f t="shared" si="17"/>
        <v>0</v>
      </c>
      <c r="Q82" s="54">
        <f t="shared" si="18"/>
        <v>0</v>
      </c>
      <c r="R82" s="47"/>
      <c r="T82" s="57"/>
      <c r="U82" s="45"/>
      <c r="V82" s="46">
        <f>IF(U82&lt;&gt;"",VLOOKUP(U82,'Tipo Projeto'!$A$3:$B$35,2,0),0)</f>
        <v>0</v>
      </c>
      <c r="W82" s="47"/>
      <c r="X82" s="49"/>
      <c r="Y82" s="50"/>
      <c r="Z82" s="51"/>
      <c r="AA82" s="52"/>
      <c r="AB82" s="53" t="str">
        <f t="shared" si="19"/>
        <v/>
      </c>
      <c r="AC82" s="48" t="str">
        <f t="shared" si="20"/>
        <v/>
      </c>
      <c r="AD82" s="54" t="str">
        <f t="shared" si="21"/>
        <v/>
      </c>
      <c r="AE82" s="55">
        <f t="shared" si="22"/>
        <v>0</v>
      </c>
      <c r="AF82" s="55">
        <f t="shared" si="23"/>
        <v>0</v>
      </c>
      <c r="AG82" s="58">
        <f t="shared" si="24"/>
        <v>0</v>
      </c>
      <c r="AH82" s="47"/>
      <c r="AJ82" s="47"/>
      <c r="AL82" s="47"/>
      <c r="AM82" s="47" t="str">
        <f t="shared" si="25"/>
        <v/>
      </c>
    </row>
    <row r="83" spans="1:39" s="56" customFormat="1" ht="24.75" customHeight="1">
      <c r="A83" s="44"/>
      <c r="B83" s="45"/>
      <c r="C83" s="46">
        <f>IF(B83&lt;&gt;"",VLOOKUP(B83,'Tipo Projeto'!$A$3:$B$35,2,0),0)</f>
        <v>0</v>
      </c>
      <c r="D83" s="47"/>
      <c r="E83" s="47"/>
      <c r="F83" s="48"/>
      <c r="G83" s="47"/>
      <c r="H83" s="49"/>
      <c r="I83" s="50"/>
      <c r="J83" s="51"/>
      <c r="K83" s="52"/>
      <c r="L83" s="53" t="str">
        <f t="shared" si="13"/>
        <v/>
      </c>
      <c r="M83" s="48" t="str">
        <f t="shared" si="14"/>
        <v/>
      </c>
      <c r="N83" s="54" t="str">
        <f t="shared" si="15"/>
        <v/>
      </c>
      <c r="O83" s="55">
        <f t="shared" si="16"/>
        <v>0</v>
      </c>
      <c r="P83" s="55">
        <f t="shared" si="17"/>
        <v>0</v>
      </c>
      <c r="Q83" s="54">
        <f t="shared" si="18"/>
        <v>0</v>
      </c>
      <c r="R83" s="47"/>
      <c r="T83" s="57"/>
      <c r="U83" s="45"/>
      <c r="V83" s="46">
        <f>IF(U83&lt;&gt;"",VLOOKUP(U83,'Tipo Projeto'!$A$3:$B$35,2,0),0)</f>
        <v>0</v>
      </c>
      <c r="W83" s="47"/>
      <c r="X83" s="49"/>
      <c r="Y83" s="50"/>
      <c r="Z83" s="51"/>
      <c r="AA83" s="52"/>
      <c r="AB83" s="53" t="str">
        <f t="shared" si="19"/>
        <v/>
      </c>
      <c r="AC83" s="48" t="str">
        <f t="shared" si="20"/>
        <v/>
      </c>
      <c r="AD83" s="54" t="str">
        <f t="shared" si="21"/>
        <v/>
      </c>
      <c r="AE83" s="55">
        <f t="shared" si="22"/>
        <v>0</v>
      </c>
      <c r="AF83" s="55">
        <f t="shared" si="23"/>
        <v>0</v>
      </c>
      <c r="AG83" s="58">
        <f t="shared" si="24"/>
        <v>0</v>
      </c>
      <c r="AH83" s="47"/>
      <c r="AJ83" s="47"/>
      <c r="AL83" s="47"/>
      <c r="AM83" s="47" t="str">
        <f t="shared" si="25"/>
        <v/>
      </c>
    </row>
    <row r="84" spans="1:39" s="56" customFormat="1" ht="24.75" customHeight="1">
      <c r="A84" s="44"/>
      <c r="B84" s="45"/>
      <c r="C84" s="46">
        <f>IF(B84&lt;&gt;"",VLOOKUP(B84,'Tipo Projeto'!$A$3:$B$35,2,0),0)</f>
        <v>0</v>
      </c>
      <c r="D84" s="47"/>
      <c r="E84" s="47"/>
      <c r="F84" s="48"/>
      <c r="G84" s="47"/>
      <c r="H84" s="49"/>
      <c r="I84" s="50"/>
      <c r="J84" s="51"/>
      <c r="K84" s="52"/>
      <c r="L84" s="53" t="str">
        <f t="shared" si="13"/>
        <v/>
      </c>
      <c r="M84" s="48" t="str">
        <f t="shared" si="14"/>
        <v/>
      </c>
      <c r="N84" s="54" t="str">
        <f t="shared" si="15"/>
        <v/>
      </c>
      <c r="O84" s="55">
        <f t="shared" si="16"/>
        <v>0</v>
      </c>
      <c r="P84" s="55">
        <f t="shared" si="17"/>
        <v>0</v>
      </c>
      <c r="Q84" s="54">
        <f t="shared" si="18"/>
        <v>0</v>
      </c>
      <c r="R84" s="47"/>
      <c r="T84" s="57"/>
      <c r="U84" s="45"/>
      <c r="V84" s="46">
        <f>IF(U84&lt;&gt;"",VLOOKUP(U84,'Tipo Projeto'!$A$3:$B$35,2,0),0)</f>
        <v>0</v>
      </c>
      <c r="W84" s="47"/>
      <c r="X84" s="49"/>
      <c r="Y84" s="50"/>
      <c r="Z84" s="51"/>
      <c r="AA84" s="52"/>
      <c r="AB84" s="53" t="str">
        <f t="shared" si="19"/>
        <v/>
      </c>
      <c r="AC84" s="48" t="str">
        <f t="shared" si="20"/>
        <v/>
      </c>
      <c r="AD84" s="54" t="str">
        <f t="shared" si="21"/>
        <v/>
      </c>
      <c r="AE84" s="55">
        <f t="shared" si="22"/>
        <v>0</v>
      </c>
      <c r="AF84" s="55">
        <f t="shared" si="23"/>
        <v>0</v>
      </c>
      <c r="AG84" s="58">
        <f t="shared" si="24"/>
        <v>0</v>
      </c>
      <c r="AH84" s="47"/>
      <c r="AJ84" s="47"/>
      <c r="AL84" s="47"/>
      <c r="AM84" s="47" t="str">
        <f t="shared" si="25"/>
        <v/>
      </c>
    </row>
    <row r="85" spans="1:39" s="56" customFormat="1" ht="24.75" customHeight="1">
      <c r="A85" s="44"/>
      <c r="B85" s="45"/>
      <c r="C85" s="46">
        <f>IF(B85&lt;&gt;"",VLOOKUP(B85,'Tipo Projeto'!$A$3:$B$35,2,0),0)</f>
        <v>0</v>
      </c>
      <c r="D85" s="47"/>
      <c r="E85" s="47"/>
      <c r="F85" s="48"/>
      <c r="G85" s="47"/>
      <c r="H85" s="49"/>
      <c r="I85" s="50"/>
      <c r="J85" s="51"/>
      <c r="K85" s="52"/>
      <c r="L85" s="53" t="str">
        <f t="shared" si="13"/>
        <v/>
      </c>
      <c r="M85" s="48" t="str">
        <f t="shared" si="14"/>
        <v/>
      </c>
      <c r="N85" s="54" t="str">
        <f t="shared" si="15"/>
        <v/>
      </c>
      <c r="O85" s="55">
        <f t="shared" si="16"/>
        <v>0</v>
      </c>
      <c r="P85" s="55">
        <f t="shared" si="17"/>
        <v>0</v>
      </c>
      <c r="Q85" s="54">
        <f t="shared" si="18"/>
        <v>0</v>
      </c>
      <c r="R85" s="47"/>
      <c r="T85" s="57"/>
      <c r="U85" s="45"/>
      <c r="V85" s="46">
        <f>IF(U85&lt;&gt;"",VLOOKUP(U85,'Tipo Projeto'!$A$3:$B$35,2,0),0)</f>
        <v>0</v>
      </c>
      <c r="W85" s="47"/>
      <c r="X85" s="49"/>
      <c r="Y85" s="50"/>
      <c r="Z85" s="51"/>
      <c r="AA85" s="52"/>
      <c r="AB85" s="53" t="str">
        <f t="shared" si="19"/>
        <v/>
      </c>
      <c r="AC85" s="48" t="str">
        <f t="shared" si="20"/>
        <v/>
      </c>
      <c r="AD85" s="54" t="str">
        <f t="shared" si="21"/>
        <v/>
      </c>
      <c r="AE85" s="55">
        <f t="shared" si="22"/>
        <v>0</v>
      </c>
      <c r="AF85" s="55">
        <f t="shared" si="23"/>
        <v>0</v>
      </c>
      <c r="AG85" s="58">
        <f t="shared" si="24"/>
        <v>0</v>
      </c>
      <c r="AH85" s="47"/>
      <c r="AJ85" s="47"/>
      <c r="AL85" s="47"/>
      <c r="AM85" s="47" t="str">
        <f t="shared" si="25"/>
        <v/>
      </c>
    </row>
    <row r="86" spans="1:39" s="56" customFormat="1" ht="24.75" customHeight="1">
      <c r="A86" s="44"/>
      <c r="B86" s="45"/>
      <c r="C86" s="46">
        <f>IF(B86&lt;&gt;"",VLOOKUP(B86,'Tipo Projeto'!$A$3:$B$35,2,0),0)</f>
        <v>0</v>
      </c>
      <c r="D86" s="47"/>
      <c r="E86" s="47"/>
      <c r="F86" s="48"/>
      <c r="G86" s="47"/>
      <c r="H86" s="49"/>
      <c r="I86" s="50"/>
      <c r="J86" s="51"/>
      <c r="K86" s="52"/>
      <c r="L86" s="53" t="str">
        <f t="shared" si="13"/>
        <v/>
      </c>
      <c r="M86" s="48" t="str">
        <f t="shared" si="14"/>
        <v/>
      </c>
      <c r="N86" s="54" t="str">
        <f t="shared" si="15"/>
        <v/>
      </c>
      <c r="O86" s="55">
        <f t="shared" si="16"/>
        <v>0</v>
      </c>
      <c r="P86" s="55">
        <f t="shared" si="17"/>
        <v>0</v>
      </c>
      <c r="Q86" s="54">
        <f t="shared" si="18"/>
        <v>0</v>
      </c>
      <c r="R86" s="47"/>
      <c r="T86" s="57"/>
      <c r="U86" s="45"/>
      <c r="V86" s="46">
        <f>IF(U86&lt;&gt;"",VLOOKUP(U86,'Tipo Projeto'!$A$3:$B$35,2,0),0)</f>
        <v>0</v>
      </c>
      <c r="W86" s="47"/>
      <c r="X86" s="49"/>
      <c r="Y86" s="50"/>
      <c r="Z86" s="51"/>
      <c r="AA86" s="52"/>
      <c r="AB86" s="53" t="str">
        <f t="shared" si="19"/>
        <v/>
      </c>
      <c r="AC86" s="48" t="str">
        <f t="shared" si="20"/>
        <v/>
      </c>
      <c r="AD86" s="54" t="str">
        <f t="shared" si="21"/>
        <v/>
      </c>
      <c r="AE86" s="55">
        <f t="shared" si="22"/>
        <v>0</v>
      </c>
      <c r="AF86" s="55">
        <f t="shared" si="23"/>
        <v>0</v>
      </c>
      <c r="AG86" s="58">
        <f t="shared" si="24"/>
        <v>0</v>
      </c>
      <c r="AH86" s="47"/>
      <c r="AJ86" s="47"/>
      <c r="AL86" s="47"/>
      <c r="AM86" s="47" t="str">
        <f t="shared" si="25"/>
        <v/>
      </c>
    </row>
    <row r="87" spans="1:39" s="56" customFormat="1" ht="24.75" customHeight="1">
      <c r="A87" s="44"/>
      <c r="B87" s="45"/>
      <c r="C87" s="46">
        <f>IF(B87&lt;&gt;"",VLOOKUP(B87,'Tipo Projeto'!$A$3:$B$35,2,0),0)</f>
        <v>0</v>
      </c>
      <c r="D87" s="47"/>
      <c r="E87" s="47"/>
      <c r="F87" s="48"/>
      <c r="G87" s="47"/>
      <c r="H87" s="49"/>
      <c r="I87" s="50"/>
      <c r="J87" s="51"/>
      <c r="K87" s="52"/>
      <c r="L87" s="53" t="str">
        <f t="shared" si="13"/>
        <v/>
      </c>
      <c r="M87" s="48" t="str">
        <f t="shared" si="14"/>
        <v/>
      </c>
      <c r="N87" s="54" t="str">
        <f t="shared" si="15"/>
        <v/>
      </c>
      <c r="O87" s="55">
        <f t="shared" si="16"/>
        <v>0</v>
      </c>
      <c r="P87" s="55">
        <f t="shared" si="17"/>
        <v>0</v>
      </c>
      <c r="Q87" s="54">
        <f t="shared" si="18"/>
        <v>0</v>
      </c>
      <c r="R87" s="47"/>
      <c r="T87" s="57"/>
      <c r="U87" s="45"/>
      <c r="V87" s="46">
        <f>IF(U87&lt;&gt;"",VLOOKUP(U87,'Tipo Projeto'!$A$3:$B$35,2,0),0)</f>
        <v>0</v>
      </c>
      <c r="W87" s="47"/>
      <c r="X87" s="49"/>
      <c r="Y87" s="50"/>
      <c r="Z87" s="51"/>
      <c r="AA87" s="52"/>
      <c r="AB87" s="53" t="str">
        <f t="shared" si="19"/>
        <v/>
      </c>
      <c r="AC87" s="48" t="str">
        <f t="shared" si="20"/>
        <v/>
      </c>
      <c r="AD87" s="54" t="str">
        <f t="shared" si="21"/>
        <v/>
      </c>
      <c r="AE87" s="55">
        <f t="shared" si="22"/>
        <v>0</v>
      </c>
      <c r="AF87" s="55">
        <f t="shared" si="23"/>
        <v>0</v>
      </c>
      <c r="AG87" s="58">
        <f t="shared" si="24"/>
        <v>0</v>
      </c>
      <c r="AH87" s="47"/>
      <c r="AJ87" s="47"/>
      <c r="AL87" s="47"/>
      <c r="AM87" s="47" t="str">
        <f t="shared" si="25"/>
        <v/>
      </c>
    </row>
    <row r="88" spans="1:39" s="56" customFormat="1" ht="24.75" customHeight="1">
      <c r="A88" s="44"/>
      <c r="B88" s="45"/>
      <c r="C88" s="46">
        <f>IF(B88&lt;&gt;"",VLOOKUP(B88,'Tipo Projeto'!$A$3:$B$35,2,0),0)</f>
        <v>0</v>
      </c>
      <c r="D88" s="47"/>
      <c r="E88" s="47"/>
      <c r="F88" s="48"/>
      <c r="G88" s="47"/>
      <c r="H88" s="49"/>
      <c r="I88" s="50"/>
      <c r="J88" s="51"/>
      <c r="K88" s="52"/>
      <c r="L88" s="53" t="str">
        <f t="shared" si="13"/>
        <v/>
      </c>
      <c r="M88" s="48" t="str">
        <f t="shared" si="14"/>
        <v/>
      </c>
      <c r="N88" s="54" t="str">
        <f t="shared" si="15"/>
        <v/>
      </c>
      <c r="O88" s="55">
        <f t="shared" si="16"/>
        <v>0</v>
      </c>
      <c r="P88" s="55">
        <f t="shared" si="17"/>
        <v>0</v>
      </c>
      <c r="Q88" s="54">
        <f t="shared" si="18"/>
        <v>0</v>
      </c>
      <c r="R88" s="47"/>
      <c r="T88" s="57"/>
      <c r="U88" s="45"/>
      <c r="V88" s="46">
        <f>IF(U88&lt;&gt;"",VLOOKUP(U88,'Tipo Projeto'!$A$3:$B$35,2,0),0)</f>
        <v>0</v>
      </c>
      <c r="W88" s="47"/>
      <c r="X88" s="49"/>
      <c r="Y88" s="50"/>
      <c r="Z88" s="51"/>
      <c r="AA88" s="52"/>
      <c r="AB88" s="53" t="str">
        <f t="shared" si="19"/>
        <v/>
      </c>
      <c r="AC88" s="48" t="str">
        <f t="shared" si="20"/>
        <v/>
      </c>
      <c r="AD88" s="54" t="str">
        <f t="shared" si="21"/>
        <v/>
      </c>
      <c r="AE88" s="55">
        <f t="shared" si="22"/>
        <v>0</v>
      </c>
      <c r="AF88" s="55">
        <f t="shared" si="23"/>
        <v>0</v>
      </c>
      <c r="AG88" s="58">
        <f t="shared" si="24"/>
        <v>0</v>
      </c>
      <c r="AH88" s="47"/>
      <c r="AJ88" s="47"/>
      <c r="AL88" s="47"/>
      <c r="AM88" s="47" t="str">
        <f t="shared" si="25"/>
        <v/>
      </c>
    </row>
    <row r="89" spans="1:39" s="56" customFormat="1" ht="24.75" customHeight="1">
      <c r="A89" s="44"/>
      <c r="B89" s="45"/>
      <c r="C89" s="46">
        <f>IF(B89&lt;&gt;"",VLOOKUP(B89,'Tipo Projeto'!$A$3:$B$35,2,0),0)</f>
        <v>0</v>
      </c>
      <c r="D89" s="47"/>
      <c r="E89" s="47"/>
      <c r="F89" s="48"/>
      <c r="G89" s="47"/>
      <c r="H89" s="49"/>
      <c r="I89" s="50"/>
      <c r="J89" s="51"/>
      <c r="K89" s="52"/>
      <c r="L89" s="53" t="str">
        <f t="shared" si="13"/>
        <v/>
      </c>
      <c r="M89" s="48" t="str">
        <f t="shared" si="14"/>
        <v/>
      </c>
      <c r="N89" s="54" t="str">
        <f t="shared" si="15"/>
        <v/>
      </c>
      <c r="O89" s="55">
        <f t="shared" si="16"/>
        <v>0</v>
      </c>
      <c r="P89" s="55">
        <f t="shared" si="17"/>
        <v>0</v>
      </c>
      <c r="Q89" s="54">
        <f t="shared" si="18"/>
        <v>0</v>
      </c>
      <c r="R89" s="47"/>
      <c r="T89" s="57"/>
      <c r="U89" s="45"/>
      <c r="V89" s="46">
        <f>IF(U89&lt;&gt;"",VLOOKUP(U89,'Tipo Projeto'!$A$3:$B$35,2,0),0)</f>
        <v>0</v>
      </c>
      <c r="W89" s="47"/>
      <c r="X89" s="49"/>
      <c r="Y89" s="50"/>
      <c r="Z89" s="51"/>
      <c r="AA89" s="52"/>
      <c r="AB89" s="53" t="str">
        <f t="shared" si="19"/>
        <v/>
      </c>
      <c r="AC89" s="48" t="str">
        <f t="shared" si="20"/>
        <v/>
      </c>
      <c r="AD89" s="54" t="str">
        <f t="shared" si="21"/>
        <v/>
      </c>
      <c r="AE89" s="55">
        <f t="shared" si="22"/>
        <v>0</v>
      </c>
      <c r="AF89" s="55">
        <f t="shared" si="23"/>
        <v>0</v>
      </c>
      <c r="AG89" s="58">
        <f t="shared" si="24"/>
        <v>0</v>
      </c>
      <c r="AH89" s="47"/>
      <c r="AJ89" s="47"/>
      <c r="AL89" s="47"/>
      <c r="AM89" s="47" t="str">
        <f t="shared" si="25"/>
        <v/>
      </c>
    </row>
    <row r="90" spans="1:39" s="56" customFormat="1" ht="24.75" customHeight="1">
      <c r="A90" s="44"/>
      <c r="B90" s="45"/>
      <c r="C90" s="46">
        <f>IF(B90&lt;&gt;"",VLOOKUP(B90,'Tipo Projeto'!$A$3:$B$35,2,0),0)</f>
        <v>0</v>
      </c>
      <c r="D90" s="47"/>
      <c r="E90" s="47"/>
      <c r="F90" s="48"/>
      <c r="G90" s="47"/>
      <c r="H90" s="49"/>
      <c r="I90" s="50"/>
      <c r="J90" s="51"/>
      <c r="K90" s="52"/>
      <c r="L90" s="53" t="str">
        <f t="shared" si="13"/>
        <v/>
      </c>
      <c r="M90" s="48" t="str">
        <f t="shared" si="14"/>
        <v/>
      </c>
      <c r="N90" s="54" t="str">
        <f t="shared" si="15"/>
        <v/>
      </c>
      <c r="O90" s="55">
        <f t="shared" si="16"/>
        <v>0</v>
      </c>
      <c r="P90" s="55">
        <f t="shared" si="17"/>
        <v>0</v>
      </c>
      <c r="Q90" s="54">
        <f t="shared" si="18"/>
        <v>0</v>
      </c>
      <c r="R90" s="47"/>
      <c r="T90" s="57"/>
      <c r="U90" s="45"/>
      <c r="V90" s="46">
        <f>IF(U90&lt;&gt;"",VLOOKUP(U90,'Tipo Projeto'!$A$3:$B$35,2,0),0)</f>
        <v>0</v>
      </c>
      <c r="W90" s="47"/>
      <c r="X90" s="49"/>
      <c r="Y90" s="50"/>
      <c r="Z90" s="51"/>
      <c r="AA90" s="52"/>
      <c r="AB90" s="53" t="str">
        <f t="shared" si="19"/>
        <v/>
      </c>
      <c r="AC90" s="48" t="str">
        <f t="shared" si="20"/>
        <v/>
      </c>
      <c r="AD90" s="54" t="str">
        <f t="shared" si="21"/>
        <v/>
      </c>
      <c r="AE90" s="55">
        <f t="shared" si="22"/>
        <v>0</v>
      </c>
      <c r="AF90" s="55">
        <f t="shared" si="23"/>
        <v>0</v>
      </c>
      <c r="AG90" s="58">
        <f t="shared" si="24"/>
        <v>0</v>
      </c>
      <c r="AH90" s="47"/>
      <c r="AJ90" s="47"/>
      <c r="AL90" s="47"/>
      <c r="AM90" s="47" t="str">
        <f t="shared" si="25"/>
        <v/>
      </c>
    </row>
    <row r="91" spans="1:39" s="56" customFormat="1" ht="24.75" customHeight="1">
      <c r="A91" s="44"/>
      <c r="B91" s="45"/>
      <c r="C91" s="46">
        <f>IF(B91&lt;&gt;"",VLOOKUP(B91,'Tipo Projeto'!$A$3:$B$35,2,0),0)</f>
        <v>0</v>
      </c>
      <c r="D91" s="47"/>
      <c r="E91" s="47"/>
      <c r="F91" s="48"/>
      <c r="G91" s="47"/>
      <c r="H91" s="49"/>
      <c r="I91" s="50"/>
      <c r="J91" s="51"/>
      <c r="K91" s="52"/>
      <c r="L91" s="53" t="str">
        <f t="shared" si="13"/>
        <v/>
      </c>
      <c r="M91" s="48" t="str">
        <f t="shared" si="14"/>
        <v/>
      </c>
      <c r="N91" s="54" t="str">
        <f t="shared" si="15"/>
        <v/>
      </c>
      <c r="O91" s="55">
        <f t="shared" si="16"/>
        <v>0</v>
      </c>
      <c r="P91" s="55">
        <f t="shared" si="17"/>
        <v>0</v>
      </c>
      <c r="Q91" s="54">
        <f t="shared" si="18"/>
        <v>0</v>
      </c>
      <c r="R91" s="47"/>
      <c r="T91" s="57"/>
      <c r="U91" s="45"/>
      <c r="V91" s="46">
        <f>IF(U91&lt;&gt;"",VLOOKUP(U91,'Tipo Projeto'!$A$3:$B$35,2,0),0)</f>
        <v>0</v>
      </c>
      <c r="W91" s="47"/>
      <c r="X91" s="49"/>
      <c r="Y91" s="50"/>
      <c r="Z91" s="51"/>
      <c r="AA91" s="52"/>
      <c r="AB91" s="53" t="str">
        <f t="shared" si="19"/>
        <v/>
      </c>
      <c r="AC91" s="48" t="str">
        <f t="shared" si="20"/>
        <v/>
      </c>
      <c r="AD91" s="54" t="str">
        <f t="shared" si="21"/>
        <v/>
      </c>
      <c r="AE91" s="55">
        <f t="shared" si="22"/>
        <v>0</v>
      </c>
      <c r="AF91" s="55">
        <f t="shared" si="23"/>
        <v>0</v>
      </c>
      <c r="AG91" s="58">
        <f t="shared" si="24"/>
        <v>0</v>
      </c>
      <c r="AH91" s="47"/>
      <c r="AJ91" s="47"/>
      <c r="AL91" s="47"/>
      <c r="AM91" s="47" t="str">
        <f t="shared" si="25"/>
        <v/>
      </c>
    </row>
    <row r="92" spans="1:39" s="56" customFormat="1" ht="24.75" customHeight="1">
      <c r="A92" s="44"/>
      <c r="B92" s="45"/>
      <c r="C92" s="46">
        <f>IF(B92&lt;&gt;"",VLOOKUP(B92,'Tipo Projeto'!$A$3:$B$35,2,0),0)</f>
        <v>0</v>
      </c>
      <c r="D92" s="47"/>
      <c r="E92" s="47"/>
      <c r="F92" s="48"/>
      <c r="G92" s="47"/>
      <c r="H92" s="49"/>
      <c r="I92" s="50"/>
      <c r="J92" s="51"/>
      <c r="K92" s="52"/>
      <c r="L92" s="53" t="str">
        <f t="shared" si="13"/>
        <v/>
      </c>
      <c r="M92" s="48" t="str">
        <f t="shared" si="14"/>
        <v/>
      </c>
      <c r="N92" s="54" t="str">
        <f t="shared" si="15"/>
        <v/>
      </c>
      <c r="O92" s="55">
        <f t="shared" si="16"/>
        <v>0</v>
      </c>
      <c r="P92" s="55">
        <f t="shared" si="17"/>
        <v>0</v>
      </c>
      <c r="Q92" s="54">
        <f t="shared" si="18"/>
        <v>0</v>
      </c>
      <c r="R92" s="47"/>
      <c r="T92" s="57"/>
      <c r="U92" s="45"/>
      <c r="V92" s="46">
        <f>IF(U92&lt;&gt;"",VLOOKUP(U92,'Tipo Projeto'!$A$3:$B$35,2,0),0)</f>
        <v>0</v>
      </c>
      <c r="W92" s="47"/>
      <c r="X92" s="49"/>
      <c r="Y92" s="50"/>
      <c r="Z92" s="51"/>
      <c r="AA92" s="52"/>
      <c r="AB92" s="53" t="str">
        <f t="shared" si="19"/>
        <v/>
      </c>
      <c r="AC92" s="48" t="str">
        <f t="shared" si="20"/>
        <v/>
      </c>
      <c r="AD92" s="54" t="str">
        <f t="shared" si="21"/>
        <v/>
      </c>
      <c r="AE92" s="55">
        <f t="shared" si="22"/>
        <v>0</v>
      </c>
      <c r="AF92" s="55">
        <f t="shared" si="23"/>
        <v>0</v>
      </c>
      <c r="AG92" s="58">
        <f t="shared" si="24"/>
        <v>0</v>
      </c>
      <c r="AH92" s="47"/>
      <c r="AJ92" s="47"/>
      <c r="AL92" s="47"/>
      <c r="AM92" s="47" t="str">
        <f t="shared" si="25"/>
        <v/>
      </c>
    </row>
    <row r="93" spans="1:39" s="56" customFormat="1" ht="24.75" customHeight="1">
      <c r="A93" s="44"/>
      <c r="B93" s="45"/>
      <c r="C93" s="46">
        <f>IF(B93&lt;&gt;"",VLOOKUP(B93,'Tipo Projeto'!$A$3:$B$35,2,0),0)</f>
        <v>0</v>
      </c>
      <c r="D93" s="47"/>
      <c r="E93" s="47"/>
      <c r="F93" s="48"/>
      <c r="G93" s="47"/>
      <c r="H93" s="49"/>
      <c r="I93" s="50"/>
      <c r="J93" s="51"/>
      <c r="K93" s="52"/>
      <c r="L93" s="53" t="str">
        <f t="shared" si="13"/>
        <v/>
      </c>
      <c r="M93" s="48" t="str">
        <f t="shared" si="14"/>
        <v/>
      </c>
      <c r="N93" s="54" t="str">
        <f t="shared" si="15"/>
        <v/>
      </c>
      <c r="O93" s="55">
        <f t="shared" si="16"/>
        <v>0</v>
      </c>
      <c r="P93" s="55">
        <f t="shared" si="17"/>
        <v>0</v>
      </c>
      <c r="Q93" s="54">
        <f t="shared" si="18"/>
        <v>0</v>
      </c>
      <c r="R93" s="47"/>
      <c r="T93" s="57"/>
      <c r="U93" s="45"/>
      <c r="V93" s="46">
        <f>IF(U93&lt;&gt;"",VLOOKUP(U93,'Tipo Projeto'!$A$3:$B$35,2,0),0)</f>
        <v>0</v>
      </c>
      <c r="W93" s="47"/>
      <c r="X93" s="49"/>
      <c r="Y93" s="50"/>
      <c r="Z93" s="51"/>
      <c r="AA93" s="52"/>
      <c r="AB93" s="53" t="str">
        <f t="shared" si="19"/>
        <v/>
      </c>
      <c r="AC93" s="48" t="str">
        <f t="shared" si="20"/>
        <v/>
      </c>
      <c r="AD93" s="54" t="str">
        <f t="shared" si="21"/>
        <v/>
      </c>
      <c r="AE93" s="55">
        <f t="shared" si="22"/>
        <v>0</v>
      </c>
      <c r="AF93" s="55">
        <f t="shared" si="23"/>
        <v>0</v>
      </c>
      <c r="AG93" s="58">
        <f t="shared" si="24"/>
        <v>0</v>
      </c>
      <c r="AH93" s="47"/>
      <c r="AJ93" s="47"/>
      <c r="AL93" s="47"/>
      <c r="AM93" s="47" t="str">
        <f t="shared" si="25"/>
        <v/>
      </c>
    </row>
    <row r="94" spans="1:39" s="56" customFormat="1" ht="24.75" customHeight="1">
      <c r="A94" s="44"/>
      <c r="B94" s="45"/>
      <c r="C94" s="46">
        <f>IF(B94&lt;&gt;"",VLOOKUP(B94,'Tipo Projeto'!$A$3:$B$35,2,0),0)</f>
        <v>0</v>
      </c>
      <c r="D94" s="47"/>
      <c r="E94" s="47"/>
      <c r="F94" s="48"/>
      <c r="G94" s="47"/>
      <c r="H94" s="49"/>
      <c r="I94" s="50"/>
      <c r="J94" s="51"/>
      <c r="K94" s="52"/>
      <c r="L94" s="53" t="str">
        <f t="shared" si="13"/>
        <v/>
      </c>
      <c r="M94" s="48" t="str">
        <f t="shared" si="14"/>
        <v/>
      </c>
      <c r="N94" s="54" t="str">
        <f t="shared" si="15"/>
        <v/>
      </c>
      <c r="O94" s="55">
        <f t="shared" si="16"/>
        <v>0</v>
      </c>
      <c r="P94" s="55">
        <f t="shared" si="17"/>
        <v>0</v>
      </c>
      <c r="Q94" s="54">
        <f t="shared" si="18"/>
        <v>0</v>
      </c>
      <c r="R94" s="47"/>
      <c r="T94" s="57"/>
      <c r="U94" s="45"/>
      <c r="V94" s="46">
        <f>IF(U94&lt;&gt;"",VLOOKUP(U94,'Tipo Projeto'!$A$3:$B$35,2,0),0)</f>
        <v>0</v>
      </c>
      <c r="W94" s="47"/>
      <c r="X94" s="49"/>
      <c r="Y94" s="50"/>
      <c r="Z94" s="51"/>
      <c r="AA94" s="52"/>
      <c r="AB94" s="53" t="str">
        <f t="shared" si="19"/>
        <v/>
      </c>
      <c r="AC94" s="48" t="str">
        <f t="shared" si="20"/>
        <v/>
      </c>
      <c r="AD94" s="54" t="str">
        <f t="shared" si="21"/>
        <v/>
      </c>
      <c r="AE94" s="55">
        <f t="shared" si="22"/>
        <v>0</v>
      </c>
      <c r="AF94" s="55">
        <f t="shared" si="23"/>
        <v>0</v>
      </c>
      <c r="AG94" s="58">
        <f t="shared" si="24"/>
        <v>0</v>
      </c>
      <c r="AH94" s="47"/>
      <c r="AJ94" s="47"/>
      <c r="AL94" s="47"/>
      <c r="AM94" s="47" t="str">
        <f t="shared" si="25"/>
        <v/>
      </c>
    </row>
    <row r="95" spans="1:39" s="56" customFormat="1" ht="24.75" customHeight="1">
      <c r="A95" s="44"/>
      <c r="B95" s="45"/>
      <c r="C95" s="46">
        <f>IF(B95&lt;&gt;"",VLOOKUP(B95,'Tipo Projeto'!$A$3:$B$35,2,0),0)</f>
        <v>0</v>
      </c>
      <c r="D95" s="47"/>
      <c r="E95" s="47"/>
      <c r="F95" s="48"/>
      <c r="G95" s="47"/>
      <c r="H95" s="49"/>
      <c r="I95" s="50"/>
      <c r="J95" s="51"/>
      <c r="K95" s="52"/>
      <c r="L95" s="53" t="str">
        <f t="shared" si="13"/>
        <v/>
      </c>
      <c r="M95" s="48" t="str">
        <f t="shared" si="14"/>
        <v/>
      </c>
      <c r="N95" s="54" t="str">
        <f t="shared" si="15"/>
        <v/>
      </c>
      <c r="O95" s="55">
        <f t="shared" si="16"/>
        <v>0</v>
      </c>
      <c r="P95" s="55">
        <f t="shared" si="17"/>
        <v>0</v>
      </c>
      <c r="Q95" s="54">
        <f t="shared" si="18"/>
        <v>0</v>
      </c>
      <c r="R95" s="47"/>
      <c r="T95" s="57"/>
      <c r="U95" s="45"/>
      <c r="V95" s="46">
        <f>IF(U95&lt;&gt;"",VLOOKUP(U95,'Tipo Projeto'!$A$3:$B$35,2,0),0)</f>
        <v>0</v>
      </c>
      <c r="W95" s="47"/>
      <c r="X95" s="49"/>
      <c r="Y95" s="50"/>
      <c r="Z95" s="51"/>
      <c r="AA95" s="52"/>
      <c r="AB95" s="53" t="str">
        <f t="shared" si="19"/>
        <v/>
      </c>
      <c r="AC95" s="48" t="str">
        <f t="shared" si="20"/>
        <v/>
      </c>
      <c r="AD95" s="54" t="str">
        <f t="shared" si="21"/>
        <v/>
      </c>
      <c r="AE95" s="55">
        <f t="shared" si="22"/>
        <v>0</v>
      </c>
      <c r="AF95" s="55">
        <f t="shared" si="23"/>
        <v>0</v>
      </c>
      <c r="AG95" s="58">
        <f t="shared" si="24"/>
        <v>0</v>
      </c>
      <c r="AH95" s="47"/>
      <c r="AJ95" s="47"/>
      <c r="AL95" s="47"/>
      <c r="AM95" s="47" t="str">
        <f t="shared" si="25"/>
        <v/>
      </c>
    </row>
    <row r="96" spans="1:39" s="56" customFormat="1" ht="24.75" customHeight="1">
      <c r="A96" s="44"/>
      <c r="B96" s="45"/>
      <c r="C96" s="46">
        <f>IF(B96&lt;&gt;"",VLOOKUP(B96,'Tipo Projeto'!$A$3:$B$35,2,0),0)</f>
        <v>0</v>
      </c>
      <c r="D96" s="47"/>
      <c r="E96" s="47"/>
      <c r="F96" s="48"/>
      <c r="G96" s="47"/>
      <c r="H96" s="49"/>
      <c r="I96" s="50"/>
      <c r="J96" s="51"/>
      <c r="K96" s="52"/>
      <c r="L96" s="53" t="str">
        <f t="shared" si="13"/>
        <v/>
      </c>
      <c r="M96" s="48" t="str">
        <f t="shared" si="14"/>
        <v/>
      </c>
      <c r="N96" s="54" t="str">
        <f t="shared" si="15"/>
        <v/>
      </c>
      <c r="O96" s="55">
        <f t="shared" si="16"/>
        <v>0</v>
      </c>
      <c r="P96" s="55">
        <f t="shared" si="17"/>
        <v>0</v>
      </c>
      <c r="Q96" s="54">
        <f t="shared" si="18"/>
        <v>0</v>
      </c>
      <c r="R96" s="47"/>
      <c r="T96" s="57"/>
      <c r="U96" s="45"/>
      <c r="V96" s="46">
        <f>IF(U96&lt;&gt;"",VLOOKUP(U96,'Tipo Projeto'!$A$3:$B$35,2,0),0)</f>
        <v>0</v>
      </c>
      <c r="W96" s="47"/>
      <c r="X96" s="49"/>
      <c r="Y96" s="50"/>
      <c r="Z96" s="51"/>
      <c r="AA96" s="52"/>
      <c r="AB96" s="53" t="str">
        <f t="shared" si="19"/>
        <v/>
      </c>
      <c r="AC96" s="48" t="str">
        <f t="shared" si="20"/>
        <v/>
      </c>
      <c r="AD96" s="54" t="str">
        <f t="shared" si="21"/>
        <v/>
      </c>
      <c r="AE96" s="55">
        <f t="shared" si="22"/>
        <v>0</v>
      </c>
      <c r="AF96" s="55">
        <f t="shared" si="23"/>
        <v>0</v>
      </c>
      <c r="AG96" s="58">
        <f t="shared" si="24"/>
        <v>0</v>
      </c>
      <c r="AH96" s="47"/>
      <c r="AJ96" s="47"/>
      <c r="AL96" s="47"/>
      <c r="AM96" s="47" t="str">
        <f t="shared" si="25"/>
        <v/>
      </c>
    </row>
    <row r="97" spans="1:39" s="56" customFormat="1" ht="24.75" customHeight="1">
      <c r="A97" s="44"/>
      <c r="B97" s="45"/>
      <c r="C97" s="46">
        <f>IF(B97&lt;&gt;"",VLOOKUP(B97,'Tipo Projeto'!$A$3:$B$35,2,0),0)</f>
        <v>0</v>
      </c>
      <c r="D97" s="47"/>
      <c r="E97" s="47"/>
      <c r="F97" s="48"/>
      <c r="G97" s="47"/>
      <c r="H97" s="49"/>
      <c r="I97" s="50"/>
      <c r="J97" s="51"/>
      <c r="K97" s="52"/>
      <c r="L97" s="53" t="str">
        <f t="shared" si="13"/>
        <v/>
      </c>
      <c r="M97" s="48" t="str">
        <f t="shared" si="14"/>
        <v/>
      </c>
      <c r="N97" s="54" t="str">
        <f t="shared" si="15"/>
        <v/>
      </c>
      <c r="O97" s="55">
        <f t="shared" si="16"/>
        <v>0</v>
      </c>
      <c r="P97" s="55">
        <f t="shared" si="17"/>
        <v>0</v>
      </c>
      <c r="Q97" s="54">
        <f t="shared" si="18"/>
        <v>0</v>
      </c>
      <c r="R97" s="47"/>
      <c r="T97" s="57"/>
      <c r="U97" s="45"/>
      <c r="V97" s="46">
        <f>IF(U97&lt;&gt;"",VLOOKUP(U97,'Tipo Projeto'!$A$3:$B$35,2,0),0)</f>
        <v>0</v>
      </c>
      <c r="W97" s="47"/>
      <c r="X97" s="49"/>
      <c r="Y97" s="50"/>
      <c r="Z97" s="51"/>
      <c r="AA97" s="52"/>
      <c r="AB97" s="53" t="str">
        <f t="shared" si="19"/>
        <v/>
      </c>
      <c r="AC97" s="48" t="str">
        <f t="shared" si="20"/>
        <v/>
      </c>
      <c r="AD97" s="54" t="str">
        <f t="shared" si="21"/>
        <v/>
      </c>
      <c r="AE97" s="55">
        <f t="shared" si="22"/>
        <v>0</v>
      </c>
      <c r="AF97" s="55">
        <f t="shared" si="23"/>
        <v>0</v>
      </c>
      <c r="AG97" s="58">
        <f t="shared" si="24"/>
        <v>0</v>
      </c>
      <c r="AH97" s="47"/>
      <c r="AJ97" s="47"/>
      <c r="AL97" s="47"/>
      <c r="AM97" s="47" t="str">
        <f t="shared" si="25"/>
        <v/>
      </c>
    </row>
    <row r="98" spans="1:39" s="56" customFormat="1" ht="24.75" customHeight="1">
      <c r="A98" s="44"/>
      <c r="B98" s="45"/>
      <c r="C98" s="46">
        <f>IF(B98&lt;&gt;"",VLOOKUP(B98,'Tipo Projeto'!$A$3:$B$35,2,0),0)</f>
        <v>0</v>
      </c>
      <c r="D98" s="47"/>
      <c r="E98" s="47"/>
      <c r="F98" s="48"/>
      <c r="G98" s="47"/>
      <c r="H98" s="49"/>
      <c r="I98" s="50"/>
      <c r="J98" s="51"/>
      <c r="K98" s="52"/>
      <c r="L98" s="53" t="str">
        <f t="shared" si="13"/>
        <v/>
      </c>
      <c r="M98" s="48" t="str">
        <f t="shared" si="14"/>
        <v/>
      </c>
      <c r="N98" s="54" t="str">
        <f t="shared" si="15"/>
        <v/>
      </c>
      <c r="O98" s="55">
        <f t="shared" si="16"/>
        <v>0</v>
      </c>
      <c r="P98" s="55">
        <f t="shared" si="17"/>
        <v>0</v>
      </c>
      <c r="Q98" s="54">
        <f t="shared" si="18"/>
        <v>0</v>
      </c>
      <c r="R98" s="47"/>
      <c r="T98" s="57"/>
      <c r="U98" s="45"/>
      <c r="V98" s="46">
        <f>IF(U98&lt;&gt;"",VLOOKUP(U98,'Tipo Projeto'!$A$3:$B$35,2,0),0)</f>
        <v>0</v>
      </c>
      <c r="W98" s="47"/>
      <c r="X98" s="49"/>
      <c r="Y98" s="50"/>
      <c r="Z98" s="51"/>
      <c r="AA98" s="52"/>
      <c r="AB98" s="53" t="str">
        <f t="shared" si="19"/>
        <v/>
      </c>
      <c r="AC98" s="48" t="str">
        <f t="shared" si="20"/>
        <v/>
      </c>
      <c r="AD98" s="54" t="str">
        <f t="shared" si="21"/>
        <v/>
      </c>
      <c r="AE98" s="55">
        <f t="shared" si="22"/>
        <v>0</v>
      </c>
      <c r="AF98" s="55">
        <f t="shared" si="23"/>
        <v>0</v>
      </c>
      <c r="AG98" s="58">
        <f t="shared" si="24"/>
        <v>0</v>
      </c>
      <c r="AH98" s="47"/>
      <c r="AJ98" s="47"/>
      <c r="AL98" s="47"/>
      <c r="AM98" s="47" t="str">
        <f t="shared" si="25"/>
        <v/>
      </c>
    </row>
    <row r="99" spans="1:39" s="56" customFormat="1" ht="24.75" customHeight="1">
      <c r="A99" s="44"/>
      <c r="B99" s="45"/>
      <c r="C99" s="46">
        <f>IF(B99&lt;&gt;"",VLOOKUP(B99,'Tipo Projeto'!$A$3:$B$35,2,0),0)</f>
        <v>0</v>
      </c>
      <c r="D99" s="47"/>
      <c r="E99" s="47"/>
      <c r="F99" s="48"/>
      <c r="G99" s="47"/>
      <c r="H99" s="49"/>
      <c r="I99" s="50"/>
      <c r="J99" s="51"/>
      <c r="K99" s="52"/>
      <c r="L99" s="53" t="str">
        <f t="shared" si="13"/>
        <v/>
      </c>
      <c r="M99" s="48" t="str">
        <f t="shared" si="14"/>
        <v/>
      </c>
      <c r="N99" s="54" t="str">
        <f t="shared" si="15"/>
        <v/>
      </c>
      <c r="O99" s="55">
        <f t="shared" si="16"/>
        <v>0</v>
      </c>
      <c r="P99" s="55">
        <f t="shared" si="17"/>
        <v>0</v>
      </c>
      <c r="Q99" s="54">
        <f t="shared" si="18"/>
        <v>0</v>
      </c>
      <c r="R99" s="47"/>
      <c r="T99" s="57"/>
      <c r="U99" s="45"/>
      <c r="V99" s="46">
        <f>IF(U99&lt;&gt;"",VLOOKUP(U99,'Tipo Projeto'!$A$3:$B$35,2,0),0)</f>
        <v>0</v>
      </c>
      <c r="W99" s="47"/>
      <c r="X99" s="49"/>
      <c r="Y99" s="50"/>
      <c r="Z99" s="51"/>
      <c r="AA99" s="52"/>
      <c r="AB99" s="53" t="str">
        <f t="shared" si="19"/>
        <v/>
      </c>
      <c r="AC99" s="48" t="str">
        <f t="shared" si="20"/>
        <v/>
      </c>
      <c r="AD99" s="54" t="str">
        <f t="shared" si="21"/>
        <v/>
      </c>
      <c r="AE99" s="55">
        <f t="shared" si="22"/>
        <v>0</v>
      </c>
      <c r="AF99" s="55">
        <f t="shared" si="23"/>
        <v>0</v>
      </c>
      <c r="AG99" s="58">
        <f t="shared" si="24"/>
        <v>0</v>
      </c>
      <c r="AH99" s="47"/>
      <c r="AJ99" s="47"/>
      <c r="AL99" s="47"/>
      <c r="AM99" s="47" t="str">
        <f t="shared" si="25"/>
        <v/>
      </c>
    </row>
    <row r="100" spans="1:39" s="56" customFormat="1" ht="24.75" customHeight="1">
      <c r="A100" s="44"/>
      <c r="B100" s="45"/>
      <c r="C100" s="46">
        <f>IF(B100&lt;&gt;"",VLOOKUP(B100,'Tipo Projeto'!$A$3:$B$35,2,0),0)</f>
        <v>0</v>
      </c>
      <c r="D100" s="47"/>
      <c r="E100" s="47"/>
      <c r="F100" s="48"/>
      <c r="G100" s="47"/>
      <c r="H100" s="49"/>
      <c r="I100" s="50"/>
      <c r="J100" s="51"/>
      <c r="K100" s="52"/>
      <c r="L100" s="53" t="str">
        <f t="shared" si="13"/>
        <v/>
      </c>
      <c r="M100" s="48" t="str">
        <f t="shared" si="14"/>
        <v/>
      </c>
      <c r="N100" s="54" t="str">
        <f t="shared" si="15"/>
        <v/>
      </c>
      <c r="O100" s="55">
        <f t="shared" si="16"/>
        <v>0</v>
      </c>
      <c r="P100" s="55">
        <f t="shared" si="17"/>
        <v>0</v>
      </c>
      <c r="Q100" s="54">
        <f t="shared" si="18"/>
        <v>0</v>
      </c>
      <c r="R100" s="47"/>
      <c r="T100" s="57"/>
      <c r="U100" s="45"/>
      <c r="V100" s="46">
        <f>IF(U100&lt;&gt;"",VLOOKUP(U100,'Tipo Projeto'!$A$3:$B$35,2,0),0)</f>
        <v>0</v>
      </c>
      <c r="W100" s="47"/>
      <c r="X100" s="49"/>
      <c r="Y100" s="50"/>
      <c r="Z100" s="51"/>
      <c r="AA100" s="52"/>
      <c r="AB100" s="53" t="str">
        <f t="shared" si="19"/>
        <v/>
      </c>
      <c r="AC100" s="48" t="str">
        <f t="shared" si="20"/>
        <v/>
      </c>
      <c r="AD100" s="54" t="str">
        <f t="shared" si="21"/>
        <v/>
      </c>
      <c r="AE100" s="55">
        <f t="shared" si="22"/>
        <v>0</v>
      </c>
      <c r="AF100" s="55">
        <f t="shared" si="23"/>
        <v>0</v>
      </c>
      <c r="AG100" s="58">
        <f t="shared" si="24"/>
        <v>0</v>
      </c>
      <c r="AH100" s="47"/>
      <c r="AJ100" s="47"/>
      <c r="AL100" s="47"/>
      <c r="AM100" s="47" t="str">
        <f t="shared" si="25"/>
        <v/>
      </c>
    </row>
    <row r="101" spans="1:39" s="56" customFormat="1" ht="24.75" customHeight="1">
      <c r="A101" s="44"/>
      <c r="B101" s="45"/>
      <c r="C101" s="46">
        <f>IF(B101&lt;&gt;"",VLOOKUP(B101,'Tipo Projeto'!$A$3:$B$35,2,0),0)</f>
        <v>0</v>
      </c>
      <c r="D101" s="47"/>
      <c r="E101" s="47"/>
      <c r="F101" s="48"/>
      <c r="G101" s="47"/>
      <c r="H101" s="49"/>
      <c r="I101" s="50"/>
      <c r="J101" s="51"/>
      <c r="K101" s="52"/>
      <c r="L101" s="53" t="str">
        <f t="shared" si="13"/>
        <v/>
      </c>
      <c r="M101" s="48" t="str">
        <f t="shared" si="14"/>
        <v/>
      </c>
      <c r="N101" s="54" t="str">
        <f t="shared" si="15"/>
        <v/>
      </c>
      <c r="O101" s="55">
        <f t="shared" si="16"/>
        <v>0</v>
      </c>
      <c r="P101" s="55">
        <f t="shared" si="17"/>
        <v>0</v>
      </c>
      <c r="Q101" s="54">
        <f t="shared" si="18"/>
        <v>0</v>
      </c>
      <c r="R101" s="47"/>
      <c r="T101" s="57"/>
      <c r="U101" s="45"/>
      <c r="V101" s="46">
        <f>IF(U101&lt;&gt;"",VLOOKUP(U101,'Tipo Projeto'!$A$3:$B$35,2,0),0)</f>
        <v>0</v>
      </c>
      <c r="W101" s="47"/>
      <c r="X101" s="49"/>
      <c r="Y101" s="50"/>
      <c r="Z101" s="51"/>
      <c r="AA101" s="52"/>
      <c r="AB101" s="53" t="str">
        <f t="shared" si="19"/>
        <v/>
      </c>
      <c r="AC101" s="48" t="str">
        <f t="shared" si="20"/>
        <v/>
      </c>
      <c r="AD101" s="54" t="str">
        <f t="shared" si="21"/>
        <v/>
      </c>
      <c r="AE101" s="55">
        <f t="shared" si="22"/>
        <v>0</v>
      </c>
      <c r="AF101" s="55">
        <f t="shared" si="23"/>
        <v>0</v>
      </c>
      <c r="AG101" s="58">
        <f t="shared" si="24"/>
        <v>0</v>
      </c>
      <c r="AH101" s="47"/>
      <c r="AJ101" s="47"/>
      <c r="AL101" s="47"/>
      <c r="AM101" s="47" t="str">
        <f t="shared" si="25"/>
        <v/>
      </c>
    </row>
    <row r="102" spans="1:39" s="56" customFormat="1" ht="24.75" customHeight="1">
      <c r="A102" s="44"/>
      <c r="B102" s="45"/>
      <c r="C102" s="46">
        <f>IF(B102&lt;&gt;"",VLOOKUP(B102,'Tipo Projeto'!$A$3:$B$35,2,0),0)</f>
        <v>0</v>
      </c>
      <c r="D102" s="47"/>
      <c r="E102" s="47"/>
      <c r="F102" s="48"/>
      <c r="G102" s="47"/>
      <c r="H102" s="49"/>
      <c r="I102" s="50"/>
      <c r="J102" s="51"/>
      <c r="K102" s="52"/>
      <c r="L102" s="53" t="str">
        <f t="shared" si="13"/>
        <v/>
      </c>
      <c r="M102" s="48" t="str">
        <f t="shared" si="14"/>
        <v/>
      </c>
      <c r="N102" s="54" t="str">
        <f t="shared" si="15"/>
        <v/>
      </c>
      <c r="O102" s="55">
        <f t="shared" si="16"/>
        <v>0</v>
      </c>
      <c r="P102" s="55">
        <f t="shared" si="17"/>
        <v>0</v>
      </c>
      <c r="Q102" s="54">
        <f t="shared" si="18"/>
        <v>0</v>
      </c>
      <c r="R102" s="47"/>
      <c r="T102" s="57"/>
      <c r="U102" s="45"/>
      <c r="V102" s="46">
        <f>IF(U102&lt;&gt;"",VLOOKUP(U102,'Tipo Projeto'!$A$3:$B$35,2,0),0)</f>
        <v>0</v>
      </c>
      <c r="W102" s="47"/>
      <c r="X102" s="49"/>
      <c r="Y102" s="50"/>
      <c r="Z102" s="51"/>
      <c r="AA102" s="52"/>
      <c r="AB102" s="53" t="str">
        <f t="shared" si="19"/>
        <v/>
      </c>
      <c r="AC102" s="48" t="str">
        <f t="shared" si="20"/>
        <v/>
      </c>
      <c r="AD102" s="54" t="str">
        <f t="shared" si="21"/>
        <v/>
      </c>
      <c r="AE102" s="55">
        <f t="shared" si="22"/>
        <v>0</v>
      </c>
      <c r="AF102" s="55">
        <f t="shared" si="23"/>
        <v>0</v>
      </c>
      <c r="AG102" s="58">
        <f t="shared" si="24"/>
        <v>0</v>
      </c>
      <c r="AH102" s="47"/>
      <c r="AJ102" s="47"/>
      <c r="AL102" s="47"/>
      <c r="AM102" s="47" t="str">
        <f t="shared" si="25"/>
        <v/>
      </c>
    </row>
    <row r="103" spans="1:39" s="56" customFormat="1" ht="24.75" customHeight="1">
      <c r="A103" s="44"/>
      <c r="B103" s="45"/>
      <c r="C103" s="46">
        <f>IF(B103&lt;&gt;"",VLOOKUP(B103,'Tipo Projeto'!$A$3:$B$35,2,0),0)</f>
        <v>0</v>
      </c>
      <c r="D103" s="47"/>
      <c r="E103" s="47"/>
      <c r="F103" s="48"/>
      <c r="G103" s="47"/>
      <c r="H103" s="49"/>
      <c r="I103" s="50"/>
      <c r="J103" s="51"/>
      <c r="K103" s="52"/>
      <c r="L103" s="53" t="str">
        <f t="shared" si="13"/>
        <v/>
      </c>
      <c r="M103" s="48" t="str">
        <f t="shared" si="14"/>
        <v/>
      </c>
      <c r="N103" s="54" t="str">
        <f t="shared" si="15"/>
        <v/>
      </c>
      <c r="O103" s="55">
        <f t="shared" si="16"/>
        <v>0</v>
      </c>
      <c r="P103" s="55">
        <f t="shared" si="17"/>
        <v>0</v>
      </c>
      <c r="Q103" s="54">
        <f t="shared" si="18"/>
        <v>0</v>
      </c>
      <c r="R103" s="47"/>
      <c r="T103" s="57"/>
      <c r="U103" s="45"/>
      <c r="V103" s="46">
        <f>IF(U103&lt;&gt;"",VLOOKUP(U103,'Tipo Projeto'!$A$3:$B$35,2,0),0)</f>
        <v>0</v>
      </c>
      <c r="W103" s="47"/>
      <c r="X103" s="49"/>
      <c r="Y103" s="50"/>
      <c r="Z103" s="51"/>
      <c r="AA103" s="52"/>
      <c r="AB103" s="53" t="str">
        <f t="shared" si="19"/>
        <v/>
      </c>
      <c r="AC103" s="48" t="str">
        <f t="shared" si="20"/>
        <v/>
      </c>
      <c r="AD103" s="54" t="str">
        <f t="shared" si="21"/>
        <v/>
      </c>
      <c r="AE103" s="55">
        <f t="shared" si="22"/>
        <v>0</v>
      </c>
      <c r="AF103" s="55">
        <f t="shared" si="23"/>
        <v>0</v>
      </c>
      <c r="AG103" s="58">
        <f t="shared" si="24"/>
        <v>0</v>
      </c>
      <c r="AH103" s="47"/>
      <c r="AJ103" s="47"/>
      <c r="AL103" s="47"/>
      <c r="AM103" s="47" t="str">
        <f t="shared" si="25"/>
        <v/>
      </c>
    </row>
    <row r="104" spans="1:39" s="56" customFormat="1" ht="24.75" customHeight="1">
      <c r="A104" s="44"/>
      <c r="B104" s="45"/>
      <c r="C104" s="46">
        <f>IF(B104&lt;&gt;"",VLOOKUP(B104,'Tipo Projeto'!$A$3:$B$35,2,0),0)</f>
        <v>0</v>
      </c>
      <c r="D104" s="47"/>
      <c r="E104" s="47"/>
      <c r="F104" s="48"/>
      <c r="G104" s="47"/>
      <c r="H104" s="49"/>
      <c r="I104" s="50"/>
      <c r="J104" s="51"/>
      <c r="K104" s="52"/>
      <c r="L104" s="53" t="str">
        <f t="shared" si="13"/>
        <v/>
      </c>
      <c r="M104" s="48" t="str">
        <f t="shared" si="14"/>
        <v/>
      </c>
      <c r="N104" s="54" t="str">
        <f t="shared" si="15"/>
        <v/>
      </c>
      <c r="O104" s="55">
        <f t="shared" si="16"/>
        <v>0</v>
      </c>
      <c r="P104" s="55">
        <f t="shared" si="17"/>
        <v>0</v>
      </c>
      <c r="Q104" s="54">
        <f t="shared" si="18"/>
        <v>0</v>
      </c>
      <c r="R104" s="47"/>
      <c r="T104" s="57"/>
      <c r="U104" s="45"/>
      <c r="V104" s="46">
        <f>IF(U104&lt;&gt;"",VLOOKUP(U104,'Tipo Projeto'!$A$3:$B$35,2,0),0)</f>
        <v>0</v>
      </c>
      <c r="W104" s="47"/>
      <c r="X104" s="49"/>
      <c r="Y104" s="50"/>
      <c r="Z104" s="51"/>
      <c r="AA104" s="52"/>
      <c r="AB104" s="53" t="str">
        <f t="shared" si="19"/>
        <v/>
      </c>
      <c r="AC104" s="48" t="str">
        <f t="shared" si="20"/>
        <v/>
      </c>
      <c r="AD104" s="54" t="str">
        <f t="shared" si="21"/>
        <v/>
      </c>
      <c r="AE104" s="55">
        <f t="shared" si="22"/>
        <v>0</v>
      </c>
      <c r="AF104" s="55">
        <f t="shared" si="23"/>
        <v>0</v>
      </c>
      <c r="AG104" s="58">
        <f t="shared" si="24"/>
        <v>0</v>
      </c>
      <c r="AH104" s="47"/>
      <c r="AJ104" s="47"/>
      <c r="AL104" s="47"/>
      <c r="AM104" s="47" t="str">
        <f t="shared" si="25"/>
        <v/>
      </c>
    </row>
    <row r="105" spans="1:39" s="56" customFormat="1" ht="24.75" customHeight="1">
      <c r="A105" s="44"/>
      <c r="B105" s="45"/>
      <c r="C105" s="46">
        <f>IF(B105&lt;&gt;"",VLOOKUP(B105,'Tipo Projeto'!$A$3:$B$35,2,0),0)</f>
        <v>0</v>
      </c>
      <c r="D105" s="47"/>
      <c r="E105" s="47"/>
      <c r="F105" s="48"/>
      <c r="G105" s="47"/>
      <c r="H105" s="49"/>
      <c r="I105" s="50"/>
      <c r="J105" s="51"/>
      <c r="K105" s="52"/>
      <c r="L105" s="53" t="str">
        <f t="shared" si="13"/>
        <v/>
      </c>
      <c r="M105" s="48" t="str">
        <f t="shared" si="14"/>
        <v/>
      </c>
      <c r="N105" s="54" t="str">
        <f t="shared" si="15"/>
        <v/>
      </c>
      <c r="O105" s="55">
        <f t="shared" si="16"/>
        <v>0</v>
      </c>
      <c r="P105" s="55">
        <f t="shared" si="17"/>
        <v>0</v>
      </c>
      <c r="Q105" s="54">
        <f t="shared" si="18"/>
        <v>0</v>
      </c>
      <c r="R105" s="47"/>
      <c r="T105" s="57"/>
      <c r="U105" s="45"/>
      <c r="V105" s="46">
        <f>IF(U105&lt;&gt;"",VLOOKUP(U105,'Tipo Projeto'!$A$3:$B$35,2,0),0)</f>
        <v>0</v>
      </c>
      <c r="W105" s="47"/>
      <c r="X105" s="49"/>
      <c r="Y105" s="50"/>
      <c r="Z105" s="51"/>
      <c r="AA105" s="52"/>
      <c r="AB105" s="53" t="str">
        <f t="shared" si="19"/>
        <v/>
      </c>
      <c r="AC105" s="48" t="str">
        <f t="shared" si="20"/>
        <v/>
      </c>
      <c r="AD105" s="54" t="str">
        <f t="shared" si="21"/>
        <v/>
      </c>
      <c r="AE105" s="55">
        <f t="shared" si="22"/>
        <v>0</v>
      </c>
      <c r="AF105" s="55">
        <f t="shared" si="23"/>
        <v>0</v>
      </c>
      <c r="AG105" s="58">
        <f t="shared" si="24"/>
        <v>0</v>
      </c>
      <c r="AH105" s="47"/>
      <c r="AJ105" s="47"/>
      <c r="AL105" s="47"/>
      <c r="AM105" s="47" t="str">
        <f t="shared" si="25"/>
        <v/>
      </c>
    </row>
    <row r="106" spans="1:39" s="56" customFormat="1" ht="24.75" customHeight="1">
      <c r="A106" s="44"/>
      <c r="B106" s="45"/>
      <c r="C106" s="46">
        <f>IF(B106&lt;&gt;"",VLOOKUP(B106,'Tipo Projeto'!$A$3:$B$35,2,0),0)</f>
        <v>0</v>
      </c>
      <c r="D106" s="47"/>
      <c r="E106" s="47"/>
      <c r="F106" s="48"/>
      <c r="G106" s="47"/>
      <c r="H106" s="49"/>
      <c r="I106" s="50"/>
      <c r="J106" s="51"/>
      <c r="K106" s="52"/>
      <c r="L106" s="53" t="str">
        <f t="shared" si="13"/>
        <v/>
      </c>
      <c r="M106" s="48" t="str">
        <f t="shared" si="14"/>
        <v/>
      </c>
      <c r="N106" s="54" t="str">
        <f t="shared" si="15"/>
        <v/>
      </c>
      <c r="O106" s="55">
        <f t="shared" si="16"/>
        <v>0</v>
      </c>
      <c r="P106" s="55">
        <f t="shared" si="17"/>
        <v>0</v>
      </c>
      <c r="Q106" s="54">
        <f t="shared" si="18"/>
        <v>0</v>
      </c>
      <c r="R106" s="47"/>
      <c r="T106" s="57"/>
      <c r="U106" s="45"/>
      <c r="V106" s="46">
        <f>IF(U106&lt;&gt;"",VLOOKUP(U106,'Tipo Projeto'!$A$3:$B$35,2,0),0)</f>
        <v>0</v>
      </c>
      <c r="W106" s="47"/>
      <c r="X106" s="49"/>
      <c r="Y106" s="50"/>
      <c r="Z106" s="51"/>
      <c r="AA106" s="52"/>
      <c r="AB106" s="53" t="str">
        <f t="shared" si="19"/>
        <v/>
      </c>
      <c r="AC106" s="48" t="str">
        <f t="shared" si="20"/>
        <v/>
      </c>
      <c r="AD106" s="54" t="str">
        <f t="shared" si="21"/>
        <v/>
      </c>
      <c r="AE106" s="55">
        <f t="shared" si="22"/>
        <v>0</v>
      </c>
      <c r="AF106" s="55">
        <f t="shared" si="23"/>
        <v>0</v>
      </c>
      <c r="AG106" s="58">
        <f t="shared" si="24"/>
        <v>0</v>
      </c>
      <c r="AH106" s="47"/>
      <c r="AJ106" s="47"/>
      <c r="AL106" s="47"/>
      <c r="AM106" s="47" t="str">
        <f t="shared" si="25"/>
        <v/>
      </c>
    </row>
    <row r="107" spans="1:39" s="56" customFormat="1" ht="24.75" customHeight="1">
      <c r="A107" s="44"/>
      <c r="B107" s="45"/>
      <c r="C107" s="46">
        <f>IF(B107&lt;&gt;"",VLOOKUP(B107,'Tipo Projeto'!$A$3:$B$35,2,0),0)</f>
        <v>0</v>
      </c>
      <c r="D107" s="47"/>
      <c r="E107" s="47"/>
      <c r="F107" s="48"/>
      <c r="G107" s="47"/>
      <c r="H107" s="49"/>
      <c r="I107" s="50"/>
      <c r="J107" s="51"/>
      <c r="K107" s="52"/>
      <c r="L107" s="53" t="str">
        <f t="shared" si="13"/>
        <v/>
      </c>
      <c r="M107" s="48" t="str">
        <f t="shared" si="14"/>
        <v/>
      </c>
      <c r="N107" s="54" t="str">
        <f t="shared" si="15"/>
        <v/>
      </c>
      <c r="O107" s="55">
        <f t="shared" si="16"/>
        <v>0</v>
      </c>
      <c r="P107" s="55">
        <f t="shared" si="17"/>
        <v>0</v>
      </c>
      <c r="Q107" s="54">
        <f t="shared" si="18"/>
        <v>0</v>
      </c>
      <c r="R107" s="47"/>
      <c r="T107" s="57"/>
      <c r="U107" s="45"/>
      <c r="V107" s="46">
        <f>IF(U107&lt;&gt;"",VLOOKUP(U107,'Tipo Projeto'!$A$3:$B$35,2,0),0)</f>
        <v>0</v>
      </c>
      <c r="W107" s="47"/>
      <c r="X107" s="49"/>
      <c r="Y107" s="50"/>
      <c r="Z107" s="51"/>
      <c r="AA107" s="52"/>
      <c r="AB107" s="53" t="str">
        <f t="shared" si="19"/>
        <v/>
      </c>
      <c r="AC107" s="48" t="str">
        <f t="shared" si="20"/>
        <v/>
      </c>
      <c r="AD107" s="54" t="str">
        <f t="shared" si="21"/>
        <v/>
      </c>
      <c r="AE107" s="55">
        <f t="shared" si="22"/>
        <v>0</v>
      </c>
      <c r="AF107" s="55">
        <f t="shared" si="23"/>
        <v>0</v>
      </c>
      <c r="AG107" s="58">
        <f t="shared" si="24"/>
        <v>0</v>
      </c>
      <c r="AH107" s="47"/>
      <c r="AJ107" s="47"/>
      <c r="AL107" s="47"/>
      <c r="AM107" s="47" t="str">
        <f t="shared" si="25"/>
        <v/>
      </c>
    </row>
    <row r="108" spans="1:39" s="56" customFormat="1" ht="24.75" customHeight="1">
      <c r="A108" s="44"/>
      <c r="B108" s="45"/>
      <c r="C108" s="46">
        <f>IF(B108&lt;&gt;"",VLOOKUP(B108,'Tipo Projeto'!$A$3:$B$35,2,0),0)</f>
        <v>0</v>
      </c>
      <c r="D108" s="47"/>
      <c r="E108" s="47"/>
      <c r="F108" s="48"/>
      <c r="G108" s="47"/>
      <c r="H108" s="49"/>
      <c r="I108" s="50"/>
      <c r="J108" s="51"/>
      <c r="K108" s="52"/>
      <c r="L108" s="53" t="str">
        <f t="shared" si="13"/>
        <v/>
      </c>
      <c r="M108" s="48" t="str">
        <f t="shared" si="14"/>
        <v/>
      </c>
      <c r="N108" s="54" t="str">
        <f t="shared" si="15"/>
        <v/>
      </c>
      <c r="O108" s="55">
        <f t="shared" si="16"/>
        <v>0</v>
      </c>
      <c r="P108" s="55">
        <f t="shared" si="17"/>
        <v>0</v>
      </c>
      <c r="Q108" s="54">
        <f t="shared" si="18"/>
        <v>0</v>
      </c>
      <c r="R108" s="47"/>
      <c r="T108" s="57"/>
      <c r="U108" s="45"/>
      <c r="V108" s="46">
        <f>IF(U108&lt;&gt;"",VLOOKUP(U108,'Tipo Projeto'!$A$3:$B$35,2,0),0)</f>
        <v>0</v>
      </c>
      <c r="W108" s="47"/>
      <c r="X108" s="49"/>
      <c r="Y108" s="50"/>
      <c r="Z108" s="51"/>
      <c r="AA108" s="52"/>
      <c r="AB108" s="53" t="str">
        <f t="shared" si="19"/>
        <v/>
      </c>
      <c r="AC108" s="48" t="str">
        <f t="shared" si="20"/>
        <v/>
      </c>
      <c r="AD108" s="54" t="str">
        <f t="shared" si="21"/>
        <v/>
      </c>
      <c r="AE108" s="55">
        <f t="shared" si="22"/>
        <v>0</v>
      </c>
      <c r="AF108" s="55">
        <f t="shared" si="23"/>
        <v>0</v>
      </c>
      <c r="AG108" s="58">
        <f t="shared" si="24"/>
        <v>0</v>
      </c>
      <c r="AH108" s="47"/>
      <c r="AJ108" s="47"/>
      <c r="AL108" s="47"/>
      <c r="AM108" s="47" t="str">
        <f t="shared" si="25"/>
        <v/>
      </c>
    </row>
    <row r="109" spans="1:39" s="56" customFormat="1" ht="24.75" customHeight="1">
      <c r="A109" s="44"/>
      <c r="B109" s="45"/>
      <c r="C109" s="46">
        <f>IF(B109&lt;&gt;"",VLOOKUP(B109,'Tipo Projeto'!$A$3:$B$35,2,0),0)</f>
        <v>0</v>
      </c>
      <c r="D109" s="47"/>
      <c r="E109" s="47"/>
      <c r="F109" s="48"/>
      <c r="G109" s="47"/>
      <c r="H109" s="49"/>
      <c r="I109" s="50"/>
      <c r="J109" s="51"/>
      <c r="K109" s="52"/>
      <c r="L109" s="53" t="str">
        <f t="shared" si="13"/>
        <v/>
      </c>
      <c r="M109" s="48" t="str">
        <f t="shared" si="14"/>
        <v/>
      </c>
      <c r="N109" s="54" t="str">
        <f t="shared" si="15"/>
        <v/>
      </c>
      <c r="O109" s="55">
        <f t="shared" si="16"/>
        <v>0</v>
      </c>
      <c r="P109" s="55">
        <f t="shared" si="17"/>
        <v>0</v>
      </c>
      <c r="Q109" s="54">
        <f t="shared" si="18"/>
        <v>0</v>
      </c>
      <c r="R109" s="47"/>
      <c r="T109" s="57"/>
      <c r="U109" s="45"/>
      <c r="V109" s="46">
        <f>IF(U109&lt;&gt;"",VLOOKUP(U109,'Tipo Projeto'!$A$3:$B$35,2,0),0)</f>
        <v>0</v>
      </c>
      <c r="W109" s="47"/>
      <c r="X109" s="49"/>
      <c r="Y109" s="50"/>
      <c r="Z109" s="51"/>
      <c r="AA109" s="52"/>
      <c r="AB109" s="53" t="str">
        <f t="shared" si="19"/>
        <v/>
      </c>
      <c r="AC109" s="48" t="str">
        <f t="shared" si="20"/>
        <v/>
      </c>
      <c r="AD109" s="54" t="str">
        <f t="shared" si="21"/>
        <v/>
      </c>
      <c r="AE109" s="55">
        <f t="shared" si="22"/>
        <v>0</v>
      </c>
      <c r="AF109" s="55">
        <f t="shared" si="23"/>
        <v>0</v>
      </c>
      <c r="AG109" s="58">
        <f t="shared" si="24"/>
        <v>0</v>
      </c>
      <c r="AH109" s="47"/>
      <c r="AJ109" s="47"/>
      <c r="AL109" s="47"/>
      <c r="AM109" s="47" t="str">
        <f t="shared" si="25"/>
        <v/>
      </c>
    </row>
    <row r="110" spans="1:39" s="56" customFormat="1" ht="24.75" customHeight="1">
      <c r="A110" s="44"/>
      <c r="B110" s="45"/>
      <c r="C110" s="46">
        <f>IF(B110&lt;&gt;"",VLOOKUP(B110,'Tipo Projeto'!$A$3:$B$35,2,0),0)</f>
        <v>0</v>
      </c>
      <c r="D110" s="47"/>
      <c r="E110" s="47"/>
      <c r="F110" s="48"/>
      <c r="G110" s="47"/>
      <c r="H110" s="49"/>
      <c r="I110" s="50"/>
      <c r="J110" s="51"/>
      <c r="K110" s="52"/>
      <c r="L110" s="53" t="str">
        <f t="shared" si="13"/>
        <v/>
      </c>
      <c r="M110" s="48" t="str">
        <f t="shared" si="14"/>
        <v/>
      </c>
      <c r="N110" s="54" t="str">
        <f t="shared" si="15"/>
        <v/>
      </c>
      <c r="O110" s="55">
        <f t="shared" si="16"/>
        <v>0</v>
      </c>
      <c r="P110" s="55">
        <f t="shared" si="17"/>
        <v>0</v>
      </c>
      <c r="Q110" s="54">
        <f t="shared" si="18"/>
        <v>0</v>
      </c>
      <c r="R110" s="47"/>
      <c r="T110" s="57"/>
      <c r="U110" s="45"/>
      <c r="V110" s="46">
        <f>IF(U110&lt;&gt;"",VLOOKUP(U110,'Tipo Projeto'!$A$3:$B$35,2,0),0)</f>
        <v>0</v>
      </c>
      <c r="W110" s="47"/>
      <c r="X110" s="49"/>
      <c r="Y110" s="50"/>
      <c r="Z110" s="51"/>
      <c r="AA110" s="52"/>
      <c r="AB110" s="53" t="str">
        <f t="shared" si="19"/>
        <v/>
      </c>
      <c r="AC110" s="48" t="str">
        <f t="shared" si="20"/>
        <v/>
      </c>
      <c r="AD110" s="54" t="str">
        <f t="shared" si="21"/>
        <v/>
      </c>
      <c r="AE110" s="55">
        <f t="shared" si="22"/>
        <v>0</v>
      </c>
      <c r="AF110" s="55">
        <f t="shared" si="23"/>
        <v>0</v>
      </c>
      <c r="AG110" s="58">
        <f t="shared" si="24"/>
        <v>0</v>
      </c>
      <c r="AH110" s="47"/>
      <c r="AJ110" s="47"/>
      <c r="AL110" s="47"/>
      <c r="AM110" s="47" t="str">
        <f t="shared" si="25"/>
        <v/>
      </c>
    </row>
    <row r="111" spans="1:39" s="56" customFormat="1" ht="24.75" customHeight="1">
      <c r="A111" s="44"/>
      <c r="B111" s="45"/>
      <c r="C111" s="46">
        <f>IF(B111&lt;&gt;"",VLOOKUP(B111,'Tipo Projeto'!$A$3:$B$35,2,0),0)</f>
        <v>0</v>
      </c>
      <c r="D111" s="47"/>
      <c r="E111" s="47"/>
      <c r="F111" s="48"/>
      <c r="G111" s="47"/>
      <c r="H111" s="49"/>
      <c r="I111" s="50"/>
      <c r="J111" s="51"/>
      <c r="K111" s="52"/>
      <c r="L111" s="53" t="str">
        <f t="shared" si="13"/>
        <v/>
      </c>
      <c r="M111" s="48" t="str">
        <f t="shared" si="14"/>
        <v/>
      </c>
      <c r="N111" s="54" t="str">
        <f t="shared" si="15"/>
        <v/>
      </c>
      <c r="O111" s="55">
        <f t="shared" si="16"/>
        <v>0</v>
      </c>
      <c r="P111" s="55">
        <f t="shared" si="17"/>
        <v>0</v>
      </c>
      <c r="Q111" s="54">
        <f t="shared" si="18"/>
        <v>0</v>
      </c>
      <c r="R111" s="47"/>
      <c r="T111" s="57"/>
      <c r="U111" s="45"/>
      <c r="V111" s="46">
        <f>IF(U111&lt;&gt;"",VLOOKUP(U111,'Tipo Projeto'!$A$3:$B$35,2,0),0)</f>
        <v>0</v>
      </c>
      <c r="W111" s="47"/>
      <c r="X111" s="49"/>
      <c r="Y111" s="50"/>
      <c r="Z111" s="51"/>
      <c r="AA111" s="52"/>
      <c r="AB111" s="53" t="str">
        <f t="shared" si="19"/>
        <v/>
      </c>
      <c r="AC111" s="48" t="str">
        <f t="shared" si="20"/>
        <v/>
      </c>
      <c r="AD111" s="54" t="str">
        <f t="shared" si="21"/>
        <v/>
      </c>
      <c r="AE111" s="55">
        <f t="shared" si="22"/>
        <v>0</v>
      </c>
      <c r="AF111" s="55">
        <f t="shared" si="23"/>
        <v>0</v>
      </c>
      <c r="AG111" s="58">
        <f t="shared" si="24"/>
        <v>0</v>
      </c>
      <c r="AH111" s="47"/>
      <c r="AJ111" s="47"/>
      <c r="AL111" s="47"/>
      <c r="AM111" s="47" t="str">
        <f t="shared" si="25"/>
        <v/>
      </c>
    </row>
    <row r="112" spans="1:39" s="56" customFormat="1" ht="24.75" customHeight="1">
      <c r="A112" s="44"/>
      <c r="B112" s="45"/>
      <c r="C112" s="46">
        <f>IF(B112&lt;&gt;"",VLOOKUP(B112,'Tipo Projeto'!$A$3:$B$35,2,0),0)</f>
        <v>0</v>
      </c>
      <c r="D112" s="47"/>
      <c r="E112" s="47"/>
      <c r="F112" s="48"/>
      <c r="G112" s="47"/>
      <c r="H112" s="49"/>
      <c r="I112" s="50"/>
      <c r="J112" s="51"/>
      <c r="K112" s="52"/>
      <c r="L112" s="53" t="str">
        <f t="shared" si="13"/>
        <v/>
      </c>
      <c r="M112" s="48" t="str">
        <f t="shared" si="14"/>
        <v/>
      </c>
      <c r="N112" s="54" t="str">
        <f t="shared" si="15"/>
        <v/>
      </c>
      <c r="O112" s="55">
        <f t="shared" si="16"/>
        <v>0</v>
      </c>
      <c r="P112" s="55">
        <f t="shared" si="17"/>
        <v>0</v>
      </c>
      <c r="Q112" s="54">
        <f t="shared" si="18"/>
        <v>0</v>
      </c>
      <c r="R112" s="47"/>
      <c r="T112" s="57"/>
      <c r="U112" s="45"/>
      <c r="V112" s="46">
        <f>IF(U112&lt;&gt;"",VLOOKUP(U112,'Tipo Projeto'!$A$3:$B$35,2,0),0)</f>
        <v>0</v>
      </c>
      <c r="W112" s="47"/>
      <c r="X112" s="49"/>
      <c r="Y112" s="50"/>
      <c r="Z112" s="51"/>
      <c r="AA112" s="52"/>
      <c r="AB112" s="53" t="str">
        <f t="shared" si="19"/>
        <v/>
      </c>
      <c r="AC112" s="48" t="str">
        <f t="shared" si="20"/>
        <v/>
      </c>
      <c r="AD112" s="54" t="str">
        <f t="shared" si="21"/>
        <v/>
      </c>
      <c r="AE112" s="55">
        <f t="shared" si="22"/>
        <v>0</v>
      </c>
      <c r="AF112" s="55">
        <f t="shared" si="23"/>
        <v>0</v>
      </c>
      <c r="AG112" s="58">
        <f t="shared" si="24"/>
        <v>0</v>
      </c>
      <c r="AH112" s="47"/>
      <c r="AJ112" s="47"/>
      <c r="AL112" s="47"/>
      <c r="AM112" s="47" t="str">
        <f t="shared" si="25"/>
        <v/>
      </c>
    </row>
    <row r="113" spans="1:39" s="56" customFormat="1" ht="24.75" customHeight="1">
      <c r="A113" s="44"/>
      <c r="B113" s="45"/>
      <c r="C113" s="46">
        <f>IF(B113&lt;&gt;"",VLOOKUP(B113,'Tipo Projeto'!$A$3:$B$35,2,0),0)</f>
        <v>0</v>
      </c>
      <c r="D113" s="47"/>
      <c r="E113" s="47"/>
      <c r="F113" s="48"/>
      <c r="G113" s="47"/>
      <c r="H113" s="49"/>
      <c r="I113" s="50"/>
      <c r="J113" s="51"/>
      <c r="K113" s="52"/>
      <c r="L113" s="53" t="str">
        <f t="shared" si="13"/>
        <v/>
      </c>
      <c r="M113" s="48" t="str">
        <f t="shared" si="14"/>
        <v/>
      </c>
      <c r="N113" s="54" t="str">
        <f t="shared" si="15"/>
        <v/>
      </c>
      <c r="O113" s="55">
        <f t="shared" si="16"/>
        <v>0</v>
      </c>
      <c r="P113" s="55">
        <f t="shared" si="17"/>
        <v>0</v>
      </c>
      <c r="Q113" s="54">
        <f t="shared" si="18"/>
        <v>0</v>
      </c>
      <c r="R113" s="47"/>
      <c r="T113" s="57"/>
      <c r="U113" s="45"/>
      <c r="V113" s="46">
        <f>IF(U113&lt;&gt;"",VLOOKUP(U113,'Tipo Projeto'!$A$3:$B$35,2,0),0)</f>
        <v>0</v>
      </c>
      <c r="W113" s="47"/>
      <c r="X113" s="49"/>
      <c r="Y113" s="50"/>
      <c r="Z113" s="51"/>
      <c r="AA113" s="52"/>
      <c r="AB113" s="53" t="str">
        <f t="shared" si="19"/>
        <v/>
      </c>
      <c r="AC113" s="48" t="str">
        <f t="shared" si="20"/>
        <v/>
      </c>
      <c r="AD113" s="54" t="str">
        <f t="shared" si="21"/>
        <v/>
      </c>
      <c r="AE113" s="55">
        <f t="shared" si="22"/>
        <v>0</v>
      </c>
      <c r="AF113" s="55">
        <f t="shared" si="23"/>
        <v>0</v>
      </c>
      <c r="AG113" s="58">
        <f t="shared" si="24"/>
        <v>0</v>
      </c>
      <c r="AH113" s="47"/>
      <c r="AJ113" s="47"/>
      <c r="AL113" s="47"/>
      <c r="AM113" s="47" t="str">
        <f t="shared" si="25"/>
        <v/>
      </c>
    </row>
    <row r="114" spans="1:39" s="56" customFormat="1" ht="24.75" customHeight="1">
      <c r="A114" s="44"/>
      <c r="B114" s="45"/>
      <c r="C114" s="46">
        <f>IF(B114&lt;&gt;"",VLOOKUP(B114,'Tipo Projeto'!$A$3:$B$35,2,0),0)</f>
        <v>0</v>
      </c>
      <c r="D114" s="47"/>
      <c r="E114" s="47"/>
      <c r="F114" s="48"/>
      <c r="G114" s="47"/>
      <c r="H114" s="49"/>
      <c r="I114" s="50"/>
      <c r="J114" s="51"/>
      <c r="K114" s="52"/>
      <c r="L114" s="53" t="str">
        <f t="shared" si="13"/>
        <v/>
      </c>
      <c r="M114" s="48" t="str">
        <f t="shared" si="14"/>
        <v/>
      </c>
      <c r="N114" s="54" t="str">
        <f t="shared" si="15"/>
        <v/>
      </c>
      <c r="O114" s="55">
        <f t="shared" si="16"/>
        <v>0</v>
      </c>
      <c r="P114" s="55">
        <f t="shared" si="17"/>
        <v>0</v>
      </c>
      <c r="Q114" s="54">
        <f t="shared" si="18"/>
        <v>0</v>
      </c>
      <c r="R114" s="47"/>
      <c r="T114" s="57"/>
      <c r="U114" s="45"/>
      <c r="V114" s="46">
        <f>IF(U114&lt;&gt;"",VLOOKUP(U114,'Tipo Projeto'!$A$3:$B$35,2,0),0)</f>
        <v>0</v>
      </c>
      <c r="W114" s="47"/>
      <c r="X114" s="49"/>
      <c r="Y114" s="50"/>
      <c r="Z114" s="51"/>
      <c r="AA114" s="52"/>
      <c r="AB114" s="53" t="str">
        <f t="shared" si="19"/>
        <v/>
      </c>
      <c r="AC114" s="48" t="str">
        <f t="shared" si="20"/>
        <v/>
      </c>
      <c r="AD114" s="54" t="str">
        <f t="shared" si="21"/>
        <v/>
      </c>
      <c r="AE114" s="55">
        <f t="shared" si="22"/>
        <v>0</v>
      </c>
      <c r="AF114" s="55">
        <f t="shared" si="23"/>
        <v>0</v>
      </c>
      <c r="AG114" s="58">
        <f t="shared" si="24"/>
        <v>0</v>
      </c>
      <c r="AH114" s="47"/>
      <c r="AJ114" s="47"/>
      <c r="AL114" s="47"/>
      <c r="AM114" s="47" t="str">
        <f t="shared" si="25"/>
        <v/>
      </c>
    </row>
    <row r="115" spans="1:39" s="56" customFormat="1" ht="24.75" customHeight="1">
      <c r="A115" s="44"/>
      <c r="B115" s="45"/>
      <c r="C115" s="46">
        <f>IF(B115&lt;&gt;"",VLOOKUP(B115,'Tipo Projeto'!$A$3:$B$35,2,0),0)</f>
        <v>0</v>
      </c>
      <c r="D115" s="47"/>
      <c r="E115" s="47"/>
      <c r="F115" s="48"/>
      <c r="G115" s="47"/>
      <c r="H115" s="49"/>
      <c r="I115" s="50"/>
      <c r="J115" s="51"/>
      <c r="K115" s="52"/>
      <c r="L115" s="53" t="str">
        <f t="shared" si="13"/>
        <v/>
      </c>
      <c r="M115" s="48" t="str">
        <f t="shared" si="14"/>
        <v/>
      </c>
      <c r="N115" s="54" t="str">
        <f t="shared" si="15"/>
        <v/>
      </c>
      <c r="O115" s="55">
        <f t="shared" si="16"/>
        <v>0</v>
      </c>
      <c r="P115" s="55">
        <f t="shared" si="17"/>
        <v>0</v>
      </c>
      <c r="Q115" s="54">
        <f t="shared" si="18"/>
        <v>0</v>
      </c>
      <c r="R115" s="47"/>
      <c r="T115" s="57"/>
      <c r="U115" s="45"/>
      <c r="V115" s="46">
        <f>IF(U115&lt;&gt;"",VLOOKUP(U115,'Tipo Projeto'!$A$3:$B$35,2,0),0)</f>
        <v>0</v>
      </c>
      <c r="W115" s="47"/>
      <c r="X115" s="49"/>
      <c r="Y115" s="50"/>
      <c r="Z115" s="51"/>
      <c r="AA115" s="52"/>
      <c r="AB115" s="53" t="str">
        <f t="shared" si="19"/>
        <v/>
      </c>
      <c r="AC115" s="48" t="str">
        <f t="shared" si="20"/>
        <v/>
      </c>
      <c r="AD115" s="54" t="str">
        <f t="shared" si="21"/>
        <v/>
      </c>
      <c r="AE115" s="55">
        <f t="shared" si="22"/>
        <v>0</v>
      </c>
      <c r="AF115" s="55">
        <f t="shared" si="23"/>
        <v>0</v>
      </c>
      <c r="AG115" s="58">
        <f t="shared" si="24"/>
        <v>0</v>
      </c>
      <c r="AH115" s="47"/>
      <c r="AJ115" s="47"/>
      <c r="AL115" s="47"/>
      <c r="AM115" s="47" t="str">
        <f t="shared" si="25"/>
        <v/>
      </c>
    </row>
    <row r="116" spans="1:39" s="56" customFormat="1" ht="24.75" customHeight="1">
      <c r="A116" s="44"/>
      <c r="B116" s="45"/>
      <c r="C116" s="46">
        <f>IF(B116&lt;&gt;"",VLOOKUP(B116,'Tipo Projeto'!$A$3:$B$35,2,0),0)</f>
        <v>0</v>
      </c>
      <c r="D116" s="47"/>
      <c r="E116" s="47"/>
      <c r="F116" s="48"/>
      <c r="G116" s="47"/>
      <c r="H116" s="49"/>
      <c r="I116" s="50"/>
      <c r="J116" s="51"/>
      <c r="K116" s="52"/>
      <c r="L116" s="53" t="str">
        <f t="shared" si="13"/>
        <v/>
      </c>
      <c r="M116" s="48" t="str">
        <f t="shared" si="14"/>
        <v/>
      </c>
      <c r="N116" s="54" t="str">
        <f t="shared" si="15"/>
        <v/>
      </c>
      <c r="O116" s="55">
        <f t="shared" si="16"/>
        <v>0</v>
      </c>
      <c r="P116" s="55">
        <f t="shared" si="17"/>
        <v>0</v>
      </c>
      <c r="Q116" s="54">
        <f t="shared" si="18"/>
        <v>0</v>
      </c>
      <c r="R116" s="47"/>
      <c r="T116" s="57"/>
      <c r="U116" s="45"/>
      <c r="V116" s="46">
        <f>IF(U116&lt;&gt;"",VLOOKUP(U116,'Tipo Projeto'!$A$3:$B$35,2,0),0)</f>
        <v>0</v>
      </c>
      <c r="W116" s="47"/>
      <c r="X116" s="49"/>
      <c r="Y116" s="50"/>
      <c r="Z116" s="51"/>
      <c r="AA116" s="52"/>
      <c r="AB116" s="53" t="str">
        <f t="shared" si="19"/>
        <v/>
      </c>
      <c r="AC116" s="48" t="str">
        <f t="shared" si="20"/>
        <v/>
      </c>
      <c r="AD116" s="54" t="str">
        <f t="shared" si="21"/>
        <v/>
      </c>
      <c r="AE116" s="55">
        <f t="shared" si="22"/>
        <v>0</v>
      </c>
      <c r="AF116" s="55">
        <f t="shared" si="23"/>
        <v>0</v>
      </c>
      <c r="AG116" s="58">
        <f t="shared" si="24"/>
        <v>0</v>
      </c>
      <c r="AH116" s="47"/>
      <c r="AJ116" s="47"/>
      <c r="AL116" s="47"/>
      <c r="AM116" s="47" t="str">
        <f t="shared" si="25"/>
        <v/>
      </c>
    </row>
    <row r="117" spans="1:39" s="56" customFormat="1" ht="24.75" customHeight="1">
      <c r="A117" s="44"/>
      <c r="B117" s="45"/>
      <c r="C117" s="46">
        <f>IF(B117&lt;&gt;"",VLOOKUP(B117,'Tipo Projeto'!$A$3:$B$35,2,0),0)</f>
        <v>0</v>
      </c>
      <c r="D117" s="47"/>
      <c r="E117" s="47"/>
      <c r="F117" s="48"/>
      <c r="G117" s="47"/>
      <c r="H117" s="49"/>
      <c r="I117" s="50"/>
      <c r="J117" s="51"/>
      <c r="K117" s="52"/>
      <c r="L117" s="53" t="str">
        <f t="shared" si="13"/>
        <v/>
      </c>
      <c r="M117" s="48" t="str">
        <f t="shared" si="14"/>
        <v/>
      </c>
      <c r="N117" s="54" t="str">
        <f t="shared" si="15"/>
        <v/>
      </c>
      <c r="O117" s="55">
        <f t="shared" si="16"/>
        <v>0</v>
      </c>
      <c r="P117" s="55">
        <f t="shared" si="17"/>
        <v>0</v>
      </c>
      <c r="Q117" s="54">
        <f t="shared" si="18"/>
        <v>0</v>
      </c>
      <c r="R117" s="47"/>
      <c r="T117" s="57"/>
      <c r="U117" s="45"/>
      <c r="V117" s="46">
        <f>IF(U117&lt;&gt;"",VLOOKUP(U117,'Tipo Projeto'!$A$3:$B$35,2,0),0)</f>
        <v>0</v>
      </c>
      <c r="W117" s="47"/>
      <c r="X117" s="49"/>
      <c r="Y117" s="50"/>
      <c r="Z117" s="51"/>
      <c r="AA117" s="52"/>
      <c r="AB117" s="53" t="str">
        <f t="shared" si="19"/>
        <v/>
      </c>
      <c r="AC117" s="48" t="str">
        <f t="shared" si="20"/>
        <v/>
      </c>
      <c r="AD117" s="54" t="str">
        <f t="shared" si="21"/>
        <v/>
      </c>
      <c r="AE117" s="55">
        <f t="shared" si="22"/>
        <v>0</v>
      </c>
      <c r="AF117" s="55">
        <f t="shared" si="23"/>
        <v>0</v>
      </c>
      <c r="AG117" s="58">
        <f t="shared" si="24"/>
        <v>0</v>
      </c>
      <c r="AH117" s="47"/>
      <c r="AJ117" s="47"/>
      <c r="AL117" s="47"/>
      <c r="AM117" s="47" t="str">
        <f t="shared" si="25"/>
        <v/>
      </c>
    </row>
    <row r="118" spans="1:39" s="56" customFormat="1" ht="24.75" customHeight="1">
      <c r="A118" s="44"/>
      <c r="B118" s="45"/>
      <c r="C118" s="46">
        <f>IF(B118&lt;&gt;"",VLOOKUP(B118,'Tipo Projeto'!$A$3:$B$35,2,0),0)</f>
        <v>0</v>
      </c>
      <c r="D118" s="47"/>
      <c r="E118" s="47"/>
      <c r="F118" s="48"/>
      <c r="G118" s="47"/>
      <c r="H118" s="49"/>
      <c r="I118" s="50"/>
      <c r="J118" s="51"/>
      <c r="K118" s="52"/>
      <c r="L118" s="53" t="str">
        <f t="shared" si="13"/>
        <v/>
      </c>
      <c r="M118" s="48" t="str">
        <f t="shared" si="14"/>
        <v/>
      </c>
      <c r="N118" s="54" t="str">
        <f t="shared" si="15"/>
        <v/>
      </c>
      <c r="O118" s="55">
        <f t="shared" si="16"/>
        <v>0</v>
      </c>
      <c r="P118" s="55">
        <f t="shared" si="17"/>
        <v>0</v>
      </c>
      <c r="Q118" s="54">
        <f t="shared" si="18"/>
        <v>0</v>
      </c>
      <c r="R118" s="47"/>
      <c r="T118" s="57"/>
      <c r="U118" s="45"/>
      <c r="V118" s="46">
        <f>IF(U118&lt;&gt;"",VLOOKUP(U118,'Tipo Projeto'!$A$3:$B$35,2,0),0)</f>
        <v>0</v>
      </c>
      <c r="W118" s="47"/>
      <c r="X118" s="49"/>
      <c r="Y118" s="50"/>
      <c r="Z118" s="51"/>
      <c r="AA118" s="52"/>
      <c r="AB118" s="53" t="str">
        <f t="shared" si="19"/>
        <v/>
      </c>
      <c r="AC118" s="48" t="str">
        <f t="shared" si="20"/>
        <v/>
      </c>
      <c r="AD118" s="54" t="str">
        <f t="shared" si="21"/>
        <v/>
      </c>
      <c r="AE118" s="55">
        <f t="shared" si="22"/>
        <v>0</v>
      </c>
      <c r="AF118" s="55">
        <f t="shared" si="23"/>
        <v>0</v>
      </c>
      <c r="AG118" s="58">
        <f t="shared" si="24"/>
        <v>0</v>
      </c>
      <c r="AH118" s="47"/>
      <c r="AJ118" s="47"/>
      <c r="AL118" s="47"/>
      <c r="AM118" s="47" t="str">
        <f t="shared" si="25"/>
        <v/>
      </c>
    </row>
    <row r="119" spans="1:39" s="56" customFormat="1" ht="24.75" customHeight="1">
      <c r="A119" s="44"/>
      <c r="B119" s="45"/>
      <c r="C119" s="46">
        <f>IF(B119&lt;&gt;"",VLOOKUP(B119,'Tipo Projeto'!$A$3:$B$35,2,0),0)</f>
        <v>0</v>
      </c>
      <c r="D119" s="47"/>
      <c r="E119" s="47"/>
      <c r="F119" s="48"/>
      <c r="G119" s="47"/>
      <c r="H119" s="49"/>
      <c r="I119" s="50"/>
      <c r="J119" s="51"/>
      <c r="K119" s="52"/>
      <c r="L119" s="53" t="str">
        <f t="shared" si="13"/>
        <v/>
      </c>
      <c r="M119" s="48" t="str">
        <f t="shared" si="14"/>
        <v/>
      </c>
      <c r="N119" s="54" t="str">
        <f t="shared" si="15"/>
        <v/>
      </c>
      <c r="O119" s="55">
        <f t="shared" si="16"/>
        <v>0</v>
      </c>
      <c r="P119" s="55">
        <f t="shared" si="17"/>
        <v>0</v>
      </c>
      <c r="Q119" s="54">
        <f t="shared" si="18"/>
        <v>0</v>
      </c>
      <c r="R119" s="47"/>
      <c r="T119" s="57"/>
      <c r="U119" s="45"/>
      <c r="V119" s="46">
        <f>IF(U119&lt;&gt;"",VLOOKUP(U119,'Tipo Projeto'!$A$3:$B$35,2,0),0)</f>
        <v>0</v>
      </c>
      <c r="W119" s="47"/>
      <c r="X119" s="49"/>
      <c r="Y119" s="50"/>
      <c r="Z119" s="51"/>
      <c r="AA119" s="52"/>
      <c r="AB119" s="53" t="str">
        <f t="shared" si="19"/>
        <v/>
      </c>
      <c r="AC119" s="48" t="str">
        <f t="shared" si="20"/>
        <v/>
      </c>
      <c r="AD119" s="54" t="str">
        <f t="shared" si="21"/>
        <v/>
      </c>
      <c r="AE119" s="55">
        <f t="shared" si="22"/>
        <v>0</v>
      </c>
      <c r="AF119" s="55">
        <f t="shared" si="23"/>
        <v>0</v>
      </c>
      <c r="AG119" s="58">
        <f t="shared" si="24"/>
        <v>0</v>
      </c>
      <c r="AH119" s="47"/>
      <c r="AJ119" s="47"/>
      <c r="AL119" s="47"/>
      <c r="AM119" s="47" t="str">
        <f t="shared" si="25"/>
        <v/>
      </c>
    </row>
    <row r="120" spans="1:39" s="56" customFormat="1" ht="24.75" customHeight="1">
      <c r="A120" s="44"/>
      <c r="B120" s="45"/>
      <c r="C120" s="46">
        <f>IF(B120&lt;&gt;"",VLOOKUP(B120,'Tipo Projeto'!$A$3:$B$35,2,0),0)</f>
        <v>0</v>
      </c>
      <c r="D120" s="47"/>
      <c r="E120" s="47"/>
      <c r="F120" s="48"/>
      <c r="G120" s="47"/>
      <c r="H120" s="49"/>
      <c r="I120" s="50"/>
      <c r="J120" s="51"/>
      <c r="K120" s="52"/>
      <c r="L120" s="53" t="str">
        <f t="shared" si="13"/>
        <v/>
      </c>
      <c r="M120" s="48" t="str">
        <f t="shared" si="14"/>
        <v/>
      </c>
      <c r="N120" s="54" t="str">
        <f t="shared" si="15"/>
        <v/>
      </c>
      <c r="O120" s="55">
        <f t="shared" si="16"/>
        <v>0</v>
      </c>
      <c r="P120" s="55">
        <f t="shared" si="17"/>
        <v>0</v>
      </c>
      <c r="Q120" s="54">
        <f t="shared" si="18"/>
        <v>0</v>
      </c>
      <c r="R120" s="47"/>
      <c r="T120" s="57"/>
      <c r="U120" s="45"/>
      <c r="V120" s="46">
        <f>IF(U120&lt;&gt;"",VLOOKUP(U120,'Tipo Projeto'!$A$3:$B$35,2,0),0)</f>
        <v>0</v>
      </c>
      <c r="W120" s="47"/>
      <c r="X120" s="49"/>
      <c r="Y120" s="50"/>
      <c r="Z120" s="51"/>
      <c r="AA120" s="52"/>
      <c r="AB120" s="53" t="str">
        <f t="shared" si="19"/>
        <v/>
      </c>
      <c r="AC120" s="48" t="str">
        <f t="shared" si="20"/>
        <v/>
      </c>
      <c r="AD120" s="54" t="str">
        <f t="shared" si="21"/>
        <v/>
      </c>
      <c r="AE120" s="55">
        <f t="shared" si="22"/>
        <v>0</v>
      </c>
      <c r="AF120" s="55">
        <f t="shared" si="23"/>
        <v>0</v>
      </c>
      <c r="AG120" s="58">
        <f t="shared" si="24"/>
        <v>0</v>
      </c>
      <c r="AH120" s="47"/>
      <c r="AJ120" s="47"/>
      <c r="AL120" s="47"/>
      <c r="AM120" s="47" t="str">
        <f t="shared" si="25"/>
        <v/>
      </c>
    </row>
    <row r="121" spans="1:39" s="56" customFormat="1" ht="24.75" customHeight="1">
      <c r="A121" s="44"/>
      <c r="B121" s="45"/>
      <c r="C121" s="46">
        <f>IF(B121&lt;&gt;"",VLOOKUP(B121,'Tipo Projeto'!$A$3:$B$35,2,0),0)</f>
        <v>0</v>
      </c>
      <c r="D121" s="47"/>
      <c r="E121" s="47"/>
      <c r="F121" s="48"/>
      <c r="G121" s="47"/>
      <c r="H121" s="49"/>
      <c r="I121" s="50"/>
      <c r="J121" s="51"/>
      <c r="K121" s="52"/>
      <c r="L121" s="53" t="str">
        <f t="shared" si="13"/>
        <v/>
      </c>
      <c r="M121" s="48" t="str">
        <f t="shared" si="14"/>
        <v/>
      </c>
      <c r="N121" s="54" t="str">
        <f t="shared" si="15"/>
        <v/>
      </c>
      <c r="O121" s="55">
        <f t="shared" si="16"/>
        <v>0</v>
      </c>
      <c r="P121" s="55">
        <f t="shared" si="17"/>
        <v>0</v>
      </c>
      <c r="Q121" s="54">
        <f t="shared" si="18"/>
        <v>0</v>
      </c>
      <c r="R121" s="47"/>
      <c r="T121" s="57"/>
      <c r="U121" s="45"/>
      <c r="V121" s="46">
        <f>IF(U121&lt;&gt;"",VLOOKUP(U121,'Tipo Projeto'!$A$3:$B$35,2,0),0)</f>
        <v>0</v>
      </c>
      <c r="W121" s="47"/>
      <c r="X121" s="49"/>
      <c r="Y121" s="50"/>
      <c r="Z121" s="51"/>
      <c r="AA121" s="52"/>
      <c r="AB121" s="53" t="str">
        <f t="shared" si="19"/>
        <v/>
      </c>
      <c r="AC121" s="48" t="str">
        <f t="shared" si="20"/>
        <v/>
      </c>
      <c r="AD121" s="54" t="str">
        <f t="shared" si="21"/>
        <v/>
      </c>
      <c r="AE121" s="55">
        <f t="shared" si="22"/>
        <v>0</v>
      </c>
      <c r="AF121" s="55">
        <f t="shared" si="23"/>
        <v>0</v>
      </c>
      <c r="AG121" s="58">
        <f t="shared" si="24"/>
        <v>0</v>
      </c>
      <c r="AH121" s="47"/>
      <c r="AJ121" s="47"/>
      <c r="AL121" s="47"/>
      <c r="AM121" s="47" t="str">
        <f t="shared" si="25"/>
        <v/>
      </c>
    </row>
    <row r="122" spans="1:39" s="56" customFormat="1" ht="24.75" customHeight="1">
      <c r="A122" s="44"/>
      <c r="B122" s="45"/>
      <c r="C122" s="46">
        <f>IF(B122&lt;&gt;"",VLOOKUP(B122,'Tipo Projeto'!$A$3:$B$35,2,0),0)</f>
        <v>0</v>
      </c>
      <c r="D122" s="47"/>
      <c r="E122" s="47"/>
      <c r="F122" s="48"/>
      <c r="G122" s="47"/>
      <c r="H122" s="49"/>
      <c r="I122" s="50"/>
      <c r="J122" s="51"/>
      <c r="K122" s="52"/>
      <c r="L122" s="53" t="str">
        <f t="shared" si="13"/>
        <v/>
      </c>
      <c r="M122" s="48" t="str">
        <f t="shared" si="14"/>
        <v/>
      </c>
      <c r="N122" s="54" t="str">
        <f t="shared" si="15"/>
        <v/>
      </c>
      <c r="O122" s="55">
        <f t="shared" si="16"/>
        <v>0</v>
      </c>
      <c r="P122" s="55">
        <f t="shared" si="17"/>
        <v>0</v>
      </c>
      <c r="Q122" s="54">
        <f t="shared" si="18"/>
        <v>0</v>
      </c>
      <c r="R122" s="47"/>
      <c r="T122" s="57"/>
      <c r="U122" s="45"/>
      <c r="V122" s="46">
        <f>IF(U122&lt;&gt;"",VLOOKUP(U122,'Tipo Projeto'!$A$3:$B$35,2,0),0)</f>
        <v>0</v>
      </c>
      <c r="W122" s="47"/>
      <c r="X122" s="49"/>
      <c r="Y122" s="50"/>
      <c r="Z122" s="51"/>
      <c r="AA122" s="52"/>
      <c r="AB122" s="53" t="str">
        <f t="shared" si="19"/>
        <v/>
      </c>
      <c r="AC122" s="48" t="str">
        <f t="shared" si="20"/>
        <v/>
      </c>
      <c r="AD122" s="54" t="str">
        <f t="shared" si="21"/>
        <v/>
      </c>
      <c r="AE122" s="55">
        <f t="shared" si="22"/>
        <v>0</v>
      </c>
      <c r="AF122" s="55">
        <f t="shared" si="23"/>
        <v>0</v>
      </c>
      <c r="AG122" s="58">
        <f t="shared" si="24"/>
        <v>0</v>
      </c>
      <c r="AH122" s="47"/>
      <c r="AJ122" s="47"/>
      <c r="AL122" s="47"/>
      <c r="AM122" s="47" t="str">
        <f t="shared" si="25"/>
        <v/>
      </c>
    </row>
    <row r="123" spans="1:39" s="56" customFormat="1" ht="24.75" customHeight="1">
      <c r="A123" s="44"/>
      <c r="B123" s="45"/>
      <c r="C123" s="46">
        <f>IF(B123&lt;&gt;"",VLOOKUP(B123,'Tipo Projeto'!$A$3:$B$35,2,0),0)</f>
        <v>0</v>
      </c>
      <c r="D123" s="47"/>
      <c r="E123" s="47"/>
      <c r="F123" s="48"/>
      <c r="G123" s="47"/>
      <c r="H123" s="49"/>
      <c r="I123" s="50"/>
      <c r="J123" s="51"/>
      <c r="K123" s="52"/>
      <c r="L123" s="53" t="str">
        <f t="shared" si="13"/>
        <v/>
      </c>
      <c r="M123" s="48" t="str">
        <f t="shared" si="14"/>
        <v/>
      </c>
      <c r="N123" s="54" t="str">
        <f t="shared" si="15"/>
        <v/>
      </c>
      <c r="O123" s="55">
        <f t="shared" si="16"/>
        <v>0</v>
      </c>
      <c r="P123" s="55">
        <f t="shared" si="17"/>
        <v>0</v>
      </c>
      <c r="Q123" s="54">
        <f t="shared" si="18"/>
        <v>0</v>
      </c>
      <c r="R123" s="47"/>
      <c r="T123" s="57"/>
      <c r="U123" s="45"/>
      <c r="V123" s="46">
        <f>IF(U123&lt;&gt;"",VLOOKUP(U123,'Tipo Projeto'!$A$3:$B$35,2,0),0)</f>
        <v>0</v>
      </c>
      <c r="W123" s="47"/>
      <c r="X123" s="49"/>
      <c r="Y123" s="50"/>
      <c r="Z123" s="51"/>
      <c r="AA123" s="52"/>
      <c r="AB123" s="53" t="str">
        <f t="shared" si="19"/>
        <v/>
      </c>
      <c r="AC123" s="48" t="str">
        <f t="shared" si="20"/>
        <v/>
      </c>
      <c r="AD123" s="54" t="str">
        <f t="shared" si="21"/>
        <v/>
      </c>
      <c r="AE123" s="55">
        <f t="shared" si="22"/>
        <v>0</v>
      </c>
      <c r="AF123" s="55">
        <f t="shared" si="23"/>
        <v>0</v>
      </c>
      <c r="AG123" s="58">
        <f t="shared" si="24"/>
        <v>0</v>
      </c>
      <c r="AH123" s="47"/>
      <c r="AJ123" s="47"/>
      <c r="AL123" s="47"/>
      <c r="AM123" s="47" t="str">
        <f t="shared" si="25"/>
        <v/>
      </c>
    </row>
    <row r="124" spans="1:39" s="56" customFormat="1" ht="24.75" customHeight="1">
      <c r="A124" s="44"/>
      <c r="B124" s="45"/>
      <c r="C124" s="46">
        <f>IF(B124&lt;&gt;"",VLOOKUP(B124,'Tipo Projeto'!$A$3:$B$35,2,0),0)</f>
        <v>0</v>
      </c>
      <c r="D124" s="47"/>
      <c r="E124" s="47"/>
      <c r="F124" s="48"/>
      <c r="G124" s="47"/>
      <c r="H124" s="49"/>
      <c r="I124" s="50"/>
      <c r="J124" s="51"/>
      <c r="K124" s="52"/>
      <c r="L124" s="53" t="str">
        <f t="shared" si="13"/>
        <v/>
      </c>
      <c r="M124" s="48" t="str">
        <f t="shared" si="14"/>
        <v/>
      </c>
      <c r="N124" s="54" t="str">
        <f t="shared" si="15"/>
        <v/>
      </c>
      <c r="O124" s="55">
        <f t="shared" si="16"/>
        <v>0</v>
      </c>
      <c r="P124" s="55">
        <f t="shared" si="17"/>
        <v>0</v>
      </c>
      <c r="Q124" s="54">
        <f t="shared" si="18"/>
        <v>0</v>
      </c>
      <c r="R124" s="47"/>
      <c r="T124" s="57"/>
      <c r="U124" s="45"/>
      <c r="V124" s="46">
        <f>IF(U124&lt;&gt;"",VLOOKUP(U124,'Tipo Projeto'!$A$3:$B$35,2,0),0)</f>
        <v>0</v>
      </c>
      <c r="W124" s="47"/>
      <c r="X124" s="49"/>
      <c r="Y124" s="50"/>
      <c r="Z124" s="51"/>
      <c r="AA124" s="52"/>
      <c r="AB124" s="53" t="str">
        <f t="shared" si="19"/>
        <v/>
      </c>
      <c r="AC124" s="48" t="str">
        <f t="shared" si="20"/>
        <v/>
      </c>
      <c r="AD124" s="54" t="str">
        <f t="shared" si="21"/>
        <v/>
      </c>
      <c r="AE124" s="55">
        <f t="shared" si="22"/>
        <v>0</v>
      </c>
      <c r="AF124" s="55">
        <f t="shared" si="23"/>
        <v>0</v>
      </c>
      <c r="AG124" s="58">
        <f t="shared" si="24"/>
        <v>0</v>
      </c>
      <c r="AH124" s="47"/>
      <c r="AJ124" s="47"/>
      <c r="AL124" s="47"/>
      <c r="AM124" s="47" t="str">
        <f t="shared" si="25"/>
        <v/>
      </c>
    </row>
    <row r="125" spans="1:39" s="56" customFormat="1" ht="24.75" customHeight="1">
      <c r="A125" s="44"/>
      <c r="B125" s="45"/>
      <c r="C125" s="46">
        <f>IF(B125&lt;&gt;"",VLOOKUP(B125,'Tipo Projeto'!$A$3:$B$35,2,0),0)</f>
        <v>0</v>
      </c>
      <c r="D125" s="47"/>
      <c r="E125" s="47"/>
      <c r="F125" s="48"/>
      <c r="G125" s="47"/>
      <c r="H125" s="49"/>
      <c r="I125" s="50"/>
      <c r="J125" s="51"/>
      <c r="K125" s="52"/>
      <c r="L125" s="53" t="str">
        <f t="shared" si="13"/>
        <v/>
      </c>
      <c r="M125" s="48" t="str">
        <f t="shared" si="14"/>
        <v/>
      </c>
      <c r="N125" s="54" t="str">
        <f t="shared" si="15"/>
        <v/>
      </c>
      <c r="O125" s="55">
        <f t="shared" si="16"/>
        <v>0</v>
      </c>
      <c r="P125" s="55">
        <f t="shared" si="17"/>
        <v>0</v>
      </c>
      <c r="Q125" s="54">
        <f t="shared" si="18"/>
        <v>0</v>
      </c>
      <c r="R125" s="47"/>
      <c r="T125" s="57"/>
      <c r="U125" s="45"/>
      <c r="V125" s="46">
        <f>IF(U125&lt;&gt;"",VLOOKUP(U125,'Tipo Projeto'!$A$3:$B$35,2,0),0)</f>
        <v>0</v>
      </c>
      <c r="W125" s="47"/>
      <c r="X125" s="49"/>
      <c r="Y125" s="50"/>
      <c r="Z125" s="51"/>
      <c r="AA125" s="52"/>
      <c r="AB125" s="53" t="str">
        <f t="shared" si="19"/>
        <v/>
      </c>
      <c r="AC125" s="48" t="str">
        <f t="shared" si="20"/>
        <v/>
      </c>
      <c r="AD125" s="54" t="str">
        <f t="shared" si="21"/>
        <v/>
      </c>
      <c r="AE125" s="55">
        <f t="shared" si="22"/>
        <v>0</v>
      </c>
      <c r="AF125" s="55">
        <f t="shared" si="23"/>
        <v>0</v>
      </c>
      <c r="AG125" s="58">
        <f t="shared" si="24"/>
        <v>0</v>
      </c>
      <c r="AH125" s="47"/>
      <c r="AJ125" s="47"/>
      <c r="AL125" s="47"/>
      <c r="AM125" s="47" t="str">
        <f t="shared" si="25"/>
        <v/>
      </c>
    </row>
    <row r="126" spans="1:39" s="56" customFormat="1" ht="24.75" customHeight="1">
      <c r="A126" s="44"/>
      <c r="B126" s="45"/>
      <c r="C126" s="46">
        <f>IF(B126&lt;&gt;"",VLOOKUP(B126,'Tipo Projeto'!$A$3:$B$35,2,0),0)</f>
        <v>0</v>
      </c>
      <c r="D126" s="47"/>
      <c r="E126" s="47"/>
      <c r="F126" s="48"/>
      <c r="G126" s="47"/>
      <c r="H126" s="49"/>
      <c r="I126" s="50"/>
      <c r="J126" s="51"/>
      <c r="K126" s="52"/>
      <c r="L126" s="53" t="str">
        <f t="shared" si="13"/>
        <v/>
      </c>
      <c r="M126" s="48" t="str">
        <f t="shared" si="14"/>
        <v/>
      </c>
      <c r="N126" s="54" t="str">
        <f t="shared" si="15"/>
        <v/>
      </c>
      <c r="O126" s="55">
        <f t="shared" si="16"/>
        <v>0</v>
      </c>
      <c r="P126" s="55">
        <f t="shared" si="17"/>
        <v>0</v>
      </c>
      <c r="Q126" s="54">
        <f t="shared" si="18"/>
        <v>0</v>
      </c>
      <c r="R126" s="47"/>
      <c r="T126" s="57"/>
      <c r="U126" s="45"/>
      <c r="V126" s="46">
        <f>IF(U126&lt;&gt;"",VLOOKUP(U126,'Tipo Projeto'!$A$3:$B$35,2,0),0)</f>
        <v>0</v>
      </c>
      <c r="W126" s="47"/>
      <c r="X126" s="49"/>
      <c r="Y126" s="50"/>
      <c r="Z126" s="51"/>
      <c r="AA126" s="52"/>
      <c r="AB126" s="53" t="str">
        <f t="shared" si="19"/>
        <v/>
      </c>
      <c r="AC126" s="48" t="str">
        <f t="shared" si="20"/>
        <v/>
      </c>
      <c r="AD126" s="54" t="str">
        <f t="shared" si="21"/>
        <v/>
      </c>
      <c r="AE126" s="55">
        <f t="shared" si="22"/>
        <v>0</v>
      </c>
      <c r="AF126" s="55">
        <f t="shared" si="23"/>
        <v>0</v>
      </c>
      <c r="AG126" s="58">
        <f t="shared" si="24"/>
        <v>0</v>
      </c>
      <c r="AH126" s="47"/>
      <c r="AJ126" s="47"/>
      <c r="AL126" s="47"/>
      <c r="AM126" s="47" t="str">
        <f t="shared" si="25"/>
        <v/>
      </c>
    </row>
    <row r="127" spans="1:39" s="56" customFormat="1" ht="24.75" customHeight="1">
      <c r="A127" s="44"/>
      <c r="B127" s="45"/>
      <c r="C127" s="46">
        <f>IF(B127&lt;&gt;"",VLOOKUP(B127,'Tipo Projeto'!$A$3:$B$35,2,0),0)</f>
        <v>0</v>
      </c>
      <c r="D127" s="47"/>
      <c r="E127" s="47"/>
      <c r="F127" s="48"/>
      <c r="G127" s="47"/>
      <c r="H127" s="49"/>
      <c r="I127" s="50"/>
      <c r="J127" s="51"/>
      <c r="K127" s="52"/>
      <c r="L127" s="53" t="str">
        <f t="shared" si="13"/>
        <v/>
      </c>
      <c r="M127" s="48" t="str">
        <f t="shared" si="14"/>
        <v/>
      </c>
      <c r="N127" s="54" t="str">
        <f t="shared" si="15"/>
        <v/>
      </c>
      <c r="O127" s="55">
        <f t="shared" si="16"/>
        <v>0</v>
      </c>
      <c r="P127" s="55">
        <f t="shared" si="17"/>
        <v>0</v>
      </c>
      <c r="Q127" s="54">
        <f t="shared" si="18"/>
        <v>0</v>
      </c>
      <c r="R127" s="47"/>
      <c r="T127" s="57"/>
      <c r="U127" s="45"/>
      <c r="V127" s="46">
        <f>IF(U127&lt;&gt;"",VLOOKUP(U127,'Tipo Projeto'!$A$3:$B$35,2,0),0)</f>
        <v>0</v>
      </c>
      <c r="W127" s="47"/>
      <c r="X127" s="49"/>
      <c r="Y127" s="50"/>
      <c r="Z127" s="51"/>
      <c r="AA127" s="52"/>
      <c r="AB127" s="53" t="str">
        <f t="shared" si="19"/>
        <v/>
      </c>
      <c r="AC127" s="48" t="str">
        <f t="shared" si="20"/>
        <v/>
      </c>
      <c r="AD127" s="54" t="str">
        <f t="shared" si="21"/>
        <v/>
      </c>
      <c r="AE127" s="55">
        <f t="shared" si="22"/>
        <v>0</v>
      </c>
      <c r="AF127" s="55">
        <f t="shared" si="23"/>
        <v>0</v>
      </c>
      <c r="AG127" s="58">
        <f t="shared" si="24"/>
        <v>0</v>
      </c>
      <c r="AH127" s="47"/>
      <c r="AJ127" s="47"/>
      <c r="AL127" s="47"/>
      <c r="AM127" s="47" t="str">
        <f t="shared" si="25"/>
        <v/>
      </c>
    </row>
    <row r="128" spans="1:39" s="56" customFormat="1" ht="24.75" customHeight="1">
      <c r="A128" s="44"/>
      <c r="B128" s="45"/>
      <c r="C128" s="46">
        <f>IF(B128&lt;&gt;"",VLOOKUP(B128,'Tipo Projeto'!$A$3:$B$35,2,0),0)</f>
        <v>0</v>
      </c>
      <c r="D128" s="47"/>
      <c r="E128" s="47"/>
      <c r="F128" s="48"/>
      <c r="G128" s="47"/>
      <c r="H128" s="49"/>
      <c r="I128" s="50"/>
      <c r="J128" s="51"/>
      <c r="K128" s="52"/>
      <c r="L128" s="53" t="str">
        <f t="shared" si="13"/>
        <v/>
      </c>
      <c r="M128" s="48" t="str">
        <f t="shared" si="14"/>
        <v/>
      </c>
      <c r="N128" s="54" t="str">
        <f t="shared" si="15"/>
        <v/>
      </c>
      <c r="O128" s="55">
        <f t="shared" si="16"/>
        <v>0</v>
      </c>
      <c r="P128" s="55">
        <f t="shared" si="17"/>
        <v>0</v>
      </c>
      <c r="Q128" s="54">
        <f t="shared" si="18"/>
        <v>0</v>
      </c>
      <c r="R128" s="47"/>
      <c r="T128" s="57"/>
      <c r="U128" s="45"/>
      <c r="V128" s="46">
        <f>IF(U128&lt;&gt;"",VLOOKUP(U128,'Tipo Projeto'!$A$3:$B$35,2,0),0)</f>
        <v>0</v>
      </c>
      <c r="W128" s="47"/>
      <c r="X128" s="49"/>
      <c r="Y128" s="50"/>
      <c r="Z128" s="51"/>
      <c r="AA128" s="52"/>
      <c r="AB128" s="53" t="str">
        <f t="shared" si="19"/>
        <v/>
      </c>
      <c r="AC128" s="48" t="str">
        <f t="shared" si="20"/>
        <v/>
      </c>
      <c r="AD128" s="54" t="str">
        <f t="shared" si="21"/>
        <v/>
      </c>
      <c r="AE128" s="55">
        <f t="shared" si="22"/>
        <v>0</v>
      </c>
      <c r="AF128" s="55">
        <f t="shared" si="23"/>
        <v>0</v>
      </c>
      <c r="AG128" s="58">
        <f t="shared" si="24"/>
        <v>0</v>
      </c>
      <c r="AH128" s="47"/>
      <c r="AJ128" s="47"/>
      <c r="AL128" s="47"/>
      <c r="AM128" s="47" t="str">
        <f t="shared" si="25"/>
        <v/>
      </c>
    </row>
    <row r="129" spans="1:39" s="56" customFormat="1" ht="24.75" customHeight="1">
      <c r="A129" s="44"/>
      <c r="B129" s="45"/>
      <c r="C129" s="46">
        <f>IF(B129&lt;&gt;"",VLOOKUP(B129,'Tipo Projeto'!$A$3:$B$35,2,0),0)</f>
        <v>0</v>
      </c>
      <c r="D129" s="47"/>
      <c r="E129" s="47"/>
      <c r="F129" s="48"/>
      <c r="G129" s="47"/>
      <c r="H129" s="49"/>
      <c r="I129" s="50"/>
      <c r="J129" s="51"/>
      <c r="K129" s="52"/>
      <c r="L129" s="53" t="str">
        <f t="shared" si="13"/>
        <v/>
      </c>
      <c r="M129" s="48" t="str">
        <f t="shared" si="14"/>
        <v/>
      </c>
      <c r="N129" s="54" t="str">
        <f t="shared" si="15"/>
        <v/>
      </c>
      <c r="O129" s="55">
        <f t="shared" si="16"/>
        <v>0</v>
      </c>
      <c r="P129" s="55">
        <f t="shared" si="17"/>
        <v>0</v>
      </c>
      <c r="Q129" s="54">
        <f t="shared" si="18"/>
        <v>0</v>
      </c>
      <c r="R129" s="47"/>
      <c r="T129" s="57"/>
      <c r="U129" s="45"/>
      <c r="V129" s="46">
        <f>IF(U129&lt;&gt;"",VLOOKUP(U129,'Tipo Projeto'!$A$3:$B$35,2,0),0)</f>
        <v>0</v>
      </c>
      <c r="W129" s="47"/>
      <c r="X129" s="49"/>
      <c r="Y129" s="50"/>
      <c r="Z129" s="51"/>
      <c r="AA129" s="52"/>
      <c r="AB129" s="53" t="str">
        <f t="shared" si="19"/>
        <v/>
      </c>
      <c r="AC129" s="48" t="str">
        <f t="shared" si="20"/>
        <v/>
      </c>
      <c r="AD129" s="54" t="str">
        <f t="shared" si="21"/>
        <v/>
      </c>
      <c r="AE129" s="55">
        <f t="shared" si="22"/>
        <v>0</v>
      </c>
      <c r="AF129" s="55">
        <f t="shared" si="23"/>
        <v>0</v>
      </c>
      <c r="AG129" s="58">
        <f t="shared" si="24"/>
        <v>0</v>
      </c>
      <c r="AH129" s="47"/>
      <c r="AJ129" s="47"/>
      <c r="AL129" s="47"/>
      <c r="AM129" s="47" t="str">
        <f t="shared" si="25"/>
        <v/>
      </c>
    </row>
    <row r="130" spans="1:39" s="56" customFormat="1" ht="24.75" customHeight="1">
      <c r="A130" s="44"/>
      <c r="B130" s="45"/>
      <c r="C130" s="46">
        <f>IF(B130&lt;&gt;"",VLOOKUP(B130,'Tipo Projeto'!$A$3:$B$35,2,0),0)</f>
        <v>0</v>
      </c>
      <c r="D130" s="47"/>
      <c r="E130" s="47"/>
      <c r="F130" s="48"/>
      <c r="G130" s="47"/>
      <c r="H130" s="49"/>
      <c r="I130" s="50"/>
      <c r="J130" s="51"/>
      <c r="K130" s="52"/>
      <c r="L130" s="53" t="str">
        <f t="shared" si="13"/>
        <v/>
      </c>
      <c r="M130" s="48" t="str">
        <f t="shared" si="14"/>
        <v/>
      </c>
      <c r="N130" s="54" t="str">
        <f t="shared" si="15"/>
        <v/>
      </c>
      <c r="O130" s="55">
        <f t="shared" si="16"/>
        <v>0</v>
      </c>
      <c r="P130" s="55">
        <f t="shared" si="17"/>
        <v>0</v>
      </c>
      <c r="Q130" s="54">
        <f t="shared" si="18"/>
        <v>0</v>
      </c>
      <c r="R130" s="47"/>
      <c r="T130" s="57"/>
      <c r="U130" s="45"/>
      <c r="V130" s="46">
        <f>IF(U130&lt;&gt;"",VLOOKUP(U130,'Tipo Projeto'!$A$3:$B$35,2,0),0)</f>
        <v>0</v>
      </c>
      <c r="W130" s="47"/>
      <c r="X130" s="49"/>
      <c r="Y130" s="50"/>
      <c r="Z130" s="51"/>
      <c r="AA130" s="52"/>
      <c r="AB130" s="53" t="str">
        <f t="shared" si="19"/>
        <v/>
      </c>
      <c r="AC130" s="48" t="str">
        <f t="shared" si="20"/>
        <v/>
      </c>
      <c r="AD130" s="54" t="str">
        <f t="shared" si="21"/>
        <v/>
      </c>
      <c r="AE130" s="55">
        <f t="shared" si="22"/>
        <v>0</v>
      </c>
      <c r="AF130" s="55">
        <f t="shared" si="23"/>
        <v>0</v>
      </c>
      <c r="AG130" s="58">
        <f t="shared" si="24"/>
        <v>0</v>
      </c>
      <c r="AH130" s="47"/>
      <c r="AJ130" s="47"/>
      <c r="AL130" s="47"/>
      <c r="AM130" s="47" t="str">
        <f t="shared" si="25"/>
        <v/>
      </c>
    </row>
    <row r="131" spans="1:39" s="56" customFormat="1" ht="24.75" customHeight="1">
      <c r="A131" s="44"/>
      <c r="B131" s="45"/>
      <c r="C131" s="46">
        <f>IF(B131&lt;&gt;"",VLOOKUP(B131,'Tipo Projeto'!$A$3:$B$35,2,0),0)</f>
        <v>0</v>
      </c>
      <c r="D131" s="47"/>
      <c r="E131" s="47"/>
      <c r="F131" s="48"/>
      <c r="G131" s="47"/>
      <c r="H131" s="49"/>
      <c r="I131" s="50"/>
      <c r="J131" s="51"/>
      <c r="K131" s="52"/>
      <c r="L131" s="53" t="str">
        <f t="shared" si="13"/>
        <v/>
      </c>
      <c r="M131" s="48" t="str">
        <f t="shared" si="14"/>
        <v/>
      </c>
      <c r="N131" s="54" t="str">
        <f t="shared" si="15"/>
        <v/>
      </c>
      <c r="O131" s="55">
        <f t="shared" si="16"/>
        <v>0</v>
      </c>
      <c r="P131" s="55">
        <f t="shared" si="17"/>
        <v>0</v>
      </c>
      <c r="Q131" s="54">
        <f t="shared" si="18"/>
        <v>0</v>
      </c>
      <c r="R131" s="47"/>
      <c r="T131" s="57"/>
      <c r="U131" s="45"/>
      <c r="V131" s="46">
        <f>IF(U131&lt;&gt;"",VLOOKUP(U131,'Tipo Projeto'!$A$3:$B$35,2,0),0)</f>
        <v>0</v>
      </c>
      <c r="W131" s="47"/>
      <c r="X131" s="49"/>
      <c r="Y131" s="50"/>
      <c r="Z131" s="51"/>
      <c r="AA131" s="52"/>
      <c r="AB131" s="53" t="str">
        <f t="shared" si="19"/>
        <v/>
      </c>
      <c r="AC131" s="48" t="str">
        <f t="shared" si="20"/>
        <v/>
      </c>
      <c r="AD131" s="54" t="str">
        <f t="shared" si="21"/>
        <v/>
      </c>
      <c r="AE131" s="55">
        <f t="shared" si="22"/>
        <v>0</v>
      </c>
      <c r="AF131" s="55">
        <f t="shared" si="23"/>
        <v>0</v>
      </c>
      <c r="AG131" s="58">
        <f t="shared" si="24"/>
        <v>0</v>
      </c>
      <c r="AH131" s="47"/>
      <c r="AJ131" s="47"/>
      <c r="AL131" s="47"/>
      <c r="AM131" s="47" t="str">
        <f t="shared" si="25"/>
        <v/>
      </c>
    </row>
    <row r="132" spans="1:39" s="56" customFormat="1" ht="24.75" customHeight="1">
      <c r="A132" s="44"/>
      <c r="B132" s="45"/>
      <c r="C132" s="46">
        <f>IF(B132&lt;&gt;"",VLOOKUP(B132,'Tipo Projeto'!$A$3:$B$35,2,0),0)</f>
        <v>0</v>
      </c>
      <c r="D132" s="47"/>
      <c r="E132" s="47"/>
      <c r="F132" s="48"/>
      <c r="G132" s="47"/>
      <c r="H132" s="49"/>
      <c r="I132" s="50"/>
      <c r="J132" s="51"/>
      <c r="K132" s="52"/>
      <c r="L132" s="53" t="str">
        <f t="shared" si="13"/>
        <v/>
      </c>
      <c r="M132" s="48" t="str">
        <f t="shared" si="14"/>
        <v/>
      </c>
      <c r="N132" s="54" t="str">
        <f t="shared" si="15"/>
        <v/>
      </c>
      <c r="O132" s="55">
        <f t="shared" si="16"/>
        <v>0</v>
      </c>
      <c r="P132" s="55">
        <f t="shared" si="17"/>
        <v>0</v>
      </c>
      <c r="Q132" s="54">
        <f t="shared" si="18"/>
        <v>0</v>
      </c>
      <c r="R132" s="47"/>
      <c r="T132" s="57"/>
      <c r="U132" s="45"/>
      <c r="V132" s="46">
        <f>IF(U132&lt;&gt;"",VLOOKUP(U132,'Tipo Projeto'!$A$3:$B$35,2,0),0)</f>
        <v>0</v>
      </c>
      <c r="W132" s="47"/>
      <c r="X132" s="49"/>
      <c r="Y132" s="50"/>
      <c r="Z132" s="51"/>
      <c r="AA132" s="52"/>
      <c r="AB132" s="53" t="str">
        <f t="shared" si="19"/>
        <v/>
      </c>
      <c r="AC132" s="48" t="str">
        <f t="shared" si="20"/>
        <v/>
      </c>
      <c r="AD132" s="54" t="str">
        <f t="shared" si="21"/>
        <v/>
      </c>
      <c r="AE132" s="55">
        <f t="shared" si="22"/>
        <v>0</v>
      </c>
      <c r="AF132" s="55">
        <f t="shared" si="23"/>
        <v>0</v>
      </c>
      <c r="AG132" s="58">
        <f t="shared" si="24"/>
        <v>0</v>
      </c>
      <c r="AH132" s="47"/>
      <c r="AJ132" s="47"/>
      <c r="AL132" s="47"/>
      <c r="AM132" s="47" t="str">
        <f t="shared" si="25"/>
        <v/>
      </c>
    </row>
    <row r="133" spans="1:39" s="56" customFormat="1" ht="24.75" customHeight="1">
      <c r="A133" s="44"/>
      <c r="B133" s="45"/>
      <c r="C133" s="46">
        <f>IF(B133&lt;&gt;"",VLOOKUP(B133,'Tipo Projeto'!$A$3:$B$35,2,0),0)</f>
        <v>0</v>
      </c>
      <c r="D133" s="47"/>
      <c r="E133" s="47"/>
      <c r="F133" s="48"/>
      <c r="G133" s="47"/>
      <c r="H133" s="49"/>
      <c r="I133" s="50"/>
      <c r="J133" s="51"/>
      <c r="K133" s="52"/>
      <c r="L133" s="53" t="str">
        <f t="shared" si="13"/>
        <v/>
      </c>
      <c r="M133" s="48" t="str">
        <f t="shared" si="14"/>
        <v/>
      </c>
      <c r="N133" s="54" t="str">
        <f t="shared" si="15"/>
        <v/>
      </c>
      <c r="O133" s="55">
        <f t="shared" si="16"/>
        <v>0</v>
      </c>
      <c r="P133" s="55">
        <f t="shared" si="17"/>
        <v>0</v>
      </c>
      <c r="Q133" s="54">
        <f t="shared" si="18"/>
        <v>0</v>
      </c>
      <c r="R133" s="47"/>
      <c r="T133" s="57"/>
      <c r="U133" s="45"/>
      <c r="V133" s="46">
        <f>IF(U133&lt;&gt;"",VLOOKUP(U133,'Tipo Projeto'!$A$3:$B$35,2,0),0)</f>
        <v>0</v>
      </c>
      <c r="W133" s="47"/>
      <c r="X133" s="49"/>
      <c r="Y133" s="50"/>
      <c r="Z133" s="51"/>
      <c r="AA133" s="52"/>
      <c r="AB133" s="53" t="str">
        <f t="shared" si="19"/>
        <v/>
      </c>
      <c r="AC133" s="48" t="str">
        <f t="shared" si="20"/>
        <v/>
      </c>
      <c r="AD133" s="54" t="str">
        <f t="shared" si="21"/>
        <v/>
      </c>
      <c r="AE133" s="55">
        <f t="shared" si="22"/>
        <v>0</v>
      </c>
      <c r="AF133" s="55">
        <f t="shared" si="23"/>
        <v>0</v>
      </c>
      <c r="AG133" s="58">
        <f t="shared" si="24"/>
        <v>0</v>
      </c>
      <c r="AH133" s="47"/>
      <c r="AJ133" s="47"/>
      <c r="AL133" s="47"/>
      <c r="AM133" s="47" t="str">
        <f t="shared" si="25"/>
        <v/>
      </c>
    </row>
    <row r="134" spans="1:39" s="56" customFormat="1" ht="24.75" customHeight="1">
      <c r="A134" s="44"/>
      <c r="B134" s="45"/>
      <c r="C134" s="46">
        <f>IF(B134&lt;&gt;"",VLOOKUP(B134,'Tipo Projeto'!$A$3:$B$35,2,0),0)</f>
        <v>0</v>
      </c>
      <c r="D134" s="47"/>
      <c r="E134" s="47"/>
      <c r="F134" s="48"/>
      <c r="G134" s="47"/>
      <c r="H134" s="49"/>
      <c r="I134" s="50"/>
      <c r="J134" s="51"/>
      <c r="K134" s="52"/>
      <c r="L134" s="53" t="str">
        <f t="shared" si="13"/>
        <v/>
      </c>
      <c r="M134" s="48" t="str">
        <f t="shared" si="14"/>
        <v/>
      </c>
      <c r="N134" s="54" t="str">
        <f t="shared" si="15"/>
        <v/>
      </c>
      <c r="O134" s="55">
        <f t="shared" si="16"/>
        <v>0</v>
      </c>
      <c r="P134" s="55">
        <f t="shared" si="17"/>
        <v>0</v>
      </c>
      <c r="Q134" s="54">
        <f t="shared" si="18"/>
        <v>0</v>
      </c>
      <c r="R134" s="47"/>
      <c r="T134" s="57"/>
      <c r="U134" s="45"/>
      <c r="V134" s="46">
        <f>IF(U134&lt;&gt;"",VLOOKUP(U134,'Tipo Projeto'!$A$3:$B$35,2,0),0)</f>
        <v>0</v>
      </c>
      <c r="W134" s="47"/>
      <c r="X134" s="49"/>
      <c r="Y134" s="50"/>
      <c r="Z134" s="51"/>
      <c r="AA134" s="52"/>
      <c r="AB134" s="53" t="str">
        <f t="shared" si="19"/>
        <v/>
      </c>
      <c r="AC134" s="48" t="str">
        <f t="shared" si="20"/>
        <v/>
      </c>
      <c r="AD134" s="54" t="str">
        <f t="shared" si="21"/>
        <v/>
      </c>
      <c r="AE134" s="55">
        <f t="shared" si="22"/>
        <v>0</v>
      </c>
      <c r="AF134" s="55">
        <f t="shared" si="23"/>
        <v>0</v>
      </c>
      <c r="AG134" s="58">
        <f t="shared" si="24"/>
        <v>0</v>
      </c>
      <c r="AH134" s="47"/>
      <c r="AJ134" s="47"/>
      <c r="AL134" s="47"/>
      <c r="AM134" s="47" t="str">
        <f t="shared" si="25"/>
        <v/>
      </c>
    </row>
    <row r="135" spans="1:39" s="56" customFormat="1" ht="24.75" customHeight="1">
      <c r="A135" s="44"/>
      <c r="B135" s="45"/>
      <c r="C135" s="46">
        <f>IF(B135&lt;&gt;"",VLOOKUP(B135,'Tipo Projeto'!$A$3:$B$35,2,0),0)</f>
        <v>0</v>
      </c>
      <c r="D135" s="47"/>
      <c r="E135" s="47"/>
      <c r="F135" s="48"/>
      <c r="G135" s="47"/>
      <c r="H135" s="49"/>
      <c r="I135" s="50"/>
      <c r="J135" s="51"/>
      <c r="K135" s="52"/>
      <c r="L135" s="53" t="str">
        <f t="shared" si="13"/>
        <v/>
      </c>
      <c r="M135" s="48" t="str">
        <f t="shared" si="14"/>
        <v/>
      </c>
      <c r="N135" s="54" t="str">
        <f t="shared" si="15"/>
        <v/>
      </c>
      <c r="O135" s="55">
        <f t="shared" si="16"/>
        <v>0</v>
      </c>
      <c r="P135" s="55">
        <f t="shared" si="17"/>
        <v>0</v>
      </c>
      <c r="Q135" s="54">
        <f t="shared" si="18"/>
        <v>0</v>
      </c>
      <c r="R135" s="47"/>
      <c r="T135" s="57"/>
      <c r="U135" s="45"/>
      <c r="V135" s="46">
        <f>IF(U135&lt;&gt;"",VLOOKUP(U135,'Tipo Projeto'!$A$3:$B$35,2,0),0)</f>
        <v>0</v>
      </c>
      <c r="W135" s="47"/>
      <c r="X135" s="49"/>
      <c r="Y135" s="50"/>
      <c r="Z135" s="51"/>
      <c r="AA135" s="52"/>
      <c r="AB135" s="53" t="str">
        <f t="shared" si="19"/>
        <v/>
      </c>
      <c r="AC135" s="48" t="str">
        <f t="shared" si="20"/>
        <v/>
      </c>
      <c r="AD135" s="54" t="str">
        <f t="shared" si="21"/>
        <v/>
      </c>
      <c r="AE135" s="55">
        <f t="shared" si="22"/>
        <v>0</v>
      </c>
      <c r="AF135" s="55">
        <f t="shared" si="23"/>
        <v>0</v>
      </c>
      <c r="AG135" s="58">
        <f t="shared" si="24"/>
        <v>0</v>
      </c>
      <c r="AH135" s="47"/>
      <c r="AJ135" s="47"/>
      <c r="AL135" s="47"/>
      <c r="AM135" s="47" t="str">
        <f t="shared" si="25"/>
        <v/>
      </c>
    </row>
    <row r="136" spans="1:39" s="56" customFormat="1" ht="24.75" customHeight="1">
      <c r="A136" s="44"/>
      <c r="B136" s="45"/>
      <c r="C136" s="46">
        <f>IF(B136&lt;&gt;"",VLOOKUP(B136,'Tipo Projeto'!$A$3:$B$35,2,0),0)</f>
        <v>0</v>
      </c>
      <c r="D136" s="47"/>
      <c r="E136" s="47"/>
      <c r="F136" s="48"/>
      <c r="G136" s="47"/>
      <c r="H136" s="49"/>
      <c r="I136" s="50"/>
      <c r="J136" s="51"/>
      <c r="K136" s="52"/>
      <c r="L136" s="53" t="str">
        <f t="shared" si="13"/>
        <v/>
      </c>
      <c r="M136" s="48" t="str">
        <f t="shared" si="14"/>
        <v/>
      </c>
      <c r="N136" s="54" t="str">
        <f t="shared" si="15"/>
        <v/>
      </c>
      <c r="O136" s="55">
        <f t="shared" si="16"/>
        <v>0</v>
      </c>
      <c r="P136" s="55">
        <f t="shared" si="17"/>
        <v>0</v>
      </c>
      <c r="Q136" s="54">
        <f t="shared" si="18"/>
        <v>0</v>
      </c>
      <c r="R136" s="47"/>
      <c r="T136" s="57"/>
      <c r="U136" s="45"/>
      <c r="V136" s="46">
        <f>IF(U136&lt;&gt;"",VLOOKUP(U136,'Tipo Projeto'!$A$3:$B$35,2,0),0)</f>
        <v>0</v>
      </c>
      <c r="W136" s="47"/>
      <c r="X136" s="49"/>
      <c r="Y136" s="50"/>
      <c r="Z136" s="51"/>
      <c r="AA136" s="52"/>
      <c r="AB136" s="53" t="str">
        <f t="shared" si="19"/>
        <v/>
      </c>
      <c r="AC136" s="48" t="str">
        <f t="shared" si="20"/>
        <v/>
      </c>
      <c r="AD136" s="54" t="str">
        <f t="shared" si="21"/>
        <v/>
      </c>
      <c r="AE136" s="55">
        <f t="shared" si="22"/>
        <v>0</v>
      </c>
      <c r="AF136" s="55">
        <f t="shared" si="23"/>
        <v>0</v>
      </c>
      <c r="AG136" s="58">
        <f t="shared" si="24"/>
        <v>0</v>
      </c>
      <c r="AH136" s="47"/>
      <c r="AJ136" s="47"/>
      <c r="AL136" s="47"/>
      <c r="AM136" s="47" t="str">
        <f t="shared" si="25"/>
        <v/>
      </c>
    </row>
    <row r="137" spans="1:39" s="56" customFormat="1" ht="24.75" customHeight="1">
      <c r="A137" s="44"/>
      <c r="B137" s="45"/>
      <c r="C137" s="46">
        <f>IF(B137&lt;&gt;"",VLOOKUP(B137,'Tipo Projeto'!$A$3:$B$35,2,0),0)</f>
        <v>0</v>
      </c>
      <c r="D137" s="47"/>
      <c r="E137" s="47"/>
      <c r="F137" s="48"/>
      <c r="G137" s="47"/>
      <c r="H137" s="49"/>
      <c r="I137" s="50"/>
      <c r="J137" s="51"/>
      <c r="K137" s="52"/>
      <c r="L137" s="53" t="str">
        <f t="shared" si="13"/>
        <v/>
      </c>
      <c r="M137" s="48" t="str">
        <f t="shared" si="14"/>
        <v/>
      </c>
      <c r="N137" s="54" t="str">
        <f t="shared" si="15"/>
        <v/>
      </c>
      <c r="O137" s="55">
        <f t="shared" si="16"/>
        <v>0</v>
      </c>
      <c r="P137" s="55">
        <f t="shared" si="17"/>
        <v>0</v>
      </c>
      <c r="Q137" s="54">
        <f t="shared" si="18"/>
        <v>0</v>
      </c>
      <c r="R137" s="47"/>
      <c r="T137" s="57"/>
      <c r="U137" s="45"/>
      <c r="V137" s="46">
        <f>IF(U137&lt;&gt;"",VLOOKUP(U137,'Tipo Projeto'!$A$3:$B$35,2,0),0)</f>
        <v>0</v>
      </c>
      <c r="W137" s="47"/>
      <c r="X137" s="49"/>
      <c r="Y137" s="50"/>
      <c r="Z137" s="51"/>
      <c r="AA137" s="52"/>
      <c r="AB137" s="53" t="str">
        <f t="shared" si="19"/>
        <v/>
      </c>
      <c r="AC137" s="48" t="str">
        <f t="shared" si="20"/>
        <v/>
      </c>
      <c r="AD137" s="54" t="str">
        <f t="shared" si="21"/>
        <v/>
      </c>
      <c r="AE137" s="55">
        <f t="shared" si="22"/>
        <v>0</v>
      </c>
      <c r="AF137" s="55">
        <f t="shared" si="23"/>
        <v>0</v>
      </c>
      <c r="AG137" s="58">
        <f t="shared" si="24"/>
        <v>0</v>
      </c>
      <c r="AH137" s="47"/>
      <c r="AJ137" s="47"/>
      <c r="AL137" s="47"/>
      <c r="AM137" s="47" t="str">
        <f t="shared" si="25"/>
        <v/>
      </c>
    </row>
    <row r="138" spans="1:39" s="56" customFormat="1" ht="24.75" customHeight="1">
      <c r="A138" s="44"/>
      <c r="B138" s="45"/>
      <c r="C138" s="46">
        <f>IF(B138&lt;&gt;"",VLOOKUP(B138,'Tipo Projeto'!$A$3:$B$35,2,0),0)</f>
        <v>0</v>
      </c>
      <c r="D138" s="47"/>
      <c r="E138" s="47"/>
      <c r="F138" s="48"/>
      <c r="G138" s="47"/>
      <c r="H138" s="49"/>
      <c r="I138" s="50"/>
      <c r="J138" s="51"/>
      <c r="K138" s="52"/>
      <c r="L138" s="53" t="str">
        <f t="shared" ref="L138:L201" si="26">IF(G138="EE",IF(OR(AND(OR(J138=1,J138=0),H138&gt;0,H138&lt;5),AND(OR(J138=1,J138=0),H138&gt;4,H138&lt;16),AND(J138=2,H138&gt;0,H138&lt;5)),"Simples",IF(OR(AND(OR(J138=1,J138=0),H138&gt;15),AND(J138=2,H138&gt;4,H138&lt;16),AND(J138&gt;2,H138&gt;0,H138&lt;5)),"Médio",IF(OR(AND(J138=2,H138&gt;15),AND(J138&gt;2,H138&gt;4,H138&lt;16),AND(J138&gt;2,H138&gt;15)),"Complexo",""))), IF(OR(G138="CE",G138="SE"),IF(OR(AND(OR(J138=1,J138=0),H138&gt;0,H138&lt;6),AND(OR(J138=1,J138=0),H138&gt;5,H138&lt;20),AND(J138&gt;1,J138&lt;4,H138&gt;0,H138&lt;6)),"Simples",IF(OR(AND(OR(J138=1,J138=0),H138&gt;19),AND(J138&gt;1,J138&lt;4,H138&gt;5,H138&lt;20),AND(J138&gt;3,H138&gt;0,H138&lt;6)),"Médio",IF(OR(AND(J138&gt;1,J138&lt;4,H138&gt;19),AND(J138&gt;3,H138&gt;5,H138&lt;20),AND(J138&gt;3,H138&gt;19)),"Complexo",""))),""))</f>
        <v/>
      </c>
      <c r="M138" s="48" t="str">
        <f t="shared" ref="M138:M201" si="27">IF(G138="ALI",IF(OR(AND(OR(J138=1,J138=0),H138&gt;0,H138&lt;20),AND(OR(J138=1,J138=0),H138&gt;19,H138&lt;51),AND(J138&gt;1,J138&lt;6,H138&gt;0,H138&lt;20)),"Simples",IF(OR(AND(OR(J138=1,J138=0),H138&gt;50),AND(J138&gt;1,J138&lt;6,H138&gt;19,H138&lt;51),AND(J138&gt;5,H138&gt;0,H138&lt;20)),"Médio",IF(OR(AND(J138&gt;1,J138&lt;6,H138&gt;50),AND(J138&gt;5,H138&gt;19,H138&lt;51),AND(J138&gt;5,H138&gt;50)),"Complexo",""))), IF(G138="AIE",IF(OR(AND(OR(J138=1, J138=0),H138&gt;0,H138&lt;20),AND(OR(J138=1, J138=0),H138&gt;19,H138&lt;51),AND(J138&gt;1,J138&lt;6,H138&gt;0,H138&lt;20)),"Simples",IF(OR(AND(OR(J138=1, J138=0),H138&gt;50),AND(J138&gt;1,J138&lt;6,H138&gt;19,H138&lt;51),AND(J138&gt;5,H138&gt;0,H138&lt;20)),"Médio",IF(OR(AND(J138&gt;1,J138&lt;6,H138&gt;50),AND(J138&gt;5,H138&gt;19,H138&lt;51),AND(J138&gt;5,H138&gt;50)),"Complexo",""))),""))</f>
        <v/>
      </c>
      <c r="N138" s="54" t="str">
        <f t="shared" ref="N138:N201" si="28">IF(L138="",M138,IF(M138="",L138,""))</f>
        <v/>
      </c>
      <c r="O138" s="55">
        <f t="shared" ref="O138:O201" si="29">IF(AND(OR(G138="EE",G138="CE"),N138="Simples"),3, IF(AND(OR(G138="EE",G138="CE"),N138="Médio"),4, IF(AND(OR(G138="EE",G138="CE"),N138="Complexo"),6, IF(AND(G138="SE",N138="Simples"),4, IF(AND(G138="SE",N138="Médio"),5, IF(AND(G138="SE",N138="Complexo"),7,0))))))</f>
        <v>0</v>
      </c>
      <c r="P138" s="55">
        <f t="shared" ref="P138:P201" si="30">IF(AND(G138="ALI",M138="Simples"),7, IF(AND(G138="ALI",M138="Médio"),10, IF(AND(G138="ALI",M138="Complexo"),15, IF(AND(G138="AIE",M138="Simples"),5, IF(AND(G138="AIE",M138="Médio"),7, IF(AND(G138="AIE",M138="Complexo"),10,0))))))</f>
        <v>0</v>
      </c>
      <c r="Q138" s="54">
        <f t="shared" ref="Q138:Q201" si="31">IF(B138&lt;&gt;"Manutenção em interface",IF(B138&lt;&gt;"Desenv., Manutenção e Publicação de Páginas Estáticas",(O138+P138)*C138,C138),C138)</f>
        <v>0</v>
      </c>
      <c r="R138" s="47"/>
      <c r="T138" s="57"/>
      <c r="U138" s="45"/>
      <c r="V138" s="46">
        <f>IF(U138&lt;&gt;"",VLOOKUP(U138,'Tipo Projeto'!$A$3:$B$35,2,0),0)</f>
        <v>0</v>
      </c>
      <c r="W138" s="47"/>
      <c r="X138" s="49"/>
      <c r="Y138" s="50"/>
      <c r="Z138" s="51"/>
      <c r="AA138" s="52"/>
      <c r="AB138" s="53" t="str">
        <f t="shared" ref="AB138:AB201" si="32">IF(W138="EE",IF(OR(AND(OR(Z138=1,Z138=0),X138&gt;0,X138&lt;5),AND(OR(Z138=1,Z138=0),X138&gt;4,X138&lt;16),AND(Z138=2,X138&gt;0,X138&lt;5)),"Simples",IF(OR(AND(OR(Z138=1,Z138=0),X138&gt;15),AND(Z138=2,X138&gt;4,X138&lt;16),AND(Z138&gt;2,X138&gt;0,X138&lt;5)),"Médio",IF(OR(AND(Z138=2,X138&gt;15),AND(Z138&gt;2,X138&gt;4,X138&lt;16),AND(Z138&gt;2,X138&gt;15)),"Complexo",""))), IF(OR(W138="CE",W138="SE"),IF(OR(AND(OR(Z138=1,Z138=0),X138&gt;0,X138&lt;6),AND(OR(Z138=1,Z138=0),X138&gt;5,X138&lt;20),AND(Z138&gt;1,Z138&lt;4,X138&gt;0,X138&lt;6)),"Simples",IF(OR(AND(OR(Z138=1,Z138=0),X138&gt;19),AND(Z138&gt;1,Z138&lt;4,X138&gt;5,X138&lt;20),AND(Z138&gt;3,X138&gt;0,X138&lt;6)),"Médio",IF(OR(AND(Z138&gt;1,Z138&lt;4,X138&gt;19),AND(Z138&gt;3,X138&gt;5,X138&lt;20),AND(Z138&gt;3,X138&gt;19)),"Complexo",""))),""))</f>
        <v/>
      </c>
      <c r="AC138" s="48" t="str">
        <f t="shared" ref="AC138:AC201" si="33">IF(W138="ALI",IF(OR(AND(OR(Z138=1,Z138=0),X138&gt;0,X138&lt;20),AND(OR(Z138=1,Z138=0),X138&gt;19,X138&lt;51),AND(Z138&gt;1,Z138&lt;6,X138&gt;0,X138&lt;20)),"Simples",IF(OR(AND(OR(Z138=1,Z138=0),X138&gt;50),AND(Z138&gt;1,Z138&lt;6,X138&gt;19,X138&lt;51),AND(Z138&gt;5,X138&gt;0,X138&lt;20)),"Médio",IF(OR(AND(Z138&gt;1,Z138&lt;6,X138&gt;50),AND(Z138&gt;5,X138&gt;19,X138&lt;51),AND(Z138&gt;5,X138&gt;50)),"Complexo",""))), IF(W138="AIE",IF(OR(AND(OR(Z138=1, Z138=0),X138&gt;0,X138&lt;20),AND(OR(Z138=1, Z138=0),X138&gt;19,X138&lt;51),AND(Z138&gt;1,Z138&lt;6,X138&gt;0,X138&lt;20)),"Simples",IF(OR(AND(OR(Z138=1, Z138=0),X138&gt;50),AND(Z138&gt;1,Z138&lt;6,X138&gt;19,X138&lt;51),AND(Z138&gt;5,X138&gt;0,X138&lt;20)),"Médio",IF(OR(AND(Z138&gt;1,Z138&lt;6,X138&gt;50),AND(Z138&gt;5,X138&gt;19,X138&lt;51),AND(Z138&gt;5,X138&gt;50)),"Complexo",""))),""))</f>
        <v/>
      </c>
      <c r="AD138" s="54" t="str">
        <f t="shared" ref="AD138:AD201" si="34">IF(AB138="",AC138,IF(AC138="",AB138,""))</f>
        <v/>
      </c>
      <c r="AE138" s="55">
        <f t="shared" ref="AE138:AE201" si="35">IF(AND(OR(W138="EE",W138="CE"),AD138="Simples"),3, IF(AND(OR(W138="EE",W138="CE"),AD138="Médio"),4, IF(AND(OR(W138="EE",W138="CE"),AD138="Complexo"),6, IF(AND(W138="SE",AD138="Simples"),4, IF(AND(W138="SE",AD138="Médio"),5, IF(AND(W138="SE",AD138="Complexo"),7,0))))))</f>
        <v>0</v>
      </c>
      <c r="AF138" s="55">
        <f t="shared" ref="AF138:AF201" si="36">IF(AND(W138="ALI",AC138="Simples"),7, IF(AND(W138="ALI",AC138="Médio"),10, IF(AND(W138="ALI",AC138="Complexo"),15, IF(AND(W138="AIE",AC138="Simples"),5, IF(AND(W138="AIE",AC138="Médio"),7, IF(AND(W138="AIE",AC138="Complexo"),10,0))))))</f>
        <v>0</v>
      </c>
      <c r="AG138" s="58">
        <f t="shared" ref="AG138:AG201" si="37">IF(T138="OK",Q138,( IF(U138&lt;&gt;"Manutenção em interface",IF(U138&lt;&gt;"Desenv., Manutenção e Publicação de Páginas Estáticas",(AE138+AF138)*V138,V138),V138)))</f>
        <v>0</v>
      </c>
      <c r="AH138" s="47"/>
      <c r="AJ138" s="47"/>
      <c r="AL138" s="47"/>
      <c r="AM138" s="47" t="str">
        <f t="shared" ref="AM138:AM201" si="38">IF(AG138=0,"",IF(AG138=Q138,"OK","Divergente"))</f>
        <v/>
      </c>
    </row>
    <row r="139" spans="1:39" s="56" customFormat="1" ht="24.75" customHeight="1">
      <c r="A139" s="44"/>
      <c r="B139" s="45"/>
      <c r="C139" s="46">
        <f>IF(B139&lt;&gt;"",VLOOKUP(B139,'Tipo Projeto'!$A$3:$B$35,2,0),0)</f>
        <v>0</v>
      </c>
      <c r="D139" s="47"/>
      <c r="E139" s="47"/>
      <c r="F139" s="48"/>
      <c r="G139" s="47"/>
      <c r="H139" s="49"/>
      <c r="I139" s="50"/>
      <c r="J139" s="51"/>
      <c r="K139" s="52"/>
      <c r="L139" s="53" t="str">
        <f t="shared" si="26"/>
        <v/>
      </c>
      <c r="M139" s="48" t="str">
        <f t="shared" si="27"/>
        <v/>
      </c>
      <c r="N139" s="54" t="str">
        <f t="shared" si="28"/>
        <v/>
      </c>
      <c r="O139" s="55">
        <f t="shared" si="29"/>
        <v>0</v>
      </c>
      <c r="P139" s="55">
        <f t="shared" si="30"/>
        <v>0</v>
      </c>
      <c r="Q139" s="54">
        <f t="shared" si="31"/>
        <v>0</v>
      </c>
      <c r="R139" s="47"/>
      <c r="T139" s="57"/>
      <c r="U139" s="45"/>
      <c r="V139" s="46">
        <f>IF(U139&lt;&gt;"",VLOOKUP(U139,'Tipo Projeto'!$A$3:$B$35,2,0),0)</f>
        <v>0</v>
      </c>
      <c r="W139" s="47"/>
      <c r="X139" s="49"/>
      <c r="Y139" s="50"/>
      <c r="Z139" s="51"/>
      <c r="AA139" s="52"/>
      <c r="AB139" s="53" t="str">
        <f t="shared" si="32"/>
        <v/>
      </c>
      <c r="AC139" s="48" t="str">
        <f t="shared" si="33"/>
        <v/>
      </c>
      <c r="AD139" s="54" t="str">
        <f t="shared" si="34"/>
        <v/>
      </c>
      <c r="AE139" s="55">
        <f t="shared" si="35"/>
        <v>0</v>
      </c>
      <c r="AF139" s="55">
        <f t="shared" si="36"/>
        <v>0</v>
      </c>
      <c r="AG139" s="58">
        <f t="shared" si="37"/>
        <v>0</v>
      </c>
      <c r="AH139" s="47"/>
      <c r="AJ139" s="47"/>
      <c r="AL139" s="47"/>
      <c r="AM139" s="47" t="str">
        <f t="shared" si="38"/>
        <v/>
      </c>
    </row>
    <row r="140" spans="1:39" s="56" customFormat="1" ht="24.75" customHeight="1">
      <c r="A140" s="44"/>
      <c r="B140" s="45"/>
      <c r="C140" s="46">
        <f>IF(B140&lt;&gt;"",VLOOKUP(B140,'Tipo Projeto'!$A$3:$B$35,2,0),0)</f>
        <v>0</v>
      </c>
      <c r="D140" s="47"/>
      <c r="E140" s="47"/>
      <c r="F140" s="48"/>
      <c r="G140" s="47"/>
      <c r="H140" s="49"/>
      <c r="I140" s="50"/>
      <c r="J140" s="51"/>
      <c r="K140" s="52"/>
      <c r="L140" s="53" t="str">
        <f t="shared" si="26"/>
        <v/>
      </c>
      <c r="M140" s="48" t="str">
        <f t="shared" si="27"/>
        <v/>
      </c>
      <c r="N140" s="54" t="str">
        <f t="shared" si="28"/>
        <v/>
      </c>
      <c r="O140" s="55">
        <f t="shared" si="29"/>
        <v>0</v>
      </c>
      <c r="P140" s="55">
        <f t="shared" si="30"/>
        <v>0</v>
      </c>
      <c r="Q140" s="54">
        <f t="shared" si="31"/>
        <v>0</v>
      </c>
      <c r="R140" s="47"/>
      <c r="T140" s="57"/>
      <c r="U140" s="45"/>
      <c r="V140" s="46">
        <f>IF(U140&lt;&gt;"",VLOOKUP(U140,'Tipo Projeto'!$A$3:$B$35,2,0),0)</f>
        <v>0</v>
      </c>
      <c r="W140" s="47"/>
      <c r="X140" s="49"/>
      <c r="Y140" s="50"/>
      <c r="Z140" s="51"/>
      <c r="AA140" s="52"/>
      <c r="AB140" s="53" t="str">
        <f t="shared" si="32"/>
        <v/>
      </c>
      <c r="AC140" s="48" t="str">
        <f t="shared" si="33"/>
        <v/>
      </c>
      <c r="AD140" s="54" t="str">
        <f t="shared" si="34"/>
        <v/>
      </c>
      <c r="AE140" s="55">
        <f t="shared" si="35"/>
        <v>0</v>
      </c>
      <c r="AF140" s="55">
        <f t="shared" si="36"/>
        <v>0</v>
      </c>
      <c r="AG140" s="58">
        <f t="shared" si="37"/>
        <v>0</v>
      </c>
      <c r="AH140" s="47"/>
      <c r="AJ140" s="47"/>
      <c r="AL140" s="47"/>
      <c r="AM140" s="47" t="str">
        <f t="shared" si="38"/>
        <v/>
      </c>
    </row>
    <row r="141" spans="1:39" s="56" customFormat="1" ht="24.75" customHeight="1">
      <c r="A141" s="44"/>
      <c r="B141" s="45"/>
      <c r="C141" s="46">
        <f>IF(B141&lt;&gt;"",VLOOKUP(B141,'Tipo Projeto'!$A$3:$B$35,2,0),0)</f>
        <v>0</v>
      </c>
      <c r="D141" s="47"/>
      <c r="E141" s="47"/>
      <c r="F141" s="48"/>
      <c r="G141" s="47"/>
      <c r="H141" s="49"/>
      <c r="I141" s="50"/>
      <c r="J141" s="51"/>
      <c r="K141" s="52"/>
      <c r="L141" s="53" t="str">
        <f t="shared" si="26"/>
        <v/>
      </c>
      <c r="M141" s="48" t="str">
        <f t="shared" si="27"/>
        <v/>
      </c>
      <c r="N141" s="54" t="str">
        <f t="shared" si="28"/>
        <v/>
      </c>
      <c r="O141" s="55">
        <f t="shared" si="29"/>
        <v>0</v>
      </c>
      <c r="P141" s="55">
        <f t="shared" si="30"/>
        <v>0</v>
      </c>
      <c r="Q141" s="54">
        <f t="shared" si="31"/>
        <v>0</v>
      </c>
      <c r="R141" s="47"/>
      <c r="T141" s="57"/>
      <c r="U141" s="45"/>
      <c r="V141" s="46">
        <f>IF(U141&lt;&gt;"",VLOOKUP(U141,'Tipo Projeto'!$A$3:$B$35,2,0),0)</f>
        <v>0</v>
      </c>
      <c r="W141" s="47"/>
      <c r="X141" s="49"/>
      <c r="Y141" s="50"/>
      <c r="Z141" s="51"/>
      <c r="AA141" s="52"/>
      <c r="AB141" s="53" t="str">
        <f t="shared" si="32"/>
        <v/>
      </c>
      <c r="AC141" s="48" t="str">
        <f t="shared" si="33"/>
        <v/>
      </c>
      <c r="AD141" s="54" t="str">
        <f t="shared" si="34"/>
        <v/>
      </c>
      <c r="AE141" s="55">
        <f t="shared" si="35"/>
        <v>0</v>
      </c>
      <c r="AF141" s="55">
        <f t="shared" si="36"/>
        <v>0</v>
      </c>
      <c r="AG141" s="58">
        <f t="shared" si="37"/>
        <v>0</v>
      </c>
      <c r="AH141" s="47"/>
      <c r="AJ141" s="47"/>
      <c r="AL141" s="47"/>
      <c r="AM141" s="47" t="str">
        <f t="shared" si="38"/>
        <v/>
      </c>
    </row>
    <row r="142" spans="1:39" s="56" customFormat="1" ht="24.75" customHeight="1">
      <c r="A142" s="44"/>
      <c r="B142" s="45"/>
      <c r="C142" s="46">
        <f>IF(B142&lt;&gt;"",VLOOKUP(B142,'Tipo Projeto'!$A$3:$B$35,2,0),0)</f>
        <v>0</v>
      </c>
      <c r="D142" s="47"/>
      <c r="E142" s="47"/>
      <c r="F142" s="48"/>
      <c r="G142" s="47"/>
      <c r="H142" s="49"/>
      <c r="I142" s="50"/>
      <c r="J142" s="51"/>
      <c r="K142" s="52"/>
      <c r="L142" s="53" t="str">
        <f t="shared" si="26"/>
        <v/>
      </c>
      <c r="M142" s="48" t="str">
        <f t="shared" si="27"/>
        <v/>
      </c>
      <c r="N142" s="54" t="str">
        <f t="shared" si="28"/>
        <v/>
      </c>
      <c r="O142" s="55">
        <f t="shared" si="29"/>
        <v>0</v>
      </c>
      <c r="P142" s="55">
        <f t="shared" si="30"/>
        <v>0</v>
      </c>
      <c r="Q142" s="54">
        <f t="shared" si="31"/>
        <v>0</v>
      </c>
      <c r="R142" s="47"/>
      <c r="T142" s="57"/>
      <c r="U142" s="45"/>
      <c r="V142" s="46">
        <f>IF(U142&lt;&gt;"",VLOOKUP(U142,'Tipo Projeto'!$A$3:$B$35,2,0),0)</f>
        <v>0</v>
      </c>
      <c r="W142" s="47"/>
      <c r="X142" s="49"/>
      <c r="Y142" s="50"/>
      <c r="Z142" s="51"/>
      <c r="AA142" s="52"/>
      <c r="AB142" s="53" t="str">
        <f t="shared" si="32"/>
        <v/>
      </c>
      <c r="AC142" s="48" t="str">
        <f t="shared" si="33"/>
        <v/>
      </c>
      <c r="AD142" s="54" t="str">
        <f t="shared" si="34"/>
        <v/>
      </c>
      <c r="AE142" s="55">
        <f t="shared" si="35"/>
        <v>0</v>
      </c>
      <c r="AF142" s="55">
        <f t="shared" si="36"/>
        <v>0</v>
      </c>
      <c r="AG142" s="58">
        <f t="shared" si="37"/>
        <v>0</v>
      </c>
      <c r="AH142" s="47"/>
      <c r="AJ142" s="47"/>
      <c r="AL142" s="47"/>
      <c r="AM142" s="47" t="str">
        <f t="shared" si="38"/>
        <v/>
      </c>
    </row>
    <row r="143" spans="1:39" s="56" customFormat="1" ht="24.75" customHeight="1">
      <c r="A143" s="44"/>
      <c r="B143" s="45"/>
      <c r="C143" s="46">
        <f>IF(B143&lt;&gt;"",VLOOKUP(B143,'Tipo Projeto'!$A$3:$B$35,2,0),0)</f>
        <v>0</v>
      </c>
      <c r="D143" s="47"/>
      <c r="E143" s="47"/>
      <c r="F143" s="48"/>
      <c r="G143" s="47"/>
      <c r="H143" s="49"/>
      <c r="I143" s="50"/>
      <c r="J143" s="51"/>
      <c r="K143" s="52"/>
      <c r="L143" s="53" t="str">
        <f t="shared" si="26"/>
        <v/>
      </c>
      <c r="M143" s="48" t="str">
        <f t="shared" si="27"/>
        <v/>
      </c>
      <c r="N143" s="54" t="str">
        <f t="shared" si="28"/>
        <v/>
      </c>
      <c r="O143" s="55">
        <f t="shared" si="29"/>
        <v>0</v>
      </c>
      <c r="P143" s="55">
        <f t="shared" si="30"/>
        <v>0</v>
      </c>
      <c r="Q143" s="54">
        <f t="shared" si="31"/>
        <v>0</v>
      </c>
      <c r="R143" s="47"/>
      <c r="T143" s="57"/>
      <c r="U143" s="45"/>
      <c r="V143" s="46">
        <f>IF(U143&lt;&gt;"",VLOOKUP(U143,'Tipo Projeto'!$A$3:$B$35,2,0),0)</f>
        <v>0</v>
      </c>
      <c r="W143" s="47"/>
      <c r="X143" s="49"/>
      <c r="Y143" s="50"/>
      <c r="Z143" s="51"/>
      <c r="AA143" s="52"/>
      <c r="AB143" s="53" t="str">
        <f t="shared" si="32"/>
        <v/>
      </c>
      <c r="AC143" s="48" t="str">
        <f t="shared" si="33"/>
        <v/>
      </c>
      <c r="AD143" s="54" t="str">
        <f t="shared" si="34"/>
        <v/>
      </c>
      <c r="AE143" s="55">
        <f t="shared" si="35"/>
        <v>0</v>
      </c>
      <c r="AF143" s="55">
        <f t="shared" si="36"/>
        <v>0</v>
      </c>
      <c r="AG143" s="58">
        <f t="shared" si="37"/>
        <v>0</v>
      </c>
      <c r="AH143" s="47"/>
      <c r="AJ143" s="47"/>
      <c r="AL143" s="47"/>
      <c r="AM143" s="47" t="str">
        <f t="shared" si="38"/>
        <v/>
      </c>
    </row>
    <row r="144" spans="1:39" s="56" customFormat="1" ht="24.75" customHeight="1">
      <c r="A144" s="44"/>
      <c r="B144" s="45"/>
      <c r="C144" s="46">
        <f>IF(B144&lt;&gt;"",VLOOKUP(B144,'Tipo Projeto'!$A$3:$B$35,2,0),0)</f>
        <v>0</v>
      </c>
      <c r="D144" s="47"/>
      <c r="E144" s="47"/>
      <c r="F144" s="48"/>
      <c r="G144" s="47"/>
      <c r="H144" s="49"/>
      <c r="I144" s="50"/>
      <c r="J144" s="51"/>
      <c r="K144" s="52"/>
      <c r="L144" s="53" t="str">
        <f t="shared" si="26"/>
        <v/>
      </c>
      <c r="M144" s="48" t="str">
        <f t="shared" si="27"/>
        <v/>
      </c>
      <c r="N144" s="54" t="str">
        <f t="shared" si="28"/>
        <v/>
      </c>
      <c r="O144" s="55">
        <f t="shared" si="29"/>
        <v>0</v>
      </c>
      <c r="P144" s="55">
        <f t="shared" si="30"/>
        <v>0</v>
      </c>
      <c r="Q144" s="54">
        <f t="shared" si="31"/>
        <v>0</v>
      </c>
      <c r="R144" s="47"/>
      <c r="T144" s="57"/>
      <c r="U144" s="45"/>
      <c r="V144" s="46">
        <f>IF(U144&lt;&gt;"",VLOOKUP(U144,'Tipo Projeto'!$A$3:$B$35,2,0),0)</f>
        <v>0</v>
      </c>
      <c r="W144" s="47"/>
      <c r="X144" s="49"/>
      <c r="Y144" s="50"/>
      <c r="Z144" s="51"/>
      <c r="AA144" s="52"/>
      <c r="AB144" s="53" t="str">
        <f t="shared" si="32"/>
        <v/>
      </c>
      <c r="AC144" s="48" t="str">
        <f t="shared" si="33"/>
        <v/>
      </c>
      <c r="AD144" s="54" t="str">
        <f t="shared" si="34"/>
        <v/>
      </c>
      <c r="AE144" s="55">
        <f t="shared" si="35"/>
        <v>0</v>
      </c>
      <c r="AF144" s="55">
        <f t="shared" si="36"/>
        <v>0</v>
      </c>
      <c r="AG144" s="58">
        <f t="shared" si="37"/>
        <v>0</v>
      </c>
      <c r="AH144" s="47"/>
      <c r="AJ144" s="47"/>
      <c r="AL144" s="47"/>
      <c r="AM144" s="47" t="str">
        <f t="shared" si="38"/>
        <v/>
      </c>
    </row>
    <row r="145" spans="1:39" s="56" customFormat="1" ht="24.75" customHeight="1">
      <c r="A145" s="44"/>
      <c r="B145" s="45"/>
      <c r="C145" s="46">
        <f>IF(B145&lt;&gt;"",VLOOKUP(B145,'Tipo Projeto'!$A$3:$B$35,2,0),0)</f>
        <v>0</v>
      </c>
      <c r="D145" s="47"/>
      <c r="E145" s="47"/>
      <c r="F145" s="48"/>
      <c r="G145" s="47"/>
      <c r="H145" s="49"/>
      <c r="I145" s="50"/>
      <c r="J145" s="51"/>
      <c r="K145" s="52"/>
      <c r="L145" s="53" t="str">
        <f t="shared" si="26"/>
        <v/>
      </c>
      <c r="M145" s="48" t="str">
        <f t="shared" si="27"/>
        <v/>
      </c>
      <c r="N145" s="54" t="str">
        <f t="shared" si="28"/>
        <v/>
      </c>
      <c r="O145" s="55">
        <f t="shared" si="29"/>
        <v>0</v>
      </c>
      <c r="P145" s="55">
        <f t="shared" si="30"/>
        <v>0</v>
      </c>
      <c r="Q145" s="54">
        <f t="shared" si="31"/>
        <v>0</v>
      </c>
      <c r="R145" s="47"/>
      <c r="T145" s="57"/>
      <c r="U145" s="45"/>
      <c r="V145" s="46">
        <f>IF(U145&lt;&gt;"",VLOOKUP(U145,'Tipo Projeto'!$A$3:$B$35,2,0),0)</f>
        <v>0</v>
      </c>
      <c r="W145" s="47"/>
      <c r="X145" s="49"/>
      <c r="Y145" s="50"/>
      <c r="Z145" s="51"/>
      <c r="AA145" s="52"/>
      <c r="AB145" s="53" t="str">
        <f t="shared" si="32"/>
        <v/>
      </c>
      <c r="AC145" s="48" t="str">
        <f t="shared" si="33"/>
        <v/>
      </c>
      <c r="AD145" s="54" t="str">
        <f t="shared" si="34"/>
        <v/>
      </c>
      <c r="AE145" s="55">
        <f t="shared" si="35"/>
        <v>0</v>
      </c>
      <c r="AF145" s="55">
        <f t="shared" si="36"/>
        <v>0</v>
      </c>
      <c r="AG145" s="58">
        <f t="shared" si="37"/>
        <v>0</v>
      </c>
      <c r="AH145" s="47"/>
      <c r="AJ145" s="47"/>
      <c r="AL145" s="47"/>
      <c r="AM145" s="47" t="str">
        <f t="shared" si="38"/>
        <v/>
      </c>
    </row>
    <row r="146" spans="1:39" s="56" customFormat="1" ht="24.75" customHeight="1">
      <c r="A146" s="44"/>
      <c r="B146" s="45"/>
      <c r="C146" s="46">
        <f>IF(B146&lt;&gt;"",VLOOKUP(B146,'Tipo Projeto'!$A$3:$B$35,2,0),0)</f>
        <v>0</v>
      </c>
      <c r="D146" s="47"/>
      <c r="E146" s="47"/>
      <c r="F146" s="48"/>
      <c r="G146" s="47"/>
      <c r="H146" s="49"/>
      <c r="I146" s="50"/>
      <c r="J146" s="51"/>
      <c r="K146" s="52"/>
      <c r="L146" s="53" t="str">
        <f t="shared" si="26"/>
        <v/>
      </c>
      <c r="M146" s="48" t="str">
        <f t="shared" si="27"/>
        <v/>
      </c>
      <c r="N146" s="54" t="str">
        <f t="shared" si="28"/>
        <v/>
      </c>
      <c r="O146" s="55">
        <f t="shared" si="29"/>
        <v>0</v>
      </c>
      <c r="P146" s="55">
        <f t="shared" si="30"/>
        <v>0</v>
      </c>
      <c r="Q146" s="54">
        <f t="shared" si="31"/>
        <v>0</v>
      </c>
      <c r="R146" s="47"/>
      <c r="T146" s="57"/>
      <c r="U146" s="45"/>
      <c r="V146" s="46">
        <f>IF(U146&lt;&gt;"",VLOOKUP(U146,'Tipo Projeto'!$A$3:$B$35,2,0),0)</f>
        <v>0</v>
      </c>
      <c r="W146" s="47"/>
      <c r="X146" s="49"/>
      <c r="Y146" s="50"/>
      <c r="Z146" s="51"/>
      <c r="AA146" s="52"/>
      <c r="AB146" s="53" t="str">
        <f t="shared" si="32"/>
        <v/>
      </c>
      <c r="AC146" s="48" t="str">
        <f t="shared" si="33"/>
        <v/>
      </c>
      <c r="AD146" s="54" t="str">
        <f t="shared" si="34"/>
        <v/>
      </c>
      <c r="AE146" s="55">
        <f t="shared" si="35"/>
        <v>0</v>
      </c>
      <c r="AF146" s="55">
        <f t="shared" si="36"/>
        <v>0</v>
      </c>
      <c r="AG146" s="58">
        <f t="shared" si="37"/>
        <v>0</v>
      </c>
      <c r="AH146" s="47"/>
      <c r="AJ146" s="47"/>
      <c r="AL146" s="47"/>
      <c r="AM146" s="47" t="str">
        <f t="shared" si="38"/>
        <v/>
      </c>
    </row>
    <row r="147" spans="1:39" s="56" customFormat="1" ht="24.75" customHeight="1">
      <c r="A147" s="44"/>
      <c r="B147" s="45"/>
      <c r="C147" s="46">
        <f>IF(B147&lt;&gt;"",VLOOKUP(B147,'Tipo Projeto'!$A$3:$B$35,2,0),0)</f>
        <v>0</v>
      </c>
      <c r="D147" s="47"/>
      <c r="E147" s="47"/>
      <c r="F147" s="48"/>
      <c r="G147" s="47"/>
      <c r="H147" s="49"/>
      <c r="I147" s="50"/>
      <c r="J147" s="51"/>
      <c r="K147" s="52"/>
      <c r="L147" s="53" t="str">
        <f t="shared" si="26"/>
        <v/>
      </c>
      <c r="M147" s="48" t="str">
        <f t="shared" si="27"/>
        <v/>
      </c>
      <c r="N147" s="54" t="str">
        <f t="shared" si="28"/>
        <v/>
      </c>
      <c r="O147" s="55">
        <f t="shared" si="29"/>
        <v>0</v>
      </c>
      <c r="P147" s="55">
        <f t="shared" si="30"/>
        <v>0</v>
      </c>
      <c r="Q147" s="54">
        <f t="shared" si="31"/>
        <v>0</v>
      </c>
      <c r="R147" s="47"/>
      <c r="T147" s="57"/>
      <c r="U147" s="45"/>
      <c r="V147" s="46">
        <f>IF(U147&lt;&gt;"",VLOOKUP(U147,'Tipo Projeto'!$A$3:$B$35,2,0),0)</f>
        <v>0</v>
      </c>
      <c r="W147" s="47"/>
      <c r="X147" s="49"/>
      <c r="Y147" s="50"/>
      <c r="Z147" s="51"/>
      <c r="AA147" s="52"/>
      <c r="AB147" s="53" t="str">
        <f t="shared" si="32"/>
        <v/>
      </c>
      <c r="AC147" s="48" t="str">
        <f t="shared" si="33"/>
        <v/>
      </c>
      <c r="AD147" s="54" t="str">
        <f t="shared" si="34"/>
        <v/>
      </c>
      <c r="AE147" s="55">
        <f t="shared" si="35"/>
        <v>0</v>
      </c>
      <c r="AF147" s="55">
        <f t="shared" si="36"/>
        <v>0</v>
      </c>
      <c r="AG147" s="58">
        <f t="shared" si="37"/>
        <v>0</v>
      </c>
      <c r="AH147" s="47"/>
      <c r="AJ147" s="47"/>
      <c r="AL147" s="47"/>
      <c r="AM147" s="47" t="str">
        <f t="shared" si="38"/>
        <v/>
      </c>
    </row>
    <row r="148" spans="1:39" s="56" customFormat="1" ht="24.75" customHeight="1">
      <c r="A148" s="44"/>
      <c r="B148" s="45"/>
      <c r="C148" s="46">
        <f>IF(B148&lt;&gt;"",VLOOKUP(B148,'Tipo Projeto'!$A$3:$B$35,2,0),0)</f>
        <v>0</v>
      </c>
      <c r="D148" s="47"/>
      <c r="E148" s="47"/>
      <c r="F148" s="48"/>
      <c r="G148" s="47"/>
      <c r="H148" s="49"/>
      <c r="I148" s="50"/>
      <c r="J148" s="51"/>
      <c r="K148" s="52"/>
      <c r="L148" s="53" t="str">
        <f t="shared" si="26"/>
        <v/>
      </c>
      <c r="M148" s="48" t="str">
        <f t="shared" si="27"/>
        <v/>
      </c>
      <c r="N148" s="54" t="str">
        <f t="shared" si="28"/>
        <v/>
      </c>
      <c r="O148" s="55">
        <f t="shared" si="29"/>
        <v>0</v>
      </c>
      <c r="P148" s="55">
        <f t="shared" si="30"/>
        <v>0</v>
      </c>
      <c r="Q148" s="54">
        <f t="shared" si="31"/>
        <v>0</v>
      </c>
      <c r="R148" s="47"/>
      <c r="T148" s="57"/>
      <c r="U148" s="45"/>
      <c r="V148" s="46">
        <f>IF(U148&lt;&gt;"",VLOOKUP(U148,'Tipo Projeto'!$A$3:$B$35,2,0),0)</f>
        <v>0</v>
      </c>
      <c r="W148" s="47"/>
      <c r="X148" s="49"/>
      <c r="Y148" s="50"/>
      <c r="Z148" s="51"/>
      <c r="AA148" s="52"/>
      <c r="AB148" s="53" t="str">
        <f t="shared" si="32"/>
        <v/>
      </c>
      <c r="AC148" s="48" t="str">
        <f t="shared" si="33"/>
        <v/>
      </c>
      <c r="AD148" s="54" t="str">
        <f t="shared" si="34"/>
        <v/>
      </c>
      <c r="AE148" s="55">
        <f t="shared" si="35"/>
        <v>0</v>
      </c>
      <c r="AF148" s="55">
        <f t="shared" si="36"/>
        <v>0</v>
      </c>
      <c r="AG148" s="58">
        <f t="shared" si="37"/>
        <v>0</v>
      </c>
      <c r="AH148" s="47"/>
      <c r="AJ148" s="47"/>
      <c r="AL148" s="47"/>
      <c r="AM148" s="47" t="str">
        <f t="shared" si="38"/>
        <v/>
      </c>
    </row>
    <row r="149" spans="1:39" s="56" customFormat="1" ht="24.75" customHeight="1">
      <c r="A149" s="44"/>
      <c r="B149" s="45"/>
      <c r="C149" s="46">
        <f>IF(B149&lt;&gt;"",VLOOKUP(B149,'Tipo Projeto'!$A$3:$B$35,2,0),0)</f>
        <v>0</v>
      </c>
      <c r="D149" s="47"/>
      <c r="E149" s="47"/>
      <c r="F149" s="48"/>
      <c r="G149" s="47"/>
      <c r="H149" s="49"/>
      <c r="I149" s="50"/>
      <c r="J149" s="51"/>
      <c r="K149" s="52"/>
      <c r="L149" s="53" t="str">
        <f t="shared" si="26"/>
        <v/>
      </c>
      <c r="M149" s="48" t="str">
        <f t="shared" si="27"/>
        <v/>
      </c>
      <c r="N149" s="54" t="str">
        <f t="shared" si="28"/>
        <v/>
      </c>
      <c r="O149" s="55">
        <f t="shared" si="29"/>
        <v>0</v>
      </c>
      <c r="P149" s="55">
        <f t="shared" si="30"/>
        <v>0</v>
      </c>
      <c r="Q149" s="54">
        <f t="shared" si="31"/>
        <v>0</v>
      </c>
      <c r="R149" s="47"/>
      <c r="T149" s="57"/>
      <c r="U149" s="45"/>
      <c r="V149" s="46">
        <f>IF(U149&lt;&gt;"",VLOOKUP(U149,'Tipo Projeto'!$A$3:$B$35,2,0),0)</f>
        <v>0</v>
      </c>
      <c r="W149" s="47"/>
      <c r="X149" s="49"/>
      <c r="Y149" s="50"/>
      <c r="Z149" s="51"/>
      <c r="AA149" s="52"/>
      <c r="AB149" s="53" t="str">
        <f t="shared" si="32"/>
        <v/>
      </c>
      <c r="AC149" s="48" t="str">
        <f t="shared" si="33"/>
        <v/>
      </c>
      <c r="AD149" s="54" t="str">
        <f t="shared" si="34"/>
        <v/>
      </c>
      <c r="AE149" s="55">
        <f t="shared" si="35"/>
        <v>0</v>
      </c>
      <c r="AF149" s="55">
        <f t="shared" si="36"/>
        <v>0</v>
      </c>
      <c r="AG149" s="58">
        <f t="shared" si="37"/>
        <v>0</v>
      </c>
      <c r="AH149" s="47"/>
      <c r="AJ149" s="47"/>
      <c r="AL149" s="47"/>
      <c r="AM149" s="47" t="str">
        <f t="shared" si="38"/>
        <v/>
      </c>
    </row>
    <row r="150" spans="1:39" s="56" customFormat="1" ht="24.75" customHeight="1">
      <c r="A150" s="44"/>
      <c r="B150" s="45"/>
      <c r="C150" s="46">
        <f>IF(B150&lt;&gt;"",VLOOKUP(B150,'Tipo Projeto'!$A$3:$B$35,2,0),0)</f>
        <v>0</v>
      </c>
      <c r="D150" s="47"/>
      <c r="E150" s="47"/>
      <c r="F150" s="48"/>
      <c r="G150" s="47"/>
      <c r="H150" s="49"/>
      <c r="I150" s="50"/>
      <c r="J150" s="51"/>
      <c r="K150" s="52"/>
      <c r="L150" s="53" t="str">
        <f t="shared" si="26"/>
        <v/>
      </c>
      <c r="M150" s="48" t="str">
        <f t="shared" si="27"/>
        <v/>
      </c>
      <c r="N150" s="54" t="str">
        <f t="shared" si="28"/>
        <v/>
      </c>
      <c r="O150" s="55">
        <f t="shared" si="29"/>
        <v>0</v>
      </c>
      <c r="P150" s="55">
        <f t="shared" si="30"/>
        <v>0</v>
      </c>
      <c r="Q150" s="54">
        <f t="shared" si="31"/>
        <v>0</v>
      </c>
      <c r="R150" s="47"/>
      <c r="T150" s="57"/>
      <c r="U150" s="45"/>
      <c r="V150" s="46">
        <f>IF(U150&lt;&gt;"",VLOOKUP(U150,'Tipo Projeto'!$A$3:$B$35,2,0),0)</f>
        <v>0</v>
      </c>
      <c r="W150" s="47"/>
      <c r="X150" s="49"/>
      <c r="Y150" s="50"/>
      <c r="Z150" s="51"/>
      <c r="AA150" s="52"/>
      <c r="AB150" s="53" t="str">
        <f t="shared" si="32"/>
        <v/>
      </c>
      <c r="AC150" s="48" t="str">
        <f t="shared" si="33"/>
        <v/>
      </c>
      <c r="AD150" s="54" t="str">
        <f t="shared" si="34"/>
        <v/>
      </c>
      <c r="AE150" s="55">
        <f t="shared" si="35"/>
        <v>0</v>
      </c>
      <c r="AF150" s="55">
        <f t="shared" si="36"/>
        <v>0</v>
      </c>
      <c r="AG150" s="58">
        <f t="shared" si="37"/>
        <v>0</v>
      </c>
      <c r="AH150" s="47"/>
      <c r="AJ150" s="47"/>
      <c r="AL150" s="47"/>
      <c r="AM150" s="47" t="str">
        <f t="shared" si="38"/>
        <v/>
      </c>
    </row>
    <row r="151" spans="1:39" s="56" customFormat="1" ht="24.75" customHeight="1">
      <c r="A151" s="44"/>
      <c r="B151" s="45"/>
      <c r="C151" s="46">
        <f>IF(B151&lt;&gt;"",VLOOKUP(B151,'Tipo Projeto'!$A$3:$B$35,2,0),0)</f>
        <v>0</v>
      </c>
      <c r="D151" s="47"/>
      <c r="E151" s="47"/>
      <c r="F151" s="48"/>
      <c r="G151" s="47"/>
      <c r="H151" s="49"/>
      <c r="I151" s="50"/>
      <c r="J151" s="51"/>
      <c r="K151" s="52"/>
      <c r="L151" s="53" t="str">
        <f t="shared" si="26"/>
        <v/>
      </c>
      <c r="M151" s="48" t="str">
        <f t="shared" si="27"/>
        <v/>
      </c>
      <c r="N151" s="54" t="str">
        <f t="shared" si="28"/>
        <v/>
      </c>
      <c r="O151" s="55">
        <f t="shared" si="29"/>
        <v>0</v>
      </c>
      <c r="P151" s="55">
        <f t="shared" si="30"/>
        <v>0</v>
      </c>
      <c r="Q151" s="54">
        <f t="shared" si="31"/>
        <v>0</v>
      </c>
      <c r="R151" s="47"/>
      <c r="T151" s="57"/>
      <c r="U151" s="45"/>
      <c r="V151" s="46">
        <f>IF(U151&lt;&gt;"",VLOOKUP(U151,'Tipo Projeto'!$A$3:$B$35,2,0),0)</f>
        <v>0</v>
      </c>
      <c r="W151" s="47"/>
      <c r="X151" s="49"/>
      <c r="Y151" s="50"/>
      <c r="Z151" s="51"/>
      <c r="AA151" s="52"/>
      <c r="AB151" s="53" t="str">
        <f t="shared" si="32"/>
        <v/>
      </c>
      <c r="AC151" s="48" t="str">
        <f t="shared" si="33"/>
        <v/>
      </c>
      <c r="AD151" s="54" t="str">
        <f t="shared" si="34"/>
        <v/>
      </c>
      <c r="AE151" s="55">
        <f t="shared" si="35"/>
        <v>0</v>
      </c>
      <c r="AF151" s="55">
        <f t="shared" si="36"/>
        <v>0</v>
      </c>
      <c r="AG151" s="58">
        <f t="shared" si="37"/>
        <v>0</v>
      </c>
      <c r="AH151" s="47"/>
      <c r="AJ151" s="47"/>
      <c r="AL151" s="47"/>
      <c r="AM151" s="47" t="str">
        <f t="shared" si="38"/>
        <v/>
      </c>
    </row>
    <row r="152" spans="1:39" s="56" customFormat="1" ht="24.75" customHeight="1">
      <c r="A152" s="44"/>
      <c r="B152" s="45"/>
      <c r="C152" s="46">
        <f>IF(B152&lt;&gt;"",VLOOKUP(B152,'Tipo Projeto'!$A$3:$B$35,2,0),0)</f>
        <v>0</v>
      </c>
      <c r="D152" s="47"/>
      <c r="E152" s="47"/>
      <c r="F152" s="48"/>
      <c r="G152" s="47"/>
      <c r="H152" s="49"/>
      <c r="I152" s="50"/>
      <c r="J152" s="51"/>
      <c r="K152" s="52"/>
      <c r="L152" s="53" t="str">
        <f t="shared" si="26"/>
        <v/>
      </c>
      <c r="M152" s="48" t="str">
        <f t="shared" si="27"/>
        <v/>
      </c>
      <c r="N152" s="54" t="str">
        <f t="shared" si="28"/>
        <v/>
      </c>
      <c r="O152" s="55">
        <f t="shared" si="29"/>
        <v>0</v>
      </c>
      <c r="P152" s="55">
        <f t="shared" si="30"/>
        <v>0</v>
      </c>
      <c r="Q152" s="54">
        <f t="shared" si="31"/>
        <v>0</v>
      </c>
      <c r="R152" s="47"/>
      <c r="T152" s="57"/>
      <c r="U152" s="45"/>
      <c r="V152" s="46">
        <f>IF(U152&lt;&gt;"",VLOOKUP(U152,'Tipo Projeto'!$A$3:$B$35,2,0),0)</f>
        <v>0</v>
      </c>
      <c r="W152" s="47"/>
      <c r="X152" s="49"/>
      <c r="Y152" s="50"/>
      <c r="Z152" s="51"/>
      <c r="AA152" s="52"/>
      <c r="AB152" s="53" t="str">
        <f t="shared" si="32"/>
        <v/>
      </c>
      <c r="AC152" s="48" t="str">
        <f t="shared" si="33"/>
        <v/>
      </c>
      <c r="AD152" s="54" t="str">
        <f t="shared" si="34"/>
        <v/>
      </c>
      <c r="AE152" s="55">
        <f t="shared" si="35"/>
        <v>0</v>
      </c>
      <c r="AF152" s="55">
        <f t="shared" si="36"/>
        <v>0</v>
      </c>
      <c r="AG152" s="58">
        <f t="shared" si="37"/>
        <v>0</v>
      </c>
      <c r="AH152" s="47"/>
      <c r="AJ152" s="47"/>
      <c r="AL152" s="47"/>
      <c r="AM152" s="47" t="str">
        <f t="shared" si="38"/>
        <v/>
      </c>
    </row>
    <row r="153" spans="1:39" s="56" customFormat="1" ht="24.75" customHeight="1">
      <c r="A153" s="44"/>
      <c r="B153" s="45"/>
      <c r="C153" s="46">
        <f>IF(B153&lt;&gt;"",VLOOKUP(B153,'Tipo Projeto'!$A$3:$B$35,2,0),0)</f>
        <v>0</v>
      </c>
      <c r="D153" s="47"/>
      <c r="E153" s="47"/>
      <c r="F153" s="48"/>
      <c r="G153" s="47"/>
      <c r="H153" s="49"/>
      <c r="I153" s="50"/>
      <c r="J153" s="51"/>
      <c r="K153" s="52"/>
      <c r="L153" s="53" t="str">
        <f t="shared" si="26"/>
        <v/>
      </c>
      <c r="M153" s="48" t="str">
        <f t="shared" si="27"/>
        <v/>
      </c>
      <c r="N153" s="54" t="str">
        <f t="shared" si="28"/>
        <v/>
      </c>
      <c r="O153" s="55">
        <f t="shared" si="29"/>
        <v>0</v>
      </c>
      <c r="P153" s="55">
        <f t="shared" si="30"/>
        <v>0</v>
      </c>
      <c r="Q153" s="54">
        <f t="shared" si="31"/>
        <v>0</v>
      </c>
      <c r="R153" s="47"/>
      <c r="T153" s="57"/>
      <c r="U153" s="45"/>
      <c r="V153" s="46">
        <f>IF(U153&lt;&gt;"",VLOOKUP(U153,'Tipo Projeto'!$A$3:$B$35,2,0),0)</f>
        <v>0</v>
      </c>
      <c r="W153" s="47"/>
      <c r="X153" s="49"/>
      <c r="Y153" s="50"/>
      <c r="Z153" s="51"/>
      <c r="AA153" s="52"/>
      <c r="AB153" s="53" t="str">
        <f t="shared" si="32"/>
        <v/>
      </c>
      <c r="AC153" s="48" t="str">
        <f t="shared" si="33"/>
        <v/>
      </c>
      <c r="AD153" s="54" t="str">
        <f t="shared" si="34"/>
        <v/>
      </c>
      <c r="AE153" s="55">
        <f t="shared" si="35"/>
        <v>0</v>
      </c>
      <c r="AF153" s="55">
        <f t="shared" si="36"/>
        <v>0</v>
      </c>
      <c r="AG153" s="58">
        <f t="shared" si="37"/>
        <v>0</v>
      </c>
      <c r="AH153" s="47"/>
      <c r="AJ153" s="47"/>
      <c r="AL153" s="47"/>
      <c r="AM153" s="47" t="str">
        <f t="shared" si="38"/>
        <v/>
      </c>
    </row>
    <row r="154" spans="1:39" s="56" customFormat="1" ht="24.75" customHeight="1">
      <c r="A154" s="44"/>
      <c r="B154" s="45"/>
      <c r="C154" s="46">
        <f>IF(B154&lt;&gt;"",VLOOKUP(B154,'Tipo Projeto'!$A$3:$B$35,2,0),0)</f>
        <v>0</v>
      </c>
      <c r="D154" s="47"/>
      <c r="E154" s="47"/>
      <c r="F154" s="48"/>
      <c r="G154" s="47"/>
      <c r="H154" s="49"/>
      <c r="I154" s="50"/>
      <c r="J154" s="51"/>
      <c r="K154" s="52"/>
      <c r="L154" s="53" t="str">
        <f t="shared" si="26"/>
        <v/>
      </c>
      <c r="M154" s="48" t="str">
        <f t="shared" si="27"/>
        <v/>
      </c>
      <c r="N154" s="54" t="str">
        <f t="shared" si="28"/>
        <v/>
      </c>
      <c r="O154" s="55">
        <f t="shared" si="29"/>
        <v>0</v>
      </c>
      <c r="P154" s="55">
        <f t="shared" si="30"/>
        <v>0</v>
      </c>
      <c r="Q154" s="54">
        <f t="shared" si="31"/>
        <v>0</v>
      </c>
      <c r="R154" s="47"/>
      <c r="T154" s="57"/>
      <c r="U154" s="45"/>
      <c r="V154" s="46">
        <f>IF(U154&lt;&gt;"",VLOOKUP(U154,'Tipo Projeto'!$A$3:$B$35,2,0),0)</f>
        <v>0</v>
      </c>
      <c r="W154" s="47"/>
      <c r="X154" s="49"/>
      <c r="Y154" s="50"/>
      <c r="Z154" s="51"/>
      <c r="AA154" s="52"/>
      <c r="AB154" s="53" t="str">
        <f t="shared" si="32"/>
        <v/>
      </c>
      <c r="AC154" s="48" t="str">
        <f t="shared" si="33"/>
        <v/>
      </c>
      <c r="AD154" s="54" t="str">
        <f t="shared" si="34"/>
        <v/>
      </c>
      <c r="AE154" s="55">
        <f t="shared" si="35"/>
        <v>0</v>
      </c>
      <c r="AF154" s="55">
        <f t="shared" si="36"/>
        <v>0</v>
      </c>
      <c r="AG154" s="58">
        <f t="shared" si="37"/>
        <v>0</v>
      </c>
      <c r="AH154" s="47"/>
      <c r="AJ154" s="47"/>
      <c r="AL154" s="47"/>
      <c r="AM154" s="47" t="str">
        <f t="shared" si="38"/>
        <v/>
      </c>
    </row>
    <row r="155" spans="1:39" s="56" customFormat="1" ht="24.75" customHeight="1">
      <c r="A155" s="44"/>
      <c r="B155" s="45"/>
      <c r="C155" s="46">
        <f>IF(B155&lt;&gt;"",VLOOKUP(B155,'Tipo Projeto'!$A$3:$B$35,2,0),0)</f>
        <v>0</v>
      </c>
      <c r="D155" s="47"/>
      <c r="E155" s="47"/>
      <c r="F155" s="48"/>
      <c r="G155" s="47"/>
      <c r="H155" s="49"/>
      <c r="I155" s="50"/>
      <c r="J155" s="51"/>
      <c r="K155" s="52"/>
      <c r="L155" s="53" t="str">
        <f t="shared" si="26"/>
        <v/>
      </c>
      <c r="M155" s="48" t="str">
        <f t="shared" si="27"/>
        <v/>
      </c>
      <c r="N155" s="54" t="str">
        <f t="shared" si="28"/>
        <v/>
      </c>
      <c r="O155" s="55">
        <f t="shared" si="29"/>
        <v>0</v>
      </c>
      <c r="P155" s="55">
        <f t="shared" si="30"/>
        <v>0</v>
      </c>
      <c r="Q155" s="54">
        <f t="shared" si="31"/>
        <v>0</v>
      </c>
      <c r="R155" s="47"/>
      <c r="T155" s="57"/>
      <c r="U155" s="45"/>
      <c r="V155" s="46">
        <f>IF(U155&lt;&gt;"",VLOOKUP(U155,'Tipo Projeto'!$A$3:$B$35,2,0),0)</f>
        <v>0</v>
      </c>
      <c r="W155" s="47"/>
      <c r="X155" s="49"/>
      <c r="Y155" s="50"/>
      <c r="Z155" s="51"/>
      <c r="AA155" s="52"/>
      <c r="AB155" s="53" t="str">
        <f t="shared" si="32"/>
        <v/>
      </c>
      <c r="AC155" s="48" t="str">
        <f t="shared" si="33"/>
        <v/>
      </c>
      <c r="AD155" s="54" t="str">
        <f t="shared" si="34"/>
        <v/>
      </c>
      <c r="AE155" s="55">
        <f t="shared" si="35"/>
        <v>0</v>
      </c>
      <c r="AF155" s="55">
        <f t="shared" si="36"/>
        <v>0</v>
      </c>
      <c r="AG155" s="58">
        <f t="shared" si="37"/>
        <v>0</v>
      </c>
      <c r="AH155" s="47"/>
      <c r="AJ155" s="47"/>
      <c r="AL155" s="47"/>
      <c r="AM155" s="47" t="str">
        <f t="shared" si="38"/>
        <v/>
      </c>
    </row>
    <row r="156" spans="1:39" s="56" customFormat="1" ht="24.75" customHeight="1">
      <c r="A156" s="44"/>
      <c r="B156" s="45"/>
      <c r="C156" s="46">
        <f>IF(B156&lt;&gt;"",VLOOKUP(B156,'Tipo Projeto'!$A$3:$B$35,2,0),0)</f>
        <v>0</v>
      </c>
      <c r="D156" s="47"/>
      <c r="E156" s="47"/>
      <c r="F156" s="48"/>
      <c r="G156" s="47"/>
      <c r="H156" s="49"/>
      <c r="I156" s="50"/>
      <c r="J156" s="51"/>
      <c r="K156" s="52"/>
      <c r="L156" s="53" t="str">
        <f t="shared" si="26"/>
        <v/>
      </c>
      <c r="M156" s="48" t="str">
        <f t="shared" si="27"/>
        <v/>
      </c>
      <c r="N156" s="54" t="str">
        <f t="shared" si="28"/>
        <v/>
      </c>
      <c r="O156" s="55">
        <f t="shared" si="29"/>
        <v>0</v>
      </c>
      <c r="P156" s="55">
        <f t="shared" si="30"/>
        <v>0</v>
      </c>
      <c r="Q156" s="54">
        <f t="shared" si="31"/>
        <v>0</v>
      </c>
      <c r="R156" s="47"/>
      <c r="T156" s="57"/>
      <c r="U156" s="45"/>
      <c r="V156" s="46">
        <f>IF(U156&lt;&gt;"",VLOOKUP(U156,'Tipo Projeto'!$A$3:$B$35,2,0),0)</f>
        <v>0</v>
      </c>
      <c r="W156" s="47"/>
      <c r="X156" s="49"/>
      <c r="Y156" s="50"/>
      <c r="Z156" s="51"/>
      <c r="AA156" s="52"/>
      <c r="AB156" s="53" t="str">
        <f t="shared" si="32"/>
        <v/>
      </c>
      <c r="AC156" s="48" t="str">
        <f t="shared" si="33"/>
        <v/>
      </c>
      <c r="AD156" s="54" t="str">
        <f t="shared" si="34"/>
        <v/>
      </c>
      <c r="AE156" s="55">
        <f t="shared" si="35"/>
        <v>0</v>
      </c>
      <c r="AF156" s="55">
        <f t="shared" si="36"/>
        <v>0</v>
      </c>
      <c r="AG156" s="58">
        <f t="shared" si="37"/>
        <v>0</v>
      </c>
      <c r="AH156" s="47"/>
      <c r="AJ156" s="47"/>
      <c r="AL156" s="47"/>
      <c r="AM156" s="47" t="str">
        <f t="shared" si="38"/>
        <v/>
      </c>
    </row>
    <row r="157" spans="1:39" s="56" customFormat="1" ht="24.75" customHeight="1">
      <c r="A157" s="44"/>
      <c r="B157" s="45"/>
      <c r="C157" s="46">
        <f>IF(B157&lt;&gt;"",VLOOKUP(B157,'Tipo Projeto'!$A$3:$B$35,2,0),0)</f>
        <v>0</v>
      </c>
      <c r="D157" s="47"/>
      <c r="E157" s="47"/>
      <c r="F157" s="48"/>
      <c r="G157" s="47"/>
      <c r="H157" s="49"/>
      <c r="I157" s="50"/>
      <c r="J157" s="51"/>
      <c r="K157" s="52"/>
      <c r="L157" s="53" t="str">
        <f t="shared" si="26"/>
        <v/>
      </c>
      <c r="M157" s="48" t="str">
        <f t="shared" si="27"/>
        <v/>
      </c>
      <c r="N157" s="54" t="str">
        <f t="shared" si="28"/>
        <v/>
      </c>
      <c r="O157" s="55">
        <f t="shared" si="29"/>
        <v>0</v>
      </c>
      <c r="P157" s="55">
        <f t="shared" si="30"/>
        <v>0</v>
      </c>
      <c r="Q157" s="54">
        <f t="shared" si="31"/>
        <v>0</v>
      </c>
      <c r="R157" s="47"/>
      <c r="T157" s="57"/>
      <c r="U157" s="45"/>
      <c r="V157" s="46">
        <f>IF(U157&lt;&gt;"",VLOOKUP(U157,'Tipo Projeto'!$A$3:$B$35,2,0),0)</f>
        <v>0</v>
      </c>
      <c r="W157" s="47"/>
      <c r="X157" s="49"/>
      <c r="Y157" s="50"/>
      <c r="Z157" s="51"/>
      <c r="AA157" s="52"/>
      <c r="AB157" s="53" t="str">
        <f t="shared" si="32"/>
        <v/>
      </c>
      <c r="AC157" s="48" t="str">
        <f t="shared" si="33"/>
        <v/>
      </c>
      <c r="AD157" s="54" t="str">
        <f t="shared" si="34"/>
        <v/>
      </c>
      <c r="AE157" s="55">
        <f t="shared" si="35"/>
        <v>0</v>
      </c>
      <c r="AF157" s="55">
        <f t="shared" si="36"/>
        <v>0</v>
      </c>
      <c r="AG157" s="58">
        <f t="shared" si="37"/>
        <v>0</v>
      </c>
      <c r="AH157" s="47"/>
      <c r="AJ157" s="47"/>
      <c r="AL157" s="47"/>
      <c r="AM157" s="47" t="str">
        <f t="shared" si="38"/>
        <v/>
      </c>
    </row>
    <row r="158" spans="1:39" s="56" customFormat="1" ht="24.75" customHeight="1">
      <c r="A158" s="44"/>
      <c r="B158" s="45"/>
      <c r="C158" s="46">
        <f>IF(B158&lt;&gt;"",VLOOKUP(B158,'Tipo Projeto'!$A$3:$B$35,2,0),0)</f>
        <v>0</v>
      </c>
      <c r="D158" s="47"/>
      <c r="E158" s="47"/>
      <c r="F158" s="48"/>
      <c r="G158" s="47"/>
      <c r="H158" s="49"/>
      <c r="I158" s="50"/>
      <c r="J158" s="51"/>
      <c r="K158" s="52"/>
      <c r="L158" s="53" t="str">
        <f t="shared" si="26"/>
        <v/>
      </c>
      <c r="M158" s="48" t="str">
        <f t="shared" si="27"/>
        <v/>
      </c>
      <c r="N158" s="54" t="str">
        <f t="shared" si="28"/>
        <v/>
      </c>
      <c r="O158" s="55">
        <f t="shared" si="29"/>
        <v>0</v>
      </c>
      <c r="P158" s="55">
        <f t="shared" si="30"/>
        <v>0</v>
      </c>
      <c r="Q158" s="54">
        <f t="shared" si="31"/>
        <v>0</v>
      </c>
      <c r="R158" s="47"/>
      <c r="T158" s="57"/>
      <c r="U158" s="45"/>
      <c r="V158" s="46">
        <f>IF(U158&lt;&gt;"",VLOOKUP(U158,'Tipo Projeto'!$A$3:$B$35,2,0),0)</f>
        <v>0</v>
      </c>
      <c r="W158" s="47"/>
      <c r="X158" s="49"/>
      <c r="Y158" s="50"/>
      <c r="Z158" s="51"/>
      <c r="AA158" s="52"/>
      <c r="AB158" s="53" t="str">
        <f t="shared" si="32"/>
        <v/>
      </c>
      <c r="AC158" s="48" t="str">
        <f t="shared" si="33"/>
        <v/>
      </c>
      <c r="AD158" s="54" t="str">
        <f t="shared" si="34"/>
        <v/>
      </c>
      <c r="AE158" s="55">
        <f t="shared" si="35"/>
        <v>0</v>
      </c>
      <c r="AF158" s="55">
        <f t="shared" si="36"/>
        <v>0</v>
      </c>
      <c r="AG158" s="58">
        <f t="shared" si="37"/>
        <v>0</v>
      </c>
      <c r="AH158" s="47"/>
      <c r="AJ158" s="47"/>
      <c r="AL158" s="47"/>
      <c r="AM158" s="47" t="str">
        <f t="shared" si="38"/>
        <v/>
      </c>
    </row>
    <row r="159" spans="1:39" s="56" customFormat="1" ht="24.75" customHeight="1">
      <c r="A159" s="44"/>
      <c r="B159" s="45"/>
      <c r="C159" s="46">
        <f>IF(B159&lt;&gt;"",VLOOKUP(B159,'Tipo Projeto'!$A$3:$B$35,2,0),0)</f>
        <v>0</v>
      </c>
      <c r="D159" s="47"/>
      <c r="E159" s="47"/>
      <c r="F159" s="48"/>
      <c r="G159" s="47"/>
      <c r="H159" s="49"/>
      <c r="I159" s="50"/>
      <c r="J159" s="51"/>
      <c r="K159" s="52"/>
      <c r="L159" s="53" t="str">
        <f t="shared" si="26"/>
        <v/>
      </c>
      <c r="M159" s="48" t="str">
        <f t="shared" si="27"/>
        <v/>
      </c>
      <c r="N159" s="54" t="str">
        <f t="shared" si="28"/>
        <v/>
      </c>
      <c r="O159" s="55">
        <f t="shared" si="29"/>
        <v>0</v>
      </c>
      <c r="P159" s="55">
        <f t="shared" si="30"/>
        <v>0</v>
      </c>
      <c r="Q159" s="54">
        <f t="shared" si="31"/>
        <v>0</v>
      </c>
      <c r="R159" s="47"/>
      <c r="T159" s="57"/>
      <c r="U159" s="45"/>
      <c r="V159" s="46">
        <f>IF(U159&lt;&gt;"",VLOOKUP(U159,'Tipo Projeto'!$A$3:$B$35,2,0),0)</f>
        <v>0</v>
      </c>
      <c r="W159" s="47"/>
      <c r="X159" s="49"/>
      <c r="Y159" s="50"/>
      <c r="Z159" s="51"/>
      <c r="AA159" s="52"/>
      <c r="AB159" s="53" t="str">
        <f t="shared" si="32"/>
        <v/>
      </c>
      <c r="AC159" s="48" t="str">
        <f t="shared" si="33"/>
        <v/>
      </c>
      <c r="AD159" s="54" t="str">
        <f t="shared" si="34"/>
        <v/>
      </c>
      <c r="AE159" s="55">
        <f t="shared" si="35"/>
        <v>0</v>
      </c>
      <c r="AF159" s="55">
        <f t="shared" si="36"/>
        <v>0</v>
      </c>
      <c r="AG159" s="58">
        <f t="shared" si="37"/>
        <v>0</v>
      </c>
      <c r="AH159" s="47"/>
      <c r="AJ159" s="47"/>
      <c r="AL159" s="47"/>
      <c r="AM159" s="47" t="str">
        <f t="shared" si="38"/>
        <v/>
      </c>
    </row>
    <row r="160" spans="1:39" s="56" customFormat="1" ht="24.75" customHeight="1">
      <c r="A160" s="44"/>
      <c r="B160" s="45"/>
      <c r="C160" s="46">
        <f>IF(B160&lt;&gt;"",VLOOKUP(B160,'Tipo Projeto'!$A$3:$B$35,2,0),0)</f>
        <v>0</v>
      </c>
      <c r="D160" s="47"/>
      <c r="E160" s="47"/>
      <c r="F160" s="48"/>
      <c r="G160" s="47"/>
      <c r="H160" s="49"/>
      <c r="I160" s="50"/>
      <c r="J160" s="51"/>
      <c r="K160" s="52"/>
      <c r="L160" s="53" t="str">
        <f t="shared" si="26"/>
        <v/>
      </c>
      <c r="M160" s="48" t="str">
        <f t="shared" si="27"/>
        <v/>
      </c>
      <c r="N160" s="54" t="str">
        <f t="shared" si="28"/>
        <v/>
      </c>
      <c r="O160" s="55">
        <f t="shared" si="29"/>
        <v>0</v>
      </c>
      <c r="P160" s="55">
        <f t="shared" si="30"/>
        <v>0</v>
      </c>
      <c r="Q160" s="54">
        <f t="shared" si="31"/>
        <v>0</v>
      </c>
      <c r="R160" s="47"/>
      <c r="T160" s="57"/>
      <c r="U160" s="45"/>
      <c r="V160" s="46">
        <f>IF(U160&lt;&gt;"",VLOOKUP(U160,'Tipo Projeto'!$A$3:$B$35,2,0),0)</f>
        <v>0</v>
      </c>
      <c r="W160" s="47"/>
      <c r="X160" s="49"/>
      <c r="Y160" s="50"/>
      <c r="Z160" s="51"/>
      <c r="AA160" s="52"/>
      <c r="AB160" s="53" t="str">
        <f t="shared" si="32"/>
        <v/>
      </c>
      <c r="AC160" s="48" t="str">
        <f t="shared" si="33"/>
        <v/>
      </c>
      <c r="AD160" s="54" t="str">
        <f t="shared" si="34"/>
        <v/>
      </c>
      <c r="AE160" s="55">
        <f t="shared" si="35"/>
        <v>0</v>
      </c>
      <c r="AF160" s="55">
        <f t="shared" si="36"/>
        <v>0</v>
      </c>
      <c r="AG160" s="58">
        <f t="shared" si="37"/>
        <v>0</v>
      </c>
      <c r="AH160" s="47"/>
      <c r="AJ160" s="47"/>
      <c r="AL160" s="47"/>
      <c r="AM160" s="47" t="str">
        <f t="shared" si="38"/>
        <v/>
      </c>
    </row>
    <row r="161" spans="1:39" s="56" customFormat="1" ht="24.75" customHeight="1">
      <c r="A161" s="44"/>
      <c r="B161" s="45"/>
      <c r="C161" s="46">
        <f>IF(B161&lt;&gt;"",VLOOKUP(B161,'Tipo Projeto'!$A$3:$B$35,2,0),0)</f>
        <v>0</v>
      </c>
      <c r="D161" s="47"/>
      <c r="E161" s="47"/>
      <c r="F161" s="48"/>
      <c r="G161" s="47"/>
      <c r="H161" s="49"/>
      <c r="I161" s="50"/>
      <c r="J161" s="51"/>
      <c r="K161" s="52"/>
      <c r="L161" s="53" t="str">
        <f t="shared" si="26"/>
        <v/>
      </c>
      <c r="M161" s="48" t="str">
        <f t="shared" si="27"/>
        <v/>
      </c>
      <c r="N161" s="54" t="str">
        <f t="shared" si="28"/>
        <v/>
      </c>
      <c r="O161" s="55">
        <f t="shared" si="29"/>
        <v>0</v>
      </c>
      <c r="P161" s="55">
        <f t="shared" si="30"/>
        <v>0</v>
      </c>
      <c r="Q161" s="54">
        <f t="shared" si="31"/>
        <v>0</v>
      </c>
      <c r="R161" s="47"/>
      <c r="T161" s="57"/>
      <c r="U161" s="45"/>
      <c r="V161" s="46">
        <f>IF(U161&lt;&gt;"",VLOOKUP(U161,'Tipo Projeto'!$A$3:$B$35,2,0),0)</f>
        <v>0</v>
      </c>
      <c r="W161" s="47"/>
      <c r="X161" s="49"/>
      <c r="Y161" s="50"/>
      <c r="Z161" s="51"/>
      <c r="AA161" s="52"/>
      <c r="AB161" s="53" t="str">
        <f t="shared" si="32"/>
        <v/>
      </c>
      <c r="AC161" s="48" t="str">
        <f t="shared" si="33"/>
        <v/>
      </c>
      <c r="AD161" s="54" t="str">
        <f t="shared" si="34"/>
        <v/>
      </c>
      <c r="AE161" s="55">
        <f t="shared" si="35"/>
        <v>0</v>
      </c>
      <c r="AF161" s="55">
        <f t="shared" si="36"/>
        <v>0</v>
      </c>
      <c r="AG161" s="58">
        <f t="shared" si="37"/>
        <v>0</v>
      </c>
      <c r="AH161" s="47"/>
      <c r="AJ161" s="47"/>
      <c r="AL161" s="47"/>
      <c r="AM161" s="47" t="str">
        <f t="shared" si="38"/>
        <v/>
      </c>
    </row>
    <row r="162" spans="1:39" s="56" customFormat="1" ht="24.75" customHeight="1">
      <c r="A162" s="44"/>
      <c r="B162" s="45"/>
      <c r="C162" s="46">
        <f>IF(B162&lt;&gt;"",VLOOKUP(B162,'Tipo Projeto'!$A$3:$B$35,2,0),0)</f>
        <v>0</v>
      </c>
      <c r="D162" s="47"/>
      <c r="E162" s="47"/>
      <c r="F162" s="48"/>
      <c r="G162" s="47"/>
      <c r="H162" s="49"/>
      <c r="I162" s="50"/>
      <c r="J162" s="51"/>
      <c r="K162" s="52"/>
      <c r="L162" s="53" t="str">
        <f t="shared" si="26"/>
        <v/>
      </c>
      <c r="M162" s="48" t="str">
        <f t="shared" si="27"/>
        <v/>
      </c>
      <c r="N162" s="54" t="str">
        <f t="shared" si="28"/>
        <v/>
      </c>
      <c r="O162" s="55">
        <f t="shared" si="29"/>
        <v>0</v>
      </c>
      <c r="P162" s="55">
        <f t="shared" si="30"/>
        <v>0</v>
      </c>
      <c r="Q162" s="54">
        <f t="shared" si="31"/>
        <v>0</v>
      </c>
      <c r="R162" s="47"/>
      <c r="T162" s="57"/>
      <c r="U162" s="45"/>
      <c r="V162" s="46">
        <f>IF(U162&lt;&gt;"",VLOOKUP(U162,'Tipo Projeto'!$A$3:$B$35,2,0),0)</f>
        <v>0</v>
      </c>
      <c r="W162" s="47"/>
      <c r="X162" s="49"/>
      <c r="Y162" s="50"/>
      <c r="Z162" s="51"/>
      <c r="AA162" s="52"/>
      <c r="AB162" s="53" t="str">
        <f t="shared" si="32"/>
        <v/>
      </c>
      <c r="AC162" s="48" t="str">
        <f t="shared" si="33"/>
        <v/>
      </c>
      <c r="AD162" s="54" t="str">
        <f t="shared" si="34"/>
        <v/>
      </c>
      <c r="AE162" s="55">
        <f t="shared" si="35"/>
        <v>0</v>
      </c>
      <c r="AF162" s="55">
        <f t="shared" si="36"/>
        <v>0</v>
      </c>
      <c r="AG162" s="58">
        <f t="shared" si="37"/>
        <v>0</v>
      </c>
      <c r="AH162" s="47"/>
      <c r="AJ162" s="47"/>
      <c r="AL162" s="47"/>
      <c r="AM162" s="47" t="str">
        <f t="shared" si="38"/>
        <v/>
      </c>
    </row>
    <row r="163" spans="1:39" s="56" customFormat="1" ht="24.75" customHeight="1">
      <c r="A163" s="44"/>
      <c r="B163" s="45"/>
      <c r="C163" s="46">
        <f>IF(B163&lt;&gt;"",VLOOKUP(B163,'Tipo Projeto'!$A$3:$B$35,2,0),0)</f>
        <v>0</v>
      </c>
      <c r="D163" s="47"/>
      <c r="E163" s="47"/>
      <c r="F163" s="48"/>
      <c r="G163" s="47"/>
      <c r="H163" s="49"/>
      <c r="I163" s="50"/>
      <c r="J163" s="51"/>
      <c r="K163" s="52"/>
      <c r="L163" s="53" t="str">
        <f t="shared" si="26"/>
        <v/>
      </c>
      <c r="M163" s="48" t="str">
        <f t="shared" si="27"/>
        <v/>
      </c>
      <c r="N163" s="54" t="str">
        <f t="shared" si="28"/>
        <v/>
      </c>
      <c r="O163" s="55">
        <f t="shared" si="29"/>
        <v>0</v>
      </c>
      <c r="P163" s="55">
        <f t="shared" si="30"/>
        <v>0</v>
      </c>
      <c r="Q163" s="54">
        <f t="shared" si="31"/>
        <v>0</v>
      </c>
      <c r="R163" s="47"/>
      <c r="T163" s="57"/>
      <c r="U163" s="45"/>
      <c r="V163" s="46">
        <f>IF(U163&lt;&gt;"",VLOOKUP(U163,'Tipo Projeto'!$A$3:$B$35,2,0),0)</f>
        <v>0</v>
      </c>
      <c r="W163" s="47"/>
      <c r="X163" s="49"/>
      <c r="Y163" s="50"/>
      <c r="Z163" s="51"/>
      <c r="AA163" s="52"/>
      <c r="AB163" s="53" t="str">
        <f t="shared" si="32"/>
        <v/>
      </c>
      <c r="AC163" s="48" t="str">
        <f t="shared" si="33"/>
        <v/>
      </c>
      <c r="AD163" s="54" t="str">
        <f t="shared" si="34"/>
        <v/>
      </c>
      <c r="AE163" s="55">
        <f t="shared" si="35"/>
        <v>0</v>
      </c>
      <c r="AF163" s="55">
        <f t="shared" si="36"/>
        <v>0</v>
      </c>
      <c r="AG163" s="58">
        <f t="shared" si="37"/>
        <v>0</v>
      </c>
      <c r="AH163" s="47"/>
      <c r="AJ163" s="47"/>
      <c r="AL163" s="47"/>
      <c r="AM163" s="47" t="str">
        <f t="shared" si="38"/>
        <v/>
      </c>
    </row>
    <row r="164" spans="1:39" s="56" customFormat="1" ht="24.75" customHeight="1">
      <c r="A164" s="44"/>
      <c r="B164" s="45"/>
      <c r="C164" s="46">
        <f>IF(B164&lt;&gt;"",VLOOKUP(B164,'Tipo Projeto'!$A$3:$B$35,2,0),0)</f>
        <v>0</v>
      </c>
      <c r="D164" s="47"/>
      <c r="E164" s="47"/>
      <c r="F164" s="48"/>
      <c r="G164" s="47"/>
      <c r="H164" s="49"/>
      <c r="I164" s="50"/>
      <c r="J164" s="51"/>
      <c r="K164" s="52"/>
      <c r="L164" s="53" t="str">
        <f t="shared" si="26"/>
        <v/>
      </c>
      <c r="M164" s="48" t="str">
        <f t="shared" si="27"/>
        <v/>
      </c>
      <c r="N164" s="54" t="str">
        <f t="shared" si="28"/>
        <v/>
      </c>
      <c r="O164" s="55">
        <f t="shared" si="29"/>
        <v>0</v>
      </c>
      <c r="P164" s="55">
        <f t="shared" si="30"/>
        <v>0</v>
      </c>
      <c r="Q164" s="54">
        <f t="shared" si="31"/>
        <v>0</v>
      </c>
      <c r="R164" s="47"/>
      <c r="T164" s="57"/>
      <c r="U164" s="45"/>
      <c r="V164" s="46">
        <f>IF(U164&lt;&gt;"",VLOOKUP(U164,'Tipo Projeto'!$A$3:$B$35,2,0),0)</f>
        <v>0</v>
      </c>
      <c r="W164" s="47"/>
      <c r="X164" s="49"/>
      <c r="Y164" s="50"/>
      <c r="Z164" s="51"/>
      <c r="AA164" s="52"/>
      <c r="AB164" s="53" t="str">
        <f t="shared" si="32"/>
        <v/>
      </c>
      <c r="AC164" s="48" t="str">
        <f t="shared" si="33"/>
        <v/>
      </c>
      <c r="AD164" s="54" t="str">
        <f t="shared" si="34"/>
        <v/>
      </c>
      <c r="AE164" s="55">
        <f t="shared" si="35"/>
        <v>0</v>
      </c>
      <c r="AF164" s="55">
        <f t="shared" si="36"/>
        <v>0</v>
      </c>
      <c r="AG164" s="58">
        <f t="shared" si="37"/>
        <v>0</v>
      </c>
      <c r="AH164" s="47"/>
      <c r="AJ164" s="47"/>
      <c r="AL164" s="47"/>
      <c r="AM164" s="47" t="str">
        <f t="shared" si="38"/>
        <v/>
      </c>
    </row>
    <row r="165" spans="1:39" s="56" customFormat="1" ht="24.75" customHeight="1">
      <c r="A165" s="44"/>
      <c r="B165" s="45"/>
      <c r="C165" s="46">
        <f>IF(B165&lt;&gt;"",VLOOKUP(B165,'Tipo Projeto'!$A$3:$B$35,2,0),0)</f>
        <v>0</v>
      </c>
      <c r="D165" s="47"/>
      <c r="E165" s="47"/>
      <c r="F165" s="48"/>
      <c r="G165" s="47"/>
      <c r="H165" s="49"/>
      <c r="I165" s="50"/>
      <c r="J165" s="51"/>
      <c r="K165" s="52"/>
      <c r="L165" s="53" t="str">
        <f t="shared" si="26"/>
        <v/>
      </c>
      <c r="M165" s="48" t="str">
        <f t="shared" si="27"/>
        <v/>
      </c>
      <c r="N165" s="54" t="str">
        <f t="shared" si="28"/>
        <v/>
      </c>
      <c r="O165" s="55">
        <f t="shared" si="29"/>
        <v>0</v>
      </c>
      <c r="P165" s="55">
        <f t="shared" si="30"/>
        <v>0</v>
      </c>
      <c r="Q165" s="54">
        <f t="shared" si="31"/>
        <v>0</v>
      </c>
      <c r="R165" s="47"/>
      <c r="T165" s="57"/>
      <c r="U165" s="45"/>
      <c r="V165" s="46">
        <f>IF(U165&lt;&gt;"",VLOOKUP(U165,'Tipo Projeto'!$A$3:$B$35,2,0),0)</f>
        <v>0</v>
      </c>
      <c r="W165" s="47"/>
      <c r="X165" s="49"/>
      <c r="Y165" s="50"/>
      <c r="Z165" s="51"/>
      <c r="AA165" s="52"/>
      <c r="AB165" s="53" t="str">
        <f t="shared" si="32"/>
        <v/>
      </c>
      <c r="AC165" s="48" t="str">
        <f t="shared" si="33"/>
        <v/>
      </c>
      <c r="AD165" s="54" t="str">
        <f t="shared" si="34"/>
        <v/>
      </c>
      <c r="AE165" s="55">
        <f t="shared" si="35"/>
        <v>0</v>
      </c>
      <c r="AF165" s="55">
        <f t="shared" si="36"/>
        <v>0</v>
      </c>
      <c r="AG165" s="58">
        <f t="shared" si="37"/>
        <v>0</v>
      </c>
      <c r="AH165" s="47"/>
      <c r="AJ165" s="47"/>
      <c r="AL165" s="47"/>
      <c r="AM165" s="47" t="str">
        <f t="shared" si="38"/>
        <v/>
      </c>
    </row>
    <row r="166" spans="1:39" s="56" customFormat="1" ht="24.75" customHeight="1">
      <c r="A166" s="44"/>
      <c r="B166" s="45"/>
      <c r="C166" s="46">
        <f>IF(B166&lt;&gt;"",VLOOKUP(B166,'Tipo Projeto'!$A$3:$B$35,2,0),0)</f>
        <v>0</v>
      </c>
      <c r="D166" s="47"/>
      <c r="E166" s="47"/>
      <c r="F166" s="48"/>
      <c r="G166" s="47"/>
      <c r="H166" s="49"/>
      <c r="I166" s="50"/>
      <c r="J166" s="51"/>
      <c r="K166" s="52"/>
      <c r="L166" s="53" t="str">
        <f t="shared" si="26"/>
        <v/>
      </c>
      <c r="M166" s="48" t="str">
        <f t="shared" si="27"/>
        <v/>
      </c>
      <c r="N166" s="54" t="str">
        <f t="shared" si="28"/>
        <v/>
      </c>
      <c r="O166" s="55">
        <f t="shared" si="29"/>
        <v>0</v>
      </c>
      <c r="P166" s="55">
        <f t="shared" si="30"/>
        <v>0</v>
      </c>
      <c r="Q166" s="54">
        <f t="shared" si="31"/>
        <v>0</v>
      </c>
      <c r="R166" s="47"/>
      <c r="T166" s="57"/>
      <c r="U166" s="45"/>
      <c r="V166" s="46">
        <f>IF(U166&lt;&gt;"",VLOOKUP(U166,'Tipo Projeto'!$A$3:$B$35,2,0),0)</f>
        <v>0</v>
      </c>
      <c r="W166" s="47"/>
      <c r="X166" s="49"/>
      <c r="Y166" s="50"/>
      <c r="Z166" s="51"/>
      <c r="AA166" s="52"/>
      <c r="AB166" s="53" t="str">
        <f t="shared" si="32"/>
        <v/>
      </c>
      <c r="AC166" s="48" t="str">
        <f t="shared" si="33"/>
        <v/>
      </c>
      <c r="AD166" s="54" t="str">
        <f t="shared" si="34"/>
        <v/>
      </c>
      <c r="AE166" s="55">
        <f t="shared" si="35"/>
        <v>0</v>
      </c>
      <c r="AF166" s="55">
        <f t="shared" si="36"/>
        <v>0</v>
      </c>
      <c r="AG166" s="58">
        <f t="shared" si="37"/>
        <v>0</v>
      </c>
      <c r="AH166" s="47"/>
      <c r="AJ166" s="47"/>
      <c r="AL166" s="47"/>
      <c r="AM166" s="47" t="str">
        <f t="shared" si="38"/>
        <v/>
      </c>
    </row>
    <row r="167" spans="1:39" s="56" customFormat="1" ht="24.75" customHeight="1">
      <c r="A167" s="44"/>
      <c r="B167" s="45"/>
      <c r="C167" s="46">
        <f>IF(B167&lt;&gt;"",VLOOKUP(B167,'Tipo Projeto'!$A$3:$B$35,2,0),0)</f>
        <v>0</v>
      </c>
      <c r="D167" s="47"/>
      <c r="E167" s="47"/>
      <c r="F167" s="48"/>
      <c r="G167" s="47"/>
      <c r="H167" s="49"/>
      <c r="I167" s="50"/>
      <c r="J167" s="51"/>
      <c r="K167" s="52"/>
      <c r="L167" s="53" t="str">
        <f t="shared" si="26"/>
        <v/>
      </c>
      <c r="M167" s="48" t="str">
        <f t="shared" si="27"/>
        <v/>
      </c>
      <c r="N167" s="54" t="str">
        <f t="shared" si="28"/>
        <v/>
      </c>
      <c r="O167" s="55">
        <f t="shared" si="29"/>
        <v>0</v>
      </c>
      <c r="P167" s="55">
        <f t="shared" si="30"/>
        <v>0</v>
      </c>
      <c r="Q167" s="54">
        <f t="shared" si="31"/>
        <v>0</v>
      </c>
      <c r="R167" s="47"/>
      <c r="T167" s="57"/>
      <c r="U167" s="45"/>
      <c r="V167" s="46">
        <f>IF(U167&lt;&gt;"",VLOOKUP(U167,'Tipo Projeto'!$A$3:$B$35,2,0),0)</f>
        <v>0</v>
      </c>
      <c r="W167" s="47"/>
      <c r="X167" s="49"/>
      <c r="Y167" s="50"/>
      <c r="Z167" s="51"/>
      <c r="AA167" s="52"/>
      <c r="AB167" s="53" t="str">
        <f t="shared" si="32"/>
        <v/>
      </c>
      <c r="AC167" s="48" t="str">
        <f t="shared" si="33"/>
        <v/>
      </c>
      <c r="AD167" s="54" t="str">
        <f t="shared" si="34"/>
        <v/>
      </c>
      <c r="AE167" s="55">
        <f t="shared" si="35"/>
        <v>0</v>
      </c>
      <c r="AF167" s="55">
        <f t="shared" si="36"/>
        <v>0</v>
      </c>
      <c r="AG167" s="58">
        <f t="shared" si="37"/>
        <v>0</v>
      </c>
      <c r="AH167" s="47"/>
      <c r="AJ167" s="47"/>
      <c r="AL167" s="47"/>
      <c r="AM167" s="47" t="str">
        <f t="shared" si="38"/>
        <v/>
      </c>
    </row>
    <row r="168" spans="1:39" s="56" customFormat="1" ht="24.75" customHeight="1">
      <c r="A168" s="44"/>
      <c r="B168" s="45"/>
      <c r="C168" s="46">
        <f>IF(B168&lt;&gt;"",VLOOKUP(B168,'Tipo Projeto'!$A$3:$B$35,2,0),0)</f>
        <v>0</v>
      </c>
      <c r="D168" s="47"/>
      <c r="E168" s="47"/>
      <c r="F168" s="48"/>
      <c r="G168" s="47"/>
      <c r="H168" s="49"/>
      <c r="I168" s="50"/>
      <c r="J168" s="51"/>
      <c r="K168" s="52"/>
      <c r="L168" s="53" t="str">
        <f t="shared" si="26"/>
        <v/>
      </c>
      <c r="M168" s="48" t="str">
        <f t="shared" si="27"/>
        <v/>
      </c>
      <c r="N168" s="54" t="str">
        <f t="shared" si="28"/>
        <v/>
      </c>
      <c r="O168" s="55">
        <f t="shared" si="29"/>
        <v>0</v>
      </c>
      <c r="P168" s="55">
        <f t="shared" si="30"/>
        <v>0</v>
      </c>
      <c r="Q168" s="54">
        <f t="shared" si="31"/>
        <v>0</v>
      </c>
      <c r="R168" s="47"/>
      <c r="T168" s="57"/>
      <c r="U168" s="45"/>
      <c r="V168" s="46">
        <f>IF(U168&lt;&gt;"",VLOOKUP(U168,'Tipo Projeto'!$A$3:$B$35,2,0),0)</f>
        <v>0</v>
      </c>
      <c r="W168" s="47"/>
      <c r="X168" s="49"/>
      <c r="Y168" s="50"/>
      <c r="Z168" s="51"/>
      <c r="AA168" s="52"/>
      <c r="AB168" s="53" t="str">
        <f t="shared" si="32"/>
        <v/>
      </c>
      <c r="AC168" s="48" t="str">
        <f t="shared" si="33"/>
        <v/>
      </c>
      <c r="AD168" s="54" t="str">
        <f t="shared" si="34"/>
        <v/>
      </c>
      <c r="AE168" s="55">
        <f t="shared" si="35"/>
        <v>0</v>
      </c>
      <c r="AF168" s="55">
        <f t="shared" si="36"/>
        <v>0</v>
      </c>
      <c r="AG168" s="58">
        <f t="shared" si="37"/>
        <v>0</v>
      </c>
      <c r="AH168" s="47"/>
      <c r="AJ168" s="47"/>
      <c r="AL168" s="47"/>
      <c r="AM168" s="47" t="str">
        <f t="shared" si="38"/>
        <v/>
      </c>
    </row>
    <row r="169" spans="1:39" s="56" customFormat="1" ht="24.75" customHeight="1">
      <c r="A169" s="44"/>
      <c r="B169" s="45"/>
      <c r="C169" s="46">
        <f>IF(B169&lt;&gt;"",VLOOKUP(B169,'Tipo Projeto'!$A$3:$B$35,2,0),0)</f>
        <v>0</v>
      </c>
      <c r="D169" s="47"/>
      <c r="E169" s="47"/>
      <c r="F169" s="48"/>
      <c r="G169" s="47"/>
      <c r="H169" s="49"/>
      <c r="I169" s="50"/>
      <c r="J169" s="51"/>
      <c r="K169" s="52"/>
      <c r="L169" s="53" t="str">
        <f t="shared" si="26"/>
        <v/>
      </c>
      <c r="M169" s="48" t="str">
        <f t="shared" si="27"/>
        <v/>
      </c>
      <c r="N169" s="54" t="str">
        <f t="shared" si="28"/>
        <v/>
      </c>
      <c r="O169" s="55">
        <f t="shared" si="29"/>
        <v>0</v>
      </c>
      <c r="P169" s="55">
        <f t="shared" si="30"/>
        <v>0</v>
      </c>
      <c r="Q169" s="54">
        <f t="shared" si="31"/>
        <v>0</v>
      </c>
      <c r="R169" s="47"/>
      <c r="T169" s="57"/>
      <c r="U169" s="45"/>
      <c r="V169" s="46">
        <f>IF(U169&lt;&gt;"",VLOOKUP(U169,'Tipo Projeto'!$A$3:$B$35,2,0),0)</f>
        <v>0</v>
      </c>
      <c r="W169" s="47"/>
      <c r="X169" s="49"/>
      <c r="Y169" s="50"/>
      <c r="Z169" s="51"/>
      <c r="AA169" s="52"/>
      <c r="AB169" s="53" t="str">
        <f t="shared" si="32"/>
        <v/>
      </c>
      <c r="AC169" s="48" t="str">
        <f t="shared" si="33"/>
        <v/>
      </c>
      <c r="AD169" s="54" t="str">
        <f t="shared" si="34"/>
        <v/>
      </c>
      <c r="AE169" s="55">
        <f t="shared" si="35"/>
        <v>0</v>
      </c>
      <c r="AF169" s="55">
        <f t="shared" si="36"/>
        <v>0</v>
      </c>
      <c r="AG169" s="58">
        <f t="shared" si="37"/>
        <v>0</v>
      </c>
      <c r="AH169" s="47"/>
      <c r="AJ169" s="47"/>
      <c r="AL169" s="47"/>
      <c r="AM169" s="47" t="str">
        <f t="shared" si="38"/>
        <v/>
      </c>
    </row>
    <row r="170" spans="1:39" s="56" customFormat="1" ht="24.75" customHeight="1">
      <c r="A170" s="44"/>
      <c r="B170" s="45"/>
      <c r="C170" s="46">
        <f>IF(B170&lt;&gt;"",VLOOKUP(B170,'Tipo Projeto'!$A$3:$B$35,2,0),0)</f>
        <v>0</v>
      </c>
      <c r="D170" s="47"/>
      <c r="E170" s="47"/>
      <c r="F170" s="48"/>
      <c r="G170" s="47"/>
      <c r="H170" s="49"/>
      <c r="I170" s="50"/>
      <c r="J170" s="51"/>
      <c r="K170" s="52"/>
      <c r="L170" s="53" t="str">
        <f t="shared" si="26"/>
        <v/>
      </c>
      <c r="M170" s="48" t="str">
        <f t="shared" si="27"/>
        <v/>
      </c>
      <c r="N170" s="54" t="str">
        <f t="shared" si="28"/>
        <v/>
      </c>
      <c r="O170" s="55">
        <f t="shared" si="29"/>
        <v>0</v>
      </c>
      <c r="P170" s="55">
        <f t="shared" si="30"/>
        <v>0</v>
      </c>
      <c r="Q170" s="54">
        <f t="shared" si="31"/>
        <v>0</v>
      </c>
      <c r="R170" s="47"/>
      <c r="T170" s="57"/>
      <c r="U170" s="45"/>
      <c r="V170" s="46">
        <f>IF(U170&lt;&gt;"",VLOOKUP(U170,'Tipo Projeto'!$A$3:$B$35,2,0),0)</f>
        <v>0</v>
      </c>
      <c r="W170" s="47"/>
      <c r="X170" s="49"/>
      <c r="Y170" s="50"/>
      <c r="Z170" s="51"/>
      <c r="AA170" s="52"/>
      <c r="AB170" s="53" t="str">
        <f t="shared" si="32"/>
        <v/>
      </c>
      <c r="AC170" s="48" t="str">
        <f t="shared" si="33"/>
        <v/>
      </c>
      <c r="AD170" s="54" t="str">
        <f t="shared" si="34"/>
        <v/>
      </c>
      <c r="AE170" s="55">
        <f t="shared" si="35"/>
        <v>0</v>
      </c>
      <c r="AF170" s="55">
        <f t="shared" si="36"/>
        <v>0</v>
      </c>
      <c r="AG170" s="58">
        <f t="shared" si="37"/>
        <v>0</v>
      </c>
      <c r="AH170" s="47"/>
      <c r="AJ170" s="47"/>
      <c r="AL170" s="47"/>
      <c r="AM170" s="47" t="str">
        <f t="shared" si="38"/>
        <v/>
      </c>
    </row>
    <row r="171" spans="1:39" s="56" customFormat="1" ht="24.75" customHeight="1">
      <c r="A171" s="44"/>
      <c r="B171" s="45"/>
      <c r="C171" s="46">
        <f>IF(B171&lt;&gt;"",VLOOKUP(B171,'Tipo Projeto'!$A$3:$B$35,2,0),0)</f>
        <v>0</v>
      </c>
      <c r="D171" s="47"/>
      <c r="E171" s="47"/>
      <c r="F171" s="48"/>
      <c r="G171" s="47"/>
      <c r="H171" s="49"/>
      <c r="I171" s="50"/>
      <c r="J171" s="51"/>
      <c r="K171" s="52"/>
      <c r="L171" s="53" t="str">
        <f t="shared" si="26"/>
        <v/>
      </c>
      <c r="M171" s="48" t="str">
        <f t="shared" si="27"/>
        <v/>
      </c>
      <c r="N171" s="54" t="str">
        <f t="shared" si="28"/>
        <v/>
      </c>
      <c r="O171" s="55">
        <f t="shared" si="29"/>
        <v>0</v>
      </c>
      <c r="P171" s="55">
        <f t="shared" si="30"/>
        <v>0</v>
      </c>
      <c r="Q171" s="54">
        <f t="shared" si="31"/>
        <v>0</v>
      </c>
      <c r="R171" s="47"/>
      <c r="T171" s="57"/>
      <c r="U171" s="45"/>
      <c r="V171" s="46">
        <f>IF(U171&lt;&gt;"",VLOOKUP(U171,'Tipo Projeto'!$A$3:$B$35,2,0),0)</f>
        <v>0</v>
      </c>
      <c r="W171" s="47"/>
      <c r="X171" s="49"/>
      <c r="Y171" s="50"/>
      <c r="Z171" s="51"/>
      <c r="AA171" s="52"/>
      <c r="AB171" s="53" t="str">
        <f t="shared" si="32"/>
        <v/>
      </c>
      <c r="AC171" s="48" t="str">
        <f t="shared" si="33"/>
        <v/>
      </c>
      <c r="AD171" s="54" t="str">
        <f t="shared" si="34"/>
        <v/>
      </c>
      <c r="AE171" s="55">
        <f t="shared" si="35"/>
        <v>0</v>
      </c>
      <c r="AF171" s="55">
        <f t="shared" si="36"/>
        <v>0</v>
      </c>
      <c r="AG171" s="58">
        <f t="shared" si="37"/>
        <v>0</v>
      </c>
      <c r="AH171" s="47"/>
      <c r="AJ171" s="47"/>
      <c r="AL171" s="47"/>
      <c r="AM171" s="47" t="str">
        <f t="shared" si="38"/>
        <v/>
      </c>
    </row>
    <row r="172" spans="1:39" s="56" customFormat="1" ht="24.75" customHeight="1">
      <c r="A172" s="44"/>
      <c r="B172" s="45"/>
      <c r="C172" s="46">
        <f>IF(B172&lt;&gt;"",VLOOKUP(B172,'Tipo Projeto'!$A$3:$B$35,2,0),0)</f>
        <v>0</v>
      </c>
      <c r="D172" s="47"/>
      <c r="E172" s="47"/>
      <c r="F172" s="48"/>
      <c r="G172" s="47"/>
      <c r="H172" s="49"/>
      <c r="I172" s="50"/>
      <c r="J172" s="51"/>
      <c r="K172" s="52"/>
      <c r="L172" s="53" t="str">
        <f t="shared" si="26"/>
        <v/>
      </c>
      <c r="M172" s="48" t="str">
        <f t="shared" si="27"/>
        <v/>
      </c>
      <c r="N172" s="54" t="str">
        <f t="shared" si="28"/>
        <v/>
      </c>
      <c r="O172" s="55">
        <f t="shared" si="29"/>
        <v>0</v>
      </c>
      <c r="P172" s="55">
        <f t="shared" si="30"/>
        <v>0</v>
      </c>
      <c r="Q172" s="54">
        <f t="shared" si="31"/>
        <v>0</v>
      </c>
      <c r="R172" s="47"/>
      <c r="T172" s="57"/>
      <c r="U172" s="45"/>
      <c r="V172" s="46">
        <f>IF(U172&lt;&gt;"",VLOOKUP(U172,'Tipo Projeto'!$A$3:$B$35,2,0),0)</f>
        <v>0</v>
      </c>
      <c r="W172" s="47"/>
      <c r="X172" s="49"/>
      <c r="Y172" s="50"/>
      <c r="Z172" s="51"/>
      <c r="AA172" s="52"/>
      <c r="AB172" s="53" t="str">
        <f t="shared" si="32"/>
        <v/>
      </c>
      <c r="AC172" s="48" t="str">
        <f t="shared" si="33"/>
        <v/>
      </c>
      <c r="AD172" s="54" t="str">
        <f t="shared" si="34"/>
        <v/>
      </c>
      <c r="AE172" s="55">
        <f t="shared" si="35"/>
        <v>0</v>
      </c>
      <c r="AF172" s="55">
        <f t="shared" si="36"/>
        <v>0</v>
      </c>
      <c r="AG172" s="58">
        <f t="shared" si="37"/>
        <v>0</v>
      </c>
      <c r="AH172" s="47"/>
      <c r="AJ172" s="47"/>
      <c r="AL172" s="47"/>
      <c r="AM172" s="47" t="str">
        <f t="shared" si="38"/>
        <v/>
      </c>
    </row>
    <row r="173" spans="1:39" s="56" customFormat="1" ht="24.75" customHeight="1">
      <c r="A173" s="44"/>
      <c r="B173" s="45"/>
      <c r="C173" s="46">
        <f>IF(B173&lt;&gt;"",VLOOKUP(B173,'Tipo Projeto'!$A$3:$B$35,2,0),0)</f>
        <v>0</v>
      </c>
      <c r="D173" s="47"/>
      <c r="E173" s="47"/>
      <c r="F173" s="48"/>
      <c r="G173" s="47"/>
      <c r="H173" s="49"/>
      <c r="I173" s="50"/>
      <c r="J173" s="51"/>
      <c r="K173" s="52"/>
      <c r="L173" s="53" t="str">
        <f t="shared" si="26"/>
        <v/>
      </c>
      <c r="M173" s="48" t="str">
        <f t="shared" si="27"/>
        <v/>
      </c>
      <c r="N173" s="54" t="str">
        <f t="shared" si="28"/>
        <v/>
      </c>
      <c r="O173" s="55">
        <f t="shared" si="29"/>
        <v>0</v>
      </c>
      <c r="P173" s="55">
        <f t="shared" si="30"/>
        <v>0</v>
      </c>
      <c r="Q173" s="54">
        <f t="shared" si="31"/>
        <v>0</v>
      </c>
      <c r="R173" s="47"/>
      <c r="T173" s="57"/>
      <c r="U173" s="45"/>
      <c r="V173" s="46">
        <f>IF(U173&lt;&gt;"",VLOOKUP(U173,'Tipo Projeto'!$A$3:$B$35,2,0),0)</f>
        <v>0</v>
      </c>
      <c r="W173" s="47"/>
      <c r="X173" s="49"/>
      <c r="Y173" s="50"/>
      <c r="Z173" s="51"/>
      <c r="AA173" s="52"/>
      <c r="AB173" s="53" t="str">
        <f t="shared" si="32"/>
        <v/>
      </c>
      <c r="AC173" s="48" t="str">
        <f t="shared" si="33"/>
        <v/>
      </c>
      <c r="AD173" s="54" t="str">
        <f t="shared" si="34"/>
        <v/>
      </c>
      <c r="AE173" s="55">
        <f t="shared" si="35"/>
        <v>0</v>
      </c>
      <c r="AF173" s="55">
        <f t="shared" si="36"/>
        <v>0</v>
      </c>
      <c r="AG173" s="58">
        <f t="shared" si="37"/>
        <v>0</v>
      </c>
      <c r="AH173" s="47"/>
      <c r="AJ173" s="47"/>
      <c r="AL173" s="47"/>
      <c r="AM173" s="47" t="str">
        <f t="shared" si="38"/>
        <v/>
      </c>
    </row>
    <row r="174" spans="1:39" s="56" customFormat="1" ht="24.75" customHeight="1">
      <c r="A174" s="44"/>
      <c r="B174" s="45"/>
      <c r="C174" s="46">
        <f>IF(B174&lt;&gt;"",VLOOKUP(B174,'Tipo Projeto'!$A$3:$B$35,2,0),0)</f>
        <v>0</v>
      </c>
      <c r="D174" s="47"/>
      <c r="E174" s="47"/>
      <c r="F174" s="48"/>
      <c r="G174" s="47"/>
      <c r="H174" s="49"/>
      <c r="I174" s="50"/>
      <c r="J174" s="51"/>
      <c r="K174" s="52"/>
      <c r="L174" s="53" t="str">
        <f t="shared" si="26"/>
        <v/>
      </c>
      <c r="M174" s="48" t="str">
        <f t="shared" si="27"/>
        <v/>
      </c>
      <c r="N174" s="54" t="str">
        <f t="shared" si="28"/>
        <v/>
      </c>
      <c r="O174" s="55">
        <f t="shared" si="29"/>
        <v>0</v>
      </c>
      <c r="P174" s="55">
        <f t="shared" si="30"/>
        <v>0</v>
      </c>
      <c r="Q174" s="54">
        <f t="shared" si="31"/>
        <v>0</v>
      </c>
      <c r="R174" s="47"/>
      <c r="T174" s="57"/>
      <c r="U174" s="45"/>
      <c r="V174" s="46">
        <f>IF(U174&lt;&gt;"",VLOOKUP(U174,'Tipo Projeto'!$A$3:$B$35,2,0),0)</f>
        <v>0</v>
      </c>
      <c r="W174" s="47"/>
      <c r="X174" s="49"/>
      <c r="Y174" s="50"/>
      <c r="Z174" s="51"/>
      <c r="AA174" s="52"/>
      <c r="AB174" s="53" t="str">
        <f t="shared" si="32"/>
        <v/>
      </c>
      <c r="AC174" s="48" t="str">
        <f t="shared" si="33"/>
        <v/>
      </c>
      <c r="AD174" s="54" t="str">
        <f t="shared" si="34"/>
        <v/>
      </c>
      <c r="AE174" s="55">
        <f t="shared" si="35"/>
        <v>0</v>
      </c>
      <c r="AF174" s="55">
        <f t="shared" si="36"/>
        <v>0</v>
      </c>
      <c r="AG174" s="58">
        <f t="shared" si="37"/>
        <v>0</v>
      </c>
      <c r="AH174" s="47"/>
      <c r="AJ174" s="47"/>
      <c r="AL174" s="47"/>
      <c r="AM174" s="47" t="str">
        <f t="shared" si="38"/>
        <v/>
      </c>
    </row>
    <row r="175" spans="1:39" s="56" customFormat="1" ht="24.75" customHeight="1">
      <c r="A175" s="44"/>
      <c r="B175" s="45"/>
      <c r="C175" s="46">
        <f>IF(B175&lt;&gt;"",VLOOKUP(B175,'Tipo Projeto'!$A$3:$B$35,2,0),0)</f>
        <v>0</v>
      </c>
      <c r="D175" s="47"/>
      <c r="E175" s="47"/>
      <c r="F175" s="48"/>
      <c r="G175" s="47"/>
      <c r="H175" s="49"/>
      <c r="I175" s="50"/>
      <c r="J175" s="51"/>
      <c r="K175" s="52"/>
      <c r="L175" s="53" t="str">
        <f t="shared" si="26"/>
        <v/>
      </c>
      <c r="M175" s="48" t="str">
        <f t="shared" si="27"/>
        <v/>
      </c>
      <c r="N175" s="54" t="str">
        <f t="shared" si="28"/>
        <v/>
      </c>
      <c r="O175" s="55">
        <f t="shared" si="29"/>
        <v>0</v>
      </c>
      <c r="P175" s="55">
        <f t="shared" si="30"/>
        <v>0</v>
      </c>
      <c r="Q175" s="54">
        <f t="shared" si="31"/>
        <v>0</v>
      </c>
      <c r="R175" s="47"/>
      <c r="T175" s="57"/>
      <c r="U175" s="45"/>
      <c r="V175" s="46">
        <f>IF(U175&lt;&gt;"",VLOOKUP(U175,'Tipo Projeto'!$A$3:$B$35,2,0),0)</f>
        <v>0</v>
      </c>
      <c r="W175" s="47"/>
      <c r="X175" s="49"/>
      <c r="Y175" s="50"/>
      <c r="Z175" s="51"/>
      <c r="AA175" s="52"/>
      <c r="AB175" s="53" t="str">
        <f t="shared" si="32"/>
        <v/>
      </c>
      <c r="AC175" s="48" t="str">
        <f t="shared" si="33"/>
        <v/>
      </c>
      <c r="AD175" s="54" t="str">
        <f t="shared" si="34"/>
        <v/>
      </c>
      <c r="AE175" s="55">
        <f t="shared" si="35"/>
        <v>0</v>
      </c>
      <c r="AF175" s="55">
        <f t="shared" si="36"/>
        <v>0</v>
      </c>
      <c r="AG175" s="58">
        <f t="shared" si="37"/>
        <v>0</v>
      </c>
      <c r="AH175" s="47"/>
      <c r="AJ175" s="47"/>
      <c r="AL175" s="47"/>
      <c r="AM175" s="47" t="str">
        <f t="shared" si="38"/>
        <v/>
      </c>
    </row>
    <row r="176" spans="1:39" s="56" customFormat="1" ht="24.75" customHeight="1">
      <c r="A176" s="44"/>
      <c r="B176" s="45"/>
      <c r="C176" s="46">
        <f>IF(B176&lt;&gt;"",VLOOKUP(B176,'Tipo Projeto'!$A$3:$B$35,2,0),0)</f>
        <v>0</v>
      </c>
      <c r="D176" s="47"/>
      <c r="E176" s="47"/>
      <c r="F176" s="48"/>
      <c r="G176" s="47"/>
      <c r="H176" s="49"/>
      <c r="I176" s="50"/>
      <c r="J176" s="51"/>
      <c r="K176" s="52"/>
      <c r="L176" s="53" t="str">
        <f t="shared" si="26"/>
        <v/>
      </c>
      <c r="M176" s="48" t="str">
        <f t="shared" si="27"/>
        <v/>
      </c>
      <c r="N176" s="54" t="str">
        <f t="shared" si="28"/>
        <v/>
      </c>
      <c r="O176" s="55">
        <f t="shared" si="29"/>
        <v>0</v>
      </c>
      <c r="P176" s="55">
        <f t="shared" si="30"/>
        <v>0</v>
      </c>
      <c r="Q176" s="54">
        <f t="shared" si="31"/>
        <v>0</v>
      </c>
      <c r="R176" s="47"/>
      <c r="T176" s="57"/>
      <c r="U176" s="45"/>
      <c r="V176" s="46">
        <f>IF(U176&lt;&gt;"",VLOOKUP(U176,'Tipo Projeto'!$A$3:$B$35,2,0),0)</f>
        <v>0</v>
      </c>
      <c r="W176" s="47"/>
      <c r="X176" s="49"/>
      <c r="Y176" s="50"/>
      <c r="Z176" s="51"/>
      <c r="AA176" s="52"/>
      <c r="AB176" s="53" t="str">
        <f t="shared" si="32"/>
        <v/>
      </c>
      <c r="AC176" s="48" t="str">
        <f t="shared" si="33"/>
        <v/>
      </c>
      <c r="AD176" s="54" t="str">
        <f t="shared" si="34"/>
        <v/>
      </c>
      <c r="AE176" s="55">
        <f t="shared" si="35"/>
        <v>0</v>
      </c>
      <c r="AF176" s="55">
        <f t="shared" si="36"/>
        <v>0</v>
      </c>
      <c r="AG176" s="58">
        <f t="shared" si="37"/>
        <v>0</v>
      </c>
      <c r="AH176" s="47"/>
      <c r="AJ176" s="47"/>
      <c r="AL176" s="47"/>
      <c r="AM176" s="47" t="str">
        <f t="shared" si="38"/>
        <v/>
      </c>
    </row>
    <row r="177" spans="1:39" s="56" customFormat="1" ht="24.75" customHeight="1">
      <c r="A177" s="44"/>
      <c r="B177" s="45"/>
      <c r="C177" s="46">
        <f>IF(B177&lt;&gt;"",VLOOKUP(B177,'Tipo Projeto'!$A$3:$B$35,2,0),0)</f>
        <v>0</v>
      </c>
      <c r="D177" s="47"/>
      <c r="E177" s="47"/>
      <c r="F177" s="48"/>
      <c r="G177" s="47"/>
      <c r="H177" s="49"/>
      <c r="I177" s="50"/>
      <c r="J177" s="51"/>
      <c r="K177" s="52"/>
      <c r="L177" s="53" t="str">
        <f t="shared" si="26"/>
        <v/>
      </c>
      <c r="M177" s="48" t="str">
        <f t="shared" si="27"/>
        <v/>
      </c>
      <c r="N177" s="54" t="str">
        <f t="shared" si="28"/>
        <v/>
      </c>
      <c r="O177" s="55">
        <f t="shared" si="29"/>
        <v>0</v>
      </c>
      <c r="P177" s="55">
        <f t="shared" si="30"/>
        <v>0</v>
      </c>
      <c r="Q177" s="54">
        <f t="shared" si="31"/>
        <v>0</v>
      </c>
      <c r="R177" s="47"/>
      <c r="T177" s="57"/>
      <c r="U177" s="45"/>
      <c r="V177" s="46">
        <f>IF(U177&lt;&gt;"",VLOOKUP(U177,'Tipo Projeto'!$A$3:$B$35,2,0),0)</f>
        <v>0</v>
      </c>
      <c r="W177" s="47"/>
      <c r="X177" s="49"/>
      <c r="Y177" s="50"/>
      <c r="Z177" s="51"/>
      <c r="AA177" s="52"/>
      <c r="AB177" s="53" t="str">
        <f t="shared" si="32"/>
        <v/>
      </c>
      <c r="AC177" s="48" t="str">
        <f t="shared" si="33"/>
        <v/>
      </c>
      <c r="AD177" s="54" t="str">
        <f t="shared" si="34"/>
        <v/>
      </c>
      <c r="AE177" s="55">
        <f t="shared" si="35"/>
        <v>0</v>
      </c>
      <c r="AF177" s="55">
        <f t="shared" si="36"/>
        <v>0</v>
      </c>
      <c r="AG177" s="58">
        <f t="shared" si="37"/>
        <v>0</v>
      </c>
      <c r="AH177" s="47"/>
      <c r="AJ177" s="47"/>
      <c r="AL177" s="47"/>
      <c r="AM177" s="47" t="str">
        <f t="shared" si="38"/>
        <v/>
      </c>
    </row>
    <row r="178" spans="1:39" s="56" customFormat="1" ht="24.75" customHeight="1">
      <c r="A178" s="44"/>
      <c r="B178" s="45"/>
      <c r="C178" s="46">
        <f>IF(B178&lt;&gt;"",VLOOKUP(B178,'Tipo Projeto'!$A$3:$B$35,2,0),0)</f>
        <v>0</v>
      </c>
      <c r="D178" s="47"/>
      <c r="E178" s="47"/>
      <c r="F178" s="48"/>
      <c r="G178" s="47"/>
      <c r="H178" s="49"/>
      <c r="I178" s="50"/>
      <c r="J178" s="51"/>
      <c r="K178" s="52"/>
      <c r="L178" s="53" t="str">
        <f t="shared" si="26"/>
        <v/>
      </c>
      <c r="M178" s="48" t="str">
        <f t="shared" si="27"/>
        <v/>
      </c>
      <c r="N178" s="54" t="str">
        <f t="shared" si="28"/>
        <v/>
      </c>
      <c r="O178" s="55">
        <f t="shared" si="29"/>
        <v>0</v>
      </c>
      <c r="P178" s="55">
        <f t="shared" si="30"/>
        <v>0</v>
      </c>
      <c r="Q178" s="54">
        <f t="shared" si="31"/>
        <v>0</v>
      </c>
      <c r="R178" s="47"/>
      <c r="T178" s="57"/>
      <c r="U178" s="45"/>
      <c r="V178" s="46">
        <f>IF(U178&lt;&gt;"",VLOOKUP(U178,'Tipo Projeto'!$A$3:$B$35,2,0),0)</f>
        <v>0</v>
      </c>
      <c r="W178" s="47"/>
      <c r="X178" s="49"/>
      <c r="Y178" s="50"/>
      <c r="Z178" s="51"/>
      <c r="AA178" s="52"/>
      <c r="AB178" s="53" t="str">
        <f t="shared" si="32"/>
        <v/>
      </c>
      <c r="AC178" s="48" t="str">
        <f t="shared" si="33"/>
        <v/>
      </c>
      <c r="AD178" s="54" t="str">
        <f t="shared" si="34"/>
        <v/>
      </c>
      <c r="AE178" s="55">
        <f t="shared" si="35"/>
        <v>0</v>
      </c>
      <c r="AF178" s="55">
        <f t="shared" si="36"/>
        <v>0</v>
      </c>
      <c r="AG178" s="58">
        <f t="shared" si="37"/>
        <v>0</v>
      </c>
      <c r="AH178" s="47"/>
      <c r="AJ178" s="47"/>
      <c r="AL178" s="47"/>
      <c r="AM178" s="47" t="str">
        <f t="shared" si="38"/>
        <v/>
      </c>
    </row>
    <row r="179" spans="1:39" s="56" customFormat="1" ht="24.75" customHeight="1">
      <c r="A179" s="44"/>
      <c r="B179" s="45"/>
      <c r="C179" s="46">
        <f>IF(B179&lt;&gt;"",VLOOKUP(B179,'Tipo Projeto'!$A$3:$B$35,2,0),0)</f>
        <v>0</v>
      </c>
      <c r="D179" s="47"/>
      <c r="E179" s="47"/>
      <c r="F179" s="48"/>
      <c r="G179" s="47"/>
      <c r="H179" s="49"/>
      <c r="I179" s="50"/>
      <c r="J179" s="51"/>
      <c r="K179" s="52"/>
      <c r="L179" s="53" t="str">
        <f t="shared" si="26"/>
        <v/>
      </c>
      <c r="M179" s="48" t="str">
        <f t="shared" si="27"/>
        <v/>
      </c>
      <c r="N179" s="54" t="str">
        <f t="shared" si="28"/>
        <v/>
      </c>
      <c r="O179" s="55">
        <f t="shared" si="29"/>
        <v>0</v>
      </c>
      <c r="P179" s="55">
        <f t="shared" si="30"/>
        <v>0</v>
      </c>
      <c r="Q179" s="54">
        <f t="shared" si="31"/>
        <v>0</v>
      </c>
      <c r="R179" s="47"/>
      <c r="T179" s="57"/>
      <c r="U179" s="45"/>
      <c r="V179" s="46">
        <f>IF(U179&lt;&gt;"",VLOOKUP(U179,'Tipo Projeto'!$A$3:$B$35,2,0),0)</f>
        <v>0</v>
      </c>
      <c r="W179" s="47"/>
      <c r="X179" s="49"/>
      <c r="Y179" s="50"/>
      <c r="Z179" s="51"/>
      <c r="AA179" s="52"/>
      <c r="AB179" s="53" t="str">
        <f t="shared" si="32"/>
        <v/>
      </c>
      <c r="AC179" s="48" t="str">
        <f t="shared" si="33"/>
        <v/>
      </c>
      <c r="AD179" s="54" t="str">
        <f t="shared" si="34"/>
        <v/>
      </c>
      <c r="AE179" s="55">
        <f t="shared" si="35"/>
        <v>0</v>
      </c>
      <c r="AF179" s="55">
        <f t="shared" si="36"/>
        <v>0</v>
      </c>
      <c r="AG179" s="58">
        <f t="shared" si="37"/>
        <v>0</v>
      </c>
      <c r="AH179" s="47"/>
      <c r="AJ179" s="47"/>
      <c r="AL179" s="47"/>
      <c r="AM179" s="47" t="str">
        <f t="shared" si="38"/>
        <v/>
      </c>
    </row>
    <row r="180" spans="1:39" s="56" customFormat="1" ht="24.75" customHeight="1">
      <c r="A180" s="44"/>
      <c r="B180" s="45"/>
      <c r="C180" s="46">
        <f>IF(B180&lt;&gt;"",VLOOKUP(B180,'Tipo Projeto'!$A$3:$B$35,2,0),0)</f>
        <v>0</v>
      </c>
      <c r="D180" s="47"/>
      <c r="E180" s="47"/>
      <c r="F180" s="48"/>
      <c r="G180" s="47"/>
      <c r="H180" s="49"/>
      <c r="I180" s="50"/>
      <c r="J180" s="51"/>
      <c r="K180" s="52"/>
      <c r="L180" s="53" t="str">
        <f t="shared" si="26"/>
        <v/>
      </c>
      <c r="M180" s="48" t="str">
        <f t="shared" si="27"/>
        <v/>
      </c>
      <c r="N180" s="54" t="str">
        <f t="shared" si="28"/>
        <v/>
      </c>
      <c r="O180" s="55">
        <f t="shared" si="29"/>
        <v>0</v>
      </c>
      <c r="P180" s="55">
        <f t="shared" si="30"/>
        <v>0</v>
      </c>
      <c r="Q180" s="54">
        <f t="shared" si="31"/>
        <v>0</v>
      </c>
      <c r="R180" s="47"/>
      <c r="T180" s="57"/>
      <c r="U180" s="45"/>
      <c r="V180" s="46">
        <f>IF(U180&lt;&gt;"",VLOOKUP(U180,'Tipo Projeto'!$A$3:$B$35,2,0),0)</f>
        <v>0</v>
      </c>
      <c r="W180" s="47"/>
      <c r="X180" s="49"/>
      <c r="Y180" s="50"/>
      <c r="Z180" s="51"/>
      <c r="AA180" s="52"/>
      <c r="AB180" s="53" t="str">
        <f t="shared" si="32"/>
        <v/>
      </c>
      <c r="AC180" s="48" t="str">
        <f t="shared" si="33"/>
        <v/>
      </c>
      <c r="AD180" s="54" t="str">
        <f t="shared" si="34"/>
        <v/>
      </c>
      <c r="AE180" s="55">
        <f t="shared" si="35"/>
        <v>0</v>
      </c>
      <c r="AF180" s="55">
        <f t="shared" si="36"/>
        <v>0</v>
      </c>
      <c r="AG180" s="58">
        <f t="shared" si="37"/>
        <v>0</v>
      </c>
      <c r="AH180" s="47"/>
      <c r="AJ180" s="47"/>
      <c r="AL180" s="47"/>
      <c r="AM180" s="47" t="str">
        <f t="shared" si="38"/>
        <v/>
      </c>
    </row>
    <row r="181" spans="1:39" s="56" customFormat="1" ht="24.75" customHeight="1">
      <c r="A181" s="44"/>
      <c r="B181" s="45"/>
      <c r="C181" s="46">
        <f>IF(B181&lt;&gt;"",VLOOKUP(B181,'Tipo Projeto'!$A$3:$B$35,2,0),0)</f>
        <v>0</v>
      </c>
      <c r="D181" s="47"/>
      <c r="E181" s="47"/>
      <c r="F181" s="48"/>
      <c r="G181" s="47"/>
      <c r="H181" s="49"/>
      <c r="I181" s="50"/>
      <c r="J181" s="51"/>
      <c r="K181" s="52"/>
      <c r="L181" s="53" t="str">
        <f t="shared" si="26"/>
        <v/>
      </c>
      <c r="M181" s="48" t="str">
        <f t="shared" si="27"/>
        <v/>
      </c>
      <c r="N181" s="54" t="str">
        <f t="shared" si="28"/>
        <v/>
      </c>
      <c r="O181" s="55">
        <f t="shared" si="29"/>
        <v>0</v>
      </c>
      <c r="P181" s="55">
        <f t="shared" si="30"/>
        <v>0</v>
      </c>
      <c r="Q181" s="54">
        <f t="shared" si="31"/>
        <v>0</v>
      </c>
      <c r="R181" s="47"/>
      <c r="T181" s="57"/>
      <c r="U181" s="45"/>
      <c r="V181" s="46">
        <f>IF(U181&lt;&gt;"",VLOOKUP(U181,'Tipo Projeto'!$A$3:$B$35,2,0),0)</f>
        <v>0</v>
      </c>
      <c r="W181" s="47"/>
      <c r="X181" s="49"/>
      <c r="Y181" s="50"/>
      <c r="Z181" s="51"/>
      <c r="AA181" s="52"/>
      <c r="AB181" s="53" t="str">
        <f t="shared" si="32"/>
        <v/>
      </c>
      <c r="AC181" s="48" t="str">
        <f t="shared" si="33"/>
        <v/>
      </c>
      <c r="AD181" s="54" t="str">
        <f t="shared" si="34"/>
        <v/>
      </c>
      <c r="AE181" s="55">
        <f t="shared" si="35"/>
        <v>0</v>
      </c>
      <c r="AF181" s="55">
        <f t="shared" si="36"/>
        <v>0</v>
      </c>
      <c r="AG181" s="58">
        <f t="shared" si="37"/>
        <v>0</v>
      </c>
      <c r="AH181" s="47"/>
      <c r="AJ181" s="47"/>
      <c r="AL181" s="47"/>
      <c r="AM181" s="47" t="str">
        <f t="shared" si="38"/>
        <v/>
      </c>
    </row>
    <row r="182" spans="1:39" s="56" customFormat="1" ht="24.75" customHeight="1">
      <c r="A182" s="44"/>
      <c r="B182" s="45"/>
      <c r="C182" s="46">
        <f>IF(B182&lt;&gt;"",VLOOKUP(B182,'Tipo Projeto'!$A$3:$B$35,2,0),0)</f>
        <v>0</v>
      </c>
      <c r="D182" s="47"/>
      <c r="E182" s="47"/>
      <c r="F182" s="48"/>
      <c r="G182" s="47"/>
      <c r="H182" s="49"/>
      <c r="I182" s="50"/>
      <c r="J182" s="51"/>
      <c r="K182" s="52"/>
      <c r="L182" s="53" t="str">
        <f t="shared" si="26"/>
        <v/>
      </c>
      <c r="M182" s="48" t="str">
        <f t="shared" si="27"/>
        <v/>
      </c>
      <c r="N182" s="54" t="str">
        <f t="shared" si="28"/>
        <v/>
      </c>
      <c r="O182" s="55">
        <f t="shared" si="29"/>
        <v>0</v>
      </c>
      <c r="P182" s="55">
        <f t="shared" si="30"/>
        <v>0</v>
      </c>
      <c r="Q182" s="54">
        <f t="shared" si="31"/>
        <v>0</v>
      </c>
      <c r="R182" s="47"/>
      <c r="T182" s="57"/>
      <c r="U182" s="45"/>
      <c r="V182" s="46">
        <f>IF(U182&lt;&gt;"",VLOOKUP(U182,'Tipo Projeto'!$A$3:$B$35,2,0),0)</f>
        <v>0</v>
      </c>
      <c r="W182" s="47"/>
      <c r="X182" s="49"/>
      <c r="Y182" s="50"/>
      <c r="Z182" s="51"/>
      <c r="AA182" s="52"/>
      <c r="AB182" s="53" t="str">
        <f t="shared" si="32"/>
        <v/>
      </c>
      <c r="AC182" s="48" t="str">
        <f t="shared" si="33"/>
        <v/>
      </c>
      <c r="AD182" s="54" t="str">
        <f t="shared" si="34"/>
        <v/>
      </c>
      <c r="AE182" s="55">
        <f t="shared" si="35"/>
        <v>0</v>
      </c>
      <c r="AF182" s="55">
        <f t="shared" si="36"/>
        <v>0</v>
      </c>
      <c r="AG182" s="58">
        <f t="shared" si="37"/>
        <v>0</v>
      </c>
      <c r="AH182" s="47"/>
      <c r="AJ182" s="47"/>
      <c r="AL182" s="47"/>
      <c r="AM182" s="47" t="str">
        <f t="shared" si="38"/>
        <v/>
      </c>
    </row>
    <row r="183" spans="1:39" s="56" customFormat="1" ht="24.75" customHeight="1">
      <c r="A183" s="44"/>
      <c r="B183" s="45"/>
      <c r="C183" s="46">
        <f>IF(B183&lt;&gt;"",VLOOKUP(B183,'Tipo Projeto'!$A$3:$B$35,2,0),0)</f>
        <v>0</v>
      </c>
      <c r="D183" s="47"/>
      <c r="E183" s="47"/>
      <c r="F183" s="48"/>
      <c r="G183" s="47"/>
      <c r="H183" s="49"/>
      <c r="I183" s="50"/>
      <c r="J183" s="51"/>
      <c r="K183" s="52"/>
      <c r="L183" s="53" t="str">
        <f t="shared" si="26"/>
        <v/>
      </c>
      <c r="M183" s="48" t="str">
        <f t="shared" si="27"/>
        <v/>
      </c>
      <c r="N183" s="54" t="str">
        <f t="shared" si="28"/>
        <v/>
      </c>
      <c r="O183" s="55">
        <f t="shared" si="29"/>
        <v>0</v>
      </c>
      <c r="P183" s="55">
        <f t="shared" si="30"/>
        <v>0</v>
      </c>
      <c r="Q183" s="54">
        <f t="shared" si="31"/>
        <v>0</v>
      </c>
      <c r="R183" s="47"/>
      <c r="T183" s="57"/>
      <c r="U183" s="45"/>
      <c r="V183" s="46">
        <f>IF(U183&lt;&gt;"",VLOOKUP(U183,'Tipo Projeto'!$A$3:$B$35,2,0),0)</f>
        <v>0</v>
      </c>
      <c r="W183" s="47"/>
      <c r="X183" s="49"/>
      <c r="Y183" s="50"/>
      <c r="Z183" s="51"/>
      <c r="AA183" s="52"/>
      <c r="AB183" s="53" t="str">
        <f t="shared" si="32"/>
        <v/>
      </c>
      <c r="AC183" s="48" t="str">
        <f t="shared" si="33"/>
        <v/>
      </c>
      <c r="AD183" s="54" t="str">
        <f t="shared" si="34"/>
        <v/>
      </c>
      <c r="AE183" s="55">
        <f t="shared" si="35"/>
        <v>0</v>
      </c>
      <c r="AF183" s="55">
        <f t="shared" si="36"/>
        <v>0</v>
      </c>
      <c r="AG183" s="58">
        <f t="shared" si="37"/>
        <v>0</v>
      </c>
      <c r="AH183" s="47"/>
      <c r="AJ183" s="47"/>
      <c r="AL183" s="47"/>
      <c r="AM183" s="47" t="str">
        <f t="shared" si="38"/>
        <v/>
      </c>
    </row>
    <row r="184" spans="1:39" s="56" customFormat="1" ht="24.75" customHeight="1">
      <c r="A184" s="44"/>
      <c r="B184" s="45"/>
      <c r="C184" s="46">
        <f>IF(B184&lt;&gt;"",VLOOKUP(B184,'Tipo Projeto'!$A$3:$B$35,2,0),0)</f>
        <v>0</v>
      </c>
      <c r="D184" s="47"/>
      <c r="E184" s="47"/>
      <c r="F184" s="48"/>
      <c r="G184" s="47"/>
      <c r="H184" s="49"/>
      <c r="I184" s="50"/>
      <c r="J184" s="51"/>
      <c r="K184" s="52"/>
      <c r="L184" s="53" t="str">
        <f t="shared" si="26"/>
        <v/>
      </c>
      <c r="M184" s="48" t="str">
        <f t="shared" si="27"/>
        <v/>
      </c>
      <c r="N184" s="54" t="str">
        <f t="shared" si="28"/>
        <v/>
      </c>
      <c r="O184" s="55">
        <f t="shared" si="29"/>
        <v>0</v>
      </c>
      <c r="P184" s="55">
        <f t="shared" si="30"/>
        <v>0</v>
      </c>
      <c r="Q184" s="54">
        <f t="shared" si="31"/>
        <v>0</v>
      </c>
      <c r="R184" s="47"/>
      <c r="T184" s="57"/>
      <c r="U184" s="45"/>
      <c r="V184" s="46">
        <f>IF(U184&lt;&gt;"",VLOOKUP(U184,'Tipo Projeto'!$A$3:$B$35,2,0),0)</f>
        <v>0</v>
      </c>
      <c r="W184" s="47"/>
      <c r="X184" s="49"/>
      <c r="Y184" s="50"/>
      <c r="Z184" s="51"/>
      <c r="AA184" s="52"/>
      <c r="AB184" s="53" t="str">
        <f t="shared" si="32"/>
        <v/>
      </c>
      <c r="AC184" s="48" t="str">
        <f t="shared" si="33"/>
        <v/>
      </c>
      <c r="AD184" s="54" t="str">
        <f t="shared" si="34"/>
        <v/>
      </c>
      <c r="AE184" s="55">
        <f t="shared" si="35"/>
        <v>0</v>
      </c>
      <c r="AF184" s="55">
        <f t="shared" si="36"/>
        <v>0</v>
      </c>
      <c r="AG184" s="58">
        <f t="shared" si="37"/>
        <v>0</v>
      </c>
      <c r="AH184" s="47"/>
      <c r="AJ184" s="47"/>
      <c r="AL184" s="47"/>
      <c r="AM184" s="47" t="str">
        <f t="shared" si="38"/>
        <v/>
      </c>
    </row>
    <row r="185" spans="1:39" s="56" customFormat="1" ht="24.75" customHeight="1">
      <c r="A185" s="44"/>
      <c r="B185" s="45"/>
      <c r="C185" s="46">
        <f>IF(B185&lt;&gt;"",VLOOKUP(B185,'Tipo Projeto'!$A$3:$B$35,2,0),0)</f>
        <v>0</v>
      </c>
      <c r="D185" s="47"/>
      <c r="E185" s="47"/>
      <c r="F185" s="48"/>
      <c r="G185" s="47"/>
      <c r="H185" s="49"/>
      <c r="I185" s="50"/>
      <c r="J185" s="51"/>
      <c r="K185" s="52"/>
      <c r="L185" s="53" t="str">
        <f t="shared" si="26"/>
        <v/>
      </c>
      <c r="M185" s="48" t="str">
        <f t="shared" si="27"/>
        <v/>
      </c>
      <c r="N185" s="54" t="str">
        <f t="shared" si="28"/>
        <v/>
      </c>
      <c r="O185" s="55">
        <f t="shared" si="29"/>
        <v>0</v>
      </c>
      <c r="P185" s="55">
        <f t="shared" si="30"/>
        <v>0</v>
      </c>
      <c r="Q185" s="54">
        <f t="shared" si="31"/>
        <v>0</v>
      </c>
      <c r="R185" s="47"/>
      <c r="T185" s="57"/>
      <c r="U185" s="45"/>
      <c r="V185" s="46">
        <f>IF(U185&lt;&gt;"",VLOOKUP(U185,'Tipo Projeto'!$A$3:$B$35,2,0),0)</f>
        <v>0</v>
      </c>
      <c r="W185" s="47"/>
      <c r="X185" s="49"/>
      <c r="Y185" s="50"/>
      <c r="Z185" s="51"/>
      <c r="AA185" s="52"/>
      <c r="AB185" s="53" t="str">
        <f t="shared" si="32"/>
        <v/>
      </c>
      <c r="AC185" s="48" t="str">
        <f t="shared" si="33"/>
        <v/>
      </c>
      <c r="AD185" s="54" t="str">
        <f t="shared" si="34"/>
        <v/>
      </c>
      <c r="AE185" s="55">
        <f t="shared" si="35"/>
        <v>0</v>
      </c>
      <c r="AF185" s="55">
        <f t="shared" si="36"/>
        <v>0</v>
      </c>
      <c r="AG185" s="58">
        <f t="shared" si="37"/>
        <v>0</v>
      </c>
      <c r="AH185" s="47"/>
      <c r="AJ185" s="47"/>
      <c r="AL185" s="47"/>
      <c r="AM185" s="47" t="str">
        <f t="shared" si="38"/>
        <v/>
      </c>
    </row>
    <row r="186" spans="1:39" s="56" customFormat="1" ht="24.75" customHeight="1">
      <c r="A186" s="44"/>
      <c r="B186" s="45"/>
      <c r="C186" s="46">
        <f>IF(B186&lt;&gt;"",VLOOKUP(B186,'Tipo Projeto'!$A$3:$B$35,2,0),0)</f>
        <v>0</v>
      </c>
      <c r="D186" s="47"/>
      <c r="E186" s="47"/>
      <c r="F186" s="48"/>
      <c r="G186" s="47"/>
      <c r="H186" s="49"/>
      <c r="I186" s="50"/>
      <c r="J186" s="51"/>
      <c r="K186" s="52"/>
      <c r="L186" s="53" t="str">
        <f t="shared" si="26"/>
        <v/>
      </c>
      <c r="M186" s="48" t="str">
        <f t="shared" si="27"/>
        <v/>
      </c>
      <c r="N186" s="54" t="str">
        <f t="shared" si="28"/>
        <v/>
      </c>
      <c r="O186" s="55">
        <f t="shared" si="29"/>
        <v>0</v>
      </c>
      <c r="P186" s="55">
        <f t="shared" si="30"/>
        <v>0</v>
      </c>
      <c r="Q186" s="54">
        <f t="shared" si="31"/>
        <v>0</v>
      </c>
      <c r="R186" s="47"/>
      <c r="T186" s="57"/>
      <c r="U186" s="45"/>
      <c r="V186" s="46">
        <f>IF(U186&lt;&gt;"",VLOOKUP(U186,'Tipo Projeto'!$A$3:$B$35,2,0),0)</f>
        <v>0</v>
      </c>
      <c r="W186" s="47"/>
      <c r="X186" s="49"/>
      <c r="Y186" s="50"/>
      <c r="Z186" s="51"/>
      <c r="AA186" s="52"/>
      <c r="AB186" s="53" t="str">
        <f t="shared" si="32"/>
        <v/>
      </c>
      <c r="AC186" s="48" t="str">
        <f t="shared" si="33"/>
        <v/>
      </c>
      <c r="AD186" s="54" t="str">
        <f t="shared" si="34"/>
        <v/>
      </c>
      <c r="AE186" s="55">
        <f t="shared" si="35"/>
        <v>0</v>
      </c>
      <c r="AF186" s="55">
        <f t="shared" si="36"/>
        <v>0</v>
      </c>
      <c r="AG186" s="58">
        <f t="shared" si="37"/>
        <v>0</v>
      </c>
      <c r="AH186" s="47"/>
      <c r="AJ186" s="47"/>
      <c r="AL186" s="47"/>
      <c r="AM186" s="47" t="str">
        <f t="shared" si="38"/>
        <v/>
      </c>
    </row>
    <row r="187" spans="1:39" s="56" customFormat="1" ht="24.75" customHeight="1">
      <c r="A187" s="44"/>
      <c r="B187" s="45"/>
      <c r="C187" s="46">
        <f>IF(B187&lt;&gt;"",VLOOKUP(B187,'Tipo Projeto'!$A$3:$B$35,2,0),0)</f>
        <v>0</v>
      </c>
      <c r="D187" s="47"/>
      <c r="E187" s="47"/>
      <c r="F187" s="48"/>
      <c r="G187" s="47"/>
      <c r="H187" s="49"/>
      <c r="I187" s="50"/>
      <c r="J187" s="51"/>
      <c r="K187" s="52"/>
      <c r="L187" s="53" t="str">
        <f t="shared" si="26"/>
        <v/>
      </c>
      <c r="M187" s="48" t="str">
        <f t="shared" si="27"/>
        <v/>
      </c>
      <c r="N187" s="54" t="str">
        <f t="shared" si="28"/>
        <v/>
      </c>
      <c r="O187" s="55">
        <f t="shared" si="29"/>
        <v>0</v>
      </c>
      <c r="P187" s="55">
        <f t="shared" si="30"/>
        <v>0</v>
      </c>
      <c r="Q187" s="54">
        <f t="shared" si="31"/>
        <v>0</v>
      </c>
      <c r="R187" s="47"/>
      <c r="T187" s="57"/>
      <c r="U187" s="45"/>
      <c r="V187" s="46">
        <f>IF(U187&lt;&gt;"",VLOOKUP(U187,'Tipo Projeto'!$A$3:$B$35,2,0),0)</f>
        <v>0</v>
      </c>
      <c r="W187" s="47"/>
      <c r="X187" s="49"/>
      <c r="Y187" s="50"/>
      <c r="Z187" s="51"/>
      <c r="AA187" s="52"/>
      <c r="AB187" s="53" t="str">
        <f t="shared" si="32"/>
        <v/>
      </c>
      <c r="AC187" s="48" t="str">
        <f t="shared" si="33"/>
        <v/>
      </c>
      <c r="AD187" s="54" t="str">
        <f t="shared" si="34"/>
        <v/>
      </c>
      <c r="AE187" s="55">
        <f t="shared" si="35"/>
        <v>0</v>
      </c>
      <c r="AF187" s="55">
        <f t="shared" si="36"/>
        <v>0</v>
      </c>
      <c r="AG187" s="58">
        <f t="shared" si="37"/>
        <v>0</v>
      </c>
      <c r="AH187" s="47"/>
      <c r="AJ187" s="47"/>
      <c r="AL187" s="47"/>
      <c r="AM187" s="47" t="str">
        <f t="shared" si="38"/>
        <v/>
      </c>
    </row>
    <row r="188" spans="1:39" s="56" customFormat="1" ht="24.75" customHeight="1">
      <c r="A188" s="44"/>
      <c r="B188" s="45"/>
      <c r="C188" s="46">
        <f>IF(B188&lt;&gt;"",VLOOKUP(B188,'Tipo Projeto'!$A$3:$B$35,2,0),0)</f>
        <v>0</v>
      </c>
      <c r="D188" s="47"/>
      <c r="E188" s="47"/>
      <c r="F188" s="48"/>
      <c r="G188" s="47"/>
      <c r="H188" s="49"/>
      <c r="I188" s="50"/>
      <c r="J188" s="51"/>
      <c r="K188" s="52"/>
      <c r="L188" s="53" t="str">
        <f t="shared" si="26"/>
        <v/>
      </c>
      <c r="M188" s="48" t="str">
        <f t="shared" si="27"/>
        <v/>
      </c>
      <c r="N188" s="54" t="str">
        <f t="shared" si="28"/>
        <v/>
      </c>
      <c r="O188" s="55">
        <f t="shared" si="29"/>
        <v>0</v>
      </c>
      <c r="P188" s="55">
        <f t="shared" si="30"/>
        <v>0</v>
      </c>
      <c r="Q188" s="54">
        <f t="shared" si="31"/>
        <v>0</v>
      </c>
      <c r="R188" s="47"/>
      <c r="T188" s="57"/>
      <c r="U188" s="45"/>
      <c r="V188" s="46">
        <f>IF(U188&lt;&gt;"",VLOOKUP(U188,'Tipo Projeto'!$A$3:$B$35,2,0),0)</f>
        <v>0</v>
      </c>
      <c r="W188" s="47"/>
      <c r="X188" s="49"/>
      <c r="Y188" s="50"/>
      <c r="Z188" s="51"/>
      <c r="AA188" s="52"/>
      <c r="AB188" s="53" t="str">
        <f t="shared" si="32"/>
        <v/>
      </c>
      <c r="AC188" s="48" t="str">
        <f t="shared" si="33"/>
        <v/>
      </c>
      <c r="AD188" s="54" t="str">
        <f t="shared" si="34"/>
        <v/>
      </c>
      <c r="AE188" s="55">
        <f t="shared" si="35"/>
        <v>0</v>
      </c>
      <c r="AF188" s="55">
        <f t="shared" si="36"/>
        <v>0</v>
      </c>
      <c r="AG188" s="58">
        <f t="shared" si="37"/>
        <v>0</v>
      </c>
      <c r="AH188" s="47"/>
      <c r="AJ188" s="47"/>
      <c r="AL188" s="47"/>
      <c r="AM188" s="47" t="str">
        <f t="shared" si="38"/>
        <v/>
      </c>
    </row>
    <row r="189" spans="1:39" s="56" customFormat="1" ht="24.75" customHeight="1">
      <c r="A189" s="44"/>
      <c r="B189" s="45"/>
      <c r="C189" s="46">
        <f>IF(B189&lt;&gt;"",VLOOKUP(B189,'Tipo Projeto'!$A$3:$B$35,2,0),0)</f>
        <v>0</v>
      </c>
      <c r="D189" s="47"/>
      <c r="E189" s="47"/>
      <c r="F189" s="48"/>
      <c r="G189" s="47"/>
      <c r="H189" s="49"/>
      <c r="I189" s="50"/>
      <c r="J189" s="51"/>
      <c r="K189" s="52"/>
      <c r="L189" s="53" t="str">
        <f t="shared" si="26"/>
        <v/>
      </c>
      <c r="M189" s="48" t="str">
        <f t="shared" si="27"/>
        <v/>
      </c>
      <c r="N189" s="54" t="str">
        <f t="shared" si="28"/>
        <v/>
      </c>
      <c r="O189" s="55">
        <f t="shared" si="29"/>
        <v>0</v>
      </c>
      <c r="P189" s="55">
        <f t="shared" si="30"/>
        <v>0</v>
      </c>
      <c r="Q189" s="54">
        <f t="shared" si="31"/>
        <v>0</v>
      </c>
      <c r="R189" s="47"/>
      <c r="T189" s="57"/>
      <c r="U189" s="45"/>
      <c r="V189" s="46">
        <f>IF(U189&lt;&gt;"",VLOOKUP(U189,'Tipo Projeto'!$A$3:$B$35,2,0),0)</f>
        <v>0</v>
      </c>
      <c r="W189" s="47"/>
      <c r="X189" s="49"/>
      <c r="Y189" s="50"/>
      <c r="Z189" s="51"/>
      <c r="AA189" s="52"/>
      <c r="AB189" s="53" t="str">
        <f t="shared" si="32"/>
        <v/>
      </c>
      <c r="AC189" s="48" t="str">
        <f t="shared" si="33"/>
        <v/>
      </c>
      <c r="AD189" s="54" t="str">
        <f t="shared" si="34"/>
        <v/>
      </c>
      <c r="AE189" s="55">
        <f t="shared" si="35"/>
        <v>0</v>
      </c>
      <c r="AF189" s="55">
        <f t="shared" si="36"/>
        <v>0</v>
      </c>
      <c r="AG189" s="58">
        <f t="shared" si="37"/>
        <v>0</v>
      </c>
      <c r="AH189" s="47"/>
      <c r="AJ189" s="47"/>
      <c r="AL189" s="47"/>
      <c r="AM189" s="47" t="str">
        <f t="shared" si="38"/>
        <v/>
      </c>
    </row>
    <row r="190" spans="1:39" s="56" customFormat="1" ht="24.75" customHeight="1">
      <c r="A190" s="44"/>
      <c r="B190" s="45"/>
      <c r="C190" s="46">
        <f>IF(B190&lt;&gt;"",VLOOKUP(B190,'Tipo Projeto'!$A$3:$B$35,2,0),0)</f>
        <v>0</v>
      </c>
      <c r="D190" s="47"/>
      <c r="E190" s="47"/>
      <c r="F190" s="48"/>
      <c r="G190" s="47"/>
      <c r="H190" s="49"/>
      <c r="I190" s="50"/>
      <c r="J190" s="51"/>
      <c r="K190" s="52"/>
      <c r="L190" s="53" t="str">
        <f t="shared" si="26"/>
        <v/>
      </c>
      <c r="M190" s="48" t="str">
        <f t="shared" si="27"/>
        <v/>
      </c>
      <c r="N190" s="54" t="str">
        <f t="shared" si="28"/>
        <v/>
      </c>
      <c r="O190" s="55">
        <f t="shared" si="29"/>
        <v>0</v>
      </c>
      <c r="P190" s="55">
        <f t="shared" si="30"/>
        <v>0</v>
      </c>
      <c r="Q190" s="54">
        <f t="shared" si="31"/>
        <v>0</v>
      </c>
      <c r="R190" s="47"/>
      <c r="T190" s="57"/>
      <c r="U190" s="45"/>
      <c r="V190" s="46">
        <f>IF(U190&lt;&gt;"",VLOOKUP(U190,'Tipo Projeto'!$A$3:$B$35,2,0),0)</f>
        <v>0</v>
      </c>
      <c r="W190" s="47"/>
      <c r="X190" s="49"/>
      <c r="Y190" s="50"/>
      <c r="Z190" s="51"/>
      <c r="AA190" s="52"/>
      <c r="AB190" s="53" t="str">
        <f t="shared" si="32"/>
        <v/>
      </c>
      <c r="AC190" s="48" t="str">
        <f t="shared" si="33"/>
        <v/>
      </c>
      <c r="AD190" s="54" t="str">
        <f t="shared" si="34"/>
        <v/>
      </c>
      <c r="AE190" s="55">
        <f t="shared" si="35"/>
        <v>0</v>
      </c>
      <c r="AF190" s="55">
        <f t="shared" si="36"/>
        <v>0</v>
      </c>
      <c r="AG190" s="58">
        <f t="shared" si="37"/>
        <v>0</v>
      </c>
      <c r="AH190" s="47"/>
      <c r="AJ190" s="47"/>
      <c r="AL190" s="47"/>
      <c r="AM190" s="47" t="str">
        <f t="shared" si="38"/>
        <v/>
      </c>
    </row>
    <row r="191" spans="1:39" s="56" customFormat="1" ht="24.75" customHeight="1">
      <c r="A191" s="44"/>
      <c r="B191" s="45"/>
      <c r="C191" s="46">
        <f>IF(B191&lt;&gt;"",VLOOKUP(B191,'Tipo Projeto'!$A$3:$B$35,2,0),0)</f>
        <v>0</v>
      </c>
      <c r="D191" s="47"/>
      <c r="E191" s="47"/>
      <c r="F191" s="48"/>
      <c r="G191" s="47"/>
      <c r="H191" s="49"/>
      <c r="I191" s="50"/>
      <c r="J191" s="51"/>
      <c r="K191" s="52"/>
      <c r="L191" s="53" t="str">
        <f t="shared" si="26"/>
        <v/>
      </c>
      <c r="M191" s="48" t="str">
        <f t="shared" si="27"/>
        <v/>
      </c>
      <c r="N191" s="54" t="str">
        <f t="shared" si="28"/>
        <v/>
      </c>
      <c r="O191" s="55">
        <f t="shared" si="29"/>
        <v>0</v>
      </c>
      <c r="P191" s="55">
        <f t="shared" si="30"/>
        <v>0</v>
      </c>
      <c r="Q191" s="54">
        <f t="shared" si="31"/>
        <v>0</v>
      </c>
      <c r="R191" s="47"/>
      <c r="T191" s="57"/>
      <c r="U191" s="45"/>
      <c r="V191" s="46">
        <f>IF(U191&lt;&gt;"",VLOOKUP(U191,'Tipo Projeto'!$A$3:$B$35,2,0),0)</f>
        <v>0</v>
      </c>
      <c r="W191" s="47"/>
      <c r="X191" s="49"/>
      <c r="Y191" s="50"/>
      <c r="Z191" s="51"/>
      <c r="AA191" s="52"/>
      <c r="AB191" s="53" t="str">
        <f t="shared" si="32"/>
        <v/>
      </c>
      <c r="AC191" s="48" t="str">
        <f t="shared" si="33"/>
        <v/>
      </c>
      <c r="AD191" s="54" t="str">
        <f t="shared" si="34"/>
        <v/>
      </c>
      <c r="AE191" s="55">
        <f t="shared" si="35"/>
        <v>0</v>
      </c>
      <c r="AF191" s="55">
        <f t="shared" si="36"/>
        <v>0</v>
      </c>
      <c r="AG191" s="58">
        <f t="shared" si="37"/>
        <v>0</v>
      </c>
      <c r="AH191" s="47"/>
      <c r="AJ191" s="47"/>
      <c r="AL191" s="47"/>
      <c r="AM191" s="47" t="str">
        <f t="shared" si="38"/>
        <v/>
      </c>
    </row>
    <row r="192" spans="1:39" s="56" customFormat="1" ht="24.75" customHeight="1">
      <c r="A192" s="44"/>
      <c r="B192" s="45"/>
      <c r="C192" s="46">
        <f>IF(B192&lt;&gt;"",VLOOKUP(B192,'Tipo Projeto'!$A$3:$B$35,2,0),0)</f>
        <v>0</v>
      </c>
      <c r="D192" s="47"/>
      <c r="E192" s="47"/>
      <c r="F192" s="48"/>
      <c r="G192" s="47"/>
      <c r="H192" s="49"/>
      <c r="I192" s="50"/>
      <c r="J192" s="51"/>
      <c r="K192" s="52"/>
      <c r="L192" s="53" t="str">
        <f t="shared" si="26"/>
        <v/>
      </c>
      <c r="M192" s="48" t="str">
        <f t="shared" si="27"/>
        <v/>
      </c>
      <c r="N192" s="54" t="str">
        <f t="shared" si="28"/>
        <v/>
      </c>
      <c r="O192" s="55">
        <f t="shared" si="29"/>
        <v>0</v>
      </c>
      <c r="P192" s="55">
        <f t="shared" si="30"/>
        <v>0</v>
      </c>
      <c r="Q192" s="54">
        <f t="shared" si="31"/>
        <v>0</v>
      </c>
      <c r="R192" s="47"/>
      <c r="T192" s="57"/>
      <c r="U192" s="45"/>
      <c r="V192" s="46">
        <f>IF(U192&lt;&gt;"",VLOOKUP(U192,'Tipo Projeto'!$A$3:$B$35,2,0),0)</f>
        <v>0</v>
      </c>
      <c r="W192" s="47"/>
      <c r="X192" s="49"/>
      <c r="Y192" s="50"/>
      <c r="Z192" s="51"/>
      <c r="AA192" s="52"/>
      <c r="AB192" s="53" t="str">
        <f t="shared" si="32"/>
        <v/>
      </c>
      <c r="AC192" s="48" t="str">
        <f t="shared" si="33"/>
        <v/>
      </c>
      <c r="AD192" s="54" t="str">
        <f t="shared" si="34"/>
        <v/>
      </c>
      <c r="AE192" s="55">
        <f t="shared" si="35"/>
        <v>0</v>
      </c>
      <c r="AF192" s="55">
        <f t="shared" si="36"/>
        <v>0</v>
      </c>
      <c r="AG192" s="58">
        <f t="shared" si="37"/>
        <v>0</v>
      </c>
      <c r="AH192" s="47"/>
      <c r="AJ192" s="47"/>
      <c r="AL192" s="47"/>
      <c r="AM192" s="47" t="str">
        <f t="shared" si="38"/>
        <v/>
      </c>
    </row>
    <row r="193" spans="1:39" s="56" customFormat="1" ht="24.75" customHeight="1">
      <c r="A193" s="44"/>
      <c r="B193" s="45"/>
      <c r="C193" s="46">
        <f>IF(B193&lt;&gt;"",VLOOKUP(B193,'Tipo Projeto'!$A$3:$B$35,2,0),0)</f>
        <v>0</v>
      </c>
      <c r="D193" s="47"/>
      <c r="E193" s="47"/>
      <c r="F193" s="48"/>
      <c r="G193" s="47"/>
      <c r="H193" s="49"/>
      <c r="I193" s="50"/>
      <c r="J193" s="51"/>
      <c r="K193" s="52"/>
      <c r="L193" s="53" t="str">
        <f t="shared" si="26"/>
        <v/>
      </c>
      <c r="M193" s="48" t="str">
        <f t="shared" si="27"/>
        <v/>
      </c>
      <c r="N193" s="54" t="str">
        <f t="shared" si="28"/>
        <v/>
      </c>
      <c r="O193" s="55">
        <f t="shared" si="29"/>
        <v>0</v>
      </c>
      <c r="P193" s="55">
        <f t="shared" si="30"/>
        <v>0</v>
      </c>
      <c r="Q193" s="54">
        <f t="shared" si="31"/>
        <v>0</v>
      </c>
      <c r="R193" s="47"/>
      <c r="T193" s="57"/>
      <c r="U193" s="45"/>
      <c r="V193" s="46">
        <f>IF(U193&lt;&gt;"",VLOOKUP(U193,'Tipo Projeto'!$A$3:$B$35,2,0),0)</f>
        <v>0</v>
      </c>
      <c r="W193" s="47"/>
      <c r="X193" s="49"/>
      <c r="Y193" s="50"/>
      <c r="Z193" s="51"/>
      <c r="AA193" s="52"/>
      <c r="AB193" s="53" t="str">
        <f t="shared" si="32"/>
        <v/>
      </c>
      <c r="AC193" s="48" t="str">
        <f t="shared" si="33"/>
        <v/>
      </c>
      <c r="AD193" s="54" t="str">
        <f t="shared" si="34"/>
        <v/>
      </c>
      <c r="AE193" s="55">
        <f t="shared" si="35"/>
        <v>0</v>
      </c>
      <c r="AF193" s="55">
        <f t="shared" si="36"/>
        <v>0</v>
      </c>
      <c r="AG193" s="58">
        <f t="shared" si="37"/>
        <v>0</v>
      </c>
      <c r="AH193" s="47"/>
      <c r="AJ193" s="47"/>
      <c r="AL193" s="47"/>
      <c r="AM193" s="47" t="str">
        <f t="shared" si="38"/>
        <v/>
      </c>
    </row>
    <row r="194" spans="1:39" s="56" customFormat="1" ht="24.75" customHeight="1">
      <c r="A194" s="44"/>
      <c r="B194" s="45"/>
      <c r="C194" s="46">
        <f>IF(B194&lt;&gt;"",VLOOKUP(B194,'Tipo Projeto'!$A$3:$B$35,2,0),0)</f>
        <v>0</v>
      </c>
      <c r="D194" s="47"/>
      <c r="E194" s="47"/>
      <c r="F194" s="48"/>
      <c r="G194" s="47"/>
      <c r="H194" s="49"/>
      <c r="I194" s="50"/>
      <c r="J194" s="51"/>
      <c r="K194" s="52"/>
      <c r="L194" s="53" t="str">
        <f t="shared" si="26"/>
        <v/>
      </c>
      <c r="M194" s="48" t="str">
        <f t="shared" si="27"/>
        <v/>
      </c>
      <c r="N194" s="54" t="str">
        <f t="shared" si="28"/>
        <v/>
      </c>
      <c r="O194" s="55">
        <f t="shared" si="29"/>
        <v>0</v>
      </c>
      <c r="P194" s="55">
        <f t="shared" si="30"/>
        <v>0</v>
      </c>
      <c r="Q194" s="54">
        <f t="shared" si="31"/>
        <v>0</v>
      </c>
      <c r="R194" s="47"/>
      <c r="T194" s="57"/>
      <c r="U194" s="45"/>
      <c r="V194" s="46">
        <f>IF(U194&lt;&gt;"",VLOOKUP(U194,'Tipo Projeto'!$A$3:$B$35,2,0),0)</f>
        <v>0</v>
      </c>
      <c r="W194" s="47"/>
      <c r="X194" s="49"/>
      <c r="Y194" s="50"/>
      <c r="Z194" s="51"/>
      <c r="AA194" s="52"/>
      <c r="AB194" s="53" t="str">
        <f t="shared" si="32"/>
        <v/>
      </c>
      <c r="AC194" s="48" t="str">
        <f t="shared" si="33"/>
        <v/>
      </c>
      <c r="AD194" s="54" t="str">
        <f t="shared" si="34"/>
        <v/>
      </c>
      <c r="AE194" s="55">
        <f t="shared" si="35"/>
        <v>0</v>
      </c>
      <c r="AF194" s="55">
        <f t="shared" si="36"/>
        <v>0</v>
      </c>
      <c r="AG194" s="58">
        <f t="shared" si="37"/>
        <v>0</v>
      </c>
      <c r="AH194" s="47"/>
      <c r="AJ194" s="47"/>
      <c r="AL194" s="47"/>
      <c r="AM194" s="47" t="str">
        <f t="shared" si="38"/>
        <v/>
      </c>
    </row>
    <row r="195" spans="1:39" s="56" customFormat="1" ht="24.75" customHeight="1">
      <c r="A195" s="44"/>
      <c r="B195" s="45"/>
      <c r="C195" s="46">
        <f>IF(B195&lt;&gt;"",VLOOKUP(B195,'Tipo Projeto'!$A$3:$B$35,2,0),0)</f>
        <v>0</v>
      </c>
      <c r="D195" s="47"/>
      <c r="E195" s="47"/>
      <c r="F195" s="48"/>
      <c r="G195" s="47"/>
      <c r="H195" s="49"/>
      <c r="I195" s="50"/>
      <c r="J195" s="51"/>
      <c r="K195" s="52"/>
      <c r="L195" s="53" t="str">
        <f t="shared" si="26"/>
        <v/>
      </c>
      <c r="M195" s="48" t="str">
        <f t="shared" si="27"/>
        <v/>
      </c>
      <c r="N195" s="54" t="str">
        <f t="shared" si="28"/>
        <v/>
      </c>
      <c r="O195" s="55">
        <f t="shared" si="29"/>
        <v>0</v>
      </c>
      <c r="P195" s="55">
        <f t="shared" si="30"/>
        <v>0</v>
      </c>
      <c r="Q195" s="54">
        <f t="shared" si="31"/>
        <v>0</v>
      </c>
      <c r="R195" s="47"/>
      <c r="T195" s="57"/>
      <c r="U195" s="45"/>
      <c r="V195" s="46">
        <f>IF(U195&lt;&gt;"",VLOOKUP(U195,'Tipo Projeto'!$A$3:$B$35,2,0),0)</f>
        <v>0</v>
      </c>
      <c r="W195" s="47"/>
      <c r="X195" s="49"/>
      <c r="Y195" s="50"/>
      <c r="Z195" s="51"/>
      <c r="AA195" s="52"/>
      <c r="AB195" s="53" t="str">
        <f t="shared" si="32"/>
        <v/>
      </c>
      <c r="AC195" s="48" t="str">
        <f t="shared" si="33"/>
        <v/>
      </c>
      <c r="AD195" s="54" t="str">
        <f t="shared" si="34"/>
        <v/>
      </c>
      <c r="AE195" s="55">
        <f t="shared" si="35"/>
        <v>0</v>
      </c>
      <c r="AF195" s="55">
        <f t="shared" si="36"/>
        <v>0</v>
      </c>
      <c r="AG195" s="58">
        <f t="shared" si="37"/>
        <v>0</v>
      </c>
      <c r="AH195" s="47"/>
      <c r="AJ195" s="47"/>
      <c r="AL195" s="47"/>
      <c r="AM195" s="47" t="str">
        <f t="shared" si="38"/>
        <v/>
      </c>
    </row>
    <row r="196" spans="1:39" s="56" customFormat="1" ht="24.75" customHeight="1">
      <c r="A196" s="44"/>
      <c r="B196" s="45"/>
      <c r="C196" s="46">
        <f>IF(B196&lt;&gt;"",VLOOKUP(B196,'Tipo Projeto'!$A$3:$B$35,2,0),0)</f>
        <v>0</v>
      </c>
      <c r="D196" s="47"/>
      <c r="E196" s="47"/>
      <c r="F196" s="48"/>
      <c r="G196" s="47"/>
      <c r="H196" s="49"/>
      <c r="I196" s="50"/>
      <c r="J196" s="51"/>
      <c r="K196" s="52"/>
      <c r="L196" s="53" t="str">
        <f t="shared" si="26"/>
        <v/>
      </c>
      <c r="M196" s="48" t="str">
        <f t="shared" si="27"/>
        <v/>
      </c>
      <c r="N196" s="54" t="str">
        <f t="shared" si="28"/>
        <v/>
      </c>
      <c r="O196" s="55">
        <f t="shared" si="29"/>
        <v>0</v>
      </c>
      <c r="P196" s="55">
        <f t="shared" si="30"/>
        <v>0</v>
      </c>
      <c r="Q196" s="54">
        <f t="shared" si="31"/>
        <v>0</v>
      </c>
      <c r="R196" s="47"/>
      <c r="T196" s="57"/>
      <c r="U196" s="45"/>
      <c r="V196" s="46">
        <f>IF(U196&lt;&gt;"",VLOOKUP(U196,'Tipo Projeto'!$A$3:$B$35,2,0),0)</f>
        <v>0</v>
      </c>
      <c r="W196" s="47"/>
      <c r="X196" s="49"/>
      <c r="Y196" s="50"/>
      <c r="Z196" s="51"/>
      <c r="AA196" s="52"/>
      <c r="AB196" s="53" t="str">
        <f t="shared" si="32"/>
        <v/>
      </c>
      <c r="AC196" s="48" t="str">
        <f t="shared" si="33"/>
        <v/>
      </c>
      <c r="AD196" s="54" t="str">
        <f t="shared" si="34"/>
        <v/>
      </c>
      <c r="AE196" s="55">
        <f t="shared" si="35"/>
        <v>0</v>
      </c>
      <c r="AF196" s="55">
        <f t="shared" si="36"/>
        <v>0</v>
      </c>
      <c r="AG196" s="58">
        <f t="shared" si="37"/>
        <v>0</v>
      </c>
      <c r="AH196" s="47"/>
      <c r="AJ196" s="47"/>
      <c r="AL196" s="47"/>
      <c r="AM196" s="47" t="str">
        <f t="shared" si="38"/>
        <v/>
      </c>
    </row>
    <row r="197" spans="1:39" s="56" customFormat="1" ht="24.75" customHeight="1">
      <c r="A197" s="44"/>
      <c r="B197" s="45"/>
      <c r="C197" s="46">
        <f>IF(B197&lt;&gt;"",VLOOKUP(B197,'Tipo Projeto'!$A$3:$B$35,2,0),0)</f>
        <v>0</v>
      </c>
      <c r="D197" s="47"/>
      <c r="E197" s="47"/>
      <c r="F197" s="48"/>
      <c r="G197" s="47"/>
      <c r="H197" s="49"/>
      <c r="I197" s="50"/>
      <c r="J197" s="51"/>
      <c r="K197" s="52"/>
      <c r="L197" s="53" t="str">
        <f t="shared" si="26"/>
        <v/>
      </c>
      <c r="M197" s="48" t="str">
        <f t="shared" si="27"/>
        <v/>
      </c>
      <c r="N197" s="54" t="str">
        <f t="shared" si="28"/>
        <v/>
      </c>
      <c r="O197" s="55">
        <f t="shared" si="29"/>
        <v>0</v>
      </c>
      <c r="P197" s="55">
        <f t="shared" si="30"/>
        <v>0</v>
      </c>
      <c r="Q197" s="54">
        <f t="shared" si="31"/>
        <v>0</v>
      </c>
      <c r="R197" s="47"/>
      <c r="T197" s="57"/>
      <c r="U197" s="45"/>
      <c r="V197" s="46">
        <f>IF(U197&lt;&gt;"",VLOOKUP(U197,'Tipo Projeto'!$A$3:$B$35,2,0),0)</f>
        <v>0</v>
      </c>
      <c r="W197" s="47"/>
      <c r="X197" s="49"/>
      <c r="Y197" s="50"/>
      <c r="Z197" s="51"/>
      <c r="AA197" s="52"/>
      <c r="AB197" s="53" t="str">
        <f t="shared" si="32"/>
        <v/>
      </c>
      <c r="AC197" s="48" t="str">
        <f t="shared" si="33"/>
        <v/>
      </c>
      <c r="AD197" s="54" t="str">
        <f t="shared" si="34"/>
        <v/>
      </c>
      <c r="AE197" s="55">
        <f t="shared" si="35"/>
        <v>0</v>
      </c>
      <c r="AF197" s="55">
        <f t="shared" si="36"/>
        <v>0</v>
      </c>
      <c r="AG197" s="58">
        <f t="shared" si="37"/>
        <v>0</v>
      </c>
      <c r="AH197" s="47"/>
      <c r="AJ197" s="47"/>
      <c r="AL197" s="47"/>
      <c r="AM197" s="47" t="str">
        <f t="shared" si="38"/>
        <v/>
      </c>
    </row>
    <row r="198" spans="1:39" s="56" customFormat="1" ht="24.75" customHeight="1">
      <c r="A198" s="44"/>
      <c r="B198" s="45"/>
      <c r="C198" s="46">
        <f>IF(B198&lt;&gt;"",VLOOKUP(B198,'Tipo Projeto'!$A$3:$B$35,2,0),0)</f>
        <v>0</v>
      </c>
      <c r="D198" s="47"/>
      <c r="E198" s="47"/>
      <c r="F198" s="48"/>
      <c r="G198" s="47"/>
      <c r="H198" s="49"/>
      <c r="I198" s="50"/>
      <c r="J198" s="51"/>
      <c r="K198" s="52"/>
      <c r="L198" s="53" t="str">
        <f t="shared" si="26"/>
        <v/>
      </c>
      <c r="M198" s="48" t="str">
        <f t="shared" si="27"/>
        <v/>
      </c>
      <c r="N198" s="54" t="str">
        <f t="shared" si="28"/>
        <v/>
      </c>
      <c r="O198" s="55">
        <f t="shared" si="29"/>
        <v>0</v>
      </c>
      <c r="P198" s="55">
        <f t="shared" si="30"/>
        <v>0</v>
      </c>
      <c r="Q198" s="54">
        <f t="shared" si="31"/>
        <v>0</v>
      </c>
      <c r="R198" s="47"/>
      <c r="T198" s="57"/>
      <c r="U198" s="45"/>
      <c r="V198" s="46">
        <f>IF(U198&lt;&gt;"",VLOOKUP(U198,'Tipo Projeto'!$A$3:$B$35,2,0),0)</f>
        <v>0</v>
      </c>
      <c r="W198" s="47"/>
      <c r="X198" s="49"/>
      <c r="Y198" s="50"/>
      <c r="Z198" s="51"/>
      <c r="AA198" s="52"/>
      <c r="AB198" s="53" t="str">
        <f t="shared" si="32"/>
        <v/>
      </c>
      <c r="AC198" s="48" t="str">
        <f t="shared" si="33"/>
        <v/>
      </c>
      <c r="AD198" s="54" t="str">
        <f t="shared" si="34"/>
        <v/>
      </c>
      <c r="AE198" s="55">
        <f t="shared" si="35"/>
        <v>0</v>
      </c>
      <c r="AF198" s="55">
        <f t="shared" si="36"/>
        <v>0</v>
      </c>
      <c r="AG198" s="58">
        <f t="shared" si="37"/>
        <v>0</v>
      </c>
      <c r="AH198" s="47"/>
      <c r="AJ198" s="47"/>
      <c r="AL198" s="47"/>
      <c r="AM198" s="47" t="str">
        <f t="shared" si="38"/>
        <v/>
      </c>
    </row>
    <row r="199" spans="1:39" s="56" customFormat="1" ht="24.75" customHeight="1">
      <c r="A199" s="44"/>
      <c r="B199" s="45"/>
      <c r="C199" s="46">
        <f>IF(B199&lt;&gt;"",VLOOKUP(B199,'Tipo Projeto'!$A$3:$B$35,2,0),0)</f>
        <v>0</v>
      </c>
      <c r="D199" s="47"/>
      <c r="E199" s="47"/>
      <c r="F199" s="48"/>
      <c r="G199" s="47"/>
      <c r="H199" s="49"/>
      <c r="I199" s="50"/>
      <c r="J199" s="51"/>
      <c r="K199" s="52"/>
      <c r="L199" s="53" t="str">
        <f t="shared" si="26"/>
        <v/>
      </c>
      <c r="M199" s="48" t="str">
        <f t="shared" si="27"/>
        <v/>
      </c>
      <c r="N199" s="54" t="str">
        <f t="shared" si="28"/>
        <v/>
      </c>
      <c r="O199" s="55">
        <f t="shared" si="29"/>
        <v>0</v>
      </c>
      <c r="P199" s="55">
        <f t="shared" si="30"/>
        <v>0</v>
      </c>
      <c r="Q199" s="54">
        <f t="shared" si="31"/>
        <v>0</v>
      </c>
      <c r="R199" s="47"/>
      <c r="T199" s="57"/>
      <c r="U199" s="45"/>
      <c r="V199" s="46">
        <f>IF(U199&lt;&gt;"",VLOOKUP(U199,'Tipo Projeto'!$A$3:$B$35,2,0),0)</f>
        <v>0</v>
      </c>
      <c r="W199" s="47"/>
      <c r="X199" s="49"/>
      <c r="Y199" s="50"/>
      <c r="Z199" s="51"/>
      <c r="AA199" s="52"/>
      <c r="AB199" s="53" t="str">
        <f t="shared" si="32"/>
        <v/>
      </c>
      <c r="AC199" s="48" t="str">
        <f t="shared" si="33"/>
        <v/>
      </c>
      <c r="AD199" s="54" t="str">
        <f t="shared" si="34"/>
        <v/>
      </c>
      <c r="AE199" s="55">
        <f t="shared" si="35"/>
        <v>0</v>
      </c>
      <c r="AF199" s="55">
        <f t="shared" si="36"/>
        <v>0</v>
      </c>
      <c r="AG199" s="58">
        <f t="shared" si="37"/>
        <v>0</v>
      </c>
      <c r="AH199" s="47"/>
      <c r="AJ199" s="47"/>
      <c r="AL199" s="47"/>
      <c r="AM199" s="47" t="str">
        <f t="shared" si="38"/>
        <v/>
      </c>
    </row>
    <row r="200" spans="1:39" s="56" customFormat="1" ht="24.75" customHeight="1">
      <c r="A200" s="44"/>
      <c r="B200" s="45"/>
      <c r="C200" s="46">
        <f>IF(B200&lt;&gt;"",VLOOKUP(B200,'Tipo Projeto'!$A$3:$B$35,2,0),0)</f>
        <v>0</v>
      </c>
      <c r="D200" s="47"/>
      <c r="E200" s="47"/>
      <c r="F200" s="48"/>
      <c r="G200" s="47"/>
      <c r="H200" s="49"/>
      <c r="I200" s="50"/>
      <c r="J200" s="51"/>
      <c r="K200" s="52"/>
      <c r="L200" s="53" t="str">
        <f t="shared" si="26"/>
        <v/>
      </c>
      <c r="M200" s="48" t="str">
        <f t="shared" si="27"/>
        <v/>
      </c>
      <c r="N200" s="54" t="str">
        <f t="shared" si="28"/>
        <v/>
      </c>
      <c r="O200" s="55">
        <f t="shared" si="29"/>
        <v>0</v>
      </c>
      <c r="P200" s="55">
        <f t="shared" si="30"/>
        <v>0</v>
      </c>
      <c r="Q200" s="54">
        <f t="shared" si="31"/>
        <v>0</v>
      </c>
      <c r="R200" s="47"/>
      <c r="T200" s="57"/>
      <c r="U200" s="45"/>
      <c r="V200" s="46">
        <f>IF(U200&lt;&gt;"",VLOOKUP(U200,'Tipo Projeto'!$A$3:$B$35,2,0),0)</f>
        <v>0</v>
      </c>
      <c r="W200" s="47"/>
      <c r="X200" s="49"/>
      <c r="Y200" s="50"/>
      <c r="Z200" s="51"/>
      <c r="AA200" s="52"/>
      <c r="AB200" s="53" t="str">
        <f t="shared" si="32"/>
        <v/>
      </c>
      <c r="AC200" s="48" t="str">
        <f t="shared" si="33"/>
        <v/>
      </c>
      <c r="AD200" s="54" t="str">
        <f t="shared" si="34"/>
        <v/>
      </c>
      <c r="AE200" s="55">
        <f t="shared" si="35"/>
        <v>0</v>
      </c>
      <c r="AF200" s="55">
        <f t="shared" si="36"/>
        <v>0</v>
      </c>
      <c r="AG200" s="58">
        <f t="shared" si="37"/>
        <v>0</v>
      </c>
      <c r="AH200" s="47"/>
      <c r="AJ200" s="47"/>
      <c r="AL200" s="47"/>
      <c r="AM200" s="47" t="str">
        <f t="shared" si="38"/>
        <v/>
      </c>
    </row>
    <row r="201" spans="1:39" s="56" customFormat="1" ht="24.75" customHeight="1">
      <c r="A201" s="44"/>
      <c r="B201" s="45"/>
      <c r="C201" s="46">
        <f>IF(B201&lt;&gt;"",VLOOKUP(B201,'Tipo Projeto'!$A$3:$B$35,2,0),0)</f>
        <v>0</v>
      </c>
      <c r="D201" s="47"/>
      <c r="E201" s="47"/>
      <c r="F201" s="48"/>
      <c r="G201" s="47"/>
      <c r="H201" s="49"/>
      <c r="I201" s="50"/>
      <c r="J201" s="51"/>
      <c r="K201" s="52"/>
      <c r="L201" s="53" t="str">
        <f t="shared" si="26"/>
        <v/>
      </c>
      <c r="M201" s="48" t="str">
        <f t="shared" si="27"/>
        <v/>
      </c>
      <c r="N201" s="54" t="str">
        <f t="shared" si="28"/>
        <v/>
      </c>
      <c r="O201" s="55">
        <f t="shared" si="29"/>
        <v>0</v>
      </c>
      <c r="P201" s="55">
        <f t="shared" si="30"/>
        <v>0</v>
      </c>
      <c r="Q201" s="54">
        <f t="shared" si="31"/>
        <v>0</v>
      </c>
      <c r="R201" s="47"/>
      <c r="T201" s="57"/>
      <c r="U201" s="45"/>
      <c r="V201" s="46">
        <f>IF(U201&lt;&gt;"",VLOOKUP(U201,'Tipo Projeto'!$A$3:$B$35,2,0),0)</f>
        <v>0</v>
      </c>
      <c r="W201" s="47"/>
      <c r="X201" s="49"/>
      <c r="Y201" s="50"/>
      <c r="Z201" s="51"/>
      <c r="AA201" s="52"/>
      <c r="AB201" s="53" t="str">
        <f t="shared" si="32"/>
        <v/>
      </c>
      <c r="AC201" s="48" t="str">
        <f t="shared" si="33"/>
        <v/>
      </c>
      <c r="AD201" s="54" t="str">
        <f t="shared" si="34"/>
        <v/>
      </c>
      <c r="AE201" s="55">
        <f t="shared" si="35"/>
        <v>0</v>
      </c>
      <c r="AF201" s="55">
        <f t="shared" si="36"/>
        <v>0</v>
      </c>
      <c r="AG201" s="58">
        <f t="shared" si="37"/>
        <v>0</v>
      </c>
      <c r="AH201" s="47"/>
      <c r="AJ201" s="47"/>
      <c r="AL201" s="47"/>
      <c r="AM201" s="47" t="str">
        <f t="shared" si="38"/>
        <v/>
      </c>
    </row>
    <row r="202" spans="1:39" s="56" customFormat="1" ht="24.75" customHeight="1">
      <c r="A202" s="44"/>
      <c r="B202" s="45"/>
      <c r="C202" s="46">
        <f>IF(B202&lt;&gt;"",VLOOKUP(B202,'Tipo Projeto'!$A$3:$B$35,2,0),0)</f>
        <v>0</v>
      </c>
      <c r="D202" s="47"/>
      <c r="E202" s="47"/>
      <c r="F202" s="48"/>
      <c r="G202" s="47"/>
      <c r="H202" s="49"/>
      <c r="I202" s="50"/>
      <c r="J202" s="51"/>
      <c r="K202" s="52"/>
      <c r="L202" s="53" t="str">
        <f t="shared" ref="L202:L265" si="39">IF(G202="EE",IF(OR(AND(OR(J202=1,J202=0),H202&gt;0,H202&lt;5),AND(OR(J202=1,J202=0),H202&gt;4,H202&lt;16),AND(J202=2,H202&gt;0,H202&lt;5)),"Simples",IF(OR(AND(OR(J202=1,J202=0),H202&gt;15),AND(J202=2,H202&gt;4,H202&lt;16),AND(J202&gt;2,H202&gt;0,H202&lt;5)),"Médio",IF(OR(AND(J202=2,H202&gt;15),AND(J202&gt;2,H202&gt;4,H202&lt;16),AND(J202&gt;2,H202&gt;15)),"Complexo",""))), IF(OR(G202="CE",G202="SE"),IF(OR(AND(OR(J202=1,J202=0),H202&gt;0,H202&lt;6),AND(OR(J202=1,J202=0),H202&gt;5,H202&lt;20),AND(J202&gt;1,J202&lt;4,H202&gt;0,H202&lt;6)),"Simples",IF(OR(AND(OR(J202=1,J202=0),H202&gt;19),AND(J202&gt;1,J202&lt;4,H202&gt;5,H202&lt;20),AND(J202&gt;3,H202&gt;0,H202&lt;6)),"Médio",IF(OR(AND(J202&gt;1,J202&lt;4,H202&gt;19),AND(J202&gt;3,H202&gt;5,H202&lt;20),AND(J202&gt;3,H202&gt;19)),"Complexo",""))),""))</f>
        <v/>
      </c>
      <c r="M202" s="48" t="str">
        <f t="shared" ref="M202:M265" si="40">IF(G202="ALI",IF(OR(AND(OR(J202=1,J202=0),H202&gt;0,H202&lt;20),AND(OR(J202=1,J202=0),H202&gt;19,H202&lt;51),AND(J202&gt;1,J202&lt;6,H202&gt;0,H202&lt;20)),"Simples",IF(OR(AND(OR(J202=1,J202=0),H202&gt;50),AND(J202&gt;1,J202&lt;6,H202&gt;19,H202&lt;51),AND(J202&gt;5,H202&gt;0,H202&lt;20)),"Médio",IF(OR(AND(J202&gt;1,J202&lt;6,H202&gt;50),AND(J202&gt;5,H202&gt;19,H202&lt;51),AND(J202&gt;5,H202&gt;50)),"Complexo",""))), IF(G202="AIE",IF(OR(AND(OR(J202=1, J202=0),H202&gt;0,H202&lt;20),AND(OR(J202=1, J202=0),H202&gt;19,H202&lt;51),AND(J202&gt;1,J202&lt;6,H202&gt;0,H202&lt;20)),"Simples",IF(OR(AND(OR(J202=1, J202=0),H202&gt;50),AND(J202&gt;1,J202&lt;6,H202&gt;19,H202&lt;51),AND(J202&gt;5,H202&gt;0,H202&lt;20)),"Médio",IF(OR(AND(J202&gt;1,J202&lt;6,H202&gt;50),AND(J202&gt;5,H202&gt;19,H202&lt;51),AND(J202&gt;5,H202&gt;50)),"Complexo",""))),""))</f>
        <v/>
      </c>
      <c r="N202" s="54" t="str">
        <f t="shared" ref="N202:N265" si="41">IF(L202="",M202,IF(M202="",L202,""))</f>
        <v/>
      </c>
      <c r="O202" s="55">
        <f t="shared" ref="O202:O265" si="42">IF(AND(OR(G202="EE",G202="CE"),N202="Simples"),3, IF(AND(OR(G202="EE",G202="CE"),N202="Médio"),4, IF(AND(OR(G202="EE",G202="CE"),N202="Complexo"),6, IF(AND(G202="SE",N202="Simples"),4, IF(AND(G202="SE",N202="Médio"),5, IF(AND(G202="SE",N202="Complexo"),7,0))))))</f>
        <v>0</v>
      </c>
      <c r="P202" s="55">
        <f t="shared" ref="P202:P265" si="43">IF(AND(G202="ALI",M202="Simples"),7, IF(AND(G202="ALI",M202="Médio"),10, IF(AND(G202="ALI",M202="Complexo"),15, IF(AND(G202="AIE",M202="Simples"),5, IF(AND(G202="AIE",M202="Médio"),7, IF(AND(G202="AIE",M202="Complexo"),10,0))))))</f>
        <v>0</v>
      </c>
      <c r="Q202" s="54">
        <f t="shared" ref="Q202:Q265" si="44">IF(B202&lt;&gt;"Manutenção em interface",IF(B202&lt;&gt;"Desenv., Manutenção e Publicação de Páginas Estáticas",(O202+P202)*C202,C202),C202)</f>
        <v>0</v>
      </c>
      <c r="R202" s="47"/>
      <c r="T202" s="57"/>
      <c r="U202" s="45"/>
      <c r="V202" s="46">
        <f>IF(U202&lt;&gt;"",VLOOKUP(U202,'Tipo Projeto'!$A$3:$B$35,2,0),0)</f>
        <v>0</v>
      </c>
      <c r="W202" s="47"/>
      <c r="X202" s="49"/>
      <c r="Y202" s="50"/>
      <c r="Z202" s="51"/>
      <c r="AA202" s="52"/>
      <c r="AB202" s="53" t="str">
        <f t="shared" ref="AB202:AB265" si="45">IF(W202="EE",IF(OR(AND(OR(Z202=1,Z202=0),X202&gt;0,X202&lt;5),AND(OR(Z202=1,Z202=0),X202&gt;4,X202&lt;16),AND(Z202=2,X202&gt;0,X202&lt;5)),"Simples",IF(OR(AND(OR(Z202=1,Z202=0),X202&gt;15),AND(Z202=2,X202&gt;4,X202&lt;16),AND(Z202&gt;2,X202&gt;0,X202&lt;5)),"Médio",IF(OR(AND(Z202=2,X202&gt;15),AND(Z202&gt;2,X202&gt;4,X202&lt;16),AND(Z202&gt;2,X202&gt;15)),"Complexo",""))), IF(OR(W202="CE",W202="SE"),IF(OR(AND(OR(Z202=1,Z202=0),X202&gt;0,X202&lt;6),AND(OR(Z202=1,Z202=0),X202&gt;5,X202&lt;20),AND(Z202&gt;1,Z202&lt;4,X202&gt;0,X202&lt;6)),"Simples",IF(OR(AND(OR(Z202=1,Z202=0),X202&gt;19),AND(Z202&gt;1,Z202&lt;4,X202&gt;5,X202&lt;20),AND(Z202&gt;3,X202&gt;0,X202&lt;6)),"Médio",IF(OR(AND(Z202&gt;1,Z202&lt;4,X202&gt;19),AND(Z202&gt;3,X202&gt;5,X202&lt;20),AND(Z202&gt;3,X202&gt;19)),"Complexo",""))),""))</f>
        <v/>
      </c>
      <c r="AC202" s="48" t="str">
        <f t="shared" ref="AC202:AC265" si="46">IF(W202="ALI",IF(OR(AND(OR(Z202=1,Z202=0),X202&gt;0,X202&lt;20),AND(OR(Z202=1,Z202=0),X202&gt;19,X202&lt;51),AND(Z202&gt;1,Z202&lt;6,X202&gt;0,X202&lt;20)),"Simples",IF(OR(AND(OR(Z202=1,Z202=0),X202&gt;50),AND(Z202&gt;1,Z202&lt;6,X202&gt;19,X202&lt;51),AND(Z202&gt;5,X202&gt;0,X202&lt;20)),"Médio",IF(OR(AND(Z202&gt;1,Z202&lt;6,X202&gt;50),AND(Z202&gt;5,X202&gt;19,X202&lt;51),AND(Z202&gt;5,X202&gt;50)),"Complexo",""))), IF(W202="AIE",IF(OR(AND(OR(Z202=1, Z202=0),X202&gt;0,X202&lt;20),AND(OR(Z202=1, Z202=0),X202&gt;19,X202&lt;51),AND(Z202&gt;1,Z202&lt;6,X202&gt;0,X202&lt;20)),"Simples",IF(OR(AND(OR(Z202=1, Z202=0),X202&gt;50),AND(Z202&gt;1,Z202&lt;6,X202&gt;19,X202&lt;51),AND(Z202&gt;5,X202&gt;0,X202&lt;20)),"Médio",IF(OR(AND(Z202&gt;1,Z202&lt;6,X202&gt;50),AND(Z202&gt;5,X202&gt;19,X202&lt;51),AND(Z202&gt;5,X202&gt;50)),"Complexo",""))),""))</f>
        <v/>
      </c>
      <c r="AD202" s="54" t="str">
        <f t="shared" ref="AD202:AD265" si="47">IF(AB202="",AC202,IF(AC202="",AB202,""))</f>
        <v/>
      </c>
      <c r="AE202" s="55">
        <f t="shared" ref="AE202:AE265" si="48">IF(AND(OR(W202="EE",W202="CE"),AD202="Simples"),3, IF(AND(OR(W202="EE",W202="CE"),AD202="Médio"),4, IF(AND(OR(W202="EE",W202="CE"),AD202="Complexo"),6, IF(AND(W202="SE",AD202="Simples"),4, IF(AND(W202="SE",AD202="Médio"),5, IF(AND(W202="SE",AD202="Complexo"),7,0))))))</f>
        <v>0</v>
      </c>
      <c r="AF202" s="55">
        <f t="shared" ref="AF202:AF265" si="49">IF(AND(W202="ALI",AC202="Simples"),7, IF(AND(W202="ALI",AC202="Médio"),10, IF(AND(W202="ALI",AC202="Complexo"),15, IF(AND(W202="AIE",AC202="Simples"),5, IF(AND(W202="AIE",AC202="Médio"),7, IF(AND(W202="AIE",AC202="Complexo"),10,0))))))</f>
        <v>0</v>
      </c>
      <c r="AG202" s="58">
        <f t="shared" ref="AG202:AG265" si="50">IF(T202="OK",Q202,( IF(U202&lt;&gt;"Manutenção em interface",IF(U202&lt;&gt;"Desenv., Manutenção e Publicação de Páginas Estáticas",(AE202+AF202)*V202,V202),V202)))</f>
        <v>0</v>
      </c>
      <c r="AH202" s="47"/>
      <c r="AJ202" s="47"/>
      <c r="AL202" s="47"/>
      <c r="AM202" s="47" t="str">
        <f t="shared" ref="AM202:AM265" si="51">IF(AG202=0,"",IF(AG202=Q202,"OK","Divergente"))</f>
        <v/>
      </c>
    </row>
    <row r="203" spans="1:39" s="56" customFormat="1" ht="24.75" customHeight="1">
      <c r="A203" s="44"/>
      <c r="B203" s="45"/>
      <c r="C203" s="46">
        <f>IF(B203&lt;&gt;"",VLOOKUP(B203,'Tipo Projeto'!$A$3:$B$35,2,0),0)</f>
        <v>0</v>
      </c>
      <c r="D203" s="47"/>
      <c r="E203" s="47"/>
      <c r="F203" s="48"/>
      <c r="G203" s="47"/>
      <c r="H203" s="49"/>
      <c r="I203" s="50"/>
      <c r="J203" s="51"/>
      <c r="K203" s="52"/>
      <c r="L203" s="53" t="str">
        <f t="shared" si="39"/>
        <v/>
      </c>
      <c r="M203" s="48" t="str">
        <f t="shared" si="40"/>
        <v/>
      </c>
      <c r="N203" s="54" t="str">
        <f t="shared" si="41"/>
        <v/>
      </c>
      <c r="O203" s="55">
        <f t="shared" si="42"/>
        <v>0</v>
      </c>
      <c r="P203" s="55">
        <f t="shared" si="43"/>
        <v>0</v>
      </c>
      <c r="Q203" s="54">
        <f t="shared" si="44"/>
        <v>0</v>
      </c>
      <c r="R203" s="47"/>
      <c r="T203" s="57"/>
      <c r="U203" s="45"/>
      <c r="V203" s="46">
        <f>IF(U203&lt;&gt;"",VLOOKUP(U203,'Tipo Projeto'!$A$3:$B$35,2,0),0)</f>
        <v>0</v>
      </c>
      <c r="W203" s="47"/>
      <c r="X203" s="49"/>
      <c r="Y203" s="50"/>
      <c r="Z203" s="51"/>
      <c r="AA203" s="52"/>
      <c r="AB203" s="53" t="str">
        <f t="shared" si="45"/>
        <v/>
      </c>
      <c r="AC203" s="48" t="str">
        <f t="shared" si="46"/>
        <v/>
      </c>
      <c r="AD203" s="54" t="str">
        <f t="shared" si="47"/>
        <v/>
      </c>
      <c r="AE203" s="55">
        <f t="shared" si="48"/>
        <v>0</v>
      </c>
      <c r="AF203" s="55">
        <f t="shared" si="49"/>
        <v>0</v>
      </c>
      <c r="AG203" s="58">
        <f t="shared" si="50"/>
        <v>0</v>
      </c>
      <c r="AH203" s="47"/>
      <c r="AJ203" s="47"/>
      <c r="AL203" s="47"/>
      <c r="AM203" s="47" t="str">
        <f t="shared" si="51"/>
        <v/>
      </c>
    </row>
    <row r="204" spans="1:39" s="56" customFormat="1" ht="24.75" customHeight="1">
      <c r="A204" s="44"/>
      <c r="B204" s="45"/>
      <c r="C204" s="46">
        <f>IF(B204&lt;&gt;"",VLOOKUP(B204,'Tipo Projeto'!$A$3:$B$35,2,0),0)</f>
        <v>0</v>
      </c>
      <c r="D204" s="47"/>
      <c r="E204" s="47"/>
      <c r="F204" s="48"/>
      <c r="G204" s="47"/>
      <c r="H204" s="49"/>
      <c r="I204" s="50"/>
      <c r="J204" s="51"/>
      <c r="K204" s="52"/>
      <c r="L204" s="53" t="str">
        <f t="shared" si="39"/>
        <v/>
      </c>
      <c r="M204" s="48" t="str">
        <f t="shared" si="40"/>
        <v/>
      </c>
      <c r="N204" s="54" t="str">
        <f t="shared" si="41"/>
        <v/>
      </c>
      <c r="O204" s="55">
        <f t="shared" si="42"/>
        <v>0</v>
      </c>
      <c r="P204" s="55">
        <f t="shared" si="43"/>
        <v>0</v>
      </c>
      <c r="Q204" s="54">
        <f t="shared" si="44"/>
        <v>0</v>
      </c>
      <c r="R204" s="47"/>
      <c r="T204" s="57"/>
      <c r="U204" s="45"/>
      <c r="V204" s="46">
        <f>IF(U204&lt;&gt;"",VLOOKUP(U204,'Tipo Projeto'!$A$3:$B$35,2,0),0)</f>
        <v>0</v>
      </c>
      <c r="W204" s="47"/>
      <c r="X204" s="49"/>
      <c r="Y204" s="50"/>
      <c r="Z204" s="51"/>
      <c r="AA204" s="52"/>
      <c r="AB204" s="53" t="str">
        <f t="shared" si="45"/>
        <v/>
      </c>
      <c r="AC204" s="48" t="str">
        <f t="shared" si="46"/>
        <v/>
      </c>
      <c r="AD204" s="54" t="str">
        <f t="shared" si="47"/>
        <v/>
      </c>
      <c r="AE204" s="55">
        <f t="shared" si="48"/>
        <v>0</v>
      </c>
      <c r="AF204" s="55">
        <f t="shared" si="49"/>
        <v>0</v>
      </c>
      <c r="AG204" s="58">
        <f t="shared" si="50"/>
        <v>0</v>
      </c>
      <c r="AH204" s="47"/>
      <c r="AJ204" s="47"/>
      <c r="AL204" s="47"/>
      <c r="AM204" s="47" t="str">
        <f t="shared" si="51"/>
        <v/>
      </c>
    </row>
    <row r="205" spans="1:39" s="56" customFormat="1" ht="24.75" customHeight="1">
      <c r="A205" s="44"/>
      <c r="B205" s="45"/>
      <c r="C205" s="46">
        <f>IF(B205&lt;&gt;"",VLOOKUP(B205,'Tipo Projeto'!$A$3:$B$35,2,0),0)</f>
        <v>0</v>
      </c>
      <c r="D205" s="47"/>
      <c r="E205" s="47"/>
      <c r="F205" s="48"/>
      <c r="G205" s="47"/>
      <c r="H205" s="49"/>
      <c r="I205" s="50"/>
      <c r="J205" s="51"/>
      <c r="K205" s="52"/>
      <c r="L205" s="53" t="str">
        <f t="shared" si="39"/>
        <v/>
      </c>
      <c r="M205" s="48" t="str">
        <f t="shared" si="40"/>
        <v/>
      </c>
      <c r="N205" s="54" t="str">
        <f t="shared" si="41"/>
        <v/>
      </c>
      <c r="O205" s="55">
        <f t="shared" si="42"/>
        <v>0</v>
      </c>
      <c r="P205" s="55">
        <f t="shared" si="43"/>
        <v>0</v>
      </c>
      <c r="Q205" s="54">
        <f t="shared" si="44"/>
        <v>0</v>
      </c>
      <c r="R205" s="47"/>
      <c r="T205" s="57"/>
      <c r="U205" s="45"/>
      <c r="V205" s="46">
        <f>IF(U205&lt;&gt;"",VLOOKUP(U205,'Tipo Projeto'!$A$3:$B$35,2,0),0)</f>
        <v>0</v>
      </c>
      <c r="W205" s="47"/>
      <c r="X205" s="49"/>
      <c r="Y205" s="50"/>
      <c r="Z205" s="51"/>
      <c r="AA205" s="52"/>
      <c r="AB205" s="53" t="str">
        <f t="shared" si="45"/>
        <v/>
      </c>
      <c r="AC205" s="48" t="str">
        <f t="shared" si="46"/>
        <v/>
      </c>
      <c r="AD205" s="54" t="str">
        <f t="shared" si="47"/>
        <v/>
      </c>
      <c r="AE205" s="55">
        <f t="shared" si="48"/>
        <v>0</v>
      </c>
      <c r="AF205" s="55">
        <f t="shared" si="49"/>
        <v>0</v>
      </c>
      <c r="AG205" s="58">
        <f t="shared" si="50"/>
        <v>0</v>
      </c>
      <c r="AH205" s="47"/>
      <c r="AJ205" s="47"/>
      <c r="AL205" s="47"/>
      <c r="AM205" s="47" t="str">
        <f t="shared" si="51"/>
        <v/>
      </c>
    </row>
    <row r="206" spans="1:39" s="56" customFormat="1" ht="24.75" customHeight="1">
      <c r="A206" s="44"/>
      <c r="B206" s="45"/>
      <c r="C206" s="46">
        <f>IF(B206&lt;&gt;"",VLOOKUP(B206,'Tipo Projeto'!$A$3:$B$35,2,0),0)</f>
        <v>0</v>
      </c>
      <c r="D206" s="47"/>
      <c r="E206" s="47"/>
      <c r="F206" s="48"/>
      <c r="G206" s="47"/>
      <c r="H206" s="49"/>
      <c r="I206" s="50"/>
      <c r="J206" s="51"/>
      <c r="K206" s="52"/>
      <c r="L206" s="53" t="str">
        <f t="shared" si="39"/>
        <v/>
      </c>
      <c r="M206" s="48" t="str">
        <f t="shared" si="40"/>
        <v/>
      </c>
      <c r="N206" s="54" t="str">
        <f t="shared" si="41"/>
        <v/>
      </c>
      <c r="O206" s="55">
        <f t="shared" si="42"/>
        <v>0</v>
      </c>
      <c r="P206" s="55">
        <f t="shared" si="43"/>
        <v>0</v>
      </c>
      <c r="Q206" s="54">
        <f t="shared" si="44"/>
        <v>0</v>
      </c>
      <c r="R206" s="47"/>
      <c r="T206" s="57"/>
      <c r="U206" s="45"/>
      <c r="V206" s="46">
        <f>IF(U206&lt;&gt;"",VLOOKUP(U206,'Tipo Projeto'!$A$3:$B$35,2,0),0)</f>
        <v>0</v>
      </c>
      <c r="W206" s="47"/>
      <c r="X206" s="49"/>
      <c r="Y206" s="50"/>
      <c r="Z206" s="51"/>
      <c r="AA206" s="52"/>
      <c r="AB206" s="53" t="str">
        <f t="shared" si="45"/>
        <v/>
      </c>
      <c r="AC206" s="48" t="str">
        <f t="shared" si="46"/>
        <v/>
      </c>
      <c r="AD206" s="54" t="str">
        <f t="shared" si="47"/>
        <v/>
      </c>
      <c r="AE206" s="55">
        <f t="shared" si="48"/>
        <v>0</v>
      </c>
      <c r="AF206" s="55">
        <f t="shared" si="49"/>
        <v>0</v>
      </c>
      <c r="AG206" s="58">
        <f t="shared" si="50"/>
        <v>0</v>
      </c>
      <c r="AH206" s="47"/>
      <c r="AJ206" s="47"/>
      <c r="AL206" s="47"/>
      <c r="AM206" s="47" t="str">
        <f t="shared" si="51"/>
        <v/>
      </c>
    </row>
    <row r="207" spans="1:39" s="56" customFormat="1" ht="24.75" customHeight="1">
      <c r="A207" s="44"/>
      <c r="B207" s="45"/>
      <c r="C207" s="46">
        <f>IF(B207&lt;&gt;"",VLOOKUP(B207,'Tipo Projeto'!$A$3:$B$35,2,0),0)</f>
        <v>0</v>
      </c>
      <c r="D207" s="47"/>
      <c r="E207" s="47"/>
      <c r="F207" s="48"/>
      <c r="G207" s="47"/>
      <c r="H207" s="49"/>
      <c r="I207" s="50"/>
      <c r="J207" s="51"/>
      <c r="K207" s="52"/>
      <c r="L207" s="53" t="str">
        <f t="shared" si="39"/>
        <v/>
      </c>
      <c r="M207" s="48" t="str">
        <f t="shared" si="40"/>
        <v/>
      </c>
      <c r="N207" s="54" t="str">
        <f t="shared" si="41"/>
        <v/>
      </c>
      <c r="O207" s="55">
        <f t="shared" si="42"/>
        <v>0</v>
      </c>
      <c r="P207" s="55">
        <f t="shared" si="43"/>
        <v>0</v>
      </c>
      <c r="Q207" s="54">
        <f t="shared" si="44"/>
        <v>0</v>
      </c>
      <c r="R207" s="47"/>
      <c r="T207" s="57"/>
      <c r="U207" s="45"/>
      <c r="V207" s="46">
        <f>IF(U207&lt;&gt;"",VLOOKUP(U207,'Tipo Projeto'!$A$3:$B$35,2,0),0)</f>
        <v>0</v>
      </c>
      <c r="W207" s="47"/>
      <c r="X207" s="49"/>
      <c r="Y207" s="50"/>
      <c r="Z207" s="51"/>
      <c r="AA207" s="52"/>
      <c r="AB207" s="53" t="str">
        <f t="shared" si="45"/>
        <v/>
      </c>
      <c r="AC207" s="48" t="str">
        <f t="shared" si="46"/>
        <v/>
      </c>
      <c r="AD207" s="54" t="str">
        <f t="shared" si="47"/>
        <v/>
      </c>
      <c r="AE207" s="55">
        <f t="shared" si="48"/>
        <v>0</v>
      </c>
      <c r="AF207" s="55">
        <f t="shared" si="49"/>
        <v>0</v>
      </c>
      <c r="AG207" s="58">
        <f t="shared" si="50"/>
        <v>0</v>
      </c>
      <c r="AH207" s="47"/>
      <c r="AJ207" s="47"/>
      <c r="AL207" s="47"/>
      <c r="AM207" s="47" t="str">
        <f t="shared" si="51"/>
        <v/>
      </c>
    </row>
    <row r="208" spans="1:39" s="56" customFormat="1" ht="24.75" customHeight="1">
      <c r="A208" s="44"/>
      <c r="B208" s="45"/>
      <c r="C208" s="46">
        <f>IF(B208&lt;&gt;"",VLOOKUP(B208,'Tipo Projeto'!$A$3:$B$35,2,0),0)</f>
        <v>0</v>
      </c>
      <c r="D208" s="47"/>
      <c r="E208" s="47"/>
      <c r="F208" s="48"/>
      <c r="G208" s="47"/>
      <c r="H208" s="49"/>
      <c r="I208" s="50"/>
      <c r="J208" s="51"/>
      <c r="K208" s="52"/>
      <c r="L208" s="53" t="str">
        <f t="shared" si="39"/>
        <v/>
      </c>
      <c r="M208" s="48" t="str">
        <f t="shared" si="40"/>
        <v/>
      </c>
      <c r="N208" s="54" t="str">
        <f t="shared" si="41"/>
        <v/>
      </c>
      <c r="O208" s="55">
        <f t="shared" si="42"/>
        <v>0</v>
      </c>
      <c r="P208" s="55">
        <f t="shared" si="43"/>
        <v>0</v>
      </c>
      <c r="Q208" s="54">
        <f t="shared" si="44"/>
        <v>0</v>
      </c>
      <c r="R208" s="47"/>
      <c r="T208" s="57"/>
      <c r="U208" s="45"/>
      <c r="V208" s="46">
        <f>IF(U208&lt;&gt;"",VLOOKUP(U208,'Tipo Projeto'!$A$3:$B$35,2,0),0)</f>
        <v>0</v>
      </c>
      <c r="W208" s="47"/>
      <c r="X208" s="49"/>
      <c r="Y208" s="50"/>
      <c r="Z208" s="51"/>
      <c r="AA208" s="52"/>
      <c r="AB208" s="53" t="str">
        <f t="shared" si="45"/>
        <v/>
      </c>
      <c r="AC208" s="48" t="str">
        <f t="shared" si="46"/>
        <v/>
      </c>
      <c r="AD208" s="54" t="str">
        <f t="shared" si="47"/>
        <v/>
      </c>
      <c r="AE208" s="55">
        <f t="shared" si="48"/>
        <v>0</v>
      </c>
      <c r="AF208" s="55">
        <f t="shared" si="49"/>
        <v>0</v>
      </c>
      <c r="AG208" s="58">
        <f t="shared" si="50"/>
        <v>0</v>
      </c>
      <c r="AH208" s="47"/>
      <c r="AJ208" s="47"/>
      <c r="AL208" s="47"/>
      <c r="AM208" s="47" t="str">
        <f t="shared" si="51"/>
        <v/>
      </c>
    </row>
    <row r="209" spans="1:39" s="56" customFormat="1" ht="24.75" customHeight="1">
      <c r="A209" s="44"/>
      <c r="B209" s="45"/>
      <c r="C209" s="46">
        <f>IF(B209&lt;&gt;"",VLOOKUP(B209,'Tipo Projeto'!$A$3:$B$35,2,0),0)</f>
        <v>0</v>
      </c>
      <c r="D209" s="47"/>
      <c r="E209" s="47"/>
      <c r="F209" s="48"/>
      <c r="G209" s="47"/>
      <c r="H209" s="49"/>
      <c r="I209" s="50"/>
      <c r="J209" s="51"/>
      <c r="K209" s="52"/>
      <c r="L209" s="53" t="str">
        <f t="shared" si="39"/>
        <v/>
      </c>
      <c r="M209" s="48" t="str">
        <f t="shared" si="40"/>
        <v/>
      </c>
      <c r="N209" s="54" t="str">
        <f t="shared" si="41"/>
        <v/>
      </c>
      <c r="O209" s="55">
        <f t="shared" si="42"/>
        <v>0</v>
      </c>
      <c r="P209" s="55">
        <f t="shared" si="43"/>
        <v>0</v>
      </c>
      <c r="Q209" s="54">
        <f t="shared" si="44"/>
        <v>0</v>
      </c>
      <c r="R209" s="47"/>
      <c r="T209" s="57"/>
      <c r="U209" s="45"/>
      <c r="V209" s="46">
        <f>IF(U209&lt;&gt;"",VLOOKUP(U209,'Tipo Projeto'!$A$3:$B$35,2,0),0)</f>
        <v>0</v>
      </c>
      <c r="W209" s="47"/>
      <c r="X209" s="49"/>
      <c r="Y209" s="50"/>
      <c r="Z209" s="51"/>
      <c r="AA209" s="52"/>
      <c r="AB209" s="53" t="str">
        <f t="shared" si="45"/>
        <v/>
      </c>
      <c r="AC209" s="48" t="str">
        <f t="shared" si="46"/>
        <v/>
      </c>
      <c r="AD209" s="54" t="str">
        <f t="shared" si="47"/>
        <v/>
      </c>
      <c r="AE209" s="55">
        <f t="shared" si="48"/>
        <v>0</v>
      </c>
      <c r="AF209" s="55">
        <f t="shared" si="49"/>
        <v>0</v>
      </c>
      <c r="AG209" s="58">
        <f t="shared" si="50"/>
        <v>0</v>
      </c>
      <c r="AH209" s="47"/>
      <c r="AJ209" s="47"/>
      <c r="AL209" s="47"/>
      <c r="AM209" s="47" t="str">
        <f t="shared" si="51"/>
        <v/>
      </c>
    </row>
    <row r="210" spans="1:39" s="56" customFormat="1" ht="24.75" customHeight="1">
      <c r="A210" s="44"/>
      <c r="B210" s="45"/>
      <c r="C210" s="46">
        <f>IF(B210&lt;&gt;"",VLOOKUP(B210,'Tipo Projeto'!$A$3:$B$35,2,0),0)</f>
        <v>0</v>
      </c>
      <c r="D210" s="47"/>
      <c r="E210" s="47"/>
      <c r="F210" s="48"/>
      <c r="G210" s="47"/>
      <c r="H210" s="49"/>
      <c r="I210" s="50"/>
      <c r="J210" s="51"/>
      <c r="K210" s="52"/>
      <c r="L210" s="53" t="str">
        <f t="shared" si="39"/>
        <v/>
      </c>
      <c r="M210" s="48" t="str">
        <f t="shared" si="40"/>
        <v/>
      </c>
      <c r="N210" s="54" t="str">
        <f t="shared" si="41"/>
        <v/>
      </c>
      <c r="O210" s="55">
        <f t="shared" si="42"/>
        <v>0</v>
      </c>
      <c r="P210" s="55">
        <f t="shared" si="43"/>
        <v>0</v>
      </c>
      <c r="Q210" s="54">
        <f t="shared" si="44"/>
        <v>0</v>
      </c>
      <c r="R210" s="47"/>
      <c r="T210" s="57"/>
      <c r="U210" s="45"/>
      <c r="V210" s="46">
        <f>IF(U210&lt;&gt;"",VLOOKUP(U210,'Tipo Projeto'!$A$3:$B$35,2,0),0)</f>
        <v>0</v>
      </c>
      <c r="W210" s="47"/>
      <c r="X210" s="49"/>
      <c r="Y210" s="50"/>
      <c r="Z210" s="51"/>
      <c r="AA210" s="52"/>
      <c r="AB210" s="53" t="str">
        <f t="shared" si="45"/>
        <v/>
      </c>
      <c r="AC210" s="48" t="str">
        <f t="shared" si="46"/>
        <v/>
      </c>
      <c r="AD210" s="54" t="str">
        <f t="shared" si="47"/>
        <v/>
      </c>
      <c r="AE210" s="55">
        <f t="shared" si="48"/>
        <v>0</v>
      </c>
      <c r="AF210" s="55">
        <f t="shared" si="49"/>
        <v>0</v>
      </c>
      <c r="AG210" s="58">
        <f t="shared" si="50"/>
        <v>0</v>
      </c>
      <c r="AH210" s="47"/>
      <c r="AJ210" s="47"/>
      <c r="AL210" s="47"/>
      <c r="AM210" s="47" t="str">
        <f t="shared" si="51"/>
        <v/>
      </c>
    </row>
    <row r="211" spans="1:39" s="56" customFormat="1" ht="24.75" customHeight="1">
      <c r="A211" s="44"/>
      <c r="B211" s="45"/>
      <c r="C211" s="46">
        <f>IF(B211&lt;&gt;"",VLOOKUP(B211,'Tipo Projeto'!$A$3:$B$35,2,0),0)</f>
        <v>0</v>
      </c>
      <c r="D211" s="47"/>
      <c r="E211" s="47"/>
      <c r="F211" s="48"/>
      <c r="G211" s="47"/>
      <c r="H211" s="49"/>
      <c r="I211" s="50"/>
      <c r="J211" s="51"/>
      <c r="K211" s="52"/>
      <c r="L211" s="53" t="str">
        <f t="shared" si="39"/>
        <v/>
      </c>
      <c r="M211" s="48" t="str">
        <f t="shared" si="40"/>
        <v/>
      </c>
      <c r="N211" s="54" t="str">
        <f t="shared" si="41"/>
        <v/>
      </c>
      <c r="O211" s="55">
        <f t="shared" si="42"/>
        <v>0</v>
      </c>
      <c r="P211" s="55">
        <f t="shared" si="43"/>
        <v>0</v>
      </c>
      <c r="Q211" s="54">
        <f t="shared" si="44"/>
        <v>0</v>
      </c>
      <c r="R211" s="47"/>
      <c r="T211" s="57"/>
      <c r="U211" s="45"/>
      <c r="V211" s="46">
        <f>IF(U211&lt;&gt;"",VLOOKUP(U211,'Tipo Projeto'!$A$3:$B$35,2,0),0)</f>
        <v>0</v>
      </c>
      <c r="W211" s="47"/>
      <c r="X211" s="49"/>
      <c r="Y211" s="50"/>
      <c r="Z211" s="51"/>
      <c r="AA211" s="52"/>
      <c r="AB211" s="53" t="str">
        <f t="shared" si="45"/>
        <v/>
      </c>
      <c r="AC211" s="48" t="str">
        <f t="shared" si="46"/>
        <v/>
      </c>
      <c r="AD211" s="54" t="str">
        <f t="shared" si="47"/>
        <v/>
      </c>
      <c r="AE211" s="55">
        <f t="shared" si="48"/>
        <v>0</v>
      </c>
      <c r="AF211" s="55">
        <f t="shared" si="49"/>
        <v>0</v>
      </c>
      <c r="AG211" s="58">
        <f t="shared" si="50"/>
        <v>0</v>
      </c>
      <c r="AH211" s="47"/>
      <c r="AJ211" s="47"/>
      <c r="AL211" s="47"/>
      <c r="AM211" s="47" t="str">
        <f t="shared" si="51"/>
        <v/>
      </c>
    </row>
    <row r="212" spans="1:39" s="56" customFormat="1" ht="24.75" customHeight="1">
      <c r="A212" s="44"/>
      <c r="B212" s="45"/>
      <c r="C212" s="46">
        <f>IF(B212&lt;&gt;"",VLOOKUP(B212,'Tipo Projeto'!$A$3:$B$35,2,0),0)</f>
        <v>0</v>
      </c>
      <c r="D212" s="47"/>
      <c r="E212" s="47"/>
      <c r="F212" s="48"/>
      <c r="G212" s="47"/>
      <c r="H212" s="49"/>
      <c r="I212" s="50"/>
      <c r="J212" s="51"/>
      <c r="K212" s="52"/>
      <c r="L212" s="53" t="str">
        <f t="shared" si="39"/>
        <v/>
      </c>
      <c r="M212" s="48" t="str">
        <f t="shared" si="40"/>
        <v/>
      </c>
      <c r="N212" s="54" t="str">
        <f t="shared" si="41"/>
        <v/>
      </c>
      <c r="O212" s="55">
        <f t="shared" si="42"/>
        <v>0</v>
      </c>
      <c r="P212" s="55">
        <f t="shared" si="43"/>
        <v>0</v>
      </c>
      <c r="Q212" s="54">
        <f t="shared" si="44"/>
        <v>0</v>
      </c>
      <c r="R212" s="47"/>
      <c r="T212" s="57"/>
      <c r="U212" s="45"/>
      <c r="V212" s="46">
        <f>IF(U212&lt;&gt;"",VLOOKUP(U212,'Tipo Projeto'!$A$3:$B$35,2,0),0)</f>
        <v>0</v>
      </c>
      <c r="W212" s="47"/>
      <c r="X212" s="49"/>
      <c r="Y212" s="50"/>
      <c r="Z212" s="51"/>
      <c r="AA212" s="52"/>
      <c r="AB212" s="53" t="str">
        <f t="shared" si="45"/>
        <v/>
      </c>
      <c r="AC212" s="48" t="str">
        <f t="shared" si="46"/>
        <v/>
      </c>
      <c r="AD212" s="54" t="str">
        <f t="shared" si="47"/>
        <v/>
      </c>
      <c r="AE212" s="55">
        <f t="shared" si="48"/>
        <v>0</v>
      </c>
      <c r="AF212" s="55">
        <f t="shared" si="49"/>
        <v>0</v>
      </c>
      <c r="AG212" s="58">
        <f t="shared" si="50"/>
        <v>0</v>
      </c>
      <c r="AH212" s="47"/>
      <c r="AJ212" s="47"/>
      <c r="AL212" s="47"/>
      <c r="AM212" s="47" t="str">
        <f t="shared" si="51"/>
        <v/>
      </c>
    </row>
    <row r="213" spans="1:39" s="56" customFormat="1" ht="24.75" customHeight="1">
      <c r="A213" s="44"/>
      <c r="B213" s="45"/>
      <c r="C213" s="46">
        <f>IF(B213&lt;&gt;"",VLOOKUP(B213,'Tipo Projeto'!$A$3:$B$35,2,0),0)</f>
        <v>0</v>
      </c>
      <c r="D213" s="47"/>
      <c r="E213" s="47"/>
      <c r="F213" s="48"/>
      <c r="G213" s="47"/>
      <c r="H213" s="49"/>
      <c r="I213" s="50"/>
      <c r="J213" s="51"/>
      <c r="K213" s="52"/>
      <c r="L213" s="53" t="str">
        <f t="shared" si="39"/>
        <v/>
      </c>
      <c r="M213" s="48" t="str">
        <f t="shared" si="40"/>
        <v/>
      </c>
      <c r="N213" s="54" t="str">
        <f t="shared" si="41"/>
        <v/>
      </c>
      <c r="O213" s="55">
        <f t="shared" si="42"/>
        <v>0</v>
      </c>
      <c r="P213" s="55">
        <f t="shared" si="43"/>
        <v>0</v>
      </c>
      <c r="Q213" s="54">
        <f t="shared" si="44"/>
        <v>0</v>
      </c>
      <c r="R213" s="47"/>
      <c r="T213" s="57"/>
      <c r="U213" s="45"/>
      <c r="V213" s="46">
        <f>IF(U213&lt;&gt;"",VLOOKUP(U213,'Tipo Projeto'!$A$3:$B$35,2,0),0)</f>
        <v>0</v>
      </c>
      <c r="W213" s="47"/>
      <c r="X213" s="49"/>
      <c r="Y213" s="50"/>
      <c r="Z213" s="51"/>
      <c r="AA213" s="52"/>
      <c r="AB213" s="53" t="str">
        <f t="shared" si="45"/>
        <v/>
      </c>
      <c r="AC213" s="48" t="str">
        <f t="shared" si="46"/>
        <v/>
      </c>
      <c r="AD213" s="54" t="str">
        <f t="shared" si="47"/>
        <v/>
      </c>
      <c r="AE213" s="55">
        <f t="shared" si="48"/>
        <v>0</v>
      </c>
      <c r="AF213" s="55">
        <f t="shared" si="49"/>
        <v>0</v>
      </c>
      <c r="AG213" s="58">
        <f t="shared" si="50"/>
        <v>0</v>
      </c>
      <c r="AH213" s="47"/>
      <c r="AJ213" s="47"/>
      <c r="AL213" s="47"/>
      <c r="AM213" s="47" t="str">
        <f t="shared" si="51"/>
        <v/>
      </c>
    </row>
    <row r="214" spans="1:39" s="56" customFormat="1" ht="24.75" customHeight="1">
      <c r="A214" s="44"/>
      <c r="B214" s="45"/>
      <c r="C214" s="46">
        <f>IF(B214&lt;&gt;"",VLOOKUP(B214,'Tipo Projeto'!$A$3:$B$35,2,0),0)</f>
        <v>0</v>
      </c>
      <c r="D214" s="47"/>
      <c r="E214" s="47"/>
      <c r="F214" s="48"/>
      <c r="G214" s="47"/>
      <c r="H214" s="49"/>
      <c r="I214" s="50"/>
      <c r="J214" s="51"/>
      <c r="K214" s="52"/>
      <c r="L214" s="53" t="str">
        <f t="shared" si="39"/>
        <v/>
      </c>
      <c r="M214" s="48" t="str">
        <f t="shared" si="40"/>
        <v/>
      </c>
      <c r="N214" s="54" t="str">
        <f t="shared" si="41"/>
        <v/>
      </c>
      <c r="O214" s="55">
        <f t="shared" si="42"/>
        <v>0</v>
      </c>
      <c r="P214" s="55">
        <f t="shared" si="43"/>
        <v>0</v>
      </c>
      <c r="Q214" s="54">
        <f t="shared" si="44"/>
        <v>0</v>
      </c>
      <c r="R214" s="47"/>
      <c r="T214" s="57"/>
      <c r="U214" s="45"/>
      <c r="V214" s="46">
        <f>IF(U214&lt;&gt;"",VLOOKUP(U214,'Tipo Projeto'!$A$3:$B$35,2,0),0)</f>
        <v>0</v>
      </c>
      <c r="W214" s="47"/>
      <c r="X214" s="49"/>
      <c r="Y214" s="50"/>
      <c r="Z214" s="51"/>
      <c r="AA214" s="52"/>
      <c r="AB214" s="53" t="str">
        <f t="shared" si="45"/>
        <v/>
      </c>
      <c r="AC214" s="48" t="str">
        <f t="shared" si="46"/>
        <v/>
      </c>
      <c r="AD214" s="54" t="str">
        <f t="shared" si="47"/>
        <v/>
      </c>
      <c r="AE214" s="55">
        <f t="shared" si="48"/>
        <v>0</v>
      </c>
      <c r="AF214" s="55">
        <f t="shared" si="49"/>
        <v>0</v>
      </c>
      <c r="AG214" s="58">
        <f t="shared" si="50"/>
        <v>0</v>
      </c>
      <c r="AH214" s="47"/>
      <c r="AJ214" s="47"/>
      <c r="AL214" s="47"/>
      <c r="AM214" s="47" t="str">
        <f t="shared" si="51"/>
        <v/>
      </c>
    </row>
    <row r="215" spans="1:39" s="56" customFormat="1" ht="24.75" customHeight="1">
      <c r="A215" s="44"/>
      <c r="B215" s="45"/>
      <c r="C215" s="46">
        <f>IF(B215&lt;&gt;"",VLOOKUP(B215,'Tipo Projeto'!$A$3:$B$35,2,0),0)</f>
        <v>0</v>
      </c>
      <c r="D215" s="47"/>
      <c r="E215" s="47"/>
      <c r="F215" s="48"/>
      <c r="G215" s="47"/>
      <c r="H215" s="49"/>
      <c r="I215" s="50"/>
      <c r="J215" s="51"/>
      <c r="K215" s="52"/>
      <c r="L215" s="53" t="str">
        <f t="shared" si="39"/>
        <v/>
      </c>
      <c r="M215" s="48" t="str">
        <f t="shared" si="40"/>
        <v/>
      </c>
      <c r="N215" s="54" t="str">
        <f t="shared" si="41"/>
        <v/>
      </c>
      <c r="O215" s="55">
        <f t="shared" si="42"/>
        <v>0</v>
      </c>
      <c r="P215" s="55">
        <f t="shared" si="43"/>
        <v>0</v>
      </c>
      <c r="Q215" s="54">
        <f t="shared" si="44"/>
        <v>0</v>
      </c>
      <c r="R215" s="47"/>
      <c r="T215" s="57"/>
      <c r="U215" s="45"/>
      <c r="V215" s="46">
        <f>IF(U215&lt;&gt;"",VLOOKUP(U215,'Tipo Projeto'!$A$3:$B$35,2,0),0)</f>
        <v>0</v>
      </c>
      <c r="W215" s="47"/>
      <c r="X215" s="49"/>
      <c r="Y215" s="50"/>
      <c r="Z215" s="51"/>
      <c r="AA215" s="52"/>
      <c r="AB215" s="53" t="str">
        <f t="shared" si="45"/>
        <v/>
      </c>
      <c r="AC215" s="48" t="str">
        <f t="shared" si="46"/>
        <v/>
      </c>
      <c r="AD215" s="54" t="str">
        <f t="shared" si="47"/>
        <v/>
      </c>
      <c r="AE215" s="55">
        <f t="shared" si="48"/>
        <v>0</v>
      </c>
      <c r="AF215" s="55">
        <f t="shared" si="49"/>
        <v>0</v>
      </c>
      <c r="AG215" s="58">
        <f t="shared" si="50"/>
        <v>0</v>
      </c>
      <c r="AH215" s="47"/>
      <c r="AJ215" s="47"/>
      <c r="AL215" s="47"/>
      <c r="AM215" s="47" t="str">
        <f t="shared" si="51"/>
        <v/>
      </c>
    </row>
    <row r="216" spans="1:39" s="56" customFormat="1" ht="24.75" customHeight="1">
      <c r="A216" s="44"/>
      <c r="B216" s="45"/>
      <c r="C216" s="46">
        <f>IF(B216&lt;&gt;"",VLOOKUP(B216,'Tipo Projeto'!$A$3:$B$35,2,0),0)</f>
        <v>0</v>
      </c>
      <c r="D216" s="47"/>
      <c r="E216" s="47"/>
      <c r="F216" s="48"/>
      <c r="G216" s="47"/>
      <c r="H216" s="49"/>
      <c r="I216" s="50"/>
      <c r="J216" s="51"/>
      <c r="K216" s="52"/>
      <c r="L216" s="53" t="str">
        <f t="shared" si="39"/>
        <v/>
      </c>
      <c r="M216" s="48" t="str">
        <f t="shared" si="40"/>
        <v/>
      </c>
      <c r="N216" s="54" t="str">
        <f t="shared" si="41"/>
        <v/>
      </c>
      <c r="O216" s="55">
        <f t="shared" si="42"/>
        <v>0</v>
      </c>
      <c r="P216" s="55">
        <f t="shared" si="43"/>
        <v>0</v>
      </c>
      <c r="Q216" s="54">
        <f t="shared" si="44"/>
        <v>0</v>
      </c>
      <c r="R216" s="47"/>
      <c r="T216" s="57"/>
      <c r="U216" s="45"/>
      <c r="V216" s="46">
        <f>IF(U216&lt;&gt;"",VLOOKUP(U216,'Tipo Projeto'!$A$3:$B$35,2,0),0)</f>
        <v>0</v>
      </c>
      <c r="W216" s="47"/>
      <c r="X216" s="49"/>
      <c r="Y216" s="50"/>
      <c r="Z216" s="51"/>
      <c r="AA216" s="52"/>
      <c r="AB216" s="53" t="str">
        <f t="shared" si="45"/>
        <v/>
      </c>
      <c r="AC216" s="48" t="str">
        <f t="shared" si="46"/>
        <v/>
      </c>
      <c r="AD216" s="54" t="str">
        <f t="shared" si="47"/>
        <v/>
      </c>
      <c r="AE216" s="55">
        <f t="shared" si="48"/>
        <v>0</v>
      </c>
      <c r="AF216" s="55">
        <f t="shared" si="49"/>
        <v>0</v>
      </c>
      <c r="AG216" s="58">
        <f t="shared" si="50"/>
        <v>0</v>
      </c>
      <c r="AH216" s="47"/>
      <c r="AJ216" s="47"/>
      <c r="AL216" s="47"/>
      <c r="AM216" s="47" t="str">
        <f t="shared" si="51"/>
        <v/>
      </c>
    </row>
    <row r="217" spans="1:39" s="56" customFormat="1" ht="24.75" customHeight="1">
      <c r="A217" s="44"/>
      <c r="B217" s="45"/>
      <c r="C217" s="46">
        <f>IF(B217&lt;&gt;"",VLOOKUP(B217,'Tipo Projeto'!$A$3:$B$35,2,0),0)</f>
        <v>0</v>
      </c>
      <c r="D217" s="47"/>
      <c r="E217" s="47"/>
      <c r="F217" s="48"/>
      <c r="G217" s="47"/>
      <c r="H217" s="49"/>
      <c r="I217" s="50"/>
      <c r="J217" s="51"/>
      <c r="K217" s="52"/>
      <c r="L217" s="53" t="str">
        <f t="shared" si="39"/>
        <v/>
      </c>
      <c r="M217" s="48" t="str">
        <f t="shared" si="40"/>
        <v/>
      </c>
      <c r="N217" s="54" t="str">
        <f t="shared" si="41"/>
        <v/>
      </c>
      <c r="O217" s="55">
        <f t="shared" si="42"/>
        <v>0</v>
      </c>
      <c r="P217" s="55">
        <f t="shared" si="43"/>
        <v>0</v>
      </c>
      <c r="Q217" s="54">
        <f t="shared" si="44"/>
        <v>0</v>
      </c>
      <c r="R217" s="47"/>
      <c r="T217" s="57"/>
      <c r="U217" s="45"/>
      <c r="V217" s="46">
        <f>IF(U217&lt;&gt;"",VLOOKUP(U217,'Tipo Projeto'!$A$3:$B$35,2,0),0)</f>
        <v>0</v>
      </c>
      <c r="W217" s="47"/>
      <c r="X217" s="49"/>
      <c r="Y217" s="50"/>
      <c r="Z217" s="51"/>
      <c r="AA217" s="52"/>
      <c r="AB217" s="53" t="str">
        <f t="shared" si="45"/>
        <v/>
      </c>
      <c r="AC217" s="48" t="str">
        <f t="shared" si="46"/>
        <v/>
      </c>
      <c r="AD217" s="54" t="str">
        <f t="shared" si="47"/>
        <v/>
      </c>
      <c r="AE217" s="55">
        <f t="shared" si="48"/>
        <v>0</v>
      </c>
      <c r="AF217" s="55">
        <f t="shared" si="49"/>
        <v>0</v>
      </c>
      <c r="AG217" s="58">
        <f t="shared" si="50"/>
        <v>0</v>
      </c>
      <c r="AH217" s="47"/>
      <c r="AJ217" s="47"/>
      <c r="AL217" s="47"/>
      <c r="AM217" s="47" t="str">
        <f t="shared" si="51"/>
        <v/>
      </c>
    </row>
    <row r="218" spans="1:39" s="56" customFormat="1" ht="24.75" customHeight="1">
      <c r="A218" s="44"/>
      <c r="B218" s="45"/>
      <c r="C218" s="46">
        <f>IF(B218&lt;&gt;"",VLOOKUP(B218,'Tipo Projeto'!$A$3:$B$35,2,0),0)</f>
        <v>0</v>
      </c>
      <c r="D218" s="47"/>
      <c r="E218" s="47"/>
      <c r="F218" s="48"/>
      <c r="G218" s="47"/>
      <c r="H218" s="49"/>
      <c r="I218" s="50"/>
      <c r="J218" s="51"/>
      <c r="K218" s="52"/>
      <c r="L218" s="53" t="str">
        <f t="shared" si="39"/>
        <v/>
      </c>
      <c r="M218" s="48" t="str">
        <f t="shared" si="40"/>
        <v/>
      </c>
      <c r="N218" s="54" t="str">
        <f t="shared" si="41"/>
        <v/>
      </c>
      <c r="O218" s="55">
        <f t="shared" si="42"/>
        <v>0</v>
      </c>
      <c r="P218" s="55">
        <f t="shared" si="43"/>
        <v>0</v>
      </c>
      <c r="Q218" s="54">
        <f t="shared" si="44"/>
        <v>0</v>
      </c>
      <c r="R218" s="47"/>
      <c r="T218" s="57"/>
      <c r="U218" s="45"/>
      <c r="V218" s="46">
        <f>IF(U218&lt;&gt;"",VLOOKUP(U218,'Tipo Projeto'!$A$3:$B$35,2,0),0)</f>
        <v>0</v>
      </c>
      <c r="W218" s="47"/>
      <c r="X218" s="49"/>
      <c r="Y218" s="50"/>
      <c r="Z218" s="51"/>
      <c r="AA218" s="52"/>
      <c r="AB218" s="53" t="str">
        <f t="shared" si="45"/>
        <v/>
      </c>
      <c r="AC218" s="48" t="str">
        <f t="shared" si="46"/>
        <v/>
      </c>
      <c r="AD218" s="54" t="str">
        <f t="shared" si="47"/>
        <v/>
      </c>
      <c r="AE218" s="55">
        <f t="shared" si="48"/>
        <v>0</v>
      </c>
      <c r="AF218" s="55">
        <f t="shared" si="49"/>
        <v>0</v>
      </c>
      <c r="AG218" s="58">
        <f t="shared" si="50"/>
        <v>0</v>
      </c>
      <c r="AH218" s="47"/>
      <c r="AJ218" s="47"/>
      <c r="AL218" s="47"/>
      <c r="AM218" s="47" t="str">
        <f t="shared" si="51"/>
        <v/>
      </c>
    </row>
    <row r="219" spans="1:39" s="56" customFormat="1" ht="24.75" customHeight="1">
      <c r="A219" s="44"/>
      <c r="B219" s="45"/>
      <c r="C219" s="46">
        <f>IF(B219&lt;&gt;"",VLOOKUP(B219,'Tipo Projeto'!$A$3:$B$35,2,0),0)</f>
        <v>0</v>
      </c>
      <c r="D219" s="47"/>
      <c r="E219" s="47"/>
      <c r="F219" s="48"/>
      <c r="G219" s="47"/>
      <c r="H219" s="49"/>
      <c r="I219" s="50"/>
      <c r="J219" s="51"/>
      <c r="K219" s="52"/>
      <c r="L219" s="53" t="str">
        <f t="shared" si="39"/>
        <v/>
      </c>
      <c r="M219" s="48" t="str">
        <f t="shared" si="40"/>
        <v/>
      </c>
      <c r="N219" s="54" t="str">
        <f t="shared" si="41"/>
        <v/>
      </c>
      <c r="O219" s="55">
        <f t="shared" si="42"/>
        <v>0</v>
      </c>
      <c r="P219" s="55">
        <f t="shared" si="43"/>
        <v>0</v>
      </c>
      <c r="Q219" s="54">
        <f t="shared" si="44"/>
        <v>0</v>
      </c>
      <c r="R219" s="47"/>
      <c r="T219" s="57"/>
      <c r="U219" s="45"/>
      <c r="V219" s="46">
        <f>IF(U219&lt;&gt;"",VLOOKUP(U219,'Tipo Projeto'!$A$3:$B$35,2,0),0)</f>
        <v>0</v>
      </c>
      <c r="W219" s="47"/>
      <c r="X219" s="49"/>
      <c r="Y219" s="50"/>
      <c r="Z219" s="51"/>
      <c r="AA219" s="52"/>
      <c r="AB219" s="53" t="str">
        <f t="shared" si="45"/>
        <v/>
      </c>
      <c r="AC219" s="48" t="str">
        <f t="shared" si="46"/>
        <v/>
      </c>
      <c r="AD219" s="54" t="str">
        <f t="shared" si="47"/>
        <v/>
      </c>
      <c r="AE219" s="55">
        <f t="shared" si="48"/>
        <v>0</v>
      </c>
      <c r="AF219" s="55">
        <f t="shared" si="49"/>
        <v>0</v>
      </c>
      <c r="AG219" s="58">
        <f t="shared" si="50"/>
        <v>0</v>
      </c>
      <c r="AH219" s="47"/>
      <c r="AJ219" s="47"/>
      <c r="AL219" s="47"/>
      <c r="AM219" s="47" t="str">
        <f t="shared" si="51"/>
        <v/>
      </c>
    </row>
    <row r="220" spans="1:39" s="56" customFormat="1" ht="24.75" customHeight="1">
      <c r="A220" s="44"/>
      <c r="B220" s="45"/>
      <c r="C220" s="46">
        <f>IF(B220&lt;&gt;"",VLOOKUP(B220,'Tipo Projeto'!$A$3:$B$35,2,0),0)</f>
        <v>0</v>
      </c>
      <c r="D220" s="47"/>
      <c r="E220" s="47"/>
      <c r="F220" s="48"/>
      <c r="G220" s="47"/>
      <c r="H220" s="49"/>
      <c r="I220" s="50"/>
      <c r="J220" s="51"/>
      <c r="K220" s="52"/>
      <c r="L220" s="53" t="str">
        <f t="shared" si="39"/>
        <v/>
      </c>
      <c r="M220" s="48" t="str">
        <f t="shared" si="40"/>
        <v/>
      </c>
      <c r="N220" s="54" t="str">
        <f t="shared" si="41"/>
        <v/>
      </c>
      <c r="O220" s="55">
        <f t="shared" si="42"/>
        <v>0</v>
      </c>
      <c r="P220" s="55">
        <f t="shared" si="43"/>
        <v>0</v>
      </c>
      <c r="Q220" s="54">
        <f t="shared" si="44"/>
        <v>0</v>
      </c>
      <c r="R220" s="47"/>
      <c r="T220" s="57"/>
      <c r="U220" s="45"/>
      <c r="V220" s="46">
        <f>IF(U220&lt;&gt;"",VLOOKUP(U220,'Tipo Projeto'!$A$3:$B$35,2,0),0)</f>
        <v>0</v>
      </c>
      <c r="W220" s="47"/>
      <c r="X220" s="49"/>
      <c r="Y220" s="50"/>
      <c r="Z220" s="51"/>
      <c r="AA220" s="52"/>
      <c r="AB220" s="53" t="str">
        <f t="shared" si="45"/>
        <v/>
      </c>
      <c r="AC220" s="48" t="str">
        <f t="shared" si="46"/>
        <v/>
      </c>
      <c r="AD220" s="54" t="str">
        <f t="shared" si="47"/>
        <v/>
      </c>
      <c r="AE220" s="55">
        <f t="shared" si="48"/>
        <v>0</v>
      </c>
      <c r="AF220" s="55">
        <f t="shared" si="49"/>
        <v>0</v>
      </c>
      <c r="AG220" s="58">
        <f t="shared" si="50"/>
        <v>0</v>
      </c>
      <c r="AH220" s="47"/>
      <c r="AJ220" s="47"/>
      <c r="AL220" s="47"/>
      <c r="AM220" s="47" t="str">
        <f t="shared" si="51"/>
        <v/>
      </c>
    </row>
    <row r="221" spans="1:39" s="56" customFormat="1" ht="24.75" customHeight="1">
      <c r="A221" s="44"/>
      <c r="B221" s="45"/>
      <c r="C221" s="46">
        <f>IF(B221&lt;&gt;"",VLOOKUP(B221,'Tipo Projeto'!$A$3:$B$35,2,0),0)</f>
        <v>0</v>
      </c>
      <c r="D221" s="47"/>
      <c r="E221" s="47"/>
      <c r="F221" s="48"/>
      <c r="G221" s="47"/>
      <c r="H221" s="49"/>
      <c r="I221" s="50"/>
      <c r="J221" s="51"/>
      <c r="K221" s="52"/>
      <c r="L221" s="53" t="str">
        <f t="shared" si="39"/>
        <v/>
      </c>
      <c r="M221" s="48" t="str">
        <f t="shared" si="40"/>
        <v/>
      </c>
      <c r="N221" s="54" t="str">
        <f t="shared" si="41"/>
        <v/>
      </c>
      <c r="O221" s="55">
        <f t="shared" si="42"/>
        <v>0</v>
      </c>
      <c r="P221" s="55">
        <f t="shared" si="43"/>
        <v>0</v>
      </c>
      <c r="Q221" s="54">
        <f t="shared" si="44"/>
        <v>0</v>
      </c>
      <c r="R221" s="47"/>
      <c r="T221" s="57"/>
      <c r="U221" s="45"/>
      <c r="V221" s="46">
        <f>IF(U221&lt;&gt;"",VLOOKUP(U221,'Tipo Projeto'!$A$3:$B$35,2,0),0)</f>
        <v>0</v>
      </c>
      <c r="W221" s="47"/>
      <c r="X221" s="49"/>
      <c r="Y221" s="50"/>
      <c r="Z221" s="51"/>
      <c r="AA221" s="52"/>
      <c r="AB221" s="53" t="str">
        <f t="shared" si="45"/>
        <v/>
      </c>
      <c r="AC221" s="48" t="str">
        <f t="shared" si="46"/>
        <v/>
      </c>
      <c r="AD221" s="54" t="str">
        <f t="shared" si="47"/>
        <v/>
      </c>
      <c r="AE221" s="55">
        <f t="shared" si="48"/>
        <v>0</v>
      </c>
      <c r="AF221" s="55">
        <f t="shared" si="49"/>
        <v>0</v>
      </c>
      <c r="AG221" s="58">
        <f t="shared" si="50"/>
        <v>0</v>
      </c>
      <c r="AH221" s="47"/>
      <c r="AJ221" s="47"/>
      <c r="AL221" s="47"/>
      <c r="AM221" s="47" t="str">
        <f t="shared" si="51"/>
        <v/>
      </c>
    </row>
    <row r="222" spans="1:39" s="56" customFormat="1" ht="24.75" customHeight="1">
      <c r="A222" s="44"/>
      <c r="B222" s="45"/>
      <c r="C222" s="46">
        <f>IF(B222&lt;&gt;"",VLOOKUP(B222,'Tipo Projeto'!$A$3:$B$35,2,0),0)</f>
        <v>0</v>
      </c>
      <c r="D222" s="47"/>
      <c r="E222" s="47"/>
      <c r="F222" s="48"/>
      <c r="G222" s="47"/>
      <c r="H222" s="49"/>
      <c r="I222" s="50"/>
      <c r="J222" s="51"/>
      <c r="K222" s="52"/>
      <c r="L222" s="53" t="str">
        <f t="shared" si="39"/>
        <v/>
      </c>
      <c r="M222" s="48" t="str">
        <f t="shared" si="40"/>
        <v/>
      </c>
      <c r="N222" s="54" t="str">
        <f t="shared" si="41"/>
        <v/>
      </c>
      <c r="O222" s="55">
        <f t="shared" si="42"/>
        <v>0</v>
      </c>
      <c r="P222" s="55">
        <f t="shared" si="43"/>
        <v>0</v>
      </c>
      <c r="Q222" s="54">
        <f t="shared" si="44"/>
        <v>0</v>
      </c>
      <c r="R222" s="47"/>
      <c r="T222" s="57"/>
      <c r="U222" s="45"/>
      <c r="V222" s="46">
        <f>IF(U222&lt;&gt;"",VLOOKUP(U222,'Tipo Projeto'!$A$3:$B$35,2,0),0)</f>
        <v>0</v>
      </c>
      <c r="W222" s="47"/>
      <c r="X222" s="49"/>
      <c r="Y222" s="50"/>
      <c r="Z222" s="51"/>
      <c r="AA222" s="52"/>
      <c r="AB222" s="53" t="str">
        <f t="shared" si="45"/>
        <v/>
      </c>
      <c r="AC222" s="48" t="str">
        <f t="shared" si="46"/>
        <v/>
      </c>
      <c r="AD222" s="54" t="str">
        <f t="shared" si="47"/>
        <v/>
      </c>
      <c r="AE222" s="55">
        <f t="shared" si="48"/>
        <v>0</v>
      </c>
      <c r="AF222" s="55">
        <f t="shared" si="49"/>
        <v>0</v>
      </c>
      <c r="AG222" s="58">
        <f t="shared" si="50"/>
        <v>0</v>
      </c>
      <c r="AH222" s="47"/>
      <c r="AJ222" s="47"/>
      <c r="AL222" s="47"/>
      <c r="AM222" s="47" t="str">
        <f t="shared" si="51"/>
        <v/>
      </c>
    </row>
    <row r="223" spans="1:39" s="56" customFormat="1" ht="24.75" customHeight="1">
      <c r="A223" s="44"/>
      <c r="B223" s="45"/>
      <c r="C223" s="46">
        <f>IF(B223&lt;&gt;"",VLOOKUP(B223,'Tipo Projeto'!$A$3:$B$35,2,0),0)</f>
        <v>0</v>
      </c>
      <c r="D223" s="47"/>
      <c r="E223" s="47"/>
      <c r="F223" s="48"/>
      <c r="G223" s="47"/>
      <c r="H223" s="49"/>
      <c r="I223" s="50"/>
      <c r="J223" s="51"/>
      <c r="K223" s="52"/>
      <c r="L223" s="53" t="str">
        <f t="shared" si="39"/>
        <v/>
      </c>
      <c r="M223" s="48" t="str">
        <f t="shared" si="40"/>
        <v/>
      </c>
      <c r="N223" s="54" t="str">
        <f t="shared" si="41"/>
        <v/>
      </c>
      <c r="O223" s="55">
        <f t="shared" si="42"/>
        <v>0</v>
      </c>
      <c r="P223" s="55">
        <f t="shared" si="43"/>
        <v>0</v>
      </c>
      <c r="Q223" s="54">
        <f t="shared" si="44"/>
        <v>0</v>
      </c>
      <c r="R223" s="47"/>
      <c r="T223" s="57"/>
      <c r="U223" s="45"/>
      <c r="V223" s="46">
        <f>IF(U223&lt;&gt;"",VLOOKUP(U223,'Tipo Projeto'!$A$3:$B$35,2,0),0)</f>
        <v>0</v>
      </c>
      <c r="W223" s="47"/>
      <c r="X223" s="49"/>
      <c r="Y223" s="50"/>
      <c r="Z223" s="51"/>
      <c r="AA223" s="52"/>
      <c r="AB223" s="53" t="str">
        <f t="shared" si="45"/>
        <v/>
      </c>
      <c r="AC223" s="48" t="str">
        <f t="shared" si="46"/>
        <v/>
      </c>
      <c r="AD223" s="54" t="str">
        <f t="shared" si="47"/>
        <v/>
      </c>
      <c r="AE223" s="55">
        <f t="shared" si="48"/>
        <v>0</v>
      </c>
      <c r="AF223" s="55">
        <f t="shared" si="49"/>
        <v>0</v>
      </c>
      <c r="AG223" s="58">
        <f t="shared" si="50"/>
        <v>0</v>
      </c>
      <c r="AH223" s="47"/>
      <c r="AJ223" s="47"/>
      <c r="AL223" s="47"/>
      <c r="AM223" s="47" t="str">
        <f t="shared" si="51"/>
        <v/>
      </c>
    </row>
    <row r="224" spans="1:39" s="56" customFormat="1" ht="24.75" customHeight="1">
      <c r="A224" s="44"/>
      <c r="B224" s="45"/>
      <c r="C224" s="46">
        <f>IF(B224&lt;&gt;"",VLOOKUP(B224,'Tipo Projeto'!$A$3:$B$35,2,0),0)</f>
        <v>0</v>
      </c>
      <c r="D224" s="47"/>
      <c r="E224" s="47"/>
      <c r="F224" s="48"/>
      <c r="G224" s="47"/>
      <c r="H224" s="49"/>
      <c r="I224" s="50"/>
      <c r="J224" s="51"/>
      <c r="K224" s="52"/>
      <c r="L224" s="53" t="str">
        <f t="shared" si="39"/>
        <v/>
      </c>
      <c r="M224" s="48" t="str">
        <f t="shared" si="40"/>
        <v/>
      </c>
      <c r="N224" s="54" t="str">
        <f t="shared" si="41"/>
        <v/>
      </c>
      <c r="O224" s="55">
        <f t="shared" si="42"/>
        <v>0</v>
      </c>
      <c r="P224" s="55">
        <f t="shared" si="43"/>
        <v>0</v>
      </c>
      <c r="Q224" s="54">
        <f t="shared" si="44"/>
        <v>0</v>
      </c>
      <c r="R224" s="47"/>
      <c r="T224" s="57"/>
      <c r="U224" s="45"/>
      <c r="V224" s="46">
        <f>IF(U224&lt;&gt;"",VLOOKUP(U224,'Tipo Projeto'!$A$3:$B$35,2,0),0)</f>
        <v>0</v>
      </c>
      <c r="W224" s="47"/>
      <c r="X224" s="49"/>
      <c r="Y224" s="50"/>
      <c r="Z224" s="51"/>
      <c r="AA224" s="52"/>
      <c r="AB224" s="53" t="str">
        <f t="shared" si="45"/>
        <v/>
      </c>
      <c r="AC224" s="48" t="str">
        <f t="shared" si="46"/>
        <v/>
      </c>
      <c r="AD224" s="54" t="str">
        <f t="shared" si="47"/>
        <v/>
      </c>
      <c r="AE224" s="55">
        <f t="shared" si="48"/>
        <v>0</v>
      </c>
      <c r="AF224" s="55">
        <f t="shared" si="49"/>
        <v>0</v>
      </c>
      <c r="AG224" s="58">
        <f t="shared" si="50"/>
        <v>0</v>
      </c>
      <c r="AH224" s="47"/>
      <c r="AJ224" s="47"/>
      <c r="AL224" s="47"/>
      <c r="AM224" s="47" t="str">
        <f t="shared" si="51"/>
        <v/>
      </c>
    </row>
    <row r="225" spans="1:39" s="56" customFormat="1" ht="24.75" customHeight="1">
      <c r="A225" s="44"/>
      <c r="B225" s="45"/>
      <c r="C225" s="46">
        <f>IF(B225&lt;&gt;"",VLOOKUP(B225,'Tipo Projeto'!$A$3:$B$35,2,0),0)</f>
        <v>0</v>
      </c>
      <c r="D225" s="47"/>
      <c r="E225" s="47"/>
      <c r="F225" s="48"/>
      <c r="G225" s="47"/>
      <c r="H225" s="49"/>
      <c r="I225" s="50"/>
      <c r="J225" s="51"/>
      <c r="K225" s="52"/>
      <c r="L225" s="53" t="str">
        <f t="shared" si="39"/>
        <v/>
      </c>
      <c r="M225" s="48" t="str">
        <f t="shared" si="40"/>
        <v/>
      </c>
      <c r="N225" s="54" t="str">
        <f t="shared" si="41"/>
        <v/>
      </c>
      <c r="O225" s="55">
        <f t="shared" si="42"/>
        <v>0</v>
      </c>
      <c r="P225" s="55">
        <f t="shared" si="43"/>
        <v>0</v>
      </c>
      <c r="Q225" s="54">
        <f t="shared" si="44"/>
        <v>0</v>
      </c>
      <c r="R225" s="47"/>
      <c r="T225" s="57"/>
      <c r="U225" s="45"/>
      <c r="V225" s="46">
        <f>IF(U225&lt;&gt;"",VLOOKUP(U225,'Tipo Projeto'!$A$3:$B$35,2,0),0)</f>
        <v>0</v>
      </c>
      <c r="W225" s="47"/>
      <c r="X225" s="49"/>
      <c r="Y225" s="50"/>
      <c r="Z225" s="51"/>
      <c r="AA225" s="52"/>
      <c r="AB225" s="53" t="str">
        <f t="shared" si="45"/>
        <v/>
      </c>
      <c r="AC225" s="48" t="str">
        <f t="shared" si="46"/>
        <v/>
      </c>
      <c r="AD225" s="54" t="str">
        <f t="shared" si="47"/>
        <v/>
      </c>
      <c r="AE225" s="55">
        <f t="shared" si="48"/>
        <v>0</v>
      </c>
      <c r="AF225" s="55">
        <f t="shared" si="49"/>
        <v>0</v>
      </c>
      <c r="AG225" s="58">
        <f t="shared" si="50"/>
        <v>0</v>
      </c>
      <c r="AH225" s="47"/>
      <c r="AJ225" s="47"/>
      <c r="AL225" s="47"/>
      <c r="AM225" s="47" t="str">
        <f t="shared" si="51"/>
        <v/>
      </c>
    </row>
    <row r="226" spans="1:39" s="56" customFormat="1" ht="24.75" customHeight="1">
      <c r="A226" s="44"/>
      <c r="B226" s="45"/>
      <c r="C226" s="46">
        <f>IF(B226&lt;&gt;"",VLOOKUP(B226,'Tipo Projeto'!$A$3:$B$35,2,0),0)</f>
        <v>0</v>
      </c>
      <c r="D226" s="47"/>
      <c r="E226" s="47"/>
      <c r="F226" s="48"/>
      <c r="G226" s="47"/>
      <c r="H226" s="49"/>
      <c r="I226" s="50"/>
      <c r="J226" s="51"/>
      <c r="K226" s="52"/>
      <c r="L226" s="53" t="str">
        <f t="shared" si="39"/>
        <v/>
      </c>
      <c r="M226" s="48" t="str">
        <f t="shared" si="40"/>
        <v/>
      </c>
      <c r="N226" s="54" t="str">
        <f t="shared" si="41"/>
        <v/>
      </c>
      <c r="O226" s="55">
        <f t="shared" si="42"/>
        <v>0</v>
      </c>
      <c r="P226" s="55">
        <f t="shared" si="43"/>
        <v>0</v>
      </c>
      <c r="Q226" s="54">
        <f t="shared" si="44"/>
        <v>0</v>
      </c>
      <c r="R226" s="47"/>
      <c r="T226" s="57"/>
      <c r="U226" s="45"/>
      <c r="V226" s="46">
        <f>IF(U226&lt;&gt;"",VLOOKUP(U226,'Tipo Projeto'!$A$3:$B$35,2,0),0)</f>
        <v>0</v>
      </c>
      <c r="W226" s="47"/>
      <c r="X226" s="49"/>
      <c r="Y226" s="50"/>
      <c r="Z226" s="51"/>
      <c r="AA226" s="52"/>
      <c r="AB226" s="53" t="str">
        <f t="shared" si="45"/>
        <v/>
      </c>
      <c r="AC226" s="48" t="str">
        <f t="shared" si="46"/>
        <v/>
      </c>
      <c r="AD226" s="54" t="str">
        <f t="shared" si="47"/>
        <v/>
      </c>
      <c r="AE226" s="55">
        <f t="shared" si="48"/>
        <v>0</v>
      </c>
      <c r="AF226" s="55">
        <f t="shared" si="49"/>
        <v>0</v>
      </c>
      <c r="AG226" s="58">
        <f t="shared" si="50"/>
        <v>0</v>
      </c>
      <c r="AH226" s="47"/>
      <c r="AJ226" s="47"/>
      <c r="AL226" s="47"/>
      <c r="AM226" s="47" t="str">
        <f t="shared" si="51"/>
        <v/>
      </c>
    </row>
    <row r="227" spans="1:39" s="56" customFormat="1" ht="24.75" customHeight="1">
      <c r="A227" s="44"/>
      <c r="B227" s="45"/>
      <c r="C227" s="46">
        <f>IF(B227&lt;&gt;"",VLOOKUP(B227,'Tipo Projeto'!$A$3:$B$35,2,0),0)</f>
        <v>0</v>
      </c>
      <c r="D227" s="47"/>
      <c r="E227" s="47"/>
      <c r="F227" s="48"/>
      <c r="G227" s="47"/>
      <c r="H227" s="49"/>
      <c r="I227" s="50"/>
      <c r="J227" s="51"/>
      <c r="K227" s="52"/>
      <c r="L227" s="53" t="str">
        <f t="shared" si="39"/>
        <v/>
      </c>
      <c r="M227" s="48" t="str">
        <f t="shared" si="40"/>
        <v/>
      </c>
      <c r="N227" s="54" t="str">
        <f t="shared" si="41"/>
        <v/>
      </c>
      <c r="O227" s="55">
        <f t="shared" si="42"/>
        <v>0</v>
      </c>
      <c r="P227" s="55">
        <f t="shared" si="43"/>
        <v>0</v>
      </c>
      <c r="Q227" s="54">
        <f t="shared" si="44"/>
        <v>0</v>
      </c>
      <c r="R227" s="47"/>
      <c r="T227" s="57"/>
      <c r="U227" s="45"/>
      <c r="V227" s="46">
        <f>IF(U227&lt;&gt;"",VLOOKUP(U227,'Tipo Projeto'!$A$3:$B$35,2,0),0)</f>
        <v>0</v>
      </c>
      <c r="W227" s="47"/>
      <c r="X227" s="49"/>
      <c r="Y227" s="50"/>
      <c r="Z227" s="51"/>
      <c r="AA227" s="52"/>
      <c r="AB227" s="53" t="str">
        <f t="shared" si="45"/>
        <v/>
      </c>
      <c r="AC227" s="48" t="str">
        <f t="shared" si="46"/>
        <v/>
      </c>
      <c r="AD227" s="54" t="str">
        <f t="shared" si="47"/>
        <v/>
      </c>
      <c r="AE227" s="55">
        <f t="shared" si="48"/>
        <v>0</v>
      </c>
      <c r="AF227" s="55">
        <f t="shared" si="49"/>
        <v>0</v>
      </c>
      <c r="AG227" s="58">
        <f t="shared" si="50"/>
        <v>0</v>
      </c>
      <c r="AH227" s="47"/>
      <c r="AJ227" s="47"/>
      <c r="AL227" s="47"/>
      <c r="AM227" s="47" t="str">
        <f t="shared" si="51"/>
        <v/>
      </c>
    </row>
    <row r="228" spans="1:39" s="56" customFormat="1" ht="24.75" customHeight="1">
      <c r="A228" s="44"/>
      <c r="B228" s="45"/>
      <c r="C228" s="46">
        <f>IF(B228&lt;&gt;"",VLOOKUP(B228,'Tipo Projeto'!$A$3:$B$35,2,0),0)</f>
        <v>0</v>
      </c>
      <c r="D228" s="47"/>
      <c r="E228" s="47"/>
      <c r="F228" s="48"/>
      <c r="G228" s="47"/>
      <c r="H228" s="49"/>
      <c r="I228" s="50"/>
      <c r="J228" s="51"/>
      <c r="K228" s="52"/>
      <c r="L228" s="53" t="str">
        <f t="shared" si="39"/>
        <v/>
      </c>
      <c r="M228" s="48" t="str">
        <f t="shared" si="40"/>
        <v/>
      </c>
      <c r="N228" s="54" t="str">
        <f t="shared" si="41"/>
        <v/>
      </c>
      <c r="O228" s="55">
        <f t="shared" si="42"/>
        <v>0</v>
      </c>
      <c r="P228" s="55">
        <f t="shared" si="43"/>
        <v>0</v>
      </c>
      <c r="Q228" s="54">
        <f t="shared" si="44"/>
        <v>0</v>
      </c>
      <c r="R228" s="47"/>
      <c r="T228" s="57"/>
      <c r="U228" s="45"/>
      <c r="V228" s="46">
        <f>IF(U228&lt;&gt;"",VLOOKUP(U228,'Tipo Projeto'!$A$3:$B$35,2,0),0)</f>
        <v>0</v>
      </c>
      <c r="W228" s="47"/>
      <c r="X228" s="49"/>
      <c r="Y228" s="50"/>
      <c r="Z228" s="51"/>
      <c r="AA228" s="52"/>
      <c r="AB228" s="53" t="str">
        <f t="shared" si="45"/>
        <v/>
      </c>
      <c r="AC228" s="48" t="str">
        <f t="shared" si="46"/>
        <v/>
      </c>
      <c r="AD228" s="54" t="str">
        <f t="shared" si="47"/>
        <v/>
      </c>
      <c r="AE228" s="55">
        <f t="shared" si="48"/>
        <v>0</v>
      </c>
      <c r="AF228" s="55">
        <f t="shared" si="49"/>
        <v>0</v>
      </c>
      <c r="AG228" s="58">
        <f t="shared" si="50"/>
        <v>0</v>
      </c>
      <c r="AH228" s="47"/>
      <c r="AJ228" s="47"/>
      <c r="AL228" s="47"/>
      <c r="AM228" s="47" t="str">
        <f t="shared" si="51"/>
        <v/>
      </c>
    </row>
    <row r="229" spans="1:39" s="56" customFormat="1" ht="24.75" customHeight="1">
      <c r="A229" s="44"/>
      <c r="B229" s="45"/>
      <c r="C229" s="46">
        <f>IF(B229&lt;&gt;"",VLOOKUP(B229,'Tipo Projeto'!$A$3:$B$35,2,0),0)</f>
        <v>0</v>
      </c>
      <c r="D229" s="47"/>
      <c r="E229" s="47"/>
      <c r="F229" s="48"/>
      <c r="G229" s="47"/>
      <c r="H229" s="49"/>
      <c r="I229" s="50"/>
      <c r="J229" s="51"/>
      <c r="K229" s="52"/>
      <c r="L229" s="53" t="str">
        <f t="shared" si="39"/>
        <v/>
      </c>
      <c r="M229" s="48" t="str">
        <f t="shared" si="40"/>
        <v/>
      </c>
      <c r="N229" s="54" t="str">
        <f t="shared" si="41"/>
        <v/>
      </c>
      <c r="O229" s="55">
        <f t="shared" si="42"/>
        <v>0</v>
      </c>
      <c r="P229" s="55">
        <f t="shared" si="43"/>
        <v>0</v>
      </c>
      <c r="Q229" s="54">
        <f t="shared" si="44"/>
        <v>0</v>
      </c>
      <c r="R229" s="47"/>
      <c r="T229" s="57"/>
      <c r="U229" s="45"/>
      <c r="V229" s="46">
        <f>IF(U229&lt;&gt;"",VLOOKUP(U229,'Tipo Projeto'!$A$3:$B$35,2,0),0)</f>
        <v>0</v>
      </c>
      <c r="W229" s="47"/>
      <c r="X229" s="49"/>
      <c r="Y229" s="50"/>
      <c r="Z229" s="51"/>
      <c r="AA229" s="52"/>
      <c r="AB229" s="53" t="str">
        <f t="shared" si="45"/>
        <v/>
      </c>
      <c r="AC229" s="48" t="str">
        <f t="shared" si="46"/>
        <v/>
      </c>
      <c r="AD229" s="54" t="str">
        <f t="shared" si="47"/>
        <v/>
      </c>
      <c r="AE229" s="55">
        <f t="shared" si="48"/>
        <v>0</v>
      </c>
      <c r="AF229" s="55">
        <f t="shared" si="49"/>
        <v>0</v>
      </c>
      <c r="AG229" s="58">
        <f t="shared" si="50"/>
        <v>0</v>
      </c>
      <c r="AH229" s="47"/>
      <c r="AJ229" s="47"/>
      <c r="AL229" s="47"/>
      <c r="AM229" s="47" t="str">
        <f t="shared" si="51"/>
        <v/>
      </c>
    </row>
    <row r="230" spans="1:39" s="56" customFormat="1" ht="24.75" customHeight="1">
      <c r="A230" s="44"/>
      <c r="B230" s="45"/>
      <c r="C230" s="46">
        <f>IF(B230&lt;&gt;"",VLOOKUP(B230,'Tipo Projeto'!$A$3:$B$35,2,0),0)</f>
        <v>0</v>
      </c>
      <c r="D230" s="47"/>
      <c r="E230" s="47"/>
      <c r="F230" s="48"/>
      <c r="G230" s="47"/>
      <c r="H230" s="49"/>
      <c r="I230" s="50"/>
      <c r="J230" s="51"/>
      <c r="K230" s="52"/>
      <c r="L230" s="53" t="str">
        <f t="shared" si="39"/>
        <v/>
      </c>
      <c r="M230" s="48" t="str">
        <f t="shared" si="40"/>
        <v/>
      </c>
      <c r="N230" s="54" t="str">
        <f t="shared" si="41"/>
        <v/>
      </c>
      <c r="O230" s="55">
        <f t="shared" si="42"/>
        <v>0</v>
      </c>
      <c r="P230" s="55">
        <f t="shared" si="43"/>
        <v>0</v>
      </c>
      <c r="Q230" s="54">
        <f t="shared" si="44"/>
        <v>0</v>
      </c>
      <c r="R230" s="47"/>
      <c r="T230" s="57"/>
      <c r="U230" s="45"/>
      <c r="V230" s="46">
        <f>IF(U230&lt;&gt;"",VLOOKUP(U230,'Tipo Projeto'!$A$3:$B$35,2,0),0)</f>
        <v>0</v>
      </c>
      <c r="W230" s="47"/>
      <c r="X230" s="49"/>
      <c r="Y230" s="50"/>
      <c r="Z230" s="51"/>
      <c r="AA230" s="52"/>
      <c r="AB230" s="53" t="str">
        <f t="shared" si="45"/>
        <v/>
      </c>
      <c r="AC230" s="48" t="str">
        <f t="shared" si="46"/>
        <v/>
      </c>
      <c r="AD230" s="54" t="str">
        <f t="shared" si="47"/>
        <v/>
      </c>
      <c r="AE230" s="55">
        <f t="shared" si="48"/>
        <v>0</v>
      </c>
      <c r="AF230" s="55">
        <f t="shared" si="49"/>
        <v>0</v>
      </c>
      <c r="AG230" s="58">
        <f t="shared" si="50"/>
        <v>0</v>
      </c>
      <c r="AH230" s="47"/>
      <c r="AJ230" s="47"/>
      <c r="AL230" s="47"/>
      <c r="AM230" s="47" t="str">
        <f t="shared" si="51"/>
        <v/>
      </c>
    </row>
    <row r="231" spans="1:39" s="56" customFormat="1" ht="24.75" customHeight="1">
      <c r="A231" s="44"/>
      <c r="B231" s="45"/>
      <c r="C231" s="46">
        <f>IF(B231&lt;&gt;"",VLOOKUP(B231,'Tipo Projeto'!$A$3:$B$35,2,0),0)</f>
        <v>0</v>
      </c>
      <c r="D231" s="47"/>
      <c r="E231" s="47"/>
      <c r="F231" s="48"/>
      <c r="G231" s="47"/>
      <c r="H231" s="49"/>
      <c r="I231" s="50"/>
      <c r="J231" s="51"/>
      <c r="K231" s="52"/>
      <c r="L231" s="53" t="str">
        <f t="shared" si="39"/>
        <v/>
      </c>
      <c r="M231" s="48" t="str">
        <f t="shared" si="40"/>
        <v/>
      </c>
      <c r="N231" s="54" t="str">
        <f t="shared" si="41"/>
        <v/>
      </c>
      <c r="O231" s="55">
        <f t="shared" si="42"/>
        <v>0</v>
      </c>
      <c r="P231" s="55">
        <f t="shared" si="43"/>
        <v>0</v>
      </c>
      <c r="Q231" s="54">
        <f t="shared" si="44"/>
        <v>0</v>
      </c>
      <c r="R231" s="47"/>
      <c r="T231" s="57"/>
      <c r="U231" s="45"/>
      <c r="V231" s="46">
        <f>IF(U231&lt;&gt;"",VLOOKUP(U231,'Tipo Projeto'!$A$3:$B$35,2,0),0)</f>
        <v>0</v>
      </c>
      <c r="W231" s="47"/>
      <c r="X231" s="49"/>
      <c r="Y231" s="50"/>
      <c r="Z231" s="51"/>
      <c r="AA231" s="52"/>
      <c r="AB231" s="53" t="str">
        <f t="shared" si="45"/>
        <v/>
      </c>
      <c r="AC231" s="48" t="str">
        <f t="shared" si="46"/>
        <v/>
      </c>
      <c r="AD231" s="54" t="str">
        <f t="shared" si="47"/>
        <v/>
      </c>
      <c r="AE231" s="55">
        <f t="shared" si="48"/>
        <v>0</v>
      </c>
      <c r="AF231" s="55">
        <f t="shared" si="49"/>
        <v>0</v>
      </c>
      <c r="AG231" s="58">
        <f t="shared" si="50"/>
        <v>0</v>
      </c>
      <c r="AH231" s="47"/>
      <c r="AJ231" s="47"/>
      <c r="AL231" s="47"/>
      <c r="AM231" s="47" t="str">
        <f t="shared" si="51"/>
        <v/>
      </c>
    </row>
    <row r="232" spans="1:39" s="56" customFormat="1" ht="24.75" customHeight="1">
      <c r="A232" s="44"/>
      <c r="B232" s="45"/>
      <c r="C232" s="46">
        <f>IF(B232&lt;&gt;"",VLOOKUP(B232,'Tipo Projeto'!$A$3:$B$35,2,0),0)</f>
        <v>0</v>
      </c>
      <c r="D232" s="47"/>
      <c r="E232" s="47"/>
      <c r="F232" s="48"/>
      <c r="G232" s="47"/>
      <c r="H232" s="49"/>
      <c r="I232" s="50"/>
      <c r="J232" s="51"/>
      <c r="K232" s="52"/>
      <c r="L232" s="53" t="str">
        <f t="shared" si="39"/>
        <v/>
      </c>
      <c r="M232" s="48" t="str">
        <f t="shared" si="40"/>
        <v/>
      </c>
      <c r="N232" s="54" t="str">
        <f t="shared" si="41"/>
        <v/>
      </c>
      <c r="O232" s="55">
        <f t="shared" si="42"/>
        <v>0</v>
      </c>
      <c r="P232" s="55">
        <f t="shared" si="43"/>
        <v>0</v>
      </c>
      <c r="Q232" s="54">
        <f t="shared" si="44"/>
        <v>0</v>
      </c>
      <c r="R232" s="47"/>
      <c r="T232" s="57"/>
      <c r="U232" s="45"/>
      <c r="V232" s="46">
        <f>IF(U232&lt;&gt;"",VLOOKUP(U232,'Tipo Projeto'!$A$3:$B$35,2,0),0)</f>
        <v>0</v>
      </c>
      <c r="W232" s="47"/>
      <c r="X232" s="49"/>
      <c r="Y232" s="50"/>
      <c r="Z232" s="51"/>
      <c r="AA232" s="52"/>
      <c r="AB232" s="53" t="str">
        <f t="shared" si="45"/>
        <v/>
      </c>
      <c r="AC232" s="48" t="str">
        <f t="shared" si="46"/>
        <v/>
      </c>
      <c r="AD232" s="54" t="str">
        <f t="shared" si="47"/>
        <v/>
      </c>
      <c r="AE232" s="55">
        <f t="shared" si="48"/>
        <v>0</v>
      </c>
      <c r="AF232" s="55">
        <f t="shared" si="49"/>
        <v>0</v>
      </c>
      <c r="AG232" s="58">
        <f t="shared" si="50"/>
        <v>0</v>
      </c>
      <c r="AH232" s="47"/>
      <c r="AJ232" s="47"/>
      <c r="AL232" s="47"/>
      <c r="AM232" s="47" t="str">
        <f t="shared" si="51"/>
        <v/>
      </c>
    </row>
    <row r="233" spans="1:39" s="56" customFormat="1" ht="24.75" customHeight="1">
      <c r="A233" s="44"/>
      <c r="B233" s="45"/>
      <c r="C233" s="46">
        <f>IF(B233&lt;&gt;"",VLOOKUP(B233,'Tipo Projeto'!$A$3:$B$35,2,0),0)</f>
        <v>0</v>
      </c>
      <c r="D233" s="47"/>
      <c r="E233" s="47"/>
      <c r="F233" s="48"/>
      <c r="G233" s="47"/>
      <c r="H233" s="49"/>
      <c r="I233" s="50"/>
      <c r="J233" s="51"/>
      <c r="K233" s="52"/>
      <c r="L233" s="53" t="str">
        <f t="shared" si="39"/>
        <v/>
      </c>
      <c r="M233" s="48" t="str">
        <f t="shared" si="40"/>
        <v/>
      </c>
      <c r="N233" s="54" t="str">
        <f t="shared" si="41"/>
        <v/>
      </c>
      <c r="O233" s="55">
        <f t="shared" si="42"/>
        <v>0</v>
      </c>
      <c r="P233" s="55">
        <f t="shared" si="43"/>
        <v>0</v>
      </c>
      <c r="Q233" s="54">
        <f t="shared" si="44"/>
        <v>0</v>
      </c>
      <c r="R233" s="47"/>
      <c r="T233" s="57"/>
      <c r="U233" s="45"/>
      <c r="V233" s="46">
        <f>IF(U233&lt;&gt;"",VLOOKUP(U233,'Tipo Projeto'!$A$3:$B$35,2,0),0)</f>
        <v>0</v>
      </c>
      <c r="W233" s="47"/>
      <c r="X233" s="49"/>
      <c r="Y233" s="50"/>
      <c r="Z233" s="51"/>
      <c r="AA233" s="52"/>
      <c r="AB233" s="53" t="str">
        <f t="shared" si="45"/>
        <v/>
      </c>
      <c r="AC233" s="48" t="str">
        <f t="shared" si="46"/>
        <v/>
      </c>
      <c r="AD233" s="54" t="str">
        <f t="shared" si="47"/>
        <v/>
      </c>
      <c r="AE233" s="55">
        <f t="shared" si="48"/>
        <v>0</v>
      </c>
      <c r="AF233" s="55">
        <f t="shared" si="49"/>
        <v>0</v>
      </c>
      <c r="AG233" s="58">
        <f t="shared" si="50"/>
        <v>0</v>
      </c>
      <c r="AH233" s="47"/>
      <c r="AJ233" s="47"/>
      <c r="AL233" s="47"/>
      <c r="AM233" s="47" t="str">
        <f t="shared" si="51"/>
        <v/>
      </c>
    </row>
    <row r="234" spans="1:39" s="56" customFormat="1" ht="24.75" customHeight="1">
      <c r="A234" s="44"/>
      <c r="B234" s="45"/>
      <c r="C234" s="46">
        <f>IF(B234&lt;&gt;"",VLOOKUP(B234,'Tipo Projeto'!$A$3:$B$35,2,0),0)</f>
        <v>0</v>
      </c>
      <c r="D234" s="47"/>
      <c r="E234" s="47"/>
      <c r="F234" s="48"/>
      <c r="G234" s="47"/>
      <c r="H234" s="49"/>
      <c r="I234" s="50"/>
      <c r="J234" s="51"/>
      <c r="K234" s="52"/>
      <c r="L234" s="53" t="str">
        <f t="shared" si="39"/>
        <v/>
      </c>
      <c r="M234" s="48" t="str">
        <f t="shared" si="40"/>
        <v/>
      </c>
      <c r="N234" s="54" t="str">
        <f t="shared" si="41"/>
        <v/>
      </c>
      <c r="O234" s="55">
        <f t="shared" si="42"/>
        <v>0</v>
      </c>
      <c r="P234" s="55">
        <f t="shared" si="43"/>
        <v>0</v>
      </c>
      <c r="Q234" s="54">
        <f t="shared" si="44"/>
        <v>0</v>
      </c>
      <c r="R234" s="47"/>
      <c r="T234" s="57"/>
      <c r="U234" s="45"/>
      <c r="V234" s="46">
        <f>IF(U234&lt;&gt;"",VLOOKUP(U234,'Tipo Projeto'!$A$3:$B$35,2,0),0)</f>
        <v>0</v>
      </c>
      <c r="W234" s="47"/>
      <c r="X234" s="49"/>
      <c r="Y234" s="50"/>
      <c r="Z234" s="51"/>
      <c r="AA234" s="52"/>
      <c r="AB234" s="53" t="str">
        <f t="shared" si="45"/>
        <v/>
      </c>
      <c r="AC234" s="48" t="str">
        <f t="shared" si="46"/>
        <v/>
      </c>
      <c r="AD234" s="54" t="str">
        <f t="shared" si="47"/>
        <v/>
      </c>
      <c r="AE234" s="55">
        <f t="shared" si="48"/>
        <v>0</v>
      </c>
      <c r="AF234" s="55">
        <f t="shared" si="49"/>
        <v>0</v>
      </c>
      <c r="AG234" s="58">
        <f t="shared" si="50"/>
        <v>0</v>
      </c>
      <c r="AH234" s="47"/>
      <c r="AJ234" s="47"/>
      <c r="AL234" s="47"/>
      <c r="AM234" s="47" t="str">
        <f t="shared" si="51"/>
        <v/>
      </c>
    </row>
    <row r="235" spans="1:39" s="56" customFormat="1" ht="24.75" customHeight="1">
      <c r="A235" s="44"/>
      <c r="B235" s="45"/>
      <c r="C235" s="46">
        <f>IF(B235&lt;&gt;"",VLOOKUP(B235,'Tipo Projeto'!$A$3:$B$35,2,0),0)</f>
        <v>0</v>
      </c>
      <c r="D235" s="47"/>
      <c r="E235" s="47"/>
      <c r="F235" s="48"/>
      <c r="G235" s="47"/>
      <c r="H235" s="49"/>
      <c r="I235" s="50"/>
      <c r="J235" s="51"/>
      <c r="K235" s="52"/>
      <c r="L235" s="53" t="str">
        <f t="shared" si="39"/>
        <v/>
      </c>
      <c r="M235" s="48" t="str">
        <f t="shared" si="40"/>
        <v/>
      </c>
      <c r="N235" s="54" t="str">
        <f t="shared" si="41"/>
        <v/>
      </c>
      <c r="O235" s="55">
        <f t="shared" si="42"/>
        <v>0</v>
      </c>
      <c r="P235" s="55">
        <f t="shared" si="43"/>
        <v>0</v>
      </c>
      <c r="Q235" s="54">
        <f t="shared" si="44"/>
        <v>0</v>
      </c>
      <c r="R235" s="47"/>
      <c r="T235" s="57"/>
      <c r="U235" s="45"/>
      <c r="V235" s="46">
        <f>IF(U235&lt;&gt;"",VLOOKUP(U235,'Tipo Projeto'!$A$3:$B$35,2,0),0)</f>
        <v>0</v>
      </c>
      <c r="W235" s="47"/>
      <c r="X235" s="49"/>
      <c r="Y235" s="50"/>
      <c r="Z235" s="51"/>
      <c r="AA235" s="52"/>
      <c r="AB235" s="53" t="str">
        <f t="shared" si="45"/>
        <v/>
      </c>
      <c r="AC235" s="48" t="str">
        <f t="shared" si="46"/>
        <v/>
      </c>
      <c r="AD235" s="54" t="str">
        <f t="shared" si="47"/>
        <v/>
      </c>
      <c r="AE235" s="55">
        <f t="shared" si="48"/>
        <v>0</v>
      </c>
      <c r="AF235" s="55">
        <f t="shared" si="49"/>
        <v>0</v>
      </c>
      <c r="AG235" s="58">
        <f t="shared" si="50"/>
        <v>0</v>
      </c>
      <c r="AH235" s="47"/>
      <c r="AJ235" s="47"/>
      <c r="AL235" s="47"/>
      <c r="AM235" s="47" t="str">
        <f t="shared" si="51"/>
        <v/>
      </c>
    </row>
    <row r="236" spans="1:39" s="56" customFormat="1" ht="24.75" customHeight="1">
      <c r="A236" s="44"/>
      <c r="B236" s="45"/>
      <c r="C236" s="46">
        <f>IF(B236&lt;&gt;"",VLOOKUP(B236,'Tipo Projeto'!$A$3:$B$35,2,0),0)</f>
        <v>0</v>
      </c>
      <c r="D236" s="47"/>
      <c r="E236" s="47"/>
      <c r="F236" s="48"/>
      <c r="G236" s="47"/>
      <c r="H236" s="49"/>
      <c r="I236" s="50"/>
      <c r="J236" s="51"/>
      <c r="K236" s="52"/>
      <c r="L236" s="53" t="str">
        <f t="shared" si="39"/>
        <v/>
      </c>
      <c r="M236" s="48" t="str">
        <f t="shared" si="40"/>
        <v/>
      </c>
      <c r="N236" s="54" t="str">
        <f t="shared" si="41"/>
        <v/>
      </c>
      <c r="O236" s="55">
        <f t="shared" si="42"/>
        <v>0</v>
      </c>
      <c r="P236" s="55">
        <f t="shared" si="43"/>
        <v>0</v>
      </c>
      <c r="Q236" s="54">
        <f t="shared" si="44"/>
        <v>0</v>
      </c>
      <c r="R236" s="47"/>
      <c r="T236" s="57"/>
      <c r="U236" s="45"/>
      <c r="V236" s="46">
        <f>IF(U236&lt;&gt;"",VLOOKUP(U236,'Tipo Projeto'!$A$3:$B$35,2,0),0)</f>
        <v>0</v>
      </c>
      <c r="W236" s="47"/>
      <c r="X236" s="49"/>
      <c r="Y236" s="50"/>
      <c r="Z236" s="51"/>
      <c r="AA236" s="52"/>
      <c r="AB236" s="53" t="str">
        <f t="shared" si="45"/>
        <v/>
      </c>
      <c r="AC236" s="48" t="str">
        <f t="shared" si="46"/>
        <v/>
      </c>
      <c r="AD236" s="54" t="str">
        <f t="shared" si="47"/>
        <v/>
      </c>
      <c r="AE236" s="55">
        <f t="shared" si="48"/>
        <v>0</v>
      </c>
      <c r="AF236" s="55">
        <f t="shared" si="49"/>
        <v>0</v>
      </c>
      <c r="AG236" s="58">
        <f t="shared" si="50"/>
        <v>0</v>
      </c>
      <c r="AH236" s="47"/>
      <c r="AJ236" s="47"/>
      <c r="AL236" s="47"/>
      <c r="AM236" s="47" t="str">
        <f t="shared" si="51"/>
        <v/>
      </c>
    </row>
    <row r="237" spans="1:39" s="56" customFormat="1" ht="24.75" customHeight="1">
      <c r="A237" s="44"/>
      <c r="B237" s="45"/>
      <c r="C237" s="46">
        <f>IF(B237&lt;&gt;"",VLOOKUP(B237,'Tipo Projeto'!$A$3:$B$35,2,0),0)</f>
        <v>0</v>
      </c>
      <c r="D237" s="47"/>
      <c r="E237" s="47"/>
      <c r="F237" s="48"/>
      <c r="G237" s="47"/>
      <c r="H237" s="49"/>
      <c r="I237" s="50"/>
      <c r="J237" s="51"/>
      <c r="K237" s="52"/>
      <c r="L237" s="53" t="str">
        <f t="shared" si="39"/>
        <v/>
      </c>
      <c r="M237" s="48" t="str">
        <f t="shared" si="40"/>
        <v/>
      </c>
      <c r="N237" s="54" t="str">
        <f t="shared" si="41"/>
        <v/>
      </c>
      <c r="O237" s="55">
        <f t="shared" si="42"/>
        <v>0</v>
      </c>
      <c r="P237" s="55">
        <f t="shared" si="43"/>
        <v>0</v>
      </c>
      <c r="Q237" s="54">
        <f t="shared" si="44"/>
        <v>0</v>
      </c>
      <c r="R237" s="47"/>
      <c r="T237" s="57"/>
      <c r="U237" s="45"/>
      <c r="V237" s="46">
        <f>IF(U237&lt;&gt;"",VLOOKUP(U237,'Tipo Projeto'!$A$3:$B$35,2,0),0)</f>
        <v>0</v>
      </c>
      <c r="W237" s="47"/>
      <c r="X237" s="49"/>
      <c r="Y237" s="50"/>
      <c r="Z237" s="51"/>
      <c r="AA237" s="52"/>
      <c r="AB237" s="53" t="str">
        <f t="shared" si="45"/>
        <v/>
      </c>
      <c r="AC237" s="48" t="str">
        <f t="shared" si="46"/>
        <v/>
      </c>
      <c r="AD237" s="54" t="str">
        <f t="shared" si="47"/>
        <v/>
      </c>
      <c r="AE237" s="55">
        <f t="shared" si="48"/>
        <v>0</v>
      </c>
      <c r="AF237" s="55">
        <f t="shared" si="49"/>
        <v>0</v>
      </c>
      <c r="AG237" s="58">
        <f t="shared" si="50"/>
        <v>0</v>
      </c>
      <c r="AH237" s="47"/>
      <c r="AJ237" s="47"/>
      <c r="AL237" s="47"/>
      <c r="AM237" s="47" t="str">
        <f t="shared" si="51"/>
        <v/>
      </c>
    </row>
    <row r="238" spans="1:39" s="56" customFormat="1" ht="24.75" customHeight="1">
      <c r="A238" s="44"/>
      <c r="B238" s="45"/>
      <c r="C238" s="46">
        <f>IF(B238&lt;&gt;"",VLOOKUP(B238,'Tipo Projeto'!$A$3:$B$35,2,0),0)</f>
        <v>0</v>
      </c>
      <c r="D238" s="47"/>
      <c r="E238" s="47"/>
      <c r="F238" s="48"/>
      <c r="G238" s="47"/>
      <c r="H238" s="49"/>
      <c r="I238" s="50"/>
      <c r="J238" s="51"/>
      <c r="K238" s="52"/>
      <c r="L238" s="53" t="str">
        <f t="shared" si="39"/>
        <v/>
      </c>
      <c r="M238" s="48" t="str">
        <f t="shared" si="40"/>
        <v/>
      </c>
      <c r="N238" s="54" t="str">
        <f t="shared" si="41"/>
        <v/>
      </c>
      <c r="O238" s="55">
        <f t="shared" si="42"/>
        <v>0</v>
      </c>
      <c r="P238" s="55">
        <f t="shared" si="43"/>
        <v>0</v>
      </c>
      <c r="Q238" s="54">
        <f t="shared" si="44"/>
        <v>0</v>
      </c>
      <c r="R238" s="47"/>
      <c r="T238" s="57"/>
      <c r="U238" s="45"/>
      <c r="V238" s="46">
        <f>IF(U238&lt;&gt;"",VLOOKUP(U238,'Tipo Projeto'!$A$3:$B$35,2,0),0)</f>
        <v>0</v>
      </c>
      <c r="W238" s="47"/>
      <c r="X238" s="49"/>
      <c r="Y238" s="50"/>
      <c r="Z238" s="51"/>
      <c r="AA238" s="52"/>
      <c r="AB238" s="53" t="str">
        <f t="shared" si="45"/>
        <v/>
      </c>
      <c r="AC238" s="48" t="str">
        <f t="shared" si="46"/>
        <v/>
      </c>
      <c r="AD238" s="54" t="str">
        <f t="shared" si="47"/>
        <v/>
      </c>
      <c r="AE238" s="55">
        <f t="shared" si="48"/>
        <v>0</v>
      </c>
      <c r="AF238" s="55">
        <f t="shared" si="49"/>
        <v>0</v>
      </c>
      <c r="AG238" s="58">
        <f t="shared" si="50"/>
        <v>0</v>
      </c>
      <c r="AH238" s="47"/>
      <c r="AJ238" s="47"/>
      <c r="AL238" s="47"/>
      <c r="AM238" s="47" t="str">
        <f t="shared" si="51"/>
        <v/>
      </c>
    </row>
    <row r="239" spans="1:39" s="56" customFormat="1" ht="24.75" customHeight="1">
      <c r="A239" s="44"/>
      <c r="B239" s="45"/>
      <c r="C239" s="46">
        <f>IF(B239&lt;&gt;"",VLOOKUP(B239,'Tipo Projeto'!$A$3:$B$35,2,0),0)</f>
        <v>0</v>
      </c>
      <c r="D239" s="47"/>
      <c r="E239" s="47"/>
      <c r="F239" s="48"/>
      <c r="G239" s="47"/>
      <c r="H239" s="49"/>
      <c r="I239" s="50"/>
      <c r="J239" s="51"/>
      <c r="K239" s="52"/>
      <c r="L239" s="53" t="str">
        <f t="shared" si="39"/>
        <v/>
      </c>
      <c r="M239" s="48" t="str">
        <f t="shared" si="40"/>
        <v/>
      </c>
      <c r="N239" s="54" t="str">
        <f t="shared" si="41"/>
        <v/>
      </c>
      <c r="O239" s="55">
        <f t="shared" si="42"/>
        <v>0</v>
      </c>
      <c r="P239" s="55">
        <f t="shared" si="43"/>
        <v>0</v>
      </c>
      <c r="Q239" s="54">
        <f t="shared" si="44"/>
        <v>0</v>
      </c>
      <c r="R239" s="47"/>
      <c r="T239" s="57"/>
      <c r="U239" s="45"/>
      <c r="V239" s="46">
        <f>IF(U239&lt;&gt;"",VLOOKUP(U239,'Tipo Projeto'!$A$3:$B$35,2,0),0)</f>
        <v>0</v>
      </c>
      <c r="W239" s="47"/>
      <c r="X239" s="49"/>
      <c r="Y239" s="50"/>
      <c r="Z239" s="51"/>
      <c r="AA239" s="52"/>
      <c r="AB239" s="53" t="str">
        <f t="shared" si="45"/>
        <v/>
      </c>
      <c r="AC239" s="48" t="str">
        <f t="shared" si="46"/>
        <v/>
      </c>
      <c r="AD239" s="54" t="str">
        <f t="shared" si="47"/>
        <v/>
      </c>
      <c r="AE239" s="55">
        <f t="shared" si="48"/>
        <v>0</v>
      </c>
      <c r="AF239" s="55">
        <f t="shared" si="49"/>
        <v>0</v>
      </c>
      <c r="AG239" s="58">
        <f t="shared" si="50"/>
        <v>0</v>
      </c>
      <c r="AH239" s="47"/>
      <c r="AJ239" s="47"/>
      <c r="AL239" s="47"/>
      <c r="AM239" s="47" t="str">
        <f t="shared" si="51"/>
        <v/>
      </c>
    </row>
    <row r="240" spans="1:39" s="56" customFormat="1" ht="24.75" customHeight="1">
      <c r="A240" s="44"/>
      <c r="B240" s="45"/>
      <c r="C240" s="46">
        <f>IF(B240&lt;&gt;"",VLOOKUP(B240,'Tipo Projeto'!$A$3:$B$35,2,0),0)</f>
        <v>0</v>
      </c>
      <c r="D240" s="47"/>
      <c r="E240" s="47"/>
      <c r="F240" s="48"/>
      <c r="G240" s="47"/>
      <c r="H240" s="49"/>
      <c r="I240" s="50"/>
      <c r="J240" s="51"/>
      <c r="K240" s="52"/>
      <c r="L240" s="53" t="str">
        <f t="shared" si="39"/>
        <v/>
      </c>
      <c r="M240" s="48" t="str">
        <f t="shared" si="40"/>
        <v/>
      </c>
      <c r="N240" s="54" t="str">
        <f t="shared" si="41"/>
        <v/>
      </c>
      <c r="O240" s="55">
        <f t="shared" si="42"/>
        <v>0</v>
      </c>
      <c r="P240" s="55">
        <f t="shared" si="43"/>
        <v>0</v>
      </c>
      <c r="Q240" s="54">
        <f t="shared" si="44"/>
        <v>0</v>
      </c>
      <c r="R240" s="47"/>
      <c r="T240" s="57"/>
      <c r="U240" s="45"/>
      <c r="V240" s="46">
        <f>IF(U240&lt;&gt;"",VLOOKUP(U240,'Tipo Projeto'!$A$3:$B$35,2,0),0)</f>
        <v>0</v>
      </c>
      <c r="W240" s="47"/>
      <c r="X240" s="49"/>
      <c r="Y240" s="50"/>
      <c r="Z240" s="51"/>
      <c r="AA240" s="52"/>
      <c r="AB240" s="53" t="str">
        <f t="shared" si="45"/>
        <v/>
      </c>
      <c r="AC240" s="48" t="str">
        <f t="shared" si="46"/>
        <v/>
      </c>
      <c r="AD240" s="54" t="str">
        <f t="shared" si="47"/>
        <v/>
      </c>
      <c r="AE240" s="55">
        <f t="shared" si="48"/>
        <v>0</v>
      </c>
      <c r="AF240" s="55">
        <f t="shared" si="49"/>
        <v>0</v>
      </c>
      <c r="AG240" s="58">
        <f t="shared" si="50"/>
        <v>0</v>
      </c>
      <c r="AH240" s="47"/>
      <c r="AJ240" s="47"/>
      <c r="AL240" s="47"/>
      <c r="AM240" s="47" t="str">
        <f t="shared" si="51"/>
        <v/>
      </c>
    </row>
    <row r="241" spans="1:39" s="56" customFormat="1" ht="24.75" customHeight="1">
      <c r="A241" s="44"/>
      <c r="B241" s="45"/>
      <c r="C241" s="46">
        <f>IF(B241&lt;&gt;"",VLOOKUP(B241,'Tipo Projeto'!$A$3:$B$35,2,0),0)</f>
        <v>0</v>
      </c>
      <c r="D241" s="47"/>
      <c r="E241" s="47"/>
      <c r="F241" s="48"/>
      <c r="G241" s="47"/>
      <c r="H241" s="49"/>
      <c r="I241" s="50"/>
      <c r="J241" s="51"/>
      <c r="K241" s="52"/>
      <c r="L241" s="53" t="str">
        <f t="shared" si="39"/>
        <v/>
      </c>
      <c r="M241" s="48" t="str">
        <f t="shared" si="40"/>
        <v/>
      </c>
      <c r="N241" s="54" t="str">
        <f t="shared" si="41"/>
        <v/>
      </c>
      <c r="O241" s="55">
        <f t="shared" si="42"/>
        <v>0</v>
      </c>
      <c r="P241" s="55">
        <f t="shared" si="43"/>
        <v>0</v>
      </c>
      <c r="Q241" s="54">
        <f t="shared" si="44"/>
        <v>0</v>
      </c>
      <c r="R241" s="47"/>
      <c r="T241" s="57"/>
      <c r="U241" s="45"/>
      <c r="V241" s="46">
        <f>IF(U241&lt;&gt;"",VLOOKUP(U241,'Tipo Projeto'!$A$3:$B$35,2,0),0)</f>
        <v>0</v>
      </c>
      <c r="W241" s="47"/>
      <c r="X241" s="49"/>
      <c r="Y241" s="50"/>
      <c r="Z241" s="51"/>
      <c r="AA241" s="52"/>
      <c r="AB241" s="53" t="str">
        <f t="shared" si="45"/>
        <v/>
      </c>
      <c r="AC241" s="48" t="str">
        <f t="shared" si="46"/>
        <v/>
      </c>
      <c r="AD241" s="54" t="str">
        <f t="shared" si="47"/>
        <v/>
      </c>
      <c r="AE241" s="55">
        <f t="shared" si="48"/>
        <v>0</v>
      </c>
      <c r="AF241" s="55">
        <f t="shared" si="49"/>
        <v>0</v>
      </c>
      <c r="AG241" s="58">
        <f t="shared" si="50"/>
        <v>0</v>
      </c>
      <c r="AH241" s="47"/>
      <c r="AJ241" s="47"/>
      <c r="AL241" s="47"/>
      <c r="AM241" s="47" t="str">
        <f t="shared" si="51"/>
        <v/>
      </c>
    </row>
    <row r="242" spans="1:39" s="56" customFormat="1" ht="24.75" customHeight="1">
      <c r="A242" s="44"/>
      <c r="B242" s="45"/>
      <c r="C242" s="46">
        <f>IF(B242&lt;&gt;"",VLOOKUP(B242,'Tipo Projeto'!$A$3:$B$35,2,0),0)</f>
        <v>0</v>
      </c>
      <c r="D242" s="47"/>
      <c r="E242" s="47"/>
      <c r="F242" s="48"/>
      <c r="G242" s="47"/>
      <c r="H242" s="49"/>
      <c r="I242" s="50"/>
      <c r="J242" s="51"/>
      <c r="K242" s="52"/>
      <c r="L242" s="53" t="str">
        <f t="shared" si="39"/>
        <v/>
      </c>
      <c r="M242" s="48" t="str">
        <f t="shared" si="40"/>
        <v/>
      </c>
      <c r="N242" s="54" t="str">
        <f t="shared" si="41"/>
        <v/>
      </c>
      <c r="O242" s="55">
        <f t="shared" si="42"/>
        <v>0</v>
      </c>
      <c r="P242" s="55">
        <f t="shared" si="43"/>
        <v>0</v>
      </c>
      <c r="Q242" s="54">
        <f t="shared" si="44"/>
        <v>0</v>
      </c>
      <c r="R242" s="47"/>
      <c r="T242" s="57"/>
      <c r="U242" s="45"/>
      <c r="V242" s="46">
        <f>IF(U242&lt;&gt;"",VLOOKUP(U242,'Tipo Projeto'!$A$3:$B$35,2,0),0)</f>
        <v>0</v>
      </c>
      <c r="W242" s="47"/>
      <c r="X242" s="49"/>
      <c r="Y242" s="50"/>
      <c r="Z242" s="51"/>
      <c r="AA242" s="52"/>
      <c r="AB242" s="53" t="str">
        <f t="shared" si="45"/>
        <v/>
      </c>
      <c r="AC242" s="48" t="str">
        <f t="shared" si="46"/>
        <v/>
      </c>
      <c r="AD242" s="54" t="str">
        <f t="shared" si="47"/>
        <v/>
      </c>
      <c r="AE242" s="55">
        <f t="shared" si="48"/>
        <v>0</v>
      </c>
      <c r="AF242" s="55">
        <f t="shared" si="49"/>
        <v>0</v>
      </c>
      <c r="AG242" s="58">
        <f t="shared" si="50"/>
        <v>0</v>
      </c>
      <c r="AH242" s="47"/>
      <c r="AJ242" s="47"/>
      <c r="AL242" s="47"/>
      <c r="AM242" s="47" t="str">
        <f t="shared" si="51"/>
        <v/>
      </c>
    </row>
    <row r="243" spans="1:39" s="56" customFormat="1" ht="24.75" customHeight="1">
      <c r="A243" s="44"/>
      <c r="B243" s="45"/>
      <c r="C243" s="46">
        <f>IF(B243&lt;&gt;"",VLOOKUP(B243,'Tipo Projeto'!$A$3:$B$35,2,0),0)</f>
        <v>0</v>
      </c>
      <c r="D243" s="47"/>
      <c r="E243" s="47"/>
      <c r="F243" s="48"/>
      <c r="G243" s="47"/>
      <c r="H243" s="49"/>
      <c r="I243" s="50"/>
      <c r="J243" s="51"/>
      <c r="K243" s="52"/>
      <c r="L243" s="53" t="str">
        <f t="shared" si="39"/>
        <v/>
      </c>
      <c r="M243" s="48" t="str">
        <f t="shared" si="40"/>
        <v/>
      </c>
      <c r="N243" s="54" t="str">
        <f t="shared" si="41"/>
        <v/>
      </c>
      <c r="O243" s="55">
        <f t="shared" si="42"/>
        <v>0</v>
      </c>
      <c r="P243" s="55">
        <f t="shared" si="43"/>
        <v>0</v>
      </c>
      <c r="Q243" s="54">
        <f t="shared" si="44"/>
        <v>0</v>
      </c>
      <c r="R243" s="47"/>
      <c r="T243" s="57"/>
      <c r="U243" s="45"/>
      <c r="V243" s="46">
        <f>IF(U243&lt;&gt;"",VLOOKUP(U243,'Tipo Projeto'!$A$3:$B$35,2,0),0)</f>
        <v>0</v>
      </c>
      <c r="W243" s="47"/>
      <c r="X243" s="49"/>
      <c r="Y243" s="50"/>
      <c r="Z243" s="51"/>
      <c r="AA243" s="52"/>
      <c r="AB243" s="53" t="str">
        <f t="shared" si="45"/>
        <v/>
      </c>
      <c r="AC243" s="48" t="str">
        <f t="shared" si="46"/>
        <v/>
      </c>
      <c r="AD243" s="54" t="str">
        <f t="shared" si="47"/>
        <v/>
      </c>
      <c r="AE243" s="55">
        <f t="shared" si="48"/>
        <v>0</v>
      </c>
      <c r="AF243" s="55">
        <f t="shared" si="49"/>
        <v>0</v>
      </c>
      <c r="AG243" s="58">
        <f t="shared" si="50"/>
        <v>0</v>
      </c>
      <c r="AH243" s="47"/>
      <c r="AJ243" s="47"/>
      <c r="AL243" s="47"/>
      <c r="AM243" s="47" t="str">
        <f t="shared" si="51"/>
        <v/>
      </c>
    </row>
    <row r="244" spans="1:39" s="56" customFormat="1" ht="24.75" customHeight="1">
      <c r="A244" s="44"/>
      <c r="B244" s="45"/>
      <c r="C244" s="46">
        <f>IF(B244&lt;&gt;"",VLOOKUP(B244,'Tipo Projeto'!$A$3:$B$35,2,0),0)</f>
        <v>0</v>
      </c>
      <c r="D244" s="47"/>
      <c r="E244" s="47"/>
      <c r="F244" s="48"/>
      <c r="G244" s="47"/>
      <c r="H244" s="49"/>
      <c r="I244" s="50"/>
      <c r="J244" s="51"/>
      <c r="K244" s="52"/>
      <c r="L244" s="53" t="str">
        <f t="shared" si="39"/>
        <v/>
      </c>
      <c r="M244" s="48" t="str">
        <f t="shared" si="40"/>
        <v/>
      </c>
      <c r="N244" s="54" t="str">
        <f t="shared" si="41"/>
        <v/>
      </c>
      <c r="O244" s="55">
        <f t="shared" si="42"/>
        <v>0</v>
      </c>
      <c r="P244" s="55">
        <f t="shared" si="43"/>
        <v>0</v>
      </c>
      <c r="Q244" s="54">
        <f t="shared" si="44"/>
        <v>0</v>
      </c>
      <c r="R244" s="47"/>
      <c r="T244" s="57"/>
      <c r="U244" s="45"/>
      <c r="V244" s="46">
        <f>IF(U244&lt;&gt;"",VLOOKUP(U244,'Tipo Projeto'!$A$3:$B$35,2,0),0)</f>
        <v>0</v>
      </c>
      <c r="W244" s="47"/>
      <c r="X244" s="49"/>
      <c r="Y244" s="50"/>
      <c r="Z244" s="51"/>
      <c r="AA244" s="52"/>
      <c r="AB244" s="53" t="str">
        <f t="shared" si="45"/>
        <v/>
      </c>
      <c r="AC244" s="48" t="str">
        <f t="shared" si="46"/>
        <v/>
      </c>
      <c r="AD244" s="54" t="str">
        <f t="shared" si="47"/>
        <v/>
      </c>
      <c r="AE244" s="55">
        <f t="shared" si="48"/>
        <v>0</v>
      </c>
      <c r="AF244" s="55">
        <f t="shared" si="49"/>
        <v>0</v>
      </c>
      <c r="AG244" s="58">
        <f t="shared" si="50"/>
        <v>0</v>
      </c>
      <c r="AH244" s="47"/>
      <c r="AJ244" s="47"/>
      <c r="AL244" s="47"/>
      <c r="AM244" s="47" t="str">
        <f t="shared" si="51"/>
        <v/>
      </c>
    </row>
    <row r="245" spans="1:39" s="56" customFormat="1" ht="24.75" customHeight="1">
      <c r="A245" s="44"/>
      <c r="B245" s="45"/>
      <c r="C245" s="46">
        <f>IF(B245&lt;&gt;"",VLOOKUP(B245,'Tipo Projeto'!$A$3:$B$35,2,0),0)</f>
        <v>0</v>
      </c>
      <c r="D245" s="47"/>
      <c r="E245" s="47"/>
      <c r="F245" s="48"/>
      <c r="G245" s="47"/>
      <c r="H245" s="49"/>
      <c r="I245" s="50"/>
      <c r="J245" s="51"/>
      <c r="K245" s="52"/>
      <c r="L245" s="53" t="str">
        <f t="shared" si="39"/>
        <v/>
      </c>
      <c r="M245" s="48" t="str">
        <f t="shared" si="40"/>
        <v/>
      </c>
      <c r="N245" s="54" t="str">
        <f t="shared" si="41"/>
        <v/>
      </c>
      <c r="O245" s="55">
        <f t="shared" si="42"/>
        <v>0</v>
      </c>
      <c r="P245" s="55">
        <f t="shared" si="43"/>
        <v>0</v>
      </c>
      <c r="Q245" s="54">
        <f t="shared" si="44"/>
        <v>0</v>
      </c>
      <c r="R245" s="47"/>
      <c r="T245" s="57"/>
      <c r="U245" s="45"/>
      <c r="V245" s="46">
        <f>IF(U245&lt;&gt;"",VLOOKUP(U245,'Tipo Projeto'!$A$3:$B$35,2,0),0)</f>
        <v>0</v>
      </c>
      <c r="W245" s="47"/>
      <c r="X245" s="49"/>
      <c r="Y245" s="50"/>
      <c r="Z245" s="51"/>
      <c r="AA245" s="52"/>
      <c r="AB245" s="53" t="str">
        <f t="shared" si="45"/>
        <v/>
      </c>
      <c r="AC245" s="48" t="str">
        <f t="shared" si="46"/>
        <v/>
      </c>
      <c r="AD245" s="54" t="str">
        <f t="shared" si="47"/>
        <v/>
      </c>
      <c r="AE245" s="55">
        <f t="shared" si="48"/>
        <v>0</v>
      </c>
      <c r="AF245" s="55">
        <f t="shared" si="49"/>
        <v>0</v>
      </c>
      <c r="AG245" s="58">
        <f t="shared" si="50"/>
        <v>0</v>
      </c>
      <c r="AH245" s="47"/>
      <c r="AJ245" s="47"/>
      <c r="AL245" s="47"/>
      <c r="AM245" s="47" t="str">
        <f t="shared" si="51"/>
        <v/>
      </c>
    </row>
    <row r="246" spans="1:39" s="56" customFormat="1" ht="24.75" customHeight="1">
      <c r="A246" s="44"/>
      <c r="B246" s="45"/>
      <c r="C246" s="46">
        <f>IF(B246&lt;&gt;"",VLOOKUP(B246,'Tipo Projeto'!$A$3:$B$35,2,0),0)</f>
        <v>0</v>
      </c>
      <c r="D246" s="47"/>
      <c r="E246" s="47"/>
      <c r="F246" s="48"/>
      <c r="G246" s="47"/>
      <c r="H246" s="49"/>
      <c r="I246" s="50"/>
      <c r="J246" s="51"/>
      <c r="K246" s="52"/>
      <c r="L246" s="53" t="str">
        <f t="shared" si="39"/>
        <v/>
      </c>
      <c r="M246" s="48" t="str">
        <f t="shared" si="40"/>
        <v/>
      </c>
      <c r="N246" s="54" t="str">
        <f t="shared" si="41"/>
        <v/>
      </c>
      <c r="O246" s="55">
        <f t="shared" si="42"/>
        <v>0</v>
      </c>
      <c r="P246" s="55">
        <f t="shared" si="43"/>
        <v>0</v>
      </c>
      <c r="Q246" s="54">
        <f t="shared" si="44"/>
        <v>0</v>
      </c>
      <c r="R246" s="47"/>
      <c r="T246" s="57"/>
      <c r="U246" s="45"/>
      <c r="V246" s="46">
        <f>IF(U246&lt;&gt;"",VLOOKUP(U246,'Tipo Projeto'!$A$3:$B$35,2,0),0)</f>
        <v>0</v>
      </c>
      <c r="W246" s="47"/>
      <c r="X246" s="49"/>
      <c r="Y246" s="50"/>
      <c r="Z246" s="51"/>
      <c r="AA246" s="52"/>
      <c r="AB246" s="53" t="str">
        <f t="shared" si="45"/>
        <v/>
      </c>
      <c r="AC246" s="48" t="str">
        <f t="shared" si="46"/>
        <v/>
      </c>
      <c r="AD246" s="54" t="str">
        <f t="shared" si="47"/>
        <v/>
      </c>
      <c r="AE246" s="55">
        <f t="shared" si="48"/>
        <v>0</v>
      </c>
      <c r="AF246" s="55">
        <f t="shared" si="49"/>
        <v>0</v>
      </c>
      <c r="AG246" s="58">
        <f t="shared" si="50"/>
        <v>0</v>
      </c>
      <c r="AH246" s="47"/>
      <c r="AJ246" s="47"/>
      <c r="AL246" s="47"/>
      <c r="AM246" s="47" t="str">
        <f t="shared" si="51"/>
        <v/>
      </c>
    </row>
    <row r="247" spans="1:39" s="56" customFormat="1" ht="24.75" customHeight="1">
      <c r="A247" s="44"/>
      <c r="B247" s="45"/>
      <c r="C247" s="46">
        <f>IF(B247&lt;&gt;"",VLOOKUP(B247,'Tipo Projeto'!$A$3:$B$35,2,0),0)</f>
        <v>0</v>
      </c>
      <c r="D247" s="47"/>
      <c r="E247" s="47"/>
      <c r="F247" s="48"/>
      <c r="G247" s="47"/>
      <c r="H247" s="49"/>
      <c r="I247" s="50"/>
      <c r="J247" s="51"/>
      <c r="K247" s="52"/>
      <c r="L247" s="53" t="str">
        <f t="shared" si="39"/>
        <v/>
      </c>
      <c r="M247" s="48" t="str">
        <f t="shared" si="40"/>
        <v/>
      </c>
      <c r="N247" s="54" t="str">
        <f t="shared" si="41"/>
        <v/>
      </c>
      <c r="O247" s="55">
        <f t="shared" si="42"/>
        <v>0</v>
      </c>
      <c r="P247" s="55">
        <f t="shared" si="43"/>
        <v>0</v>
      </c>
      <c r="Q247" s="54">
        <f t="shared" si="44"/>
        <v>0</v>
      </c>
      <c r="R247" s="47"/>
      <c r="T247" s="57"/>
      <c r="U247" s="45"/>
      <c r="V247" s="46">
        <f>IF(U247&lt;&gt;"",VLOOKUP(U247,'Tipo Projeto'!$A$3:$B$35,2,0),0)</f>
        <v>0</v>
      </c>
      <c r="W247" s="47"/>
      <c r="X247" s="49"/>
      <c r="Y247" s="50"/>
      <c r="Z247" s="51"/>
      <c r="AA247" s="52"/>
      <c r="AB247" s="53" t="str">
        <f t="shared" si="45"/>
        <v/>
      </c>
      <c r="AC247" s="48" t="str">
        <f t="shared" si="46"/>
        <v/>
      </c>
      <c r="AD247" s="54" t="str">
        <f t="shared" si="47"/>
        <v/>
      </c>
      <c r="AE247" s="55">
        <f t="shared" si="48"/>
        <v>0</v>
      </c>
      <c r="AF247" s="55">
        <f t="shared" si="49"/>
        <v>0</v>
      </c>
      <c r="AG247" s="58">
        <f t="shared" si="50"/>
        <v>0</v>
      </c>
      <c r="AH247" s="47"/>
      <c r="AJ247" s="47"/>
      <c r="AL247" s="47"/>
      <c r="AM247" s="47" t="str">
        <f t="shared" si="51"/>
        <v/>
      </c>
    </row>
    <row r="248" spans="1:39" s="56" customFormat="1" ht="24.75" customHeight="1">
      <c r="A248" s="44"/>
      <c r="B248" s="45"/>
      <c r="C248" s="46">
        <f>IF(B248&lt;&gt;"",VLOOKUP(B248,'Tipo Projeto'!$A$3:$B$35,2,0),0)</f>
        <v>0</v>
      </c>
      <c r="D248" s="47"/>
      <c r="E248" s="47"/>
      <c r="F248" s="48"/>
      <c r="G248" s="47"/>
      <c r="H248" s="49"/>
      <c r="I248" s="50"/>
      <c r="J248" s="51"/>
      <c r="K248" s="52"/>
      <c r="L248" s="53" t="str">
        <f t="shared" si="39"/>
        <v/>
      </c>
      <c r="M248" s="48" t="str">
        <f t="shared" si="40"/>
        <v/>
      </c>
      <c r="N248" s="54" t="str">
        <f t="shared" si="41"/>
        <v/>
      </c>
      <c r="O248" s="55">
        <f t="shared" si="42"/>
        <v>0</v>
      </c>
      <c r="P248" s="55">
        <f t="shared" si="43"/>
        <v>0</v>
      </c>
      <c r="Q248" s="54">
        <f t="shared" si="44"/>
        <v>0</v>
      </c>
      <c r="R248" s="47"/>
      <c r="T248" s="57"/>
      <c r="U248" s="45"/>
      <c r="V248" s="46">
        <f>IF(U248&lt;&gt;"",VLOOKUP(U248,'Tipo Projeto'!$A$3:$B$35,2,0),0)</f>
        <v>0</v>
      </c>
      <c r="W248" s="47"/>
      <c r="X248" s="49"/>
      <c r="Y248" s="50"/>
      <c r="Z248" s="51"/>
      <c r="AA248" s="52"/>
      <c r="AB248" s="53" t="str">
        <f t="shared" si="45"/>
        <v/>
      </c>
      <c r="AC248" s="48" t="str">
        <f t="shared" si="46"/>
        <v/>
      </c>
      <c r="AD248" s="54" t="str">
        <f t="shared" si="47"/>
        <v/>
      </c>
      <c r="AE248" s="55">
        <f t="shared" si="48"/>
        <v>0</v>
      </c>
      <c r="AF248" s="55">
        <f t="shared" si="49"/>
        <v>0</v>
      </c>
      <c r="AG248" s="58">
        <f t="shared" si="50"/>
        <v>0</v>
      </c>
      <c r="AH248" s="47"/>
      <c r="AJ248" s="47"/>
      <c r="AL248" s="47"/>
      <c r="AM248" s="47" t="str">
        <f t="shared" si="51"/>
        <v/>
      </c>
    </row>
    <row r="249" spans="1:39" s="56" customFormat="1" ht="24.75" customHeight="1">
      <c r="A249" s="44"/>
      <c r="B249" s="45"/>
      <c r="C249" s="46">
        <f>IF(B249&lt;&gt;"",VLOOKUP(B249,'Tipo Projeto'!$A$3:$B$35,2,0),0)</f>
        <v>0</v>
      </c>
      <c r="D249" s="47"/>
      <c r="E249" s="47"/>
      <c r="F249" s="48"/>
      <c r="G249" s="47"/>
      <c r="H249" s="49"/>
      <c r="I249" s="50"/>
      <c r="J249" s="51"/>
      <c r="K249" s="52"/>
      <c r="L249" s="53" t="str">
        <f t="shared" si="39"/>
        <v/>
      </c>
      <c r="M249" s="48" t="str">
        <f t="shared" si="40"/>
        <v/>
      </c>
      <c r="N249" s="54" t="str">
        <f t="shared" si="41"/>
        <v/>
      </c>
      <c r="O249" s="55">
        <f t="shared" si="42"/>
        <v>0</v>
      </c>
      <c r="P249" s="55">
        <f t="shared" si="43"/>
        <v>0</v>
      </c>
      <c r="Q249" s="54">
        <f t="shared" si="44"/>
        <v>0</v>
      </c>
      <c r="R249" s="47"/>
      <c r="T249" s="57"/>
      <c r="U249" s="45"/>
      <c r="V249" s="46">
        <f>IF(U249&lt;&gt;"",VLOOKUP(U249,'Tipo Projeto'!$A$3:$B$35,2,0),0)</f>
        <v>0</v>
      </c>
      <c r="W249" s="47"/>
      <c r="X249" s="49"/>
      <c r="Y249" s="50"/>
      <c r="Z249" s="51"/>
      <c r="AA249" s="52"/>
      <c r="AB249" s="53" t="str">
        <f t="shared" si="45"/>
        <v/>
      </c>
      <c r="AC249" s="48" t="str">
        <f t="shared" si="46"/>
        <v/>
      </c>
      <c r="AD249" s="54" t="str">
        <f t="shared" si="47"/>
        <v/>
      </c>
      <c r="AE249" s="55">
        <f t="shared" si="48"/>
        <v>0</v>
      </c>
      <c r="AF249" s="55">
        <f t="shared" si="49"/>
        <v>0</v>
      </c>
      <c r="AG249" s="58">
        <f t="shared" si="50"/>
        <v>0</v>
      </c>
      <c r="AH249" s="47"/>
      <c r="AJ249" s="47"/>
      <c r="AL249" s="47"/>
      <c r="AM249" s="47" t="str">
        <f t="shared" si="51"/>
        <v/>
      </c>
    </row>
    <row r="250" spans="1:39" s="56" customFormat="1" ht="24.75" customHeight="1">
      <c r="A250" s="44"/>
      <c r="B250" s="45"/>
      <c r="C250" s="46">
        <f>IF(B250&lt;&gt;"",VLOOKUP(B250,'Tipo Projeto'!$A$3:$B$35,2,0),0)</f>
        <v>0</v>
      </c>
      <c r="D250" s="47"/>
      <c r="E250" s="47"/>
      <c r="F250" s="48"/>
      <c r="G250" s="47"/>
      <c r="H250" s="49"/>
      <c r="I250" s="50"/>
      <c r="J250" s="51"/>
      <c r="K250" s="52"/>
      <c r="L250" s="53" t="str">
        <f t="shared" si="39"/>
        <v/>
      </c>
      <c r="M250" s="48" t="str">
        <f t="shared" si="40"/>
        <v/>
      </c>
      <c r="N250" s="54" t="str">
        <f t="shared" si="41"/>
        <v/>
      </c>
      <c r="O250" s="55">
        <f t="shared" si="42"/>
        <v>0</v>
      </c>
      <c r="P250" s="55">
        <f t="shared" si="43"/>
        <v>0</v>
      </c>
      <c r="Q250" s="54">
        <f t="shared" si="44"/>
        <v>0</v>
      </c>
      <c r="R250" s="47"/>
      <c r="T250" s="57"/>
      <c r="U250" s="45"/>
      <c r="V250" s="46">
        <f>IF(U250&lt;&gt;"",VLOOKUP(U250,'Tipo Projeto'!$A$3:$B$35,2,0),0)</f>
        <v>0</v>
      </c>
      <c r="W250" s="47"/>
      <c r="X250" s="49"/>
      <c r="Y250" s="50"/>
      <c r="Z250" s="51"/>
      <c r="AA250" s="52"/>
      <c r="AB250" s="53" t="str">
        <f t="shared" si="45"/>
        <v/>
      </c>
      <c r="AC250" s="48" t="str">
        <f t="shared" si="46"/>
        <v/>
      </c>
      <c r="AD250" s="54" t="str">
        <f t="shared" si="47"/>
        <v/>
      </c>
      <c r="AE250" s="55">
        <f t="shared" si="48"/>
        <v>0</v>
      </c>
      <c r="AF250" s="55">
        <f t="shared" si="49"/>
        <v>0</v>
      </c>
      <c r="AG250" s="58">
        <f t="shared" si="50"/>
        <v>0</v>
      </c>
      <c r="AH250" s="47"/>
      <c r="AJ250" s="47"/>
      <c r="AL250" s="47"/>
      <c r="AM250" s="47" t="str">
        <f t="shared" si="51"/>
        <v/>
      </c>
    </row>
    <row r="251" spans="1:39" s="56" customFormat="1" ht="24.75" customHeight="1">
      <c r="A251" s="44"/>
      <c r="B251" s="45"/>
      <c r="C251" s="46">
        <f>IF(B251&lt;&gt;"",VLOOKUP(B251,'Tipo Projeto'!$A$3:$B$35,2,0),0)</f>
        <v>0</v>
      </c>
      <c r="D251" s="47"/>
      <c r="E251" s="47"/>
      <c r="F251" s="48"/>
      <c r="G251" s="47"/>
      <c r="H251" s="49"/>
      <c r="I251" s="50"/>
      <c r="J251" s="51"/>
      <c r="K251" s="52"/>
      <c r="L251" s="53" t="str">
        <f t="shared" si="39"/>
        <v/>
      </c>
      <c r="M251" s="48" t="str">
        <f t="shared" si="40"/>
        <v/>
      </c>
      <c r="N251" s="54" t="str">
        <f t="shared" si="41"/>
        <v/>
      </c>
      <c r="O251" s="55">
        <f t="shared" si="42"/>
        <v>0</v>
      </c>
      <c r="P251" s="55">
        <f t="shared" si="43"/>
        <v>0</v>
      </c>
      <c r="Q251" s="54">
        <f t="shared" si="44"/>
        <v>0</v>
      </c>
      <c r="R251" s="47"/>
      <c r="T251" s="57"/>
      <c r="U251" s="45"/>
      <c r="V251" s="46">
        <f>IF(U251&lt;&gt;"",VLOOKUP(U251,'Tipo Projeto'!$A$3:$B$35,2,0),0)</f>
        <v>0</v>
      </c>
      <c r="W251" s="47"/>
      <c r="X251" s="49"/>
      <c r="Y251" s="50"/>
      <c r="Z251" s="51"/>
      <c r="AA251" s="52"/>
      <c r="AB251" s="53" t="str">
        <f t="shared" si="45"/>
        <v/>
      </c>
      <c r="AC251" s="48" t="str">
        <f t="shared" si="46"/>
        <v/>
      </c>
      <c r="AD251" s="54" t="str">
        <f t="shared" si="47"/>
        <v/>
      </c>
      <c r="AE251" s="55">
        <f t="shared" si="48"/>
        <v>0</v>
      </c>
      <c r="AF251" s="55">
        <f t="shared" si="49"/>
        <v>0</v>
      </c>
      <c r="AG251" s="58">
        <f t="shared" si="50"/>
        <v>0</v>
      </c>
      <c r="AH251" s="47"/>
      <c r="AJ251" s="47"/>
      <c r="AL251" s="47"/>
      <c r="AM251" s="47" t="str">
        <f t="shared" si="51"/>
        <v/>
      </c>
    </row>
    <row r="252" spans="1:39" s="56" customFormat="1" ht="24.75" customHeight="1">
      <c r="A252" s="44"/>
      <c r="B252" s="45"/>
      <c r="C252" s="46">
        <f>IF(B252&lt;&gt;"",VLOOKUP(B252,'Tipo Projeto'!$A$3:$B$35,2,0),0)</f>
        <v>0</v>
      </c>
      <c r="D252" s="47"/>
      <c r="E252" s="47"/>
      <c r="F252" s="48"/>
      <c r="G252" s="47"/>
      <c r="H252" s="49"/>
      <c r="I252" s="50"/>
      <c r="J252" s="51"/>
      <c r="K252" s="52"/>
      <c r="L252" s="53" t="str">
        <f t="shared" si="39"/>
        <v/>
      </c>
      <c r="M252" s="48" t="str">
        <f t="shared" si="40"/>
        <v/>
      </c>
      <c r="N252" s="54" t="str">
        <f t="shared" si="41"/>
        <v/>
      </c>
      <c r="O252" s="55">
        <f t="shared" si="42"/>
        <v>0</v>
      </c>
      <c r="P252" s="55">
        <f t="shared" si="43"/>
        <v>0</v>
      </c>
      <c r="Q252" s="54">
        <f t="shared" si="44"/>
        <v>0</v>
      </c>
      <c r="R252" s="47"/>
      <c r="T252" s="57"/>
      <c r="U252" s="45"/>
      <c r="V252" s="46">
        <f>IF(U252&lt;&gt;"",VLOOKUP(U252,'Tipo Projeto'!$A$3:$B$35,2,0),0)</f>
        <v>0</v>
      </c>
      <c r="W252" s="47"/>
      <c r="X252" s="49"/>
      <c r="Y252" s="50"/>
      <c r="Z252" s="51"/>
      <c r="AA252" s="52"/>
      <c r="AB252" s="53" t="str">
        <f t="shared" si="45"/>
        <v/>
      </c>
      <c r="AC252" s="48" t="str">
        <f t="shared" si="46"/>
        <v/>
      </c>
      <c r="AD252" s="54" t="str">
        <f t="shared" si="47"/>
        <v/>
      </c>
      <c r="AE252" s="55">
        <f t="shared" si="48"/>
        <v>0</v>
      </c>
      <c r="AF252" s="55">
        <f t="shared" si="49"/>
        <v>0</v>
      </c>
      <c r="AG252" s="58">
        <f t="shared" si="50"/>
        <v>0</v>
      </c>
      <c r="AH252" s="47"/>
      <c r="AJ252" s="47"/>
      <c r="AL252" s="47"/>
      <c r="AM252" s="47" t="str">
        <f t="shared" si="51"/>
        <v/>
      </c>
    </row>
    <row r="253" spans="1:39" s="56" customFormat="1" ht="24.75" customHeight="1">
      <c r="A253" s="44"/>
      <c r="B253" s="45"/>
      <c r="C253" s="46">
        <f>IF(B253&lt;&gt;"",VLOOKUP(B253,'Tipo Projeto'!$A$3:$B$35,2,0),0)</f>
        <v>0</v>
      </c>
      <c r="D253" s="47"/>
      <c r="E253" s="47"/>
      <c r="F253" s="48"/>
      <c r="G253" s="47"/>
      <c r="H253" s="49"/>
      <c r="I253" s="50"/>
      <c r="J253" s="51"/>
      <c r="K253" s="52"/>
      <c r="L253" s="53" t="str">
        <f t="shared" si="39"/>
        <v/>
      </c>
      <c r="M253" s="48" t="str">
        <f t="shared" si="40"/>
        <v/>
      </c>
      <c r="N253" s="54" t="str">
        <f t="shared" si="41"/>
        <v/>
      </c>
      <c r="O253" s="55">
        <f t="shared" si="42"/>
        <v>0</v>
      </c>
      <c r="P253" s="55">
        <f t="shared" si="43"/>
        <v>0</v>
      </c>
      <c r="Q253" s="54">
        <f t="shared" si="44"/>
        <v>0</v>
      </c>
      <c r="R253" s="47"/>
      <c r="T253" s="57"/>
      <c r="U253" s="45"/>
      <c r="V253" s="46">
        <f>IF(U253&lt;&gt;"",VLOOKUP(U253,'Tipo Projeto'!$A$3:$B$35,2,0),0)</f>
        <v>0</v>
      </c>
      <c r="W253" s="47"/>
      <c r="X253" s="49"/>
      <c r="Y253" s="50"/>
      <c r="Z253" s="51"/>
      <c r="AA253" s="52"/>
      <c r="AB253" s="53" t="str">
        <f t="shared" si="45"/>
        <v/>
      </c>
      <c r="AC253" s="48" t="str">
        <f t="shared" si="46"/>
        <v/>
      </c>
      <c r="AD253" s="54" t="str">
        <f t="shared" si="47"/>
        <v/>
      </c>
      <c r="AE253" s="55">
        <f t="shared" si="48"/>
        <v>0</v>
      </c>
      <c r="AF253" s="55">
        <f t="shared" si="49"/>
        <v>0</v>
      </c>
      <c r="AG253" s="58">
        <f t="shared" si="50"/>
        <v>0</v>
      </c>
      <c r="AH253" s="47"/>
      <c r="AJ253" s="47"/>
      <c r="AL253" s="47"/>
      <c r="AM253" s="47" t="str">
        <f t="shared" si="51"/>
        <v/>
      </c>
    </row>
    <row r="254" spans="1:39" s="56" customFormat="1" ht="24.75" customHeight="1">
      <c r="A254" s="44"/>
      <c r="B254" s="45"/>
      <c r="C254" s="46">
        <f>IF(B254&lt;&gt;"",VLOOKUP(B254,'Tipo Projeto'!$A$3:$B$35,2,0),0)</f>
        <v>0</v>
      </c>
      <c r="D254" s="47"/>
      <c r="E254" s="47"/>
      <c r="F254" s="48"/>
      <c r="G254" s="47"/>
      <c r="H254" s="49"/>
      <c r="I254" s="50"/>
      <c r="J254" s="51"/>
      <c r="K254" s="52"/>
      <c r="L254" s="53" t="str">
        <f t="shared" si="39"/>
        <v/>
      </c>
      <c r="M254" s="48" t="str">
        <f t="shared" si="40"/>
        <v/>
      </c>
      <c r="N254" s="54" t="str">
        <f t="shared" si="41"/>
        <v/>
      </c>
      <c r="O254" s="55">
        <f t="shared" si="42"/>
        <v>0</v>
      </c>
      <c r="P254" s="55">
        <f t="shared" si="43"/>
        <v>0</v>
      </c>
      <c r="Q254" s="54">
        <f t="shared" si="44"/>
        <v>0</v>
      </c>
      <c r="R254" s="47"/>
      <c r="T254" s="57"/>
      <c r="U254" s="45"/>
      <c r="V254" s="46">
        <f>IF(U254&lt;&gt;"",VLOOKUP(U254,'Tipo Projeto'!$A$3:$B$35,2,0),0)</f>
        <v>0</v>
      </c>
      <c r="W254" s="47"/>
      <c r="X254" s="49"/>
      <c r="Y254" s="50"/>
      <c r="Z254" s="51"/>
      <c r="AA254" s="52"/>
      <c r="AB254" s="53" t="str">
        <f t="shared" si="45"/>
        <v/>
      </c>
      <c r="AC254" s="48" t="str">
        <f t="shared" si="46"/>
        <v/>
      </c>
      <c r="AD254" s="54" t="str">
        <f t="shared" si="47"/>
        <v/>
      </c>
      <c r="AE254" s="55">
        <f t="shared" si="48"/>
        <v>0</v>
      </c>
      <c r="AF254" s="55">
        <f t="shared" si="49"/>
        <v>0</v>
      </c>
      <c r="AG254" s="58">
        <f t="shared" si="50"/>
        <v>0</v>
      </c>
      <c r="AH254" s="47"/>
      <c r="AJ254" s="47"/>
      <c r="AL254" s="47"/>
      <c r="AM254" s="47" t="str">
        <f t="shared" si="51"/>
        <v/>
      </c>
    </row>
    <row r="255" spans="1:39" s="56" customFormat="1" ht="24.75" customHeight="1">
      <c r="A255" s="44"/>
      <c r="B255" s="45"/>
      <c r="C255" s="46">
        <f>IF(B255&lt;&gt;"",VLOOKUP(B255,'Tipo Projeto'!$A$3:$B$35,2,0),0)</f>
        <v>0</v>
      </c>
      <c r="D255" s="47"/>
      <c r="E255" s="47"/>
      <c r="F255" s="48"/>
      <c r="G255" s="47"/>
      <c r="H255" s="49"/>
      <c r="I255" s="50"/>
      <c r="J255" s="51"/>
      <c r="K255" s="52"/>
      <c r="L255" s="53" t="str">
        <f t="shared" si="39"/>
        <v/>
      </c>
      <c r="M255" s="48" t="str">
        <f t="shared" si="40"/>
        <v/>
      </c>
      <c r="N255" s="54" t="str">
        <f t="shared" si="41"/>
        <v/>
      </c>
      <c r="O255" s="55">
        <f t="shared" si="42"/>
        <v>0</v>
      </c>
      <c r="P255" s="55">
        <f t="shared" si="43"/>
        <v>0</v>
      </c>
      <c r="Q255" s="54">
        <f t="shared" si="44"/>
        <v>0</v>
      </c>
      <c r="R255" s="47"/>
      <c r="T255" s="57"/>
      <c r="U255" s="45"/>
      <c r="V255" s="46">
        <f>IF(U255&lt;&gt;"",VLOOKUP(U255,'Tipo Projeto'!$A$3:$B$35,2,0),0)</f>
        <v>0</v>
      </c>
      <c r="W255" s="47"/>
      <c r="X255" s="49"/>
      <c r="Y255" s="50"/>
      <c r="Z255" s="51"/>
      <c r="AA255" s="52"/>
      <c r="AB255" s="53" t="str">
        <f t="shared" si="45"/>
        <v/>
      </c>
      <c r="AC255" s="48" t="str">
        <f t="shared" si="46"/>
        <v/>
      </c>
      <c r="AD255" s="54" t="str">
        <f t="shared" si="47"/>
        <v/>
      </c>
      <c r="AE255" s="55">
        <f t="shared" si="48"/>
        <v>0</v>
      </c>
      <c r="AF255" s="55">
        <f t="shared" si="49"/>
        <v>0</v>
      </c>
      <c r="AG255" s="58">
        <f t="shared" si="50"/>
        <v>0</v>
      </c>
      <c r="AH255" s="47"/>
      <c r="AJ255" s="47"/>
      <c r="AL255" s="47"/>
      <c r="AM255" s="47" t="str">
        <f t="shared" si="51"/>
        <v/>
      </c>
    </row>
    <row r="256" spans="1:39" s="56" customFormat="1" ht="24.75" customHeight="1">
      <c r="A256" s="44"/>
      <c r="B256" s="45"/>
      <c r="C256" s="46">
        <f>IF(B256&lt;&gt;"",VLOOKUP(B256,'Tipo Projeto'!$A$3:$B$35,2,0),0)</f>
        <v>0</v>
      </c>
      <c r="D256" s="47"/>
      <c r="E256" s="47"/>
      <c r="F256" s="48"/>
      <c r="G256" s="47"/>
      <c r="H256" s="49"/>
      <c r="I256" s="50"/>
      <c r="J256" s="51"/>
      <c r="K256" s="52"/>
      <c r="L256" s="53" t="str">
        <f t="shared" si="39"/>
        <v/>
      </c>
      <c r="M256" s="48" t="str">
        <f t="shared" si="40"/>
        <v/>
      </c>
      <c r="N256" s="54" t="str">
        <f t="shared" si="41"/>
        <v/>
      </c>
      <c r="O256" s="55">
        <f t="shared" si="42"/>
        <v>0</v>
      </c>
      <c r="P256" s="55">
        <f t="shared" si="43"/>
        <v>0</v>
      </c>
      <c r="Q256" s="54">
        <f t="shared" si="44"/>
        <v>0</v>
      </c>
      <c r="R256" s="47"/>
      <c r="T256" s="57"/>
      <c r="U256" s="45"/>
      <c r="V256" s="46">
        <f>IF(U256&lt;&gt;"",VLOOKUP(U256,'Tipo Projeto'!$A$3:$B$35,2,0),0)</f>
        <v>0</v>
      </c>
      <c r="W256" s="47"/>
      <c r="X256" s="49"/>
      <c r="Y256" s="50"/>
      <c r="Z256" s="51"/>
      <c r="AA256" s="52"/>
      <c r="AB256" s="53" t="str">
        <f t="shared" si="45"/>
        <v/>
      </c>
      <c r="AC256" s="48" t="str">
        <f t="shared" si="46"/>
        <v/>
      </c>
      <c r="AD256" s="54" t="str">
        <f t="shared" si="47"/>
        <v/>
      </c>
      <c r="AE256" s="55">
        <f t="shared" si="48"/>
        <v>0</v>
      </c>
      <c r="AF256" s="55">
        <f t="shared" si="49"/>
        <v>0</v>
      </c>
      <c r="AG256" s="58">
        <f t="shared" si="50"/>
        <v>0</v>
      </c>
      <c r="AH256" s="47"/>
      <c r="AJ256" s="47"/>
      <c r="AL256" s="47"/>
      <c r="AM256" s="47" t="str">
        <f t="shared" si="51"/>
        <v/>
      </c>
    </row>
    <row r="257" spans="1:39" s="56" customFormat="1" ht="24.75" customHeight="1">
      <c r="A257" s="44"/>
      <c r="B257" s="45"/>
      <c r="C257" s="46">
        <f>IF(B257&lt;&gt;"",VLOOKUP(B257,'Tipo Projeto'!$A$3:$B$35,2,0),0)</f>
        <v>0</v>
      </c>
      <c r="D257" s="47"/>
      <c r="E257" s="47"/>
      <c r="F257" s="48"/>
      <c r="G257" s="47"/>
      <c r="H257" s="49"/>
      <c r="I257" s="50"/>
      <c r="J257" s="51"/>
      <c r="K257" s="52"/>
      <c r="L257" s="53" t="str">
        <f t="shared" si="39"/>
        <v/>
      </c>
      <c r="M257" s="48" t="str">
        <f t="shared" si="40"/>
        <v/>
      </c>
      <c r="N257" s="54" t="str">
        <f t="shared" si="41"/>
        <v/>
      </c>
      <c r="O257" s="55">
        <f t="shared" si="42"/>
        <v>0</v>
      </c>
      <c r="P257" s="55">
        <f t="shared" si="43"/>
        <v>0</v>
      </c>
      <c r="Q257" s="54">
        <f t="shared" si="44"/>
        <v>0</v>
      </c>
      <c r="R257" s="47"/>
      <c r="T257" s="57"/>
      <c r="U257" s="45"/>
      <c r="V257" s="46">
        <f>IF(U257&lt;&gt;"",VLOOKUP(U257,'Tipo Projeto'!$A$3:$B$35,2,0),0)</f>
        <v>0</v>
      </c>
      <c r="W257" s="47"/>
      <c r="X257" s="49"/>
      <c r="Y257" s="50"/>
      <c r="Z257" s="51"/>
      <c r="AA257" s="52"/>
      <c r="AB257" s="53" t="str">
        <f t="shared" si="45"/>
        <v/>
      </c>
      <c r="AC257" s="48" t="str">
        <f t="shared" si="46"/>
        <v/>
      </c>
      <c r="AD257" s="54" t="str">
        <f t="shared" si="47"/>
        <v/>
      </c>
      <c r="AE257" s="55">
        <f t="shared" si="48"/>
        <v>0</v>
      </c>
      <c r="AF257" s="55">
        <f t="shared" si="49"/>
        <v>0</v>
      </c>
      <c r="AG257" s="58">
        <f t="shared" si="50"/>
        <v>0</v>
      </c>
      <c r="AH257" s="47"/>
      <c r="AJ257" s="47"/>
      <c r="AL257" s="47"/>
      <c r="AM257" s="47" t="str">
        <f t="shared" si="51"/>
        <v/>
      </c>
    </row>
    <row r="258" spans="1:39" s="56" customFormat="1" ht="24.75" customHeight="1">
      <c r="A258" s="44"/>
      <c r="B258" s="45"/>
      <c r="C258" s="46">
        <f>IF(B258&lt;&gt;"",VLOOKUP(B258,'Tipo Projeto'!$A$3:$B$35,2,0),0)</f>
        <v>0</v>
      </c>
      <c r="D258" s="47"/>
      <c r="E258" s="47"/>
      <c r="F258" s="48"/>
      <c r="G258" s="47"/>
      <c r="H258" s="49"/>
      <c r="I258" s="50"/>
      <c r="J258" s="51"/>
      <c r="K258" s="52"/>
      <c r="L258" s="53" t="str">
        <f t="shared" si="39"/>
        <v/>
      </c>
      <c r="M258" s="48" t="str">
        <f t="shared" si="40"/>
        <v/>
      </c>
      <c r="N258" s="54" t="str">
        <f t="shared" si="41"/>
        <v/>
      </c>
      <c r="O258" s="55">
        <f t="shared" si="42"/>
        <v>0</v>
      </c>
      <c r="P258" s="55">
        <f t="shared" si="43"/>
        <v>0</v>
      </c>
      <c r="Q258" s="54">
        <f t="shared" si="44"/>
        <v>0</v>
      </c>
      <c r="R258" s="47"/>
      <c r="T258" s="57"/>
      <c r="U258" s="45"/>
      <c r="V258" s="46">
        <f>IF(U258&lt;&gt;"",VLOOKUP(U258,'Tipo Projeto'!$A$3:$B$35,2,0),0)</f>
        <v>0</v>
      </c>
      <c r="W258" s="47"/>
      <c r="X258" s="49"/>
      <c r="Y258" s="50"/>
      <c r="Z258" s="51"/>
      <c r="AA258" s="52"/>
      <c r="AB258" s="53" t="str">
        <f t="shared" si="45"/>
        <v/>
      </c>
      <c r="AC258" s="48" t="str">
        <f t="shared" si="46"/>
        <v/>
      </c>
      <c r="AD258" s="54" t="str">
        <f t="shared" si="47"/>
        <v/>
      </c>
      <c r="AE258" s="55">
        <f t="shared" si="48"/>
        <v>0</v>
      </c>
      <c r="AF258" s="55">
        <f t="shared" si="49"/>
        <v>0</v>
      </c>
      <c r="AG258" s="58">
        <f t="shared" si="50"/>
        <v>0</v>
      </c>
      <c r="AH258" s="47"/>
      <c r="AJ258" s="47"/>
      <c r="AL258" s="47"/>
      <c r="AM258" s="47" t="str">
        <f t="shared" si="51"/>
        <v/>
      </c>
    </row>
    <row r="259" spans="1:39" s="56" customFormat="1" ht="24.75" customHeight="1">
      <c r="A259" s="44"/>
      <c r="B259" s="45"/>
      <c r="C259" s="46">
        <f>IF(B259&lt;&gt;"",VLOOKUP(B259,'Tipo Projeto'!$A$3:$B$35,2,0),0)</f>
        <v>0</v>
      </c>
      <c r="D259" s="47"/>
      <c r="E259" s="47"/>
      <c r="F259" s="48"/>
      <c r="G259" s="47"/>
      <c r="H259" s="49"/>
      <c r="I259" s="50"/>
      <c r="J259" s="51"/>
      <c r="K259" s="52"/>
      <c r="L259" s="53" t="str">
        <f t="shared" si="39"/>
        <v/>
      </c>
      <c r="M259" s="48" t="str">
        <f t="shared" si="40"/>
        <v/>
      </c>
      <c r="N259" s="54" t="str">
        <f t="shared" si="41"/>
        <v/>
      </c>
      <c r="O259" s="55">
        <f t="shared" si="42"/>
        <v>0</v>
      </c>
      <c r="P259" s="55">
        <f t="shared" si="43"/>
        <v>0</v>
      </c>
      <c r="Q259" s="54">
        <f t="shared" si="44"/>
        <v>0</v>
      </c>
      <c r="R259" s="47"/>
      <c r="T259" s="57"/>
      <c r="U259" s="45"/>
      <c r="V259" s="46">
        <f>IF(U259&lt;&gt;"",VLOOKUP(U259,'Tipo Projeto'!$A$3:$B$35,2,0),0)</f>
        <v>0</v>
      </c>
      <c r="W259" s="47"/>
      <c r="X259" s="49"/>
      <c r="Y259" s="50"/>
      <c r="Z259" s="51"/>
      <c r="AA259" s="52"/>
      <c r="AB259" s="53" t="str">
        <f t="shared" si="45"/>
        <v/>
      </c>
      <c r="AC259" s="48" t="str">
        <f t="shared" si="46"/>
        <v/>
      </c>
      <c r="AD259" s="54" t="str">
        <f t="shared" si="47"/>
        <v/>
      </c>
      <c r="AE259" s="55">
        <f t="shared" si="48"/>
        <v>0</v>
      </c>
      <c r="AF259" s="55">
        <f t="shared" si="49"/>
        <v>0</v>
      </c>
      <c r="AG259" s="58">
        <f t="shared" si="50"/>
        <v>0</v>
      </c>
      <c r="AH259" s="47"/>
      <c r="AJ259" s="47"/>
      <c r="AL259" s="47"/>
      <c r="AM259" s="47" t="str">
        <f t="shared" si="51"/>
        <v/>
      </c>
    </row>
    <row r="260" spans="1:39" s="56" customFormat="1" ht="24.75" customHeight="1">
      <c r="A260" s="44"/>
      <c r="B260" s="45"/>
      <c r="C260" s="46">
        <f>IF(B260&lt;&gt;"",VLOOKUP(B260,'Tipo Projeto'!$A$3:$B$35,2,0),0)</f>
        <v>0</v>
      </c>
      <c r="D260" s="47"/>
      <c r="E260" s="47"/>
      <c r="F260" s="48"/>
      <c r="G260" s="47"/>
      <c r="H260" s="49"/>
      <c r="I260" s="50"/>
      <c r="J260" s="51"/>
      <c r="K260" s="52"/>
      <c r="L260" s="53" t="str">
        <f t="shared" si="39"/>
        <v/>
      </c>
      <c r="M260" s="48" t="str">
        <f t="shared" si="40"/>
        <v/>
      </c>
      <c r="N260" s="54" t="str">
        <f t="shared" si="41"/>
        <v/>
      </c>
      <c r="O260" s="55">
        <f t="shared" si="42"/>
        <v>0</v>
      </c>
      <c r="P260" s="55">
        <f t="shared" si="43"/>
        <v>0</v>
      </c>
      <c r="Q260" s="54">
        <f t="shared" si="44"/>
        <v>0</v>
      </c>
      <c r="R260" s="47"/>
      <c r="T260" s="57"/>
      <c r="U260" s="45"/>
      <c r="V260" s="46">
        <f>IF(U260&lt;&gt;"",VLOOKUP(U260,'Tipo Projeto'!$A$3:$B$35,2,0),0)</f>
        <v>0</v>
      </c>
      <c r="W260" s="47"/>
      <c r="X260" s="49"/>
      <c r="Y260" s="50"/>
      <c r="Z260" s="51"/>
      <c r="AA260" s="52"/>
      <c r="AB260" s="53" t="str">
        <f t="shared" si="45"/>
        <v/>
      </c>
      <c r="AC260" s="48" t="str">
        <f t="shared" si="46"/>
        <v/>
      </c>
      <c r="AD260" s="54" t="str">
        <f t="shared" si="47"/>
        <v/>
      </c>
      <c r="AE260" s="55">
        <f t="shared" si="48"/>
        <v>0</v>
      </c>
      <c r="AF260" s="55">
        <f t="shared" si="49"/>
        <v>0</v>
      </c>
      <c r="AG260" s="58">
        <f t="shared" si="50"/>
        <v>0</v>
      </c>
      <c r="AH260" s="47"/>
      <c r="AJ260" s="47"/>
      <c r="AL260" s="47"/>
      <c r="AM260" s="47" t="str">
        <f t="shared" si="51"/>
        <v/>
      </c>
    </row>
    <row r="261" spans="1:39" s="56" customFormat="1" ht="24.75" customHeight="1">
      <c r="A261" s="44"/>
      <c r="B261" s="45"/>
      <c r="C261" s="46">
        <f>IF(B261&lt;&gt;"",VLOOKUP(B261,'Tipo Projeto'!$A$3:$B$35,2,0),0)</f>
        <v>0</v>
      </c>
      <c r="D261" s="47"/>
      <c r="E261" s="47"/>
      <c r="F261" s="48"/>
      <c r="G261" s="47"/>
      <c r="H261" s="49"/>
      <c r="I261" s="50"/>
      <c r="J261" s="51"/>
      <c r="K261" s="52"/>
      <c r="L261" s="53" t="str">
        <f t="shared" si="39"/>
        <v/>
      </c>
      <c r="M261" s="48" t="str">
        <f t="shared" si="40"/>
        <v/>
      </c>
      <c r="N261" s="54" t="str">
        <f t="shared" si="41"/>
        <v/>
      </c>
      <c r="O261" s="55">
        <f t="shared" si="42"/>
        <v>0</v>
      </c>
      <c r="P261" s="55">
        <f t="shared" si="43"/>
        <v>0</v>
      </c>
      <c r="Q261" s="54">
        <f t="shared" si="44"/>
        <v>0</v>
      </c>
      <c r="R261" s="47"/>
      <c r="T261" s="57"/>
      <c r="U261" s="45"/>
      <c r="V261" s="46">
        <f>IF(U261&lt;&gt;"",VLOOKUP(U261,'Tipo Projeto'!$A$3:$B$35,2,0),0)</f>
        <v>0</v>
      </c>
      <c r="W261" s="47"/>
      <c r="X261" s="49"/>
      <c r="Y261" s="50"/>
      <c r="Z261" s="51"/>
      <c r="AA261" s="52"/>
      <c r="AB261" s="53" t="str">
        <f t="shared" si="45"/>
        <v/>
      </c>
      <c r="AC261" s="48" t="str">
        <f t="shared" si="46"/>
        <v/>
      </c>
      <c r="AD261" s="54" t="str">
        <f t="shared" si="47"/>
        <v/>
      </c>
      <c r="AE261" s="55">
        <f t="shared" si="48"/>
        <v>0</v>
      </c>
      <c r="AF261" s="55">
        <f t="shared" si="49"/>
        <v>0</v>
      </c>
      <c r="AG261" s="58">
        <f t="shared" si="50"/>
        <v>0</v>
      </c>
      <c r="AH261" s="47"/>
      <c r="AJ261" s="47"/>
      <c r="AL261" s="47"/>
      <c r="AM261" s="47" t="str">
        <f t="shared" si="51"/>
        <v/>
      </c>
    </row>
    <row r="262" spans="1:39" s="56" customFormat="1" ht="24.75" customHeight="1">
      <c r="A262" s="44"/>
      <c r="B262" s="45"/>
      <c r="C262" s="46">
        <f>IF(B262&lt;&gt;"",VLOOKUP(B262,'Tipo Projeto'!$A$3:$B$35,2,0),0)</f>
        <v>0</v>
      </c>
      <c r="D262" s="47"/>
      <c r="E262" s="47"/>
      <c r="F262" s="48"/>
      <c r="G262" s="47"/>
      <c r="H262" s="49"/>
      <c r="I262" s="50"/>
      <c r="J262" s="51"/>
      <c r="K262" s="52"/>
      <c r="L262" s="53" t="str">
        <f t="shared" si="39"/>
        <v/>
      </c>
      <c r="M262" s="48" t="str">
        <f t="shared" si="40"/>
        <v/>
      </c>
      <c r="N262" s="54" t="str">
        <f t="shared" si="41"/>
        <v/>
      </c>
      <c r="O262" s="55">
        <f t="shared" si="42"/>
        <v>0</v>
      </c>
      <c r="P262" s="55">
        <f t="shared" si="43"/>
        <v>0</v>
      </c>
      <c r="Q262" s="54">
        <f t="shared" si="44"/>
        <v>0</v>
      </c>
      <c r="R262" s="47"/>
      <c r="T262" s="57"/>
      <c r="U262" s="45"/>
      <c r="V262" s="46">
        <f>IF(U262&lt;&gt;"",VLOOKUP(U262,'Tipo Projeto'!$A$3:$B$35,2,0),0)</f>
        <v>0</v>
      </c>
      <c r="W262" s="47"/>
      <c r="X262" s="49"/>
      <c r="Y262" s="50"/>
      <c r="Z262" s="51"/>
      <c r="AA262" s="52"/>
      <c r="AB262" s="53" t="str">
        <f t="shared" si="45"/>
        <v/>
      </c>
      <c r="AC262" s="48" t="str">
        <f t="shared" si="46"/>
        <v/>
      </c>
      <c r="AD262" s="54" t="str">
        <f t="shared" si="47"/>
        <v/>
      </c>
      <c r="AE262" s="55">
        <f t="shared" si="48"/>
        <v>0</v>
      </c>
      <c r="AF262" s="55">
        <f t="shared" si="49"/>
        <v>0</v>
      </c>
      <c r="AG262" s="58">
        <f t="shared" si="50"/>
        <v>0</v>
      </c>
      <c r="AH262" s="47"/>
      <c r="AJ262" s="47"/>
      <c r="AL262" s="47"/>
      <c r="AM262" s="47" t="str">
        <f t="shared" si="51"/>
        <v/>
      </c>
    </row>
    <row r="263" spans="1:39" s="56" customFormat="1" ht="24.75" customHeight="1">
      <c r="A263" s="44"/>
      <c r="B263" s="45"/>
      <c r="C263" s="46">
        <f>IF(B263&lt;&gt;"",VLOOKUP(B263,'Tipo Projeto'!$A$3:$B$35,2,0),0)</f>
        <v>0</v>
      </c>
      <c r="D263" s="47"/>
      <c r="E263" s="47"/>
      <c r="F263" s="48"/>
      <c r="G263" s="47"/>
      <c r="H263" s="49"/>
      <c r="I263" s="50"/>
      <c r="J263" s="51"/>
      <c r="K263" s="52"/>
      <c r="L263" s="53" t="str">
        <f t="shared" si="39"/>
        <v/>
      </c>
      <c r="M263" s="48" t="str">
        <f t="shared" si="40"/>
        <v/>
      </c>
      <c r="N263" s="54" t="str">
        <f t="shared" si="41"/>
        <v/>
      </c>
      <c r="O263" s="55">
        <f t="shared" si="42"/>
        <v>0</v>
      </c>
      <c r="P263" s="55">
        <f t="shared" si="43"/>
        <v>0</v>
      </c>
      <c r="Q263" s="54">
        <f t="shared" si="44"/>
        <v>0</v>
      </c>
      <c r="R263" s="47"/>
      <c r="T263" s="57"/>
      <c r="U263" s="45"/>
      <c r="V263" s="46">
        <f>IF(U263&lt;&gt;"",VLOOKUP(U263,'Tipo Projeto'!$A$3:$B$35,2,0),0)</f>
        <v>0</v>
      </c>
      <c r="W263" s="47"/>
      <c r="X263" s="49"/>
      <c r="Y263" s="50"/>
      <c r="Z263" s="51"/>
      <c r="AA263" s="52"/>
      <c r="AB263" s="53" t="str">
        <f t="shared" si="45"/>
        <v/>
      </c>
      <c r="AC263" s="48" t="str">
        <f t="shared" si="46"/>
        <v/>
      </c>
      <c r="AD263" s="54" t="str">
        <f t="shared" si="47"/>
        <v/>
      </c>
      <c r="AE263" s="55">
        <f t="shared" si="48"/>
        <v>0</v>
      </c>
      <c r="AF263" s="55">
        <f t="shared" si="49"/>
        <v>0</v>
      </c>
      <c r="AG263" s="58">
        <f t="shared" si="50"/>
        <v>0</v>
      </c>
      <c r="AH263" s="47"/>
      <c r="AJ263" s="47"/>
      <c r="AL263" s="47"/>
      <c r="AM263" s="47" t="str">
        <f t="shared" si="51"/>
        <v/>
      </c>
    </row>
    <row r="264" spans="1:39" s="56" customFormat="1" ht="24.75" customHeight="1">
      <c r="A264" s="44"/>
      <c r="B264" s="45"/>
      <c r="C264" s="46">
        <f>IF(B264&lt;&gt;"",VLOOKUP(B264,'Tipo Projeto'!$A$3:$B$35,2,0),0)</f>
        <v>0</v>
      </c>
      <c r="D264" s="47"/>
      <c r="E264" s="47"/>
      <c r="F264" s="48"/>
      <c r="G264" s="47"/>
      <c r="H264" s="49"/>
      <c r="I264" s="50"/>
      <c r="J264" s="51"/>
      <c r="K264" s="52"/>
      <c r="L264" s="53" t="str">
        <f t="shared" si="39"/>
        <v/>
      </c>
      <c r="M264" s="48" t="str">
        <f t="shared" si="40"/>
        <v/>
      </c>
      <c r="N264" s="54" t="str">
        <f t="shared" si="41"/>
        <v/>
      </c>
      <c r="O264" s="55">
        <f t="shared" si="42"/>
        <v>0</v>
      </c>
      <c r="P264" s="55">
        <f t="shared" si="43"/>
        <v>0</v>
      </c>
      <c r="Q264" s="54">
        <f t="shared" si="44"/>
        <v>0</v>
      </c>
      <c r="R264" s="47"/>
      <c r="T264" s="57"/>
      <c r="U264" s="45"/>
      <c r="V264" s="46">
        <f>IF(U264&lt;&gt;"",VLOOKUP(U264,'Tipo Projeto'!$A$3:$B$35,2,0),0)</f>
        <v>0</v>
      </c>
      <c r="W264" s="47"/>
      <c r="X264" s="49"/>
      <c r="Y264" s="50"/>
      <c r="Z264" s="51"/>
      <c r="AA264" s="52"/>
      <c r="AB264" s="53" t="str">
        <f t="shared" si="45"/>
        <v/>
      </c>
      <c r="AC264" s="48" t="str">
        <f t="shared" si="46"/>
        <v/>
      </c>
      <c r="AD264" s="54" t="str">
        <f t="shared" si="47"/>
        <v/>
      </c>
      <c r="AE264" s="55">
        <f t="shared" si="48"/>
        <v>0</v>
      </c>
      <c r="AF264" s="55">
        <f t="shared" si="49"/>
        <v>0</v>
      </c>
      <c r="AG264" s="58">
        <f t="shared" si="50"/>
        <v>0</v>
      </c>
      <c r="AH264" s="47"/>
      <c r="AJ264" s="47"/>
      <c r="AL264" s="47"/>
      <c r="AM264" s="47" t="str">
        <f t="shared" si="51"/>
        <v/>
      </c>
    </row>
    <row r="265" spans="1:39" s="56" customFormat="1" ht="24.75" customHeight="1">
      <c r="A265" s="44"/>
      <c r="B265" s="45"/>
      <c r="C265" s="46">
        <f>IF(B265&lt;&gt;"",VLOOKUP(B265,'Tipo Projeto'!$A$3:$B$35,2,0),0)</f>
        <v>0</v>
      </c>
      <c r="D265" s="47"/>
      <c r="E265" s="47"/>
      <c r="F265" s="48"/>
      <c r="G265" s="47"/>
      <c r="H265" s="49"/>
      <c r="I265" s="50"/>
      <c r="J265" s="51"/>
      <c r="K265" s="52"/>
      <c r="L265" s="53" t="str">
        <f t="shared" si="39"/>
        <v/>
      </c>
      <c r="M265" s="48" t="str">
        <f t="shared" si="40"/>
        <v/>
      </c>
      <c r="N265" s="54" t="str">
        <f t="shared" si="41"/>
        <v/>
      </c>
      <c r="O265" s="55">
        <f t="shared" si="42"/>
        <v>0</v>
      </c>
      <c r="P265" s="55">
        <f t="shared" si="43"/>
        <v>0</v>
      </c>
      <c r="Q265" s="54">
        <f t="shared" si="44"/>
        <v>0</v>
      </c>
      <c r="R265" s="47"/>
      <c r="T265" s="57"/>
      <c r="U265" s="45"/>
      <c r="V265" s="46">
        <f>IF(U265&lt;&gt;"",VLOOKUP(U265,'Tipo Projeto'!$A$3:$B$35,2,0),0)</f>
        <v>0</v>
      </c>
      <c r="W265" s="47"/>
      <c r="X265" s="49"/>
      <c r="Y265" s="50"/>
      <c r="Z265" s="51"/>
      <c r="AA265" s="52"/>
      <c r="AB265" s="53" t="str">
        <f t="shared" si="45"/>
        <v/>
      </c>
      <c r="AC265" s="48" t="str">
        <f t="shared" si="46"/>
        <v/>
      </c>
      <c r="AD265" s="54" t="str">
        <f t="shared" si="47"/>
        <v/>
      </c>
      <c r="AE265" s="55">
        <f t="shared" si="48"/>
        <v>0</v>
      </c>
      <c r="AF265" s="55">
        <f t="shared" si="49"/>
        <v>0</v>
      </c>
      <c r="AG265" s="58">
        <f t="shared" si="50"/>
        <v>0</v>
      </c>
      <c r="AH265" s="47"/>
      <c r="AJ265" s="47"/>
      <c r="AL265" s="47"/>
      <c r="AM265" s="47" t="str">
        <f t="shared" si="51"/>
        <v/>
      </c>
    </row>
    <row r="266" spans="1:39" s="56" customFormat="1" ht="24.75" customHeight="1">
      <c r="A266" s="44"/>
      <c r="B266" s="45"/>
      <c r="C266" s="46">
        <f>IF(B266&lt;&gt;"",VLOOKUP(B266,'Tipo Projeto'!$A$3:$B$35,2,0),0)</f>
        <v>0</v>
      </c>
      <c r="D266" s="47"/>
      <c r="E266" s="47"/>
      <c r="F266" s="48"/>
      <c r="G266" s="47"/>
      <c r="H266" s="49"/>
      <c r="I266" s="50"/>
      <c r="J266" s="51"/>
      <c r="K266" s="52"/>
      <c r="L266" s="53" t="str">
        <f t="shared" ref="L266:L329" si="52">IF(G266="EE",IF(OR(AND(OR(J266=1,J266=0),H266&gt;0,H266&lt;5),AND(OR(J266=1,J266=0),H266&gt;4,H266&lt;16),AND(J266=2,H266&gt;0,H266&lt;5)),"Simples",IF(OR(AND(OR(J266=1,J266=0),H266&gt;15),AND(J266=2,H266&gt;4,H266&lt;16),AND(J266&gt;2,H266&gt;0,H266&lt;5)),"Médio",IF(OR(AND(J266=2,H266&gt;15),AND(J266&gt;2,H266&gt;4,H266&lt;16),AND(J266&gt;2,H266&gt;15)),"Complexo",""))), IF(OR(G266="CE",G266="SE"),IF(OR(AND(OR(J266=1,J266=0),H266&gt;0,H266&lt;6),AND(OR(J266=1,J266=0),H266&gt;5,H266&lt;20),AND(J266&gt;1,J266&lt;4,H266&gt;0,H266&lt;6)),"Simples",IF(OR(AND(OR(J266=1,J266=0),H266&gt;19),AND(J266&gt;1,J266&lt;4,H266&gt;5,H266&lt;20),AND(J266&gt;3,H266&gt;0,H266&lt;6)),"Médio",IF(OR(AND(J266&gt;1,J266&lt;4,H266&gt;19),AND(J266&gt;3,H266&gt;5,H266&lt;20),AND(J266&gt;3,H266&gt;19)),"Complexo",""))),""))</f>
        <v/>
      </c>
      <c r="M266" s="48" t="str">
        <f t="shared" ref="M266:M329" si="53">IF(G266="ALI",IF(OR(AND(OR(J266=1,J266=0),H266&gt;0,H266&lt;20),AND(OR(J266=1,J266=0),H266&gt;19,H266&lt;51),AND(J266&gt;1,J266&lt;6,H266&gt;0,H266&lt;20)),"Simples",IF(OR(AND(OR(J266=1,J266=0),H266&gt;50),AND(J266&gt;1,J266&lt;6,H266&gt;19,H266&lt;51),AND(J266&gt;5,H266&gt;0,H266&lt;20)),"Médio",IF(OR(AND(J266&gt;1,J266&lt;6,H266&gt;50),AND(J266&gt;5,H266&gt;19,H266&lt;51),AND(J266&gt;5,H266&gt;50)),"Complexo",""))), IF(G266="AIE",IF(OR(AND(OR(J266=1, J266=0),H266&gt;0,H266&lt;20),AND(OR(J266=1, J266=0),H266&gt;19,H266&lt;51),AND(J266&gt;1,J266&lt;6,H266&gt;0,H266&lt;20)),"Simples",IF(OR(AND(OR(J266=1, J266=0),H266&gt;50),AND(J266&gt;1,J266&lt;6,H266&gt;19,H266&lt;51),AND(J266&gt;5,H266&gt;0,H266&lt;20)),"Médio",IF(OR(AND(J266&gt;1,J266&lt;6,H266&gt;50),AND(J266&gt;5,H266&gt;19,H266&lt;51),AND(J266&gt;5,H266&gt;50)),"Complexo",""))),""))</f>
        <v/>
      </c>
      <c r="N266" s="54" t="str">
        <f t="shared" ref="N266:N329" si="54">IF(L266="",M266,IF(M266="",L266,""))</f>
        <v/>
      </c>
      <c r="O266" s="55">
        <f t="shared" ref="O266:O329" si="55">IF(AND(OR(G266="EE",G266="CE"),N266="Simples"),3, IF(AND(OR(G266="EE",G266="CE"),N266="Médio"),4, IF(AND(OR(G266="EE",G266="CE"),N266="Complexo"),6, IF(AND(G266="SE",N266="Simples"),4, IF(AND(G266="SE",N266="Médio"),5, IF(AND(G266="SE",N266="Complexo"),7,0))))))</f>
        <v>0</v>
      </c>
      <c r="P266" s="55">
        <f t="shared" ref="P266:P329" si="56">IF(AND(G266="ALI",M266="Simples"),7, IF(AND(G266="ALI",M266="Médio"),10, IF(AND(G266="ALI",M266="Complexo"),15, IF(AND(G266="AIE",M266="Simples"),5, IF(AND(G266="AIE",M266="Médio"),7, IF(AND(G266="AIE",M266="Complexo"),10,0))))))</f>
        <v>0</v>
      </c>
      <c r="Q266" s="54">
        <f t="shared" ref="Q266:Q329" si="57">IF(B266&lt;&gt;"Manutenção em interface",IF(B266&lt;&gt;"Desenv., Manutenção e Publicação de Páginas Estáticas",(O266+P266)*C266,C266),C266)</f>
        <v>0</v>
      </c>
      <c r="R266" s="47"/>
      <c r="T266" s="57"/>
      <c r="U266" s="45"/>
      <c r="V266" s="46">
        <f>IF(U266&lt;&gt;"",VLOOKUP(U266,'Tipo Projeto'!$A$3:$B$35,2,0),0)</f>
        <v>0</v>
      </c>
      <c r="W266" s="47"/>
      <c r="X266" s="49"/>
      <c r="Y266" s="50"/>
      <c r="Z266" s="51"/>
      <c r="AA266" s="52"/>
      <c r="AB266" s="53" t="str">
        <f t="shared" ref="AB266:AB329" si="58">IF(W266="EE",IF(OR(AND(OR(Z266=1,Z266=0),X266&gt;0,X266&lt;5),AND(OR(Z266=1,Z266=0),X266&gt;4,X266&lt;16),AND(Z266=2,X266&gt;0,X266&lt;5)),"Simples",IF(OR(AND(OR(Z266=1,Z266=0),X266&gt;15),AND(Z266=2,X266&gt;4,X266&lt;16),AND(Z266&gt;2,X266&gt;0,X266&lt;5)),"Médio",IF(OR(AND(Z266=2,X266&gt;15),AND(Z266&gt;2,X266&gt;4,X266&lt;16),AND(Z266&gt;2,X266&gt;15)),"Complexo",""))), IF(OR(W266="CE",W266="SE"),IF(OR(AND(OR(Z266=1,Z266=0),X266&gt;0,X266&lt;6),AND(OR(Z266=1,Z266=0),X266&gt;5,X266&lt;20),AND(Z266&gt;1,Z266&lt;4,X266&gt;0,X266&lt;6)),"Simples",IF(OR(AND(OR(Z266=1,Z266=0),X266&gt;19),AND(Z266&gt;1,Z266&lt;4,X266&gt;5,X266&lt;20),AND(Z266&gt;3,X266&gt;0,X266&lt;6)),"Médio",IF(OR(AND(Z266&gt;1,Z266&lt;4,X266&gt;19),AND(Z266&gt;3,X266&gt;5,X266&lt;20),AND(Z266&gt;3,X266&gt;19)),"Complexo",""))),""))</f>
        <v/>
      </c>
      <c r="AC266" s="48" t="str">
        <f t="shared" ref="AC266:AC329" si="59">IF(W266="ALI",IF(OR(AND(OR(Z266=1,Z266=0),X266&gt;0,X266&lt;20),AND(OR(Z266=1,Z266=0),X266&gt;19,X266&lt;51),AND(Z266&gt;1,Z266&lt;6,X266&gt;0,X266&lt;20)),"Simples",IF(OR(AND(OR(Z266=1,Z266=0),X266&gt;50),AND(Z266&gt;1,Z266&lt;6,X266&gt;19,X266&lt;51),AND(Z266&gt;5,X266&gt;0,X266&lt;20)),"Médio",IF(OR(AND(Z266&gt;1,Z266&lt;6,X266&gt;50),AND(Z266&gt;5,X266&gt;19,X266&lt;51),AND(Z266&gt;5,X266&gt;50)),"Complexo",""))), IF(W266="AIE",IF(OR(AND(OR(Z266=1, Z266=0),X266&gt;0,X266&lt;20),AND(OR(Z266=1, Z266=0),X266&gt;19,X266&lt;51),AND(Z266&gt;1,Z266&lt;6,X266&gt;0,X266&lt;20)),"Simples",IF(OR(AND(OR(Z266=1, Z266=0),X266&gt;50),AND(Z266&gt;1,Z266&lt;6,X266&gt;19,X266&lt;51),AND(Z266&gt;5,X266&gt;0,X266&lt;20)),"Médio",IF(OR(AND(Z266&gt;1,Z266&lt;6,X266&gt;50),AND(Z266&gt;5,X266&gt;19,X266&lt;51),AND(Z266&gt;5,X266&gt;50)),"Complexo",""))),""))</f>
        <v/>
      </c>
      <c r="AD266" s="54" t="str">
        <f t="shared" ref="AD266:AD329" si="60">IF(AB266="",AC266,IF(AC266="",AB266,""))</f>
        <v/>
      </c>
      <c r="AE266" s="55">
        <f t="shared" ref="AE266:AE329" si="61">IF(AND(OR(W266="EE",W266="CE"),AD266="Simples"),3, IF(AND(OR(W266="EE",W266="CE"),AD266="Médio"),4, IF(AND(OR(W266="EE",W266="CE"),AD266="Complexo"),6, IF(AND(W266="SE",AD266="Simples"),4, IF(AND(W266="SE",AD266="Médio"),5, IF(AND(W266="SE",AD266="Complexo"),7,0))))))</f>
        <v>0</v>
      </c>
      <c r="AF266" s="55">
        <f t="shared" ref="AF266:AF329" si="62">IF(AND(W266="ALI",AC266="Simples"),7, IF(AND(W266="ALI",AC266="Médio"),10, IF(AND(W266="ALI",AC266="Complexo"),15, IF(AND(W266="AIE",AC266="Simples"),5, IF(AND(W266="AIE",AC266="Médio"),7, IF(AND(W266="AIE",AC266="Complexo"),10,0))))))</f>
        <v>0</v>
      </c>
      <c r="AG266" s="58">
        <f t="shared" ref="AG266:AG329" si="63">IF(T266="OK",Q266,( IF(U266&lt;&gt;"Manutenção em interface",IF(U266&lt;&gt;"Desenv., Manutenção e Publicação de Páginas Estáticas",(AE266+AF266)*V266,V266),V266)))</f>
        <v>0</v>
      </c>
      <c r="AH266" s="47"/>
      <c r="AJ266" s="47"/>
      <c r="AL266" s="47"/>
      <c r="AM266" s="47" t="str">
        <f t="shared" ref="AM266:AM329" si="64">IF(AG266=0,"",IF(AG266=Q266,"OK","Divergente"))</f>
        <v/>
      </c>
    </row>
    <row r="267" spans="1:39" s="56" customFormat="1" ht="24.75" customHeight="1">
      <c r="A267" s="44"/>
      <c r="B267" s="45"/>
      <c r="C267" s="46">
        <f>IF(B267&lt;&gt;"",VLOOKUP(B267,'Tipo Projeto'!$A$3:$B$35,2,0),0)</f>
        <v>0</v>
      </c>
      <c r="D267" s="47"/>
      <c r="E267" s="47"/>
      <c r="F267" s="48"/>
      <c r="G267" s="47"/>
      <c r="H267" s="49"/>
      <c r="I267" s="50"/>
      <c r="J267" s="51"/>
      <c r="K267" s="52"/>
      <c r="L267" s="53" t="str">
        <f t="shared" si="52"/>
        <v/>
      </c>
      <c r="M267" s="48" t="str">
        <f t="shared" si="53"/>
        <v/>
      </c>
      <c r="N267" s="54" t="str">
        <f t="shared" si="54"/>
        <v/>
      </c>
      <c r="O267" s="55">
        <f t="shared" si="55"/>
        <v>0</v>
      </c>
      <c r="P267" s="55">
        <f t="shared" si="56"/>
        <v>0</v>
      </c>
      <c r="Q267" s="54">
        <f t="shared" si="57"/>
        <v>0</v>
      </c>
      <c r="R267" s="47"/>
      <c r="T267" s="57"/>
      <c r="U267" s="45"/>
      <c r="V267" s="46">
        <f>IF(U267&lt;&gt;"",VLOOKUP(U267,'Tipo Projeto'!$A$3:$B$35,2,0),0)</f>
        <v>0</v>
      </c>
      <c r="W267" s="47"/>
      <c r="X267" s="49"/>
      <c r="Y267" s="50"/>
      <c r="Z267" s="51"/>
      <c r="AA267" s="52"/>
      <c r="AB267" s="53" t="str">
        <f t="shared" si="58"/>
        <v/>
      </c>
      <c r="AC267" s="48" t="str">
        <f t="shared" si="59"/>
        <v/>
      </c>
      <c r="AD267" s="54" t="str">
        <f t="shared" si="60"/>
        <v/>
      </c>
      <c r="AE267" s="55">
        <f t="shared" si="61"/>
        <v>0</v>
      </c>
      <c r="AF267" s="55">
        <f t="shared" si="62"/>
        <v>0</v>
      </c>
      <c r="AG267" s="58">
        <f t="shared" si="63"/>
        <v>0</v>
      </c>
      <c r="AH267" s="47"/>
      <c r="AJ267" s="47"/>
      <c r="AL267" s="47"/>
      <c r="AM267" s="47" t="str">
        <f t="shared" si="64"/>
        <v/>
      </c>
    </row>
    <row r="268" spans="1:39" s="56" customFormat="1" ht="24.75" customHeight="1">
      <c r="A268" s="44"/>
      <c r="B268" s="45"/>
      <c r="C268" s="46">
        <f>IF(B268&lt;&gt;"",VLOOKUP(B268,'Tipo Projeto'!$A$3:$B$35,2,0),0)</f>
        <v>0</v>
      </c>
      <c r="D268" s="47"/>
      <c r="E268" s="47"/>
      <c r="F268" s="48"/>
      <c r="G268" s="47"/>
      <c r="H268" s="49"/>
      <c r="I268" s="50"/>
      <c r="J268" s="51"/>
      <c r="K268" s="52"/>
      <c r="L268" s="53" t="str">
        <f t="shared" si="52"/>
        <v/>
      </c>
      <c r="M268" s="48" t="str">
        <f t="shared" si="53"/>
        <v/>
      </c>
      <c r="N268" s="54" t="str">
        <f t="shared" si="54"/>
        <v/>
      </c>
      <c r="O268" s="55">
        <f t="shared" si="55"/>
        <v>0</v>
      </c>
      <c r="P268" s="55">
        <f t="shared" si="56"/>
        <v>0</v>
      </c>
      <c r="Q268" s="54">
        <f t="shared" si="57"/>
        <v>0</v>
      </c>
      <c r="R268" s="47"/>
      <c r="T268" s="57"/>
      <c r="U268" s="45"/>
      <c r="V268" s="46">
        <f>IF(U268&lt;&gt;"",VLOOKUP(U268,'Tipo Projeto'!$A$3:$B$35,2,0),0)</f>
        <v>0</v>
      </c>
      <c r="W268" s="47"/>
      <c r="X268" s="49"/>
      <c r="Y268" s="50"/>
      <c r="Z268" s="51"/>
      <c r="AA268" s="52"/>
      <c r="AB268" s="53" t="str">
        <f t="shared" si="58"/>
        <v/>
      </c>
      <c r="AC268" s="48" t="str">
        <f t="shared" si="59"/>
        <v/>
      </c>
      <c r="AD268" s="54" t="str">
        <f t="shared" si="60"/>
        <v/>
      </c>
      <c r="AE268" s="55">
        <f t="shared" si="61"/>
        <v>0</v>
      </c>
      <c r="AF268" s="55">
        <f t="shared" si="62"/>
        <v>0</v>
      </c>
      <c r="AG268" s="58">
        <f t="shared" si="63"/>
        <v>0</v>
      </c>
      <c r="AH268" s="47"/>
      <c r="AJ268" s="47"/>
      <c r="AL268" s="47"/>
      <c r="AM268" s="47" t="str">
        <f t="shared" si="64"/>
        <v/>
      </c>
    </row>
    <row r="269" spans="1:39" s="56" customFormat="1" ht="24.75" customHeight="1">
      <c r="A269" s="44"/>
      <c r="B269" s="45"/>
      <c r="C269" s="46">
        <f>IF(B269&lt;&gt;"",VLOOKUP(B269,'Tipo Projeto'!$A$3:$B$35,2,0),0)</f>
        <v>0</v>
      </c>
      <c r="D269" s="47"/>
      <c r="E269" s="47"/>
      <c r="F269" s="48"/>
      <c r="G269" s="47"/>
      <c r="H269" s="49"/>
      <c r="I269" s="50"/>
      <c r="J269" s="51"/>
      <c r="K269" s="52"/>
      <c r="L269" s="53" t="str">
        <f t="shared" si="52"/>
        <v/>
      </c>
      <c r="M269" s="48" t="str">
        <f t="shared" si="53"/>
        <v/>
      </c>
      <c r="N269" s="54" t="str">
        <f t="shared" si="54"/>
        <v/>
      </c>
      <c r="O269" s="55">
        <f t="shared" si="55"/>
        <v>0</v>
      </c>
      <c r="P269" s="55">
        <f t="shared" si="56"/>
        <v>0</v>
      </c>
      <c r="Q269" s="54">
        <f t="shared" si="57"/>
        <v>0</v>
      </c>
      <c r="R269" s="47"/>
      <c r="T269" s="57"/>
      <c r="U269" s="45"/>
      <c r="V269" s="46">
        <f>IF(U269&lt;&gt;"",VLOOKUP(U269,'Tipo Projeto'!$A$3:$B$35,2,0),0)</f>
        <v>0</v>
      </c>
      <c r="W269" s="47"/>
      <c r="X269" s="49"/>
      <c r="Y269" s="50"/>
      <c r="Z269" s="51"/>
      <c r="AA269" s="52"/>
      <c r="AB269" s="53" t="str">
        <f t="shared" si="58"/>
        <v/>
      </c>
      <c r="AC269" s="48" t="str">
        <f t="shared" si="59"/>
        <v/>
      </c>
      <c r="AD269" s="54" t="str">
        <f t="shared" si="60"/>
        <v/>
      </c>
      <c r="AE269" s="55">
        <f t="shared" si="61"/>
        <v>0</v>
      </c>
      <c r="AF269" s="55">
        <f t="shared" si="62"/>
        <v>0</v>
      </c>
      <c r="AG269" s="58">
        <f t="shared" si="63"/>
        <v>0</v>
      </c>
      <c r="AH269" s="47"/>
      <c r="AJ269" s="47"/>
      <c r="AL269" s="47"/>
      <c r="AM269" s="47" t="str">
        <f t="shared" si="64"/>
        <v/>
      </c>
    </row>
    <row r="270" spans="1:39" s="56" customFormat="1" ht="24.75" customHeight="1">
      <c r="A270" s="44"/>
      <c r="B270" s="45"/>
      <c r="C270" s="46">
        <f>IF(B270&lt;&gt;"",VLOOKUP(B270,'Tipo Projeto'!$A$3:$B$35,2,0),0)</f>
        <v>0</v>
      </c>
      <c r="D270" s="47"/>
      <c r="E270" s="47"/>
      <c r="F270" s="48"/>
      <c r="G270" s="47"/>
      <c r="H270" s="49"/>
      <c r="I270" s="50"/>
      <c r="J270" s="51"/>
      <c r="K270" s="52"/>
      <c r="L270" s="53" t="str">
        <f t="shared" si="52"/>
        <v/>
      </c>
      <c r="M270" s="48" t="str">
        <f t="shared" si="53"/>
        <v/>
      </c>
      <c r="N270" s="54" t="str">
        <f t="shared" si="54"/>
        <v/>
      </c>
      <c r="O270" s="55">
        <f t="shared" si="55"/>
        <v>0</v>
      </c>
      <c r="P270" s="55">
        <f t="shared" si="56"/>
        <v>0</v>
      </c>
      <c r="Q270" s="54">
        <f t="shared" si="57"/>
        <v>0</v>
      </c>
      <c r="R270" s="47"/>
      <c r="T270" s="57"/>
      <c r="U270" s="45"/>
      <c r="V270" s="46">
        <f>IF(U270&lt;&gt;"",VLOOKUP(U270,'Tipo Projeto'!$A$3:$B$35,2,0),0)</f>
        <v>0</v>
      </c>
      <c r="W270" s="47"/>
      <c r="X270" s="49"/>
      <c r="Y270" s="50"/>
      <c r="Z270" s="51"/>
      <c r="AA270" s="52"/>
      <c r="AB270" s="53" t="str">
        <f t="shared" si="58"/>
        <v/>
      </c>
      <c r="AC270" s="48" t="str">
        <f t="shared" si="59"/>
        <v/>
      </c>
      <c r="AD270" s="54" t="str">
        <f t="shared" si="60"/>
        <v/>
      </c>
      <c r="AE270" s="55">
        <f t="shared" si="61"/>
        <v>0</v>
      </c>
      <c r="AF270" s="55">
        <f t="shared" si="62"/>
        <v>0</v>
      </c>
      <c r="AG270" s="58">
        <f t="shared" si="63"/>
        <v>0</v>
      </c>
      <c r="AH270" s="47"/>
      <c r="AJ270" s="47"/>
      <c r="AL270" s="47"/>
      <c r="AM270" s="47" t="str">
        <f t="shared" si="64"/>
        <v/>
      </c>
    </row>
    <row r="271" spans="1:39" s="56" customFormat="1" ht="24.75" customHeight="1">
      <c r="A271" s="44"/>
      <c r="B271" s="45"/>
      <c r="C271" s="46">
        <f>IF(B271&lt;&gt;"",VLOOKUP(B271,'Tipo Projeto'!$A$3:$B$35,2,0),0)</f>
        <v>0</v>
      </c>
      <c r="D271" s="47"/>
      <c r="E271" s="47"/>
      <c r="F271" s="48"/>
      <c r="G271" s="47"/>
      <c r="H271" s="49"/>
      <c r="I271" s="50"/>
      <c r="J271" s="51"/>
      <c r="K271" s="52"/>
      <c r="L271" s="53" t="str">
        <f t="shared" si="52"/>
        <v/>
      </c>
      <c r="M271" s="48" t="str">
        <f t="shared" si="53"/>
        <v/>
      </c>
      <c r="N271" s="54" t="str">
        <f t="shared" si="54"/>
        <v/>
      </c>
      <c r="O271" s="55">
        <f t="shared" si="55"/>
        <v>0</v>
      </c>
      <c r="P271" s="55">
        <f t="shared" si="56"/>
        <v>0</v>
      </c>
      <c r="Q271" s="54">
        <f t="shared" si="57"/>
        <v>0</v>
      </c>
      <c r="R271" s="47"/>
      <c r="T271" s="57"/>
      <c r="U271" s="45"/>
      <c r="V271" s="46">
        <f>IF(U271&lt;&gt;"",VLOOKUP(U271,'Tipo Projeto'!$A$3:$B$35,2,0),0)</f>
        <v>0</v>
      </c>
      <c r="W271" s="47"/>
      <c r="X271" s="49"/>
      <c r="Y271" s="50"/>
      <c r="Z271" s="51"/>
      <c r="AA271" s="52"/>
      <c r="AB271" s="53" t="str">
        <f t="shared" si="58"/>
        <v/>
      </c>
      <c r="AC271" s="48" t="str">
        <f t="shared" si="59"/>
        <v/>
      </c>
      <c r="AD271" s="54" t="str">
        <f t="shared" si="60"/>
        <v/>
      </c>
      <c r="AE271" s="55">
        <f t="shared" si="61"/>
        <v>0</v>
      </c>
      <c r="AF271" s="55">
        <f t="shared" si="62"/>
        <v>0</v>
      </c>
      <c r="AG271" s="58">
        <f t="shared" si="63"/>
        <v>0</v>
      </c>
      <c r="AH271" s="47"/>
      <c r="AJ271" s="47"/>
      <c r="AL271" s="47"/>
      <c r="AM271" s="47" t="str">
        <f t="shared" si="64"/>
        <v/>
      </c>
    </row>
    <row r="272" spans="1:39" s="56" customFormat="1" ht="24.75" customHeight="1">
      <c r="A272" s="44"/>
      <c r="B272" s="45"/>
      <c r="C272" s="46">
        <f>IF(B272&lt;&gt;"",VLOOKUP(B272,'Tipo Projeto'!$A$3:$B$35,2,0),0)</f>
        <v>0</v>
      </c>
      <c r="D272" s="47"/>
      <c r="E272" s="47"/>
      <c r="F272" s="48"/>
      <c r="G272" s="47"/>
      <c r="H272" s="49"/>
      <c r="I272" s="50"/>
      <c r="J272" s="51"/>
      <c r="K272" s="52"/>
      <c r="L272" s="53" t="str">
        <f t="shared" si="52"/>
        <v/>
      </c>
      <c r="M272" s="48" t="str">
        <f t="shared" si="53"/>
        <v/>
      </c>
      <c r="N272" s="54" t="str">
        <f t="shared" si="54"/>
        <v/>
      </c>
      <c r="O272" s="55">
        <f t="shared" si="55"/>
        <v>0</v>
      </c>
      <c r="P272" s="55">
        <f t="shared" si="56"/>
        <v>0</v>
      </c>
      <c r="Q272" s="54">
        <f t="shared" si="57"/>
        <v>0</v>
      </c>
      <c r="R272" s="47"/>
      <c r="T272" s="57"/>
      <c r="U272" s="45"/>
      <c r="V272" s="46">
        <f>IF(U272&lt;&gt;"",VLOOKUP(U272,'Tipo Projeto'!$A$3:$B$35,2,0),0)</f>
        <v>0</v>
      </c>
      <c r="W272" s="47"/>
      <c r="X272" s="49"/>
      <c r="Y272" s="50"/>
      <c r="Z272" s="51"/>
      <c r="AA272" s="52"/>
      <c r="AB272" s="53" t="str">
        <f t="shared" si="58"/>
        <v/>
      </c>
      <c r="AC272" s="48" t="str">
        <f t="shared" si="59"/>
        <v/>
      </c>
      <c r="AD272" s="54" t="str">
        <f t="shared" si="60"/>
        <v/>
      </c>
      <c r="AE272" s="55">
        <f t="shared" si="61"/>
        <v>0</v>
      </c>
      <c r="AF272" s="55">
        <f t="shared" si="62"/>
        <v>0</v>
      </c>
      <c r="AG272" s="58">
        <f t="shared" si="63"/>
        <v>0</v>
      </c>
      <c r="AH272" s="47"/>
      <c r="AJ272" s="47"/>
      <c r="AL272" s="47"/>
      <c r="AM272" s="47" t="str">
        <f t="shared" si="64"/>
        <v/>
      </c>
    </row>
    <row r="273" spans="1:39" s="56" customFormat="1" ht="24.75" customHeight="1">
      <c r="A273" s="44"/>
      <c r="B273" s="45"/>
      <c r="C273" s="46">
        <f>IF(B273&lt;&gt;"",VLOOKUP(B273,'Tipo Projeto'!$A$3:$B$35,2,0),0)</f>
        <v>0</v>
      </c>
      <c r="D273" s="47"/>
      <c r="E273" s="47"/>
      <c r="F273" s="48"/>
      <c r="G273" s="47"/>
      <c r="H273" s="49"/>
      <c r="I273" s="50"/>
      <c r="J273" s="51"/>
      <c r="K273" s="52"/>
      <c r="L273" s="53" t="str">
        <f t="shared" si="52"/>
        <v/>
      </c>
      <c r="M273" s="48" t="str">
        <f t="shared" si="53"/>
        <v/>
      </c>
      <c r="N273" s="54" t="str">
        <f t="shared" si="54"/>
        <v/>
      </c>
      <c r="O273" s="55">
        <f t="shared" si="55"/>
        <v>0</v>
      </c>
      <c r="P273" s="55">
        <f t="shared" si="56"/>
        <v>0</v>
      </c>
      <c r="Q273" s="54">
        <f t="shared" si="57"/>
        <v>0</v>
      </c>
      <c r="R273" s="47"/>
      <c r="T273" s="57"/>
      <c r="U273" s="45"/>
      <c r="V273" s="46">
        <f>IF(U273&lt;&gt;"",VLOOKUP(U273,'Tipo Projeto'!$A$3:$B$35,2,0),0)</f>
        <v>0</v>
      </c>
      <c r="W273" s="47"/>
      <c r="X273" s="49"/>
      <c r="Y273" s="50"/>
      <c r="Z273" s="51"/>
      <c r="AA273" s="52"/>
      <c r="AB273" s="53" t="str">
        <f t="shared" si="58"/>
        <v/>
      </c>
      <c r="AC273" s="48" t="str">
        <f t="shared" si="59"/>
        <v/>
      </c>
      <c r="AD273" s="54" t="str">
        <f t="shared" si="60"/>
        <v/>
      </c>
      <c r="AE273" s="55">
        <f t="shared" si="61"/>
        <v>0</v>
      </c>
      <c r="AF273" s="55">
        <f t="shared" si="62"/>
        <v>0</v>
      </c>
      <c r="AG273" s="58">
        <f t="shared" si="63"/>
        <v>0</v>
      </c>
      <c r="AH273" s="47"/>
      <c r="AJ273" s="47"/>
      <c r="AL273" s="47"/>
      <c r="AM273" s="47" t="str">
        <f t="shared" si="64"/>
        <v/>
      </c>
    </row>
    <row r="274" spans="1:39" s="56" customFormat="1" ht="24.75" customHeight="1">
      <c r="A274" s="44"/>
      <c r="B274" s="45"/>
      <c r="C274" s="46">
        <f>IF(B274&lt;&gt;"",VLOOKUP(B274,'Tipo Projeto'!$A$3:$B$35,2,0),0)</f>
        <v>0</v>
      </c>
      <c r="D274" s="47"/>
      <c r="E274" s="47"/>
      <c r="F274" s="48"/>
      <c r="G274" s="47"/>
      <c r="H274" s="49"/>
      <c r="I274" s="50"/>
      <c r="J274" s="51"/>
      <c r="K274" s="52"/>
      <c r="L274" s="53" t="str">
        <f t="shared" si="52"/>
        <v/>
      </c>
      <c r="M274" s="48" t="str">
        <f t="shared" si="53"/>
        <v/>
      </c>
      <c r="N274" s="54" t="str">
        <f t="shared" si="54"/>
        <v/>
      </c>
      <c r="O274" s="55">
        <f t="shared" si="55"/>
        <v>0</v>
      </c>
      <c r="P274" s="55">
        <f t="shared" si="56"/>
        <v>0</v>
      </c>
      <c r="Q274" s="54">
        <f t="shared" si="57"/>
        <v>0</v>
      </c>
      <c r="R274" s="47"/>
      <c r="T274" s="57"/>
      <c r="U274" s="45"/>
      <c r="V274" s="46">
        <f>IF(U274&lt;&gt;"",VLOOKUP(U274,'Tipo Projeto'!$A$3:$B$35,2,0),0)</f>
        <v>0</v>
      </c>
      <c r="W274" s="47"/>
      <c r="X274" s="49"/>
      <c r="Y274" s="50"/>
      <c r="Z274" s="51"/>
      <c r="AA274" s="52"/>
      <c r="AB274" s="53" t="str">
        <f t="shared" si="58"/>
        <v/>
      </c>
      <c r="AC274" s="48" t="str">
        <f t="shared" si="59"/>
        <v/>
      </c>
      <c r="AD274" s="54" t="str">
        <f t="shared" si="60"/>
        <v/>
      </c>
      <c r="AE274" s="55">
        <f t="shared" si="61"/>
        <v>0</v>
      </c>
      <c r="AF274" s="55">
        <f t="shared" si="62"/>
        <v>0</v>
      </c>
      <c r="AG274" s="58">
        <f t="shared" si="63"/>
        <v>0</v>
      </c>
      <c r="AH274" s="47"/>
      <c r="AJ274" s="47"/>
      <c r="AL274" s="47"/>
      <c r="AM274" s="47" t="str">
        <f t="shared" si="64"/>
        <v/>
      </c>
    </row>
    <row r="275" spans="1:39" s="56" customFormat="1" ht="24.75" customHeight="1">
      <c r="A275" s="44"/>
      <c r="B275" s="45"/>
      <c r="C275" s="46">
        <f>IF(B275&lt;&gt;"",VLOOKUP(B275,'Tipo Projeto'!$A$3:$B$35,2,0),0)</f>
        <v>0</v>
      </c>
      <c r="D275" s="47"/>
      <c r="E275" s="47"/>
      <c r="F275" s="48"/>
      <c r="G275" s="47"/>
      <c r="H275" s="49"/>
      <c r="I275" s="50"/>
      <c r="J275" s="51"/>
      <c r="K275" s="52"/>
      <c r="L275" s="53" t="str">
        <f t="shared" si="52"/>
        <v/>
      </c>
      <c r="M275" s="48" t="str">
        <f t="shared" si="53"/>
        <v/>
      </c>
      <c r="N275" s="54" t="str">
        <f t="shared" si="54"/>
        <v/>
      </c>
      <c r="O275" s="55">
        <f t="shared" si="55"/>
        <v>0</v>
      </c>
      <c r="P275" s="55">
        <f t="shared" si="56"/>
        <v>0</v>
      </c>
      <c r="Q275" s="54">
        <f t="shared" si="57"/>
        <v>0</v>
      </c>
      <c r="R275" s="47"/>
      <c r="T275" s="57"/>
      <c r="U275" s="45"/>
      <c r="V275" s="46">
        <f>IF(U275&lt;&gt;"",VLOOKUP(U275,'Tipo Projeto'!$A$3:$B$35,2,0),0)</f>
        <v>0</v>
      </c>
      <c r="W275" s="47"/>
      <c r="X275" s="49"/>
      <c r="Y275" s="50"/>
      <c r="Z275" s="51"/>
      <c r="AA275" s="52"/>
      <c r="AB275" s="53" t="str">
        <f t="shared" si="58"/>
        <v/>
      </c>
      <c r="AC275" s="48" t="str">
        <f t="shared" si="59"/>
        <v/>
      </c>
      <c r="AD275" s="54" t="str">
        <f t="shared" si="60"/>
        <v/>
      </c>
      <c r="AE275" s="55">
        <f t="shared" si="61"/>
        <v>0</v>
      </c>
      <c r="AF275" s="55">
        <f t="shared" si="62"/>
        <v>0</v>
      </c>
      <c r="AG275" s="58">
        <f t="shared" si="63"/>
        <v>0</v>
      </c>
      <c r="AH275" s="47"/>
      <c r="AJ275" s="47"/>
      <c r="AL275" s="47"/>
      <c r="AM275" s="47" t="str">
        <f t="shared" si="64"/>
        <v/>
      </c>
    </row>
    <row r="276" spans="1:39" s="56" customFormat="1" ht="24.75" customHeight="1">
      <c r="A276" s="44"/>
      <c r="B276" s="45"/>
      <c r="C276" s="46">
        <f>IF(B276&lt;&gt;"",VLOOKUP(B276,'Tipo Projeto'!$A$3:$B$35,2,0),0)</f>
        <v>0</v>
      </c>
      <c r="D276" s="47"/>
      <c r="E276" s="47"/>
      <c r="F276" s="48"/>
      <c r="G276" s="47"/>
      <c r="H276" s="49"/>
      <c r="I276" s="50"/>
      <c r="J276" s="51"/>
      <c r="K276" s="52"/>
      <c r="L276" s="53" t="str">
        <f t="shared" si="52"/>
        <v/>
      </c>
      <c r="M276" s="48" t="str">
        <f t="shared" si="53"/>
        <v/>
      </c>
      <c r="N276" s="54" t="str">
        <f t="shared" si="54"/>
        <v/>
      </c>
      <c r="O276" s="55">
        <f t="shared" si="55"/>
        <v>0</v>
      </c>
      <c r="P276" s="55">
        <f t="shared" si="56"/>
        <v>0</v>
      </c>
      <c r="Q276" s="54">
        <f t="shared" si="57"/>
        <v>0</v>
      </c>
      <c r="R276" s="47"/>
      <c r="T276" s="57"/>
      <c r="U276" s="45"/>
      <c r="V276" s="46">
        <f>IF(U276&lt;&gt;"",VLOOKUP(U276,'Tipo Projeto'!$A$3:$B$35,2,0),0)</f>
        <v>0</v>
      </c>
      <c r="W276" s="47"/>
      <c r="X276" s="49"/>
      <c r="Y276" s="50"/>
      <c r="Z276" s="51"/>
      <c r="AA276" s="52"/>
      <c r="AB276" s="53" t="str">
        <f t="shared" si="58"/>
        <v/>
      </c>
      <c r="AC276" s="48" t="str">
        <f t="shared" si="59"/>
        <v/>
      </c>
      <c r="AD276" s="54" t="str">
        <f t="shared" si="60"/>
        <v/>
      </c>
      <c r="AE276" s="55">
        <f t="shared" si="61"/>
        <v>0</v>
      </c>
      <c r="AF276" s="55">
        <f t="shared" si="62"/>
        <v>0</v>
      </c>
      <c r="AG276" s="58">
        <f t="shared" si="63"/>
        <v>0</v>
      </c>
      <c r="AH276" s="47"/>
      <c r="AJ276" s="47"/>
      <c r="AL276" s="47"/>
      <c r="AM276" s="47" t="str">
        <f t="shared" si="64"/>
        <v/>
      </c>
    </row>
    <row r="277" spans="1:39" s="56" customFormat="1" ht="24.75" customHeight="1">
      <c r="A277" s="44"/>
      <c r="B277" s="45"/>
      <c r="C277" s="46">
        <f>IF(B277&lt;&gt;"",VLOOKUP(B277,'Tipo Projeto'!$A$3:$B$35,2,0),0)</f>
        <v>0</v>
      </c>
      <c r="D277" s="47"/>
      <c r="E277" s="47"/>
      <c r="F277" s="48"/>
      <c r="G277" s="47"/>
      <c r="H277" s="49"/>
      <c r="I277" s="50"/>
      <c r="J277" s="51"/>
      <c r="K277" s="52"/>
      <c r="L277" s="53" t="str">
        <f t="shared" si="52"/>
        <v/>
      </c>
      <c r="M277" s="48" t="str">
        <f t="shared" si="53"/>
        <v/>
      </c>
      <c r="N277" s="54" t="str">
        <f t="shared" si="54"/>
        <v/>
      </c>
      <c r="O277" s="55">
        <f t="shared" si="55"/>
        <v>0</v>
      </c>
      <c r="P277" s="55">
        <f t="shared" si="56"/>
        <v>0</v>
      </c>
      <c r="Q277" s="54">
        <f t="shared" si="57"/>
        <v>0</v>
      </c>
      <c r="R277" s="47"/>
      <c r="T277" s="57"/>
      <c r="U277" s="45"/>
      <c r="V277" s="46">
        <f>IF(U277&lt;&gt;"",VLOOKUP(U277,'Tipo Projeto'!$A$3:$B$35,2,0),0)</f>
        <v>0</v>
      </c>
      <c r="W277" s="47"/>
      <c r="X277" s="49"/>
      <c r="Y277" s="50"/>
      <c r="Z277" s="51"/>
      <c r="AA277" s="52"/>
      <c r="AB277" s="53" t="str">
        <f t="shared" si="58"/>
        <v/>
      </c>
      <c r="AC277" s="48" t="str">
        <f t="shared" si="59"/>
        <v/>
      </c>
      <c r="AD277" s="54" t="str">
        <f t="shared" si="60"/>
        <v/>
      </c>
      <c r="AE277" s="55">
        <f t="shared" si="61"/>
        <v>0</v>
      </c>
      <c r="AF277" s="55">
        <f t="shared" si="62"/>
        <v>0</v>
      </c>
      <c r="AG277" s="58">
        <f t="shared" si="63"/>
        <v>0</v>
      </c>
      <c r="AH277" s="47"/>
      <c r="AJ277" s="47"/>
      <c r="AL277" s="47"/>
      <c r="AM277" s="47" t="str">
        <f t="shared" si="64"/>
        <v/>
      </c>
    </row>
    <row r="278" spans="1:39" s="56" customFormat="1" ht="24.75" customHeight="1">
      <c r="A278" s="44"/>
      <c r="B278" s="45"/>
      <c r="C278" s="46">
        <f>IF(B278&lt;&gt;"",VLOOKUP(B278,'Tipo Projeto'!$A$3:$B$35,2,0),0)</f>
        <v>0</v>
      </c>
      <c r="D278" s="47"/>
      <c r="E278" s="47"/>
      <c r="F278" s="48"/>
      <c r="G278" s="47"/>
      <c r="H278" s="49"/>
      <c r="I278" s="50"/>
      <c r="J278" s="51"/>
      <c r="K278" s="52"/>
      <c r="L278" s="53" t="str">
        <f t="shared" si="52"/>
        <v/>
      </c>
      <c r="M278" s="48" t="str">
        <f t="shared" si="53"/>
        <v/>
      </c>
      <c r="N278" s="54" t="str">
        <f t="shared" si="54"/>
        <v/>
      </c>
      <c r="O278" s="55">
        <f t="shared" si="55"/>
        <v>0</v>
      </c>
      <c r="P278" s="55">
        <f t="shared" si="56"/>
        <v>0</v>
      </c>
      <c r="Q278" s="54">
        <f t="shared" si="57"/>
        <v>0</v>
      </c>
      <c r="R278" s="47"/>
      <c r="T278" s="57"/>
      <c r="U278" s="45"/>
      <c r="V278" s="46">
        <f>IF(U278&lt;&gt;"",VLOOKUP(U278,'Tipo Projeto'!$A$3:$B$35,2,0),0)</f>
        <v>0</v>
      </c>
      <c r="W278" s="47"/>
      <c r="X278" s="49"/>
      <c r="Y278" s="50"/>
      <c r="Z278" s="51"/>
      <c r="AA278" s="52"/>
      <c r="AB278" s="53" t="str">
        <f t="shared" si="58"/>
        <v/>
      </c>
      <c r="AC278" s="48" t="str">
        <f t="shared" si="59"/>
        <v/>
      </c>
      <c r="AD278" s="54" t="str">
        <f t="shared" si="60"/>
        <v/>
      </c>
      <c r="AE278" s="55">
        <f t="shared" si="61"/>
        <v>0</v>
      </c>
      <c r="AF278" s="55">
        <f t="shared" si="62"/>
        <v>0</v>
      </c>
      <c r="AG278" s="58">
        <f t="shared" si="63"/>
        <v>0</v>
      </c>
      <c r="AH278" s="47"/>
      <c r="AJ278" s="47"/>
      <c r="AL278" s="47"/>
      <c r="AM278" s="47" t="str">
        <f t="shared" si="64"/>
        <v/>
      </c>
    </row>
    <row r="279" spans="1:39" s="56" customFormat="1" ht="24.75" customHeight="1">
      <c r="A279" s="44"/>
      <c r="B279" s="45"/>
      <c r="C279" s="46">
        <f>IF(B279&lt;&gt;"",VLOOKUP(B279,'Tipo Projeto'!$A$3:$B$35,2,0),0)</f>
        <v>0</v>
      </c>
      <c r="D279" s="47"/>
      <c r="E279" s="47"/>
      <c r="F279" s="48"/>
      <c r="G279" s="47"/>
      <c r="H279" s="49"/>
      <c r="I279" s="50"/>
      <c r="J279" s="51"/>
      <c r="K279" s="52"/>
      <c r="L279" s="53" t="str">
        <f t="shared" si="52"/>
        <v/>
      </c>
      <c r="M279" s="48" t="str">
        <f t="shared" si="53"/>
        <v/>
      </c>
      <c r="N279" s="54" t="str">
        <f t="shared" si="54"/>
        <v/>
      </c>
      <c r="O279" s="55">
        <f t="shared" si="55"/>
        <v>0</v>
      </c>
      <c r="P279" s="55">
        <f t="shared" si="56"/>
        <v>0</v>
      </c>
      <c r="Q279" s="54">
        <f t="shared" si="57"/>
        <v>0</v>
      </c>
      <c r="R279" s="47"/>
      <c r="T279" s="57"/>
      <c r="U279" s="45"/>
      <c r="V279" s="46">
        <f>IF(U279&lt;&gt;"",VLOOKUP(U279,'Tipo Projeto'!$A$3:$B$35,2,0),0)</f>
        <v>0</v>
      </c>
      <c r="W279" s="47"/>
      <c r="X279" s="49"/>
      <c r="Y279" s="50"/>
      <c r="Z279" s="51"/>
      <c r="AA279" s="52"/>
      <c r="AB279" s="53" t="str">
        <f t="shared" si="58"/>
        <v/>
      </c>
      <c r="AC279" s="48" t="str">
        <f t="shared" si="59"/>
        <v/>
      </c>
      <c r="AD279" s="54" t="str">
        <f t="shared" si="60"/>
        <v/>
      </c>
      <c r="AE279" s="55">
        <f t="shared" si="61"/>
        <v>0</v>
      </c>
      <c r="AF279" s="55">
        <f t="shared" si="62"/>
        <v>0</v>
      </c>
      <c r="AG279" s="58">
        <f t="shared" si="63"/>
        <v>0</v>
      </c>
      <c r="AH279" s="47"/>
      <c r="AJ279" s="47"/>
      <c r="AL279" s="47"/>
      <c r="AM279" s="47" t="str">
        <f t="shared" si="64"/>
        <v/>
      </c>
    </row>
    <row r="280" spans="1:39" s="56" customFormat="1" ht="24.75" customHeight="1">
      <c r="A280" s="44"/>
      <c r="B280" s="45"/>
      <c r="C280" s="46">
        <f>IF(B280&lt;&gt;"",VLOOKUP(B280,'Tipo Projeto'!$A$3:$B$35,2,0),0)</f>
        <v>0</v>
      </c>
      <c r="D280" s="47"/>
      <c r="E280" s="47"/>
      <c r="F280" s="48"/>
      <c r="G280" s="47"/>
      <c r="H280" s="49"/>
      <c r="I280" s="50"/>
      <c r="J280" s="51"/>
      <c r="K280" s="52"/>
      <c r="L280" s="53" t="str">
        <f t="shared" si="52"/>
        <v/>
      </c>
      <c r="M280" s="48" t="str">
        <f t="shared" si="53"/>
        <v/>
      </c>
      <c r="N280" s="54" t="str">
        <f t="shared" si="54"/>
        <v/>
      </c>
      <c r="O280" s="55">
        <f t="shared" si="55"/>
        <v>0</v>
      </c>
      <c r="P280" s="55">
        <f t="shared" si="56"/>
        <v>0</v>
      </c>
      <c r="Q280" s="54">
        <f t="shared" si="57"/>
        <v>0</v>
      </c>
      <c r="R280" s="47"/>
      <c r="T280" s="57"/>
      <c r="U280" s="45"/>
      <c r="V280" s="46">
        <f>IF(U280&lt;&gt;"",VLOOKUP(U280,'Tipo Projeto'!$A$3:$B$35,2,0),0)</f>
        <v>0</v>
      </c>
      <c r="W280" s="47"/>
      <c r="X280" s="49"/>
      <c r="Y280" s="50"/>
      <c r="Z280" s="51"/>
      <c r="AA280" s="52"/>
      <c r="AB280" s="53" t="str">
        <f t="shared" si="58"/>
        <v/>
      </c>
      <c r="AC280" s="48" t="str">
        <f t="shared" si="59"/>
        <v/>
      </c>
      <c r="AD280" s="54" t="str">
        <f t="shared" si="60"/>
        <v/>
      </c>
      <c r="AE280" s="55">
        <f t="shared" si="61"/>
        <v>0</v>
      </c>
      <c r="AF280" s="55">
        <f t="shared" si="62"/>
        <v>0</v>
      </c>
      <c r="AG280" s="58">
        <f t="shared" si="63"/>
        <v>0</v>
      </c>
      <c r="AH280" s="47"/>
      <c r="AJ280" s="47"/>
      <c r="AL280" s="47"/>
      <c r="AM280" s="47" t="str">
        <f t="shared" si="64"/>
        <v/>
      </c>
    </row>
    <row r="281" spans="1:39" s="56" customFormat="1" ht="24.75" customHeight="1">
      <c r="A281" s="44"/>
      <c r="B281" s="45"/>
      <c r="C281" s="46">
        <f>IF(B281&lt;&gt;"",VLOOKUP(B281,'Tipo Projeto'!$A$3:$B$35,2,0),0)</f>
        <v>0</v>
      </c>
      <c r="D281" s="47"/>
      <c r="E281" s="47"/>
      <c r="F281" s="48"/>
      <c r="G281" s="47"/>
      <c r="H281" s="49"/>
      <c r="I281" s="50"/>
      <c r="J281" s="51"/>
      <c r="K281" s="52"/>
      <c r="L281" s="53" t="str">
        <f t="shared" si="52"/>
        <v/>
      </c>
      <c r="M281" s="48" t="str">
        <f t="shared" si="53"/>
        <v/>
      </c>
      <c r="N281" s="54" t="str">
        <f t="shared" si="54"/>
        <v/>
      </c>
      <c r="O281" s="55">
        <f t="shared" si="55"/>
        <v>0</v>
      </c>
      <c r="P281" s="55">
        <f t="shared" si="56"/>
        <v>0</v>
      </c>
      <c r="Q281" s="54">
        <f t="shared" si="57"/>
        <v>0</v>
      </c>
      <c r="R281" s="47"/>
      <c r="T281" s="57"/>
      <c r="U281" s="45"/>
      <c r="V281" s="46">
        <f>IF(U281&lt;&gt;"",VLOOKUP(U281,'Tipo Projeto'!$A$3:$B$35,2,0),0)</f>
        <v>0</v>
      </c>
      <c r="W281" s="47"/>
      <c r="X281" s="49"/>
      <c r="Y281" s="50"/>
      <c r="Z281" s="51"/>
      <c r="AA281" s="52"/>
      <c r="AB281" s="53" t="str">
        <f t="shared" si="58"/>
        <v/>
      </c>
      <c r="AC281" s="48" t="str">
        <f t="shared" si="59"/>
        <v/>
      </c>
      <c r="AD281" s="54" t="str">
        <f t="shared" si="60"/>
        <v/>
      </c>
      <c r="AE281" s="55">
        <f t="shared" si="61"/>
        <v>0</v>
      </c>
      <c r="AF281" s="55">
        <f t="shared" si="62"/>
        <v>0</v>
      </c>
      <c r="AG281" s="58">
        <f t="shared" si="63"/>
        <v>0</v>
      </c>
      <c r="AH281" s="47"/>
      <c r="AJ281" s="47"/>
      <c r="AL281" s="47"/>
      <c r="AM281" s="47" t="str">
        <f t="shared" si="64"/>
        <v/>
      </c>
    </row>
    <row r="282" spans="1:39" s="56" customFormat="1" ht="24.75" customHeight="1">
      <c r="A282" s="44"/>
      <c r="B282" s="45"/>
      <c r="C282" s="46">
        <f>IF(B282&lt;&gt;"",VLOOKUP(B282,'Tipo Projeto'!$A$3:$B$35,2,0),0)</f>
        <v>0</v>
      </c>
      <c r="D282" s="47"/>
      <c r="E282" s="47"/>
      <c r="F282" s="48"/>
      <c r="G282" s="47"/>
      <c r="H282" s="49"/>
      <c r="I282" s="50"/>
      <c r="J282" s="51"/>
      <c r="K282" s="52"/>
      <c r="L282" s="53" t="str">
        <f t="shared" si="52"/>
        <v/>
      </c>
      <c r="M282" s="48" t="str">
        <f t="shared" si="53"/>
        <v/>
      </c>
      <c r="N282" s="54" t="str">
        <f t="shared" si="54"/>
        <v/>
      </c>
      <c r="O282" s="55">
        <f t="shared" si="55"/>
        <v>0</v>
      </c>
      <c r="P282" s="55">
        <f t="shared" si="56"/>
        <v>0</v>
      </c>
      <c r="Q282" s="54">
        <f t="shared" si="57"/>
        <v>0</v>
      </c>
      <c r="R282" s="47"/>
      <c r="T282" s="57"/>
      <c r="U282" s="45"/>
      <c r="V282" s="46">
        <f>IF(U282&lt;&gt;"",VLOOKUP(U282,'Tipo Projeto'!$A$3:$B$35,2,0),0)</f>
        <v>0</v>
      </c>
      <c r="W282" s="47"/>
      <c r="X282" s="49"/>
      <c r="Y282" s="50"/>
      <c r="Z282" s="51"/>
      <c r="AA282" s="52"/>
      <c r="AB282" s="53" t="str">
        <f t="shared" si="58"/>
        <v/>
      </c>
      <c r="AC282" s="48" t="str">
        <f t="shared" si="59"/>
        <v/>
      </c>
      <c r="AD282" s="54" t="str">
        <f t="shared" si="60"/>
        <v/>
      </c>
      <c r="AE282" s="55">
        <f t="shared" si="61"/>
        <v>0</v>
      </c>
      <c r="AF282" s="55">
        <f t="shared" si="62"/>
        <v>0</v>
      </c>
      <c r="AG282" s="58">
        <f t="shared" si="63"/>
        <v>0</v>
      </c>
      <c r="AH282" s="47"/>
      <c r="AJ282" s="47"/>
      <c r="AL282" s="47"/>
      <c r="AM282" s="47" t="str">
        <f t="shared" si="64"/>
        <v/>
      </c>
    </row>
    <row r="283" spans="1:39" s="56" customFormat="1" ht="24.75" customHeight="1">
      <c r="A283" s="44"/>
      <c r="B283" s="45"/>
      <c r="C283" s="46">
        <f>IF(B283&lt;&gt;"",VLOOKUP(B283,'Tipo Projeto'!$A$3:$B$35,2,0),0)</f>
        <v>0</v>
      </c>
      <c r="D283" s="47"/>
      <c r="E283" s="47"/>
      <c r="F283" s="48"/>
      <c r="G283" s="47"/>
      <c r="H283" s="49"/>
      <c r="I283" s="50"/>
      <c r="J283" s="51"/>
      <c r="K283" s="52"/>
      <c r="L283" s="53" t="str">
        <f t="shared" si="52"/>
        <v/>
      </c>
      <c r="M283" s="48" t="str">
        <f t="shared" si="53"/>
        <v/>
      </c>
      <c r="N283" s="54" t="str">
        <f t="shared" si="54"/>
        <v/>
      </c>
      <c r="O283" s="55">
        <f t="shared" si="55"/>
        <v>0</v>
      </c>
      <c r="P283" s="55">
        <f t="shared" si="56"/>
        <v>0</v>
      </c>
      <c r="Q283" s="54">
        <f t="shared" si="57"/>
        <v>0</v>
      </c>
      <c r="R283" s="47"/>
      <c r="T283" s="57"/>
      <c r="U283" s="45"/>
      <c r="V283" s="46">
        <f>IF(U283&lt;&gt;"",VLOOKUP(U283,'Tipo Projeto'!$A$3:$B$35,2,0),0)</f>
        <v>0</v>
      </c>
      <c r="W283" s="47"/>
      <c r="X283" s="49"/>
      <c r="Y283" s="50"/>
      <c r="Z283" s="51"/>
      <c r="AA283" s="52"/>
      <c r="AB283" s="53" t="str">
        <f t="shared" si="58"/>
        <v/>
      </c>
      <c r="AC283" s="48" t="str">
        <f t="shared" si="59"/>
        <v/>
      </c>
      <c r="AD283" s="54" t="str">
        <f t="shared" si="60"/>
        <v/>
      </c>
      <c r="AE283" s="55">
        <f t="shared" si="61"/>
        <v>0</v>
      </c>
      <c r="AF283" s="55">
        <f t="shared" si="62"/>
        <v>0</v>
      </c>
      <c r="AG283" s="58">
        <f t="shared" si="63"/>
        <v>0</v>
      </c>
      <c r="AH283" s="47"/>
      <c r="AJ283" s="47"/>
      <c r="AL283" s="47"/>
      <c r="AM283" s="47" t="str">
        <f t="shared" si="64"/>
        <v/>
      </c>
    </row>
    <row r="284" spans="1:39" s="56" customFormat="1" ht="24.75" customHeight="1">
      <c r="A284" s="44"/>
      <c r="B284" s="45"/>
      <c r="C284" s="46">
        <f>IF(B284&lt;&gt;"",VLOOKUP(B284,'Tipo Projeto'!$A$3:$B$35,2,0),0)</f>
        <v>0</v>
      </c>
      <c r="D284" s="47"/>
      <c r="E284" s="47"/>
      <c r="F284" s="48"/>
      <c r="G284" s="47"/>
      <c r="H284" s="49"/>
      <c r="I284" s="50"/>
      <c r="J284" s="51"/>
      <c r="K284" s="52"/>
      <c r="L284" s="53" t="str">
        <f t="shared" si="52"/>
        <v/>
      </c>
      <c r="M284" s="48" t="str">
        <f t="shared" si="53"/>
        <v/>
      </c>
      <c r="N284" s="54" t="str">
        <f t="shared" si="54"/>
        <v/>
      </c>
      <c r="O284" s="55">
        <f t="shared" si="55"/>
        <v>0</v>
      </c>
      <c r="P284" s="55">
        <f t="shared" si="56"/>
        <v>0</v>
      </c>
      <c r="Q284" s="54">
        <f t="shared" si="57"/>
        <v>0</v>
      </c>
      <c r="R284" s="47"/>
      <c r="T284" s="57"/>
      <c r="U284" s="45"/>
      <c r="V284" s="46">
        <f>IF(U284&lt;&gt;"",VLOOKUP(U284,'Tipo Projeto'!$A$3:$B$35,2,0),0)</f>
        <v>0</v>
      </c>
      <c r="W284" s="47"/>
      <c r="X284" s="49"/>
      <c r="Y284" s="50"/>
      <c r="Z284" s="51"/>
      <c r="AA284" s="52"/>
      <c r="AB284" s="53" t="str">
        <f t="shared" si="58"/>
        <v/>
      </c>
      <c r="AC284" s="48" t="str">
        <f t="shared" si="59"/>
        <v/>
      </c>
      <c r="AD284" s="54" t="str">
        <f t="shared" si="60"/>
        <v/>
      </c>
      <c r="AE284" s="55">
        <f t="shared" si="61"/>
        <v>0</v>
      </c>
      <c r="AF284" s="55">
        <f t="shared" si="62"/>
        <v>0</v>
      </c>
      <c r="AG284" s="58">
        <f t="shared" si="63"/>
        <v>0</v>
      </c>
      <c r="AH284" s="47"/>
      <c r="AJ284" s="47"/>
      <c r="AL284" s="47"/>
      <c r="AM284" s="47" t="str">
        <f t="shared" si="64"/>
        <v/>
      </c>
    </row>
    <row r="285" spans="1:39" s="56" customFormat="1" ht="24.75" customHeight="1">
      <c r="A285" s="44"/>
      <c r="B285" s="45"/>
      <c r="C285" s="46">
        <f>IF(B285&lt;&gt;"",VLOOKUP(B285,'Tipo Projeto'!$A$3:$B$35,2,0),0)</f>
        <v>0</v>
      </c>
      <c r="D285" s="47"/>
      <c r="E285" s="47"/>
      <c r="F285" s="48"/>
      <c r="G285" s="47"/>
      <c r="H285" s="49"/>
      <c r="I285" s="50"/>
      <c r="J285" s="51"/>
      <c r="K285" s="52"/>
      <c r="L285" s="53" t="str">
        <f t="shared" si="52"/>
        <v/>
      </c>
      <c r="M285" s="48" t="str">
        <f t="shared" si="53"/>
        <v/>
      </c>
      <c r="N285" s="54" t="str">
        <f t="shared" si="54"/>
        <v/>
      </c>
      <c r="O285" s="55">
        <f t="shared" si="55"/>
        <v>0</v>
      </c>
      <c r="P285" s="55">
        <f t="shared" si="56"/>
        <v>0</v>
      </c>
      <c r="Q285" s="54">
        <f t="shared" si="57"/>
        <v>0</v>
      </c>
      <c r="R285" s="47"/>
      <c r="T285" s="57"/>
      <c r="U285" s="45"/>
      <c r="V285" s="46">
        <f>IF(U285&lt;&gt;"",VLOOKUP(U285,'Tipo Projeto'!$A$3:$B$35,2,0),0)</f>
        <v>0</v>
      </c>
      <c r="W285" s="47"/>
      <c r="X285" s="49"/>
      <c r="Y285" s="50"/>
      <c r="Z285" s="51"/>
      <c r="AA285" s="52"/>
      <c r="AB285" s="53" t="str">
        <f t="shared" si="58"/>
        <v/>
      </c>
      <c r="AC285" s="48" t="str">
        <f t="shared" si="59"/>
        <v/>
      </c>
      <c r="AD285" s="54" t="str">
        <f t="shared" si="60"/>
        <v/>
      </c>
      <c r="AE285" s="55">
        <f t="shared" si="61"/>
        <v>0</v>
      </c>
      <c r="AF285" s="55">
        <f t="shared" si="62"/>
        <v>0</v>
      </c>
      <c r="AG285" s="58">
        <f t="shared" si="63"/>
        <v>0</v>
      </c>
      <c r="AH285" s="47"/>
      <c r="AJ285" s="47"/>
      <c r="AL285" s="47"/>
      <c r="AM285" s="47" t="str">
        <f t="shared" si="64"/>
        <v/>
      </c>
    </row>
    <row r="286" spans="1:39" s="56" customFormat="1" ht="24.75" customHeight="1">
      <c r="A286" s="44"/>
      <c r="B286" s="45"/>
      <c r="C286" s="46">
        <f>IF(B286&lt;&gt;"",VLOOKUP(B286,'Tipo Projeto'!$A$3:$B$35,2,0),0)</f>
        <v>0</v>
      </c>
      <c r="D286" s="47"/>
      <c r="E286" s="47"/>
      <c r="F286" s="48"/>
      <c r="G286" s="47"/>
      <c r="H286" s="49"/>
      <c r="I286" s="50"/>
      <c r="J286" s="51"/>
      <c r="K286" s="52"/>
      <c r="L286" s="53" t="str">
        <f t="shared" si="52"/>
        <v/>
      </c>
      <c r="M286" s="48" t="str">
        <f t="shared" si="53"/>
        <v/>
      </c>
      <c r="N286" s="54" t="str">
        <f t="shared" si="54"/>
        <v/>
      </c>
      <c r="O286" s="55">
        <f t="shared" si="55"/>
        <v>0</v>
      </c>
      <c r="P286" s="55">
        <f t="shared" si="56"/>
        <v>0</v>
      </c>
      <c r="Q286" s="54">
        <f t="shared" si="57"/>
        <v>0</v>
      </c>
      <c r="R286" s="47"/>
      <c r="T286" s="57"/>
      <c r="U286" s="45"/>
      <c r="V286" s="46">
        <f>IF(U286&lt;&gt;"",VLOOKUP(U286,'Tipo Projeto'!$A$3:$B$35,2,0),0)</f>
        <v>0</v>
      </c>
      <c r="W286" s="47"/>
      <c r="X286" s="49"/>
      <c r="Y286" s="50"/>
      <c r="Z286" s="51"/>
      <c r="AA286" s="52"/>
      <c r="AB286" s="53" t="str">
        <f t="shared" si="58"/>
        <v/>
      </c>
      <c r="AC286" s="48" t="str">
        <f t="shared" si="59"/>
        <v/>
      </c>
      <c r="AD286" s="54" t="str">
        <f t="shared" si="60"/>
        <v/>
      </c>
      <c r="AE286" s="55">
        <f t="shared" si="61"/>
        <v>0</v>
      </c>
      <c r="AF286" s="55">
        <f t="shared" si="62"/>
        <v>0</v>
      </c>
      <c r="AG286" s="58">
        <f t="shared" si="63"/>
        <v>0</v>
      </c>
      <c r="AH286" s="47"/>
      <c r="AJ286" s="47"/>
      <c r="AL286" s="47"/>
      <c r="AM286" s="47" t="str">
        <f t="shared" si="64"/>
        <v/>
      </c>
    </row>
    <row r="287" spans="1:39" s="56" customFormat="1" ht="24.75" customHeight="1">
      <c r="A287" s="44"/>
      <c r="B287" s="45"/>
      <c r="C287" s="46">
        <f>IF(B287&lt;&gt;"",VLOOKUP(B287,'Tipo Projeto'!$A$3:$B$35,2,0),0)</f>
        <v>0</v>
      </c>
      <c r="D287" s="47"/>
      <c r="E287" s="47"/>
      <c r="F287" s="48"/>
      <c r="G287" s="47"/>
      <c r="H287" s="49"/>
      <c r="I287" s="50"/>
      <c r="J287" s="51"/>
      <c r="K287" s="52"/>
      <c r="L287" s="53" t="str">
        <f t="shared" si="52"/>
        <v/>
      </c>
      <c r="M287" s="48" t="str">
        <f t="shared" si="53"/>
        <v/>
      </c>
      <c r="N287" s="54" t="str">
        <f t="shared" si="54"/>
        <v/>
      </c>
      <c r="O287" s="55">
        <f t="shared" si="55"/>
        <v>0</v>
      </c>
      <c r="P287" s="55">
        <f t="shared" si="56"/>
        <v>0</v>
      </c>
      <c r="Q287" s="54">
        <f t="shared" si="57"/>
        <v>0</v>
      </c>
      <c r="R287" s="47"/>
      <c r="T287" s="57"/>
      <c r="U287" s="45"/>
      <c r="V287" s="46">
        <f>IF(U287&lt;&gt;"",VLOOKUP(U287,'Tipo Projeto'!$A$3:$B$35,2,0),0)</f>
        <v>0</v>
      </c>
      <c r="W287" s="47"/>
      <c r="X287" s="49"/>
      <c r="Y287" s="50"/>
      <c r="Z287" s="51"/>
      <c r="AA287" s="52"/>
      <c r="AB287" s="53" t="str">
        <f t="shared" si="58"/>
        <v/>
      </c>
      <c r="AC287" s="48" t="str">
        <f t="shared" si="59"/>
        <v/>
      </c>
      <c r="AD287" s="54" t="str">
        <f t="shared" si="60"/>
        <v/>
      </c>
      <c r="AE287" s="55">
        <f t="shared" si="61"/>
        <v>0</v>
      </c>
      <c r="AF287" s="55">
        <f t="shared" si="62"/>
        <v>0</v>
      </c>
      <c r="AG287" s="58">
        <f t="shared" si="63"/>
        <v>0</v>
      </c>
      <c r="AH287" s="47"/>
      <c r="AJ287" s="47"/>
      <c r="AL287" s="47"/>
      <c r="AM287" s="47" t="str">
        <f t="shared" si="64"/>
        <v/>
      </c>
    </row>
    <row r="288" spans="1:39" s="56" customFormat="1" ht="24.75" customHeight="1">
      <c r="A288" s="44"/>
      <c r="B288" s="45"/>
      <c r="C288" s="46">
        <f>IF(B288&lt;&gt;"",VLOOKUP(B288,'Tipo Projeto'!$A$3:$B$35,2,0),0)</f>
        <v>0</v>
      </c>
      <c r="D288" s="47"/>
      <c r="E288" s="47"/>
      <c r="F288" s="48"/>
      <c r="G288" s="47"/>
      <c r="H288" s="49"/>
      <c r="I288" s="50"/>
      <c r="J288" s="51"/>
      <c r="K288" s="52"/>
      <c r="L288" s="53" t="str">
        <f t="shared" si="52"/>
        <v/>
      </c>
      <c r="M288" s="48" t="str">
        <f t="shared" si="53"/>
        <v/>
      </c>
      <c r="N288" s="54" t="str">
        <f t="shared" si="54"/>
        <v/>
      </c>
      <c r="O288" s="55">
        <f t="shared" si="55"/>
        <v>0</v>
      </c>
      <c r="P288" s="55">
        <f t="shared" si="56"/>
        <v>0</v>
      </c>
      <c r="Q288" s="54">
        <f t="shared" si="57"/>
        <v>0</v>
      </c>
      <c r="R288" s="47"/>
      <c r="T288" s="57"/>
      <c r="U288" s="45"/>
      <c r="V288" s="46">
        <f>IF(U288&lt;&gt;"",VLOOKUP(U288,'Tipo Projeto'!$A$3:$B$35,2,0),0)</f>
        <v>0</v>
      </c>
      <c r="W288" s="47"/>
      <c r="X288" s="49"/>
      <c r="Y288" s="50"/>
      <c r="Z288" s="51"/>
      <c r="AA288" s="52"/>
      <c r="AB288" s="53" t="str">
        <f t="shared" si="58"/>
        <v/>
      </c>
      <c r="AC288" s="48" t="str">
        <f t="shared" si="59"/>
        <v/>
      </c>
      <c r="AD288" s="54" t="str">
        <f t="shared" si="60"/>
        <v/>
      </c>
      <c r="AE288" s="55">
        <f t="shared" si="61"/>
        <v>0</v>
      </c>
      <c r="AF288" s="55">
        <f t="shared" si="62"/>
        <v>0</v>
      </c>
      <c r="AG288" s="58">
        <f t="shared" si="63"/>
        <v>0</v>
      </c>
      <c r="AH288" s="47"/>
      <c r="AJ288" s="47"/>
      <c r="AL288" s="47"/>
      <c r="AM288" s="47" t="str">
        <f t="shared" si="64"/>
        <v/>
      </c>
    </row>
    <row r="289" spans="1:39" s="56" customFormat="1" ht="24.75" customHeight="1">
      <c r="A289" s="44"/>
      <c r="B289" s="45"/>
      <c r="C289" s="46">
        <f>IF(B289&lt;&gt;"",VLOOKUP(B289,'Tipo Projeto'!$A$3:$B$35,2,0),0)</f>
        <v>0</v>
      </c>
      <c r="D289" s="47"/>
      <c r="E289" s="47"/>
      <c r="F289" s="48"/>
      <c r="G289" s="47"/>
      <c r="H289" s="49"/>
      <c r="I289" s="50"/>
      <c r="J289" s="51"/>
      <c r="K289" s="52"/>
      <c r="L289" s="53" t="str">
        <f t="shared" si="52"/>
        <v/>
      </c>
      <c r="M289" s="48" t="str">
        <f t="shared" si="53"/>
        <v/>
      </c>
      <c r="N289" s="54" t="str">
        <f t="shared" si="54"/>
        <v/>
      </c>
      <c r="O289" s="55">
        <f t="shared" si="55"/>
        <v>0</v>
      </c>
      <c r="P289" s="55">
        <f t="shared" si="56"/>
        <v>0</v>
      </c>
      <c r="Q289" s="54">
        <f t="shared" si="57"/>
        <v>0</v>
      </c>
      <c r="R289" s="47"/>
      <c r="T289" s="57"/>
      <c r="U289" s="45"/>
      <c r="V289" s="46">
        <f>IF(U289&lt;&gt;"",VLOOKUP(U289,'Tipo Projeto'!$A$3:$B$35,2,0),0)</f>
        <v>0</v>
      </c>
      <c r="W289" s="47"/>
      <c r="X289" s="49"/>
      <c r="Y289" s="50"/>
      <c r="Z289" s="51"/>
      <c r="AA289" s="52"/>
      <c r="AB289" s="53" t="str">
        <f t="shared" si="58"/>
        <v/>
      </c>
      <c r="AC289" s="48" t="str">
        <f t="shared" si="59"/>
        <v/>
      </c>
      <c r="AD289" s="54" t="str">
        <f t="shared" si="60"/>
        <v/>
      </c>
      <c r="AE289" s="55">
        <f t="shared" si="61"/>
        <v>0</v>
      </c>
      <c r="AF289" s="55">
        <f t="shared" si="62"/>
        <v>0</v>
      </c>
      <c r="AG289" s="58">
        <f t="shared" si="63"/>
        <v>0</v>
      </c>
      <c r="AH289" s="47"/>
      <c r="AJ289" s="47"/>
      <c r="AL289" s="47"/>
      <c r="AM289" s="47" t="str">
        <f t="shared" si="64"/>
        <v/>
      </c>
    </row>
    <row r="290" spans="1:39" s="56" customFormat="1" ht="24.75" customHeight="1">
      <c r="A290" s="44"/>
      <c r="B290" s="45"/>
      <c r="C290" s="46">
        <f>IF(B290&lt;&gt;"",VLOOKUP(B290,'Tipo Projeto'!$A$3:$B$35,2,0),0)</f>
        <v>0</v>
      </c>
      <c r="D290" s="47"/>
      <c r="E290" s="47"/>
      <c r="F290" s="48"/>
      <c r="G290" s="47"/>
      <c r="H290" s="49"/>
      <c r="I290" s="50"/>
      <c r="J290" s="51"/>
      <c r="K290" s="52"/>
      <c r="L290" s="53" t="str">
        <f t="shared" si="52"/>
        <v/>
      </c>
      <c r="M290" s="48" t="str">
        <f t="shared" si="53"/>
        <v/>
      </c>
      <c r="N290" s="54" t="str">
        <f t="shared" si="54"/>
        <v/>
      </c>
      <c r="O290" s="55">
        <f t="shared" si="55"/>
        <v>0</v>
      </c>
      <c r="P290" s="55">
        <f t="shared" si="56"/>
        <v>0</v>
      </c>
      <c r="Q290" s="54">
        <f t="shared" si="57"/>
        <v>0</v>
      </c>
      <c r="R290" s="47"/>
      <c r="T290" s="57"/>
      <c r="U290" s="45"/>
      <c r="V290" s="46">
        <f>IF(U290&lt;&gt;"",VLOOKUP(U290,'Tipo Projeto'!$A$3:$B$35,2,0),0)</f>
        <v>0</v>
      </c>
      <c r="W290" s="47"/>
      <c r="X290" s="49"/>
      <c r="Y290" s="50"/>
      <c r="Z290" s="51"/>
      <c r="AA290" s="52"/>
      <c r="AB290" s="53" t="str">
        <f t="shared" si="58"/>
        <v/>
      </c>
      <c r="AC290" s="48" t="str">
        <f t="shared" si="59"/>
        <v/>
      </c>
      <c r="AD290" s="54" t="str">
        <f t="shared" si="60"/>
        <v/>
      </c>
      <c r="AE290" s="55">
        <f t="shared" si="61"/>
        <v>0</v>
      </c>
      <c r="AF290" s="55">
        <f t="shared" si="62"/>
        <v>0</v>
      </c>
      <c r="AG290" s="58">
        <f t="shared" si="63"/>
        <v>0</v>
      </c>
      <c r="AH290" s="47"/>
      <c r="AJ290" s="47"/>
      <c r="AL290" s="47"/>
      <c r="AM290" s="47" t="str">
        <f t="shared" si="64"/>
        <v/>
      </c>
    </row>
    <row r="291" spans="1:39" s="56" customFormat="1" ht="24.75" customHeight="1">
      <c r="A291" s="44"/>
      <c r="B291" s="45"/>
      <c r="C291" s="46">
        <f>IF(B291&lt;&gt;"",VLOOKUP(B291,'Tipo Projeto'!$A$3:$B$35,2,0),0)</f>
        <v>0</v>
      </c>
      <c r="D291" s="47"/>
      <c r="E291" s="47"/>
      <c r="F291" s="48"/>
      <c r="G291" s="47"/>
      <c r="H291" s="49"/>
      <c r="I291" s="50"/>
      <c r="J291" s="51"/>
      <c r="K291" s="52"/>
      <c r="L291" s="53" t="str">
        <f t="shared" si="52"/>
        <v/>
      </c>
      <c r="M291" s="48" t="str">
        <f t="shared" si="53"/>
        <v/>
      </c>
      <c r="N291" s="54" t="str">
        <f t="shared" si="54"/>
        <v/>
      </c>
      <c r="O291" s="55">
        <f t="shared" si="55"/>
        <v>0</v>
      </c>
      <c r="P291" s="55">
        <f t="shared" si="56"/>
        <v>0</v>
      </c>
      <c r="Q291" s="54">
        <f t="shared" si="57"/>
        <v>0</v>
      </c>
      <c r="R291" s="47"/>
      <c r="T291" s="57"/>
      <c r="U291" s="45"/>
      <c r="V291" s="46">
        <f>IF(U291&lt;&gt;"",VLOOKUP(U291,'Tipo Projeto'!$A$3:$B$35,2,0),0)</f>
        <v>0</v>
      </c>
      <c r="W291" s="47"/>
      <c r="X291" s="49"/>
      <c r="Y291" s="50"/>
      <c r="Z291" s="51"/>
      <c r="AA291" s="52"/>
      <c r="AB291" s="53" t="str">
        <f t="shared" si="58"/>
        <v/>
      </c>
      <c r="AC291" s="48" t="str">
        <f t="shared" si="59"/>
        <v/>
      </c>
      <c r="AD291" s="54" t="str">
        <f t="shared" si="60"/>
        <v/>
      </c>
      <c r="AE291" s="55">
        <f t="shared" si="61"/>
        <v>0</v>
      </c>
      <c r="AF291" s="55">
        <f t="shared" si="62"/>
        <v>0</v>
      </c>
      <c r="AG291" s="58">
        <f t="shared" si="63"/>
        <v>0</v>
      </c>
      <c r="AH291" s="47"/>
      <c r="AJ291" s="47"/>
      <c r="AL291" s="47"/>
      <c r="AM291" s="47" t="str">
        <f t="shared" si="64"/>
        <v/>
      </c>
    </row>
    <row r="292" spans="1:39" s="56" customFormat="1" ht="24.75" customHeight="1">
      <c r="A292" s="44"/>
      <c r="B292" s="45"/>
      <c r="C292" s="46">
        <f>IF(B292&lt;&gt;"",VLOOKUP(B292,'Tipo Projeto'!$A$3:$B$35,2,0),0)</f>
        <v>0</v>
      </c>
      <c r="D292" s="47"/>
      <c r="E292" s="47"/>
      <c r="F292" s="48"/>
      <c r="G292" s="47"/>
      <c r="H292" s="49"/>
      <c r="I292" s="50"/>
      <c r="J292" s="51"/>
      <c r="K292" s="52"/>
      <c r="L292" s="53" t="str">
        <f t="shared" si="52"/>
        <v/>
      </c>
      <c r="M292" s="48" t="str">
        <f t="shared" si="53"/>
        <v/>
      </c>
      <c r="N292" s="54" t="str">
        <f t="shared" si="54"/>
        <v/>
      </c>
      <c r="O292" s="55">
        <f t="shared" si="55"/>
        <v>0</v>
      </c>
      <c r="P292" s="55">
        <f t="shared" si="56"/>
        <v>0</v>
      </c>
      <c r="Q292" s="54">
        <f t="shared" si="57"/>
        <v>0</v>
      </c>
      <c r="R292" s="47"/>
      <c r="T292" s="57"/>
      <c r="U292" s="45"/>
      <c r="V292" s="46">
        <f>IF(U292&lt;&gt;"",VLOOKUP(U292,'Tipo Projeto'!$A$3:$B$35,2,0),0)</f>
        <v>0</v>
      </c>
      <c r="W292" s="47"/>
      <c r="X292" s="49"/>
      <c r="Y292" s="50"/>
      <c r="Z292" s="51"/>
      <c r="AA292" s="52"/>
      <c r="AB292" s="53" t="str">
        <f t="shared" si="58"/>
        <v/>
      </c>
      <c r="AC292" s="48" t="str">
        <f t="shared" si="59"/>
        <v/>
      </c>
      <c r="AD292" s="54" t="str">
        <f t="shared" si="60"/>
        <v/>
      </c>
      <c r="AE292" s="55">
        <f t="shared" si="61"/>
        <v>0</v>
      </c>
      <c r="AF292" s="55">
        <f t="shared" si="62"/>
        <v>0</v>
      </c>
      <c r="AG292" s="58">
        <f t="shared" si="63"/>
        <v>0</v>
      </c>
      <c r="AH292" s="47"/>
      <c r="AJ292" s="47"/>
      <c r="AL292" s="47"/>
      <c r="AM292" s="47" t="str">
        <f t="shared" si="64"/>
        <v/>
      </c>
    </row>
    <row r="293" spans="1:39" s="56" customFormat="1" ht="24.75" customHeight="1">
      <c r="A293" s="44"/>
      <c r="B293" s="45"/>
      <c r="C293" s="46">
        <f>IF(B293&lt;&gt;"",VLOOKUP(B293,'Tipo Projeto'!$A$3:$B$35,2,0),0)</f>
        <v>0</v>
      </c>
      <c r="D293" s="47"/>
      <c r="E293" s="47"/>
      <c r="F293" s="48"/>
      <c r="G293" s="47"/>
      <c r="H293" s="49"/>
      <c r="I293" s="50"/>
      <c r="J293" s="51"/>
      <c r="K293" s="52"/>
      <c r="L293" s="53" t="str">
        <f t="shared" si="52"/>
        <v/>
      </c>
      <c r="M293" s="48" t="str">
        <f t="shared" si="53"/>
        <v/>
      </c>
      <c r="N293" s="54" t="str">
        <f t="shared" si="54"/>
        <v/>
      </c>
      <c r="O293" s="55">
        <f t="shared" si="55"/>
        <v>0</v>
      </c>
      <c r="P293" s="55">
        <f t="shared" si="56"/>
        <v>0</v>
      </c>
      <c r="Q293" s="54">
        <f t="shared" si="57"/>
        <v>0</v>
      </c>
      <c r="R293" s="47"/>
      <c r="T293" s="57"/>
      <c r="U293" s="45"/>
      <c r="V293" s="46">
        <f>IF(U293&lt;&gt;"",VLOOKUP(U293,'Tipo Projeto'!$A$3:$B$35,2,0),0)</f>
        <v>0</v>
      </c>
      <c r="W293" s="47"/>
      <c r="X293" s="49"/>
      <c r="Y293" s="50"/>
      <c r="Z293" s="51"/>
      <c r="AA293" s="52"/>
      <c r="AB293" s="53" t="str">
        <f t="shared" si="58"/>
        <v/>
      </c>
      <c r="AC293" s="48" t="str">
        <f t="shared" si="59"/>
        <v/>
      </c>
      <c r="AD293" s="54" t="str">
        <f t="shared" si="60"/>
        <v/>
      </c>
      <c r="AE293" s="55">
        <f t="shared" si="61"/>
        <v>0</v>
      </c>
      <c r="AF293" s="55">
        <f t="shared" si="62"/>
        <v>0</v>
      </c>
      <c r="AG293" s="58">
        <f t="shared" si="63"/>
        <v>0</v>
      </c>
      <c r="AH293" s="47"/>
      <c r="AJ293" s="47"/>
      <c r="AL293" s="47"/>
      <c r="AM293" s="47" t="str">
        <f t="shared" si="64"/>
        <v/>
      </c>
    </row>
    <row r="294" spans="1:39" s="56" customFormat="1" ht="24.75" customHeight="1">
      <c r="A294" s="44"/>
      <c r="B294" s="45"/>
      <c r="C294" s="46">
        <f>IF(B294&lt;&gt;"",VLOOKUP(B294,'Tipo Projeto'!$A$3:$B$35,2,0),0)</f>
        <v>0</v>
      </c>
      <c r="D294" s="47"/>
      <c r="E294" s="47"/>
      <c r="F294" s="48"/>
      <c r="G294" s="47"/>
      <c r="H294" s="49"/>
      <c r="I294" s="50"/>
      <c r="J294" s="51"/>
      <c r="K294" s="52"/>
      <c r="L294" s="53" t="str">
        <f t="shared" si="52"/>
        <v/>
      </c>
      <c r="M294" s="48" t="str">
        <f t="shared" si="53"/>
        <v/>
      </c>
      <c r="N294" s="54" t="str">
        <f t="shared" si="54"/>
        <v/>
      </c>
      <c r="O294" s="55">
        <f t="shared" si="55"/>
        <v>0</v>
      </c>
      <c r="P294" s="55">
        <f t="shared" si="56"/>
        <v>0</v>
      </c>
      <c r="Q294" s="54">
        <f t="shared" si="57"/>
        <v>0</v>
      </c>
      <c r="R294" s="47"/>
      <c r="T294" s="57"/>
      <c r="U294" s="45"/>
      <c r="V294" s="46">
        <f>IF(U294&lt;&gt;"",VLOOKUP(U294,'Tipo Projeto'!$A$3:$B$35,2,0),0)</f>
        <v>0</v>
      </c>
      <c r="W294" s="47"/>
      <c r="X294" s="49"/>
      <c r="Y294" s="50"/>
      <c r="Z294" s="51"/>
      <c r="AA294" s="52"/>
      <c r="AB294" s="53" t="str">
        <f t="shared" si="58"/>
        <v/>
      </c>
      <c r="AC294" s="48" t="str">
        <f t="shared" si="59"/>
        <v/>
      </c>
      <c r="AD294" s="54" t="str">
        <f t="shared" si="60"/>
        <v/>
      </c>
      <c r="AE294" s="55">
        <f t="shared" si="61"/>
        <v>0</v>
      </c>
      <c r="AF294" s="55">
        <f t="shared" si="62"/>
        <v>0</v>
      </c>
      <c r="AG294" s="58">
        <f t="shared" si="63"/>
        <v>0</v>
      </c>
      <c r="AH294" s="47"/>
      <c r="AJ294" s="47"/>
      <c r="AL294" s="47"/>
      <c r="AM294" s="47" t="str">
        <f t="shared" si="64"/>
        <v/>
      </c>
    </row>
    <row r="295" spans="1:39" s="56" customFormat="1" ht="24.75" customHeight="1">
      <c r="A295" s="44"/>
      <c r="B295" s="45"/>
      <c r="C295" s="46">
        <f>IF(B295&lt;&gt;"",VLOOKUP(B295,'Tipo Projeto'!$A$3:$B$35,2,0),0)</f>
        <v>0</v>
      </c>
      <c r="D295" s="47"/>
      <c r="E295" s="47"/>
      <c r="F295" s="48"/>
      <c r="G295" s="47"/>
      <c r="H295" s="49"/>
      <c r="I295" s="50"/>
      <c r="J295" s="51"/>
      <c r="K295" s="52"/>
      <c r="L295" s="53" t="str">
        <f t="shared" si="52"/>
        <v/>
      </c>
      <c r="M295" s="48" t="str">
        <f t="shared" si="53"/>
        <v/>
      </c>
      <c r="N295" s="54" t="str">
        <f t="shared" si="54"/>
        <v/>
      </c>
      <c r="O295" s="55">
        <f t="shared" si="55"/>
        <v>0</v>
      </c>
      <c r="P295" s="55">
        <f t="shared" si="56"/>
        <v>0</v>
      </c>
      <c r="Q295" s="54">
        <f t="shared" si="57"/>
        <v>0</v>
      </c>
      <c r="R295" s="47"/>
      <c r="T295" s="57"/>
      <c r="U295" s="45"/>
      <c r="V295" s="46">
        <f>IF(U295&lt;&gt;"",VLOOKUP(U295,'Tipo Projeto'!$A$3:$B$35,2,0),0)</f>
        <v>0</v>
      </c>
      <c r="W295" s="47"/>
      <c r="X295" s="49"/>
      <c r="Y295" s="50"/>
      <c r="Z295" s="51"/>
      <c r="AA295" s="52"/>
      <c r="AB295" s="53" t="str">
        <f t="shared" si="58"/>
        <v/>
      </c>
      <c r="AC295" s="48" t="str">
        <f t="shared" si="59"/>
        <v/>
      </c>
      <c r="AD295" s="54" t="str">
        <f t="shared" si="60"/>
        <v/>
      </c>
      <c r="AE295" s="55">
        <f t="shared" si="61"/>
        <v>0</v>
      </c>
      <c r="AF295" s="55">
        <f t="shared" si="62"/>
        <v>0</v>
      </c>
      <c r="AG295" s="58">
        <f t="shared" si="63"/>
        <v>0</v>
      </c>
      <c r="AH295" s="47"/>
      <c r="AJ295" s="47"/>
      <c r="AL295" s="47"/>
      <c r="AM295" s="47" t="str">
        <f t="shared" si="64"/>
        <v/>
      </c>
    </row>
    <row r="296" spans="1:39" s="56" customFormat="1" ht="24.75" customHeight="1">
      <c r="A296" s="44"/>
      <c r="B296" s="45"/>
      <c r="C296" s="46">
        <f>IF(B296&lt;&gt;"",VLOOKUP(B296,'Tipo Projeto'!$A$3:$B$35,2,0),0)</f>
        <v>0</v>
      </c>
      <c r="D296" s="47"/>
      <c r="E296" s="47"/>
      <c r="F296" s="48"/>
      <c r="G296" s="47"/>
      <c r="H296" s="49"/>
      <c r="I296" s="50"/>
      <c r="J296" s="51"/>
      <c r="K296" s="52"/>
      <c r="L296" s="53" t="str">
        <f t="shared" si="52"/>
        <v/>
      </c>
      <c r="M296" s="48" t="str">
        <f t="shared" si="53"/>
        <v/>
      </c>
      <c r="N296" s="54" t="str">
        <f t="shared" si="54"/>
        <v/>
      </c>
      <c r="O296" s="55">
        <f t="shared" si="55"/>
        <v>0</v>
      </c>
      <c r="P296" s="55">
        <f t="shared" si="56"/>
        <v>0</v>
      </c>
      <c r="Q296" s="54">
        <f t="shared" si="57"/>
        <v>0</v>
      </c>
      <c r="R296" s="47"/>
      <c r="T296" s="57"/>
      <c r="U296" s="45"/>
      <c r="V296" s="46">
        <f>IF(U296&lt;&gt;"",VLOOKUP(U296,'Tipo Projeto'!$A$3:$B$35,2,0),0)</f>
        <v>0</v>
      </c>
      <c r="W296" s="47"/>
      <c r="X296" s="49"/>
      <c r="Y296" s="50"/>
      <c r="Z296" s="51"/>
      <c r="AA296" s="52"/>
      <c r="AB296" s="53" t="str">
        <f t="shared" si="58"/>
        <v/>
      </c>
      <c r="AC296" s="48" t="str">
        <f t="shared" si="59"/>
        <v/>
      </c>
      <c r="AD296" s="54" t="str">
        <f t="shared" si="60"/>
        <v/>
      </c>
      <c r="AE296" s="55">
        <f t="shared" si="61"/>
        <v>0</v>
      </c>
      <c r="AF296" s="55">
        <f t="shared" si="62"/>
        <v>0</v>
      </c>
      <c r="AG296" s="58">
        <f t="shared" si="63"/>
        <v>0</v>
      </c>
      <c r="AH296" s="47"/>
      <c r="AJ296" s="47"/>
      <c r="AL296" s="47"/>
      <c r="AM296" s="47" t="str">
        <f t="shared" si="64"/>
        <v/>
      </c>
    </row>
    <row r="297" spans="1:39" s="56" customFormat="1" ht="24.75" customHeight="1">
      <c r="A297" s="44"/>
      <c r="B297" s="45"/>
      <c r="C297" s="46">
        <f>IF(B297&lt;&gt;"",VLOOKUP(B297,'Tipo Projeto'!$A$3:$B$35,2,0),0)</f>
        <v>0</v>
      </c>
      <c r="D297" s="47"/>
      <c r="E297" s="47"/>
      <c r="F297" s="48"/>
      <c r="G297" s="47"/>
      <c r="H297" s="49"/>
      <c r="I297" s="50"/>
      <c r="J297" s="51"/>
      <c r="K297" s="52"/>
      <c r="L297" s="53" t="str">
        <f t="shared" si="52"/>
        <v/>
      </c>
      <c r="M297" s="48" t="str">
        <f t="shared" si="53"/>
        <v/>
      </c>
      <c r="N297" s="54" t="str">
        <f t="shared" si="54"/>
        <v/>
      </c>
      <c r="O297" s="55">
        <f t="shared" si="55"/>
        <v>0</v>
      </c>
      <c r="P297" s="55">
        <f t="shared" si="56"/>
        <v>0</v>
      </c>
      <c r="Q297" s="54">
        <f t="shared" si="57"/>
        <v>0</v>
      </c>
      <c r="R297" s="47"/>
      <c r="T297" s="57"/>
      <c r="U297" s="45"/>
      <c r="V297" s="46">
        <f>IF(U297&lt;&gt;"",VLOOKUP(U297,'Tipo Projeto'!$A$3:$B$35,2,0),0)</f>
        <v>0</v>
      </c>
      <c r="W297" s="47"/>
      <c r="X297" s="49"/>
      <c r="Y297" s="50"/>
      <c r="Z297" s="51"/>
      <c r="AA297" s="52"/>
      <c r="AB297" s="53" t="str">
        <f t="shared" si="58"/>
        <v/>
      </c>
      <c r="AC297" s="48" t="str">
        <f t="shared" si="59"/>
        <v/>
      </c>
      <c r="AD297" s="54" t="str">
        <f t="shared" si="60"/>
        <v/>
      </c>
      <c r="AE297" s="55">
        <f t="shared" si="61"/>
        <v>0</v>
      </c>
      <c r="AF297" s="55">
        <f t="shared" si="62"/>
        <v>0</v>
      </c>
      <c r="AG297" s="58">
        <f t="shared" si="63"/>
        <v>0</v>
      </c>
      <c r="AH297" s="47"/>
      <c r="AJ297" s="47"/>
      <c r="AL297" s="47"/>
      <c r="AM297" s="47" t="str">
        <f t="shared" si="64"/>
        <v/>
      </c>
    </row>
    <row r="298" spans="1:39" s="56" customFormat="1" ht="24.75" customHeight="1">
      <c r="A298" s="44"/>
      <c r="B298" s="45"/>
      <c r="C298" s="46">
        <f>IF(B298&lt;&gt;"",VLOOKUP(B298,'Tipo Projeto'!$A$3:$B$35,2,0),0)</f>
        <v>0</v>
      </c>
      <c r="D298" s="47"/>
      <c r="E298" s="47"/>
      <c r="F298" s="48"/>
      <c r="G298" s="47"/>
      <c r="H298" s="49"/>
      <c r="I298" s="50"/>
      <c r="J298" s="51"/>
      <c r="K298" s="52"/>
      <c r="L298" s="53" t="str">
        <f t="shared" si="52"/>
        <v/>
      </c>
      <c r="M298" s="48" t="str">
        <f t="shared" si="53"/>
        <v/>
      </c>
      <c r="N298" s="54" t="str">
        <f t="shared" si="54"/>
        <v/>
      </c>
      <c r="O298" s="55">
        <f t="shared" si="55"/>
        <v>0</v>
      </c>
      <c r="P298" s="55">
        <f t="shared" si="56"/>
        <v>0</v>
      </c>
      <c r="Q298" s="54">
        <f t="shared" si="57"/>
        <v>0</v>
      </c>
      <c r="R298" s="47"/>
      <c r="T298" s="57"/>
      <c r="U298" s="45"/>
      <c r="V298" s="46">
        <f>IF(U298&lt;&gt;"",VLOOKUP(U298,'Tipo Projeto'!$A$3:$B$35,2,0),0)</f>
        <v>0</v>
      </c>
      <c r="W298" s="47"/>
      <c r="X298" s="49"/>
      <c r="Y298" s="50"/>
      <c r="Z298" s="51"/>
      <c r="AA298" s="52"/>
      <c r="AB298" s="53" t="str">
        <f t="shared" si="58"/>
        <v/>
      </c>
      <c r="AC298" s="48" t="str">
        <f t="shared" si="59"/>
        <v/>
      </c>
      <c r="AD298" s="54" t="str">
        <f t="shared" si="60"/>
        <v/>
      </c>
      <c r="AE298" s="55">
        <f t="shared" si="61"/>
        <v>0</v>
      </c>
      <c r="AF298" s="55">
        <f t="shared" si="62"/>
        <v>0</v>
      </c>
      <c r="AG298" s="58">
        <f t="shared" si="63"/>
        <v>0</v>
      </c>
      <c r="AH298" s="47"/>
      <c r="AJ298" s="47"/>
      <c r="AL298" s="47"/>
      <c r="AM298" s="47" t="str">
        <f t="shared" si="64"/>
        <v/>
      </c>
    </row>
    <row r="299" spans="1:39" s="56" customFormat="1" ht="24.75" customHeight="1">
      <c r="A299" s="44"/>
      <c r="B299" s="45"/>
      <c r="C299" s="46">
        <f>IF(B299&lt;&gt;"",VLOOKUP(B299,'Tipo Projeto'!$A$3:$B$35,2,0),0)</f>
        <v>0</v>
      </c>
      <c r="D299" s="47"/>
      <c r="E299" s="47"/>
      <c r="F299" s="48"/>
      <c r="G299" s="47"/>
      <c r="H299" s="49"/>
      <c r="I299" s="50"/>
      <c r="J299" s="51"/>
      <c r="K299" s="52"/>
      <c r="L299" s="53" t="str">
        <f t="shared" si="52"/>
        <v/>
      </c>
      <c r="M299" s="48" t="str">
        <f t="shared" si="53"/>
        <v/>
      </c>
      <c r="N299" s="54" t="str">
        <f t="shared" si="54"/>
        <v/>
      </c>
      <c r="O299" s="55">
        <f t="shared" si="55"/>
        <v>0</v>
      </c>
      <c r="P299" s="55">
        <f t="shared" si="56"/>
        <v>0</v>
      </c>
      <c r="Q299" s="54">
        <f t="shared" si="57"/>
        <v>0</v>
      </c>
      <c r="R299" s="47"/>
      <c r="T299" s="57"/>
      <c r="U299" s="45"/>
      <c r="V299" s="46">
        <f>IF(U299&lt;&gt;"",VLOOKUP(U299,'Tipo Projeto'!$A$3:$B$35,2,0),0)</f>
        <v>0</v>
      </c>
      <c r="W299" s="47"/>
      <c r="X299" s="49"/>
      <c r="Y299" s="50"/>
      <c r="Z299" s="51"/>
      <c r="AA299" s="52"/>
      <c r="AB299" s="53" t="str">
        <f t="shared" si="58"/>
        <v/>
      </c>
      <c r="AC299" s="48" t="str">
        <f t="shared" si="59"/>
        <v/>
      </c>
      <c r="AD299" s="54" t="str">
        <f t="shared" si="60"/>
        <v/>
      </c>
      <c r="AE299" s="55">
        <f t="shared" si="61"/>
        <v>0</v>
      </c>
      <c r="AF299" s="55">
        <f t="shared" si="62"/>
        <v>0</v>
      </c>
      <c r="AG299" s="58">
        <f t="shared" si="63"/>
        <v>0</v>
      </c>
      <c r="AH299" s="47"/>
      <c r="AJ299" s="47"/>
      <c r="AL299" s="47"/>
      <c r="AM299" s="47" t="str">
        <f t="shared" si="64"/>
        <v/>
      </c>
    </row>
    <row r="300" spans="1:39" s="56" customFormat="1" ht="24.75" customHeight="1">
      <c r="A300" s="44"/>
      <c r="B300" s="45"/>
      <c r="C300" s="46">
        <f>IF(B300&lt;&gt;"",VLOOKUP(B300,'Tipo Projeto'!$A$3:$B$35,2,0),0)</f>
        <v>0</v>
      </c>
      <c r="D300" s="47"/>
      <c r="E300" s="47"/>
      <c r="F300" s="48"/>
      <c r="G300" s="47"/>
      <c r="H300" s="49"/>
      <c r="I300" s="50"/>
      <c r="J300" s="51"/>
      <c r="K300" s="52"/>
      <c r="L300" s="53" t="str">
        <f t="shared" si="52"/>
        <v/>
      </c>
      <c r="M300" s="48" t="str">
        <f t="shared" si="53"/>
        <v/>
      </c>
      <c r="N300" s="54" t="str">
        <f t="shared" si="54"/>
        <v/>
      </c>
      <c r="O300" s="55">
        <f t="shared" si="55"/>
        <v>0</v>
      </c>
      <c r="P300" s="55">
        <f t="shared" si="56"/>
        <v>0</v>
      </c>
      <c r="Q300" s="54">
        <f t="shared" si="57"/>
        <v>0</v>
      </c>
      <c r="R300" s="47"/>
      <c r="T300" s="57"/>
      <c r="U300" s="45"/>
      <c r="V300" s="46">
        <f>IF(U300&lt;&gt;"",VLOOKUP(U300,'Tipo Projeto'!$A$3:$B$35,2,0),0)</f>
        <v>0</v>
      </c>
      <c r="W300" s="47"/>
      <c r="X300" s="49"/>
      <c r="Y300" s="50"/>
      <c r="Z300" s="51"/>
      <c r="AA300" s="52"/>
      <c r="AB300" s="53" t="str">
        <f t="shared" si="58"/>
        <v/>
      </c>
      <c r="AC300" s="48" t="str">
        <f t="shared" si="59"/>
        <v/>
      </c>
      <c r="AD300" s="54" t="str">
        <f t="shared" si="60"/>
        <v/>
      </c>
      <c r="AE300" s="55">
        <f t="shared" si="61"/>
        <v>0</v>
      </c>
      <c r="AF300" s="55">
        <f t="shared" si="62"/>
        <v>0</v>
      </c>
      <c r="AG300" s="58">
        <f t="shared" si="63"/>
        <v>0</v>
      </c>
      <c r="AH300" s="47"/>
      <c r="AJ300" s="47"/>
      <c r="AL300" s="47"/>
      <c r="AM300" s="47" t="str">
        <f t="shared" si="64"/>
        <v/>
      </c>
    </row>
    <row r="301" spans="1:39" s="56" customFormat="1" ht="24.75" customHeight="1">
      <c r="A301" s="44"/>
      <c r="B301" s="45"/>
      <c r="C301" s="46">
        <f>IF(B301&lt;&gt;"",VLOOKUP(B301,'Tipo Projeto'!$A$3:$B$35,2,0),0)</f>
        <v>0</v>
      </c>
      <c r="D301" s="47"/>
      <c r="E301" s="47"/>
      <c r="F301" s="48"/>
      <c r="G301" s="47"/>
      <c r="H301" s="49"/>
      <c r="I301" s="50"/>
      <c r="J301" s="51"/>
      <c r="K301" s="52"/>
      <c r="L301" s="53" t="str">
        <f t="shared" si="52"/>
        <v/>
      </c>
      <c r="M301" s="48" t="str">
        <f t="shared" si="53"/>
        <v/>
      </c>
      <c r="N301" s="54" t="str">
        <f t="shared" si="54"/>
        <v/>
      </c>
      <c r="O301" s="55">
        <f t="shared" si="55"/>
        <v>0</v>
      </c>
      <c r="P301" s="55">
        <f t="shared" si="56"/>
        <v>0</v>
      </c>
      <c r="Q301" s="54">
        <f t="shared" si="57"/>
        <v>0</v>
      </c>
      <c r="R301" s="47"/>
      <c r="T301" s="57"/>
      <c r="U301" s="45"/>
      <c r="V301" s="46">
        <f>IF(U301&lt;&gt;"",VLOOKUP(U301,'Tipo Projeto'!$A$3:$B$35,2,0),0)</f>
        <v>0</v>
      </c>
      <c r="W301" s="47"/>
      <c r="X301" s="49"/>
      <c r="Y301" s="50"/>
      <c r="Z301" s="51"/>
      <c r="AA301" s="52"/>
      <c r="AB301" s="53" t="str">
        <f t="shared" si="58"/>
        <v/>
      </c>
      <c r="AC301" s="48" t="str">
        <f t="shared" si="59"/>
        <v/>
      </c>
      <c r="AD301" s="54" t="str">
        <f t="shared" si="60"/>
        <v/>
      </c>
      <c r="AE301" s="55">
        <f t="shared" si="61"/>
        <v>0</v>
      </c>
      <c r="AF301" s="55">
        <f t="shared" si="62"/>
        <v>0</v>
      </c>
      <c r="AG301" s="58">
        <f t="shared" si="63"/>
        <v>0</v>
      </c>
      <c r="AH301" s="47"/>
      <c r="AJ301" s="47"/>
      <c r="AL301" s="47"/>
      <c r="AM301" s="47" t="str">
        <f t="shared" si="64"/>
        <v/>
      </c>
    </row>
    <row r="302" spans="1:39" s="56" customFormat="1" ht="24.75" customHeight="1">
      <c r="A302" s="44"/>
      <c r="B302" s="45"/>
      <c r="C302" s="46">
        <f>IF(B302&lt;&gt;"",VLOOKUP(B302,'Tipo Projeto'!$A$3:$B$35,2,0),0)</f>
        <v>0</v>
      </c>
      <c r="D302" s="47"/>
      <c r="E302" s="47"/>
      <c r="F302" s="48"/>
      <c r="G302" s="47"/>
      <c r="H302" s="49"/>
      <c r="I302" s="50"/>
      <c r="J302" s="51"/>
      <c r="K302" s="52"/>
      <c r="L302" s="53" t="str">
        <f t="shared" si="52"/>
        <v/>
      </c>
      <c r="M302" s="48" t="str">
        <f t="shared" si="53"/>
        <v/>
      </c>
      <c r="N302" s="54" t="str">
        <f t="shared" si="54"/>
        <v/>
      </c>
      <c r="O302" s="55">
        <f t="shared" si="55"/>
        <v>0</v>
      </c>
      <c r="P302" s="55">
        <f t="shared" si="56"/>
        <v>0</v>
      </c>
      <c r="Q302" s="54">
        <f t="shared" si="57"/>
        <v>0</v>
      </c>
      <c r="R302" s="47"/>
      <c r="T302" s="57"/>
      <c r="U302" s="45"/>
      <c r="V302" s="46">
        <f>IF(U302&lt;&gt;"",VLOOKUP(U302,'Tipo Projeto'!$A$3:$B$35,2,0),0)</f>
        <v>0</v>
      </c>
      <c r="W302" s="47"/>
      <c r="X302" s="49"/>
      <c r="Y302" s="50"/>
      <c r="Z302" s="51"/>
      <c r="AA302" s="52"/>
      <c r="AB302" s="53" t="str">
        <f t="shared" si="58"/>
        <v/>
      </c>
      <c r="AC302" s="48" t="str">
        <f t="shared" si="59"/>
        <v/>
      </c>
      <c r="AD302" s="54" t="str">
        <f t="shared" si="60"/>
        <v/>
      </c>
      <c r="AE302" s="55">
        <f t="shared" si="61"/>
        <v>0</v>
      </c>
      <c r="AF302" s="55">
        <f t="shared" si="62"/>
        <v>0</v>
      </c>
      <c r="AG302" s="58">
        <f t="shared" si="63"/>
        <v>0</v>
      </c>
      <c r="AH302" s="47"/>
      <c r="AJ302" s="47"/>
      <c r="AL302" s="47"/>
      <c r="AM302" s="47" t="str">
        <f t="shared" si="64"/>
        <v/>
      </c>
    </row>
    <row r="303" spans="1:39" s="56" customFormat="1" ht="24.75" customHeight="1">
      <c r="A303" s="44"/>
      <c r="B303" s="45"/>
      <c r="C303" s="46">
        <f>IF(B303&lt;&gt;"",VLOOKUP(B303,'Tipo Projeto'!$A$3:$B$35,2,0),0)</f>
        <v>0</v>
      </c>
      <c r="D303" s="47"/>
      <c r="E303" s="47"/>
      <c r="F303" s="48"/>
      <c r="G303" s="47"/>
      <c r="H303" s="49"/>
      <c r="I303" s="50"/>
      <c r="J303" s="51"/>
      <c r="K303" s="52"/>
      <c r="L303" s="53" t="str">
        <f t="shared" si="52"/>
        <v/>
      </c>
      <c r="M303" s="48" t="str">
        <f t="shared" si="53"/>
        <v/>
      </c>
      <c r="N303" s="54" t="str">
        <f t="shared" si="54"/>
        <v/>
      </c>
      <c r="O303" s="55">
        <f t="shared" si="55"/>
        <v>0</v>
      </c>
      <c r="P303" s="55">
        <f t="shared" si="56"/>
        <v>0</v>
      </c>
      <c r="Q303" s="54">
        <f t="shared" si="57"/>
        <v>0</v>
      </c>
      <c r="R303" s="47"/>
      <c r="T303" s="57"/>
      <c r="U303" s="45"/>
      <c r="V303" s="46">
        <f>IF(U303&lt;&gt;"",VLOOKUP(U303,'Tipo Projeto'!$A$3:$B$35,2,0),0)</f>
        <v>0</v>
      </c>
      <c r="W303" s="47"/>
      <c r="X303" s="49"/>
      <c r="Y303" s="50"/>
      <c r="Z303" s="51"/>
      <c r="AA303" s="52"/>
      <c r="AB303" s="53" t="str">
        <f t="shared" si="58"/>
        <v/>
      </c>
      <c r="AC303" s="48" t="str">
        <f t="shared" si="59"/>
        <v/>
      </c>
      <c r="AD303" s="54" t="str">
        <f t="shared" si="60"/>
        <v/>
      </c>
      <c r="AE303" s="55">
        <f t="shared" si="61"/>
        <v>0</v>
      </c>
      <c r="AF303" s="55">
        <f t="shared" si="62"/>
        <v>0</v>
      </c>
      <c r="AG303" s="58">
        <f t="shared" si="63"/>
        <v>0</v>
      </c>
      <c r="AH303" s="47"/>
      <c r="AJ303" s="47"/>
      <c r="AL303" s="47"/>
      <c r="AM303" s="47" t="str">
        <f t="shared" si="64"/>
        <v/>
      </c>
    </row>
    <row r="304" spans="1:39" s="56" customFormat="1" ht="24.75" customHeight="1">
      <c r="A304" s="44"/>
      <c r="B304" s="45"/>
      <c r="C304" s="46">
        <f>IF(B304&lt;&gt;"",VLOOKUP(B304,'Tipo Projeto'!$A$3:$B$35,2,0),0)</f>
        <v>0</v>
      </c>
      <c r="D304" s="47"/>
      <c r="E304" s="47"/>
      <c r="F304" s="48"/>
      <c r="G304" s="47"/>
      <c r="H304" s="49"/>
      <c r="I304" s="50"/>
      <c r="J304" s="51"/>
      <c r="K304" s="52"/>
      <c r="L304" s="53" t="str">
        <f t="shared" si="52"/>
        <v/>
      </c>
      <c r="M304" s="48" t="str">
        <f t="shared" si="53"/>
        <v/>
      </c>
      <c r="N304" s="54" t="str">
        <f t="shared" si="54"/>
        <v/>
      </c>
      <c r="O304" s="55">
        <f t="shared" si="55"/>
        <v>0</v>
      </c>
      <c r="P304" s="55">
        <f t="shared" si="56"/>
        <v>0</v>
      </c>
      <c r="Q304" s="54">
        <f t="shared" si="57"/>
        <v>0</v>
      </c>
      <c r="R304" s="47"/>
      <c r="T304" s="57"/>
      <c r="U304" s="45"/>
      <c r="V304" s="46">
        <f>IF(U304&lt;&gt;"",VLOOKUP(U304,'Tipo Projeto'!$A$3:$B$35,2,0),0)</f>
        <v>0</v>
      </c>
      <c r="W304" s="47"/>
      <c r="X304" s="49"/>
      <c r="Y304" s="50"/>
      <c r="Z304" s="51"/>
      <c r="AA304" s="52"/>
      <c r="AB304" s="53" t="str">
        <f t="shared" si="58"/>
        <v/>
      </c>
      <c r="AC304" s="48" t="str">
        <f t="shared" si="59"/>
        <v/>
      </c>
      <c r="AD304" s="54" t="str">
        <f t="shared" si="60"/>
        <v/>
      </c>
      <c r="AE304" s="55">
        <f t="shared" si="61"/>
        <v>0</v>
      </c>
      <c r="AF304" s="55">
        <f t="shared" si="62"/>
        <v>0</v>
      </c>
      <c r="AG304" s="58">
        <f t="shared" si="63"/>
        <v>0</v>
      </c>
      <c r="AH304" s="47"/>
      <c r="AJ304" s="47"/>
      <c r="AL304" s="47"/>
      <c r="AM304" s="47" t="str">
        <f t="shared" si="64"/>
        <v/>
      </c>
    </row>
    <row r="305" spans="1:39" s="56" customFormat="1" ht="24.75" customHeight="1">
      <c r="A305" s="44"/>
      <c r="B305" s="45"/>
      <c r="C305" s="46">
        <f>IF(B305&lt;&gt;"",VLOOKUP(B305,'Tipo Projeto'!$A$3:$B$35,2,0),0)</f>
        <v>0</v>
      </c>
      <c r="D305" s="47"/>
      <c r="E305" s="47"/>
      <c r="F305" s="48"/>
      <c r="G305" s="47"/>
      <c r="H305" s="49"/>
      <c r="I305" s="50"/>
      <c r="J305" s="51"/>
      <c r="K305" s="52"/>
      <c r="L305" s="53" t="str">
        <f t="shared" si="52"/>
        <v/>
      </c>
      <c r="M305" s="48" t="str">
        <f t="shared" si="53"/>
        <v/>
      </c>
      <c r="N305" s="54" t="str">
        <f t="shared" si="54"/>
        <v/>
      </c>
      <c r="O305" s="55">
        <f t="shared" si="55"/>
        <v>0</v>
      </c>
      <c r="P305" s="55">
        <f t="shared" si="56"/>
        <v>0</v>
      </c>
      <c r="Q305" s="54">
        <f t="shared" si="57"/>
        <v>0</v>
      </c>
      <c r="R305" s="47"/>
      <c r="T305" s="57"/>
      <c r="U305" s="45"/>
      <c r="V305" s="46">
        <f>IF(U305&lt;&gt;"",VLOOKUP(U305,'Tipo Projeto'!$A$3:$B$35,2,0),0)</f>
        <v>0</v>
      </c>
      <c r="W305" s="47"/>
      <c r="X305" s="49"/>
      <c r="Y305" s="50"/>
      <c r="Z305" s="51"/>
      <c r="AA305" s="52"/>
      <c r="AB305" s="53" t="str">
        <f t="shared" si="58"/>
        <v/>
      </c>
      <c r="AC305" s="48" t="str">
        <f t="shared" si="59"/>
        <v/>
      </c>
      <c r="AD305" s="54" t="str">
        <f t="shared" si="60"/>
        <v/>
      </c>
      <c r="AE305" s="55">
        <f t="shared" si="61"/>
        <v>0</v>
      </c>
      <c r="AF305" s="55">
        <f t="shared" si="62"/>
        <v>0</v>
      </c>
      <c r="AG305" s="58">
        <f t="shared" si="63"/>
        <v>0</v>
      </c>
      <c r="AH305" s="47"/>
      <c r="AJ305" s="47"/>
      <c r="AL305" s="47"/>
      <c r="AM305" s="47" t="str">
        <f t="shared" si="64"/>
        <v/>
      </c>
    </row>
    <row r="306" spans="1:39" s="56" customFormat="1" ht="24.75" customHeight="1">
      <c r="A306" s="44"/>
      <c r="B306" s="45"/>
      <c r="C306" s="46">
        <f>IF(B306&lt;&gt;"",VLOOKUP(B306,'Tipo Projeto'!$A$3:$B$35,2,0),0)</f>
        <v>0</v>
      </c>
      <c r="D306" s="47"/>
      <c r="E306" s="47"/>
      <c r="F306" s="48"/>
      <c r="G306" s="47"/>
      <c r="H306" s="49"/>
      <c r="I306" s="50"/>
      <c r="J306" s="51"/>
      <c r="K306" s="52"/>
      <c r="L306" s="53" t="str">
        <f t="shared" si="52"/>
        <v/>
      </c>
      <c r="M306" s="48" t="str">
        <f t="shared" si="53"/>
        <v/>
      </c>
      <c r="N306" s="54" t="str">
        <f t="shared" si="54"/>
        <v/>
      </c>
      <c r="O306" s="55">
        <f t="shared" si="55"/>
        <v>0</v>
      </c>
      <c r="P306" s="55">
        <f t="shared" si="56"/>
        <v>0</v>
      </c>
      <c r="Q306" s="54">
        <f t="shared" si="57"/>
        <v>0</v>
      </c>
      <c r="R306" s="47"/>
      <c r="T306" s="57"/>
      <c r="U306" s="45"/>
      <c r="V306" s="46">
        <f>IF(U306&lt;&gt;"",VLOOKUP(U306,'Tipo Projeto'!$A$3:$B$35,2,0),0)</f>
        <v>0</v>
      </c>
      <c r="W306" s="47"/>
      <c r="X306" s="49"/>
      <c r="Y306" s="50"/>
      <c r="Z306" s="51"/>
      <c r="AA306" s="52"/>
      <c r="AB306" s="53" t="str">
        <f t="shared" si="58"/>
        <v/>
      </c>
      <c r="AC306" s="48" t="str">
        <f t="shared" si="59"/>
        <v/>
      </c>
      <c r="AD306" s="54" t="str">
        <f t="shared" si="60"/>
        <v/>
      </c>
      <c r="AE306" s="55">
        <f t="shared" si="61"/>
        <v>0</v>
      </c>
      <c r="AF306" s="55">
        <f t="shared" si="62"/>
        <v>0</v>
      </c>
      <c r="AG306" s="58">
        <f t="shared" si="63"/>
        <v>0</v>
      </c>
      <c r="AH306" s="47"/>
      <c r="AJ306" s="47"/>
      <c r="AL306" s="47"/>
      <c r="AM306" s="47" t="str">
        <f t="shared" si="64"/>
        <v/>
      </c>
    </row>
    <row r="307" spans="1:39" s="56" customFormat="1" ht="24.75" customHeight="1">
      <c r="A307" s="44"/>
      <c r="B307" s="45"/>
      <c r="C307" s="46">
        <f>IF(B307&lt;&gt;"",VLOOKUP(B307,'Tipo Projeto'!$A$3:$B$35,2,0),0)</f>
        <v>0</v>
      </c>
      <c r="D307" s="47"/>
      <c r="E307" s="47"/>
      <c r="F307" s="48"/>
      <c r="G307" s="47"/>
      <c r="H307" s="49"/>
      <c r="I307" s="50"/>
      <c r="J307" s="51"/>
      <c r="K307" s="52"/>
      <c r="L307" s="53" t="str">
        <f t="shared" si="52"/>
        <v/>
      </c>
      <c r="M307" s="48" t="str">
        <f t="shared" si="53"/>
        <v/>
      </c>
      <c r="N307" s="54" t="str">
        <f t="shared" si="54"/>
        <v/>
      </c>
      <c r="O307" s="55">
        <f t="shared" si="55"/>
        <v>0</v>
      </c>
      <c r="P307" s="55">
        <f t="shared" si="56"/>
        <v>0</v>
      </c>
      <c r="Q307" s="54">
        <f t="shared" si="57"/>
        <v>0</v>
      </c>
      <c r="R307" s="47"/>
      <c r="T307" s="57"/>
      <c r="U307" s="45"/>
      <c r="V307" s="46">
        <f>IF(U307&lt;&gt;"",VLOOKUP(U307,'Tipo Projeto'!$A$3:$B$35,2,0),0)</f>
        <v>0</v>
      </c>
      <c r="W307" s="47"/>
      <c r="X307" s="49"/>
      <c r="Y307" s="50"/>
      <c r="Z307" s="51"/>
      <c r="AA307" s="52"/>
      <c r="AB307" s="53" t="str">
        <f t="shared" si="58"/>
        <v/>
      </c>
      <c r="AC307" s="48" t="str">
        <f t="shared" si="59"/>
        <v/>
      </c>
      <c r="AD307" s="54" t="str">
        <f t="shared" si="60"/>
        <v/>
      </c>
      <c r="AE307" s="55">
        <f t="shared" si="61"/>
        <v>0</v>
      </c>
      <c r="AF307" s="55">
        <f t="shared" si="62"/>
        <v>0</v>
      </c>
      <c r="AG307" s="58">
        <f t="shared" si="63"/>
        <v>0</v>
      </c>
      <c r="AH307" s="47"/>
      <c r="AJ307" s="47"/>
      <c r="AL307" s="47"/>
      <c r="AM307" s="47" t="str">
        <f t="shared" si="64"/>
        <v/>
      </c>
    </row>
    <row r="308" spans="1:39" s="56" customFormat="1" ht="24.75" customHeight="1">
      <c r="A308" s="44"/>
      <c r="B308" s="45"/>
      <c r="C308" s="46">
        <f>IF(B308&lt;&gt;"",VLOOKUP(B308,'Tipo Projeto'!$A$3:$B$35,2,0),0)</f>
        <v>0</v>
      </c>
      <c r="D308" s="47"/>
      <c r="E308" s="47"/>
      <c r="F308" s="48"/>
      <c r="G308" s="47"/>
      <c r="H308" s="49"/>
      <c r="I308" s="50"/>
      <c r="J308" s="51"/>
      <c r="K308" s="52"/>
      <c r="L308" s="53" t="str">
        <f t="shared" si="52"/>
        <v/>
      </c>
      <c r="M308" s="48" t="str">
        <f t="shared" si="53"/>
        <v/>
      </c>
      <c r="N308" s="54" t="str">
        <f t="shared" si="54"/>
        <v/>
      </c>
      <c r="O308" s="55">
        <f t="shared" si="55"/>
        <v>0</v>
      </c>
      <c r="P308" s="55">
        <f t="shared" si="56"/>
        <v>0</v>
      </c>
      <c r="Q308" s="54">
        <f t="shared" si="57"/>
        <v>0</v>
      </c>
      <c r="R308" s="47"/>
      <c r="T308" s="57"/>
      <c r="U308" s="45"/>
      <c r="V308" s="46">
        <f>IF(U308&lt;&gt;"",VLOOKUP(U308,'Tipo Projeto'!$A$3:$B$35,2,0),0)</f>
        <v>0</v>
      </c>
      <c r="W308" s="47"/>
      <c r="X308" s="49"/>
      <c r="Y308" s="50"/>
      <c r="Z308" s="51"/>
      <c r="AA308" s="52"/>
      <c r="AB308" s="53" t="str">
        <f t="shared" si="58"/>
        <v/>
      </c>
      <c r="AC308" s="48" t="str">
        <f t="shared" si="59"/>
        <v/>
      </c>
      <c r="AD308" s="54" t="str">
        <f t="shared" si="60"/>
        <v/>
      </c>
      <c r="AE308" s="55">
        <f t="shared" si="61"/>
        <v>0</v>
      </c>
      <c r="AF308" s="55">
        <f t="shared" si="62"/>
        <v>0</v>
      </c>
      <c r="AG308" s="58">
        <f t="shared" si="63"/>
        <v>0</v>
      </c>
      <c r="AH308" s="47"/>
      <c r="AJ308" s="47"/>
      <c r="AL308" s="47"/>
      <c r="AM308" s="47" t="str">
        <f t="shared" si="64"/>
        <v/>
      </c>
    </row>
    <row r="309" spans="1:39" s="56" customFormat="1" ht="24.75" customHeight="1">
      <c r="A309" s="44"/>
      <c r="B309" s="45"/>
      <c r="C309" s="46">
        <f>IF(B309&lt;&gt;"",VLOOKUP(B309,'Tipo Projeto'!$A$3:$B$35,2,0),0)</f>
        <v>0</v>
      </c>
      <c r="D309" s="47"/>
      <c r="E309" s="47"/>
      <c r="F309" s="48"/>
      <c r="G309" s="47"/>
      <c r="H309" s="49"/>
      <c r="I309" s="50"/>
      <c r="J309" s="51"/>
      <c r="K309" s="52"/>
      <c r="L309" s="53" t="str">
        <f t="shared" si="52"/>
        <v/>
      </c>
      <c r="M309" s="48" t="str">
        <f t="shared" si="53"/>
        <v/>
      </c>
      <c r="N309" s="54" t="str">
        <f t="shared" si="54"/>
        <v/>
      </c>
      <c r="O309" s="55">
        <f t="shared" si="55"/>
        <v>0</v>
      </c>
      <c r="P309" s="55">
        <f t="shared" si="56"/>
        <v>0</v>
      </c>
      <c r="Q309" s="54">
        <f t="shared" si="57"/>
        <v>0</v>
      </c>
      <c r="R309" s="47"/>
      <c r="T309" s="57"/>
      <c r="U309" s="45"/>
      <c r="V309" s="46">
        <f>IF(U309&lt;&gt;"",VLOOKUP(U309,'Tipo Projeto'!$A$3:$B$35,2,0),0)</f>
        <v>0</v>
      </c>
      <c r="W309" s="47"/>
      <c r="X309" s="49"/>
      <c r="Y309" s="50"/>
      <c r="Z309" s="51"/>
      <c r="AA309" s="52"/>
      <c r="AB309" s="53" t="str">
        <f t="shared" si="58"/>
        <v/>
      </c>
      <c r="AC309" s="48" t="str">
        <f t="shared" si="59"/>
        <v/>
      </c>
      <c r="AD309" s="54" t="str">
        <f t="shared" si="60"/>
        <v/>
      </c>
      <c r="AE309" s="55">
        <f t="shared" si="61"/>
        <v>0</v>
      </c>
      <c r="AF309" s="55">
        <f t="shared" si="62"/>
        <v>0</v>
      </c>
      <c r="AG309" s="58">
        <f t="shared" si="63"/>
        <v>0</v>
      </c>
      <c r="AH309" s="47"/>
      <c r="AJ309" s="47"/>
      <c r="AL309" s="47"/>
      <c r="AM309" s="47" t="str">
        <f t="shared" si="64"/>
        <v/>
      </c>
    </row>
    <row r="310" spans="1:39" s="56" customFormat="1" ht="24.75" customHeight="1">
      <c r="A310" s="44"/>
      <c r="B310" s="45"/>
      <c r="C310" s="46">
        <f>IF(B310&lt;&gt;"",VLOOKUP(B310,'Tipo Projeto'!$A$3:$B$35,2,0),0)</f>
        <v>0</v>
      </c>
      <c r="D310" s="47"/>
      <c r="E310" s="47"/>
      <c r="F310" s="48"/>
      <c r="G310" s="47"/>
      <c r="H310" s="49"/>
      <c r="I310" s="50"/>
      <c r="J310" s="51"/>
      <c r="K310" s="52"/>
      <c r="L310" s="53" t="str">
        <f t="shared" si="52"/>
        <v/>
      </c>
      <c r="M310" s="48" t="str">
        <f t="shared" si="53"/>
        <v/>
      </c>
      <c r="N310" s="54" t="str">
        <f t="shared" si="54"/>
        <v/>
      </c>
      <c r="O310" s="55">
        <f t="shared" si="55"/>
        <v>0</v>
      </c>
      <c r="P310" s="55">
        <f t="shared" si="56"/>
        <v>0</v>
      </c>
      <c r="Q310" s="54">
        <f t="shared" si="57"/>
        <v>0</v>
      </c>
      <c r="R310" s="47"/>
      <c r="T310" s="57"/>
      <c r="U310" s="45"/>
      <c r="V310" s="46">
        <f>IF(U310&lt;&gt;"",VLOOKUP(U310,'Tipo Projeto'!$A$3:$B$35,2,0),0)</f>
        <v>0</v>
      </c>
      <c r="W310" s="47"/>
      <c r="X310" s="49"/>
      <c r="Y310" s="50"/>
      <c r="Z310" s="51"/>
      <c r="AA310" s="52"/>
      <c r="AB310" s="53" t="str">
        <f t="shared" si="58"/>
        <v/>
      </c>
      <c r="AC310" s="48" t="str">
        <f t="shared" si="59"/>
        <v/>
      </c>
      <c r="AD310" s="54" t="str">
        <f t="shared" si="60"/>
        <v/>
      </c>
      <c r="AE310" s="55">
        <f t="shared" si="61"/>
        <v>0</v>
      </c>
      <c r="AF310" s="55">
        <f t="shared" si="62"/>
        <v>0</v>
      </c>
      <c r="AG310" s="58">
        <f t="shared" si="63"/>
        <v>0</v>
      </c>
      <c r="AH310" s="47"/>
      <c r="AJ310" s="47"/>
      <c r="AL310" s="47"/>
      <c r="AM310" s="47" t="str">
        <f t="shared" si="64"/>
        <v/>
      </c>
    </row>
    <row r="311" spans="1:39" s="56" customFormat="1" ht="24.75" customHeight="1">
      <c r="A311" s="44"/>
      <c r="B311" s="45"/>
      <c r="C311" s="46">
        <f>IF(B311&lt;&gt;"",VLOOKUP(B311,'Tipo Projeto'!$A$3:$B$35,2,0),0)</f>
        <v>0</v>
      </c>
      <c r="D311" s="47"/>
      <c r="E311" s="47"/>
      <c r="F311" s="48"/>
      <c r="G311" s="47"/>
      <c r="H311" s="49"/>
      <c r="I311" s="50"/>
      <c r="J311" s="51"/>
      <c r="K311" s="52"/>
      <c r="L311" s="53" t="str">
        <f t="shared" si="52"/>
        <v/>
      </c>
      <c r="M311" s="48" t="str">
        <f t="shared" si="53"/>
        <v/>
      </c>
      <c r="N311" s="54" t="str">
        <f t="shared" si="54"/>
        <v/>
      </c>
      <c r="O311" s="55">
        <f t="shared" si="55"/>
        <v>0</v>
      </c>
      <c r="P311" s="55">
        <f t="shared" si="56"/>
        <v>0</v>
      </c>
      <c r="Q311" s="54">
        <f t="shared" si="57"/>
        <v>0</v>
      </c>
      <c r="R311" s="47"/>
      <c r="T311" s="57"/>
      <c r="U311" s="45"/>
      <c r="V311" s="46">
        <f>IF(U311&lt;&gt;"",VLOOKUP(U311,'Tipo Projeto'!$A$3:$B$35,2,0),0)</f>
        <v>0</v>
      </c>
      <c r="W311" s="47"/>
      <c r="X311" s="49"/>
      <c r="Y311" s="50"/>
      <c r="Z311" s="51"/>
      <c r="AA311" s="52"/>
      <c r="AB311" s="53" t="str">
        <f t="shared" si="58"/>
        <v/>
      </c>
      <c r="AC311" s="48" t="str">
        <f t="shared" si="59"/>
        <v/>
      </c>
      <c r="AD311" s="54" t="str">
        <f t="shared" si="60"/>
        <v/>
      </c>
      <c r="AE311" s="55">
        <f t="shared" si="61"/>
        <v>0</v>
      </c>
      <c r="AF311" s="55">
        <f t="shared" si="62"/>
        <v>0</v>
      </c>
      <c r="AG311" s="58">
        <f t="shared" si="63"/>
        <v>0</v>
      </c>
      <c r="AH311" s="47"/>
      <c r="AJ311" s="47"/>
      <c r="AL311" s="47"/>
      <c r="AM311" s="47" t="str">
        <f t="shared" si="64"/>
        <v/>
      </c>
    </row>
    <row r="312" spans="1:39" s="56" customFormat="1" ht="24.75" customHeight="1">
      <c r="A312" s="44"/>
      <c r="B312" s="45"/>
      <c r="C312" s="46">
        <f>IF(B312&lt;&gt;"",VLOOKUP(B312,'Tipo Projeto'!$A$3:$B$35,2,0),0)</f>
        <v>0</v>
      </c>
      <c r="D312" s="47"/>
      <c r="E312" s="47"/>
      <c r="F312" s="48"/>
      <c r="G312" s="47"/>
      <c r="H312" s="49"/>
      <c r="I312" s="50"/>
      <c r="J312" s="51"/>
      <c r="K312" s="52"/>
      <c r="L312" s="53" t="str">
        <f t="shared" si="52"/>
        <v/>
      </c>
      <c r="M312" s="48" t="str">
        <f t="shared" si="53"/>
        <v/>
      </c>
      <c r="N312" s="54" t="str">
        <f t="shared" si="54"/>
        <v/>
      </c>
      <c r="O312" s="55">
        <f t="shared" si="55"/>
        <v>0</v>
      </c>
      <c r="P312" s="55">
        <f t="shared" si="56"/>
        <v>0</v>
      </c>
      <c r="Q312" s="54">
        <f t="shared" si="57"/>
        <v>0</v>
      </c>
      <c r="R312" s="47"/>
      <c r="T312" s="57"/>
      <c r="U312" s="45"/>
      <c r="V312" s="46">
        <f>IF(U312&lt;&gt;"",VLOOKUP(U312,'Tipo Projeto'!$A$3:$B$35,2,0),0)</f>
        <v>0</v>
      </c>
      <c r="W312" s="47"/>
      <c r="X312" s="49"/>
      <c r="Y312" s="50"/>
      <c r="Z312" s="51"/>
      <c r="AA312" s="52"/>
      <c r="AB312" s="53" t="str">
        <f t="shared" si="58"/>
        <v/>
      </c>
      <c r="AC312" s="48" t="str">
        <f t="shared" si="59"/>
        <v/>
      </c>
      <c r="AD312" s="54" t="str">
        <f t="shared" si="60"/>
        <v/>
      </c>
      <c r="AE312" s="55">
        <f t="shared" si="61"/>
        <v>0</v>
      </c>
      <c r="AF312" s="55">
        <f t="shared" si="62"/>
        <v>0</v>
      </c>
      <c r="AG312" s="58">
        <f t="shared" si="63"/>
        <v>0</v>
      </c>
      <c r="AH312" s="47"/>
      <c r="AJ312" s="47"/>
      <c r="AL312" s="47"/>
      <c r="AM312" s="47" t="str">
        <f t="shared" si="64"/>
        <v/>
      </c>
    </row>
    <row r="313" spans="1:39" s="56" customFormat="1" ht="24.75" customHeight="1">
      <c r="A313" s="44"/>
      <c r="B313" s="45"/>
      <c r="C313" s="46">
        <f>IF(B313&lt;&gt;"",VLOOKUP(B313,'Tipo Projeto'!$A$3:$B$35,2,0),0)</f>
        <v>0</v>
      </c>
      <c r="D313" s="47"/>
      <c r="E313" s="47"/>
      <c r="F313" s="48"/>
      <c r="G313" s="47"/>
      <c r="H313" s="49"/>
      <c r="I313" s="50"/>
      <c r="J313" s="51"/>
      <c r="K313" s="52"/>
      <c r="L313" s="53" t="str">
        <f t="shared" si="52"/>
        <v/>
      </c>
      <c r="M313" s="48" t="str">
        <f t="shared" si="53"/>
        <v/>
      </c>
      <c r="N313" s="54" t="str">
        <f t="shared" si="54"/>
        <v/>
      </c>
      <c r="O313" s="55">
        <f t="shared" si="55"/>
        <v>0</v>
      </c>
      <c r="P313" s="55">
        <f t="shared" si="56"/>
        <v>0</v>
      </c>
      <c r="Q313" s="54">
        <f t="shared" si="57"/>
        <v>0</v>
      </c>
      <c r="R313" s="47"/>
      <c r="T313" s="57"/>
      <c r="U313" s="45"/>
      <c r="V313" s="46">
        <f>IF(U313&lt;&gt;"",VLOOKUP(U313,'Tipo Projeto'!$A$3:$B$35,2,0),0)</f>
        <v>0</v>
      </c>
      <c r="W313" s="47"/>
      <c r="X313" s="49"/>
      <c r="Y313" s="50"/>
      <c r="Z313" s="51"/>
      <c r="AA313" s="52"/>
      <c r="AB313" s="53" t="str">
        <f t="shared" si="58"/>
        <v/>
      </c>
      <c r="AC313" s="48" t="str">
        <f t="shared" si="59"/>
        <v/>
      </c>
      <c r="AD313" s="54" t="str">
        <f t="shared" si="60"/>
        <v/>
      </c>
      <c r="AE313" s="55">
        <f t="shared" si="61"/>
        <v>0</v>
      </c>
      <c r="AF313" s="55">
        <f t="shared" si="62"/>
        <v>0</v>
      </c>
      <c r="AG313" s="58">
        <f t="shared" si="63"/>
        <v>0</v>
      </c>
      <c r="AH313" s="47"/>
      <c r="AJ313" s="47"/>
      <c r="AL313" s="47"/>
      <c r="AM313" s="47" t="str">
        <f t="shared" si="64"/>
        <v/>
      </c>
    </row>
    <row r="314" spans="1:39" s="56" customFormat="1" ht="24.75" customHeight="1">
      <c r="A314" s="44"/>
      <c r="B314" s="45"/>
      <c r="C314" s="46">
        <f>IF(B314&lt;&gt;"",VLOOKUP(B314,'Tipo Projeto'!$A$3:$B$35,2,0),0)</f>
        <v>0</v>
      </c>
      <c r="D314" s="47"/>
      <c r="E314" s="47"/>
      <c r="F314" s="48"/>
      <c r="G314" s="47"/>
      <c r="H314" s="49"/>
      <c r="I314" s="50"/>
      <c r="J314" s="51"/>
      <c r="K314" s="52"/>
      <c r="L314" s="53" t="str">
        <f t="shared" si="52"/>
        <v/>
      </c>
      <c r="M314" s="48" t="str">
        <f t="shared" si="53"/>
        <v/>
      </c>
      <c r="N314" s="54" t="str">
        <f t="shared" si="54"/>
        <v/>
      </c>
      <c r="O314" s="55">
        <f t="shared" si="55"/>
        <v>0</v>
      </c>
      <c r="P314" s="55">
        <f t="shared" si="56"/>
        <v>0</v>
      </c>
      <c r="Q314" s="54">
        <f t="shared" si="57"/>
        <v>0</v>
      </c>
      <c r="R314" s="47"/>
      <c r="T314" s="57"/>
      <c r="U314" s="45"/>
      <c r="V314" s="46">
        <f>IF(U314&lt;&gt;"",VLOOKUP(U314,'Tipo Projeto'!$A$3:$B$35,2,0),0)</f>
        <v>0</v>
      </c>
      <c r="W314" s="47"/>
      <c r="X314" s="49"/>
      <c r="Y314" s="50"/>
      <c r="Z314" s="51"/>
      <c r="AA314" s="52"/>
      <c r="AB314" s="53" t="str">
        <f t="shared" si="58"/>
        <v/>
      </c>
      <c r="AC314" s="48" t="str">
        <f t="shared" si="59"/>
        <v/>
      </c>
      <c r="AD314" s="54" t="str">
        <f t="shared" si="60"/>
        <v/>
      </c>
      <c r="AE314" s="55">
        <f t="shared" si="61"/>
        <v>0</v>
      </c>
      <c r="AF314" s="55">
        <f t="shared" si="62"/>
        <v>0</v>
      </c>
      <c r="AG314" s="58">
        <f t="shared" si="63"/>
        <v>0</v>
      </c>
      <c r="AH314" s="47"/>
      <c r="AJ314" s="47"/>
      <c r="AL314" s="47"/>
      <c r="AM314" s="47" t="str">
        <f t="shared" si="64"/>
        <v/>
      </c>
    </row>
    <row r="315" spans="1:39" s="56" customFormat="1" ht="24.75" customHeight="1">
      <c r="A315" s="44"/>
      <c r="B315" s="45"/>
      <c r="C315" s="46">
        <f>IF(B315&lt;&gt;"",VLOOKUP(B315,'Tipo Projeto'!$A$3:$B$35,2,0),0)</f>
        <v>0</v>
      </c>
      <c r="D315" s="47"/>
      <c r="E315" s="47"/>
      <c r="F315" s="48"/>
      <c r="G315" s="47"/>
      <c r="H315" s="49"/>
      <c r="I315" s="50"/>
      <c r="J315" s="51"/>
      <c r="K315" s="52"/>
      <c r="L315" s="53" t="str">
        <f t="shared" si="52"/>
        <v/>
      </c>
      <c r="M315" s="48" t="str">
        <f t="shared" si="53"/>
        <v/>
      </c>
      <c r="N315" s="54" t="str">
        <f t="shared" si="54"/>
        <v/>
      </c>
      <c r="O315" s="55">
        <f t="shared" si="55"/>
        <v>0</v>
      </c>
      <c r="P315" s="55">
        <f t="shared" si="56"/>
        <v>0</v>
      </c>
      <c r="Q315" s="54">
        <f t="shared" si="57"/>
        <v>0</v>
      </c>
      <c r="R315" s="47"/>
      <c r="T315" s="57"/>
      <c r="U315" s="45"/>
      <c r="V315" s="46">
        <f>IF(U315&lt;&gt;"",VLOOKUP(U315,'Tipo Projeto'!$A$3:$B$35,2,0),0)</f>
        <v>0</v>
      </c>
      <c r="W315" s="47"/>
      <c r="X315" s="49"/>
      <c r="Y315" s="50"/>
      <c r="Z315" s="51"/>
      <c r="AA315" s="52"/>
      <c r="AB315" s="53" t="str">
        <f t="shared" si="58"/>
        <v/>
      </c>
      <c r="AC315" s="48" t="str">
        <f t="shared" si="59"/>
        <v/>
      </c>
      <c r="AD315" s="54" t="str">
        <f t="shared" si="60"/>
        <v/>
      </c>
      <c r="AE315" s="55">
        <f t="shared" si="61"/>
        <v>0</v>
      </c>
      <c r="AF315" s="55">
        <f t="shared" si="62"/>
        <v>0</v>
      </c>
      <c r="AG315" s="58">
        <f t="shared" si="63"/>
        <v>0</v>
      </c>
      <c r="AH315" s="47"/>
      <c r="AJ315" s="47"/>
      <c r="AL315" s="47"/>
      <c r="AM315" s="47" t="str">
        <f t="shared" si="64"/>
        <v/>
      </c>
    </row>
    <row r="316" spans="1:39" s="56" customFormat="1" ht="24.75" customHeight="1">
      <c r="A316" s="44"/>
      <c r="B316" s="45"/>
      <c r="C316" s="46">
        <f>IF(B316&lt;&gt;"",VLOOKUP(B316,'Tipo Projeto'!$A$3:$B$35,2,0),0)</f>
        <v>0</v>
      </c>
      <c r="D316" s="47"/>
      <c r="E316" s="47"/>
      <c r="F316" s="48"/>
      <c r="G316" s="47"/>
      <c r="H316" s="49"/>
      <c r="I316" s="50"/>
      <c r="J316" s="51"/>
      <c r="K316" s="52"/>
      <c r="L316" s="53" t="str">
        <f t="shared" si="52"/>
        <v/>
      </c>
      <c r="M316" s="48" t="str">
        <f t="shared" si="53"/>
        <v/>
      </c>
      <c r="N316" s="54" t="str">
        <f t="shared" si="54"/>
        <v/>
      </c>
      <c r="O316" s="55">
        <f t="shared" si="55"/>
        <v>0</v>
      </c>
      <c r="P316" s="55">
        <f t="shared" si="56"/>
        <v>0</v>
      </c>
      <c r="Q316" s="54">
        <f t="shared" si="57"/>
        <v>0</v>
      </c>
      <c r="R316" s="47"/>
      <c r="T316" s="57"/>
      <c r="U316" s="45"/>
      <c r="V316" s="46">
        <f>IF(U316&lt;&gt;"",VLOOKUP(U316,'Tipo Projeto'!$A$3:$B$35,2,0),0)</f>
        <v>0</v>
      </c>
      <c r="W316" s="47"/>
      <c r="X316" s="49"/>
      <c r="Y316" s="50"/>
      <c r="Z316" s="51"/>
      <c r="AA316" s="52"/>
      <c r="AB316" s="53" t="str">
        <f t="shared" si="58"/>
        <v/>
      </c>
      <c r="AC316" s="48" t="str">
        <f t="shared" si="59"/>
        <v/>
      </c>
      <c r="AD316" s="54" t="str">
        <f t="shared" si="60"/>
        <v/>
      </c>
      <c r="AE316" s="55">
        <f t="shared" si="61"/>
        <v>0</v>
      </c>
      <c r="AF316" s="55">
        <f t="shared" si="62"/>
        <v>0</v>
      </c>
      <c r="AG316" s="58">
        <f t="shared" si="63"/>
        <v>0</v>
      </c>
      <c r="AH316" s="47"/>
      <c r="AJ316" s="47"/>
      <c r="AL316" s="47"/>
      <c r="AM316" s="47" t="str">
        <f t="shared" si="64"/>
        <v/>
      </c>
    </row>
    <row r="317" spans="1:39" s="56" customFormat="1" ht="24.75" customHeight="1">
      <c r="A317" s="44"/>
      <c r="B317" s="45"/>
      <c r="C317" s="46">
        <f>IF(B317&lt;&gt;"",VLOOKUP(B317,'Tipo Projeto'!$A$3:$B$35,2,0),0)</f>
        <v>0</v>
      </c>
      <c r="D317" s="47"/>
      <c r="E317" s="47"/>
      <c r="F317" s="48"/>
      <c r="G317" s="47"/>
      <c r="H317" s="49"/>
      <c r="I317" s="50"/>
      <c r="J317" s="51"/>
      <c r="K317" s="52"/>
      <c r="L317" s="53" t="str">
        <f t="shared" si="52"/>
        <v/>
      </c>
      <c r="M317" s="48" t="str">
        <f t="shared" si="53"/>
        <v/>
      </c>
      <c r="N317" s="54" t="str">
        <f t="shared" si="54"/>
        <v/>
      </c>
      <c r="O317" s="55">
        <f t="shared" si="55"/>
        <v>0</v>
      </c>
      <c r="P317" s="55">
        <f t="shared" si="56"/>
        <v>0</v>
      </c>
      <c r="Q317" s="54">
        <f t="shared" si="57"/>
        <v>0</v>
      </c>
      <c r="R317" s="47"/>
      <c r="T317" s="57"/>
      <c r="U317" s="45"/>
      <c r="V317" s="46">
        <f>IF(U317&lt;&gt;"",VLOOKUP(U317,'Tipo Projeto'!$A$3:$B$35,2,0),0)</f>
        <v>0</v>
      </c>
      <c r="W317" s="47"/>
      <c r="X317" s="49"/>
      <c r="Y317" s="50"/>
      <c r="Z317" s="51"/>
      <c r="AA317" s="52"/>
      <c r="AB317" s="53" t="str">
        <f t="shared" si="58"/>
        <v/>
      </c>
      <c r="AC317" s="48" t="str">
        <f t="shared" si="59"/>
        <v/>
      </c>
      <c r="AD317" s="54" t="str">
        <f t="shared" si="60"/>
        <v/>
      </c>
      <c r="AE317" s="55">
        <f t="shared" si="61"/>
        <v>0</v>
      </c>
      <c r="AF317" s="55">
        <f t="shared" si="62"/>
        <v>0</v>
      </c>
      <c r="AG317" s="58">
        <f t="shared" si="63"/>
        <v>0</v>
      </c>
      <c r="AH317" s="47"/>
      <c r="AJ317" s="47"/>
      <c r="AL317" s="47"/>
      <c r="AM317" s="47" t="str">
        <f t="shared" si="64"/>
        <v/>
      </c>
    </row>
    <row r="318" spans="1:39" s="56" customFormat="1" ht="24.75" customHeight="1">
      <c r="A318" s="44"/>
      <c r="B318" s="45"/>
      <c r="C318" s="46">
        <f>IF(B318&lt;&gt;"",VLOOKUP(B318,'Tipo Projeto'!$A$3:$B$35,2,0),0)</f>
        <v>0</v>
      </c>
      <c r="D318" s="47"/>
      <c r="E318" s="47"/>
      <c r="F318" s="48"/>
      <c r="G318" s="47"/>
      <c r="H318" s="49"/>
      <c r="I318" s="50"/>
      <c r="J318" s="51"/>
      <c r="K318" s="52"/>
      <c r="L318" s="53" t="str">
        <f t="shared" si="52"/>
        <v/>
      </c>
      <c r="M318" s="48" t="str">
        <f t="shared" si="53"/>
        <v/>
      </c>
      <c r="N318" s="54" t="str">
        <f t="shared" si="54"/>
        <v/>
      </c>
      <c r="O318" s="55">
        <f t="shared" si="55"/>
        <v>0</v>
      </c>
      <c r="P318" s="55">
        <f t="shared" si="56"/>
        <v>0</v>
      </c>
      <c r="Q318" s="54">
        <f t="shared" si="57"/>
        <v>0</v>
      </c>
      <c r="R318" s="47"/>
      <c r="T318" s="57"/>
      <c r="U318" s="45"/>
      <c r="V318" s="46">
        <f>IF(U318&lt;&gt;"",VLOOKUP(U318,'Tipo Projeto'!$A$3:$B$35,2,0),0)</f>
        <v>0</v>
      </c>
      <c r="W318" s="47"/>
      <c r="X318" s="49"/>
      <c r="Y318" s="50"/>
      <c r="Z318" s="51"/>
      <c r="AA318" s="52"/>
      <c r="AB318" s="53" t="str">
        <f t="shared" si="58"/>
        <v/>
      </c>
      <c r="AC318" s="48" t="str">
        <f t="shared" si="59"/>
        <v/>
      </c>
      <c r="AD318" s="54" t="str">
        <f t="shared" si="60"/>
        <v/>
      </c>
      <c r="AE318" s="55">
        <f t="shared" si="61"/>
        <v>0</v>
      </c>
      <c r="AF318" s="55">
        <f t="shared" si="62"/>
        <v>0</v>
      </c>
      <c r="AG318" s="58">
        <f t="shared" si="63"/>
        <v>0</v>
      </c>
      <c r="AH318" s="47"/>
      <c r="AJ318" s="47"/>
      <c r="AL318" s="47"/>
      <c r="AM318" s="47" t="str">
        <f t="shared" si="64"/>
        <v/>
      </c>
    </row>
    <row r="319" spans="1:39" s="56" customFormat="1" ht="24.75" customHeight="1">
      <c r="A319" s="44"/>
      <c r="B319" s="45"/>
      <c r="C319" s="46">
        <f>IF(B319&lt;&gt;"",VLOOKUP(B319,'Tipo Projeto'!$A$3:$B$35,2,0),0)</f>
        <v>0</v>
      </c>
      <c r="D319" s="47"/>
      <c r="E319" s="47"/>
      <c r="F319" s="48"/>
      <c r="G319" s="47"/>
      <c r="H319" s="49"/>
      <c r="I319" s="50"/>
      <c r="J319" s="51"/>
      <c r="K319" s="52"/>
      <c r="L319" s="53" t="str">
        <f t="shared" si="52"/>
        <v/>
      </c>
      <c r="M319" s="48" t="str">
        <f t="shared" si="53"/>
        <v/>
      </c>
      <c r="N319" s="54" t="str">
        <f t="shared" si="54"/>
        <v/>
      </c>
      <c r="O319" s="55">
        <f t="shared" si="55"/>
        <v>0</v>
      </c>
      <c r="P319" s="55">
        <f t="shared" si="56"/>
        <v>0</v>
      </c>
      <c r="Q319" s="54">
        <f t="shared" si="57"/>
        <v>0</v>
      </c>
      <c r="R319" s="47"/>
      <c r="T319" s="57"/>
      <c r="U319" s="45"/>
      <c r="V319" s="46">
        <f>IF(U319&lt;&gt;"",VLOOKUP(U319,'Tipo Projeto'!$A$3:$B$35,2,0),0)</f>
        <v>0</v>
      </c>
      <c r="W319" s="47"/>
      <c r="X319" s="49"/>
      <c r="Y319" s="50"/>
      <c r="Z319" s="51"/>
      <c r="AA319" s="52"/>
      <c r="AB319" s="53" t="str">
        <f t="shared" si="58"/>
        <v/>
      </c>
      <c r="AC319" s="48" t="str">
        <f t="shared" si="59"/>
        <v/>
      </c>
      <c r="AD319" s="54" t="str">
        <f t="shared" si="60"/>
        <v/>
      </c>
      <c r="AE319" s="55">
        <f t="shared" si="61"/>
        <v>0</v>
      </c>
      <c r="AF319" s="55">
        <f t="shared" si="62"/>
        <v>0</v>
      </c>
      <c r="AG319" s="58">
        <f t="shared" si="63"/>
        <v>0</v>
      </c>
      <c r="AH319" s="47"/>
      <c r="AJ319" s="47"/>
      <c r="AL319" s="47"/>
      <c r="AM319" s="47" t="str">
        <f t="shared" si="64"/>
        <v/>
      </c>
    </row>
    <row r="320" spans="1:39" s="56" customFormat="1" ht="24.75" customHeight="1">
      <c r="A320" s="44"/>
      <c r="B320" s="45"/>
      <c r="C320" s="46">
        <f>IF(B320&lt;&gt;"",VLOOKUP(B320,'Tipo Projeto'!$A$3:$B$35,2,0),0)</f>
        <v>0</v>
      </c>
      <c r="D320" s="47"/>
      <c r="E320" s="47"/>
      <c r="F320" s="48"/>
      <c r="G320" s="47"/>
      <c r="H320" s="49"/>
      <c r="I320" s="50"/>
      <c r="J320" s="51"/>
      <c r="K320" s="52"/>
      <c r="L320" s="53" t="str">
        <f t="shared" si="52"/>
        <v/>
      </c>
      <c r="M320" s="48" t="str">
        <f t="shared" si="53"/>
        <v/>
      </c>
      <c r="N320" s="54" t="str">
        <f t="shared" si="54"/>
        <v/>
      </c>
      <c r="O320" s="55">
        <f t="shared" si="55"/>
        <v>0</v>
      </c>
      <c r="P320" s="55">
        <f t="shared" si="56"/>
        <v>0</v>
      </c>
      <c r="Q320" s="54">
        <f t="shared" si="57"/>
        <v>0</v>
      </c>
      <c r="R320" s="47"/>
      <c r="T320" s="57"/>
      <c r="U320" s="45"/>
      <c r="V320" s="46">
        <f>IF(U320&lt;&gt;"",VLOOKUP(U320,'Tipo Projeto'!$A$3:$B$35,2,0),0)</f>
        <v>0</v>
      </c>
      <c r="W320" s="47"/>
      <c r="X320" s="49"/>
      <c r="Y320" s="50"/>
      <c r="Z320" s="51"/>
      <c r="AA320" s="52"/>
      <c r="AB320" s="53" t="str">
        <f t="shared" si="58"/>
        <v/>
      </c>
      <c r="AC320" s="48" t="str">
        <f t="shared" si="59"/>
        <v/>
      </c>
      <c r="AD320" s="54" t="str">
        <f t="shared" si="60"/>
        <v/>
      </c>
      <c r="AE320" s="55">
        <f t="shared" si="61"/>
        <v>0</v>
      </c>
      <c r="AF320" s="55">
        <f t="shared" si="62"/>
        <v>0</v>
      </c>
      <c r="AG320" s="58">
        <f t="shared" si="63"/>
        <v>0</v>
      </c>
      <c r="AH320" s="47"/>
      <c r="AJ320" s="47"/>
      <c r="AL320" s="47"/>
      <c r="AM320" s="47" t="str">
        <f t="shared" si="64"/>
        <v/>
      </c>
    </row>
    <row r="321" spans="1:39" s="56" customFormat="1" ht="24.75" customHeight="1">
      <c r="A321" s="44"/>
      <c r="B321" s="45"/>
      <c r="C321" s="46">
        <f>IF(B321&lt;&gt;"",VLOOKUP(B321,'Tipo Projeto'!$A$3:$B$35,2,0),0)</f>
        <v>0</v>
      </c>
      <c r="D321" s="47"/>
      <c r="E321" s="47"/>
      <c r="F321" s="48"/>
      <c r="G321" s="47"/>
      <c r="H321" s="49"/>
      <c r="I321" s="50"/>
      <c r="J321" s="51"/>
      <c r="K321" s="52"/>
      <c r="L321" s="53" t="str">
        <f t="shared" si="52"/>
        <v/>
      </c>
      <c r="M321" s="48" t="str">
        <f t="shared" si="53"/>
        <v/>
      </c>
      <c r="N321" s="54" t="str">
        <f t="shared" si="54"/>
        <v/>
      </c>
      <c r="O321" s="55">
        <f t="shared" si="55"/>
        <v>0</v>
      </c>
      <c r="P321" s="55">
        <f t="shared" si="56"/>
        <v>0</v>
      </c>
      <c r="Q321" s="54">
        <f t="shared" si="57"/>
        <v>0</v>
      </c>
      <c r="R321" s="47"/>
      <c r="T321" s="57"/>
      <c r="U321" s="45"/>
      <c r="V321" s="46">
        <f>IF(U321&lt;&gt;"",VLOOKUP(U321,'Tipo Projeto'!$A$3:$B$35,2,0),0)</f>
        <v>0</v>
      </c>
      <c r="W321" s="47"/>
      <c r="X321" s="49"/>
      <c r="Y321" s="50"/>
      <c r="Z321" s="51"/>
      <c r="AA321" s="52"/>
      <c r="AB321" s="53" t="str">
        <f t="shared" si="58"/>
        <v/>
      </c>
      <c r="AC321" s="48" t="str">
        <f t="shared" si="59"/>
        <v/>
      </c>
      <c r="AD321" s="54" t="str">
        <f t="shared" si="60"/>
        <v/>
      </c>
      <c r="AE321" s="55">
        <f t="shared" si="61"/>
        <v>0</v>
      </c>
      <c r="AF321" s="55">
        <f t="shared" si="62"/>
        <v>0</v>
      </c>
      <c r="AG321" s="58">
        <f t="shared" si="63"/>
        <v>0</v>
      </c>
      <c r="AH321" s="47"/>
      <c r="AJ321" s="47"/>
      <c r="AL321" s="47"/>
      <c r="AM321" s="47" t="str">
        <f t="shared" si="64"/>
        <v/>
      </c>
    </row>
    <row r="322" spans="1:39" s="56" customFormat="1" ht="24.75" customHeight="1">
      <c r="A322" s="44"/>
      <c r="B322" s="45"/>
      <c r="C322" s="46">
        <f>IF(B322&lt;&gt;"",VLOOKUP(B322,'Tipo Projeto'!$A$3:$B$35,2,0),0)</f>
        <v>0</v>
      </c>
      <c r="D322" s="47"/>
      <c r="E322" s="47"/>
      <c r="F322" s="48"/>
      <c r="G322" s="47"/>
      <c r="H322" s="49"/>
      <c r="I322" s="50"/>
      <c r="J322" s="51"/>
      <c r="K322" s="52"/>
      <c r="L322" s="53" t="str">
        <f t="shared" si="52"/>
        <v/>
      </c>
      <c r="M322" s="48" t="str">
        <f t="shared" si="53"/>
        <v/>
      </c>
      <c r="N322" s="54" t="str">
        <f t="shared" si="54"/>
        <v/>
      </c>
      <c r="O322" s="55">
        <f t="shared" si="55"/>
        <v>0</v>
      </c>
      <c r="P322" s="55">
        <f t="shared" si="56"/>
        <v>0</v>
      </c>
      <c r="Q322" s="54">
        <f t="shared" si="57"/>
        <v>0</v>
      </c>
      <c r="R322" s="47"/>
      <c r="T322" s="57"/>
      <c r="U322" s="45"/>
      <c r="V322" s="46">
        <f>IF(U322&lt;&gt;"",VLOOKUP(U322,'Tipo Projeto'!$A$3:$B$35,2,0),0)</f>
        <v>0</v>
      </c>
      <c r="W322" s="47"/>
      <c r="X322" s="49"/>
      <c r="Y322" s="50"/>
      <c r="Z322" s="51"/>
      <c r="AA322" s="52"/>
      <c r="AB322" s="53" t="str">
        <f t="shared" si="58"/>
        <v/>
      </c>
      <c r="AC322" s="48" t="str">
        <f t="shared" si="59"/>
        <v/>
      </c>
      <c r="AD322" s="54" t="str">
        <f t="shared" si="60"/>
        <v/>
      </c>
      <c r="AE322" s="55">
        <f t="shared" si="61"/>
        <v>0</v>
      </c>
      <c r="AF322" s="55">
        <f t="shared" si="62"/>
        <v>0</v>
      </c>
      <c r="AG322" s="58">
        <f t="shared" si="63"/>
        <v>0</v>
      </c>
      <c r="AH322" s="47"/>
      <c r="AJ322" s="47"/>
      <c r="AL322" s="47"/>
      <c r="AM322" s="47" t="str">
        <f t="shared" si="64"/>
        <v/>
      </c>
    </row>
    <row r="323" spans="1:39" s="56" customFormat="1" ht="24.75" customHeight="1">
      <c r="A323" s="44"/>
      <c r="B323" s="45"/>
      <c r="C323" s="46">
        <f>IF(B323&lt;&gt;"",VLOOKUP(B323,'Tipo Projeto'!$A$3:$B$35,2,0),0)</f>
        <v>0</v>
      </c>
      <c r="D323" s="47"/>
      <c r="E323" s="47"/>
      <c r="F323" s="48"/>
      <c r="G323" s="47"/>
      <c r="H323" s="49"/>
      <c r="I323" s="50"/>
      <c r="J323" s="51"/>
      <c r="K323" s="52"/>
      <c r="L323" s="53" t="str">
        <f t="shared" si="52"/>
        <v/>
      </c>
      <c r="M323" s="48" t="str">
        <f t="shared" si="53"/>
        <v/>
      </c>
      <c r="N323" s="54" t="str">
        <f t="shared" si="54"/>
        <v/>
      </c>
      <c r="O323" s="55">
        <f t="shared" si="55"/>
        <v>0</v>
      </c>
      <c r="P323" s="55">
        <f t="shared" si="56"/>
        <v>0</v>
      </c>
      <c r="Q323" s="54">
        <f t="shared" si="57"/>
        <v>0</v>
      </c>
      <c r="R323" s="47"/>
      <c r="T323" s="57"/>
      <c r="U323" s="45"/>
      <c r="V323" s="46">
        <f>IF(U323&lt;&gt;"",VLOOKUP(U323,'Tipo Projeto'!$A$3:$B$35,2,0),0)</f>
        <v>0</v>
      </c>
      <c r="W323" s="47"/>
      <c r="X323" s="49"/>
      <c r="Y323" s="50"/>
      <c r="Z323" s="51"/>
      <c r="AA323" s="52"/>
      <c r="AB323" s="53" t="str">
        <f t="shared" si="58"/>
        <v/>
      </c>
      <c r="AC323" s="48" t="str">
        <f t="shared" si="59"/>
        <v/>
      </c>
      <c r="AD323" s="54" t="str">
        <f t="shared" si="60"/>
        <v/>
      </c>
      <c r="AE323" s="55">
        <f t="shared" si="61"/>
        <v>0</v>
      </c>
      <c r="AF323" s="55">
        <f t="shared" si="62"/>
        <v>0</v>
      </c>
      <c r="AG323" s="58">
        <f t="shared" si="63"/>
        <v>0</v>
      </c>
      <c r="AH323" s="47"/>
      <c r="AJ323" s="47"/>
      <c r="AL323" s="47"/>
      <c r="AM323" s="47" t="str">
        <f t="shared" si="64"/>
        <v/>
      </c>
    </row>
    <row r="324" spans="1:39" s="56" customFormat="1" ht="24.75" customHeight="1">
      <c r="A324" s="44"/>
      <c r="B324" s="45"/>
      <c r="C324" s="46">
        <f>IF(B324&lt;&gt;"",VLOOKUP(B324,'Tipo Projeto'!$A$3:$B$35,2,0),0)</f>
        <v>0</v>
      </c>
      <c r="D324" s="47"/>
      <c r="E324" s="47"/>
      <c r="F324" s="48"/>
      <c r="G324" s="47"/>
      <c r="H324" s="49"/>
      <c r="I324" s="50"/>
      <c r="J324" s="51"/>
      <c r="K324" s="52"/>
      <c r="L324" s="53" t="str">
        <f t="shared" si="52"/>
        <v/>
      </c>
      <c r="M324" s="48" t="str">
        <f t="shared" si="53"/>
        <v/>
      </c>
      <c r="N324" s="54" t="str">
        <f t="shared" si="54"/>
        <v/>
      </c>
      <c r="O324" s="55">
        <f t="shared" si="55"/>
        <v>0</v>
      </c>
      <c r="P324" s="55">
        <f t="shared" si="56"/>
        <v>0</v>
      </c>
      <c r="Q324" s="54">
        <f t="shared" si="57"/>
        <v>0</v>
      </c>
      <c r="R324" s="47"/>
      <c r="T324" s="57"/>
      <c r="U324" s="45"/>
      <c r="V324" s="46">
        <f>IF(U324&lt;&gt;"",VLOOKUP(U324,'Tipo Projeto'!$A$3:$B$35,2,0),0)</f>
        <v>0</v>
      </c>
      <c r="W324" s="47"/>
      <c r="X324" s="49"/>
      <c r="Y324" s="50"/>
      <c r="Z324" s="51"/>
      <c r="AA324" s="52"/>
      <c r="AB324" s="53" t="str">
        <f t="shared" si="58"/>
        <v/>
      </c>
      <c r="AC324" s="48" t="str">
        <f t="shared" si="59"/>
        <v/>
      </c>
      <c r="AD324" s="54" t="str">
        <f t="shared" si="60"/>
        <v/>
      </c>
      <c r="AE324" s="55">
        <f t="shared" si="61"/>
        <v>0</v>
      </c>
      <c r="AF324" s="55">
        <f t="shared" si="62"/>
        <v>0</v>
      </c>
      <c r="AG324" s="58">
        <f t="shared" si="63"/>
        <v>0</v>
      </c>
      <c r="AH324" s="47"/>
      <c r="AJ324" s="47"/>
      <c r="AL324" s="47"/>
      <c r="AM324" s="47" t="str">
        <f t="shared" si="64"/>
        <v/>
      </c>
    </row>
    <row r="325" spans="1:39" s="56" customFormat="1" ht="24.75" customHeight="1">
      <c r="A325" s="44"/>
      <c r="B325" s="45"/>
      <c r="C325" s="46">
        <f>IF(B325&lt;&gt;"",VLOOKUP(B325,'Tipo Projeto'!$A$3:$B$35,2,0),0)</f>
        <v>0</v>
      </c>
      <c r="D325" s="47"/>
      <c r="E325" s="47"/>
      <c r="F325" s="48"/>
      <c r="G325" s="47"/>
      <c r="H325" s="49"/>
      <c r="I325" s="50"/>
      <c r="J325" s="51"/>
      <c r="K325" s="52"/>
      <c r="L325" s="53" t="str">
        <f t="shared" si="52"/>
        <v/>
      </c>
      <c r="M325" s="48" t="str">
        <f t="shared" si="53"/>
        <v/>
      </c>
      <c r="N325" s="54" t="str">
        <f t="shared" si="54"/>
        <v/>
      </c>
      <c r="O325" s="55">
        <f t="shared" si="55"/>
        <v>0</v>
      </c>
      <c r="P325" s="55">
        <f t="shared" si="56"/>
        <v>0</v>
      </c>
      <c r="Q325" s="54">
        <f t="shared" si="57"/>
        <v>0</v>
      </c>
      <c r="R325" s="47"/>
      <c r="T325" s="57"/>
      <c r="U325" s="45"/>
      <c r="V325" s="46">
        <f>IF(U325&lt;&gt;"",VLOOKUP(U325,'Tipo Projeto'!$A$3:$B$35,2,0),0)</f>
        <v>0</v>
      </c>
      <c r="W325" s="47"/>
      <c r="X325" s="49"/>
      <c r="Y325" s="50"/>
      <c r="Z325" s="51"/>
      <c r="AA325" s="52"/>
      <c r="AB325" s="53" t="str">
        <f t="shared" si="58"/>
        <v/>
      </c>
      <c r="AC325" s="48" t="str">
        <f t="shared" si="59"/>
        <v/>
      </c>
      <c r="AD325" s="54" t="str">
        <f t="shared" si="60"/>
        <v/>
      </c>
      <c r="AE325" s="55">
        <f t="shared" si="61"/>
        <v>0</v>
      </c>
      <c r="AF325" s="55">
        <f t="shared" si="62"/>
        <v>0</v>
      </c>
      <c r="AG325" s="58">
        <f t="shared" si="63"/>
        <v>0</v>
      </c>
      <c r="AH325" s="47"/>
      <c r="AJ325" s="47"/>
      <c r="AL325" s="47"/>
      <c r="AM325" s="47" t="str">
        <f t="shared" si="64"/>
        <v/>
      </c>
    </row>
    <row r="326" spans="1:39" s="56" customFormat="1" ht="24.75" customHeight="1">
      <c r="A326" s="44"/>
      <c r="B326" s="45"/>
      <c r="C326" s="46">
        <f>IF(B326&lt;&gt;"",VLOOKUP(B326,'Tipo Projeto'!$A$3:$B$35,2,0),0)</f>
        <v>0</v>
      </c>
      <c r="D326" s="47"/>
      <c r="E326" s="47"/>
      <c r="F326" s="48"/>
      <c r="G326" s="47"/>
      <c r="H326" s="49"/>
      <c r="I326" s="50"/>
      <c r="J326" s="51"/>
      <c r="K326" s="52"/>
      <c r="L326" s="53" t="str">
        <f t="shared" si="52"/>
        <v/>
      </c>
      <c r="M326" s="48" t="str">
        <f t="shared" si="53"/>
        <v/>
      </c>
      <c r="N326" s="54" t="str">
        <f t="shared" si="54"/>
        <v/>
      </c>
      <c r="O326" s="55">
        <f t="shared" si="55"/>
        <v>0</v>
      </c>
      <c r="P326" s="55">
        <f t="shared" si="56"/>
        <v>0</v>
      </c>
      <c r="Q326" s="54">
        <f t="shared" si="57"/>
        <v>0</v>
      </c>
      <c r="R326" s="47"/>
      <c r="T326" s="57"/>
      <c r="U326" s="45"/>
      <c r="V326" s="46">
        <f>IF(U326&lt;&gt;"",VLOOKUP(U326,'Tipo Projeto'!$A$3:$B$35,2,0),0)</f>
        <v>0</v>
      </c>
      <c r="W326" s="47"/>
      <c r="X326" s="49"/>
      <c r="Y326" s="50"/>
      <c r="Z326" s="51"/>
      <c r="AA326" s="52"/>
      <c r="AB326" s="53" t="str">
        <f t="shared" si="58"/>
        <v/>
      </c>
      <c r="AC326" s="48" t="str">
        <f t="shared" si="59"/>
        <v/>
      </c>
      <c r="AD326" s="54" t="str">
        <f t="shared" si="60"/>
        <v/>
      </c>
      <c r="AE326" s="55">
        <f t="shared" si="61"/>
        <v>0</v>
      </c>
      <c r="AF326" s="55">
        <f t="shared" si="62"/>
        <v>0</v>
      </c>
      <c r="AG326" s="58">
        <f t="shared" si="63"/>
        <v>0</v>
      </c>
      <c r="AH326" s="47"/>
      <c r="AJ326" s="47"/>
      <c r="AL326" s="47"/>
      <c r="AM326" s="47" t="str">
        <f t="shared" si="64"/>
        <v/>
      </c>
    </row>
    <row r="327" spans="1:39" s="56" customFormat="1" ht="24.75" customHeight="1">
      <c r="A327" s="44"/>
      <c r="B327" s="45"/>
      <c r="C327" s="46">
        <f>IF(B327&lt;&gt;"",VLOOKUP(B327,'Tipo Projeto'!$A$3:$B$35,2,0),0)</f>
        <v>0</v>
      </c>
      <c r="D327" s="47"/>
      <c r="E327" s="47"/>
      <c r="F327" s="48"/>
      <c r="G327" s="47"/>
      <c r="H327" s="49"/>
      <c r="I327" s="50"/>
      <c r="J327" s="51"/>
      <c r="K327" s="52"/>
      <c r="L327" s="53" t="str">
        <f t="shared" si="52"/>
        <v/>
      </c>
      <c r="M327" s="48" t="str">
        <f t="shared" si="53"/>
        <v/>
      </c>
      <c r="N327" s="54" t="str">
        <f t="shared" si="54"/>
        <v/>
      </c>
      <c r="O327" s="55">
        <f t="shared" si="55"/>
        <v>0</v>
      </c>
      <c r="P327" s="55">
        <f t="shared" si="56"/>
        <v>0</v>
      </c>
      <c r="Q327" s="54">
        <f t="shared" si="57"/>
        <v>0</v>
      </c>
      <c r="R327" s="47"/>
      <c r="T327" s="57"/>
      <c r="U327" s="45"/>
      <c r="V327" s="46">
        <f>IF(U327&lt;&gt;"",VLOOKUP(U327,'Tipo Projeto'!$A$3:$B$35,2,0),0)</f>
        <v>0</v>
      </c>
      <c r="W327" s="47"/>
      <c r="X327" s="49"/>
      <c r="Y327" s="50"/>
      <c r="Z327" s="51"/>
      <c r="AA327" s="52"/>
      <c r="AB327" s="53" t="str">
        <f t="shared" si="58"/>
        <v/>
      </c>
      <c r="AC327" s="48" t="str">
        <f t="shared" si="59"/>
        <v/>
      </c>
      <c r="AD327" s="54" t="str">
        <f t="shared" si="60"/>
        <v/>
      </c>
      <c r="AE327" s="55">
        <f t="shared" si="61"/>
        <v>0</v>
      </c>
      <c r="AF327" s="55">
        <f t="shared" si="62"/>
        <v>0</v>
      </c>
      <c r="AG327" s="58">
        <f t="shared" si="63"/>
        <v>0</v>
      </c>
      <c r="AH327" s="47"/>
      <c r="AJ327" s="47"/>
      <c r="AL327" s="47"/>
      <c r="AM327" s="47" t="str">
        <f t="shared" si="64"/>
        <v/>
      </c>
    </row>
    <row r="328" spans="1:39" s="56" customFormat="1" ht="24.75" customHeight="1">
      <c r="A328" s="44"/>
      <c r="B328" s="45"/>
      <c r="C328" s="46">
        <f>IF(B328&lt;&gt;"",VLOOKUP(B328,'Tipo Projeto'!$A$3:$B$35,2,0),0)</f>
        <v>0</v>
      </c>
      <c r="D328" s="47"/>
      <c r="E328" s="47"/>
      <c r="F328" s="48"/>
      <c r="G328" s="47"/>
      <c r="H328" s="49"/>
      <c r="I328" s="50"/>
      <c r="J328" s="51"/>
      <c r="K328" s="52"/>
      <c r="L328" s="53" t="str">
        <f t="shared" si="52"/>
        <v/>
      </c>
      <c r="M328" s="48" t="str">
        <f t="shared" si="53"/>
        <v/>
      </c>
      <c r="N328" s="54" t="str">
        <f t="shared" si="54"/>
        <v/>
      </c>
      <c r="O328" s="55">
        <f t="shared" si="55"/>
        <v>0</v>
      </c>
      <c r="P328" s="55">
        <f t="shared" si="56"/>
        <v>0</v>
      </c>
      <c r="Q328" s="54">
        <f t="shared" si="57"/>
        <v>0</v>
      </c>
      <c r="R328" s="47"/>
      <c r="T328" s="57"/>
      <c r="U328" s="45"/>
      <c r="V328" s="46">
        <f>IF(U328&lt;&gt;"",VLOOKUP(U328,'Tipo Projeto'!$A$3:$B$35,2,0),0)</f>
        <v>0</v>
      </c>
      <c r="W328" s="47"/>
      <c r="X328" s="49"/>
      <c r="Y328" s="50"/>
      <c r="Z328" s="51"/>
      <c r="AA328" s="52"/>
      <c r="AB328" s="53" t="str">
        <f t="shared" si="58"/>
        <v/>
      </c>
      <c r="AC328" s="48" t="str">
        <f t="shared" si="59"/>
        <v/>
      </c>
      <c r="AD328" s="54" t="str">
        <f t="shared" si="60"/>
        <v/>
      </c>
      <c r="AE328" s="55">
        <f t="shared" si="61"/>
        <v>0</v>
      </c>
      <c r="AF328" s="55">
        <f t="shared" si="62"/>
        <v>0</v>
      </c>
      <c r="AG328" s="58">
        <f t="shared" si="63"/>
        <v>0</v>
      </c>
      <c r="AH328" s="47"/>
      <c r="AJ328" s="47"/>
      <c r="AL328" s="47"/>
      <c r="AM328" s="47" t="str">
        <f t="shared" si="64"/>
        <v/>
      </c>
    </row>
    <row r="329" spans="1:39" s="56" customFormat="1" ht="24.75" customHeight="1">
      <c r="A329" s="44"/>
      <c r="B329" s="45"/>
      <c r="C329" s="46">
        <f>IF(B329&lt;&gt;"",VLOOKUP(B329,'Tipo Projeto'!$A$3:$B$35,2,0),0)</f>
        <v>0</v>
      </c>
      <c r="D329" s="47"/>
      <c r="E329" s="47"/>
      <c r="F329" s="48"/>
      <c r="G329" s="47"/>
      <c r="H329" s="49"/>
      <c r="I329" s="50"/>
      <c r="J329" s="51"/>
      <c r="K329" s="52"/>
      <c r="L329" s="53" t="str">
        <f t="shared" si="52"/>
        <v/>
      </c>
      <c r="M329" s="48" t="str">
        <f t="shared" si="53"/>
        <v/>
      </c>
      <c r="N329" s="54" t="str">
        <f t="shared" si="54"/>
        <v/>
      </c>
      <c r="O329" s="55">
        <f t="shared" si="55"/>
        <v>0</v>
      </c>
      <c r="P329" s="55">
        <f t="shared" si="56"/>
        <v>0</v>
      </c>
      <c r="Q329" s="54">
        <f t="shared" si="57"/>
        <v>0</v>
      </c>
      <c r="R329" s="47"/>
      <c r="T329" s="57"/>
      <c r="U329" s="45"/>
      <c r="V329" s="46">
        <f>IF(U329&lt;&gt;"",VLOOKUP(U329,'Tipo Projeto'!$A$3:$B$35,2,0),0)</f>
        <v>0</v>
      </c>
      <c r="W329" s="47"/>
      <c r="X329" s="49"/>
      <c r="Y329" s="50"/>
      <c r="Z329" s="51"/>
      <c r="AA329" s="52"/>
      <c r="AB329" s="53" t="str">
        <f t="shared" si="58"/>
        <v/>
      </c>
      <c r="AC329" s="48" t="str">
        <f t="shared" si="59"/>
        <v/>
      </c>
      <c r="AD329" s="54" t="str">
        <f t="shared" si="60"/>
        <v/>
      </c>
      <c r="AE329" s="55">
        <f t="shared" si="61"/>
        <v>0</v>
      </c>
      <c r="AF329" s="55">
        <f t="shared" si="62"/>
        <v>0</v>
      </c>
      <c r="AG329" s="58">
        <f t="shared" si="63"/>
        <v>0</v>
      </c>
      <c r="AH329" s="47"/>
      <c r="AJ329" s="47"/>
      <c r="AL329" s="47"/>
      <c r="AM329" s="47" t="str">
        <f t="shared" si="64"/>
        <v/>
      </c>
    </row>
    <row r="330" spans="1:39" s="56" customFormat="1" ht="24.75" customHeight="1">
      <c r="A330" s="44"/>
      <c r="B330" s="45"/>
      <c r="C330" s="46">
        <f>IF(B330&lt;&gt;"",VLOOKUP(B330,'Tipo Projeto'!$A$3:$B$35,2,0),0)</f>
        <v>0</v>
      </c>
      <c r="D330" s="47"/>
      <c r="E330" s="47"/>
      <c r="F330" s="48"/>
      <c r="G330" s="47"/>
      <c r="H330" s="49"/>
      <c r="I330" s="50"/>
      <c r="J330" s="51"/>
      <c r="K330" s="52"/>
      <c r="L330" s="53" t="str">
        <f t="shared" ref="L330:L361" si="65">IF(G330="EE",IF(OR(AND(OR(J330=1,J330=0),H330&gt;0,H330&lt;5),AND(OR(J330=1,J330=0),H330&gt;4,H330&lt;16),AND(J330=2,H330&gt;0,H330&lt;5)),"Simples",IF(OR(AND(OR(J330=1,J330=0),H330&gt;15),AND(J330=2,H330&gt;4,H330&lt;16),AND(J330&gt;2,H330&gt;0,H330&lt;5)),"Médio",IF(OR(AND(J330=2,H330&gt;15),AND(J330&gt;2,H330&gt;4,H330&lt;16),AND(J330&gt;2,H330&gt;15)),"Complexo",""))), IF(OR(G330="CE",G330="SE"),IF(OR(AND(OR(J330=1,J330=0),H330&gt;0,H330&lt;6),AND(OR(J330=1,J330=0),H330&gt;5,H330&lt;20),AND(J330&gt;1,J330&lt;4,H330&gt;0,H330&lt;6)),"Simples",IF(OR(AND(OR(J330=1,J330=0),H330&gt;19),AND(J330&gt;1,J330&lt;4,H330&gt;5,H330&lt;20),AND(J330&gt;3,H330&gt;0,H330&lt;6)),"Médio",IF(OR(AND(J330&gt;1,J330&lt;4,H330&gt;19),AND(J330&gt;3,H330&gt;5,H330&lt;20),AND(J330&gt;3,H330&gt;19)),"Complexo",""))),""))</f>
        <v/>
      </c>
      <c r="M330" s="48" t="str">
        <f t="shared" ref="M330:M361" si="66">IF(G330="ALI",IF(OR(AND(OR(J330=1,J330=0),H330&gt;0,H330&lt;20),AND(OR(J330=1,J330=0),H330&gt;19,H330&lt;51),AND(J330&gt;1,J330&lt;6,H330&gt;0,H330&lt;20)),"Simples",IF(OR(AND(OR(J330=1,J330=0),H330&gt;50),AND(J330&gt;1,J330&lt;6,H330&gt;19,H330&lt;51),AND(J330&gt;5,H330&gt;0,H330&lt;20)),"Médio",IF(OR(AND(J330&gt;1,J330&lt;6,H330&gt;50),AND(J330&gt;5,H330&gt;19,H330&lt;51),AND(J330&gt;5,H330&gt;50)),"Complexo",""))), IF(G330="AIE",IF(OR(AND(OR(J330=1, J330=0),H330&gt;0,H330&lt;20),AND(OR(J330=1, J330=0),H330&gt;19,H330&lt;51),AND(J330&gt;1,J330&lt;6,H330&gt;0,H330&lt;20)),"Simples",IF(OR(AND(OR(J330=1, J330=0),H330&gt;50),AND(J330&gt;1,J330&lt;6,H330&gt;19,H330&lt;51),AND(J330&gt;5,H330&gt;0,H330&lt;20)),"Médio",IF(OR(AND(J330&gt;1,J330&lt;6,H330&gt;50),AND(J330&gt;5,H330&gt;19,H330&lt;51),AND(J330&gt;5,H330&gt;50)),"Complexo",""))),""))</f>
        <v/>
      </c>
      <c r="N330" s="54" t="str">
        <f t="shared" ref="N330:N361" si="67">IF(L330="",M330,IF(M330="",L330,""))</f>
        <v/>
      </c>
      <c r="O330" s="55">
        <f t="shared" ref="O330:O361" si="68">IF(AND(OR(G330="EE",G330="CE"),N330="Simples"),3, IF(AND(OR(G330="EE",G330="CE"),N330="Médio"),4, IF(AND(OR(G330="EE",G330="CE"),N330="Complexo"),6, IF(AND(G330="SE",N330="Simples"),4, IF(AND(G330="SE",N330="Médio"),5, IF(AND(G330="SE",N330="Complexo"),7,0))))))</f>
        <v>0</v>
      </c>
      <c r="P330" s="55">
        <f t="shared" ref="P330:P361" si="69">IF(AND(G330="ALI",M330="Simples"),7, IF(AND(G330="ALI",M330="Médio"),10, IF(AND(G330="ALI",M330="Complexo"),15, IF(AND(G330="AIE",M330="Simples"),5, IF(AND(G330="AIE",M330="Médio"),7, IF(AND(G330="AIE",M330="Complexo"),10,0))))))</f>
        <v>0</v>
      </c>
      <c r="Q330" s="54">
        <f t="shared" ref="Q330:Q361" si="70">IF(B330&lt;&gt;"Manutenção em interface",IF(B330&lt;&gt;"Desenv., Manutenção e Publicação de Páginas Estáticas",(O330+P330)*C330,C330),C330)</f>
        <v>0</v>
      </c>
      <c r="R330" s="47"/>
      <c r="T330" s="57"/>
      <c r="U330" s="45"/>
      <c r="V330" s="46">
        <f>IF(U330&lt;&gt;"",VLOOKUP(U330,'Tipo Projeto'!$A$3:$B$35,2,0),0)</f>
        <v>0</v>
      </c>
      <c r="W330" s="47"/>
      <c r="X330" s="49"/>
      <c r="Y330" s="50"/>
      <c r="Z330" s="51"/>
      <c r="AA330" s="52"/>
      <c r="AB330" s="53" t="str">
        <f t="shared" ref="AB330:AB361" si="71">IF(W330="EE",IF(OR(AND(OR(Z330=1,Z330=0),X330&gt;0,X330&lt;5),AND(OR(Z330=1,Z330=0),X330&gt;4,X330&lt;16),AND(Z330=2,X330&gt;0,X330&lt;5)),"Simples",IF(OR(AND(OR(Z330=1,Z330=0),X330&gt;15),AND(Z330=2,X330&gt;4,X330&lt;16),AND(Z330&gt;2,X330&gt;0,X330&lt;5)),"Médio",IF(OR(AND(Z330=2,X330&gt;15),AND(Z330&gt;2,X330&gt;4,X330&lt;16),AND(Z330&gt;2,X330&gt;15)),"Complexo",""))), IF(OR(W330="CE",W330="SE"),IF(OR(AND(OR(Z330=1,Z330=0),X330&gt;0,X330&lt;6),AND(OR(Z330=1,Z330=0),X330&gt;5,X330&lt;20),AND(Z330&gt;1,Z330&lt;4,X330&gt;0,X330&lt;6)),"Simples",IF(OR(AND(OR(Z330=1,Z330=0),X330&gt;19),AND(Z330&gt;1,Z330&lt;4,X330&gt;5,X330&lt;20),AND(Z330&gt;3,X330&gt;0,X330&lt;6)),"Médio",IF(OR(AND(Z330&gt;1,Z330&lt;4,X330&gt;19),AND(Z330&gt;3,X330&gt;5,X330&lt;20),AND(Z330&gt;3,X330&gt;19)),"Complexo",""))),""))</f>
        <v/>
      </c>
      <c r="AC330" s="48" t="str">
        <f t="shared" ref="AC330:AC361" si="72">IF(W330="ALI",IF(OR(AND(OR(Z330=1,Z330=0),X330&gt;0,X330&lt;20),AND(OR(Z330=1,Z330=0),X330&gt;19,X330&lt;51),AND(Z330&gt;1,Z330&lt;6,X330&gt;0,X330&lt;20)),"Simples",IF(OR(AND(OR(Z330=1,Z330=0),X330&gt;50),AND(Z330&gt;1,Z330&lt;6,X330&gt;19,X330&lt;51),AND(Z330&gt;5,X330&gt;0,X330&lt;20)),"Médio",IF(OR(AND(Z330&gt;1,Z330&lt;6,X330&gt;50),AND(Z330&gt;5,X330&gt;19,X330&lt;51),AND(Z330&gt;5,X330&gt;50)),"Complexo",""))), IF(W330="AIE",IF(OR(AND(OR(Z330=1, Z330=0),X330&gt;0,X330&lt;20),AND(OR(Z330=1, Z330=0),X330&gt;19,X330&lt;51),AND(Z330&gt;1,Z330&lt;6,X330&gt;0,X330&lt;20)),"Simples",IF(OR(AND(OR(Z330=1, Z330=0),X330&gt;50),AND(Z330&gt;1,Z330&lt;6,X330&gt;19,X330&lt;51),AND(Z330&gt;5,X330&gt;0,X330&lt;20)),"Médio",IF(OR(AND(Z330&gt;1,Z330&lt;6,X330&gt;50),AND(Z330&gt;5,X330&gt;19,X330&lt;51),AND(Z330&gt;5,X330&gt;50)),"Complexo",""))),""))</f>
        <v/>
      </c>
      <c r="AD330" s="54" t="str">
        <f t="shared" ref="AD330:AD361" si="73">IF(AB330="",AC330,IF(AC330="",AB330,""))</f>
        <v/>
      </c>
      <c r="AE330" s="55">
        <f t="shared" ref="AE330:AE361" si="74">IF(AND(OR(W330="EE",W330="CE"),AD330="Simples"),3, IF(AND(OR(W330="EE",W330="CE"),AD330="Médio"),4, IF(AND(OR(W330="EE",W330="CE"),AD330="Complexo"),6, IF(AND(W330="SE",AD330="Simples"),4, IF(AND(W330="SE",AD330="Médio"),5, IF(AND(W330="SE",AD330="Complexo"),7,0))))))</f>
        <v>0</v>
      </c>
      <c r="AF330" s="55">
        <f t="shared" ref="AF330:AF361" si="75">IF(AND(W330="ALI",AC330="Simples"),7, IF(AND(W330="ALI",AC330="Médio"),10, IF(AND(W330="ALI",AC330="Complexo"),15, IF(AND(W330="AIE",AC330="Simples"),5, IF(AND(W330="AIE",AC330="Médio"),7, IF(AND(W330="AIE",AC330="Complexo"),10,0))))))</f>
        <v>0</v>
      </c>
      <c r="AG330" s="58">
        <f t="shared" ref="AG330:AG361" si="76">IF(T330="OK",Q330,( IF(U330&lt;&gt;"Manutenção em interface",IF(U330&lt;&gt;"Desenv., Manutenção e Publicação de Páginas Estáticas",(AE330+AF330)*V330,V330),V330)))</f>
        <v>0</v>
      </c>
      <c r="AH330" s="47"/>
      <c r="AJ330" s="47"/>
      <c r="AL330" s="47"/>
      <c r="AM330" s="47" t="str">
        <f t="shared" ref="AM330:AM361" si="77">IF(AG330=0,"",IF(AG330=Q330,"OK","Divergente"))</f>
        <v/>
      </c>
    </row>
    <row r="331" spans="1:39" s="56" customFormat="1" ht="24.75" customHeight="1">
      <c r="A331" s="44"/>
      <c r="B331" s="45"/>
      <c r="C331" s="46">
        <f>IF(B331&lt;&gt;"",VLOOKUP(B331,'Tipo Projeto'!$A$3:$B$35,2,0),0)</f>
        <v>0</v>
      </c>
      <c r="D331" s="47"/>
      <c r="E331" s="47"/>
      <c r="F331" s="48"/>
      <c r="G331" s="47"/>
      <c r="H331" s="49"/>
      <c r="I331" s="50"/>
      <c r="J331" s="51"/>
      <c r="K331" s="52"/>
      <c r="L331" s="53" t="str">
        <f t="shared" si="65"/>
        <v/>
      </c>
      <c r="M331" s="48" t="str">
        <f t="shared" si="66"/>
        <v/>
      </c>
      <c r="N331" s="54" t="str">
        <f t="shared" si="67"/>
        <v/>
      </c>
      <c r="O331" s="55">
        <f t="shared" si="68"/>
        <v>0</v>
      </c>
      <c r="P331" s="55">
        <f t="shared" si="69"/>
        <v>0</v>
      </c>
      <c r="Q331" s="54">
        <f t="shared" si="70"/>
        <v>0</v>
      </c>
      <c r="R331" s="47"/>
      <c r="T331" s="57"/>
      <c r="U331" s="45"/>
      <c r="V331" s="46">
        <f>IF(U331&lt;&gt;"",VLOOKUP(U331,'Tipo Projeto'!$A$3:$B$35,2,0),0)</f>
        <v>0</v>
      </c>
      <c r="W331" s="47"/>
      <c r="X331" s="49"/>
      <c r="Y331" s="50"/>
      <c r="Z331" s="51"/>
      <c r="AA331" s="52"/>
      <c r="AB331" s="53" t="str">
        <f t="shared" si="71"/>
        <v/>
      </c>
      <c r="AC331" s="48" t="str">
        <f t="shared" si="72"/>
        <v/>
      </c>
      <c r="AD331" s="54" t="str">
        <f t="shared" si="73"/>
        <v/>
      </c>
      <c r="AE331" s="55">
        <f t="shared" si="74"/>
        <v>0</v>
      </c>
      <c r="AF331" s="55">
        <f t="shared" si="75"/>
        <v>0</v>
      </c>
      <c r="AG331" s="58">
        <f t="shared" si="76"/>
        <v>0</v>
      </c>
      <c r="AH331" s="47"/>
      <c r="AJ331" s="47"/>
      <c r="AL331" s="47"/>
      <c r="AM331" s="47" t="str">
        <f t="shared" si="77"/>
        <v/>
      </c>
    </row>
    <row r="332" spans="1:39" s="56" customFormat="1" ht="24.75" customHeight="1">
      <c r="A332" s="44"/>
      <c r="B332" s="45"/>
      <c r="C332" s="46">
        <f>IF(B332&lt;&gt;"",VLOOKUP(B332,'Tipo Projeto'!$A$3:$B$35,2,0),0)</f>
        <v>0</v>
      </c>
      <c r="D332" s="47"/>
      <c r="E332" s="47"/>
      <c r="F332" s="48"/>
      <c r="G332" s="47"/>
      <c r="H332" s="49"/>
      <c r="I332" s="50"/>
      <c r="J332" s="51"/>
      <c r="K332" s="52"/>
      <c r="L332" s="53" t="str">
        <f t="shared" si="65"/>
        <v/>
      </c>
      <c r="M332" s="48" t="str">
        <f t="shared" si="66"/>
        <v/>
      </c>
      <c r="N332" s="54" t="str">
        <f t="shared" si="67"/>
        <v/>
      </c>
      <c r="O332" s="55">
        <f t="shared" si="68"/>
        <v>0</v>
      </c>
      <c r="P332" s="55">
        <f t="shared" si="69"/>
        <v>0</v>
      </c>
      <c r="Q332" s="54">
        <f t="shared" si="70"/>
        <v>0</v>
      </c>
      <c r="R332" s="47"/>
      <c r="T332" s="57"/>
      <c r="U332" s="45"/>
      <c r="V332" s="46">
        <f>IF(U332&lt;&gt;"",VLOOKUP(U332,'Tipo Projeto'!$A$3:$B$35,2,0),0)</f>
        <v>0</v>
      </c>
      <c r="W332" s="47"/>
      <c r="X332" s="49"/>
      <c r="Y332" s="50"/>
      <c r="Z332" s="51"/>
      <c r="AA332" s="52"/>
      <c r="AB332" s="53" t="str">
        <f t="shared" si="71"/>
        <v/>
      </c>
      <c r="AC332" s="48" t="str">
        <f t="shared" si="72"/>
        <v/>
      </c>
      <c r="AD332" s="54" t="str">
        <f t="shared" si="73"/>
        <v/>
      </c>
      <c r="AE332" s="55">
        <f t="shared" si="74"/>
        <v>0</v>
      </c>
      <c r="AF332" s="55">
        <f t="shared" si="75"/>
        <v>0</v>
      </c>
      <c r="AG332" s="58">
        <f t="shared" si="76"/>
        <v>0</v>
      </c>
      <c r="AH332" s="47"/>
      <c r="AJ332" s="47"/>
      <c r="AL332" s="47"/>
      <c r="AM332" s="47" t="str">
        <f t="shared" si="77"/>
        <v/>
      </c>
    </row>
    <row r="333" spans="1:39" s="56" customFormat="1" ht="24.75" customHeight="1">
      <c r="A333" s="44"/>
      <c r="B333" s="45"/>
      <c r="C333" s="46">
        <f>IF(B333&lt;&gt;"",VLOOKUP(B333,'Tipo Projeto'!$A$3:$B$35,2,0),0)</f>
        <v>0</v>
      </c>
      <c r="D333" s="47"/>
      <c r="E333" s="47"/>
      <c r="F333" s="48"/>
      <c r="G333" s="47"/>
      <c r="H333" s="49"/>
      <c r="I333" s="50"/>
      <c r="J333" s="51"/>
      <c r="K333" s="52"/>
      <c r="L333" s="53" t="str">
        <f t="shared" si="65"/>
        <v/>
      </c>
      <c r="M333" s="48" t="str">
        <f t="shared" si="66"/>
        <v/>
      </c>
      <c r="N333" s="54" t="str">
        <f t="shared" si="67"/>
        <v/>
      </c>
      <c r="O333" s="55">
        <f t="shared" si="68"/>
        <v>0</v>
      </c>
      <c r="P333" s="55">
        <f t="shared" si="69"/>
        <v>0</v>
      </c>
      <c r="Q333" s="54">
        <f t="shared" si="70"/>
        <v>0</v>
      </c>
      <c r="R333" s="47"/>
      <c r="T333" s="57"/>
      <c r="U333" s="45"/>
      <c r="V333" s="46">
        <f>IF(U333&lt;&gt;"",VLOOKUP(U333,'Tipo Projeto'!$A$3:$B$35,2,0),0)</f>
        <v>0</v>
      </c>
      <c r="W333" s="47"/>
      <c r="X333" s="49"/>
      <c r="Y333" s="50"/>
      <c r="Z333" s="51"/>
      <c r="AA333" s="52"/>
      <c r="AB333" s="53" t="str">
        <f t="shared" si="71"/>
        <v/>
      </c>
      <c r="AC333" s="48" t="str">
        <f t="shared" si="72"/>
        <v/>
      </c>
      <c r="AD333" s="54" t="str">
        <f t="shared" si="73"/>
        <v/>
      </c>
      <c r="AE333" s="55">
        <f t="shared" si="74"/>
        <v>0</v>
      </c>
      <c r="AF333" s="55">
        <f t="shared" si="75"/>
        <v>0</v>
      </c>
      <c r="AG333" s="58">
        <f t="shared" si="76"/>
        <v>0</v>
      </c>
      <c r="AH333" s="47"/>
      <c r="AJ333" s="47"/>
      <c r="AL333" s="47"/>
      <c r="AM333" s="47" t="str">
        <f t="shared" si="77"/>
        <v/>
      </c>
    </row>
    <row r="334" spans="1:39" s="56" customFormat="1" ht="24.75" customHeight="1">
      <c r="A334" s="44"/>
      <c r="B334" s="45"/>
      <c r="C334" s="46">
        <f>IF(B334&lt;&gt;"",VLOOKUP(B334,'Tipo Projeto'!$A$3:$B$35,2,0),0)</f>
        <v>0</v>
      </c>
      <c r="D334" s="47"/>
      <c r="E334" s="47"/>
      <c r="F334" s="48"/>
      <c r="G334" s="47"/>
      <c r="H334" s="49"/>
      <c r="I334" s="50"/>
      <c r="J334" s="51"/>
      <c r="K334" s="52"/>
      <c r="L334" s="53" t="str">
        <f t="shared" si="65"/>
        <v/>
      </c>
      <c r="M334" s="48" t="str">
        <f t="shared" si="66"/>
        <v/>
      </c>
      <c r="N334" s="54" t="str">
        <f t="shared" si="67"/>
        <v/>
      </c>
      <c r="O334" s="55">
        <f t="shared" si="68"/>
        <v>0</v>
      </c>
      <c r="P334" s="55">
        <f t="shared" si="69"/>
        <v>0</v>
      </c>
      <c r="Q334" s="54">
        <f t="shared" si="70"/>
        <v>0</v>
      </c>
      <c r="R334" s="47"/>
      <c r="T334" s="57"/>
      <c r="U334" s="45"/>
      <c r="V334" s="46">
        <f>IF(U334&lt;&gt;"",VLOOKUP(U334,'Tipo Projeto'!$A$3:$B$35,2,0),0)</f>
        <v>0</v>
      </c>
      <c r="W334" s="47"/>
      <c r="X334" s="49"/>
      <c r="Y334" s="50"/>
      <c r="Z334" s="51"/>
      <c r="AA334" s="52"/>
      <c r="AB334" s="53" t="str">
        <f t="shared" si="71"/>
        <v/>
      </c>
      <c r="AC334" s="48" t="str">
        <f t="shared" si="72"/>
        <v/>
      </c>
      <c r="AD334" s="54" t="str">
        <f t="shared" si="73"/>
        <v/>
      </c>
      <c r="AE334" s="55">
        <f t="shared" si="74"/>
        <v>0</v>
      </c>
      <c r="AF334" s="55">
        <f t="shared" si="75"/>
        <v>0</v>
      </c>
      <c r="AG334" s="58">
        <f t="shared" si="76"/>
        <v>0</v>
      </c>
      <c r="AH334" s="47"/>
      <c r="AJ334" s="47"/>
      <c r="AL334" s="47"/>
      <c r="AM334" s="47" t="str">
        <f t="shared" si="77"/>
        <v/>
      </c>
    </row>
    <row r="335" spans="1:39" s="56" customFormat="1" ht="24.75" customHeight="1">
      <c r="A335" s="44"/>
      <c r="B335" s="45"/>
      <c r="C335" s="46">
        <f>IF(B335&lt;&gt;"",VLOOKUP(B335,'Tipo Projeto'!$A$3:$B$35,2,0),0)</f>
        <v>0</v>
      </c>
      <c r="D335" s="47"/>
      <c r="E335" s="47"/>
      <c r="F335" s="48"/>
      <c r="G335" s="47"/>
      <c r="H335" s="49"/>
      <c r="I335" s="50"/>
      <c r="J335" s="51"/>
      <c r="K335" s="52"/>
      <c r="L335" s="53" t="str">
        <f t="shared" si="65"/>
        <v/>
      </c>
      <c r="M335" s="48" t="str">
        <f t="shared" si="66"/>
        <v/>
      </c>
      <c r="N335" s="54" t="str">
        <f t="shared" si="67"/>
        <v/>
      </c>
      <c r="O335" s="55">
        <f t="shared" si="68"/>
        <v>0</v>
      </c>
      <c r="P335" s="55">
        <f t="shared" si="69"/>
        <v>0</v>
      </c>
      <c r="Q335" s="54">
        <f t="shared" si="70"/>
        <v>0</v>
      </c>
      <c r="R335" s="47"/>
      <c r="T335" s="57"/>
      <c r="U335" s="45"/>
      <c r="V335" s="46">
        <f>IF(U335&lt;&gt;"",VLOOKUP(U335,'Tipo Projeto'!$A$3:$B$35,2,0),0)</f>
        <v>0</v>
      </c>
      <c r="W335" s="47"/>
      <c r="X335" s="49"/>
      <c r="Y335" s="50"/>
      <c r="Z335" s="51"/>
      <c r="AA335" s="52"/>
      <c r="AB335" s="53" t="str">
        <f t="shared" si="71"/>
        <v/>
      </c>
      <c r="AC335" s="48" t="str">
        <f t="shared" si="72"/>
        <v/>
      </c>
      <c r="AD335" s="54" t="str">
        <f t="shared" si="73"/>
        <v/>
      </c>
      <c r="AE335" s="55">
        <f t="shared" si="74"/>
        <v>0</v>
      </c>
      <c r="AF335" s="55">
        <f t="shared" si="75"/>
        <v>0</v>
      </c>
      <c r="AG335" s="58">
        <f t="shared" si="76"/>
        <v>0</v>
      </c>
      <c r="AH335" s="47"/>
      <c r="AJ335" s="47"/>
      <c r="AL335" s="47"/>
      <c r="AM335" s="47" t="str">
        <f t="shared" si="77"/>
        <v/>
      </c>
    </row>
    <row r="336" spans="1:39" s="56" customFormat="1" ht="24.75" customHeight="1">
      <c r="A336" s="44"/>
      <c r="B336" s="45"/>
      <c r="C336" s="46">
        <f>IF(B336&lt;&gt;"",VLOOKUP(B336,'Tipo Projeto'!$A$3:$B$35,2,0),0)</f>
        <v>0</v>
      </c>
      <c r="D336" s="47"/>
      <c r="E336" s="47"/>
      <c r="F336" s="48"/>
      <c r="G336" s="47"/>
      <c r="H336" s="49"/>
      <c r="I336" s="50"/>
      <c r="J336" s="51"/>
      <c r="K336" s="52"/>
      <c r="L336" s="53" t="str">
        <f t="shared" si="65"/>
        <v/>
      </c>
      <c r="M336" s="48" t="str">
        <f t="shared" si="66"/>
        <v/>
      </c>
      <c r="N336" s="54" t="str">
        <f t="shared" si="67"/>
        <v/>
      </c>
      <c r="O336" s="55">
        <f t="shared" si="68"/>
        <v>0</v>
      </c>
      <c r="P336" s="55">
        <f t="shared" si="69"/>
        <v>0</v>
      </c>
      <c r="Q336" s="54">
        <f t="shared" si="70"/>
        <v>0</v>
      </c>
      <c r="R336" s="47"/>
      <c r="T336" s="57"/>
      <c r="U336" s="45"/>
      <c r="V336" s="46">
        <f>IF(U336&lt;&gt;"",VLOOKUP(U336,'Tipo Projeto'!$A$3:$B$35,2,0),0)</f>
        <v>0</v>
      </c>
      <c r="W336" s="47"/>
      <c r="X336" s="49"/>
      <c r="Y336" s="50"/>
      <c r="Z336" s="51"/>
      <c r="AA336" s="52"/>
      <c r="AB336" s="53" t="str">
        <f t="shared" si="71"/>
        <v/>
      </c>
      <c r="AC336" s="48" t="str">
        <f t="shared" si="72"/>
        <v/>
      </c>
      <c r="AD336" s="54" t="str">
        <f t="shared" si="73"/>
        <v/>
      </c>
      <c r="AE336" s="55">
        <f t="shared" si="74"/>
        <v>0</v>
      </c>
      <c r="AF336" s="55">
        <f t="shared" si="75"/>
        <v>0</v>
      </c>
      <c r="AG336" s="58">
        <f t="shared" si="76"/>
        <v>0</v>
      </c>
      <c r="AH336" s="47"/>
      <c r="AJ336" s="47"/>
      <c r="AL336" s="47"/>
      <c r="AM336" s="47" t="str">
        <f t="shared" si="77"/>
        <v/>
      </c>
    </row>
    <row r="337" spans="1:39" s="56" customFormat="1" ht="24.75" customHeight="1">
      <c r="A337" s="44"/>
      <c r="B337" s="45"/>
      <c r="C337" s="46">
        <f>IF(B337&lt;&gt;"",VLOOKUP(B337,'Tipo Projeto'!$A$3:$B$35,2,0),0)</f>
        <v>0</v>
      </c>
      <c r="D337" s="47"/>
      <c r="E337" s="47"/>
      <c r="F337" s="48"/>
      <c r="G337" s="47"/>
      <c r="H337" s="49"/>
      <c r="I337" s="50"/>
      <c r="J337" s="51"/>
      <c r="K337" s="52"/>
      <c r="L337" s="53" t="str">
        <f t="shared" si="65"/>
        <v/>
      </c>
      <c r="M337" s="48" t="str">
        <f t="shared" si="66"/>
        <v/>
      </c>
      <c r="N337" s="54" t="str">
        <f t="shared" si="67"/>
        <v/>
      </c>
      <c r="O337" s="55">
        <f t="shared" si="68"/>
        <v>0</v>
      </c>
      <c r="P337" s="55">
        <f t="shared" si="69"/>
        <v>0</v>
      </c>
      <c r="Q337" s="54">
        <f t="shared" si="70"/>
        <v>0</v>
      </c>
      <c r="R337" s="47"/>
      <c r="T337" s="57"/>
      <c r="U337" s="45"/>
      <c r="V337" s="46">
        <f>IF(U337&lt;&gt;"",VLOOKUP(U337,'Tipo Projeto'!$A$3:$B$35,2,0),0)</f>
        <v>0</v>
      </c>
      <c r="W337" s="47"/>
      <c r="X337" s="49"/>
      <c r="Y337" s="50"/>
      <c r="Z337" s="51"/>
      <c r="AA337" s="52"/>
      <c r="AB337" s="53" t="str">
        <f t="shared" si="71"/>
        <v/>
      </c>
      <c r="AC337" s="48" t="str">
        <f t="shared" si="72"/>
        <v/>
      </c>
      <c r="AD337" s="54" t="str">
        <f t="shared" si="73"/>
        <v/>
      </c>
      <c r="AE337" s="55">
        <f t="shared" si="74"/>
        <v>0</v>
      </c>
      <c r="AF337" s="55">
        <f t="shared" si="75"/>
        <v>0</v>
      </c>
      <c r="AG337" s="58">
        <f t="shared" si="76"/>
        <v>0</v>
      </c>
      <c r="AH337" s="47"/>
      <c r="AJ337" s="47"/>
      <c r="AL337" s="47"/>
      <c r="AM337" s="47" t="str">
        <f t="shared" si="77"/>
        <v/>
      </c>
    </row>
    <row r="338" spans="1:39" s="56" customFormat="1" ht="24.75" customHeight="1">
      <c r="A338" s="44"/>
      <c r="B338" s="45"/>
      <c r="C338" s="46">
        <f>IF(B338&lt;&gt;"",VLOOKUP(B338,'Tipo Projeto'!$A$3:$B$35,2,0),0)</f>
        <v>0</v>
      </c>
      <c r="D338" s="47"/>
      <c r="E338" s="47"/>
      <c r="F338" s="48"/>
      <c r="G338" s="47"/>
      <c r="H338" s="49"/>
      <c r="I338" s="50"/>
      <c r="J338" s="51"/>
      <c r="K338" s="52"/>
      <c r="L338" s="53" t="str">
        <f t="shared" si="65"/>
        <v/>
      </c>
      <c r="M338" s="48" t="str">
        <f t="shared" si="66"/>
        <v/>
      </c>
      <c r="N338" s="54" t="str">
        <f t="shared" si="67"/>
        <v/>
      </c>
      <c r="O338" s="55">
        <f t="shared" si="68"/>
        <v>0</v>
      </c>
      <c r="P338" s="55">
        <f t="shared" si="69"/>
        <v>0</v>
      </c>
      <c r="Q338" s="54">
        <f t="shared" si="70"/>
        <v>0</v>
      </c>
      <c r="R338" s="47"/>
      <c r="T338" s="57"/>
      <c r="U338" s="45"/>
      <c r="V338" s="46">
        <f>IF(U338&lt;&gt;"",VLOOKUP(U338,'Tipo Projeto'!$A$3:$B$35,2,0),0)</f>
        <v>0</v>
      </c>
      <c r="W338" s="47"/>
      <c r="X338" s="49"/>
      <c r="Y338" s="50"/>
      <c r="Z338" s="51"/>
      <c r="AA338" s="52"/>
      <c r="AB338" s="53" t="str">
        <f t="shared" si="71"/>
        <v/>
      </c>
      <c r="AC338" s="48" t="str">
        <f t="shared" si="72"/>
        <v/>
      </c>
      <c r="AD338" s="54" t="str">
        <f t="shared" si="73"/>
        <v/>
      </c>
      <c r="AE338" s="55">
        <f t="shared" si="74"/>
        <v>0</v>
      </c>
      <c r="AF338" s="55">
        <f t="shared" si="75"/>
        <v>0</v>
      </c>
      <c r="AG338" s="58">
        <f t="shared" si="76"/>
        <v>0</v>
      </c>
      <c r="AH338" s="47"/>
      <c r="AJ338" s="47"/>
      <c r="AL338" s="47"/>
      <c r="AM338" s="47" t="str">
        <f t="shared" si="77"/>
        <v/>
      </c>
    </row>
    <row r="339" spans="1:39" s="56" customFormat="1" ht="24.75" customHeight="1">
      <c r="A339" s="44"/>
      <c r="B339" s="45"/>
      <c r="C339" s="46">
        <f>IF(B339&lt;&gt;"",VLOOKUP(B339,'Tipo Projeto'!$A$3:$B$35,2,0),0)</f>
        <v>0</v>
      </c>
      <c r="D339" s="47"/>
      <c r="E339" s="47"/>
      <c r="F339" s="48"/>
      <c r="G339" s="47"/>
      <c r="H339" s="49"/>
      <c r="I339" s="50"/>
      <c r="J339" s="51"/>
      <c r="K339" s="52"/>
      <c r="L339" s="53" t="str">
        <f t="shared" si="65"/>
        <v/>
      </c>
      <c r="M339" s="48" t="str">
        <f t="shared" si="66"/>
        <v/>
      </c>
      <c r="N339" s="54" t="str">
        <f t="shared" si="67"/>
        <v/>
      </c>
      <c r="O339" s="55">
        <f t="shared" si="68"/>
        <v>0</v>
      </c>
      <c r="P339" s="55">
        <f t="shared" si="69"/>
        <v>0</v>
      </c>
      <c r="Q339" s="54">
        <f t="shared" si="70"/>
        <v>0</v>
      </c>
      <c r="R339" s="47"/>
      <c r="T339" s="57"/>
      <c r="U339" s="45"/>
      <c r="V339" s="46">
        <f>IF(U339&lt;&gt;"",VLOOKUP(U339,'Tipo Projeto'!$A$3:$B$35,2,0),0)</f>
        <v>0</v>
      </c>
      <c r="W339" s="47"/>
      <c r="X339" s="49"/>
      <c r="Y339" s="50"/>
      <c r="Z339" s="51"/>
      <c r="AA339" s="52"/>
      <c r="AB339" s="53" t="str">
        <f t="shared" si="71"/>
        <v/>
      </c>
      <c r="AC339" s="48" t="str">
        <f t="shared" si="72"/>
        <v/>
      </c>
      <c r="AD339" s="54" t="str">
        <f t="shared" si="73"/>
        <v/>
      </c>
      <c r="AE339" s="55">
        <f t="shared" si="74"/>
        <v>0</v>
      </c>
      <c r="AF339" s="55">
        <f t="shared" si="75"/>
        <v>0</v>
      </c>
      <c r="AG339" s="58">
        <f t="shared" si="76"/>
        <v>0</v>
      </c>
      <c r="AH339" s="47"/>
      <c r="AJ339" s="47"/>
      <c r="AL339" s="47"/>
      <c r="AM339" s="47" t="str">
        <f t="shared" si="77"/>
        <v/>
      </c>
    </row>
    <row r="340" spans="1:39" s="56" customFormat="1" ht="24.75" customHeight="1">
      <c r="A340" s="44"/>
      <c r="B340" s="45"/>
      <c r="C340" s="46">
        <f>IF(B340&lt;&gt;"",VLOOKUP(B340,'Tipo Projeto'!$A$3:$B$35,2,0),0)</f>
        <v>0</v>
      </c>
      <c r="D340" s="47"/>
      <c r="E340" s="47"/>
      <c r="F340" s="48"/>
      <c r="G340" s="47"/>
      <c r="H340" s="49"/>
      <c r="I340" s="50"/>
      <c r="J340" s="51"/>
      <c r="K340" s="52"/>
      <c r="L340" s="53" t="str">
        <f t="shared" si="65"/>
        <v/>
      </c>
      <c r="M340" s="48" t="str">
        <f t="shared" si="66"/>
        <v/>
      </c>
      <c r="N340" s="54" t="str">
        <f t="shared" si="67"/>
        <v/>
      </c>
      <c r="O340" s="55">
        <f t="shared" si="68"/>
        <v>0</v>
      </c>
      <c r="P340" s="55">
        <f t="shared" si="69"/>
        <v>0</v>
      </c>
      <c r="Q340" s="54">
        <f t="shared" si="70"/>
        <v>0</v>
      </c>
      <c r="R340" s="47"/>
      <c r="T340" s="57"/>
      <c r="U340" s="45"/>
      <c r="V340" s="46">
        <f>IF(U340&lt;&gt;"",VLOOKUP(U340,'Tipo Projeto'!$A$3:$B$35,2,0),0)</f>
        <v>0</v>
      </c>
      <c r="W340" s="47"/>
      <c r="X340" s="49"/>
      <c r="Y340" s="50"/>
      <c r="Z340" s="51"/>
      <c r="AA340" s="52"/>
      <c r="AB340" s="53" t="str">
        <f t="shared" si="71"/>
        <v/>
      </c>
      <c r="AC340" s="48" t="str">
        <f t="shared" si="72"/>
        <v/>
      </c>
      <c r="AD340" s="54" t="str">
        <f t="shared" si="73"/>
        <v/>
      </c>
      <c r="AE340" s="55">
        <f t="shared" si="74"/>
        <v>0</v>
      </c>
      <c r="AF340" s="55">
        <f t="shared" si="75"/>
        <v>0</v>
      </c>
      <c r="AG340" s="58">
        <f t="shared" si="76"/>
        <v>0</v>
      </c>
      <c r="AH340" s="47"/>
      <c r="AJ340" s="47"/>
      <c r="AL340" s="47"/>
      <c r="AM340" s="47" t="str">
        <f t="shared" si="77"/>
        <v/>
      </c>
    </row>
    <row r="341" spans="1:39" s="56" customFormat="1" ht="24.75" customHeight="1">
      <c r="A341" s="44"/>
      <c r="B341" s="45"/>
      <c r="C341" s="46">
        <f>IF(B341&lt;&gt;"",VLOOKUP(B341,'Tipo Projeto'!$A$3:$B$35,2,0),0)</f>
        <v>0</v>
      </c>
      <c r="D341" s="47"/>
      <c r="E341" s="47"/>
      <c r="F341" s="48"/>
      <c r="G341" s="47"/>
      <c r="H341" s="49"/>
      <c r="I341" s="50"/>
      <c r="J341" s="51"/>
      <c r="K341" s="52"/>
      <c r="L341" s="53" t="str">
        <f t="shared" si="65"/>
        <v/>
      </c>
      <c r="M341" s="48" t="str">
        <f t="shared" si="66"/>
        <v/>
      </c>
      <c r="N341" s="54" t="str">
        <f t="shared" si="67"/>
        <v/>
      </c>
      <c r="O341" s="55">
        <f t="shared" si="68"/>
        <v>0</v>
      </c>
      <c r="P341" s="55">
        <f t="shared" si="69"/>
        <v>0</v>
      </c>
      <c r="Q341" s="54">
        <f t="shared" si="70"/>
        <v>0</v>
      </c>
      <c r="R341" s="47"/>
      <c r="T341" s="57"/>
      <c r="U341" s="45"/>
      <c r="V341" s="46">
        <f>IF(U341&lt;&gt;"",VLOOKUP(U341,'Tipo Projeto'!$A$3:$B$35,2,0),0)</f>
        <v>0</v>
      </c>
      <c r="W341" s="47"/>
      <c r="X341" s="49"/>
      <c r="Y341" s="50"/>
      <c r="Z341" s="51"/>
      <c r="AA341" s="52"/>
      <c r="AB341" s="53" t="str">
        <f t="shared" si="71"/>
        <v/>
      </c>
      <c r="AC341" s="48" t="str">
        <f t="shared" si="72"/>
        <v/>
      </c>
      <c r="AD341" s="54" t="str">
        <f t="shared" si="73"/>
        <v/>
      </c>
      <c r="AE341" s="55">
        <f t="shared" si="74"/>
        <v>0</v>
      </c>
      <c r="AF341" s="55">
        <f t="shared" si="75"/>
        <v>0</v>
      </c>
      <c r="AG341" s="58">
        <f t="shared" si="76"/>
        <v>0</v>
      </c>
      <c r="AH341" s="47"/>
      <c r="AJ341" s="47"/>
      <c r="AL341" s="47"/>
      <c r="AM341" s="47" t="str">
        <f t="shared" si="77"/>
        <v/>
      </c>
    </row>
    <row r="342" spans="1:39" s="56" customFormat="1" ht="24.75" customHeight="1">
      <c r="A342" s="44"/>
      <c r="B342" s="45"/>
      <c r="C342" s="46">
        <f>IF(B342&lt;&gt;"",VLOOKUP(B342,'Tipo Projeto'!$A$3:$B$35,2,0),0)</f>
        <v>0</v>
      </c>
      <c r="D342" s="47"/>
      <c r="E342" s="47"/>
      <c r="F342" s="48"/>
      <c r="G342" s="47"/>
      <c r="H342" s="49"/>
      <c r="I342" s="50"/>
      <c r="J342" s="51"/>
      <c r="K342" s="52"/>
      <c r="L342" s="53" t="str">
        <f t="shared" si="65"/>
        <v/>
      </c>
      <c r="M342" s="48" t="str">
        <f t="shared" si="66"/>
        <v/>
      </c>
      <c r="N342" s="54" t="str">
        <f t="shared" si="67"/>
        <v/>
      </c>
      <c r="O342" s="55">
        <f t="shared" si="68"/>
        <v>0</v>
      </c>
      <c r="P342" s="55">
        <f t="shared" si="69"/>
        <v>0</v>
      </c>
      <c r="Q342" s="54">
        <f t="shared" si="70"/>
        <v>0</v>
      </c>
      <c r="R342" s="47"/>
      <c r="T342" s="57"/>
      <c r="U342" s="45"/>
      <c r="V342" s="46">
        <f>IF(U342&lt;&gt;"",VLOOKUP(U342,'Tipo Projeto'!$A$3:$B$35,2,0),0)</f>
        <v>0</v>
      </c>
      <c r="W342" s="47"/>
      <c r="X342" s="49"/>
      <c r="Y342" s="50"/>
      <c r="Z342" s="51"/>
      <c r="AA342" s="52"/>
      <c r="AB342" s="53" t="str">
        <f t="shared" si="71"/>
        <v/>
      </c>
      <c r="AC342" s="48" t="str">
        <f t="shared" si="72"/>
        <v/>
      </c>
      <c r="AD342" s="54" t="str">
        <f t="shared" si="73"/>
        <v/>
      </c>
      <c r="AE342" s="55">
        <f t="shared" si="74"/>
        <v>0</v>
      </c>
      <c r="AF342" s="55">
        <f t="shared" si="75"/>
        <v>0</v>
      </c>
      <c r="AG342" s="58">
        <f t="shared" si="76"/>
        <v>0</v>
      </c>
      <c r="AH342" s="47"/>
      <c r="AJ342" s="47"/>
      <c r="AL342" s="47"/>
      <c r="AM342" s="47" t="str">
        <f t="shared" si="77"/>
        <v/>
      </c>
    </row>
    <row r="343" spans="1:39" s="56" customFormat="1" ht="24.75" customHeight="1">
      <c r="A343" s="44"/>
      <c r="B343" s="45"/>
      <c r="C343" s="46">
        <f>IF(B343&lt;&gt;"",VLOOKUP(B343,'Tipo Projeto'!$A$3:$B$35,2,0),0)</f>
        <v>0</v>
      </c>
      <c r="D343" s="47"/>
      <c r="E343" s="47"/>
      <c r="F343" s="48"/>
      <c r="G343" s="47"/>
      <c r="H343" s="49"/>
      <c r="I343" s="50"/>
      <c r="J343" s="51"/>
      <c r="K343" s="52"/>
      <c r="L343" s="53" t="str">
        <f t="shared" si="65"/>
        <v/>
      </c>
      <c r="M343" s="48" t="str">
        <f t="shared" si="66"/>
        <v/>
      </c>
      <c r="N343" s="54" t="str">
        <f t="shared" si="67"/>
        <v/>
      </c>
      <c r="O343" s="55">
        <f t="shared" si="68"/>
        <v>0</v>
      </c>
      <c r="P343" s="55">
        <f t="shared" si="69"/>
        <v>0</v>
      </c>
      <c r="Q343" s="54">
        <f t="shared" si="70"/>
        <v>0</v>
      </c>
      <c r="R343" s="47"/>
      <c r="T343" s="57"/>
      <c r="U343" s="45"/>
      <c r="V343" s="46">
        <f>IF(U343&lt;&gt;"",VLOOKUP(U343,'Tipo Projeto'!$A$3:$B$35,2,0),0)</f>
        <v>0</v>
      </c>
      <c r="W343" s="47"/>
      <c r="X343" s="49"/>
      <c r="Y343" s="50"/>
      <c r="Z343" s="51"/>
      <c r="AA343" s="52"/>
      <c r="AB343" s="53" t="str">
        <f t="shared" si="71"/>
        <v/>
      </c>
      <c r="AC343" s="48" t="str">
        <f t="shared" si="72"/>
        <v/>
      </c>
      <c r="AD343" s="54" t="str">
        <f t="shared" si="73"/>
        <v/>
      </c>
      <c r="AE343" s="55">
        <f t="shared" si="74"/>
        <v>0</v>
      </c>
      <c r="AF343" s="55">
        <f t="shared" si="75"/>
        <v>0</v>
      </c>
      <c r="AG343" s="58">
        <f t="shared" si="76"/>
        <v>0</v>
      </c>
      <c r="AH343" s="47"/>
      <c r="AJ343" s="47"/>
      <c r="AL343" s="47"/>
      <c r="AM343" s="47" t="str">
        <f t="shared" si="77"/>
        <v/>
      </c>
    </row>
    <row r="344" spans="1:39" s="56" customFormat="1" ht="24.75" customHeight="1">
      <c r="A344" s="44"/>
      <c r="B344" s="45"/>
      <c r="C344" s="46">
        <f>IF(B344&lt;&gt;"",VLOOKUP(B344,'Tipo Projeto'!$A$3:$B$35,2,0),0)</f>
        <v>0</v>
      </c>
      <c r="D344" s="47"/>
      <c r="E344" s="47"/>
      <c r="F344" s="48"/>
      <c r="G344" s="47"/>
      <c r="H344" s="49"/>
      <c r="I344" s="50"/>
      <c r="J344" s="51"/>
      <c r="K344" s="52"/>
      <c r="L344" s="53" t="str">
        <f t="shared" si="65"/>
        <v/>
      </c>
      <c r="M344" s="48" t="str">
        <f t="shared" si="66"/>
        <v/>
      </c>
      <c r="N344" s="54" t="str">
        <f t="shared" si="67"/>
        <v/>
      </c>
      <c r="O344" s="55">
        <f t="shared" si="68"/>
        <v>0</v>
      </c>
      <c r="P344" s="55">
        <f t="shared" si="69"/>
        <v>0</v>
      </c>
      <c r="Q344" s="54">
        <f t="shared" si="70"/>
        <v>0</v>
      </c>
      <c r="R344" s="47"/>
      <c r="T344" s="57"/>
      <c r="U344" s="45"/>
      <c r="V344" s="46">
        <f>IF(U344&lt;&gt;"",VLOOKUP(U344,'Tipo Projeto'!$A$3:$B$35,2,0),0)</f>
        <v>0</v>
      </c>
      <c r="W344" s="47"/>
      <c r="X344" s="49"/>
      <c r="Y344" s="50"/>
      <c r="Z344" s="51"/>
      <c r="AA344" s="52"/>
      <c r="AB344" s="53" t="str">
        <f t="shared" si="71"/>
        <v/>
      </c>
      <c r="AC344" s="48" t="str">
        <f t="shared" si="72"/>
        <v/>
      </c>
      <c r="AD344" s="54" t="str">
        <f t="shared" si="73"/>
        <v/>
      </c>
      <c r="AE344" s="55">
        <f t="shared" si="74"/>
        <v>0</v>
      </c>
      <c r="AF344" s="55">
        <f t="shared" si="75"/>
        <v>0</v>
      </c>
      <c r="AG344" s="58">
        <f t="shared" si="76"/>
        <v>0</v>
      </c>
      <c r="AH344" s="47"/>
      <c r="AJ344" s="47"/>
      <c r="AL344" s="47"/>
      <c r="AM344" s="47" t="str">
        <f t="shared" si="77"/>
        <v/>
      </c>
    </row>
    <row r="345" spans="1:39" s="56" customFormat="1" ht="24.75" customHeight="1">
      <c r="A345" s="44"/>
      <c r="B345" s="45"/>
      <c r="C345" s="46">
        <f>IF(B345&lt;&gt;"",VLOOKUP(B345,'Tipo Projeto'!$A$3:$B$35,2,0),0)</f>
        <v>0</v>
      </c>
      <c r="D345" s="47"/>
      <c r="E345" s="47"/>
      <c r="F345" s="48"/>
      <c r="G345" s="47"/>
      <c r="H345" s="49"/>
      <c r="I345" s="50"/>
      <c r="J345" s="51"/>
      <c r="K345" s="52"/>
      <c r="L345" s="53" t="str">
        <f t="shared" si="65"/>
        <v/>
      </c>
      <c r="M345" s="48" t="str">
        <f t="shared" si="66"/>
        <v/>
      </c>
      <c r="N345" s="54" t="str">
        <f t="shared" si="67"/>
        <v/>
      </c>
      <c r="O345" s="55">
        <f t="shared" si="68"/>
        <v>0</v>
      </c>
      <c r="P345" s="55">
        <f t="shared" si="69"/>
        <v>0</v>
      </c>
      <c r="Q345" s="54">
        <f t="shared" si="70"/>
        <v>0</v>
      </c>
      <c r="R345" s="47"/>
      <c r="T345" s="57"/>
      <c r="U345" s="45"/>
      <c r="V345" s="46">
        <f>IF(U345&lt;&gt;"",VLOOKUP(U345,'Tipo Projeto'!$A$3:$B$35,2,0),0)</f>
        <v>0</v>
      </c>
      <c r="W345" s="47"/>
      <c r="X345" s="49"/>
      <c r="Y345" s="50"/>
      <c r="Z345" s="51"/>
      <c r="AA345" s="52"/>
      <c r="AB345" s="53" t="str">
        <f t="shared" si="71"/>
        <v/>
      </c>
      <c r="AC345" s="48" t="str">
        <f t="shared" si="72"/>
        <v/>
      </c>
      <c r="AD345" s="54" t="str">
        <f t="shared" si="73"/>
        <v/>
      </c>
      <c r="AE345" s="55">
        <f t="shared" si="74"/>
        <v>0</v>
      </c>
      <c r="AF345" s="55">
        <f t="shared" si="75"/>
        <v>0</v>
      </c>
      <c r="AG345" s="58">
        <f t="shared" si="76"/>
        <v>0</v>
      </c>
      <c r="AH345" s="47"/>
      <c r="AJ345" s="47"/>
      <c r="AL345" s="47"/>
      <c r="AM345" s="47" t="str">
        <f t="shared" si="77"/>
        <v/>
      </c>
    </row>
    <row r="346" spans="1:39" s="56" customFormat="1" ht="24.75" customHeight="1">
      <c r="A346" s="44"/>
      <c r="B346" s="45"/>
      <c r="C346" s="46">
        <f>IF(B346&lt;&gt;"",VLOOKUP(B346,'Tipo Projeto'!$A$3:$B$35,2,0),0)</f>
        <v>0</v>
      </c>
      <c r="D346" s="47"/>
      <c r="E346" s="47"/>
      <c r="F346" s="48"/>
      <c r="G346" s="47"/>
      <c r="H346" s="49"/>
      <c r="I346" s="50"/>
      <c r="J346" s="51"/>
      <c r="K346" s="52"/>
      <c r="L346" s="53" t="str">
        <f t="shared" si="65"/>
        <v/>
      </c>
      <c r="M346" s="48" t="str">
        <f t="shared" si="66"/>
        <v/>
      </c>
      <c r="N346" s="54" t="str">
        <f t="shared" si="67"/>
        <v/>
      </c>
      <c r="O346" s="55">
        <f t="shared" si="68"/>
        <v>0</v>
      </c>
      <c r="P346" s="55">
        <f t="shared" si="69"/>
        <v>0</v>
      </c>
      <c r="Q346" s="54">
        <f t="shared" si="70"/>
        <v>0</v>
      </c>
      <c r="R346" s="47"/>
      <c r="T346" s="57"/>
      <c r="U346" s="45"/>
      <c r="V346" s="46">
        <f>IF(U346&lt;&gt;"",VLOOKUP(U346,'Tipo Projeto'!$A$3:$B$35,2,0),0)</f>
        <v>0</v>
      </c>
      <c r="W346" s="47"/>
      <c r="X346" s="49"/>
      <c r="Y346" s="50"/>
      <c r="Z346" s="51"/>
      <c r="AA346" s="52"/>
      <c r="AB346" s="53" t="str">
        <f t="shared" si="71"/>
        <v/>
      </c>
      <c r="AC346" s="48" t="str">
        <f t="shared" si="72"/>
        <v/>
      </c>
      <c r="AD346" s="54" t="str">
        <f t="shared" si="73"/>
        <v/>
      </c>
      <c r="AE346" s="55">
        <f t="shared" si="74"/>
        <v>0</v>
      </c>
      <c r="AF346" s="55">
        <f t="shared" si="75"/>
        <v>0</v>
      </c>
      <c r="AG346" s="58">
        <f t="shared" si="76"/>
        <v>0</v>
      </c>
      <c r="AH346" s="47"/>
      <c r="AJ346" s="47"/>
      <c r="AL346" s="47"/>
      <c r="AM346" s="47" t="str">
        <f t="shared" si="77"/>
        <v/>
      </c>
    </row>
    <row r="347" spans="1:39" s="56" customFormat="1" ht="24.75" customHeight="1">
      <c r="A347" s="44"/>
      <c r="B347" s="45"/>
      <c r="C347" s="46">
        <f>IF(B347&lt;&gt;"",VLOOKUP(B347,'Tipo Projeto'!$A$3:$B$35,2,0),0)</f>
        <v>0</v>
      </c>
      <c r="D347" s="47"/>
      <c r="E347" s="47"/>
      <c r="F347" s="48"/>
      <c r="G347" s="47"/>
      <c r="H347" s="49"/>
      <c r="I347" s="50"/>
      <c r="J347" s="51"/>
      <c r="K347" s="52"/>
      <c r="L347" s="53" t="str">
        <f t="shared" si="65"/>
        <v/>
      </c>
      <c r="M347" s="48" t="str">
        <f t="shared" si="66"/>
        <v/>
      </c>
      <c r="N347" s="54" t="str">
        <f t="shared" si="67"/>
        <v/>
      </c>
      <c r="O347" s="55">
        <f t="shared" si="68"/>
        <v>0</v>
      </c>
      <c r="P347" s="55">
        <f t="shared" si="69"/>
        <v>0</v>
      </c>
      <c r="Q347" s="54">
        <f t="shared" si="70"/>
        <v>0</v>
      </c>
      <c r="R347" s="47"/>
      <c r="T347" s="57"/>
      <c r="U347" s="45"/>
      <c r="V347" s="46">
        <f>IF(U347&lt;&gt;"",VLOOKUP(U347,'Tipo Projeto'!$A$3:$B$35,2,0),0)</f>
        <v>0</v>
      </c>
      <c r="W347" s="47"/>
      <c r="X347" s="49"/>
      <c r="Y347" s="50"/>
      <c r="Z347" s="51"/>
      <c r="AA347" s="52"/>
      <c r="AB347" s="53" t="str">
        <f t="shared" si="71"/>
        <v/>
      </c>
      <c r="AC347" s="48" t="str">
        <f t="shared" si="72"/>
        <v/>
      </c>
      <c r="AD347" s="54" t="str">
        <f t="shared" si="73"/>
        <v/>
      </c>
      <c r="AE347" s="55">
        <f t="shared" si="74"/>
        <v>0</v>
      </c>
      <c r="AF347" s="55">
        <f t="shared" si="75"/>
        <v>0</v>
      </c>
      <c r="AG347" s="58">
        <f t="shared" si="76"/>
        <v>0</v>
      </c>
      <c r="AH347" s="47"/>
      <c r="AJ347" s="47"/>
      <c r="AL347" s="47"/>
      <c r="AM347" s="47" t="str">
        <f t="shared" si="77"/>
        <v/>
      </c>
    </row>
    <row r="348" spans="1:39" s="56" customFormat="1" ht="24.75" customHeight="1">
      <c r="A348" s="44"/>
      <c r="B348" s="45"/>
      <c r="C348" s="46">
        <f>IF(B348&lt;&gt;"",VLOOKUP(B348,'Tipo Projeto'!$A$3:$B$35,2,0),0)</f>
        <v>0</v>
      </c>
      <c r="D348" s="47"/>
      <c r="E348" s="47"/>
      <c r="F348" s="48"/>
      <c r="G348" s="47"/>
      <c r="H348" s="49"/>
      <c r="I348" s="50"/>
      <c r="J348" s="51"/>
      <c r="K348" s="52"/>
      <c r="L348" s="53" t="str">
        <f t="shared" si="65"/>
        <v/>
      </c>
      <c r="M348" s="48" t="str">
        <f t="shared" si="66"/>
        <v/>
      </c>
      <c r="N348" s="54" t="str">
        <f t="shared" si="67"/>
        <v/>
      </c>
      <c r="O348" s="55">
        <f t="shared" si="68"/>
        <v>0</v>
      </c>
      <c r="P348" s="55">
        <f t="shared" si="69"/>
        <v>0</v>
      </c>
      <c r="Q348" s="54">
        <f t="shared" si="70"/>
        <v>0</v>
      </c>
      <c r="R348" s="47"/>
      <c r="T348" s="57"/>
      <c r="U348" s="45"/>
      <c r="V348" s="46">
        <f>IF(U348&lt;&gt;"",VLOOKUP(U348,'Tipo Projeto'!$A$3:$B$35,2,0),0)</f>
        <v>0</v>
      </c>
      <c r="W348" s="47"/>
      <c r="X348" s="49"/>
      <c r="Y348" s="50"/>
      <c r="Z348" s="51"/>
      <c r="AA348" s="52"/>
      <c r="AB348" s="53" t="str">
        <f t="shared" si="71"/>
        <v/>
      </c>
      <c r="AC348" s="48" t="str">
        <f t="shared" si="72"/>
        <v/>
      </c>
      <c r="AD348" s="54" t="str">
        <f t="shared" si="73"/>
        <v/>
      </c>
      <c r="AE348" s="55">
        <f t="shared" si="74"/>
        <v>0</v>
      </c>
      <c r="AF348" s="55">
        <f t="shared" si="75"/>
        <v>0</v>
      </c>
      <c r="AG348" s="58">
        <f t="shared" si="76"/>
        <v>0</v>
      </c>
      <c r="AH348" s="47"/>
      <c r="AJ348" s="47"/>
      <c r="AL348" s="47"/>
      <c r="AM348" s="47" t="str">
        <f t="shared" si="77"/>
        <v/>
      </c>
    </row>
    <row r="349" spans="1:39" s="56" customFormat="1" ht="24.75" customHeight="1">
      <c r="A349" s="44"/>
      <c r="B349" s="45"/>
      <c r="C349" s="46">
        <f>IF(B349&lt;&gt;"",VLOOKUP(B349,'Tipo Projeto'!$A$3:$B$35,2,0),0)</f>
        <v>0</v>
      </c>
      <c r="D349" s="47"/>
      <c r="E349" s="47"/>
      <c r="F349" s="48"/>
      <c r="G349" s="47"/>
      <c r="H349" s="49"/>
      <c r="I349" s="50"/>
      <c r="J349" s="51"/>
      <c r="K349" s="52"/>
      <c r="L349" s="53" t="str">
        <f t="shared" si="65"/>
        <v/>
      </c>
      <c r="M349" s="48" t="str">
        <f t="shared" si="66"/>
        <v/>
      </c>
      <c r="N349" s="54" t="str">
        <f t="shared" si="67"/>
        <v/>
      </c>
      <c r="O349" s="55">
        <f t="shared" si="68"/>
        <v>0</v>
      </c>
      <c r="P349" s="55">
        <f t="shared" si="69"/>
        <v>0</v>
      </c>
      <c r="Q349" s="54">
        <f t="shared" si="70"/>
        <v>0</v>
      </c>
      <c r="R349" s="47"/>
      <c r="T349" s="57"/>
      <c r="U349" s="45"/>
      <c r="V349" s="46">
        <f>IF(U349&lt;&gt;"",VLOOKUP(U349,'Tipo Projeto'!$A$3:$B$35,2,0),0)</f>
        <v>0</v>
      </c>
      <c r="W349" s="47"/>
      <c r="X349" s="49"/>
      <c r="Y349" s="50"/>
      <c r="Z349" s="51"/>
      <c r="AA349" s="52"/>
      <c r="AB349" s="53" t="str">
        <f t="shared" si="71"/>
        <v/>
      </c>
      <c r="AC349" s="48" t="str">
        <f t="shared" si="72"/>
        <v/>
      </c>
      <c r="AD349" s="54" t="str">
        <f t="shared" si="73"/>
        <v/>
      </c>
      <c r="AE349" s="55">
        <f t="shared" si="74"/>
        <v>0</v>
      </c>
      <c r="AF349" s="55">
        <f t="shared" si="75"/>
        <v>0</v>
      </c>
      <c r="AG349" s="58">
        <f t="shared" si="76"/>
        <v>0</v>
      </c>
      <c r="AH349" s="47"/>
      <c r="AJ349" s="47"/>
      <c r="AL349" s="47"/>
      <c r="AM349" s="47" t="str">
        <f t="shared" si="77"/>
        <v/>
      </c>
    </row>
    <row r="350" spans="1:39" s="56" customFormat="1" ht="24.75" customHeight="1">
      <c r="A350" s="44"/>
      <c r="B350" s="45"/>
      <c r="C350" s="46">
        <f>IF(B350&lt;&gt;"",VLOOKUP(B350,'Tipo Projeto'!$A$3:$B$35,2,0),0)</f>
        <v>0</v>
      </c>
      <c r="D350" s="47"/>
      <c r="E350" s="47"/>
      <c r="F350" s="48"/>
      <c r="G350" s="47"/>
      <c r="H350" s="49"/>
      <c r="I350" s="50"/>
      <c r="J350" s="51"/>
      <c r="K350" s="52"/>
      <c r="L350" s="53" t="str">
        <f t="shared" si="65"/>
        <v/>
      </c>
      <c r="M350" s="48" t="str">
        <f t="shared" si="66"/>
        <v/>
      </c>
      <c r="N350" s="54" t="str">
        <f t="shared" si="67"/>
        <v/>
      </c>
      <c r="O350" s="55">
        <f t="shared" si="68"/>
        <v>0</v>
      </c>
      <c r="P350" s="55">
        <f t="shared" si="69"/>
        <v>0</v>
      </c>
      <c r="Q350" s="54">
        <f t="shared" si="70"/>
        <v>0</v>
      </c>
      <c r="R350" s="47"/>
      <c r="T350" s="57"/>
      <c r="U350" s="45"/>
      <c r="V350" s="46">
        <f>IF(U350&lt;&gt;"",VLOOKUP(U350,'Tipo Projeto'!$A$3:$B$35,2,0),0)</f>
        <v>0</v>
      </c>
      <c r="W350" s="47"/>
      <c r="X350" s="49"/>
      <c r="Y350" s="50"/>
      <c r="Z350" s="51"/>
      <c r="AA350" s="52"/>
      <c r="AB350" s="53" t="str">
        <f t="shared" si="71"/>
        <v/>
      </c>
      <c r="AC350" s="48" t="str">
        <f t="shared" si="72"/>
        <v/>
      </c>
      <c r="AD350" s="54" t="str">
        <f t="shared" si="73"/>
        <v/>
      </c>
      <c r="AE350" s="55">
        <f t="shared" si="74"/>
        <v>0</v>
      </c>
      <c r="AF350" s="55">
        <f t="shared" si="75"/>
        <v>0</v>
      </c>
      <c r="AG350" s="58">
        <f t="shared" si="76"/>
        <v>0</v>
      </c>
      <c r="AH350" s="47"/>
      <c r="AJ350" s="47"/>
      <c r="AL350" s="47"/>
      <c r="AM350" s="47" t="str">
        <f t="shared" si="77"/>
        <v/>
      </c>
    </row>
    <row r="351" spans="1:39" s="56" customFormat="1" ht="24.75" customHeight="1">
      <c r="A351" s="44"/>
      <c r="B351" s="45"/>
      <c r="C351" s="46">
        <f>IF(B351&lt;&gt;"",VLOOKUP(B351,'Tipo Projeto'!$A$3:$B$35,2,0),0)</f>
        <v>0</v>
      </c>
      <c r="D351" s="47"/>
      <c r="E351" s="47"/>
      <c r="F351" s="48"/>
      <c r="G351" s="47"/>
      <c r="H351" s="49"/>
      <c r="I351" s="50"/>
      <c r="J351" s="51"/>
      <c r="K351" s="52"/>
      <c r="L351" s="53" t="str">
        <f t="shared" si="65"/>
        <v/>
      </c>
      <c r="M351" s="48" t="str">
        <f t="shared" si="66"/>
        <v/>
      </c>
      <c r="N351" s="54" t="str">
        <f t="shared" si="67"/>
        <v/>
      </c>
      <c r="O351" s="55">
        <f t="shared" si="68"/>
        <v>0</v>
      </c>
      <c r="P351" s="55">
        <f t="shared" si="69"/>
        <v>0</v>
      </c>
      <c r="Q351" s="54">
        <f t="shared" si="70"/>
        <v>0</v>
      </c>
      <c r="R351" s="47"/>
      <c r="T351" s="57"/>
      <c r="U351" s="45"/>
      <c r="V351" s="46">
        <f>IF(U351&lt;&gt;"",VLOOKUP(U351,'Tipo Projeto'!$A$3:$B$35,2,0),0)</f>
        <v>0</v>
      </c>
      <c r="W351" s="47"/>
      <c r="X351" s="49"/>
      <c r="Y351" s="50"/>
      <c r="Z351" s="51"/>
      <c r="AA351" s="52"/>
      <c r="AB351" s="53" t="str">
        <f t="shared" si="71"/>
        <v/>
      </c>
      <c r="AC351" s="48" t="str">
        <f t="shared" si="72"/>
        <v/>
      </c>
      <c r="AD351" s="54" t="str">
        <f t="shared" si="73"/>
        <v/>
      </c>
      <c r="AE351" s="55">
        <f t="shared" si="74"/>
        <v>0</v>
      </c>
      <c r="AF351" s="55">
        <f t="shared" si="75"/>
        <v>0</v>
      </c>
      <c r="AG351" s="58">
        <f t="shared" si="76"/>
        <v>0</v>
      </c>
      <c r="AH351" s="47"/>
      <c r="AJ351" s="47"/>
      <c r="AL351" s="47"/>
      <c r="AM351" s="47" t="str">
        <f t="shared" si="77"/>
        <v/>
      </c>
    </row>
    <row r="352" spans="1:39" s="56" customFormat="1" ht="24.75" customHeight="1">
      <c r="A352" s="44"/>
      <c r="B352" s="45"/>
      <c r="C352" s="46">
        <f>IF(B352&lt;&gt;"",VLOOKUP(B352,'Tipo Projeto'!$A$3:$B$35,2,0),0)</f>
        <v>0</v>
      </c>
      <c r="D352" s="47"/>
      <c r="E352" s="47"/>
      <c r="F352" s="48"/>
      <c r="G352" s="47"/>
      <c r="H352" s="49"/>
      <c r="I352" s="50"/>
      <c r="J352" s="51"/>
      <c r="K352" s="52"/>
      <c r="L352" s="53" t="str">
        <f t="shared" si="65"/>
        <v/>
      </c>
      <c r="M352" s="48" t="str">
        <f t="shared" si="66"/>
        <v/>
      </c>
      <c r="N352" s="54" t="str">
        <f t="shared" si="67"/>
        <v/>
      </c>
      <c r="O352" s="55">
        <f t="shared" si="68"/>
        <v>0</v>
      </c>
      <c r="P352" s="55">
        <f t="shared" si="69"/>
        <v>0</v>
      </c>
      <c r="Q352" s="54">
        <f t="shared" si="70"/>
        <v>0</v>
      </c>
      <c r="R352" s="47"/>
      <c r="T352" s="57"/>
      <c r="U352" s="45"/>
      <c r="V352" s="46">
        <f>IF(U352&lt;&gt;"",VLOOKUP(U352,'Tipo Projeto'!$A$3:$B$35,2,0),0)</f>
        <v>0</v>
      </c>
      <c r="W352" s="47"/>
      <c r="X352" s="49"/>
      <c r="Y352" s="50"/>
      <c r="Z352" s="51"/>
      <c r="AA352" s="52"/>
      <c r="AB352" s="53" t="str">
        <f t="shared" si="71"/>
        <v/>
      </c>
      <c r="AC352" s="48" t="str">
        <f t="shared" si="72"/>
        <v/>
      </c>
      <c r="AD352" s="54" t="str">
        <f t="shared" si="73"/>
        <v/>
      </c>
      <c r="AE352" s="55">
        <f t="shared" si="74"/>
        <v>0</v>
      </c>
      <c r="AF352" s="55">
        <f t="shared" si="75"/>
        <v>0</v>
      </c>
      <c r="AG352" s="58">
        <f t="shared" si="76"/>
        <v>0</v>
      </c>
      <c r="AH352" s="47"/>
      <c r="AJ352" s="47"/>
      <c r="AL352" s="47"/>
      <c r="AM352" s="47" t="str">
        <f t="shared" si="77"/>
        <v/>
      </c>
    </row>
    <row r="353" spans="1:39" s="56" customFormat="1" ht="24.75" customHeight="1">
      <c r="A353" s="44"/>
      <c r="B353" s="45"/>
      <c r="C353" s="46">
        <f>IF(B353&lt;&gt;"",VLOOKUP(B353,'Tipo Projeto'!$A$3:$B$35,2,0),0)</f>
        <v>0</v>
      </c>
      <c r="D353" s="47"/>
      <c r="E353" s="47"/>
      <c r="F353" s="48"/>
      <c r="G353" s="47"/>
      <c r="H353" s="49"/>
      <c r="I353" s="50"/>
      <c r="J353" s="51"/>
      <c r="K353" s="52"/>
      <c r="L353" s="53" t="str">
        <f t="shared" si="65"/>
        <v/>
      </c>
      <c r="M353" s="48" t="str">
        <f t="shared" si="66"/>
        <v/>
      </c>
      <c r="N353" s="54" t="str">
        <f t="shared" si="67"/>
        <v/>
      </c>
      <c r="O353" s="55">
        <f t="shared" si="68"/>
        <v>0</v>
      </c>
      <c r="P353" s="55">
        <f t="shared" si="69"/>
        <v>0</v>
      </c>
      <c r="Q353" s="54">
        <f t="shared" si="70"/>
        <v>0</v>
      </c>
      <c r="R353" s="47"/>
      <c r="T353" s="57"/>
      <c r="U353" s="45"/>
      <c r="V353" s="46">
        <f>IF(U353&lt;&gt;"",VLOOKUP(U353,'Tipo Projeto'!$A$3:$B$35,2,0),0)</f>
        <v>0</v>
      </c>
      <c r="W353" s="47"/>
      <c r="X353" s="49"/>
      <c r="Y353" s="50"/>
      <c r="Z353" s="51"/>
      <c r="AA353" s="52"/>
      <c r="AB353" s="53" t="str">
        <f t="shared" si="71"/>
        <v/>
      </c>
      <c r="AC353" s="48" t="str">
        <f t="shared" si="72"/>
        <v/>
      </c>
      <c r="AD353" s="54" t="str">
        <f t="shared" si="73"/>
        <v/>
      </c>
      <c r="AE353" s="55">
        <f t="shared" si="74"/>
        <v>0</v>
      </c>
      <c r="AF353" s="55">
        <f t="shared" si="75"/>
        <v>0</v>
      </c>
      <c r="AG353" s="58">
        <f t="shared" si="76"/>
        <v>0</v>
      </c>
      <c r="AH353" s="47"/>
      <c r="AJ353" s="47"/>
      <c r="AL353" s="47"/>
      <c r="AM353" s="47" t="str">
        <f t="shared" si="77"/>
        <v/>
      </c>
    </row>
    <row r="354" spans="1:39" s="56" customFormat="1" ht="24.75" customHeight="1">
      <c r="A354" s="44"/>
      <c r="B354" s="45"/>
      <c r="C354" s="46">
        <f>IF(B354&lt;&gt;"",VLOOKUP(B354,'Tipo Projeto'!$A$3:$B$35,2,0),0)</f>
        <v>0</v>
      </c>
      <c r="D354" s="47"/>
      <c r="E354" s="47"/>
      <c r="F354" s="48"/>
      <c r="G354" s="47"/>
      <c r="H354" s="49"/>
      <c r="I354" s="50"/>
      <c r="J354" s="51"/>
      <c r="K354" s="52"/>
      <c r="L354" s="53" t="str">
        <f t="shared" si="65"/>
        <v/>
      </c>
      <c r="M354" s="48" t="str">
        <f t="shared" si="66"/>
        <v/>
      </c>
      <c r="N354" s="54" t="str">
        <f t="shared" si="67"/>
        <v/>
      </c>
      <c r="O354" s="55">
        <f t="shared" si="68"/>
        <v>0</v>
      </c>
      <c r="P354" s="55">
        <f t="shared" si="69"/>
        <v>0</v>
      </c>
      <c r="Q354" s="54">
        <f t="shared" si="70"/>
        <v>0</v>
      </c>
      <c r="R354" s="47"/>
      <c r="T354" s="57"/>
      <c r="U354" s="45"/>
      <c r="V354" s="46">
        <f>IF(U354&lt;&gt;"",VLOOKUP(U354,'Tipo Projeto'!$A$3:$B$35,2,0),0)</f>
        <v>0</v>
      </c>
      <c r="W354" s="47"/>
      <c r="X354" s="49"/>
      <c r="Y354" s="50"/>
      <c r="Z354" s="51"/>
      <c r="AA354" s="52"/>
      <c r="AB354" s="53" t="str">
        <f t="shared" si="71"/>
        <v/>
      </c>
      <c r="AC354" s="48" t="str">
        <f t="shared" si="72"/>
        <v/>
      </c>
      <c r="AD354" s="54" t="str">
        <f t="shared" si="73"/>
        <v/>
      </c>
      <c r="AE354" s="55">
        <f t="shared" si="74"/>
        <v>0</v>
      </c>
      <c r="AF354" s="55">
        <f t="shared" si="75"/>
        <v>0</v>
      </c>
      <c r="AG354" s="58">
        <f t="shared" si="76"/>
        <v>0</v>
      </c>
      <c r="AH354" s="47"/>
      <c r="AJ354" s="47"/>
      <c r="AL354" s="47"/>
      <c r="AM354" s="47" t="str">
        <f t="shared" si="77"/>
        <v/>
      </c>
    </row>
    <row r="355" spans="1:39" s="56" customFormat="1" ht="24.75" customHeight="1">
      <c r="A355" s="44"/>
      <c r="B355" s="45"/>
      <c r="C355" s="46">
        <f>IF(B355&lt;&gt;"",VLOOKUP(B355,'Tipo Projeto'!$A$3:$B$35,2,0),0)</f>
        <v>0</v>
      </c>
      <c r="D355" s="47"/>
      <c r="E355" s="47"/>
      <c r="F355" s="48"/>
      <c r="G355" s="47"/>
      <c r="H355" s="49"/>
      <c r="I355" s="50"/>
      <c r="J355" s="51"/>
      <c r="K355" s="52"/>
      <c r="L355" s="53" t="str">
        <f t="shared" si="65"/>
        <v/>
      </c>
      <c r="M355" s="48" t="str">
        <f t="shared" si="66"/>
        <v/>
      </c>
      <c r="N355" s="54" t="str">
        <f t="shared" si="67"/>
        <v/>
      </c>
      <c r="O355" s="55">
        <f t="shared" si="68"/>
        <v>0</v>
      </c>
      <c r="P355" s="55">
        <f t="shared" si="69"/>
        <v>0</v>
      </c>
      <c r="Q355" s="54">
        <f t="shared" si="70"/>
        <v>0</v>
      </c>
      <c r="R355" s="47"/>
      <c r="T355" s="57"/>
      <c r="U355" s="45"/>
      <c r="V355" s="46">
        <f>IF(U355&lt;&gt;"",VLOOKUP(U355,'Tipo Projeto'!$A$3:$B$35,2,0),0)</f>
        <v>0</v>
      </c>
      <c r="W355" s="47"/>
      <c r="X355" s="49"/>
      <c r="Y355" s="50"/>
      <c r="Z355" s="51"/>
      <c r="AA355" s="52"/>
      <c r="AB355" s="53" t="str">
        <f t="shared" si="71"/>
        <v/>
      </c>
      <c r="AC355" s="48" t="str">
        <f t="shared" si="72"/>
        <v/>
      </c>
      <c r="AD355" s="54" t="str">
        <f t="shared" si="73"/>
        <v/>
      </c>
      <c r="AE355" s="55">
        <f t="shared" si="74"/>
        <v>0</v>
      </c>
      <c r="AF355" s="55">
        <f t="shared" si="75"/>
        <v>0</v>
      </c>
      <c r="AG355" s="58">
        <f t="shared" si="76"/>
        <v>0</v>
      </c>
      <c r="AH355" s="47"/>
      <c r="AJ355" s="47"/>
      <c r="AL355" s="47"/>
      <c r="AM355" s="47" t="str">
        <f t="shared" si="77"/>
        <v/>
      </c>
    </row>
    <row r="356" spans="1:39" s="56" customFormat="1" ht="24.75" customHeight="1">
      <c r="A356" s="44"/>
      <c r="B356" s="45"/>
      <c r="C356" s="46">
        <f>IF(B356&lt;&gt;"",VLOOKUP(B356,'Tipo Projeto'!$A$3:$B$35,2,0),0)</f>
        <v>0</v>
      </c>
      <c r="D356" s="47"/>
      <c r="E356" s="47"/>
      <c r="F356" s="48"/>
      <c r="G356" s="47"/>
      <c r="H356" s="49"/>
      <c r="I356" s="50"/>
      <c r="J356" s="51"/>
      <c r="K356" s="52"/>
      <c r="L356" s="53" t="str">
        <f t="shared" si="65"/>
        <v/>
      </c>
      <c r="M356" s="48" t="str">
        <f t="shared" si="66"/>
        <v/>
      </c>
      <c r="N356" s="54" t="str">
        <f t="shared" si="67"/>
        <v/>
      </c>
      <c r="O356" s="55">
        <f t="shared" si="68"/>
        <v>0</v>
      </c>
      <c r="P356" s="55">
        <f t="shared" si="69"/>
        <v>0</v>
      </c>
      <c r="Q356" s="54">
        <f t="shared" si="70"/>
        <v>0</v>
      </c>
      <c r="R356" s="47"/>
      <c r="T356" s="57"/>
      <c r="U356" s="45"/>
      <c r="V356" s="46">
        <f>IF(U356&lt;&gt;"",VLOOKUP(U356,'Tipo Projeto'!$A$3:$B$35,2,0),0)</f>
        <v>0</v>
      </c>
      <c r="W356" s="47"/>
      <c r="X356" s="49"/>
      <c r="Y356" s="50"/>
      <c r="Z356" s="51"/>
      <c r="AA356" s="52"/>
      <c r="AB356" s="53" t="str">
        <f t="shared" si="71"/>
        <v/>
      </c>
      <c r="AC356" s="48" t="str">
        <f t="shared" si="72"/>
        <v/>
      </c>
      <c r="AD356" s="54" t="str">
        <f t="shared" si="73"/>
        <v/>
      </c>
      <c r="AE356" s="55">
        <f t="shared" si="74"/>
        <v>0</v>
      </c>
      <c r="AF356" s="55">
        <f t="shared" si="75"/>
        <v>0</v>
      </c>
      <c r="AG356" s="58">
        <f t="shared" si="76"/>
        <v>0</v>
      </c>
      <c r="AH356" s="47"/>
      <c r="AJ356" s="47"/>
      <c r="AL356" s="47"/>
      <c r="AM356" s="47" t="str">
        <f t="shared" si="77"/>
        <v/>
      </c>
    </row>
    <row r="357" spans="1:39" s="56" customFormat="1" ht="24.75" customHeight="1">
      <c r="A357" s="44"/>
      <c r="B357" s="45"/>
      <c r="C357" s="46">
        <f>IF(B357&lt;&gt;"",VLOOKUP(B357,'Tipo Projeto'!$A$3:$B$35,2,0),0)</f>
        <v>0</v>
      </c>
      <c r="D357" s="47"/>
      <c r="E357" s="47"/>
      <c r="F357" s="48"/>
      <c r="G357" s="47"/>
      <c r="H357" s="49"/>
      <c r="I357" s="50"/>
      <c r="J357" s="51"/>
      <c r="K357" s="52"/>
      <c r="L357" s="53" t="str">
        <f t="shared" si="65"/>
        <v/>
      </c>
      <c r="M357" s="48" t="str">
        <f t="shared" si="66"/>
        <v/>
      </c>
      <c r="N357" s="54" t="str">
        <f t="shared" si="67"/>
        <v/>
      </c>
      <c r="O357" s="55">
        <f t="shared" si="68"/>
        <v>0</v>
      </c>
      <c r="P357" s="55">
        <f t="shared" si="69"/>
        <v>0</v>
      </c>
      <c r="Q357" s="54">
        <f t="shared" si="70"/>
        <v>0</v>
      </c>
      <c r="R357" s="47"/>
      <c r="T357" s="57"/>
      <c r="U357" s="45"/>
      <c r="V357" s="46">
        <f>IF(U357&lt;&gt;"",VLOOKUP(U357,'Tipo Projeto'!$A$3:$B$35,2,0),0)</f>
        <v>0</v>
      </c>
      <c r="W357" s="47"/>
      <c r="X357" s="49"/>
      <c r="Y357" s="50"/>
      <c r="Z357" s="51"/>
      <c r="AA357" s="52"/>
      <c r="AB357" s="53" t="str">
        <f t="shared" si="71"/>
        <v/>
      </c>
      <c r="AC357" s="48" t="str">
        <f t="shared" si="72"/>
        <v/>
      </c>
      <c r="AD357" s="54" t="str">
        <f t="shared" si="73"/>
        <v/>
      </c>
      <c r="AE357" s="55">
        <f t="shared" si="74"/>
        <v>0</v>
      </c>
      <c r="AF357" s="55">
        <f t="shared" si="75"/>
        <v>0</v>
      </c>
      <c r="AG357" s="58">
        <f t="shared" si="76"/>
        <v>0</v>
      </c>
      <c r="AH357" s="47"/>
      <c r="AJ357" s="47"/>
      <c r="AL357" s="47"/>
      <c r="AM357" s="47" t="str">
        <f t="shared" si="77"/>
        <v/>
      </c>
    </row>
    <row r="358" spans="1:39" s="56" customFormat="1" ht="24.75" customHeight="1">
      <c r="A358" s="44"/>
      <c r="B358" s="45"/>
      <c r="C358" s="46">
        <f>IF(B358&lt;&gt;"",VLOOKUP(B358,'Tipo Projeto'!$A$3:$B$35,2,0),0)</f>
        <v>0</v>
      </c>
      <c r="D358" s="47"/>
      <c r="E358" s="47"/>
      <c r="F358" s="48"/>
      <c r="G358" s="47"/>
      <c r="H358" s="49"/>
      <c r="I358" s="50"/>
      <c r="J358" s="51"/>
      <c r="K358" s="52"/>
      <c r="L358" s="53" t="str">
        <f t="shared" si="65"/>
        <v/>
      </c>
      <c r="M358" s="48" t="str">
        <f t="shared" si="66"/>
        <v/>
      </c>
      <c r="N358" s="54" t="str">
        <f t="shared" si="67"/>
        <v/>
      </c>
      <c r="O358" s="55">
        <f t="shared" si="68"/>
        <v>0</v>
      </c>
      <c r="P358" s="55">
        <f t="shared" si="69"/>
        <v>0</v>
      </c>
      <c r="Q358" s="54">
        <f t="shared" si="70"/>
        <v>0</v>
      </c>
      <c r="R358" s="47"/>
      <c r="T358" s="57"/>
      <c r="U358" s="45"/>
      <c r="V358" s="46">
        <f>IF(U358&lt;&gt;"",VLOOKUP(U358,'Tipo Projeto'!$A$3:$B$35,2,0),0)</f>
        <v>0</v>
      </c>
      <c r="W358" s="47"/>
      <c r="X358" s="49"/>
      <c r="Y358" s="50"/>
      <c r="Z358" s="51"/>
      <c r="AA358" s="52"/>
      <c r="AB358" s="53" t="str">
        <f t="shared" si="71"/>
        <v/>
      </c>
      <c r="AC358" s="48" t="str">
        <f t="shared" si="72"/>
        <v/>
      </c>
      <c r="AD358" s="54" t="str">
        <f t="shared" si="73"/>
        <v/>
      </c>
      <c r="AE358" s="55">
        <f t="shared" si="74"/>
        <v>0</v>
      </c>
      <c r="AF358" s="55">
        <f t="shared" si="75"/>
        <v>0</v>
      </c>
      <c r="AG358" s="58">
        <f t="shared" si="76"/>
        <v>0</v>
      </c>
      <c r="AH358" s="47"/>
      <c r="AJ358" s="47"/>
      <c r="AL358" s="47"/>
      <c r="AM358" s="47" t="str">
        <f t="shared" si="77"/>
        <v/>
      </c>
    </row>
    <row r="359" spans="1:39" s="56" customFormat="1" ht="24.75" customHeight="1">
      <c r="A359" s="44"/>
      <c r="B359" s="45"/>
      <c r="C359" s="46">
        <f>IF(B359&lt;&gt;"",VLOOKUP(B359,'Tipo Projeto'!$A$3:$B$35,2,0),0)</f>
        <v>0</v>
      </c>
      <c r="D359" s="47"/>
      <c r="E359" s="47"/>
      <c r="F359" s="48"/>
      <c r="G359" s="47"/>
      <c r="H359" s="49"/>
      <c r="I359" s="50"/>
      <c r="J359" s="51"/>
      <c r="K359" s="52"/>
      <c r="L359" s="53" t="str">
        <f t="shared" si="65"/>
        <v/>
      </c>
      <c r="M359" s="48" t="str">
        <f t="shared" si="66"/>
        <v/>
      </c>
      <c r="N359" s="54" t="str">
        <f t="shared" si="67"/>
        <v/>
      </c>
      <c r="O359" s="55">
        <f t="shared" si="68"/>
        <v>0</v>
      </c>
      <c r="P359" s="55">
        <f t="shared" si="69"/>
        <v>0</v>
      </c>
      <c r="Q359" s="54">
        <f t="shared" si="70"/>
        <v>0</v>
      </c>
      <c r="R359" s="47"/>
      <c r="T359" s="57"/>
      <c r="U359" s="45"/>
      <c r="V359" s="46">
        <f>IF(U359&lt;&gt;"",VLOOKUP(U359,'Tipo Projeto'!$A$3:$B$35,2,0),0)</f>
        <v>0</v>
      </c>
      <c r="W359" s="47"/>
      <c r="X359" s="49"/>
      <c r="Y359" s="50"/>
      <c r="Z359" s="51"/>
      <c r="AA359" s="52"/>
      <c r="AB359" s="53" t="str">
        <f t="shared" si="71"/>
        <v/>
      </c>
      <c r="AC359" s="48" t="str">
        <f t="shared" si="72"/>
        <v/>
      </c>
      <c r="AD359" s="54" t="str">
        <f t="shared" si="73"/>
        <v/>
      </c>
      <c r="AE359" s="55">
        <f t="shared" si="74"/>
        <v>0</v>
      </c>
      <c r="AF359" s="55">
        <f t="shared" si="75"/>
        <v>0</v>
      </c>
      <c r="AG359" s="58">
        <f t="shared" si="76"/>
        <v>0</v>
      </c>
      <c r="AH359" s="47"/>
      <c r="AJ359" s="47"/>
      <c r="AL359" s="47"/>
      <c r="AM359" s="47" t="str">
        <f t="shared" si="77"/>
        <v/>
      </c>
    </row>
    <row r="360" spans="1:39" s="56" customFormat="1" ht="24.75" customHeight="1">
      <c r="A360" s="44"/>
      <c r="B360" s="45"/>
      <c r="C360" s="46">
        <f>IF(B360&lt;&gt;"",VLOOKUP(B360,'Tipo Projeto'!$A$3:$B$35,2,0),0)</f>
        <v>0</v>
      </c>
      <c r="D360" s="47"/>
      <c r="E360" s="47"/>
      <c r="F360" s="48"/>
      <c r="G360" s="47"/>
      <c r="H360" s="49"/>
      <c r="I360" s="50"/>
      <c r="J360" s="51"/>
      <c r="K360" s="52"/>
      <c r="L360" s="53" t="str">
        <f t="shared" si="65"/>
        <v/>
      </c>
      <c r="M360" s="48" t="str">
        <f t="shared" si="66"/>
        <v/>
      </c>
      <c r="N360" s="54" t="str">
        <f t="shared" si="67"/>
        <v/>
      </c>
      <c r="O360" s="55">
        <f t="shared" si="68"/>
        <v>0</v>
      </c>
      <c r="P360" s="55">
        <f t="shared" si="69"/>
        <v>0</v>
      </c>
      <c r="Q360" s="54">
        <f t="shared" si="70"/>
        <v>0</v>
      </c>
      <c r="R360" s="47"/>
      <c r="T360" s="57"/>
      <c r="U360" s="45"/>
      <c r="V360" s="46">
        <f>IF(U360&lt;&gt;"",VLOOKUP(U360,'Tipo Projeto'!$A$3:$B$35,2,0),0)</f>
        <v>0</v>
      </c>
      <c r="W360" s="47"/>
      <c r="X360" s="49"/>
      <c r="Y360" s="50"/>
      <c r="Z360" s="51"/>
      <c r="AA360" s="52"/>
      <c r="AB360" s="53" t="str">
        <f t="shared" si="71"/>
        <v/>
      </c>
      <c r="AC360" s="48" t="str">
        <f t="shared" si="72"/>
        <v/>
      </c>
      <c r="AD360" s="54" t="str">
        <f t="shared" si="73"/>
        <v/>
      </c>
      <c r="AE360" s="55">
        <f t="shared" si="74"/>
        <v>0</v>
      </c>
      <c r="AF360" s="55">
        <f t="shared" si="75"/>
        <v>0</v>
      </c>
      <c r="AG360" s="58">
        <f t="shared" si="76"/>
        <v>0</v>
      </c>
      <c r="AH360" s="47"/>
      <c r="AJ360" s="47"/>
      <c r="AL360" s="47"/>
      <c r="AM360" s="47" t="str">
        <f t="shared" si="77"/>
        <v/>
      </c>
    </row>
    <row r="361" spans="1:39" s="56" customFormat="1" ht="24.75" customHeight="1">
      <c r="A361" s="44"/>
      <c r="B361" s="45"/>
      <c r="C361" s="46">
        <f>IF(B361&lt;&gt;"",VLOOKUP(B361,'Tipo Projeto'!$A$3:$B$35,2,0),0)</f>
        <v>0</v>
      </c>
      <c r="D361" s="47"/>
      <c r="E361" s="47"/>
      <c r="F361" s="48"/>
      <c r="G361" s="47"/>
      <c r="H361" s="49"/>
      <c r="I361" s="50"/>
      <c r="J361" s="51"/>
      <c r="K361" s="52"/>
      <c r="L361" s="53" t="str">
        <f t="shared" si="65"/>
        <v/>
      </c>
      <c r="M361" s="48" t="str">
        <f t="shared" si="66"/>
        <v/>
      </c>
      <c r="N361" s="54" t="str">
        <f t="shared" si="67"/>
        <v/>
      </c>
      <c r="O361" s="55">
        <f t="shared" si="68"/>
        <v>0</v>
      </c>
      <c r="P361" s="55">
        <f t="shared" si="69"/>
        <v>0</v>
      </c>
      <c r="Q361" s="54">
        <f t="shared" si="70"/>
        <v>0</v>
      </c>
      <c r="R361" s="47"/>
      <c r="T361" s="57"/>
      <c r="U361" s="45"/>
      <c r="V361" s="46">
        <f>IF(U361&lt;&gt;"",VLOOKUP(U361,'Tipo Projeto'!$A$3:$B$35,2,0),0)</f>
        <v>0</v>
      </c>
      <c r="W361" s="47"/>
      <c r="X361" s="49"/>
      <c r="Y361" s="50"/>
      <c r="Z361" s="51"/>
      <c r="AA361" s="52"/>
      <c r="AB361" s="53" t="str">
        <f t="shared" si="71"/>
        <v/>
      </c>
      <c r="AC361" s="48" t="str">
        <f t="shared" si="72"/>
        <v/>
      </c>
      <c r="AD361" s="54" t="str">
        <f t="shared" si="73"/>
        <v/>
      </c>
      <c r="AE361" s="55">
        <f t="shared" si="74"/>
        <v>0</v>
      </c>
      <c r="AF361" s="55">
        <f t="shared" si="75"/>
        <v>0</v>
      </c>
      <c r="AG361" s="58">
        <f t="shared" si="76"/>
        <v>0</v>
      </c>
      <c r="AH361" s="47"/>
      <c r="AJ361" s="47"/>
      <c r="AL361" s="47"/>
      <c r="AM361" s="47" t="str">
        <f t="shared" si="77"/>
        <v/>
      </c>
    </row>
    <row r="362" spans="1:39" s="56" customFormat="1" ht="24.75" customHeight="1">
      <c r="A362" s="44"/>
      <c r="B362" s="45"/>
      <c r="C362" s="46">
        <f>IF(B362&lt;&gt;"",VLOOKUP(B362,'Tipo Projeto'!$A$3:$B$35,2,0),0)</f>
        <v>0</v>
      </c>
      <c r="D362" s="47"/>
      <c r="E362" s="47"/>
      <c r="F362" s="48"/>
      <c r="G362" s="47"/>
      <c r="H362" s="49"/>
      <c r="I362" s="50"/>
      <c r="J362" s="51"/>
      <c r="K362" s="52"/>
      <c r="L362" s="53" t="str">
        <f t="shared" ref="L362:L380" si="78">IF(G362="EE",IF(OR(AND(OR(J362=1,J362=0),H362&gt;0,H362&lt;5),AND(OR(J362=1,J362=0),H362&gt;4,H362&lt;16),AND(J362=2,H362&gt;0,H362&lt;5)),"Simples",IF(OR(AND(OR(J362=1,J362=0),H362&gt;15),AND(J362=2,H362&gt;4,H362&lt;16),AND(J362&gt;2,H362&gt;0,H362&lt;5)),"Médio",IF(OR(AND(J362=2,H362&gt;15),AND(J362&gt;2,H362&gt;4,H362&lt;16),AND(J362&gt;2,H362&gt;15)),"Complexo",""))), IF(OR(G362="CE",G362="SE"),IF(OR(AND(OR(J362=1,J362=0),H362&gt;0,H362&lt;6),AND(OR(J362=1,J362=0),H362&gt;5,H362&lt;20),AND(J362&gt;1,J362&lt;4,H362&gt;0,H362&lt;6)),"Simples",IF(OR(AND(OR(J362=1,J362=0),H362&gt;19),AND(J362&gt;1,J362&lt;4,H362&gt;5,H362&lt;20),AND(J362&gt;3,H362&gt;0,H362&lt;6)),"Médio",IF(OR(AND(J362&gt;1,J362&lt;4,H362&gt;19),AND(J362&gt;3,H362&gt;5,H362&lt;20),AND(J362&gt;3,H362&gt;19)),"Complexo",""))),""))</f>
        <v/>
      </c>
      <c r="M362" s="48" t="str">
        <f t="shared" ref="M362:M380" si="79">IF(G362="ALI",IF(OR(AND(OR(J362=1,J362=0),H362&gt;0,H362&lt;20),AND(OR(J362=1,J362=0),H362&gt;19,H362&lt;51),AND(J362&gt;1,J362&lt;6,H362&gt;0,H362&lt;20)),"Simples",IF(OR(AND(OR(J362=1,J362=0),H362&gt;50),AND(J362&gt;1,J362&lt;6,H362&gt;19,H362&lt;51),AND(J362&gt;5,H362&gt;0,H362&lt;20)),"Médio",IF(OR(AND(J362&gt;1,J362&lt;6,H362&gt;50),AND(J362&gt;5,H362&gt;19,H362&lt;51),AND(J362&gt;5,H362&gt;50)),"Complexo",""))), IF(G362="AIE",IF(OR(AND(OR(J362=1, J362=0),H362&gt;0,H362&lt;20),AND(OR(J362=1, J362=0),H362&gt;19,H362&lt;51),AND(J362&gt;1,J362&lt;6,H362&gt;0,H362&lt;20)),"Simples",IF(OR(AND(OR(J362=1, J362=0),H362&gt;50),AND(J362&gt;1,J362&lt;6,H362&gt;19,H362&lt;51),AND(J362&gt;5,H362&gt;0,H362&lt;20)),"Médio",IF(OR(AND(J362&gt;1,J362&lt;6,H362&gt;50),AND(J362&gt;5,H362&gt;19,H362&lt;51),AND(J362&gt;5,H362&gt;50)),"Complexo",""))),""))</f>
        <v/>
      </c>
      <c r="N362" s="54" t="str">
        <f t="shared" ref="N362:N380" si="80">IF(L362="",M362,IF(M362="",L362,""))</f>
        <v/>
      </c>
      <c r="O362" s="55">
        <f t="shared" ref="O362:O380" si="81">IF(AND(OR(G362="EE",G362="CE"),N362="Simples"),3, IF(AND(OR(G362="EE",G362="CE"),N362="Médio"),4, IF(AND(OR(G362="EE",G362="CE"),N362="Complexo"),6, IF(AND(G362="SE",N362="Simples"),4, IF(AND(G362="SE",N362="Médio"),5, IF(AND(G362="SE",N362="Complexo"),7,0))))))</f>
        <v>0</v>
      </c>
      <c r="P362" s="55">
        <f t="shared" ref="P362:P380" si="82">IF(AND(G362="ALI",M362="Simples"),7, IF(AND(G362="ALI",M362="Médio"),10, IF(AND(G362="ALI",M362="Complexo"),15, IF(AND(G362="AIE",M362="Simples"),5, IF(AND(G362="AIE",M362="Médio"),7, IF(AND(G362="AIE",M362="Complexo"),10,0))))))</f>
        <v>0</v>
      </c>
      <c r="Q362" s="54">
        <f t="shared" ref="Q362:Q380" si="83">IF(B362&lt;&gt;"Manutenção em interface",IF(B362&lt;&gt;"Desenv., Manutenção e Publicação de Páginas Estáticas",(O362+P362)*C362,C362),C362)</f>
        <v>0</v>
      </c>
      <c r="R362" s="47"/>
      <c r="T362" s="57"/>
      <c r="U362" s="45"/>
      <c r="V362" s="46">
        <f>IF(U362&lt;&gt;"",VLOOKUP(U362,'Tipo Projeto'!$A$3:$B$35,2,0),0)</f>
        <v>0</v>
      </c>
      <c r="W362" s="47"/>
      <c r="X362" s="49"/>
      <c r="Y362" s="50"/>
      <c r="Z362" s="51"/>
      <c r="AA362" s="52"/>
      <c r="AB362" s="53" t="str">
        <f t="shared" ref="AB362:AB380" si="84">IF(W362="EE",IF(OR(AND(OR(Z362=1,Z362=0),X362&gt;0,X362&lt;5),AND(OR(Z362=1,Z362=0),X362&gt;4,X362&lt;16),AND(Z362=2,X362&gt;0,X362&lt;5)),"Simples",IF(OR(AND(OR(Z362=1,Z362=0),X362&gt;15),AND(Z362=2,X362&gt;4,X362&lt;16),AND(Z362&gt;2,X362&gt;0,X362&lt;5)),"Médio",IF(OR(AND(Z362=2,X362&gt;15),AND(Z362&gt;2,X362&gt;4,X362&lt;16),AND(Z362&gt;2,X362&gt;15)),"Complexo",""))), IF(OR(W362="CE",W362="SE"),IF(OR(AND(OR(Z362=1,Z362=0),X362&gt;0,X362&lt;6),AND(OR(Z362=1,Z362=0),X362&gt;5,X362&lt;20),AND(Z362&gt;1,Z362&lt;4,X362&gt;0,X362&lt;6)),"Simples",IF(OR(AND(OR(Z362=1,Z362=0),X362&gt;19),AND(Z362&gt;1,Z362&lt;4,X362&gt;5,X362&lt;20),AND(Z362&gt;3,X362&gt;0,X362&lt;6)),"Médio",IF(OR(AND(Z362&gt;1,Z362&lt;4,X362&gt;19),AND(Z362&gt;3,X362&gt;5,X362&lt;20),AND(Z362&gt;3,X362&gt;19)),"Complexo",""))),""))</f>
        <v/>
      </c>
      <c r="AC362" s="48" t="str">
        <f t="shared" ref="AC362:AC380" si="85">IF(W362="ALI",IF(OR(AND(OR(Z362=1,Z362=0),X362&gt;0,X362&lt;20),AND(OR(Z362=1,Z362=0),X362&gt;19,X362&lt;51),AND(Z362&gt;1,Z362&lt;6,X362&gt;0,X362&lt;20)),"Simples",IF(OR(AND(OR(Z362=1,Z362=0),X362&gt;50),AND(Z362&gt;1,Z362&lt;6,X362&gt;19,X362&lt;51),AND(Z362&gt;5,X362&gt;0,X362&lt;20)),"Médio",IF(OR(AND(Z362&gt;1,Z362&lt;6,X362&gt;50),AND(Z362&gt;5,X362&gt;19,X362&lt;51),AND(Z362&gt;5,X362&gt;50)),"Complexo",""))), IF(W362="AIE",IF(OR(AND(OR(Z362=1, Z362=0),X362&gt;0,X362&lt;20),AND(OR(Z362=1, Z362=0),X362&gt;19,X362&lt;51),AND(Z362&gt;1,Z362&lt;6,X362&gt;0,X362&lt;20)),"Simples",IF(OR(AND(OR(Z362=1, Z362=0),X362&gt;50),AND(Z362&gt;1,Z362&lt;6,X362&gt;19,X362&lt;51),AND(Z362&gt;5,X362&gt;0,X362&lt;20)),"Médio",IF(OR(AND(Z362&gt;1,Z362&lt;6,X362&gt;50),AND(Z362&gt;5,X362&gt;19,X362&lt;51),AND(Z362&gt;5,X362&gt;50)),"Complexo",""))),""))</f>
        <v/>
      </c>
      <c r="AD362" s="54" t="str">
        <f t="shared" ref="AD362:AD380" si="86">IF(AB362="",AC362,IF(AC362="",AB362,""))</f>
        <v/>
      </c>
      <c r="AE362" s="55">
        <f t="shared" ref="AE362:AE380" si="87">IF(AND(OR(W362="EE",W362="CE"),AD362="Simples"),3, IF(AND(OR(W362="EE",W362="CE"),AD362="Médio"),4, IF(AND(OR(W362="EE",W362="CE"),AD362="Complexo"),6, IF(AND(W362="SE",AD362="Simples"),4, IF(AND(W362="SE",AD362="Médio"),5, IF(AND(W362="SE",AD362="Complexo"),7,0))))))</f>
        <v>0</v>
      </c>
      <c r="AF362" s="55">
        <f t="shared" ref="AF362:AF380" si="88">IF(AND(W362="ALI",AC362="Simples"),7, IF(AND(W362="ALI",AC362="Médio"),10, IF(AND(W362="ALI",AC362="Complexo"),15, IF(AND(W362="AIE",AC362="Simples"),5, IF(AND(W362="AIE",AC362="Médio"),7, IF(AND(W362="AIE",AC362="Complexo"),10,0))))))</f>
        <v>0</v>
      </c>
      <c r="AG362" s="58">
        <f t="shared" ref="AG362:AG380" si="89">IF(T362="OK",Q362,( IF(U362&lt;&gt;"Manutenção em interface",IF(U362&lt;&gt;"Desenv., Manutenção e Publicação de Páginas Estáticas",(AE362+AF362)*V362,V362),V362)))</f>
        <v>0</v>
      </c>
      <c r="AH362" s="47"/>
      <c r="AJ362" s="47"/>
      <c r="AL362" s="47"/>
      <c r="AM362" s="47" t="str">
        <f t="shared" ref="AM362:AM380" si="90">IF(AG362=0,"",IF(AG362=Q362,"OK","Divergente"))</f>
        <v/>
      </c>
    </row>
    <row r="363" spans="1:39" s="56" customFormat="1" ht="24.75" customHeight="1">
      <c r="A363" s="44"/>
      <c r="B363" s="45"/>
      <c r="C363" s="46">
        <f>IF(B363&lt;&gt;"",VLOOKUP(B363,'Tipo Projeto'!$A$3:$B$35,2,0),0)</f>
        <v>0</v>
      </c>
      <c r="D363" s="47"/>
      <c r="E363" s="47"/>
      <c r="F363" s="48"/>
      <c r="G363" s="47"/>
      <c r="H363" s="49"/>
      <c r="I363" s="50"/>
      <c r="J363" s="51"/>
      <c r="K363" s="52"/>
      <c r="L363" s="53" t="str">
        <f t="shared" si="78"/>
        <v/>
      </c>
      <c r="M363" s="48" t="str">
        <f t="shared" si="79"/>
        <v/>
      </c>
      <c r="N363" s="54" t="str">
        <f t="shared" si="80"/>
        <v/>
      </c>
      <c r="O363" s="55">
        <f t="shared" si="81"/>
        <v>0</v>
      </c>
      <c r="P363" s="55">
        <f t="shared" si="82"/>
        <v>0</v>
      </c>
      <c r="Q363" s="54">
        <f t="shared" si="83"/>
        <v>0</v>
      </c>
      <c r="R363" s="47"/>
      <c r="T363" s="57"/>
      <c r="U363" s="45"/>
      <c r="V363" s="46">
        <f>IF(U363&lt;&gt;"",VLOOKUP(U363,'Tipo Projeto'!$A$3:$B$35,2,0),0)</f>
        <v>0</v>
      </c>
      <c r="W363" s="47"/>
      <c r="X363" s="49"/>
      <c r="Y363" s="50"/>
      <c r="Z363" s="51"/>
      <c r="AA363" s="52"/>
      <c r="AB363" s="53" t="str">
        <f t="shared" si="84"/>
        <v/>
      </c>
      <c r="AC363" s="48" t="str">
        <f t="shared" si="85"/>
        <v/>
      </c>
      <c r="AD363" s="54" t="str">
        <f t="shared" si="86"/>
        <v/>
      </c>
      <c r="AE363" s="55">
        <f t="shared" si="87"/>
        <v>0</v>
      </c>
      <c r="AF363" s="55">
        <f t="shared" si="88"/>
        <v>0</v>
      </c>
      <c r="AG363" s="58">
        <f t="shared" si="89"/>
        <v>0</v>
      </c>
      <c r="AH363" s="47"/>
      <c r="AJ363" s="47"/>
      <c r="AL363" s="47"/>
      <c r="AM363" s="47" t="str">
        <f t="shared" si="90"/>
        <v/>
      </c>
    </row>
    <row r="364" spans="1:39" s="56" customFormat="1" ht="24.75" customHeight="1">
      <c r="A364" s="44"/>
      <c r="B364" s="45"/>
      <c r="C364" s="46">
        <f>IF(B364&lt;&gt;"",VLOOKUP(B364,'Tipo Projeto'!$A$3:$B$35,2,0),0)</f>
        <v>0</v>
      </c>
      <c r="D364" s="47"/>
      <c r="E364" s="47"/>
      <c r="F364" s="48"/>
      <c r="G364" s="47"/>
      <c r="H364" s="49"/>
      <c r="I364" s="50"/>
      <c r="J364" s="51"/>
      <c r="K364" s="52"/>
      <c r="L364" s="53" t="str">
        <f t="shared" si="78"/>
        <v/>
      </c>
      <c r="M364" s="48" t="str">
        <f t="shared" si="79"/>
        <v/>
      </c>
      <c r="N364" s="54" t="str">
        <f t="shared" si="80"/>
        <v/>
      </c>
      <c r="O364" s="55">
        <f t="shared" si="81"/>
        <v>0</v>
      </c>
      <c r="P364" s="55">
        <f t="shared" si="82"/>
        <v>0</v>
      </c>
      <c r="Q364" s="54">
        <f t="shared" si="83"/>
        <v>0</v>
      </c>
      <c r="R364" s="47"/>
      <c r="T364" s="57"/>
      <c r="U364" s="45"/>
      <c r="V364" s="46">
        <f>IF(U364&lt;&gt;"",VLOOKUP(U364,'Tipo Projeto'!$A$3:$B$35,2,0),0)</f>
        <v>0</v>
      </c>
      <c r="W364" s="47"/>
      <c r="X364" s="49"/>
      <c r="Y364" s="50"/>
      <c r="Z364" s="51"/>
      <c r="AA364" s="52"/>
      <c r="AB364" s="53" t="str">
        <f t="shared" si="84"/>
        <v/>
      </c>
      <c r="AC364" s="48" t="str">
        <f t="shared" si="85"/>
        <v/>
      </c>
      <c r="AD364" s="54" t="str">
        <f t="shared" si="86"/>
        <v/>
      </c>
      <c r="AE364" s="55">
        <f t="shared" si="87"/>
        <v>0</v>
      </c>
      <c r="AF364" s="55">
        <f t="shared" si="88"/>
        <v>0</v>
      </c>
      <c r="AG364" s="58">
        <f t="shared" si="89"/>
        <v>0</v>
      </c>
      <c r="AH364" s="47"/>
      <c r="AJ364" s="47"/>
      <c r="AL364" s="47"/>
      <c r="AM364" s="47" t="str">
        <f t="shared" si="90"/>
        <v/>
      </c>
    </row>
    <row r="365" spans="1:39" s="56" customFormat="1" ht="24.75" customHeight="1">
      <c r="A365" s="44"/>
      <c r="B365" s="45"/>
      <c r="C365" s="46">
        <f>IF(B365&lt;&gt;"",VLOOKUP(B365,'Tipo Projeto'!$A$3:$B$35,2,0),0)</f>
        <v>0</v>
      </c>
      <c r="D365" s="47"/>
      <c r="E365" s="47"/>
      <c r="F365" s="48"/>
      <c r="G365" s="47"/>
      <c r="H365" s="49"/>
      <c r="I365" s="50"/>
      <c r="J365" s="51"/>
      <c r="K365" s="52"/>
      <c r="L365" s="53" t="str">
        <f t="shared" si="78"/>
        <v/>
      </c>
      <c r="M365" s="48" t="str">
        <f t="shared" si="79"/>
        <v/>
      </c>
      <c r="N365" s="54" t="str">
        <f t="shared" si="80"/>
        <v/>
      </c>
      <c r="O365" s="55">
        <f t="shared" si="81"/>
        <v>0</v>
      </c>
      <c r="P365" s="55">
        <f t="shared" si="82"/>
        <v>0</v>
      </c>
      <c r="Q365" s="54">
        <f t="shared" si="83"/>
        <v>0</v>
      </c>
      <c r="R365" s="47"/>
      <c r="T365" s="57"/>
      <c r="U365" s="45"/>
      <c r="V365" s="46">
        <f>IF(U365&lt;&gt;"",VLOOKUP(U365,'Tipo Projeto'!$A$3:$B$35,2,0),0)</f>
        <v>0</v>
      </c>
      <c r="W365" s="47"/>
      <c r="X365" s="49"/>
      <c r="Y365" s="50"/>
      <c r="Z365" s="51"/>
      <c r="AA365" s="52"/>
      <c r="AB365" s="53" t="str">
        <f t="shared" si="84"/>
        <v/>
      </c>
      <c r="AC365" s="48" t="str">
        <f t="shared" si="85"/>
        <v/>
      </c>
      <c r="AD365" s="54" t="str">
        <f t="shared" si="86"/>
        <v/>
      </c>
      <c r="AE365" s="55">
        <f t="shared" si="87"/>
        <v>0</v>
      </c>
      <c r="AF365" s="55">
        <f t="shared" si="88"/>
        <v>0</v>
      </c>
      <c r="AG365" s="58">
        <f t="shared" si="89"/>
        <v>0</v>
      </c>
      <c r="AH365" s="47"/>
      <c r="AJ365" s="47"/>
      <c r="AL365" s="47"/>
      <c r="AM365" s="47" t="str">
        <f t="shared" si="90"/>
        <v/>
      </c>
    </row>
    <row r="366" spans="1:39" s="56" customFormat="1" ht="24.75" customHeight="1">
      <c r="A366" s="44"/>
      <c r="B366" s="45"/>
      <c r="C366" s="46">
        <f>IF(B366&lt;&gt;"",VLOOKUP(B366,'Tipo Projeto'!$A$3:$B$35,2,0),0)</f>
        <v>0</v>
      </c>
      <c r="D366" s="47"/>
      <c r="E366" s="47"/>
      <c r="F366" s="48"/>
      <c r="G366" s="47"/>
      <c r="H366" s="49"/>
      <c r="I366" s="50"/>
      <c r="J366" s="51"/>
      <c r="K366" s="52"/>
      <c r="L366" s="53" t="str">
        <f t="shared" si="78"/>
        <v/>
      </c>
      <c r="M366" s="48" t="str">
        <f t="shared" si="79"/>
        <v/>
      </c>
      <c r="N366" s="54" t="str">
        <f t="shared" si="80"/>
        <v/>
      </c>
      <c r="O366" s="55">
        <f t="shared" si="81"/>
        <v>0</v>
      </c>
      <c r="P366" s="55">
        <f t="shared" si="82"/>
        <v>0</v>
      </c>
      <c r="Q366" s="54">
        <f t="shared" si="83"/>
        <v>0</v>
      </c>
      <c r="R366" s="47"/>
      <c r="T366" s="57"/>
      <c r="U366" s="45"/>
      <c r="V366" s="46">
        <f>IF(U366&lt;&gt;"",VLOOKUP(U366,'Tipo Projeto'!$A$3:$B$35,2,0),0)</f>
        <v>0</v>
      </c>
      <c r="W366" s="47"/>
      <c r="X366" s="49"/>
      <c r="Y366" s="50"/>
      <c r="Z366" s="51"/>
      <c r="AA366" s="52"/>
      <c r="AB366" s="53" t="str">
        <f t="shared" si="84"/>
        <v/>
      </c>
      <c r="AC366" s="48" t="str">
        <f t="shared" si="85"/>
        <v/>
      </c>
      <c r="AD366" s="54" t="str">
        <f t="shared" si="86"/>
        <v/>
      </c>
      <c r="AE366" s="55">
        <f t="shared" si="87"/>
        <v>0</v>
      </c>
      <c r="AF366" s="55">
        <f t="shared" si="88"/>
        <v>0</v>
      </c>
      <c r="AG366" s="58">
        <f t="shared" si="89"/>
        <v>0</v>
      </c>
      <c r="AH366" s="47"/>
      <c r="AJ366" s="47"/>
      <c r="AL366" s="47"/>
      <c r="AM366" s="47" t="str">
        <f t="shared" si="90"/>
        <v/>
      </c>
    </row>
    <row r="367" spans="1:39" s="56" customFormat="1" ht="24.75" customHeight="1">
      <c r="A367" s="44"/>
      <c r="B367" s="45"/>
      <c r="C367" s="46">
        <f>IF(B367&lt;&gt;"",VLOOKUP(B367,'Tipo Projeto'!$A$3:$B$35,2,0),0)</f>
        <v>0</v>
      </c>
      <c r="D367" s="47"/>
      <c r="E367" s="47"/>
      <c r="F367" s="48"/>
      <c r="G367" s="47"/>
      <c r="H367" s="49"/>
      <c r="I367" s="50"/>
      <c r="J367" s="51"/>
      <c r="K367" s="52"/>
      <c r="L367" s="53" t="str">
        <f t="shared" si="78"/>
        <v/>
      </c>
      <c r="M367" s="48" t="str">
        <f t="shared" si="79"/>
        <v/>
      </c>
      <c r="N367" s="54" t="str">
        <f t="shared" si="80"/>
        <v/>
      </c>
      <c r="O367" s="55">
        <f t="shared" si="81"/>
        <v>0</v>
      </c>
      <c r="P367" s="55">
        <f t="shared" si="82"/>
        <v>0</v>
      </c>
      <c r="Q367" s="54">
        <f t="shared" si="83"/>
        <v>0</v>
      </c>
      <c r="R367" s="47"/>
      <c r="T367" s="57"/>
      <c r="U367" s="45"/>
      <c r="V367" s="46">
        <f>IF(U367&lt;&gt;"",VLOOKUP(U367,'Tipo Projeto'!$A$3:$B$35,2,0),0)</f>
        <v>0</v>
      </c>
      <c r="W367" s="47"/>
      <c r="X367" s="49"/>
      <c r="Y367" s="50"/>
      <c r="Z367" s="51"/>
      <c r="AA367" s="52"/>
      <c r="AB367" s="53" t="str">
        <f t="shared" si="84"/>
        <v/>
      </c>
      <c r="AC367" s="48" t="str">
        <f t="shared" si="85"/>
        <v/>
      </c>
      <c r="AD367" s="54" t="str">
        <f t="shared" si="86"/>
        <v/>
      </c>
      <c r="AE367" s="55">
        <f t="shared" si="87"/>
        <v>0</v>
      </c>
      <c r="AF367" s="55">
        <f t="shared" si="88"/>
        <v>0</v>
      </c>
      <c r="AG367" s="58">
        <f t="shared" si="89"/>
        <v>0</v>
      </c>
      <c r="AH367" s="47"/>
      <c r="AJ367" s="47"/>
      <c r="AL367" s="47"/>
      <c r="AM367" s="47" t="str">
        <f t="shared" si="90"/>
        <v/>
      </c>
    </row>
    <row r="368" spans="1:39" s="56" customFormat="1" ht="24.75" customHeight="1">
      <c r="A368" s="44"/>
      <c r="B368" s="45"/>
      <c r="C368" s="46">
        <f>IF(B368&lt;&gt;"",VLOOKUP(B368,'Tipo Projeto'!$A$3:$B$35,2,0),0)</f>
        <v>0</v>
      </c>
      <c r="D368" s="47"/>
      <c r="E368" s="47"/>
      <c r="F368" s="48"/>
      <c r="G368" s="47"/>
      <c r="H368" s="49"/>
      <c r="I368" s="50"/>
      <c r="J368" s="51"/>
      <c r="K368" s="52"/>
      <c r="L368" s="53" t="str">
        <f t="shared" si="78"/>
        <v/>
      </c>
      <c r="M368" s="48" t="str">
        <f t="shared" si="79"/>
        <v/>
      </c>
      <c r="N368" s="54" t="str">
        <f t="shared" si="80"/>
        <v/>
      </c>
      <c r="O368" s="55">
        <f t="shared" si="81"/>
        <v>0</v>
      </c>
      <c r="P368" s="55">
        <f t="shared" si="82"/>
        <v>0</v>
      </c>
      <c r="Q368" s="54">
        <f t="shared" si="83"/>
        <v>0</v>
      </c>
      <c r="R368" s="47"/>
      <c r="T368" s="57"/>
      <c r="U368" s="45"/>
      <c r="V368" s="46">
        <f>IF(U368&lt;&gt;"",VLOOKUP(U368,'Tipo Projeto'!$A$3:$B$35,2,0),0)</f>
        <v>0</v>
      </c>
      <c r="W368" s="47"/>
      <c r="X368" s="49"/>
      <c r="Y368" s="50"/>
      <c r="Z368" s="51"/>
      <c r="AA368" s="52"/>
      <c r="AB368" s="53" t="str">
        <f t="shared" si="84"/>
        <v/>
      </c>
      <c r="AC368" s="48" t="str">
        <f t="shared" si="85"/>
        <v/>
      </c>
      <c r="AD368" s="54" t="str">
        <f t="shared" si="86"/>
        <v/>
      </c>
      <c r="AE368" s="55">
        <f t="shared" si="87"/>
        <v>0</v>
      </c>
      <c r="AF368" s="55">
        <f t="shared" si="88"/>
        <v>0</v>
      </c>
      <c r="AG368" s="58">
        <f t="shared" si="89"/>
        <v>0</v>
      </c>
      <c r="AH368" s="47"/>
      <c r="AJ368" s="47"/>
      <c r="AL368" s="47"/>
      <c r="AM368" s="47" t="str">
        <f t="shared" si="90"/>
        <v/>
      </c>
    </row>
    <row r="369" spans="1:39" s="56" customFormat="1" ht="24.75" customHeight="1">
      <c r="A369" s="44"/>
      <c r="B369" s="45"/>
      <c r="C369" s="46">
        <f>IF(B369&lt;&gt;"",VLOOKUP(B369,'Tipo Projeto'!$A$3:$B$35,2,0),0)</f>
        <v>0</v>
      </c>
      <c r="D369" s="47"/>
      <c r="E369" s="47"/>
      <c r="F369" s="48"/>
      <c r="G369" s="47"/>
      <c r="H369" s="49"/>
      <c r="I369" s="50"/>
      <c r="J369" s="51"/>
      <c r="K369" s="52"/>
      <c r="L369" s="53" t="str">
        <f t="shared" si="78"/>
        <v/>
      </c>
      <c r="M369" s="48" t="str">
        <f t="shared" si="79"/>
        <v/>
      </c>
      <c r="N369" s="54" t="str">
        <f t="shared" si="80"/>
        <v/>
      </c>
      <c r="O369" s="55">
        <f t="shared" si="81"/>
        <v>0</v>
      </c>
      <c r="P369" s="55">
        <f t="shared" si="82"/>
        <v>0</v>
      </c>
      <c r="Q369" s="54">
        <f t="shared" si="83"/>
        <v>0</v>
      </c>
      <c r="R369" s="47"/>
      <c r="T369" s="57"/>
      <c r="U369" s="45"/>
      <c r="V369" s="46">
        <f>IF(U369&lt;&gt;"",VLOOKUP(U369,'Tipo Projeto'!$A$3:$B$35,2,0),0)</f>
        <v>0</v>
      </c>
      <c r="W369" s="47"/>
      <c r="X369" s="49"/>
      <c r="Y369" s="50"/>
      <c r="Z369" s="51"/>
      <c r="AA369" s="52"/>
      <c r="AB369" s="53" t="str">
        <f t="shared" si="84"/>
        <v/>
      </c>
      <c r="AC369" s="48" t="str">
        <f t="shared" si="85"/>
        <v/>
      </c>
      <c r="AD369" s="54" t="str">
        <f t="shared" si="86"/>
        <v/>
      </c>
      <c r="AE369" s="55">
        <f t="shared" si="87"/>
        <v>0</v>
      </c>
      <c r="AF369" s="55">
        <f t="shared" si="88"/>
        <v>0</v>
      </c>
      <c r="AG369" s="58">
        <f t="shared" si="89"/>
        <v>0</v>
      </c>
      <c r="AH369" s="47"/>
      <c r="AJ369" s="47"/>
      <c r="AL369" s="47"/>
      <c r="AM369" s="47" t="str">
        <f t="shared" si="90"/>
        <v/>
      </c>
    </row>
    <row r="370" spans="1:39" s="56" customFormat="1" ht="24.75" customHeight="1">
      <c r="A370" s="44"/>
      <c r="B370" s="45"/>
      <c r="C370" s="46">
        <f>IF(B370&lt;&gt;"",VLOOKUP(B370,'Tipo Projeto'!$A$3:$B$35,2,0),0)</f>
        <v>0</v>
      </c>
      <c r="D370" s="47"/>
      <c r="E370" s="47"/>
      <c r="F370" s="48"/>
      <c r="G370" s="47"/>
      <c r="H370" s="49"/>
      <c r="I370" s="50"/>
      <c r="J370" s="51"/>
      <c r="K370" s="52"/>
      <c r="L370" s="53" t="str">
        <f t="shared" si="78"/>
        <v/>
      </c>
      <c r="M370" s="48" t="str">
        <f t="shared" si="79"/>
        <v/>
      </c>
      <c r="N370" s="54" t="str">
        <f t="shared" si="80"/>
        <v/>
      </c>
      <c r="O370" s="55">
        <f t="shared" si="81"/>
        <v>0</v>
      </c>
      <c r="P370" s="55">
        <f t="shared" si="82"/>
        <v>0</v>
      </c>
      <c r="Q370" s="54">
        <f t="shared" si="83"/>
        <v>0</v>
      </c>
      <c r="R370" s="47"/>
      <c r="T370" s="57"/>
      <c r="U370" s="45"/>
      <c r="V370" s="46">
        <f>IF(U370&lt;&gt;"",VLOOKUP(U370,'Tipo Projeto'!$A$3:$B$35,2,0),0)</f>
        <v>0</v>
      </c>
      <c r="W370" s="47"/>
      <c r="X370" s="49"/>
      <c r="Y370" s="50"/>
      <c r="Z370" s="51"/>
      <c r="AA370" s="52"/>
      <c r="AB370" s="53" t="str">
        <f t="shared" si="84"/>
        <v/>
      </c>
      <c r="AC370" s="48" t="str">
        <f t="shared" si="85"/>
        <v/>
      </c>
      <c r="AD370" s="54" t="str">
        <f t="shared" si="86"/>
        <v/>
      </c>
      <c r="AE370" s="55">
        <f t="shared" si="87"/>
        <v>0</v>
      </c>
      <c r="AF370" s="55">
        <f t="shared" si="88"/>
        <v>0</v>
      </c>
      <c r="AG370" s="58">
        <f t="shared" si="89"/>
        <v>0</v>
      </c>
      <c r="AH370" s="47"/>
      <c r="AJ370" s="47"/>
      <c r="AL370" s="47"/>
      <c r="AM370" s="47" t="str">
        <f t="shared" si="90"/>
        <v/>
      </c>
    </row>
    <row r="371" spans="1:39" s="56" customFormat="1" ht="24.75" customHeight="1">
      <c r="A371" s="44"/>
      <c r="B371" s="45"/>
      <c r="C371" s="46">
        <f>IF(B371&lt;&gt;"",VLOOKUP(B371,'Tipo Projeto'!$A$3:$B$35,2,0),0)</f>
        <v>0</v>
      </c>
      <c r="D371" s="47"/>
      <c r="E371" s="47"/>
      <c r="F371" s="48"/>
      <c r="G371" s="47"/>
      <c r="H371" s="49"/>
      <c r="I371" s="50"/>
      <c r="J371" s="51"/>
      <c r="K371" s="52"/>
      <c r="L371" s="53" t="str">
        <f t="shared" si="78"/>
        <v/>
      </c>
      <c r="M371" s="48" t="str">
        <f t="shared" si="79"/>
        <v/>
      </c>
      <c r="N371" s="54" t="str">
        <f t="shared" si="80"/>
        <v/>
      </c>
      <c r="O371" s="55">
        <f t="shared" si="81"/>
        <v>0</v>
      </c>
      <c r="P371" s="55">
        <f t="shared" si="82"/>
        <v>0</v>
      </c>
      <c r="Q371" s="54">
        <f t="shared" si="83"/>
        <v>0</v>
      </c>
      <c r="R371" s="47"/>
      <c r="T371" s="57"/>
      <c r="U371" s="45"/>
      <c r="V371" s="46">
        <f>IF(U371&lt;&gt;"",VLOOKUP(U371,'Tipo Projeto'!$A$3:$B$35,2,0),0)</f>
        <v>0</v>
      </c>
      <c r="W371" s="47"/>
      <c r="X371" s="49"/>
      <c r="Y371" s="50"/>
      <c r="Z371" s="51"/>
      <c r="AA371" s="52"/>
      <c r="AB371" s="53" t="str">
        <f t="shared" si="84"/>
        <v/>
      </c>
      <c r="AC371" s="48" t="str">
        <f t="shared" si="85"/>
        <v/>
      </c>
      <c r="AD371" s="54" t="str">
        <f t="shared" si="86"/>
        <v/>
      </c>
      <c r="AE371" s="55">
        <f t="shared" si="87"/>
        <v>0</v>
      </c>
      <c r="AF371" s="55">
        <f t="shared" si="88"/>
        <v>0</v>
      </c>
      <c r="AG371" s="58">
        <f t="shared" si="89"/>
        <v>0</v>
      </c>
      <c r="AH371" s="47"/>
      <c r="AJ371" s="47"/>
      <c r="AL371" s="47"/>
      <c r="AM371" s="47" t="str">
        <f t="shared" si="90"/>
        <v/>
      </c>
    </row>
    <row r="372" spans="1:39" s="56" customFormat="1" ht="24.75" customHeight="1">
      <c r="A372" s="44"/>
      <c r="B372" s="45"/>
      <c r="C372" s="46">
        <f>IF(B372&lt;&gt;"",VLOOKUP(B372,'Tipo Projeto'!$A$3:$B$35,2,0),0)</f>
        <v>0</v>
      </c>
      <c r="D372" s="47"/>
      <c r="E372" s="47"/>
      <c r="F372" s="48"/>
      <c r="G372" s="47"/>
      <c r="H372" s="49"/>
      <c r="I372" s="50"/>
      <c r="J372" s="51"/>
      <c r="K372" s="52"/>
      <c r="L372" s="53" t="str">
        <f t="shared" si="78"/>
        <v/>
      </c>
      <c r="M372" s="48" t="str">
        <f t="shared" si="79"/>
        <v/>
      </c>
      <c r="N372" s="54" t="str">
        <f t="shared" si="80"/>
        <v/>
      </c>
      <c r="O372" s="55">
        <f t="shared" si="81"/>
        <v>0</v>
      </c>
      <c r="P372" s="55">
        <f t="shared" si="82"/>
        <v>0</v>
      </c>
      <c r="Q372" s="54">
        <f t="shared" si="83"/>
        <v>0</v>
      </c>
      <c r="R372" s="47"/>
      <c r="T372" s="57"/>
      <c r="U372" s="45"/>
      <c r="V372" s="46">
        <f>IF(U372&lt;&gt;"",VLOOKUP(U372,'Tipo Projeto'!$A$3:$B$35,2,0),0)</f>
        <v>0</v>
      </c>
      <c r="W372" s="47"/>
      <c r="X372" s="49"/>
      <c r="Y372" s="50"/>
      <c r="Z372" s="51"/>
      <c r="AA372" s="52"/>
      <c r="AB372" s="53" t="str">
        <f t="shared" si="84"/>
        <v/>
      </c>
      <c r="AC372" s="48" t="str">
        <f t="shared" si="85"/>
        <v/>
      </c>
      <c r="AD372" s="54" t="str">
        <f t="shared" si="86"/>
        <v/>
      </c>
      <c r="AE372" s="55">
        <f t="shared" si="87"/>
        <v>0</v>
      </c>
      <c r="AF372" s="55">
        <f t="shared" si="88"/>
        <v>0</v>
      </c>
      <c r="AG372" s="58">
        <f t="shared" si="89"/>
        <v>0</v>
      </c>
      <c r="AH372" s="47"/>
      <c r="AJ372" s="47"/>
      <c r="AL372" s="47"/>
      <c r="AM372" s="47" t="str">
        <f t="shared" si="90"/>
        <v/>
      </c>
    </row>
    <row r="373" spans="1:39" s="56" customFormat="1" ht="24.75" customHeight="1">
      <c r="A373" s="44"/>
      <c r="B373" s="45"/>
      <c r="C373" s="46">
        <f>IF(B373&lt;&gt;"",VLOOKUP(B373,'Tipo Projeto'!$A$3:$B$35,2,0),0)</f>
        <v>0</v>
      </c>
      <c r="D373" s="47"/>
      <c r="E373" s="47"/>
      <c r="F373" s="48"/>
      <c r="G373" s="47"/>
      <c r="H373" s="49"/>
      <c r="I373" s="50"/>
      <c r="J373" s="51"/>
      <c r="K373" s="52"/>
      <c r="L373" s="53" t="str">
        <f t="shared" si="78"/>
        <v/>
      </c>
      <c r="M373" s="48" t="str">
        <f t="shared" si="79"/>
        <v/>
      </c>
      <c r="N373" s="54" t="str">
        <f t="shared" si="80"/>
        <v/>
      </c>
      <c r="O373" s="55">
        <f t="shared" si="81"/>
        <v>0</v>
      </c>
      <c r="P373" s="55">
        <f t="shared" si="82"/>
        <v>0</v>
      </c>
      <c r="Q373" s="54">
        <f t="shared" si="83"/>
        <v>0</v>
      </c>
      <c r="R373" s="47"/>
      <c r="T373" s="57"/>
      <c r="U373" s="45"/>
      <c r="V373" s="46">
        <f>IF(U373&lt;&gt;"",VLOOKUP(U373,'Tipo Projeto'!$A$3:$B$35,2,0),0)</f>
        <v>0</v>
      </c>
      <c r="W373" s="47"/>
      <c r="X373" s="49"/>
      <c r="Y373" s="50"/>
      <c r="Z373" s="51"/>
      <c r="AA373" s="52"/>
      <c r="AB373" s="53" t="str">
        <f t="shared" si="84"/>
        <v/>
      </c>
      <c r="AC373" s="48" t="str">
        <f t="shared" si="85"/>
        <v/>
      </c>
      <c r="AD373" s="54" t="str">
        <f t="shared" si="86"/>
        <v/>
      </c>
      <c r="AE373" s="55">
        <f t="shared" si="87"/>
        <v>0</v>
      </c>
      <c r="AF373" s="55">
        <f t="shared" si="88"/>
        <v>0</v>
      </c>
      <c r="AG373" s="58">
        <f t="shared" si="89"/>
        <v>0</v>
      </c>
      <c r="AH373" s="47"/>
      <c r="AJ373" s="47"/>
      <c r="AL373" s="47"/>
      <c r="AM373" s="47" t="str">
        <f t="shared" si="90"/>
        <v/>
      </c>
    </row>
    <row r="374" spans="1:39" s="56" customFormat="1" ht="24.75" customHeight="1">
      <c r="A374" s="44"/>
      <c r="B374" s="45"/>
      <c r="C374" s="46">
        <f>IF(B374&lt;&gt;"",VLOOKUP(B374,'Tipo Projeto'!$A$3:$B$35,2,0),0)</f>
        <v>0</v>
      </c>
      <c r="D374" s="47"/>
      <c r="E374" s="47"/>
      <c r="F374" s="48"/>
      <c r="G374" s="47"/>
      <c r="H374" s="49"/>
      <c r="I374" s="50"/>
      <c r="J374" s="51"/>
      <c r="K374" s="52"/>
      <c r="L374" s="53" t="str">
        <f t="shared" si="78"/>
        <v/>
      </c>
      <c r="M374" s="48" t="str">
        <f t="shared" si="79"/>
        <v/>
      </c>
      <c r="N374" s="54" t="str">
        <f t="shared" si="80"/>
        <v/>
      </c>
      <c r="O374" s="55">
        <f t="shared" si="81"/>
        <v>0</v>
      </c>
      <c r="P374" s="55">
        <f t="shared" si="82"/>
        <v>0</v>
      </c>
      <c r="Q374" s="54">
        <f t="shared" si="83"/>
        <v>0</v>
      </c>
      <c r="R374" s="47"/>
      <c r="T374" s="57"/>
      <c r="U374" s="45"/>
      <c r="V374" s="46">
        <f>IF(U374&lt;&gt;"",VLOOKUP(U374,'Tipo Projeto'!$A$3:$B$35,2,0),0)</f>
        <v>0</v>
      </c>
      <c r="W374" s="47"/>
      <c r="X374" s="49"/>
      <c r="Y374" s="50"/>
      <c r="Z374" s="51"/>
      <c r="AA374" s="52"/>
      <c r="AB374" s="53" t="str">
        <f t="shared" si="84"/>
        <v/>
      </c>
      <c r="AC374" s="48" t="str">
        <f t="shared" si="85"/>
        <v/>
      </c>
      <c r="AD374" s="54" t="str">
        <f t="shared" si="86"/>
        <v/>
      </c>
      <c r="AE374" s="55">
        <f t="shared" si="87"/>
        <v>0</v>
      </c>
      <c r="AF374" s="55">
        <f t="shared" si="88"/>
        <v>0</v>
      </c>
      <c r="AG374" s="58">
        <f t="shared" si="89"/>
        <v>0</v>
      </c>
      <c r="AH374" s="47"/>
      <c r="AJ374" s="47"/>
      <c r="AL374" s="47"/>
      <c r="AM374" s="47" t="str">
        <f t="shared" si="90"/>
        <v/>
      </c>
    </row>
    <row r="375" spans="1:39" s="56" customFormat="1" ht="24.75" customHeight="1">
      <c r="A375" s="44"/>
      <c r="B375" s="45"/>
      <c r="C375" s="46">
        <f>IF(B375&lt;&gt;"",VLOOKUP(B375,'Tipo Projeto'!$A$3:$B$35,2,0),0)</f>
        <v>0</v>
      </c>
      <c r="D375" s="47"/>
      <c r="E375" s="47"/>
      <c r="F375" s="48"/>
      <c r="G375" s="47"/>
      <c r="H375" s="49"/>
      <c r="I375" s="50"/>
      <c r="J375" s="51"/>
      <c r="K375" s="52"/>
      <c r="L375" s="53" t="str">
        <f t="shared" si="78"/>
        <v/>
      </c>
      <c r="M375" s="48" t="str">
        <f t="shared" si="79"/>
        <v/>
      </c>
      <c r="N375" s="54" t="str">
        <f t="shared" si="80"/>
        <v/>
      </c>
      <c r="O375" s="55">
        <f t="shared" si="81"/>
        <v>0</v>
      </c>
      <c r="P375" s="55">
        <f t="shared" si="82"/>
        <v>0</v>
      </c>
      <c r="Q375" s="54">
        <f t="shared" si="83"/>
        <v>0</v>
      </c>
      <c r="R375" s="47"/>
      <c r="T375" s="57"/>
      <c r="U375" s="45"/>
      <c r="V375" s="46">
        <f>IF(U375&lt;&gt;"",VLOOKUP(U375,'Tipo Projeto'!$A$3:$B$35,2,0),0)</f>
        <v>0</v>
      </c>
      <c r="W375" s="47"/>
      <c r="X375" s="49"/>
      <c r="Y375" s="50"/>
      <c r="Z375" s="51"/>
      <c r="AA375" s="52"/>
      <c r="AB375" s="53" t="str">
        <f t="shared" si="84"/>
        <v/>
      </c>
      <c r="AC375" s="48" t="str">
        <f t="shared" si="85"/>
        <v/>
      </c>
      <c r="AD375" s="54" t="str">
        <f t="shared" si="86"/>
        <v/>
      </c>
      <c r="AE375" s="55">
        <f t="shared" si="87"/>
        <v>0</v>
      </c>
      <c r="AF375" s="55">
        <f t="shared" si="88"/>
        <v>0</v>
      </c>
      <c r="AG375" s="58">
        <f t="shared" si="89"/>
        <v>0</v>
      </c>
      <c r="AH375" s="47"/>
      <c r="AJ375" s="47"/>
      <c r="AL375" s="47"/>
      <c r="AM375" s="47" t="str">
        <f t="shared" si="90"/>
        <v/>
      </c>
    </row>
    <row r="376" spans="1:39" s="56" customFormat="1" ht="24.75" customHeight="1">
      <c r="A376" s="44"/>
      <c r="B376" s="45"/>
      <c r="C376" s="46">
        <f>IF(B376&lt;&gt;"",VLOOKUP(B376,'Tipo Projeto'!$A$3:$B$35,2,0),0)</f>
        <v>0</v>
      </c>
      <c r="D376" s="47"/>
      <c r="E376" s="47"/>
      <c r="F376" s="48"/>
      <c r="G376" s="47"/>
      <c r="H376" s="49"/>
      <c r="I376" s="50"/>
      <c r="J376" s="51"/>
      <c r="K376" s="52"/>
      <c r="L376" s="53" t="str">
        <f t="shared" si="78"/>
        <v/>
      </c>
      <c r="M376" s="48" t="str">
        <f t="shared" si="79"/>
        <v/>
      </c>
      <c r="N376" s="54" t="str">
        <f t="shared" si="80"/>
        <v/>
      </c>
      <c r="O376" s="55">
        <f t="shared" si="81"/>
        <v>0</v>
      </c>
      <c r="P376" s="55">
        <f t="shared" si="82"/>
        <v>0</v>
      </c>
      <c r="Q376" s="54">
        <f t="shared" si="83"/>
        <v>0</v>
      </c>
      <c r="R376" s="47"/>
      <c r="T376" s="57"/>
      <c r="U376" s="45"/>
      <c r="V376" s="46">
        <f>IF(U376&lt;&gt;"",VLOOKUP(U376,'Tipo Projeto'!$A$3:$B$35,2,0),0)</f>
        <v>0</v>
      </c>
      <c r="W376" s="47"/>
      <c r="X376" s="49"/>
      <c r="Y376" s="50"/>
      <c r="Z376" s="51"/>
      <c r="AA376" s="52"/>
      <c r="AB376" s="53" t="str">
        <f t="shared" si="84"/>
        <v/>
      </c>
      <c r="AC376" s="48" t="str">
        <f t="shared" si="85"/>
        <v/>
      </c>
      <c r="AD376" s="54" t="str">
        <f t="shared" si="86"/>
        <v/>
      </c>
      <c r="AE376" s="55">
        <f t="shared" si="87"/>
        <v>0</v>
      </c>
      <c r="AF376" s="55">
        <f t="shared" si="88"/>
        <v>0</v>
      </c>
      <c r="AG376" s="58">
        <f t="shared" si="89"/>
        <v>0</v>
      </c>
      <c r="AH376" s="47"/>
      <c r="AJ376" s="47"/>
      <c r="AL376" s="47"/>
      <c r="AM376" s="47" t="str">
        <f t="shared" si="90"/>
        <v/>
      </c>
    </row>
    <row r="377" spans="1:39" s="56" customFormat="1" ht="24.75" customHeight="1">
      <c r="A377" s="44"/>
      <c r="B377" s="45"/>
      <c r="C377" s="46">
        <f>IF(B377&lt;&gt;"",VLOOKUP(B377,'Tipo Projeto'!$A$3:$B$35,2,0),0)</f>
        <v>0</v>
      </c>
      <c r="D377" s="47"/>
      <c r="E377" s="47"/>
      <c r="F377" s="48"/>
      <c r="G377" s="47"/>
      <c r="H377" s="49"/>
      <c r="I377" s="50"/>
      <c r="J377" s="51"/>
      <c r="K377" s="52"/>
      <c r="L377" s="53" t="str">
        <f t="shared" si="78"/>
        <v/>
      </c>
      <c r="M377" s="48" t="str">
        <f t="shared" si="79"/>
        <v/>
      </c>
      <c r="N377" s="54" t="str">
        <f t="shared" si="80"/>
        <v/>
      </c>
      <c r="O377" s="55">
        <f t="shared" si="81"/>
        <v>0</v>
      </c>
      <c r="P377" s="55">
        <f t="shared" si="82"/>
        <v>0</v>
      </c>
      <c r="Q377" s="54">
        <f t="shared" si="83"/>
        <v>0</v>
      </c>
      <c r="R377" s="47"/>
      <c r="T377" s="57"/>
      <c r="U377" s="45"/>
      <c r="V377" s="46">
        <f>IF(U377&lt;&gt;"",VLOOKUP(U377,'Tipo Projeto'!$A$3:$B$35,2,0),0)</f>
        <v>0</v>
      </c>
      <c r="W377" s="47"/>
      <c r="X377" s="49"/>
      <c r="Y377" s="50"/>
      <c r="Z377" s="51"/>
      <c r="AA377" s="52"/>
      <c r="AB377" s="53" t="str">
        <f t="shared" si="84"/>
        <v/>
      </c>
      <c r="AC377" s="48" t="str">
        <f t="shared" si="85"/>
        <v/>
      </c>
      <c r="AD377" s="54" t="str">
        <f t="shared" si="86"/>
        <v/>
      </c>
      <c r="AE377" s="55">
        <f t="shared" si="87"/>
        <v>0</v>
      </c>
      <c r="AF377" s="55">
        <f t="shared" si="88"/>
        <v>0</v>
      </c>
      <c r="AG377" s="58">
        <f t="shared" si="89"/>
        <v>0</v>
      </c>
      <c r="AH377" s="47"/>
      <c r="AJ377" s="47"/>
      <c r="AL377" s="47"/>
      <c r="AM377" s="47" t="str">
        <f t="shared" si="90"/>
        <v/>
      </c>
    </row>
    <row r="378" spans="1:39" s="56" customFormat="1" ht="24.75" customHeight="1">
      <c r="A378" s="44"/>
      <c r="B378" s="45"/>
      <c r="C378" s="46">
        <f>IF(B378&lt;&gt;"",VLOOKUP(B378,'Tipo Projeto'!$A$3:$B$35,2,0),0)</f>
        <v>0</v>
      </c>
      <c r="D378" s="47"/>
      <c r="E378" s="47"/>
      <c r="F378" s="48"/>
      <c r="G378" s="47"/>
      <c r="H378" s="49"/>
      <c r="I378" s="50"/>
      <c r="J378" s="51"/>
      <c r="K378" s="52"/>
      <c r="L378" s="53" t="str">
        <f t="shared" si="78"/>
        <v/>
      </c>
      <c r="M378" s="48" t="str">
        <f t="shared" si="79"/>
        <v/>
      </c>
      <c r="N378" s="54" t="str">
        <f t="shared" si="80"/>
        <v/>
      </c>
      <c r="O378" s="55">
        <f t="shared" si="81"/>
        <v>0</v>
      </c>
      <c r="P378" s="55">
        <f t="shared" si="82"/>
        <v>0</v>
      </c>
      <c r="Q378" s="54">
        <f t="shared" si="83"/>
        <v>0</v>
      </c>
      <c r="R378" s="47"/>
      <c r="T378" s="57"/>
      <c r="U378" s="45"/>
      <c r="V378" s="46">
        <f>IF(U378&lt;&gt;"",VLOOKUP(U378,'Tipo Projeto'!$A$3:$B$35,2,0),0)</f>
        <v>0</v>
      </c>
      <c r="W378" s="47"/>
      <c r="X378" s="49"/>
      <c r="Y378" s="50"/>
      <c r="Z378" s="51"/>
      <c r="AA378" s="52"/>
      <c r="AB378" s="53" t="str">
        <f t="shared" si="84"/>
        <v/>
      </c>
      <c r="AC378" s="48" t="str">
        <f t="shared" si="85"/>
        <v/>
      </c>
      <c r="AD378" s="54" t="str">
        <f t="shared" si="86"/>
        <v/>
      </c>
      <c r="AE378" s="55">
        <f t="shared" si="87"/>
        <v>0</v>
      </c>
      <c r="AF378" s="55">
        <f t="shared" si="88"/>
        <v>0</v>
      </c>
      <c r="AG378" s="58">
        <f t="shared" si="89"/>
        <v>0</v>
      </c>
      <c r="AH378" s="47"/>
      <c r="AJ378" s="47"/>
      <c r="AL378" s="47"/>
      <c r="AM378" s="47" t="str">
        <f t="shared" si="90"/>
        <v/>
      </c>
    </row>
    <row r="379" spans="1:39" s="56" customFormat="1" ht="24.75" customHeight="1">
      <c r="A379" s="44"/>
      <c r="B379" s="45"/>
      <c r="C379" s="46">
        <f>IF(B379&lt;&gt;"",VLOOKUP(B379,'Tipo Projeto'!$A$3:$B$35,2,0),0)</f>
        <v>0</v>
      </c>
      <c r="D379" s="47"/>
      <c r="E379" s="47"/>
      <c r="F379" s="48"/>
      <c r="G379" s="47"/>
      <c r="H379" s="49"/>
      <c r="I379" s="50"/>
      <c r="J379" s="51"/>
      <c r="K379" s="52"/>
      <c r="L379" s="53" t="str">
        <f t="shared" si="78"/>
        <v/>
      </c>
      <c r="M379" s="48" t="str">
        <f t="shared" si="79"/>
        <v/>
      </c>
      <c r="N379" s="54" t="str">
        <f t="shared" si="80"/>
        <v/>
      </c>
      <c r="O379" s="55">
        <f t="shared" si="81"/>
        <v>0</v>
      </c>
      <c r="P379" s="55">
        <f t="shared" si="82"/>
        <v>0</v>
      </c>
      <c r="Q379" s="54">
        <f t="shared" si="83"/>
        <v>0</v>
      </c>
      <c r="R379" s="47"/>
      <c r="T379" s="57"/>
      <c r="U379" s="45"/>
      <c r="V379" s="46">
        <f>IF(U379&lt;&gt;"",VLOOKUP(U379,'Tipo Projeto'!$A$3:$B$35,2,0),0)</f>
        <v>0</v>
      </c>
      <c r="W379" s="47"/>
      <c r="X379" s="49"/>
      <c r="Y379" s="50"/>
      <c r="Z379" s="51"/>
      <c r="AA379" s="52"/>
      <c r="AB379" s="53" t="str">
        <f t="shared" si="84"/>
        <v/>
      </c>
      <c r="AC379" s="48" t="str">
        <f t="shared" si="85"/>
        <v/>
      </c>
      <c r="AD379" s="54" t="str">
        <f t="shared" si="86"/>
        <v/>
      </c>
      <c r="AE379" s="55">
        <f t="shared" si="87"/>
        <v>0</v>
      </c>
      <c r="AF379" s="55">
        <f t="shared" si="88"/>
        <v>0</v>
      </c>
      <c r="AG379" s="58">
        <f t="shared" si="89"/>
        <v>0</v>
      </c>
      <c r="AH379" s="47"/>
      <c r="AJ379" s="47"/>
      <c r="AL379" s="47"/>
      <c r="AM379" s="47" t="str">
        <f t="shared" si="90"/>
        <v/>
      </c>
    </row>
    <row r="380" spans="1:39" s="56" customFormat="1" ht="24.75" customHeight="1">
      <c r="A380" s="44"/>
      <c r="B380" s="45"/>
      <c r="C380" s="46">
        <f>IF(B380&lt;&gt;"",VLOOKUP(B380,'Tipo Projeto'!$A$3:$B$35,2,0),0)</f>
        <v>0</v>
      </c>
      <c r="D380" s="47"/>
      <c r="E380" s="47"/>
      <c r="F380" s="48"/>
      <c r="G380" s="47"/>
      <c r="H380" s="49"/>
      <c r="I380" s="50"/>
      <c r="J380" s="51"/>
      <c r="K380" s="52"/>
      <c r="L380" s="53" t="str">
        <f t="shared" si="78"/>
        <v/>
      </c>
      <c r="M380" s="48" t="str">
        <f t="shared" si="79"/>
        <v/>
      </c>
      <c r="N380" s="54" t="str">
        <f t="shared" si="80"/>
        <v/>
      </c>
      <c r="O380" s="55">
        <f t="shared" si="81"/>
        <v>0</v>
      </c>
      <c r="P380" s="55">
        <f t="shared" si="82"/>
        <v>0</v>
      </c>
      <c r="Q380" s="54">
        <f t="shared" si="83"/>
        <v>0</v>
      </c>
      <c r="R380" s="47"/>
      <c r="T380" s="57"/>
      <c r="U380" s="45"/>
      <c r="V380" s="46">
        <f>IF(U380&lt;&gt;"",VLOOKUP(U380,'Tipo Projeto'!$A$3:$B$35,2,0),0)</f>
        <v>0</v>
      </c>
      <c r="W380" s="47"/>
      <c r="X380" s="49"/>
      <c r="Y380" s="50"/>
      <c r="Z380" s="51"/>
      <c r="AA380" s="52"/>
      <c r="AB380" s="53" t="str">
        <f t="shared" si="84"/>
        <v/>
      </c>
      <c r="AC380" s="48" t="str">
        <f t="shared" si="85"/>
        <v/>
      </c>
      <c r="AD380" s="54" t="str">
        <f t="shared" si="86"/>
        <v/>
      </c>
      <c r="AE380" s="55">
        <f t="shared" si="87"/>
        <v>0</v>
      </c>
      <c r="AF380" s="55">
        <f t="shared" si="88"/>
        <v>0</v>
      </c>
      <c r="AG380" s="58">
        <f t="shared" si="89"/>
        <v>0</v>
      </c>
      <c r="AH380" s="47"/>
      <c r="AJ380" s="47"/>
      <c r="AL380" s="47"/>
      <c r="AM380" s="47" t="str">
        <f t="shared" si="90"/>
        <v/>
      </c>
    </row>
    <row r="381" spans="1:39" s="56" customFormat="1" ht="24.75" customHeight="1">
      <c r="A381" s="44"/>
      <c r="B381" s="45"/>
      <c r="C381" s="46">
        <f>IF(B381&lt;&gt;"",VLOOKUP(B381,'Tipo Projeto'!$A$3:$B$35,2,0),0)</f>
        <v>0</v>
      </c>
      <c r="D381" s="47"/>
      <c r="E381" s="47"/>
      <c r="F381" s="48"/>
      <c r="G381" s="47"/>
      <c r="H381" s="49"/>
      <c r="I381" s="50"/>
      <c r="J381" s="51"/>
      <c r="K381" s="52"/>
      <c r="L381" s="53" t="str">
        <f t="shared" ref="L381:L444" si="91">IF(G381="EE",IF(OR(AND(OR(J381=1,J381=0),H381&gt;0,H381&lt;5),AND(OR(J381=1,J381=0),H381&gt;4,H381&lt;16),AND(J381=2,H381&gt;0,H381&lt;5)),"Simples",IF(OR(AND(OR(J381=1,J381=0),H381&gt;15),AND(J381=2,H381&gt;4,H381&lt;16),AND(J381&gt;2,H381&gt;0,H381&lt;5)),"Médio",IF(OR(AND(J381=2,H381&gt;15),AND(J381&gt;2,H381&gt;4,H381&lt;16),AND(J381&gt;2,H381&gt;15)),"Complexo",""))), IF(OR(G381="CE",G381="SE"),IF(OR(AND(OR(J381=1,J381=0),H381&gt;0,H381&lt;6),AND(OR(J381=1,J381=0),H381&gt;5,H381&lt;20),AND(J381&gt;1,J381&lt;4,H381&gt;0,H381&lt;6)),"Simples",IF(OR(AND(OR(J381=1,J381=0),H381&gt;19),AND(J381&gt;1,J381&lt;4,H381&gt;5,H381&lt;20),AND(J381&gt;3,H381&gt;0,H381&lt;6)),"Médio",IF(OR(AND(J381&gt;1,J381&lt;4,H381&gt;19),AND(J381&gt;3,H381&gt;5,H381&lt;20),AND(J381&gt;3,H381&gt;19)),"Complexo",""))),""))</f>
        <v/>
      </c>
      <c r="M381" s="48" t="str">
        <f t="shared" ref="M381:M444" si="92">IF(G381="ALI",IF(OR(AND(OR(J381=1,J381=0),H381&gt;0,H381&lt;20),AND(OR(J381=1,J381=0),H381&gt;19,H381&lt;51),AND(J381&gt;1,J381&lt;6,H381&gt;0,H381&lt;20)),"Simples",IF(OR(AND(OR(J381=1,J381=0),H381&gt;50),AND(J381&gt;1,J381&lt;6,H381&gt;19,H381&lt;51),AND(J381&gt;5,H381&gt;0,H381&lt;20)),"Médio",IF(OR(AND(J381&gt;1,J381&lt;6,H381&gt;50),AND(J381&gt;5,H381&gt;19,H381&lt;51),AND(J381&gt;5,H381&gt;50)),"Complexo",""))), IF(G381="AIE",IF(OR(AND(OR(J381=1, J381=0),H381&gt;0,H381&lt;20),AND(OR(J381=1, J381=0),H381&gt;19,H381&lt;51),AND(J381&gt;1,J381&lt;6,H381&gt;0,H381&lt;20)),"Simples",IF(OR(AND(OR(J381=1, J381=0),H381&gt;50),AND(J381&gt;1,J381&lt;6,H381&gt;19,H381&lt;51),AND(J381&gt;5,H381&gt;0,H381&lt;20)),"Médio",IF(OR(AND(J381&gt;1,J381&lt;6,H381&gt;50),AND(J381&gt;5,H381&gt;19,H381&lt;51),AND(J381&gt;5,H381&gt;50)),"Complexo",""))),""))</f>
        <v/>
      </c>
      <c r="N381" s="54" t="str">
        <f t="shared" ref="N381:N444" si="93">IF(L381="",M381,IF(M381="",L381,""))</f>
        <v/>
      </c>
      <c r="O381" s="55">
        <f t="shared" ref="O381:O444" si="94">IF(AND(OR(G381="EE",G381="CE"),N381="Simples"),3, IF(AND(OR(G381="EE",G381="CE"),N381="Médio"),4, IF(AND(OR(G381="EE",G381="CE"),N381="Complexo"),6, IF(AND(G381="SE",N381="Simples"),4, IF(AND(G381="SE",N381="Médio"),5, IF(AND(G381="SE",N381="Complexo"),7,0))))))</f>
        <v>0</v>
      </c>
      <c r="P381" s="55">
        <f t="shared" ref="P381:P444" si="95">IF(AND(G381="ALI",M381="Simples"),7, IF(AND(G381="ALI",M381="Médio"),10, IF(AND(G381="ALI",M381="Complexo"),15, IF(AND(G381="AIE",M381="Simples"),5, IF(AND(G381="AIE",M381="Médio"),7, IF(AND(G381="AIE",M381="Complexo"),10,0))))))</f>
        <v>0</v>
      </c>
      <c r="Q381" s="54">
        <f t="shared" ref="Q381:Q444" si="96">IF(B381&lt;&gt;"Manutenção em interface",IF(B381&lt;&gt;"Desenv., Manutenção e Publicação de Páginas Estáticas",(O381+P381)*C381,C381),C381)</f>
        <v>0</v>
      </c>
      <c r="R381" s="47"/>
      <c r="T381" s="57"/>
      <c r="U381" s="45"/>
      <c r="V381" s="46">
        <f>IF(U381&lt;&gt;"",VLOOKUP(U381,'Tipo Projeto'!$A$3:$B$35,2,0),0)</f>
        <v>0</v>
      </c>
      <c r="W381" s="47"/>
      <c r="X381" s="49"/>
      <c r="Y381" s="50"/>
      <c r="Z381" s="51"/>
      <c r="AA381" s="52"/>
      <c r="AB381" s="53" t="str">
        <f t="shared" ref="AB381:AB444" si="97">IF(W381="EE",IF(OR(AND(OR(Z381=1,Z381=0),X381&gt;0,X381&lt;5),AND(OR(Z381=1,Z381=0),X381&gt;4,X381&lt;16),AND(Z381=2,X381&gt;0,X381&lt;5)),"Simples",IF(OR(AND(OR(Z381=1,Z381=0),X381&gt;15),AND(Z381=2,X381&gt;4,X381&lt;16),AND(Z381&gt;2,X381&gt;0,X381&lt;5)),"Médio",IF(OR(AND(Z381=2,X381&gt;15),AND(Z381&gt;2,X381&gt;4,X381&lt;16),AND(Z381&gt;2,X381&gt;15)),"Complexo",""))), IF(OR(W381="CE",W381="SE"),IF(OR(AND(OR(Z381=1,Z381=0),X381&gt;0,X381&lt;6),AND(OR(Z381=1,Z381=0),X381&gt;5,X381&lt;20),AND(Z381&gt;1,Z381&lt;4,X381&gt;0,X381&lt;6)),"Simples",IF(OR(AND(OR(Z381=1,Z381=0),X381&gt;19),AND(Z381&gt;1,Z381&lt;4,X381&gt;5,X381&lt;20),AND(Z381&gt;3,X381&gt;0,X381&lt;6)),"Médio",IF(OR(AND(Z381&gt;1,Z381&lt;4,X381&gt;19),AND(Z381&gt;3,X381&gt;5,X381&lt;20),AND(Z381&gt;3,X381&gt;19)),"Complexo",""))),""))</f>
        <v/>
      </c>
      <c r="AC381" s="48" t="str">
        <f t="shared" ref="AC381:AC444" si="98">IF(W381="ALI",IF(OR(AND(OR(Z381=1,Z381=0),X381&gt;0,X381&lt;20),AND(OR(Z381=1,Z381=0),X381&gt;19,X381&lt;51),AND(Z381&gt;1,Z381&lt;6,X381&gt;0,X381&lt;20)),"Simples",IF(OR(AND(OR(Z381=1,Z381=0),X381&gt;50),AND(Z381&gt;1,Z381&lt;6,X381&gt;19,X381&lt;51),AND(Z381&gt;5,X381&gt;0,X381&lt;20)),"Médio",IF(OR(AND(Z381&gt;1,Z381&lt;6,X381&gt;50),AND(Z381&gt;5,X381&gt;19,X381&lt;51),AND(Z381&gt;5,X381&gt;50)),"Complexo",""))), IF(W381="AIE",IF(OR(AND(OR(Z381=1, Z381=0),X381&gt;0,X381&lt;20),AND(OR(Z381=1, Z381=0),X381&gt;19,X381&lt;51),AND(Z381&gt;1,Z381&lt;6,X381&gt;0,X381&lt;20)),"Simples",IF(OR(AND(OR(Z381=1, Z381=0),X381&gt;50),AND(Z381&gt;1,Z381&lt;6,X381&gt;19,X381&lt;51),AND(Z381&gt;5,X381&gt;0,X381&lt;20)),"Médio",IF(OR(AND(Z381&gt;1,Z381&lt;6,X381&gt;50),AND(Z381&gt;5,X381&gt;19,X381&lt;51),AND(Z381&gt;5,X381&gt;50)),"Complexo",""))),""))</f>
        <v/>
      </c>
      <c r="AD381" s="54" t="str">
        <f t="shared" ref="AD381:AD444" si="99">IF(AB381="",AC381,IF(AC381="",AB381,""))</f>
        <v/>
      </c>
      <c r="AE381" s="55">
        <f t="shared" ref="AE381:AE444" si="100">IF(AND(OR(W381="EE",W381="CE"),AD381="Simples"),3, IF(AND(OR(W381="EE",W381="CE"),AD381="Médio"),4, IF(AND(OR(W381="EE",W381="CE"),AD381="Complexo"),6, IF(AND(W381="SE",AD381="Simples"),4, IF(AND(W381="SE",AD381="Médio"),5, IF(AND(W381="SE",AD381="Complexo"),7,0))))))</f>
        <v>0</v>
      </c>
      <c r="AF381" s="55">
        <f t="shared" ref="AF381:AF444" si="101">IF(AND(W381="ALI",AC381="Simples"),7, IF(AND(W381="ALI",AC381="Médio"),10, IF(AND(W381="ALI",AC381="Complexo"),15, IF(AND(W381="AIE",AC381="Simples"),5, IF(AND(W381="AIE",AC381="Médio"),7, IF(AND(W381="AIE",AC381="Complexo"),10,0))))))</f>
        <v>0</v>
      </c>
      <c r="AG381" s="58">
        <f t="shared" ref="AG381:AG444" si="102">IF(T381="OK",Q381,( IF(U381&lt;&gt;"Manutenção em interface",IF(U381&lt;&gt;"Desenv., Manutenção e Publicação de Páginas Estáticas",(AE381+AF381)*V381,V381),V381)))</f>
        <v>0</v>
      </c>
      <c r="AH381" s="47"/>
      <c r="AJ381" s="47"/>
      <c r="AL381" s="47"/>
      <c r="AM381" s="47" t="str">
        <f t="shared" ref="AM381:AM444" si="103">IF(AG381=0,"",IF(AG381=Q381,"OK","Divergente"))</f>
        <v/>
      </c>
    </row>
    <row r="382" spans="1:39" s="56" customFormat="1" ht="24.75" customHeight="1">
      <c r="A382" s="44"/>
      <c r="B382" s="45"/>
      <c r="C382" s="46">
        <f>IF(B382&lt;&gt;"",VLOOKUP(B382,'Tipo Projeto'!$A$3:$B$35,2,0),0)</f>
        <v>0</v>
      </c>
      <c r="D382" s="47"/>
      <c r="E382" s="47"/>
      <c r="F382" s="48"/>
      <c r="G382" s="47"/>
      <c r="H382" s="49"/>
      <c r="I382" s="50"/>
      <c r="J382" s="51"/>
      <c r="K382" s="52"/>
      <c r="L382" s="53" t="str">
        <f t="shared" si="91"/>
        <v/>
      </c>
      <c r="M382" s="48" t="str">
        <f t="shared" si="92"/>
        <v/>
      </c>
      <c r="N382" s="54" t="str">
        <f t="shared" si="93"/>
        <v/>
      </c>
      <c r="O382" s="55">
        <f t="shared" si="94"/>
        <v>0</v>
      </c>
      <c r="P382" s="55">
        <f t="shared" si="95"/>
        <v>0</v>
      </c>
      <c r="Q382" s="54">
        <f t="shared" si="96"/>
        <v>0</v>
      </c>
      <c r="R382" s="47"/>
      <c r="T382" s="57"/>
      <c r="U382" s="45"/>
      <c r="V382" s="46">
        <f>IF(U382&lt;&gt;"",VLOOKUP(U382,'Tipo Projeto'!$A$3:$B$35,2,0),0)</f>
        <v>0</v>
      </c>
      <c r="W382" s="47"/>
      <c r="X382" s="49"/>
      <c r="Y382" s="50"/>
      <c r="Z382" s="51"/>
      <c r="AA382" s="52"/>
      <c r="AB382" s="53" t="str">
        <f t="shared" si="97"/>
        <v/>
      </c>
      <c r="AC382" s="48" t="str">
        <f t="shared" si="98"/>
        <v/>
      </c>
      <c r="AD382" s="54" t="str">
        <f t="shared" si="99"/>
        <v/>
      </c>
      <c r="AE382" s="55">
        <f t="shared" si="100"/>
        <v>0</v>
      </c>
      <c r="AF382" s="55">
        <f t="shared" si="101"/>
        <v>0</v>
      </c>
      <c r="AG382" s="58">
        <f t="shared" si="102"/>
        <v>0</v>
      </c>
      <c r="AH382" s="47"/>
      <c r="AJ382" s="47"/>
      <c r="AL382" s="47"/>
      <c r="AM382" s="47" t="str">
        <f t="shared" si="103"/>
        <v/>
      </c>
    </row>
    <row r="383" spans="1:39" s="56" customFormat="1" ht="24.75" customHeight="1">
      <c r="A383" s="44"/>
      <c r="B383" s="45"/>
      <c r="C383" s="46">
        <f>IF(B383&lt;&gt;"",VLOOKUP(B383,'Tipo Projeto'!$A$3:$B$35,2,0),0)</f>
        <v>0</v>
      </c>
      <c r="D383" s="47"/>
      <c r="E383" s="47"/>
      <c r="F383" s="48"/>
      <c r="G383" s="47"/>
      <c r="H383" s="49"/>
      <c r="I383" s="50"/>
      <c r="J383" s="51"/>
      <c r="K383" s="52"/>
      <c r="L383" s="53" t="str">
        <f t="shared" si="91"/>
        <v/>
      </c>
      <c r="M383" s="48" t="str">
        <f t="shared" si="92"/>
        <v/>
      </c>
      <c r="N383" s="54" t="str">
        <f t="shared" si="93"/>
        <v/>
      </c>
      <c r="O383" s="55">
        <f t="shared" si="94"/>
        <v>0</v>
      </c>
      <c r="P383" s="55">
        <f t="shared" si="95"/>
        <v>0</v>
      </c>
      <c r="Q383" s="54">
        <f t="shared" si="96"/>
        <v>0</v>
      </c>
      <c r="R383" s="47"/>
      <c r="T383" s="57"/>
      <c r="U383" s="45"/>
      <c r="V383" s="46">
        <f>IF(U383&lt;&gt;"",VLOOKUP(U383,'Tipo Projeto'!$A$3:$B$35,2,0),0)</f>
        <v>0</v>
      </c>
      <c r="W383" s="47"/>
      <c r="X383" s="49"/>
      <c r="Y383" s="50"/>
      <c r="Z383" s="51"/>
      <c r="AA383" s="52"/>
      <c r="AB383" s="53" t="str">
        <f t="shared" si="97"/>
        <v/>
      </c>
      <c r="AC383" s="48" t="str">
        <f t="shared" si="98"/>
        <v/>
      </c>
      <c r="AD383" s="54" t="str">
        <f t="shared" si="99"/>
        <v/>
      </c>
      <c r="AE383" s="55">
        <f t="shared" si="100"/>
        <v>0</v>
      </c>
      <c r="AF383" s="55">
        <f t="shared" si="101"/>
        <v>0</v>
      </c>
      <c r="AG383" s="58">
        <f t="shared" si="102"/>
        <v>0</v>
      </c>
      <c r="AH383" s="47"/>
      <c r="AJ383" s="47"/>
      <c r="AL383" s="47"/>
      <c r="AM383" s="47" t="str">
        <f t="shared" si="103"/>
        <v/>
      </c>
    </row>
    <row r="384" spans="1:39" s="56" customFormat="1" ht="24.75" customHeight="1">
      <c r="A384" s="44"/>
      <c r="B384" s="45"/>
      <c r="C384" s="46">
        <f>IF(B384&lt;&gt;"",VLOOKUP(B384,'Tipo Projeto'!$A$3:$B$35,2,0),0)</f>
        <v>0</v>
      </c>
      <c r="D384" s="47"/>
      <c r="E384" s="47"/>
      <c r="F384" s="48"/>
      <c r="G384" s="47"/>
      <c r="H384" s="49"/>
      <c r="I384" s="50"/>
      <c r="J384" s="51"/>
      <c r="K384" s="52"/>
      <c r="L384" s="53" t="str">
        <f t="shared" si="91"/>
        <v/>
      </c>
      <c r="M384" s="48" t="str">
        <f t="shared" si="92"/>
        <v/>
      </c>
      <c r="N384" s="54" t="str">
        <f t="shared" si="93"/>
        <v/>
      </c>
      <c r="O384" s="55">
        <f t="shared" si="94"/>
        <v>0</v>
      </c>
      <c r="P384" s="55">
        <f t="shared" si="95"/>
        <v>0</v>
      </c>
      <c r="Q384" s="54">
        <f t="shared" si="96"/>
        <v>0</v>
      </c>
      <c r="R384" s="47"/>
      <c r="T384" s="57"/>
      <c r="U384" s="45"/>
      <c r="V384" s="46">
        <f>IF(U384&lt;&gt;"",VLOOKUP(U384,'Tipo Projeto'!$A$3:$B$35,2,0),0)</f>
        <v>0</v>
      </c>
      <c r="W384" s="47"/>
      <c r="X384" s="49"/>
      <c r="Y384" s="50"/>
      <c r="Z384" s="51"/>
      <c r="AA384" s="52"/>
      <c r="AB384" s="53" t="str">
        <f t="shared" si="97"/>
        <v/>
      </c>
      <c r="AC384" s="48" t="str">
        <f t="shared" si="98"/>
        <v/>
      </c>
      <c r="AD384" s="54" t="str">
        <f t="shared" si="99"/>
        <v/>
      </c>
      <c r="AE384" s="55">
        <f t="shared" si="100"/>
        <v>0</v>
      </c>
      <c r="AF384" s="55">
        <f t="shared" si="101"/>
        <v>0</v>
      </c>
      <c r="AG384" s="58">
        <f t="shared" si="102"/>
        <v>0</v>
      </c>
      <c r="AH384" s="47"/>
      <c r="AJ384" s="47"/>
      <c r="AL384" s="47"/>
      <c r="AM384" s="47" t="str">
        <f t="shared" si="103"/>
        <v/>
      </c>
    </row>
    <row r="385" spans="1:39" s="56" customFormat="1" ht="24.75" customHeight="1">
      <c r="A385" s="44"/>
      <c r="B385" s="45"/>
      <c r="C385" s="46">
        <f>IF(B385&lt;&gt;"",VLOOKUP(B385,'Tipo Projeto'!$A$3:$B$35,2,0),0)</f>
        <v>0</v>
      </c>
      <c r="D385" s="47"/>
      <c r="E385" s="47"/>
      <c r="F385" s="48"/>
      <c r="G385" s="47"/>
      <c r="H385" s="49"/>
      <c r="I385" s="50"/>
      <c r="J385" s="51"/>
      <c r="K385" s="52"/>
      <c r="L385" s="53" t="str">
        <f t="shared" si="91"/>
        <v/>
      </c>
      <c r="M385" s="48" t="str">
        <f t="shared" si="92"/>
        <v/>
      </c>
      <c r="N385" s="54" t="str">
        <f t="shared" si="93"/>
        <v/>
      </c>
      <c r="O385" s="55">
        <f t="shared" si="94"/>
        <v>0</v>
      </c>
      <c r="P385" s="55">
        <f t="shared" si="95"/>
        <v>0</v>
      </c>
      <c r="Q385" s="54">
        <f t="shared" si="96"/>
        <v>0</v>
      </c>
      <c r="R385" s="47"/>
      <c r="T385" s="57"/>
      <c r="U385" s="45"/>
      <c r="V385" s="46">
        <f>IF(U385&lt;&gt;"",VLOOKUP(U385,'Tipo Projeto'!$A$3:$B$35,2,0),0)</f>
        <v>0</v>
      </c>
      <c r="W385" s="47"/>
      <c r="X385" s="49"/>
      <c r="Y385" s="50"/>
      <c r="Z385" s="51"/>
      <c r="AA385" s="52"/>
      <c r="AB385" s="53" t="str">
        <f t="shared" si="97"/>
        <v/>
      </c>
      <c r="AC385" s="48" t="str">
        <f t="shared" si="98"/>
        <v/>
      </c>
      <c r="AD385" s="54" t="str">
        <f t="shared" si="99"/>
        <v/>
      </c>
      <c r="AE385" s="55">
        <f t="shared" si="100"/>
        <v>0</v>
      </c>
      <c r="AF385" s="55">
        <f t="shared" si="101"/>
        <v>0</v>
      </c>
      <c r="AG385" s="58">
        <f t="shared" si="102"/>
        <v>0</v>
      </c>
      <c r="AH385" s="47"/>
      <c r="AJ385" s="47"/>
      <c r="AL385" s="47"/>
      <c r="AM385" s="47" t="str">
        <f t="shared" si="103"/>
        <v/>
      </c>
    </row>
    <row r="386" spans="1:39" s="56" customFormat="1" ht="24.75" customHeight="1">
      <c r="A386" s="44"/>
      <c r="B386" s="45"/>
      <c r="C386" s="46">
        <f>IF(B386&lt;&gt;"",VLOOKUP(B386,'Tipo Projeto'!$A$3:$B$35,2,0),0)</f>
        <v>0</v>
      </c>
      <c r="D386" s="47"/>
      <c r="E386" s="47"/>
      <c r="F386" s="48"/>
      <c r="G386" s="47"/>
      <c r="H386" s="49"/>
      <c r="I386" s="50"/>
      <c r="J386" s="51"/>
      <c r="K386" s="52"/>
      <c r="L386" s="53" t="str">
        <f t="shared" si="91"/>
        <v/>
      </c>
      <c r="M386" s="48" t="str">
        <f t="shared" si="92"/>
        <v/>
      </c>
      <c r="N386" s="54" t="str">
        <f t="shared" si="93"/>
        <v/>
      </c>
      <c r="O386" s="55">
        <f t="shared" si="94"/>
        <v>0</v>
      </c>
      <c r="P386" s="55">
        <f t="shared" si="95"/>
        <v>0</v>
      </c>
      <c r="Q386" s="54">
        <f t="shared" si="96"/>
        <v>0</v>
      </c>
      <c r="R386" s="47"/>
      <c r="T386" s="57"/>
      <c r="U386" s="45"/>
      <c r="V386" s="46">
        <f>IF(U386&lt;&gt;"",VLOOKUP(U386,'Tipo Projeto'!$A$3:$B$35,2,0),0)</f>
        <v>0</v>
      </c>
      <c r="W386" s="47"/>
      <c r="X386" s="49"/>
      <c r="Y386" s="50"/>
      <c r="Z386" s="51"/>
      <c r="AA386" s="52"/>
      <c r="AB386" s="53" t="str">
        <f t="shared" si="97"/>
        <v/>
      </c>
      <c r="AC386" s="48" t="str">
        <f t="shared" si="98"/>
        <v/>
      </c>
      <c r="AD386" s="54" t="str">
        <f t="shared" si="99"/>
        <v/>
      </c>
      <c r="AE386" s="55">
        <f t="shared" si="100"/>
        <v>0</v>
      </c>
      <c r="AF386" s="55">
        <f t="shared" si="101"/>
        <v>0</v>
      </c>
      <c r="AG386" s="58">
        <f t="shared" si="102"/>
        <v>0</v>
      </c>
      <c r="AH386" s="47"/>
      <c r="AJ386" s="47"/>
      <c r="AL386" s="47"/>
      <c r="AM386" s="47" t="str">
        <f t="shared" si="103"/>
        <v/>
      </c>
    </row>
    <row r="387" spans="1:39" s="56" customFormat="1" ht="24.75" customHeight="1">
      <c r="A387" s="44"/>
      <c r="B387" s="45"/>
      <c r="C387" s="46">
        <f>IF(B387&lt;&gt;"",VLOOKUP(B387,'Tipo Projeto'!$A$3:$B$35,2,0),0)</f>
        <v>0</v>
      </c>
      <c r="D387" s="47"/>
      <c r="E387" s="47"/>
      <c r="F387" s="48"/>
      <c r="G387" s="47"/>
      <c r="H387" s="49"/>
      <c r="I387" s="50"/>
      <c r="J387" s="51"/>
      <c r="K387" s="52"/>
      <c r="L387" s="53" t="str">
        <f t="shared" si="91"/>
        <v/>
      </c>
      <c r="M387" s="48" t="str">
        <f t="shared" si="92"/>
        <v/>
      </c>
      <c r="N387" s="54" t="str">
        <f t="shared" si="93"/>
        <v/>
      </c>
      <c r="O387" s="55">
        <f t="shared" si="94"/>
        <v>0</v>
      </c>
      <c r="P387" s="55">
        <f t="shared" si="95"/>
        <v>0</v>
      </c>
      <c r="Q387" s="54">
        <f t="shared" si="96"/>
        <v>0</v>
      </c>
      <c r="R387" s="47"/>
      <c r="T387" s="57"/>
      <c r="U387" s="45"/>
      <c r="V387" s="46">
        <f>IF(U387&lt;&gt;"",VLOOKUP(U387,'Tipo Projeto'!$A$3:$B$35,2,0),0)</f>
        <v>0</v>
      </c>
      <c r="W387" s="47"/>
      <c r="X387" s="49"/>
      <c r="Y387" s="50"/>
      <c r="Z387" s="51"/>
      <c r="AA387" s="52"/>
      <c r="AB387" s="53" t="str">
        <f t="shared" si="97"/>
        <v/>
      </c>
      <c r="AC387" s="48" t="str">
        <f t="shared" si="98"/>
        <v/>
      </c>
      <c r="AD387" s="54" t="str">
        <f t="shared" si="99"/>
        <v/>
      </c>
      <c r="AE387" s="55">
        <f t="shared" si="100"/>
        <v>0</v>
      </c>
      <c r="AF387" s="55">
        <f t="shared" si="101"/>
        <v>0</v>
      </c>
      <c r="AG387" s="58">
        <f t="shared" si="102"/>
        <v>0</v>
      </c>
      <c r="AH387" s="47"/>
      <c r="AJ387" s="47"/>
      <c r="AL387" s="47"/>
      <c r="AM387" s="47" t="str">
        <f t="shared" si="103"/>
        <v/>
      </c>
    </row>
    <row r="388" spans="1:39" s="56" customFormat="1" ht="24.75" customHeight="1">
      <c r="A388" s="44"/>
      <c r="B388" s="45"/>
      <c r="C388" s="46">
        <f>IF(B388&lt;&gt;"",VLOOKUP(B388,'Tipo Projeto'!$A$3:$B$35,2,0),0)</f>
        <v>0</v>
      </c>
      <c r="D388" s="47"/>
      <c r="E388" s="47"/>
      <c r="F388" s="48"/>
      <c r="G388" s="47"/>
      <c r="H388" s="49"/>
      <c r="I388" s="50"/>
      <c r="J388" s="51"/>
      <c r="K388" s="52"/>
      <c r="L388" s="53" t="str">
        <f t="shared" si="91"/>
        <v/>
      </c>
      <c r="M388" s="48" t="str">
        <f t="shared" si="92"/>
        <v/>
      </c>
      <c r="N388" s="54" t="str">
        <f t="shared" si="93"/>
        <v/>
      </c>
      <c r="O388" s="55">
        <f t="shared" si="94"/>
        <v>0</v>
      </c>
      <c r="P388" s="55">
        <f t="shared" si="95"/>
        <v>0</v>
      </c>
      <c r="Q388" s="54">
        <f t="shared" si="96"/>
        <v>0</v>
      </c>
      <c r="R388" s="47"/>
      <c r="T388" s="57"/>
      <c r="U388" s="45"/>
      <c r="V388" s="46">
        <f>IF(U388&lt;&gt;"",VLOOKUP(U388,'Tipo Projeto'!$A$3:$B$35,2,0),0)</f>
        <v>0</v>
      </c>
      <c r="W388" s="47"/>
      <c r="X388" s="49"/>
      <c r="Y388" s="50"/>
      <c r="Z388" s="51"/>
      <c r="AA388" s="52"/>
      <c r="AB388" s="53" t="str">
        <f t="shared" si="97"/>
        <v/>
      </c>
      <c r="AC388" s="48" t="str">
        <f t="shared" si="98"/>
        <v/>
      </c>
      <c r="AD388" s="54" t="str">
        <f t="shared" si="99"/>
        <v/>
      </c>
      <c r="AE388" s="55">
        <f t="shared" si="100"/>
        <v>0</v>
      </c>
      <c r="AF388" s="55">
        <f t="shared" si="101"/>
        <v>0</v>
      </c>
      <c r="AG388" s="58">
        <f t="shared" si="102"/>
        <v>0</v>
      </c>
      <c r="AH388" s="47"/>
      <c r="AJ388" s="47"/>
      <c r="AL388" s="47"/>
      <c r="AM388" s="47" t="str">
        <f t="shared" si="103"/>
        <v/>
      </c>
    </row>
    <row r="389" spans="1:39" s="56" customFormat="1" ht="24.75" customHeight="1">
      <c r="A389" s="44"/>
      <c r="B389" s="45"/>
      <c r="C389" s="46">
        <f>IF(B389&lt;&gt;"",VLOOKUP(B389,'Tipo Projeto'!$A$3:$B$35,2,0),0)</f>
        <v>0</v>
      </c>
      <c r="D389" s="47"/>
      <c r="E389" s="47"/>
      <c r="F389" s="48"/>
      <c r="G389" s="47"/>
      <c r="H389" s="49"/>
      <c r="I389" s="50"/>
      <c r="J389" s="51"/>
      <c r="K389" s="52"/>
      <c r="L389" s="53" t="str">
        <f t="shared" si="91"/>
        <v/>
      </c>
      <c r="M389" s="48" t="str">
        <f t="shared" si="92"/>
        <v/>
      </c>
      <c r="N389" s="54" t="str">
        <f t="shared" si="93"/>
        <v/>
      </c>
      <c r="O389" s="55">
        <f t="shared" si="94"/>
        <v>0</v>
      </c>
      <c r="P389" s="55">
        <f t="shared" si="95"/>
        <v>0</v>
      </c>
      <c r="Q389" s="54">
        <f t="shared" si="96"/>
        <v>0</v>
      </c>
      <c r="R389" s="47"/>
      <c r="T389" s="57"/>
      <c r="U389" s="45"/>
      <c r="V389" s="46">
        <f>IF(U389&lt;&gt;"",VLOOKUP(U389,'Tipo Projeto'!$A$3:$B$35,2,0),0)</f>
        <v>0</v>
      </c>
      <c r="W389" s="47"/>
      <c r="X389" s="49"/>
      <c r="Y389" s="50"/>
      <c r="Z389" s="51"/>
      <c r="AA389" s="52"/>
      <c r="AB389" s="53" t="str">
        <f t="shared" si="97"/>
        <v/>
      </c>
      <c r="AC389" s="48" t="str">
        <f t="shared" si="98"/>
        <v/>
      </c>
      <c r="AD389" s="54" t="str">
        <f t="shared" si="99"/>
        <v/>
      </c>
      <c r="AE389" s="55">
        <f t="shared" si="100"/>
        <v>0</v>
      </c>
      <c r="AF389" s="55">
        <f t="shared" si="101"/>
        <v>0</v>
      </c>
      <c r="AG389" s="58">
        <f t="shared" si="102"/>
        <v>0</v>
      </c>
      <c r="AH389" s="47"/>
      <c r="AJ389" s="47"/>
      <c r="AL389" s="47"/>
      <c r="AM389" s="47" t="str">
        <f t="shared" si="103"/>
        <v/>
      </c>
    </row>
    <row r="390" spans="1:39" s="56" customFormat="1" ht="24.75" customHeight="1">
      <c r="A390" s="44"/>
      <c r="B390" s="45"/>
      <c r="C390" s="46">
        <f>IF(B390&lt;&gt;"",VLOOKUP(B390,'Tipo Projeto'!$A$3:$B$35,2,0),0)</f>
        <v>0</v>
      </c>
      <c r="D390" s="47"/>
      <c r="E390" s="47"/>
      <c r="F390" s="48"/>
      <c r="G390" s="47"/>
      <c r="H390" s="49"/>
      <c r="I390" s="50"/>
      <c r="J390" s="51"/>
      <c r="K390" s="52"/>
      <c r="L390" s="53" t="str">
        <f t="shared" si="91"/>
        <v/>
      </c>
      <c r="M390" s="48" t="str">
        <f t="shared" si="92"/>
        <v/>
      </c>
      <c r="N390" s="54" t="str">
        <f t="shared" si="93"/>
        <v/>
      </c>
      <c r="O390" s="55">
        <f t="shared" si="94"/>
        <v>0</v>
      </c>
      <c r="P390" s="55">
        <f t="shared" si="95"/>
        <v>0</v>
      </c>
      <c r="Q390" s="54">
        <f t="shared" si="96"/>
        <v>0</v>
      </c>
      <c r="R390" s="47"/>
      <c r="T390" s="57"/>
      <c r="U390" s="45"/>
      <c r="V390" s="46">
        <f>IF(U390&lt;&gt;"",VLOOKUP(U390,'Tipo Projeto'!$A$3:$B$35,2,0),0)</f>
        <v>0</v>
      </c>
      <c r="W390" s="47"/>
      <c r="X390" s="49"/>
      <c r="Y390" s="50"/>
      <c r="Z390" s="51"/>
      <c r="AA390" s="52"/>
      <c r="AB390" s="53" t="str">
        <f t="shared" si="97"/>
        <v/>
      </c>
      <c r="AC390" s="48" t="str">
        <f t="shared" si="98"/>
        <v/>
      </c>
      <c r="AD390" s="54" t="str">
        <f t="shared" si="99"/>
        <v/>
      </c>
      <c r="AE390" s="55">
        <f t="shared" si="100"/>
        <v>0</v>
      </c>
      <c r="AF390" s="55">
        <f t="shared" si="101"/>
        <v>0</v>
      </c>
      <c r="AG390" s="58">
        <f t="shared" si="102"/>
        <v>0</v>
      </c>
      <c r="AH390" s="47"/>
      <c r="AJ390" s="47"/>
      <c r="AL390" s="47"/>
      <c r="AM390" s="47" t="str">
        <f t="shared" si="103"/>
        <v/>
      </c>
    </row>
    <row r="391" spans="1:39" s="56" customFormat="1" ht="24.75" customHeight="1">
      <c r="A391" s="44"/>
      <c r="B391" s="45"/>
      <c r="C391" s="46">
        <f>IF(B391&lt;&gt;"",VLOOKUP(B391,'Tipo Projeto'!$A$3:$B$35,2,0),0)</f>
        <v>0</v>
      </c>
      <c r="D391" s="47"/>
      <c r="E391" s="47"/>
      <c r="F391" s="48"/>
      <c r="G391" s="47"/>
      <c r="H391" s="49"/>
      <c r="I391" s="50"/>
      <c r="J391" s="51"/>
      <c r="K391" s="52"/>
      <c r="L391" s="53" t="str">
        <f t="shared" si="91"/>
        <v/>
      </c>
      <c r="M391" s="48" t="str">
        <f t="shared" si="92"/>
        <v/>
      </c>
      <c r="N391" s="54" t="str">
        <f t="shared" si="93"/>
        <v/>
      </c>
      <c r="O391" s="55">
        <f t="shared" si="94"/>
        <v>0</v>
      </c>
      <c r="P391" s="55">
        <f t="shared" si="95"/>
        <v>0</v>
      </c>
      <c r="Q391" s="54">
        <f t="shared" si="96"/>
        <v>0</v>
      </c>
      <c r="R391" s="47"/>
      <c r="T391" s="57"/>
      <c r="U391" s="45"/>
      <c r="V391" s="46">
        <f>IF(U391&lt;&gt;"",VLOOKUP(U391,'Tipo Projeto'!$A$3:$B$35,2,0),0)</f>
        <v>0</v>
      </c>
      <c r="W391" s="47"/>
      <c r="X391" s="49"/>
      <c r="Y391" s="50"/>
      <c r="Z391" s="51"/>
      <c r="AA391" s="52"/>
      <c r="AB391" s="53" t="str">
        <f t="shared" si="97"/>
        <v/>
      </c>
      <c r="AC391" s="48" t="str">
        <f t="shared" si="98"/>
        <v/>
      </c>
      <c r="AD391" s="54" t="str">
        <f t="shared" si="99"/>
        <v/>
      </c>
      <c r="AE391" s="55">
        <f t="shared" si="100"/>
        <v>0</v>
      </c>
      <c r="AF391" s="55">
        <f t="shared" si="101"/>
        <v>0</v>
      </c>
      <c r="AG391" s="58">
        <f t="shared" si="102"/>
        <v>0</v>
      </c>
      <c r="AH391" s="47"/>
      <c r="AJ391" s="47"/>
      <c r="AL391" s="47"/>
      <c r="AM391" s="47" t="str">
        <f t="shared" si="103"/>
        <v/>
      </c>
    </row>
    <row r="392" spans="1:39" s="56" customFormat="1" ht="24.75" customHeight="1">
      <c r="A392" s="44"/>
      <c r="B392" s="45"/>
      <c r="C392" s="46">
        <f>IF(B392&lt;&gt;"",VLOOKUP(B392,'Tipo Projeto'!$A$3:$B$35,2,0),0)</f>
        <v>0</v>
      </c>
      <c r="D392" s="47"/>
      <c r="E392" s="47"/>
      <c r="F392" s="48"/>
      <c r="G392" s="47"/>
      <c r="H392" s="49"/>
      <c r="I392" s="50"/>
      <c r="J392" s="51"/>
      <c r="K392" s="52"/>
      <c r="L392" s="53" t="str">
        <f t="shared" si="91"/>
        <v/>
      </c>
      <c r="M392" s="48" t="str">
        <f t="shared" si="92"/>
        <v/>
      </c>
      <c r="N392" s="54" t="str">
        <f t="shared" si="93"/>
        <v/>
      </c>
      <c r="O392" s="55">
        <f t="shared" si="94"/>
        <v>0</v>
      </c>
      <c r="P392" s="55">
        <f t="shared" si="95"/>
        <v>0</v>
      </c>
      <c r="Q392" s="54">
        <f t="shared" si="96"/>
        <v>0</v>
      </c>
      <c r="R392" s="47"/>
      <c r="T392" s="57"/>
      <c r="U392" s="45"/>
      <c r="V392" s="46">
        <f>IF(U392&lt;&gt;"",VLOOKUP(U392,'Tipo Projeto'!$A$3:$B$35,2,0),0)</f>
        <v>0</v>
      </c>
      <c r="W392" s="47"/>
      <c r="X392" s="49"/>
      <c r="Y392" s="50"/>
      <c r="Z392" s="51"/>
      <c r="AA392" s="52"/>
      <c r="AB392" s="53" t="str">
        <f t="shared" si="97"/>
        <v/>
      </c>
      <c r="AC392" s="48" t="str">
        <f t="shared" si="98"/>
        <v/>
      </c>
      <c r="AD392" s="54" t="str">
        <f t="shared" si="99"/>
        <v/>
      </c>
      <c r="AE392" s="55">
        <f t="shared" si="100"/>
        <v>0</v>
      </c>
      <c r="AF392" s="55">
        <f t="shared" si="101"/>
        <v>0</v>
      </c>
      <c r="AG392" s="58">
        <f t="shared" si="102"/>
        <v>0</v>
      </c>
      <c r="AH392" s="47"/>
      <c r="AJ392" s="47"/>
      <c r="AL392" s="47"/>
      <c r="AM392" s="47" t="str">
        <f t="shared" si="103"/>
        <v/>
      </c>
    </row>
    <row r="393" spans="1:39" s="56" customFormat="1" ht="24.75" customHeight="1">
      <c r="A393" s="44"/>
      <c r="B393" s="45"/>
      <c r="C393" s="46">
        <f>IF(B393&lt;&gt;"",VLOOKUP(B393,'Tipo Projeto'!$A$3:$B$35,2,0),0)</f>
        <v>0</v>
      </c>
      <c r="D393" s="47"/>
      <c r="E393" s="47"/>
      <c r="F393" s="48"/>
      <c r="G393" s="47"/>
      <c r="H393" s="49"/>
      <c r="I393" s="50"/>
      <c r="J393" s="51"/>
      <c r="K393" s="52"/>
      <c r="L393" s="53" t="str">
        <f t="shared" si="91"/>
        <v/>
      </c>
      <c r="M393" s="48" t="str">
        <f t="shared" si="92"/>
        <v/>
      </c>
      <c r="N393" s="54" t="str">
        <f t="shared" si="93"/>
        <v/>
      </c>
      <c r="O393" s="55">
        <f t="shared" si="94"/>
        <v>0</v>
      </c>
      <c r="P393" s="55">
        <f t="shared" si="95"/>
        <v>0</v>
      </c>
      <c r="Q393" s="54">
        <f t="shared" si="96"/>
        <v>0</v>
      </c>
      <c r="R393" s="47"/>
      <c r="T393" s="57"/>
      <c r="U393" s="45"/>
      <c r="V393" s="46">
        <f>IF(U393&lt;&gt;"",VLOOKUP(U393,'Tipo Projeto'!$A$3:$B$35,2,0),0)</f>
        <v>0</v>
      </c>
      <c r="W393" s="47"/>
      <c r="X393" s="49"/>
      <c r="Y393" s="50"/>
      <c r="Z393" s="51"/>
      <c r="AA393" s="52"/>
      <c r="AB393" s="53" t="str">
        <f t="shared" si="97"/>
        <v/>
      </c>
      <c r="AC393" s="48" t="str">
        <f t="shared" si="98"/>
        <v/>
      </c>
      <c r="AD393" s="54" t="str">
        <f t="shared" si="99"/>
        <v/>
      </c>
      <c r="AE393" s="55">
        <f t="shared" si="100"/>
        <v>0</v>
      </c>
      <c r="AF393" s="55">
        <f t="shared" si="101"/>
        <v>0</v>
      </c>
      <c r="AG393" s="58">
        <f t="shared" si="102"/>
        <v>0</v>
      </c>
      <c r="AH393" s="47"/>
      <c r="AJ393" s="47"/>
      <c r="AL393" s="47"/>
      <c r="AM393" s="47" t="str">
        <f t="shared" si="103"/>
        <v/>
      </c>
    </row>
    <row r="394" spans="1:39" s="56" customFormat="1" ht="24.75" customHeight="1">
      <c r="A394" s="44"/>
      <c r="B394" s="45"/>
      <c r="C394" s="46">
        <f>IF(B394&lt;&gt;"",VLOOKUP(B394,'Tipo Projeto'!$A$3:$B$35,2,0),0)</f>
        <v>0</v>
      </c>
      <c r="D394" s="47"/>
      <c r="E394" s="47"/>
      <c r="F394" s="48"/>
      <c r="G394" s="47"/>
      <c r="H394" s="49"/>
      <c r="I394" s="50"/>
      <c r="J394" s="51"/>
      <c r="K394" s="52"/>
      <c r="L394" s="53" t="str">
        <f t="shared" si="91"/>
        <v/>
      </c>
      <c r="M394" s="48" t="str">
        <f t="shared" si="92"/>
        <v/>
      </c>
      <c r="N394" s="54" t="str">
        <f t="shared" si="93"/>
        <v/>
      </c>
      <c r="O394" s="55">
        <f t="shared" si="94"/>
        <v>0</v>
      </c>
      <c r="P394" s="55">
        <f t="shared" si="95"/>
        <v>0</v>
      </c>
      <c r="Q394" s="54">
        <f t="shared" si="96"/>
        <v>0</v>
      </c>
      <c r="R394" s="47"/>
      <c r="T394" s="57"/>
      <c r="U394" s="45"/>
      <c r="V394" s="46">
        <f>IF(U394&lt;&gt;"",VLOOKUP(U394,'Tipo Projeto'!$A$3:$B$35,2,0),0)</f>
        <v>0</v>
      </c>
      <c r="W394" s="47"/>
      <c r="X394" s="49"/>
      <c r="Y394" s="50"/>
      <c r="Z394" s="51"/>
      <c r="AA394" s="52"/>
      <c r="AB394" s="53" t="str">
        <f t="shared" si="97"/>
        <v/>
      </c>
      <c r="AC394" s="48" t="str">
        <f t="shared" si="98"/>
        <v/>
      </c>
      <c r="AD394" s="54" t="str">
        <f t="shared" si="99"/>
        <v/>
      </c>
      <c r="AE394" s="55">
        <f t="shared" si="100"/>
        <v>0</v>
      </c>
      <c r="AF394" s="55">
        <f t="shared" si="101"/>
        <v>0</v>
      </c>
      <c r="AG394" s="58">
        <f t="shared" si="102"/>
        <v>0</v>
      </c>
      <c r="AH394" s="47"/>
      <c r="AJ394" s="47"/>
      <c r="AL394" s="47"/>
      <c r="AM394" s="47" t="str">
        <f t="shared" si="103"/>
        <v/>
      </c>
    </row>
    <row r="395" spans="1:39" s="56" customFormat="1" ht="24.75" customHeight="1">
      <c r="A395" s="44"/>
      <c r="B395" s="45"/>
      <c r="C395" s="46">
        <f>IF(B395&lt;&gt;"",VLOOKUP(B395,'Tipo Projeto'!$A$3:$B$35,2,0),0)</f>
        <v>0</v>
      </c>
      <c r="D395" s="47"/>
      <c r="E395" s="47"/>
      <c r="F395" s="48"/>
      <c r="G395" s="47"/>
      <c r="H395" s="49"/>
      <c r="I395" s="50"/>
      <c r="J395" s="51"/>
      <c r="K395" s="52"/>
      <c r="L395" s="53" t="str">
        <f t="shared" si="91"/>
        <v/>
      </c>
      <c r="M395" s="48" t="str">
        <f t="shared" si="92"/>
        <v/>
      </c>
      <c r="N395" s="54" t="str">
        <f t="shared" si="93"/>
        <v/>
      </c>
      <c r="O395" s="55">
        <f t="shared" si="94"/>
        <v>0</v>
      </c>
      <c r="P395" s="55">
        <f t="shared" si="95"/>
        <v>0</v>
      </c>
      <c r="Q395" s="54">
        <f t="shared" si="96"/>
        <v>0</v>
      </c>
      <c r="R395" s="47"/>
      <c r="T395" s="57"/>
      <c r="U395" s="45"/>
      <c r="V395" s="46">
        <f>IF(U395&lt;&gt;"",VLOOKUP(U395,'Tipo Projeto'!$A$3:$B$35,2,0),0)</f>
        <v>0</v>
      </c>
      <c r="W395" s="47"/>
      <c r="X395" s="49"/>
      <c r="Y395" s="50"/>
      <c r="Z395" s="51"/>
      <c r="AA395" s="52"/>
      <c r="AB395" s="53" t="str">
        <f t="shared" si="97"/>
        <v/>
      </c>
      <c r="AC395" s="48" t="str">
        <f t="shared" si="98"/>
        <v/>
      </c>
      <c r="AD395" s="54" t="str">
        <f t="shared" si="99"/>
        <v/>
      </c>
      <c r="AE395" s="55">
        <f t="shared" si="100"/>
        <v>0</v>
      </c>
      <c r="AF395" s="55">
        <f t="shared" si="101"/>
        <v>0</v>
      </c>
      <c r="AG395" s="58">
        <f t="shared" si="102"/>
        <v>0</v>
      </c>
      <c r="AH395" s="47"/>
      <c r="AJ395" s="47"/>
      <c r="AL395" s="47"/>
      <c r="AM395" s="47" t="str">
        <f t="shared" si="103"/>
        <v/>
      </c>
    </row>
    <row r="396" spans="1:39" s="56" customFormat="1" ht="24.75" customHeight="1">
      <c r="A396" s="44"/>
      <c r="B396" s="45"/>
      <c r="C396" s="46">
        <f>IF(B396&lt;&gt;"",VLOOKUP(B396,'Tipo Projeto'!$A$3:$B$35,2,0),0)</f>
        <v>0</v>
      </c>
      <c r="D396" s="47"/>
      <c r="E396" s="47"/>
      <c r="F396" s="48"/>
      <c r="G396" s="47"/>
      <c r="H396" s="49"/>
      <c r="I396" s="50"/>
      <c r="J396" s="51"/>
      <c r="K396" s="52"/>
      <c r="L396" s="53" t="str">
        <f t="shared" si="91"/>
        <v/>
      </c>
      <c r="M396" s="48" t="str">
        <f t="shared" si="92"/>
        <v/>
      </c>
      <c r="N396" s="54" t="str">
        <f t="shared" si="93"/>
        <v/>
      </c>
      <c r="O396" s="55">
        <f t="shared" si="94"/>
        <v>0</v>
      </c>
      <c r="P396" s="55">
        <f t="shared" si="95"/>
        <v>0</v>
      </c>
      <c r="Q396" s="54">
        <f t="shared" si="96"/>
        <v>0</v>
      </c>
      <c r="R396" s="47"/>
      <c r="T396" s="57"/>
      <c r="U396" s="45"/>
      <c r="V396" s="46">
        <f>IF(U396&lt;&gt;"",VLOOKUP(U396,'Tipo Projeto'!$A$3:$B$35,2,0),0)</f>
        <v>0</v>
      </c>
      <c r="W396" s="47"/>
      <c r="X396" s="49"/>
      <c r="Y396" s="50"/>
      <c r="Z396" s="51"/>
      <c r="AA396" s="52"/>
      <c r="AB396" s="53" t="str">
        <f t="shared" si="97"/>
        <v/>
      </c>
      <c r="AC396" s="48" t="str">
        <f t="shared" si="98"/>
        <v/>
      </c>
      <c r="AD396" s="54" t="str">
        <f t="shared" si="99"/>
        <v/>
      </c>
      <c r="AE396" s="55">
        <f t="shared" si="100"/>
        <v>0</v>
      </c>
      <c r="AF396" s="55">
        <f t="shared" si="101"/>
        <v>0</v>
      </c>
      <c r="AG396" s="58">
        <f t="shared" si="102"/>
        <v>0</v>
      </c>
      <c r="AH396" s="47"/>
      <c r="AJ396" s="47"/>
      <c r="AL396" s="47"/>
      <c r="AM396" s="47" t="str">
        <f t="shared" si="103"/>
        <v/>
      </c>
    </row>
    <row r="397" spans="1:39" s="56" customFormat="1" ht="24.75" customHeight="1">
      <c r="A397" s="44"/>
      <c r="B397" s="45"/>
      <c r="C397" s="46">
        <f>IF(B397&lt;&gt;"",VLOOKUP(B397,'Tipo Projeto'!$A$3:$B$35,2,0),0)</f>
        <v>0</v>
      </c>
      <c r="D397" s="47"/>
      <c r="E397" s="47"/>
      <c r="F397" s="48"/>
      <c r="G397" s="47"/>
      <c r="H397" s="49"/>
      <c r="I397" s="50"/>
      <c r="J397" s="51"/>
      <c r="K397" s="52"/>
      <c r="L397" s="53" t="str">
        <f t="shared" si="91"/>
        <v/>
      </c>
      <c r="M397" s="48" t="str">
        <f t="shared" si="92"/>
        <v/>
      </c>
      <c r="N397" s="54" t="str">
        <f t="shared" si="93"/>
        <v/>
      </c>
      <c r="O397" s="55">
        <f t="shared" si="94"/>
        <v>0</v>
      </c>
      <c r="P397" s="55">
        <f t="shared" si="95"/>
        <v>0</v>
      </c>
      <c r="Q397" s="54">
        <f t="shared" si="96"/>
        <v>0</v>
      </c>
      <c r="R397" s="47"/>
      <c r="T397" s="57"/>
      <c r="U397" s="45"/>
      <c r="V397" s="46">
        <f>IF(U397&lt;&gt;"",VLOOKUP(U397,'Tipo Projeto'!$A$3:$B$35,2,0),0)</f>
        <v>0</v>
      </c>
      <c r="W397" s="47"/>
      <c r="X397" s="49"/>
      <c r="Y397" s="50"/>
      <c r="Z397" s="51"/>
      <c r="AA397" s="52"/>
      <c r="AB397" s="53" t="str">
        <f t="shared" si="97"/>
        <v/>
      </c>
      <c r="AC397" s="48" t="str">
        <f t="shared" si="98"/>
        <v/>
      </c>
      <c r="AD397" s="54" t="str">
        <f t="shared" si="99"/>
        <v/>
      </c>
      <c r="AE397" s="55">
        <f t="shared" si="100"/>
        <v>0</v>
      </c>
      <c r="AF397" s="55">
        <f t="shared" si="101"/>
        <v>0</v>
      </c>
      <c r="AG397" s="58">
        <f t="shared" si="102"/>
        <v>0</v>
      </c>
      <c r="AH397" s="47"/>
      <c r="AJ397" s="47"/>
      <c r="AL397" s="47"/>
      <c r="AM397" s="47" t="str">
        <f t="shared" si="103"/>
        <v/>
      </c>
    </row>
    <row r="398" spans="1:39" s="56" customFormat="1" ht="24.75" customHeight="1">
      <c r="A398" s="44"/>
      <c r="B398" s="45"/>
      <c r="C398" s="46">
        <f>IF(B398&lt;&gt;"",VLOOKUP(B398,'Tipo Projeto'!$A$3:$B$35,2,0),0)</f>
        <v>0</v>
      </c>
      <c r="D398" s="47"/>
      <c r="E398" s="47"/>
      <c r="F398" s="48"/>
      <c r="G398" s="47"/>
      <c r="H398" s="49"/>
      <c r="I398" s="50"/>
      <c r="J398" s="51"/>
      <c r="K398" s="52"/>
      <c r="L398" s="53" t="str">
        <f t="shared" si="91"/>
        <v/>
      </c>
      <c r="M398" s="48" t="str">
        <f t="shared" si="92"/>
        <v/>
      </c>
      <c r="N398" s="54" t="str">
        <f t="shared" si="93"/>
        <v/>
      </c>
      <c r="O398" s="55">
        <f t="shared" si="94"/>
        <v>0</v>
      </c>
      <c r="P398" s="55">
        <f t="shared" si="95"/>
        <v>0</v>
      </c>
      <c r="Q398" s="54">
        <f t="shared" si="96"/>
        <v>0</v>
      </c>
      <c r="R398" s="47"/>
      <c r="T398" s="57"/>
      <c r="U398" s="45"/>
      <c r="V398" s="46">
        <f>IF(U398&lt;&gt;"",VLOOKUP(U398,'Tipo Projeto'!$A$3:$B$35,2,0),0)</f>
        <v>0</v>
      </c>
      <c r="W398" s="47"/>
      <c r="X398" s="49"/>
      <c r="Y398" s="50"/>
      <c r="Z398" s="51"/>
      <c r="AA398" s="52"/>
      <c r="AB398" s="53" t="str">
        <f t="shared" si="97"/>
        <v/>
      </c>
      <c r="AC398" s="48" t="str">
        <f t="shared" si="98"/>
        <v/>
      </c>
      <c r="AD398" s="54" t="str">
        <f t="shared" si="99"/>
        <v/>
      </c>
      <c r="AE398" s="55">
        <f t="shared" si="100"/>
        <v>0</v>
      </c>
      <c r="AF398" s="55">
        <f t="shared" si="101"/>
        <v>0</v>
      </c>
      <c r="AG398" s="58">
        <f t="shared" si="102"/>
        <v>0</v>
      </c>
      <c r="AH398" s="47"/>
      <c r="AJ398" s="47"/>
      <c r="AL398" s="47"/>
      <c r="AM398" s="47" t="str">
        <f t="shared" si="103"/>
        <v/>
      </c>
    </row>
    <row r="399" spans="1:39" s="56" customFormat="1" ht="24.75" customHeight="1">
      <c r="A399" s="44"/>
      <c r="B399" s="45"/>
      <c r="C399" s="46">
        <f>IF(B399&lt;&gt;"",VLOOKUP(B399,'Tipo Projeto'!$A$3:$B$35,2,0),0)</f>
        <v>0</v>
      </c>
      <c r="D399" s="47"/>
      <c r="E399" s="47"/>
      <c r="F399" s="48"/>
      <c r="G399" s="47"/>
      <c r="H399" s="49"/>
      <c r="I399" s="50"/>
      <c r="J399" s="51"/>
      <c r="K399" s="52"/>
      <c r="L399" s="53" t="str">
        <f t="shared" si="91"/>
        <v/>
      </c>
      <c r="M399" s="48" t="str">
        <f t="shared" si="92"/>
        <v/>
      </c>
      <c r="N399" s="54" t="str">
        <f t="shared" si="93"/>
        <v/>
      </c>
      <c r="O399" s="55">
        <f t="shared" si="94"/>
        <v>0</v>
      </c>
      <c r="P399" s="55">
        <f t="shared" si="95"/>
        <v>0</v>
      </c>
      <c r="Q399" s="54">
        <f t="shared" si="96"/>
        <v>0</v>
      </c>
      <c r="R399" s="47"/>
      <c r="T399" s="57"/>
      <c r="U399" s="45"/>
      <c r="V399" s="46">
        <f>IF(U399&lt;&gt;"",VLOOKUP(U399,'Tipo Projeto'!$A$3:$B$35,2,0),0)</f>
        <v>0</v>
      </c>
      <c r="W399" s="47"/>
      <c r="X399" s="49"/>
      <c r="Y399" s="50"/>
      <c r="Z399" s="51"/>
      <c r="AA399" s="52"/>
      <c r="AB399" s="53" t="str">
        <f t="shared" si="97"/>
        <v/>
      </c>
      <c r="AC399" s="48" t="str">
        <f t="shared" si="98"/>
        <v/>
      </c>
      <c r="AD399" s="54" t="str">
        <f t="shared" si="99"/>
        <v/>
      </c>
      <c r="AE399" s="55">
        <f t="shared" si="100"/>
        <v>0</v>
      </c>
      <c r="AF399" s="55">
        <f t="shared" si="101"/>
        <v>0</v>
      </c>
      <c r="AG399" s="58">
        <f t="shared" si="102"/>
        <v>0</v>
      </c>
      <c r="AH399" s="47"/>
      <c r="AJ399" s="47"/>
      <c r="AL399" s="47"/>
      <c r="AM399" s="47" t="str">
        <f t="shared" si="103"/>
        <v/>
      </c>
    </row>
    <row r="400" spans="1:39" s="56" customFormat="1" ht="24.75" customHeight="1">
      <c r="A400" s="44"/>
      <c r="B400" s="45"/>
      <c r="C400" s="46">
        <f>IF(B400&lt;&gt;"",VLOOKUP(B400,'Tipo Projeto'!$A$3:$B$35,2,0),0)</f>
        <v>0</v>
      </c>
      <c r="D400" s="47"/>
      <c r="E400" s="47"/>
      <c r="F400" s="48"/>
      <c r="G400" s="47"/>
      <c r="H400" s="49"/>
      <c r="I400" s="50"/>
      <c r="J400" s="51"/>
      <c r="K400" s="52"/>
      <c r="L400" s="53" t="str">
        <f t="shared" si="91"/>
        <v/>
      </c>
      <c r="M400" s="48" t="str">
        <f t="shared" si="92"/>
        <v/>
      </c>
      <c r="N400" s="54" t="str">
        <f t="shared" si="93"/>
        <v/>
      </c>
      <c r="O400" s="55">
        <f t="shared" si="94"/>
        <v>0</v>
      </c>
      <c r="P400" s="55">
        <f t="shared" si="95"/>
        <v>0</v>
      </c>
      <c r="Q400" s="54">
        <f t="shared" si="96"/>
        <v>0</v>
      </c>
      <c r="R400" s="47"/>
      <c r="T400" s="57"/>
      <c r="U400" s="45"/>
      <c r="V400" s="46">
        <f>IF(U400&lt;&gt;"",VLOOKUP(U400,'Tipo Projeto'!$A$3:$B$35,2,0),0)</f>
        <v>0</v>
      </c>
      <c r="W400" s="47"/>
      <c r="X400" s="49"/>
      <c r="Y400" s="50"/>
      <c r="Z400" s="51"/>
      <c r="AA400" s="52"/>
      <c r="AB400" s="53" t="str">
        <f t="shared" si="97"/>
        <v/>
      </c>
      <c r="AC400" s="48" t="str">
        <f t="shared" si="98"/>
        <v/>
      </c>
      <c r="AD400" s="54" t="str">
        <f t="shared" si="99"/>
        <v/>
      </c>
      <c r="AE400" s="55">
        <f t="shared" si="100"/>
        <v>0</v>
      </c>
      <c r="AF400" s="55">
        <f t="shared" si="101"/>
        <v>0</v>
      </c>
      <c r="AG400" s="58">
        <f t="shared" si="102"/>
        <v>0</v>
      </c>
      <c r="AH400" s="47"/>
      <c r="AJ400" s="47"/>
      <c r="AL400" s="47"/>
      <c r="AM400" s="47" t="str">
        <f t="shared" si="103"/>
        <v/>
      </c>
    </row>
    <row r="401" spans="1:39" s="56" customFormat="1" ht="24.75" customHeight="1">
      <c r="A401" s="44"/>
      <c r="B401" s="45"/>
      <c r="C401" s="46">
        <f>IF(B401&lt;&gt;"",VLOOKUP(B401,'Tipo Projeto'!$A$3:$B$35,2,0),0)</f>
        <v>0</v>
      </c>
      <c r="D401" s="47"/>
      <c r="E401" s="47"/>
      <c r="F401" s="48"/>
      <c r="G401" s="47"/>
      <c r="H401" s="49"/>
      <c r="I401" s="50"/>
      <c r="J401" s="51"/>
      <c r="K401" s="52"/>
      <c r="L401" s="53" t="str">
        <f t="shared" si="91"/>
        <v/>
      </c>
      <c r="M401" s="48" t="str">
        <f t="shared" si="92"/>
        <v/>
      </c>
      <c r="N401" s="54" t="str">
        <f t="shared" si="93"/>
        <v/>
      </c>
      <c r="O401" s="55">
        <f t="shared" si="94"/>
        <v>0</v>
      </c>
      <c r="P401" s="55">
        <f t="shared" si="95"/>
        <v>0</v>
      </c>
      <c r="Q401" s="54">
        <f t="shared" si="96"/>
        <v>0</v>
      </c>
      <c r="R401" s="47"/>
      <c r="T401" s="57"/>
      <c r="U401" s="45"/>
      <c r="V401" s="46">
        <f>IF(U401&lt;&gt;"",VLOOKUP(U401,'Tipo Projeto'!$A$3:$B$35,2,0),0)</f>
        <v>0</v>
      </c>
      <c r="W401" s="47"/>
      <c r="X401" s="49"/>
      <c r="Y401" s="50"/>
      <c r="Z401" s="51"/>
      <c r="AA401" s="52"/>
      <c r="AB401" s="53" t="str">
        <f t="shared" si="97"/>
        <v/>
      </c>
      <c r="AC401" s="48" t="str">
        <f t="shared" si="98"/>
        <v/>
      </c>
      <c r="AD401" s="54" t="str">
        <f t="shared" si="99"/>
        <v/>
      </c>
      <c r="AE401" s="55">
        <f t="shared" si="100"/>
        <v>0</v>
      </c>
      <c r="AF401" s="55">
        <f t="shared" si="101"/>
        <v>0</v>
      </c>
      <c r="AG401" s="58">
        <f t="shared" si="102"/>
        <v>0</v>
      </c>
      <c r="AH401" s="47"/>
      <c r="AJ401" s="47"/>
      <c r="AL401" s="47"/>
      <c r="AM401" s="47" t="str">
        <f t="shared" si="103"/>
        <v/>
      </c>
    </row>
    <row r="402" spans="1:39" s="56" customFormat="1" ht="24.75" customHeight="1">
      <c r="A402" s="44"/>
      <c r="B402" s="45"/>
      <c r="C402" s="46">
        <f>IF(B402&lt;&gt;"",VLOOKUP(B402,'Tipo Projeto'!$A$3:$B$35,2,0),0)</f>
        <v>0</v>
      </c>
      <c r="D402" s="47"/>
      <c r="E402" s="47"/>
      <c r="F402" s="48"/>
      <c r="G402" s="47"/>
      <c r="H402" s="49"/>
      <c r="I402" s="50"/>
      <c r="J402" s="51"/>
      <c r="K402" s="52"/>
      <c r="L402" s="53" t="str">
        <f t="shared" si="91"/>
        <v/>
      </c>
      <c r="M402" s="48" t="str">
        <f t="shared" si="92"/>
        <v/>
      </c>
      <c r="N402" s="54" t="str">
        <f t="shared" si="93"/>
        <v/>
      </c>
      <c r="O402" s="55">
        <f t="shared" si="94"/>
        <v>0</v>
      </c>
      <c r="P402" s="55">
        <f t="shared" si="95"/>
        <v>0</v>
      </c>
      <c r="Q402" s="54">
        <f t="shared" si="96"/>
        <v>0</v>
      </c>
      <c r="R402" s="47"/>
      <c r="T402" s="57"/>
      <c r="U402" s="45"/>
      <c r="V402" s="46">
        <f>IF(U402&lt;&gt;"",VLOOKUP(U402,'Tipo Projeto'!$A$3:$B$35,2,0),0)</f>
        <v>0</v>
      </c>
      <c r="W402" s="47"/>
      <c r="X402" s="49"/>
      <c r="Y402" s="50"/>
      <c r="Z402" s="51"/>
      <c r="AA402" s="52"/>
      <c r="AB402" s="53" t="str">
        <f t="shared" si="97"/>
        <v/>
      </c>
      <c r="AC402" s="48" t="str">
        <f t="shared" si="98"/>
        <v/>
      </c>
      <c r="AD402" s="54" t="str">
        <f t="shared" si="99"/>
        <v/>
      </c>
      <c r="AE402" s="55">
        <f t="shared" si="100"/>
        <v>0</v>
      </c>
      <c r="AF402" s="55">
        <f t="shared" si="101"/>
        <v>0</v>
      </c>
      <c r="AG402" s="58">
        <f t="shared" si="102"/>
        <v>0</v>
      </c>
      <c r="AH402" s="47"/>
      <c r="AJ402" s="47"/>
      <c r="AL402" s="47"/>
      <c r="AM402" s="47" t="str">
        <f t="shared" si="103"/>
        <v/>
      </c>
    </row>
    <row r="403" spans="1:39" s="56" customFormat="1" ht="24.75" customHeight="1">
      <c r="A403" s="44"/>
      <c r="B403" s="45"/>
      <c r="C403" s="46">
        <f>IF(B403&lt;&gt;"",VLOOKUP(B403,'Tipo Projeto'!$A$3:$B$35,2,0),0)</f>
        <v>0</v>
      </c>
      <c r="D403" s="47"/>
      <c r="E403" s="47"/>
      <c r="F403" s="48"/>
      <c r="G403" s="47"/>
      <c r="H403" s="49"/>
      <c r="I403" s="50"/>
      <c r="J403" s="51"/>
      <c r="K403" s="52"/>
      <c r="L403" s="53" t="str">
        <f t="shared" si="91"/>
        <v/>
      </c>
      <c r="M403" s="48" t="str">
        <f t="shared" si="92"/>
        <v/>
      </c>
      <c r="N403" s="54" t="str">
        <f t="shared" si="93"/>
        <v/>
      </c>
      <c r="O403" s="55">
        <f t="shared" si="94"/>
        <v>0</v>
      </c>
      <c r="P403" s="55">
        <f t="shared" si="95"/>
        <v>0</v>
      </c>
      <c r="Q403" s="54">
        <f t="shared" si="96"/>
        <v>0</v>
      </c>
      <c r="R403" s="47"/>
      <c r="T403" s="57"/>
      <c r="U403" s="45"/>
      <c r="V403" s="46">
        <f>IF(U403&lt;&gt;"",VLOOKUP(U403,'Tipo Projeto'!$A$3:$B$35,2,0),0)</f>
        <v>0</v>
      </c>
      <c r="W403" s="47"/>
      <c r="X403" s="49"/>
      <c r="Y403" s="50"/>
      <c r="Z403" s="51"/>
      <c r="AA403" s="52"/>
      <c r="AB403" s="53" t="str">
        <f t="shared" si="97"/>
        <v/>
      </c>
      <c r="AC403" s="48" t="str">
        <f t="shared" si="98"/>
        <v/>
      </c>
      <c r="AD403" s="54" t="str">
        <f t="shared" si="99"/>
        <v/>
      </c>
      <c r="AE403" s="55">
        <f t="shared" si="100"/>
        <v>0</v>
      </c>
      <c r="AF403" s="55">
        <f t="shared" si="101"/>
        <v>0</v>
      </c>
      <c r="AG403" s="58">
        <f t="shared" si="102"/>
        <v>0</v>
      </c>
      <c r="AH403" s="47"/>
      <c r="AJ403" s="47"/>
      <c r="AL403" s="47"/>
      <c r="AM403" s="47" t="str">
        <f t="shared" si="103"/>
        <v/>
      </c>
    </row>
    <row r="404" spans="1:39" s="56" customFormat="1" ht="24.75" customHeight="1">
      <c r="A404" s="44"/>
      <c r="B404" s="45"/>
      <c r="C404" s="46">
        <f>IF(B404&lt;&gt;"",VLOOKUP(B404,'Tipo Projeto'!$A$3:$B$35,2,0),0)</f>
        <v>0</v>
      </c>
      <c r="D404" s="47"/>
      <c r="E404" s="47"/>
      <c r="F404" s="48"/>
      <c r="G404" s="47"/>
      <c r="H404" s="49"/>
      <c r="I404" s="50"/>
      <c r="J404" s="51"/>
      <c r="K404" s="52"/>
      <c r="L404" s="53" t="str">
        <f t="shared" si="91"/>
        <v/>
      </c>
      <c r="M404" s="48" t="str">
        <f t="shared" si="92"/>
        <v/>
      </c>
      <c r="N404" s="54" t="str">
        <f t="shared" si="93"/>
        <v/>
      </c>
      <c r="O404" s="55">
        <f t="shared" si="94"/>
        <v>0</v>
      </c>
      <c r="P404" s="55">
        <f t="shared" si="95"/>
        <v>0</v>
      </c>
      <c r="Q404" s="54">
        <f t="shared" si="96"/>
        <v>0</v>
      </c>
      <c r="R404" s="47"/>
      <c r="T404" s="57"/>
      <c r="U404" s="45"/>
      <c r="V404" s="46">
        <f>IF(U404&lt;&gt;"",VLOOKUP(U404,'Tipo Projeto'!$A$3:$B$35,2,0),0)</f>
        <v>0</v>
      </c>
      <c r="W404" s="47"/>
      <c r="X404" s="49"/>
      <c r="Y404" s="50"/>
      <c r="Z404" s="51"/>
      <c r="AA404" s="52"/>
      <c r="AB404" s="53" t="str">
        <f t="shared" si="97"/>
        <v/>
      </c>
      <c r="AC404" s="48" t="str">
        <f t="shared" si="98"/>
        <v/>
      </c>
      <c r="AD404" s="54" t="str">
        <f t="shared" si="99"/>
        <v/>
      </c>
      <c r="AE404" s="55">
        <f t="shared" si="100"/>
        <v>0</v>
      </c>
      <c r="AF404" s="55">
        <f t="shared" si="101"/>
        <v>0</v>
      </c>
      <c r="AG404" s="58">
        <f t="shared" si="102"/>
        <v>0</v>
      </c>
      <c r="AH404" s="47"/>
      <c r="AJ404" s="47"/>
      <c r="AL404" s="47"/>
      <c r="AM404" s="47" t="str">
        <f t="shared" si="103"/>
        <v/>
      </c>
    </row>
    <row r="405" spans="1:39" s="56" customFormat="1" ht="24.75" customHeight="1">
      <c r="A405" s="44"/>
      <c r="B405" s="45"/>
      <c r="C405" s="46">
        <f>IF(B405&lt;&gt;"",VLOOKUP(B405,'Tipo Projeto'!$A$3:$B$35,2,0),0)</f>
        <v>0</v>
      </c>
      <c r="D405" s="47"/>
      <c r="E405" s="47"/>
      <c r="F405" s="48"/>
      <c r="G405" s="47"/>
      <c r="H405" s="49"/>
      <c r="I405" s="50"/>
      <c r="J405" s="51"/>
      <c r="K405" s="52"/>
      <c r="L405" s="53" t="str">
        <f t="shared" si="91"/>
        <v/>
      </c>
      <c r="M405" s="48" t="str">
        <f t="shared" si="92"/>
        <v/>
      </c>
      <c r="N405" s="54" t="str">
        <f t="shared" si="93"/>
        <v/>
      </c>
      <c r="O405" s="55">
        <f t="shared" si="94"/>
        <v>0</v>
      </c>
      <c r="P405" s="55">
        <f t="shared" si="95"/>
        <v>0</v>
      </c>
      <c r="Q405" s="54">
        <f t="shared" si="96"/>
        <v>0</v>
      </c>
      <c r="R405" s="47"/>
      <c r="T405" s="57"/>
      <c r="U405" s="45"/>
      <c r="V405" s="46">
        <f>IF(U405&lt;&gt;"",VLOOKUP(U405,'Tipo Projeto'!$A$3:$B$35,2,0),0)</f>
        <v>0</v>
      </c>
      <c r="W405" s="47"/>
      <c r="X405" s="49"/>
      <c r="Y405" s="50"/>
      <c r="Z405" s="51"/>
      <c r="AA405" s="52"/>
      <c r="AB405" s="53" t="str">
        <f t="shared" si="97"/>
        <v/>
      </c>
      <c r="AC405" s="48" t="str">
        <f t="shared" si="98"/>
        <v/>
      </c>
      <c r="AD405" s="54" t="str">
        <f t="shared" si="99"/>
        <v/>
      </c>
      <c r="AE405" s="55">
        <f t="shared" si="100"/>
        <v>0</v>
      </c>
      <c r="AF405" s="55">
        <f t="shared" si="101"/>
        <v>0</v>
      </c>
      <c r="AG405" s="58">
        <f t="shared" si="102"/>
        <v>0</v>
      </c>
      <c r="AH405" s="47"/>
      <c r="AJ405" s="47"/>
      <c r="AL405" s="47"/>
      <c r="AM405" s="47" t="str">
        <f t="shared" si="103"/>
        <v/>
      </c>
    </row>
    <row r="406" spans="1:39" s="56" customFormat="1" ht="24.75" customHeight="1">
      <c r="A406" s="44"/>
      <c r="B406" s="45"/>
      <c r="C406" s="46">
        <f>IF(B406&lt;&gt;"",VLOOKUP(B406,'Tipo Projeto'!$A$3:$B$35,2,0),0)</f>
        <v>0</v>
      </c>
      <c r="D406" s="47"/>
      <c r="E406" s="47"/>
      <c r="F406" s="48"/>
      <c r="G406" s="47"/>
      <c r="H406" s="49"/>
      <c r="I406" s="50"/>
      <c r="J406" s="51"/>
      <c r="K406" s="52"/>
      <c r="L406" s="53" t="str">
        <f t="shared" si="91"/>
        <v/>
      </c>
      <c r="M406" s="48" t="str">
        <f t="shared" si="92"/>
        <v/>
      </c>
      <c r="N406" s="54" t="str">
        <f t="shared" si="93"/>
        <v/>
      </c>
      <c r="O406" s="55">
        <f t="shared" si="94"/>
        <v>0</v>
      </c>
      <c r="P406" s="55">
        <f t="shared" si="95"/>
        <v>0</v>
      </c>
      <c r="Q406" s="54">
        <f t="shared" si="96"/>
        <v>0</v>
      </c>
      <c r="R406" s="47"/>
      <c r="T406" s="57"/>
      <c r="U406" s="45"/>
      <c r="V406" s="46">
        <f>IF(U406&lt;&gt;"",VLOOKUP(U406,'Tipo Projeto'!$A$3:$B$35,2,0),0)</f>
        <v>0</v>
      </c>
      <c r="W406" s="47"/>
      <c r="X406" s="49"/>
      <c r="Y406" s="50"/>
      <c r="Z406" s="51"/>
      <c r="AA406" s="52"/>
      <c r="AB406" s="53" t="str">
        <f t="shared" si="97"/>
        <v/>
      </c>
      <c r="AC406" s="48" t="str">
        <f t="shared" si="98"/>
        <v/>
      </c>
      <c r="AD406" s="54" t="str">
        <f t="shared" si="99"/>
        <v/>
      </c>
      <c r="AE406" s="55">
        <f t="shared" si="100"/>
        <v>0</v>
      </c>
      <c r="AF406" s="55">
        <f t="shared" si="101"/>
        <v>0</v>
      </c>
      <c r="AG406" s="58">
        <f t="shared" si="102"/>
        <v>0</v>
      </c>
      <c r="AH406" s="47"/>
      <c r="AJ406" s="47"/>
      <c r="AL406" s="47"/>
      <c r="AM406" s="47" t="str">
        <f t="shared" si="103"/>
        <v/>
      </c>
    </row>
    <row r="407" spans="1:39" s="56" customFormat="1" ht="24.75" customHeight="1">
      <c r="A407" s="44"/>
      <c r="B407" s="45"/>
      <c r="C407" s="46">
        <f>IF(B407&lt;&gt;"",VLOOKUP(B407,'Tipo Projeto'!$A$3:$B$35,2,0),0)</f>
        <v>0</v>
      </c>
      <c r="D407" s="47"/>
      <c r="E407" s="47"/>
      <c r="F407" s="48"/>
      <c r="G407" s="47"/>
      <c r="H407" s="49"/>
      <c r="I407" s="50"/>
      <c r="J407" s="51"/>
      <c r="K407" s="52"/>
      <c r="L407" s="53" t="str">
        <f t="shared" si="91"/>
        <v/>
      </c>
      <c r="M407" s="48" t="str">
        <f t="shared" si="92"/>
        <v/>
      </c>
      <c r="N407" s="54" t="str">
        <f t="shared" si="93"/>
        <v/>
      </c>
      <c r="O407" s="55">
        <f t="shared" si="94"/>
        <v>0</v>
      </c>
      <c r="P407" s="55">
        <f t="shared" si="95"/>
        <v>0</v>
      </c>
      <c r="Q407" s="54">
        <f t="shared" si="96"/>
        <v>0</v>
      </c>
      <c r="R407" s="47"/>
      <c r="T407" s="57"/>
      <c r="U407" s="45"/>
      <c r="V407" s="46">
        <f>IF(U407&lt;&gt;"",VLOOKUP(U407,'Tipo Projeto'!$A$3:$B$35,2,0),0)</f>
        <v>0</v>
      </c>
      <c r="W407" s="47"/>
      <c r="X407" s="49"/>
      <c r="Y407" s="50"/>
      <c r="Z407" s="51"/>
      <c r="AA407" s="52"/>
      <c r="AB407" s="53" t="str">
        <f t="shared" si="97"/>
        <v/>
      </c>
      <c r="AC407" s="48" t="str">
        <f t="shared" si="98"/>
        <v/>
      </c>
      <c r="AD407" s="54" t="str">
        <f t="shared" si="99"/>
        <v/>
      </c>
      <c r="AE407" s="55">
        <f t="shared" si="100"/>
        <v>0</v>
      </c>
      <c r="AF407" s="55">
        <f t="shared" si="101"/>
        <v>0</v>
      </c>
      <c r="AG407" s="58">
        <f t="shared" si="102"/>
        <v>0</v>
      </c>
      <c r="AH407" s="47"/>
      <c r="AJ407" s="47"/>
      <c r="AL407" s="47"/>
      <c r="AM407" s="47" t="str">
        <f t="shared" si="103"/>
        <v/>
      </c>
    </row>
    <row r="408" spans="1:39" s="56" customFormat="1" ht="24.75" customHeight="1">
      <c r="A408" s="44"/>
      <c r="B408" s="45"/>
      <c r="C408" s="46">
        <f>IF(B408&lt;&gt;"",VLOOKUP(B408,'Tipo Projeto'!$A$3:$B$35,2,0),0)</f>
        <v>0</v>
      </c>
      <c r="D408" s="47"/>
      <c r="E408" s="47"/>
      <c r="F408" s="48"/>
      <c r="G408" s="47"/>
      <c r="H408" s="49"/>
      <c r="I408" s="50"/>
      <c r="J408" s="51"/>
      <c r="K408" s="52"/>
      <c r="L408" s="53" t="str">
        <f t="shared" si="91"/>
        <v/>
      </c>
      <c r="M408" s="48" t="str">
        <f t="shared" si="92"/>
        <v/>
      </c>
      <c r="N408" s="54" t="str">
        <f t="shared" si="93"/>
        <v/>
      </c>
      <c r="O408" s="55">
        <f t="shared" si="94"/>
        <v>0</v>
      </c>
      <c r="P408" s="55">
        <f t="shared" si="95"/>
        <v>0</v>
      </c>
      <c r="Q408" s="54">
        <f t="shared" si="96"/>
        <v>0</v>
      </c>
      <c r="R408" s="47"/>
      <c r="T408" s="57"/>
      <c r="U408" s="45"/>
      <c r="V408" s="46">
        <f>IF(U408&lt;&gt;"",VLOOKUP(U408,'Tipo Projeto'!$A$3:$B$35,2,0),0)</f>
        <v>0</v>
      </c>
      <c r="W408" s="47"/>
      <c r="X408" s="49"/>
      <c r="Y408" s="50"/>
      <c r="Z408" s="51"/>
      <c r="AA408" s="52"/>
      <c r="AB408" s="53" t="str">
        <f t="shared" si="97"/>
        <v/>
      </c>
      <c r="AC408" s="48" t="str">
        <f t="shared" si="98"/>
        <v/>
      </c>
      <c r="AD408" s="54" t="str">
        <f t="shared" si="99"/>
        <v/>
      </c>
      <c r="AE408" s="55">
        <f t="shared" si="100"/>
        <v>0</v>
      </c>
      <c r="AF408" s="55">
        <f t="shared" si="101"/>
        <v>0</v>
      </c>
      <c r="AG408" s="58">
        <f t="shared" si="102"/>
        <v>0</v>
      </c>
      <c r="AH408" s="47"/>
      <c r="AJ408" s="47"/>
      <c r="AL408" s="47"/>
      <c r="AM408" s="47" t="str">
        <f t="shared" si="103"/>
        <v/>
      </c>
    </row>
    <row r="409" spans="1:39" s="56" customFormat="1" ht="24.75" customHeight="1">
      <c r="A409" s="44"/>
      <c r="B409" s="45"/>
      <c r="C409" s="46">
        <f>IF(B409&lt;&gt;"",VLOOKUP(B409,'Tipo Projeto'!$A$3:$B$35,2,0),0)</f>
        <v>0</v>
      </c>
      <c r="D409" s="47"/>
      <c r="E409" s="47"/>
      <c r="F409" s="48"/>
      <c r="G409" s="47"/>
      <c r="H409" s="49"/>
      <c r="I409" s="50"/>
      <c r="J409" s="51"/>
      <c r="K409" s="52"/>
      <c r="L409" s="53" t="str">
        <f t="shared" si="91"/>
        <v/>
      </c>
      <c r="M409" s="48" t="str">
        <f t="shared" si="92"/>
        <v/>
      </c>
      <c r="N409" s="54" t="str">
        <f t="shared" si="93"/>
        <v/>
      </c>
      <c r="O409" s="55">
        <f t="shared" si="94"/>
        <v>0</v>
      </c>
      <c r="P409" s="55">
        <f t="shared" si="95"/>
        <v>0</v>
      </c>
      <c r="Q409" s="54">
        <f t="shared" si="96"/>
        <v>0</v>
      </c>
      <c r="R409" s="47"/>
      <c r="T409" s="57"/>
      <c r="U409" s="45"/>
      <c r="V409" s="46">
        <f>IF(U409&lt;&gt;"",VLOOKUP(U409,'Tipo Projeto'!$A$3:$B$35,2,0),0)</f>
        <v>0</v>
      </c>
      <c r="W409" s="47"/>
      <c r="X409" s="49"/>
      <c r="Y409" s="50"/>
      <c r="Z409" s="51"/>
      <c r="AA409" s="52"/>
      <c r="AB409" s="53" t="str">
        <f t="shared" si="97"/>
        <v/>
      </c>
      <c r="AC409" s="48" t="str">
        <f t="shared" si="98"/>
        <v/>
      </c>
      <c r="AD409" s="54" t="str">
        <f t="shared" si="99"/>
        <v/>
      </c>
      <c r="AE409" s="55">
        <f t="shared" si="100"/>
        <v>0</v>
      </c>
      <c r="AF409" s="55">
        <f t="shared" si="101"/>
        <v>0</v>
      </c>
      <c r="AG409" s="58">
        <f t="shared" si="102"/>
        <v>0</v>
      </c>
      <c r="AH409" s="47"/>
      <c r="AJ409" s="47"/>
      <c r="AL409" s="47"/>
      <c r="AM409" s="47" t="str">
        <f t="shared" si="103"/>
        <v/>
      </c>
    </row>
    <row r="410" spans="1:39" s="56" customFormat="1" ht="24.75" customHeight="1">
      <c r="A410" s="44"/>
      <c r="B410" s="45"/>
      <c r="C410" s="46">
        <f>IF(B410&lt;&gt;"",VLOOKUP(B410,'Tipo Projeto'!$A$3:$B$35,2,0),0)</f>
        <v>0</v>
      </c>
      <c r="D410" s="47"/>
      <c r="E410" s="47"/>
      <c r="F410" s="48"/>
      <c r="G410" s="47"/>
      <c r="H410" s="49"/>
      <c r="I410" s="50"/>
      <c r="J410" s="51"/>
      <c r="K410" s="52"/>
      <c r="L410" s="53" t="str">
        <f t="shared" si="91"/>
        <v/>
      </c>
      <c r="M410" s="48" t="str">
        <f t="shared" si="92"/>
        <v/>
      </c>
      <c r="N410" s="54" t="str">
        <f t="shared" si="93"/>
        <v/>
      </c>
      <c r="O410" s="55">
        <f t="shared" si="94"/>
        <v>0</v>
      </c>
      <c r="P410" s="55">
        <f t="shared" si="95"/>
        <v>0</v>
      </c>
      <c r="Q410" s="54">
        <f t="shared" si="96"/>
        <v>0</v>
      </c>
      <c r="R410" s="47"/>
      <c r="T410" s="57"/>
      <c r="U410" s="45"/>
      <c r="V410" s="46">
        <f>IF(U410&lt;&gt;"",VLOOKUP(U410,'Tipo Projeto'!$A$3:$B$35,2,0),0)</f>
        <v>0</v>
      </c>
      <c r="W410" s="47"/>
      <c r="X410" s="49"/>
      <c r="Y410" s="50"/>
      <c r="Z410" s="51"/>
      <c r="AA410" s="52"/>
      <c r="AB410" s="53" t="str">
        <f t="shared" si="97"/>
        <v/>
      </c>
      <c r="AC410" s="48" t="str">
        <f t="shared" si="98"/>
        <v/>
      </c>
      <c r="AD410" s="54" t="str">
        <f t="shared" si="99"/>
        <v/>
      </c>
      <c r="AE410" s="55">
        <f t="shared" si="100"/>
        <v>0</v>
      </c>
      <c r="AF410" s="55">
        <f t="shared" si="101"/>
        <v>0</v>
      </c>
      <c r="AG410" s="58">
        <f t="shared" si="102"/>
        <v>0</v>
      </c>
      <c r="AH410" s="47"/>
      <c r="AJ410" s="47"/>
      <c r="AL410" s="47"/>
      <c r="AM410" s="47" t="str">
        <f t="shared" si="103"/>
        <v/>
      </c>
    </row>
    <row r="411" spans="1:39" s="56" customFormat="1" ht="24.75" customHeight="1">
      <c r="A411" s="44"/>
      <c r="B411" s="45"/>
      <c r="C411" s="46">
        <f>IF(B411&lt;&gt;"",VLOOKUP(B411,'Tipo Projeto'!$A$3:$B$35,2,0),0)</f>
        <v>0</v>
      </c>
      <c r="D411" s="47"/>
      <c r="E411" s="47"/>
      <c r="F411" s="48"/>
      <c r="G411" s="47"/>
      <c r="H411" s="49"/>
      <c r="I411" s="50"/>
      <c r="J411" s="51"/>
      <c r="K411" s="52"/>
      <c r="L411" s="53" t="str">
        <f t="shared" si="91"/>
        <v/>
      </c>
      <c r="M411" s="48" t="str">
        <f t="shared" si="92"/>
        <v/>
      </c>
      <c r="N411" s="54" t="str">
        <f t="shared" si="93"/>
        <v/>
      </c>
      <c r="O411" s="55">
        <f t="shared" si="94"/>
        <v>0</v>
      </c>
      <c r="P411" s="55">
        <f t="shared" si="95"/>
        <v>0</v>
      </c>
      <c r="Q411" s="54">
        <f t="shared" si="96"/>
        <v>0</v>
      </c>
      <c r="R411" s="47"/>
      <c r="T411" s="57"/>
      <c r="U411" s="45"/>
      <c r="V411" s="46">
        <f>IF(U411&lt;&gt;"",VLOOKUP(U411,'Tipo Projeto'!$A$3:$B$35,2,0),0)</f>
        <v>0</v>
      </c>
      <c r="W411" s="47"/>
      <c r="X411" s="49"/>
      <c r="Y411" s="50"/>
      <c r="Z411" s="51"/>
      <c r="AA411" s="52"/>
      <c r="AB411" s="53" t="str">
        <f t="shared" si="97"/>
        <v/>
      </c>
      <c r="AC411" s="48" t="str">
        <f t="shared" si="98"/>
        <v/>
      </c>
      <c r="AD411" s="54" t="str">
        <f t="shared" si="99"/>
        <v/>
      </c>
      <c r="AE411" s="55">
        <f t="shared" si="100"/>
        <v>0</v>
      </c>
      <c r="AF411" s="55">
        <f t="shared" si="101"/>
        <v>0</v>
      </c>
      <c r="AG411" s="58">
        <f t="shared" si="102"/>
        <v>0</v>
      </c>
      <c r="AH411" s="47"/>
      <c r="AJ411" s="47"/>
      <c r="AL411" s="47"/>
      <c r="AM411" s="47" t="str">
        <f t="shared" si="103"/>
        <v/>
      </c>
    </row>
    <row r="412" spans="1:39" s="56" customFormat="1" ht="24.75" customHeight="1">
      <c r="A412" s="44"/>
      <c r="B412" s="45"/>
      <c r="C412" s="46">
        <f>IF(B412&lt;&gt;"",VLOOKUP(B412,'Tipo Projeto'!$A$3:$B$35,2,0),0)</f>
        <v>0</v>
      </c>
      <c r="D412" s="47"/>
      <c r="E412" s="47"/>
      <c r="F412" s="48"/>
      <c r="G412" s="47"/>
      <c r="H412" s="49"/>
      <c r="I412" s="50"/>
      <c r="J412" s="51"/>
      <c r="K412" s="52"/>
      <c r="L412" s="53" t="str">
        <f t="shared" si="91"/>
        <v/>
      </c>
      <c r="M412" s="48" t="str">
        <f t="shared" si="92"/>
        <v/>
      </c>
      <c r="N412" s="54" t="str">
        <f t="shared" si="93"/>
        <v/>
      </c>
      <c r="O412" s="55">
        <f t="shared" si="94"/>
        <v>0</v>
      </c>
      <c r="P412" s="55">
        <f t="shared" si="95"/>
        <v>0</v>
      </c>
      <c r="Q412" s="54">
        <f t="shared" si="96"/>
        <v>0</v>
      </c>
      <c r="R412" s="47"/>
      <c r="T412" s="57"/>
      <c r="U412" s="45"/>
      <c r="V412" s="46">
        <f>IF(U412&lt;&gt;"",VLOOKUP(U412,'Tipo Projeto'!$A$3:$B$35,2,0),0)</f>
        <v>0</v>
      </c>
      <c r="W412" s="47"/>
      <c r="X412" s="49"/>
      <c r="Y412" s="50"/>
      <c r="Z412" s="51"/>
      <c r="AA412" s="52"/>
      <c r="AB412" s="53" t="str">
        <f t="shared" si="97"/>
        <v/>
      </c>
      <c r="AC412" s="48" t="str">
        <f t="shared" si="98"/>
        <v/>
      </c>
      <c r="AD412" s="54" t="str">
        <f t="shared" si="99"/>
        <v/>
      </c>
      <c r="AE412" s="55">
        <f t="shared" si="100"/>
        <v>0</v>
      </c>
      <c r="AF412" s="55">
        <f t="shared" si="101"/>
        <v>0</v>
      </c>
      <c r="AG412" s="58">
        <f t="shared" si="102"/>
        <v>0</v>
      </c>
      <c r="AH412" s="47"/>
      <c r="AJ412" s="47"/>
      <c r="AL412" s="47"/>
      <c r="AM412" s="47" t="str">
        <f t="shared" si="103"/>
        <v/>
      </c>
    </row>
    <row r="413" spans="1:39" s="56" customFormat="1" ht="24.75" customHeight="1">
      <c r="A413" s="44"/>
      <c r="B413" s="45"/>
      <c r="C413" s="46">
        <f>IF(B413&lt;&gt;"",VLOOKUP(B413,'Tipo Projeto'!$A$3:$B$35,2,0),0)</f>
        <v>0</v>
      </c>
      <c r="D413" s="47"/>
      <c r="E413" s="47"/>
      <c r="F413" s="48"/>
      <c r="G413" s="47"/>
      <c r="H413" s="49"/>
      <c r="I413" s="50"/>
      <c r="J413" s="51"/>
      <c r="K413" s="52"/>
      <c r="L413" s="53" t="str">
        <f t="shared" si="91"/>
        <v/>
      </c>
      <c r="M413" s="48" t="str">
        <f t="shared" si="92"/>
        <v/>
      </c>
      <c r="N413" s="54" t="str">
        <f t="shared" si="93"/>
        <v/>
      </c>
      <c r="O413" s="55">
        <f t="shared" si="94"/>
        <v>0</v>
      </c>
      <c r="P413" s="55">
        <f t="shared" si="95"/>
        <v>0</v>
      </c>
      <c r="Q413" s="54">
        <f t="shared" si="96"/>
        <v>0</v>
      </c>
      <c r="R413" s="47"/>
      <c r="T413" s="57"/>
      <c r="U413" s="45"/>
      <c r="V413" s="46">
        <f>IF(U413&lt;&gt;"",VLOOKUP(U413,'Tipo Projeto'!$A$3:$B$35,2,0),0)</f>
        <v>0</v>
      </c>
      <c r="W413" s="47"/>
      <c r="X413" s="49"/>
      <c r="Y413" s="50"/>
      <c r="Z413" s="51"/>
      <c r="AA413" s="52"/>
      <c r="AB413" s="53" t="str">
        <f t="shared" si="97"/>
        <v/>
      </c>
      <c r="AC413" s="48" t="str">
        <f t="shared" si="98"/>
        <v/>
      </c>
      <c r="AD413" s="54" t="str">
        <f t="shared" si="99"/>
        <v/>
      </c>
      <c r="AE413" s="55">
        <f t="shared" si="100"/>
        <v>0</v>
      </c>
      <c r="AF413" s="55">
        <f t="shared" si="101"/>
        <v>0</v>
      </c>
      <c r="AG413" s="58">
        <f t="shared" si="102"/>
        <v>0</v>
      </c>
      <c r="AH413" s="47"/>
      <c r="AJ413" s="47"/>
      <c r="AL413" s="47"/>
      <c r="AM413" s="47" t="str">
        <f t="shared" si="103"/>
        <v/>
      </c>
    </row>
    <row r="414" spans="1:39" s="56" customFormat="1" ht="24.75" customHeight="1">
      <c r="A414" s="44"/>
      <c r="B414" s="45"/>
      <c r="C414" s="46">
        <f>IF(B414&lt;&gt;"",VLOOKUP(B414,'Tipo Projeto'!$A$3:$B$35,2,0),0)</f>
        <v>0</v>
      </c>
      <c r="D414" s="47"/>
      <c r="E414" s="47"/>
      <c r="F414" s="48"/>
      <c r="G414" s="47"/>
      <c r="H414" s="49"/>
      <c r="I414" s="50"/>
      <c r="J414" s="51"/>
      <c r="K414" s="52"/>
      <c r="L414" s="53" t="str">
        <f t="shared" si="91"/>
        <v/>
      </c>
      <c r="M414" s="48" t="str">
        <f t="shared" si="92"/>
        <v/>
      </c>
      <c r="N414" s="54" t="str">
        <f t="shared" si="93"/>
        <v/>
      </c>
      <c r="O414" s="55">
        <f t="shared" si="94"/>
        <v>0</v>
      </c>
      <c r="P414" s="55">
        <f t="shared" si="95"/>
        <v>0</v>
      </c>
      <c r="Q414" s="54">
        <f t="shared" si="96"/>
        <v>0</v>
      </c>
      <c r="R414" s="47"/>
      <c r="T414" s="57"/>
      <c r="U414" s="45"/>
      <c r="V414" s="46">
        <f>IF(U414&lt;&gt;"",VLOOKUP(U414,'Tipo Projeto'!$A$3:$B$35,2,0),0)</f>
        <v>0</v>
      </c>
      <c r="W414" s="47"/>
      <c r="X414" s="49"/>
      <c r="Y414" s="50"/>
      <c r="Z414" s="51"/>
      <c r="AA414" s="52"/>
      <c r="AB414" s="53" t="str">
        <f t="shared" si="97"/>
        <v/>
      </c>
      <c r="AC414" s="48" t="str">
        <f t="shared" si="98"/>
        <v/>
      </c>
      <c r="AD414" s="54" t="str">
        <f t="shared" si="99"/>
        <v/>
      </c>
      <c r="AE414" s="55">
        <f t="shared" si="100"/>
        <v>0</v>
      </c>
      <c r="AF414" s="55">
        <f t="shared" si="101"/>
        <v>0</v>
      </c>
      <c r="AG414" s="58">
        <f t="shared" si="102"/>
        <v>0</v>
      </c>
      <c r="AH414" s="47"/>
      <c r="AJ414" s="47"/>
      <c r="AL414" s="47"/>
      <c r="AM414" s="47" t="str">
        <f t="shared" si="103"/>
        <v/>
      </c>
    </row>
    <row r="415" spans="1:39" s="56" customFormat="1" ht="24.75" customHeight="1">
      <c r="A415" s="44"/>
      <c r="B415" s="45"/>
      <c r="C415" s="46">
        <f>IF(B415&lt;&gt;"",VLOOKUP(B415,'Tipo Projeto'!$A$3:$B$35,2,0),0)</f>
        <v>0</v>
      </c>
      <c r="D415" s="47"/>
      <c r="E415" s="47"/>
      <c r="F415" s="48"/>
      <c r="G415" s="47"/>
      <c r="H415" s="49"/>
      <c r="I415" s="50"/>
      <c r="J415" s="51"/>
      <c r="K415" s="52"/>
      <c r="L415" s="53" t="str">
        <f t="shared" si="91"/>
        <v/>
      </c>
      <c r="M415" s="48" t="str">
        <f t="shared" si="92"/>
        <v/>
      </c>
      <c r="N415" s="54" t="str">
        <f t="shared" si="93"/>
        <v/>
      </c>
      <c r="O415" s="55">
        <f t="shared" si="94"/>
        <v>0</v>
      </c>
      <c r="P415" s="55">
        <f t="shared" si="95"/>
        <v>0</v>
      </c>
      <c r="Q415" s="54">
        <f t="shared" si="96"/>
        <v>0</v>
      </c>
      <c r="R415" s="47"/>
      <c r="T415" s="57"/>
      <c r="U415" s="45"/>
      <c r="V415" s="46">
        <f>IF(U415&lt;&gt;"",VLOOKUP(U415,'Tipo Projeto'!$A$3:$B$35,2,0),0)</f>
        <v>0</v>
      </c>
      <c r="W415" s="47"/>
      <c r="X415" s="49"/>
      <c r="Y415" s="50"/>
      <c r="Z415" s="51"/>
      <c r="AA415" s="52"/>
      <c r="AB415" s="53" t="str">
        <f t="shared" si="97"/>
        <v/>
      </c>
      <c r="AC415" s="48" t="str">
        <f t="shared" si="98"/>
        <v/>
      </c>
      <c r="AD415" s="54" t="str">
        <f t="shared" si="99"/>
        <v/>
      </c>
      <c r="AE415" s="55">
        <f t="shared" si="100"/>
        <v>0</v>
      </c>
      <c r="AF415" s="55">
        <f t="shared" si="101"/>
        <v>0</v>
      </c>
      <c r="AG415" s="58">
        <f t="shared" si="102"/>
        <v>0</v>
      </c>
      <c r="AH415" s="47"/>
      <c r="AJ415" s="47"/>
      <c r="AL415" s="47"/>
      <c r="AM415" s="47" t="str">
        <f t="shared" si="103"/>
        <v/>
      </c>
    </row>
    <row r="416" spans="1:39" s="56" customFormat="1" ht="24.75" customHeight="1">
      <c r="A416" s="44"/>
      <c r="B416" s="45"/>
      <c r="C416" s="46">
        <f>IF(B416&lt;&gt;"",VLOOKUP(B416,'Tipo Projeto'!$A$3:$B$35,2,0),0)</f>
        <v>0</v>
      </c>
      <c r="D416" s="47"/>
      <c r="E416" s="47"/>
      <c r="F416" s="48"/>
      <c r="G416" s="47"/>
      <c r="H416" s="49"/>
      <c r="I416" s="50"/>
      <c r="J416" s="51"/>
      <c r="K416" s="52"/>
      <c r="L416" s="53" t="str">
        <f t="shared" si="91"/>
        <v/>
      </c>
      <c r="M416" s="48" t="str">
        <f t="shared" si="92"/>
        <v/>
      </c>
      <c r="N416" s="54" t="str">
        <f t="shared" si="93"/>
        <v/>
      </c>
      <c r="O416" s="55">
        <f t="shared" si="94"/>
        <v>0</v>
      </c>
      <c r="P416" s="55">
        <f t="shared" si="95"/>
        <v>0</v>
      </c>
      <c r="Q416" s="54">
        <f t="shared" si="96"/>
        <v>0</v>
      </c>
      <c r="R416" s="47"/>
      <c r="T416" s="57"/>
      <c r="U416" s="45"/>
      <c r="V416" s="46">
        <f>IF(U416&lt;&gt;"",VLOOKUP(U416,'Tipo Projeto'!$A$3:$B$35,2,0),0)</f>
        <v>0</v>
      </c>
      <c r="W416" s="47"/>
      <c r="X416" s="49"/>
      <c r="Y416" s="50"/>
      <c r="Z416" s="51"/>
      <c r="AA416" s="52"/>
      <c r="AB416" s="53" t="str">
        <f t="shared" si="97"/>
        <v/>
      </c>
      <c r="AC416" s="48" t="str">
        <f t="shared" si="98"/>
        <v/>
      </c>
      <c r="AD416" s="54" t="str">
        <f t="shared" si="99"/>
        <v/>
      </c>
      <c r="AE416" s="55">
        <f t="shared" si="100"/>
        <v>0</v>
      </c>
      <c r="AF416" s="55">
        <f t="shared" si="101"/>
        <v>0</v>
      </c>
      <c r="AG416" s="58">
        <f t="shared" si="102"/>
        <v>0</v>
      </c>
      <c r="AH416" s="47"/>
      <c r="AJ416" s="47"/>
      <c r="AL416" s="47"/>
      <c r="AM416" s="47" t="str">
        <f t="shared" si="103"/>
        <v/>
      </c>
    </row>
    <row r="417" spans="1:39" s="56" customFormat="1" ht="24.75" customHeight="1">
      <c r="A417" s="44"/>
      <c r="B417" s="45"/>
      <c r="C417" s="46">
        <f>IF(B417&lt;&gt;"",VLOOKUP(B417,'Tipo Projeto'!$A$3:$B$35,2,0),0)</f>
        <v>0</v>
      </c>
      <c r="D417" s="47"/>
      <c r="E417" s="47"/>
      <c r="F417" s="48"/>
      <c r="G417" s="47"/>
      <c r="H417" s="49"/>
      <c r="I417" s="50"/>
      <c r="J417" s="51"/>
      <c r="K417" s="52"/>
      <c r="L417" s="53" t="str">
        <f t="shared" si="91"/>
        <v/>
      </c>
      <c r="M417" s="48" t="str">
        <f t="shared" si="92"/>
        <v/>
      </c>
      <c r="N417" s="54" t="str">
        <f t="shared" si="93"/>
        <v/>
      </c>
      <c r="O417" s="55">
        <f t="shared" si="94"/>
        <v>0</v>
      </c>
      <c r="P417" s="55">
        <f t="shared" si="95"/>
        <v>0</v>
      </c>
      <c r="Q417" s="54">
        <f t="shared" si="96"/>
        <v>0</v>
      </c>
      <c r="R417" s="47"/>
      <c r="T417" s="57"/>
      <c r="U417" s="45"/>
      <c r="V417" s="46">
        <f>IF(U417&lt;&gt;"",VLOOKUP(U417,'Tipo Projeto'!$A$3:$B$35,2,0),0)</f>
        <v>0</v>
      </c>
      <c r="W417" s="47"/>
      <c r="X417" s="49"/>
      <c r="Y417" s="50"/>
      <c r="Z417" s="51"/>
      <c r="AA417" s="52"/>
      <c r="AB417" s="53" t="str">
        <f t="shared" si="97"/>
        <v/>
      </c>
      <c r="AC417" s="48" t="str">
        <f t="shared" si="98"/>
        <v/>
      </c>
      <c r="AD417" s="54" t="str">
        <f t="shared" si="99"/>
        <v/>
      </c>
      <c r="AE417" s="55">
        <f t="shared" si="100"/>
        <v>0</v>
      </c>
      <c r="AF417" s="55">
        <f t="shared" si="101"/>
        <v>0</v>
      </c>
      <c r="AG417" s="58">
        <f t="shared" si="102"/>
        <v>0</v>
      </c>
      <c r="AH417" s="47"/>
      <c r="AJ417" s="47"/>
      <c r="AL417" s="47"/>
      <c r="AM417" s="47" t="str">
        <f t="shared" si="103"/>
        <v/>
      </c>
    </row>
    <row r="418" spans="1:39" s="56" customFormat="1" ht="24.75" customHeight="1">
      <c r="A418" s="44"/>
      <c r="B418" s="45"/>
      <c r="C418" s="46">
        <f>IF(B418&lt;&gt;"",VLOOKUP(B418,'Tipo Projeto'!$A$3:$B$35,2,0),0)</f>
        <v>0</v>
      </c>
      <c r="D418" s="47"/>
      <c r="E418" s="47"/>
      <c r="F418" s="48"/>
      <c r="G418" s="47"/>
      <c r="H418" s="49"/>
      <c r="I418" s="50"/>
      <c r="J418" s="51"/>
      <c r="K418" s="52"/>
      <c r="L418" s="53" t="str">
        <f t="shared" si="91"/>
        <v/>
      </c>
      <c r="M418" s="48" t="str">
        <f t="shared" si="92"/>
        <v/>
      </c>
      <c r="N418" s="54" t="str">
        <f t="shared" si="93"/>
        <v/>
      </c>
      <c r="O418" s="55">
        <f t="shared" si="94"/>
        <v>0</v>
      </c>
      <c r="P418" s="55">
        <f t="shared" si="95"/>
        <v>0</v>
      </c>
      <c r="Q418" s="54">
        <f t="shared" si="96"/>
        <v>0</v>
      </c>
      <c r="R418" s="47"/>
      <c r="T418" s="57"/>
      <c r="U418" s="45"/>
      <c r="V418" s="46">
        <f>IF(U418&lt;&gt;"",VLOOKUP(U418,'Tipo Projeto'!$A$3:$B$35,2,0),0)</f>
        <v>0</v>
      </c>
      <c r="W418" s="47"/>
      <c r="X418" s="49"/>
      <c r="Y418" s="50"/>
      <c r="Z418" s="51"/>
      <c r="AA418" s="52"/>
      <c r="AB418" s="53" t="str">
        <f t="shared" si="97"/>
        <v/>
      </c>
      <c r="AC418" s="48" t="str">
        <f t="shared" si="98"/>
        <v/>
      </c>
      <c r="AD418" s="54" t="str">
        <f t="shared" si="99"/>
        <v/>
      </c>
      <c r="AE418" s="55">
        <f t="shared" si="100"/>
        <v>0</v>
      </c>
      <c r="AF418" s="55">
        <f t="shared" si="101"/>
        <v>0</v>
      </c>
      <c r="AG418" s="58">
        <f t="shared" si="102"/>
        <v>0</v>
      </c>
      <c r="AH418" s="47"/>
      <c r="AJ418" s="47"/>
      <c r="AL418" s="47"/>
      <c r="AM418" s="47" t="str">
        <f t="shared" si="103"/>
        <v/>
      </c>
    </row>
    <row r="419" spans="1:39" s="56" customFormat="1" ht="24.75" customHeight="1">
      <c r="A419" s="44"/>
      <c r="B419" s="45"/>
      <c r="C419" s="46">
        <f>IF(B419&lt;&gt;"",VLOOKUP(B419,'Tipo Projeto'!$A$3:$B$35,2,0),0)</f>
        <v>0</v>
      </c>
      <c r="D419" s="47"/>
      <c r="E419" s="47"/>
      <c r="F419" s="48"/>
      <c r="G419" s="47"/>
      <c r="H419" s="49"/>
      <c r="I419" s="50"/>
      <c r="J419" s="51"/>
      <c r="K419" s="52"/>
      <c r="L419" s="53" t="str">
        <f t="shared" si="91"/>
        <v/>
      </c>
      <c r="M419" s="48" t="str">
        <f t="shared" si="92"/>
        <v/>
      </c>
      <c r="N419" s="54" t="str">
        <f t="shared" si="93"/>
        <v/>
      </c>
      <c r="O419" s="55">
        <f t="shared" si="94"/>
        <v>0</v>
      </c>
      <c r="P419" s="55">
        <f t="shared" si="95"/>
        <v>0</v>
      </c>
      <c r="Q419" s="54">
        <f t="shared" si="96"/>
        <v>0</v>
      </c>
      <c r="R419" s="47"/>
      <c r="T419" s="57"/>
      <c r="U419" s="45"/>
      <c r="V419" s="46">
        <f>IF(U419&lt;&gt;"",VLOOKUP(U419,'Tipo Projeto'!$A$3:$B$35,2,0),0)</f>
        <v>0</v>
      </c>
      <c r="W419" s="47"/>
      <c r="X419" s="49"/>
      <c r="Y419" s="50"/>
      <c r="Z419" s="51"/>
      <c r="AA419" s="52"/>
      <c r="AB419" s="53" t="str">
        <f t="shared" si="97"/>
        <v/>
      </c>
      <c r="AC419" s="48" t="str">
        <f t="shared" si="98"/>
        <v/>
      </c>
      <c r="AD419" s="54" t="str">
        <f t="shared" si="99"/>
        <v/>
      </c>
      <c r="AE419" s="55">
        <f t="shared" si="100"/>
        <v>0</v>
      </c>
      <c r="AF419" s="55">
        <f t="shared" si="101"/>
        <v>0</v>
      </c>
      <c r="AG419" s="58">
        <f t="shared" si="102"/>
        <v>0</v>
      </c>
      <c r="AH419" s="47"/>
      <c r="AJ419" s="47"/>
      <c r="AL419" s="47"/>
      <c r="AM419" s="47" t="str">
        <f t="shared" si="103"/>
        <v/>
      </c>
    </row>
    <row r="420" spans="1:39" s="56" customFormat="1" ht="24.75" customHeight="1">
      <c r="A420" s="44"/>
      <c r="B420" s="45"/>
      <c r="C420" s="46">
        <f>IF(B420&lt;&gt;"",VLOOKUP(B420,'Tipo Projeto'!$A$3:$B$35,2,0),0)</f>
        <v>0</v>
      </c>
      <c r="D420" s="47"/>
      <c r="E420" s="47"/>
      <c r="F420" s="48"/>
      <c r="G420" s="47"/>
      <c r="H420" s="49"/>
      <c r="I420" s="50"/>
      <c r="J420" s="51"/>
      <c r="K420" s="52"/>
      <c r="L420" s="53" t="str">
        <f t="shared" si="91"/>
        <v/>
      </c>
      <c r="M420" s="48" t="str">
        <f t="shared" si="92"/>
        <v/>
      </c>
      <c r="N420" s="54" t="str">
        <f t="shared" si="93"/>
        <v/>
      </c>
      <c r="O420" s="55">
        <f t="shared" si="94"/>
        <v>0</v>
      </c>
      <c r="P420" s="55">
        <f t="shared" si="95"/>
        <v>0</v>
      </c>
      <c r="Q420" s="54">
        <f t="shared" si="96"/>
        <v>0</v>
      </c>
      <c r="R420" s="47"/>
      <c r="T420" s="57"/>
      <c r="U420" s="45"/>
      <c r="V420" s="46">
        <f>IF(U420&lt;&gt;"",VLOOKUP(U420,'Tipo Projeto'!$A$3:$B$35,2,0),0)</f>
        <v>0</v>
      </c>
      <c r="W420" s="47"/>
      <c r="X420" s="49"/>
      <c r="Y420" s="50"/>
      <c r="Z420" s="51"/>
      <c r="AA420" s="52"/>
      <c r="AB420" s="53" t="str">
        <f t="shared" si="97"/>
        <v/>
      </c>
      <c r="AC420" s="48" t="str">
        <f t="shared" si="98"/>
        <v/>
      </c>
      <c r="AD420" s="54" t="str">
        <f t="shared" si="99"/>
        <v/>
      </c>
      <c r="AE420" s="55">
        <f t="shared" si="100"/>
        <v>0</v>
      </c>
      <c r="AF420" s="55">
        <f t="shared" si="101"/>
        <v>0</v>
      </c>
      <c r="AG420" s="58">
        <f t="shared" si="102"/>
        <v>0</v>
      </c>
      <c r="AH420" s="47"/>
      <c r="AJ420" s="47"/>
      <c r="AL420" s="47"/>
      <c r="AM420" s="47" t="str">
        <f t="shared" si="103"/>
        <v/>
      </c>
    </row>
    <row r="421" spans="1:39" s="56" customFormat="1" ht="24.75" customHeight="1">
      <c r="A421" s="44"/>
      <c r="B421" s="45"/>
      <c r="C421" s="46">
        <f>IF(B421&lt;&gt;"",VLOOKUP(B421,'Tipo Projeto'!$A$3:$B$35,2,0),0)</f>
        <v>0</v>
      </c>
      <c r="D421" s="47"/>
      <c r="E421" s="47"/>
      <c r="F421" s="48"/>
      <c r="G421" s="47"/>
      <c r="H421" s="49"/>
      <c r="I421" s="50"/>
      <c r="J421" s="51"/>
      <c r="K421" s="52"/>
      <c r="L421" s="53" t="str">
        <f t="shared" si="91"/>
        <v/>
      </c>
      <c r="M421" s="48" t="str">
        <f t="shared" si="92"/>
        <v/>
      </c>
      <c r="N421" s="54" t="str">
        <f t="shared" si="93"/>
        <v/>
      </c>
      <c r="O421" s="55">
        <f t="shared" si="94"/>
        <v>0</v>
      </c>
      <c r="P421" s="55">
        <f t="shared" si="95"/>
        <v>0</v>
      </c>
      <c r="Q421" s="54">
        <f t="shared" si="96"/>
        <v>0</v>
      </c>
      <c r="R421" s="47"/>
      <c r="T421" s="57"/>
      <c r="U421" s="45"/>
      <c r="V421" s="46">
        <f>IF(U421&lt;&gt;"",VLOOKUP(U421,'Tipo Projeto'!$A$3:$B$35,2,0),0)</f>
        <v>0</v>
      </c>
      <c r="W421" s="47"/>
      <c r="X421" s="49"/>
      <c r="Y421" s="50"/>
      <c r="Z421" s="51"/>
      <c r="AA421" s="52"/>
      <c r="AB421" s="53" t="str">
        <f t="shared" si="97"/>
        <v/>
      </c>
      <c r="AC421" s="48" t="str">
        <f t="shared" si="98"/>
        <v/>
      </c>
      <c r="AD421" s="54" t="str">
        <f t="shared" si="99"/>
        <v/>
      </c>
      <c r="AE421" s="55">
        <f t="shared" si="100"/>
        <v>0</v>
      </c>
      <c r="AF421" s="55">
        <f t="shared" si="101"/>
        <v>0</v>
      </c>
      <c r="AG421" s="58">
        <f t="shared" si="102"/>
        <v>0</v>
      </c>
      <c r="AH421" s="47"/>
      <c r="AJ421" s="47"/>
      <c r="AL421" s="47"/>
      <c r="AM421" s="47" t="str">
        <f t="shared" si="103"/>
        <v/>
      </c>
    </row>
    <row r="422" spans="1:39" s="56" customFormat="1" ht="24.75" customHeight="1">
      <c r="A422" s="44"/>
      <c r="B422" s="45"/>
      <c r="C422" s="46">
        <f>IF(B422&lt;&gt;"",VLOOKUP(B422,'Tipo Projeto'!$A$3:$B$35,2,0),0)</f>
        <v>0</v>
      </c>
      <c r="D422" s="47"/>
      <c r="E422" s="47"/>
      <c r="F422" s="48"/>
      <c r="G422" s="47"/>
      <c r="H422" s="49"/>
      <c r="I422" s="50"/>
      <c r="J422" s="51"/>
      <c r="K422" s="52"/>
      <c r="L422" s="53" t="str">
        <f t="shared" si="91"/>
        <v/>
      </c>
      <c r="M422" s="48" t="str">
        <f t="shared" si="92"/>
        <v/>
      </c>
      <c r="N422" s="54" t="str">
        <f t="shared" si="93"/>
        <v/>
      </c>
      <c r="O422" s="55">
        <f t="shared" si="94"/>
        <v>0</v>
      </c>
      <c r="P422" s="55">
        <f t="shared" si="95"/>
        <v>0</v>
      </c>
      <c r="Q422" s="54">
        <f t="shared" si="96"/>
        <v>0</v>
      </c>
      <c r="R422" s="47"/>
      <c r="T422" s="57"/>
      <c r="U422" s="45"/>
      <c r="V422" s="46">
        <f>IF(U422&lt;&gt;"",VLOOKUP(U422,'Tipo Projeto'!$A$3:$B$35,2,0),0)</f>
        <v>0</v>
      </c>
      <c r="W422" s="47"/>
      <c r="X422" s="49"/>
      <c r="Y422" s="50"/>
      <c r="Z422" s="51"/>
      <c r="AA422" s="52"/>
      <c r="AB422" s="53" t="str">
        <f t="shared" si="97"/>
        <v/>
      </c>
      <c r="AC422" s="48" t="str">
        <f t="shared" si="98"/>
        <v/>
      </c>
      <c r="AD422" s="54" t="str">
        <f t="shared" si="99"/>
        <v/>
      </c>
      <c r="AE422" s="55">
        <f t="shared" si="100"/>
        <v>0</v>
      </c>
      <c r="AF422" s="55">
        <f t="shared" si="101"/>
        <v>0</v>
      </c>
      <c r="AG422" s="58">
        <f t="shared" si="102"/>
        <v>0</v>
      </c>
      <c r="AH422" s="47"/>
      <c r="AJ422" s="47"/>
      <c r="AL422" s="47"/>
      <c r="AM422" s="47" t="str">
        <f t="shared" si="103"/>
        <v/>
      </c>
    </row>
    <row r="423" spans="1:39" s="56" customFormat="1" ht="24.75" customHeight="1">
      <c r="A423" s="44"/>
      <c r="B423" s="45"/>
      <c r="C423" s="46">
        <f>IF(B423&lt;&gt;"",VLOOKUP(B423,'Tipo Projeto'!$A$3:$B$35,2,0),0)</f>
        <v>0</v>
      </c>
      <c r="D423" s="47"/>
      <c r="E423" s="47"/>
      <c r="F423" s="48"/>
      <c r="G423" s="47"/>
      <c r="H423" s="49"/>
      <c r="I423" s="50"/>
      <c r="J423" s="51"/>
      <c r="K423" s="52"/>
      <c r="L423" s="53" t="str">
        <f t="shared" si="91"/>
        <v/>
      </c>
      <c r="M423" s="48" t="str">
        <f t="shared" si="92"/>
        <v/>
      </c>
      <c r="N423" s="54" t="str">
        <f t="shared" si="93"/>
        <v/>
      </c>
      <c r="O423" s="55">
        <f t="shared" si="94"/>
        <v>0</v>
      </c>
      <c r="P423" s="55">
        <f t="shared" si="95"/>
        <v>0</v>
      </c>
      <c r="Q423" s="54">
        <f t="shared" si="96"/>
        <v>0</v>
      </c>
      <c r="R423" s="47"/>
      <c r="T423" s="57"/>
      <c r="U423" s="45"/>
      <c r="V423" s="46">
        <f>IF(U423&lt;&gt;"",VLOOKUP(U423,'Tipo Projeto'!$A$3:$B$35,2,0),0)</f>
        <v>0</v>
      </c>
      <c r="W423" s="47"/>
      <c r="X423" s="49"/>
      <c r="Y423" s="50"/>
      <c r="Z423" s="51"/>
      <c r="AA423" s="52"/>
      <c r="AB423" s="53" t="str">
        <f t="shared" si="97"/>
        <v/>
      </c>
      <c r="AC423" s="48" t="str">
        <f t="shared" si="98"/>
        <v/>
      </c>
      <c r="AD423" s="54" t="str">
        <f t="shared" si="99"/>
        <v/>
      </c>
      <c r="AE423" s="55">
        <f t="shared" si="100"/>
        <v>0</v>
      </c>
      <c r="AF423" s="55">
        <f t="shared" si="101"/>
        <v>0</v>
      </c>
      <c r="AG423" s="58">
        <f t="shared" si="102"/>
        <v>0</v>
      </c>
      <c r="AH423" s="47"/>
      <c r="AJ423" s="47"/>
      <c r="AL423" s="47"/>
      <c r="AM423" s="47" t="str">
        <f t="shared" si="103"/>
        <v/>
      </c>
    </row>
    <row r="424" spans="1:39" s="56" customFormat="1" ht="24.75" customHeight="1">
      <c r="A424" s="44"/>
      <c r="B424" s="45"/>
      <c r="C424" s="46">
        <f>IF(B424&lt;&gt;"",VLOOKUP(B424,'Tipo Projeto'!$A$3:$B$35,2,0),0)</f>
        <v>0</v>
      </c>
      <c r="D424" s="47"/>
      <c r="E424" s="47"/>
      <c r="F424" s="48"/>
      <c r="G424" s="47"/>
      <c r="H424" s="49"/>
      <c r="I424" s="50"/>
      <c r="J424" s="51"/>
      <c r="K424" s="52"/>
      <c r="L424" s="53" t="str">
        <f t="shared" si="91"/>
        <v/>
      </c>
      <c r="M424" s="48" t="str">
        <f t="shared" si="92"/>
        <v/>
      </c>
      <c r="N424" s="54" t="str">
        <f t="shared" si="93"/>
        <v/>
      </c>
      <c r="O424" s="55">
        <f t="shared" si="94"/>
        <v>0</v>
      </c>
      <c r="P424" s="55">
        <f t="shared" si="95"/>
        <v>0</v>
      </c>
      <c r="Q424" s="54">
        <f t="shared" si="96"/>
        <v>0</v>
      </c>
      <c r="R424" s="47"/>
      <c r="T424" s="57"/>
      <c r="U424" s="45"/>
      <c r="V424" s="46">
        <f>IF(U424&lt;&gt;"",VLOOKUP(U424,'Tipo Projeto'!$A$3:$B$35,2,0),0)</f>
        <v>0</v>
      </c>
      <c r="W424" s="47"/>
      <c r="X424" s="49"/>
      <c r="Y424" s="50"/>
      <c r="Z424" s="51"/>
      <c r="AA424" s="52"/>
      <c r="AB424" s="53" t="str">
        <f t="shared" si="97"/>
        <v/>
      </c>
      <c r="AC424" s="48" t="str">
        <f t="shared" si="98"/>
        <v/>
      </c>
      <c r="AD424" s="54" t="str">
        <f t="shared" si="99"/>
        <v/>
      </c>
      <c r="AE424" s="55">
        <f t="shared" si="100"/>
        <v>0</v>
      </c>
      <c r="AF424" s="55">
        <f t="shared" si="101"/>
        <v>0</v>
      </c>
      <c r="AG424" s="58">
        <f t="shared" si="102"/>
        <v>0</v>
      </c>
      <c r="AH424" s="47"/>
      <c r="AJ424" s="47"/>
      <c r="AL424" s="47"/>
      <c r="AM424" s="47" t="str">
        <f t="shared" si="103"/>
        <v/>
      </c>
    </row>
    <row r="425" spans="1:39" s="56" customFormat="1" ht="24.75" customHeight="1">
      <c r="A425" s="44"/>
      <c r="B425" s="45"/>
      <c r="C425" s="46">
        <f>IF(B425&lt;&gt;"",VLOOKUP(B425,'Tipo Projeto'!$A$3:$B$35,2,0),0)</f>
        <v>0</v>
      </c>
      <c r="D425" s="47"/>
      <c r="E425" s="47"/>
      <c r="F425" s="48"/>
      <c r="G425" s="47"/>
      <c r="H425" s="49"/>
      <c r="I425" s="50"/>
      <c r="J425" s="51"/>
      <c r="K425" s="52"/>
      <c r="L425" s="53" t="str">
        <f t="shared" si="91"/>
        <v/>
      </c>
      <c r="M425" s="48" t="str">
        <f t="shared" si="92"/>
        <v/>
      </c>
      <c r="N425" s="54" t="str">
        <f t="shared" si="93"/>
        <v/>
      </c>
      <c r="O425" s="55">
        <f t="shared" si="94"/>
        <v>0</v>
      </c>
      <c r="P425" s="55">
        <f t="shared" si="95"/>
        <v>0</v>
      </c>
      <c r="Q425" s="54">
        <f t="shared" si="96"/>
        <v>0</v>
      </c>
      <c r="R425" s="47"/>
      <c r="T425" s="57"/>
      <c r="U425" s="45"/>
      <c r="V425" s="46">
        <f>IF(U425&lt;&gt;"",VLOOKUP(U425,'Tipo Projeto'!$A$3:$B$35,2,0),0)</f>
        <v>0</v>
      </c>
      <c r="W425" s="47"/>
      <c r="X425" s="49"/>
      <c r="Y425" s="50"/>
      <c r="Z425" s="51"/>
      <c r="AA425" s="52"/>
      <c r="AB425" s="53" t="str">
        <f t="shared" si="97"/>
        <v/>
      </c>
      <c r="AC425" s="48" t="str">
        <f t="shared" si="98"/>
        <v/>
      </c>
      <c r="AD425" s="54" t="str">
        <f t="shared" si="99"/>
        <v/>
      </c>
      <c r="AE425" s="55">
        <f t="shared" si="100"/>
        <v>0</v>
      </c>
      <c r="AF425" s="55">
        <f t="shared" si="101"/>
        <v>0</v>
      </c>
      <c r="AG425" s="58">
        <f t="shared" si="102"/>
        <v>0</v>
      </c>
      <c r="AH425" s="47"/>
      <c r="AJ425" s="47"/>
      <c r="AL425" s="47"/>
      <c r="AM425" s="47" t="str">
        <f t="shared" si="103"/>
        <v/>
      </c>
    </row>
    <row r="426" spans="1:39" s="56" customFormat="1" ht="24.75" customHeight="1">
      <c r="A426" s="44"/>
      <c r="B426" s="45"/>
      <c r="C426" s="46">
        <f>IF(B426&lt;&gt;"",VLOOKUP(B426,'Tipo Projeto'!$A$3:$B$35,2,0),0)</f>
        <v>0</v>
      </c>
      <c r="D426" s="47"/>
      <c r="E426" s="47"/>
      <c r="F426" s="48"/>
      <c r="G426" s="47"/>
      <c r="H426" s="49"/>
      <c r="I426" s="50"/>
      <c r="J426" s="51"/>
      <c r="K426" s="52"/>
      <c r="L426" s="53" t="str">
        <f t="shared" si="91"/>
        <v/>
      </c>
      <c r="M426" s="48" t="str">
        <f t="shared" si="92"/>
        <v/>
      </c>
      <c r="N426" s="54" t="str">
        <f t="shared" si="93"/>
        <v/>
      </c>
      <c r="O426" s="55">
        <f t="shared" si="94"/>
        <v>0</v>
      </c>
      <c r="P426" s="55">
        <f t="shared" si="95"/>
        <v>0</v>
      </c>
      <c r="Q426" s="54">
        <f t="shared" si="96"/>
        <v>0</v>
      </c>
      <c r="R426" s="47"/>
      <c r="T426" s="57"/>
      <c r="U426" s="45"/>
      <c r="V426" s="46">
        <f>IF(U426&lt;&gt;"",VLOOKUP(U426,'Tipo Projeto'!$A$3:$B$35,2,0),0)</f>
        <v>0</v>
      </c>
      <c r="W426" s="47"/>
      <c r="X426" s="49"/>
      <c r="Y426" s="50"/>
      <c r="Z426" s="51"/>
      <c r="AA426" s="52"/>
      <c r="AB426" s="53" t="str">
        <f t="shared" si="97"/>
        <v/>
      </c>
      <c r="AC426" s="48" t="str">
        <f t="shared" si="98"/>
        <v/>
      </c>
      <c r="AD426" s="54" t="str">
        <f t="shared" si="99"/>
        <v/>
      </c>
      <c r="AE426" s="55">
        <f t="shared" si="100"/>
        <v>0</v>
      </c>
      <c r="AF426" s="55">
        <f t="shared" si="101"/>
        <v>0</v>
      </c>
      <c r="AG426" s="58">
        <f t="shared" si="102"/>
        <v>0</v>
      </c>
      <c r="AH426" s="47"/>
      <c r="AJ426" s="47"/>
      <c r="AL426" s="47"/>
      <c r="AM426" s="47" t="str">
        <f t="shared" si="103"/>
        <v/>
      </c>
    </row>
    <row r="427" spans="1:39" s="56" customFormat="1" ht="24.75" customHeight="1">
      <c r="A427" s="44"/>
      <c r="B427" s="45"/>
      <c r="C427" s="46">
        <f>IF(B427&lt;&gt;"",VLOOKUP(B427,'Tipo Projeto'!$A$3:$B$35,2,0),0)</f>
        <v>0</v>
      </c>
      <c r="D427" s="47"/>
      <c r="E427" s="47"/>
      <c r="F427" s="48"/>
      <c r="G427" s="47"/>
      <c r="H427" s="49"/>
      <c r="I427" s="50"/>
      <c r="J427" s="51"/>
      <c r="K427" s="52"/>
      <c r="L427" s="53" t="str">
        <f t="shared" si="91"/>
        <v/>
      </c>
      <c r="M427" s="48" t="str">
        <f t="shared" si="92"/>
        <v/>
      </c>
      <c r="N427" s="54" t="str">
        <f t="shared" si="93"/>
        <v/>
      </c>
      <c r="O427" s="55">
        <f t="shared" si="94"/>
        <v>0</v>
      </c>
      <c r="P427" s="55">
        <f t="shared" si="95"/>
        <v>0</v>
      </c>
      <c r="Q427" s="54">
        <f t="shared" si="96"/>
        <v>0</v>
      </c>
      <c r="R427" s="47"/>
      <c r="T427" s="57"/>
      <c r="U427" s="45"/>
      <c r="V427" s="46">
        <f>IF(U427&lt;&gt;"",VLOOKUP(U427,'Tipo Projeto'!$A$3:$B$35,2,0),0)</f>
        <v>0</v>
      </c>
      <c r="W427" s="47"/>
      <c r="X427" s="49"/>
      <c r="Y427" s="50"/>
      <c r="Z427" s="51"/>
      <c r="AA427" s="52"/>
      <c r="AB427" s="53" t="str">
        <f t="shared" si="97"/>
        <v/>
      </c>
      <c r="AC427" s="48" t="str">
        <f t="shared" si="98"/>
        <v/>
      </c>
      <c r="AD427" s="54" t="str">
        <f t="shared" si="99"/>
        <v/>
      </c>
      <c r="AE427" s="55">
        <f t="shared" si="100"/>
        <v>0</v>
      </c>
      <c r="AF427" s="55">
        <f t="shared" si="101"/>
        <v>0</v>
      </c>
      <c r="AG427" s="58">
        <f t="shared" si="102"/>
        <v>0</v>
      </c>
      <c r="AH427" s="47"/>
      <c r="AJ427" s="47"/>
      <c r="AL427" s="47"/>
      <c r="AM427" s="47" t="str">
        <f t="shared" si="103"/>
        <v/>
      </c>
    </row>
    <row r="428" spans="1:39" s="56" customFormat="1" ht="24.75" customHeight="1">
      <c r="A428" s="44"/>
      <c r="B428" s="45"/>
      <c r="C428" s="46">
        <f>IF(B428&lt;&gt;"",VLOOKUP(B428,'Tipo Projeto'!$A$3:$B$35,2,0),0)</f>
        <v>0</v>
      </c>
      <c r="D428" s="47"/>
      <c r="E428" s="47"/>
      <c r="F428" s="48"/>
      <c r="G428" s="47"/>
      <c r="H428" s="49"/>
      <c r="I428" s="50"/>
      <c r="J428" s="51"/>
      <c r="K428" s="52"/>
      <c r="L428" s="53" t="str">
        <f t="shared" si="91"/>
        <v/>
      </c>
      <c r="M428" s="48" t="str">
        <f t="shared" si="92"/>
        <v/>
      </c>
      <c r="N428" s="54" t="str">
        <f t="shared" si="93"/>
        <v/>
      </c>
      <c r="O428" s="55">
        <f t="shared" si="94"/>
        <v>0</v>
      </c>
      <c r="P428" s="55">
        <f t="shared" si="95"/>
        <v>0</v>
      </c>
      <c r="Q428" s="54">
        <f t="shared" si="96"/>
        <v>0</v>
      </c>
      <c r="R428" s="47"/>
      <c r="T428" s="57"/>
      <c r="U428" s="45"/>
      <c r="V428" s="46">
        <f>IF(U428&lt;&gt;"",VLOOKUP(U428,'Tipo Projeto'!$A$3:$B$35,2,0),0)</f>
        <v>0</v>
      </c>
      <c r="W428" s="47"/>
      <c r="X428" s="49"/>
      <c r="Y428" s="50"/>
      <c r="Z428" s="51"/>
      <c r="AA428" s="52"/>
      <c r="AB428" s="53" t="str">
        <f t="shared" si="97"/>
        <v/>
      </c>
      <c r="AC428" s="48" t="str">
        <f t="shared" si="98"/>
        <v/>
      </c>
      <c r="AD428" s="54" t="str">
        <f t="shared" si="99"/>
        <v/>
      </c>
      <c r="AE428" s="55">
        <f t="shared" si="100"/>
        <v>0</v>
      </c>
      <c r="AF428" s="55">
        <f t="shared" si="101"/>
        <v>0</v>
      </c>
      <c r="AG428" s="58">
        <f t="shared" si="102"/>
        <v>0</v>
      </c>
      <c r="AH428" s="47"/>
      <c r="AJ428" s="47"/>
      <c r="AL428" s="47"/>
      <c r="AM428" s="47" t="str">
        <f t="shared" si="103"/>
        <v/>
      </c>
    </row>
    <row r="429" spans="1:39" s="56" customFormat="1" ht="24.75" customHeight="1">
      <c r="A429" s="44"/>
      <c r="B429" s="45"/>
      <c r="C429" s="46">
        <f>IF(B429&lt;&gt;"",VLOOKUP(B429,'Tipo Projeto'!$A$3:$B$35,2,0),0)</f>
        <v>0</v>
      </c>
      <c r="D429" s="47"/>
      <c r="E429" s="47"/>
      <c r="F429" s="48"/>
      <c r="G429" s="47"/>
      <c r="H429" s="49"/>
      <c r="I429" s="50"/>
      <c r="J429" s="51"/>
      <c r="K429" s="52"/>
      <c r="L429" s="53" t="str">
        <f t="shared" si="91"/>
        <v/>
      </c>
      <c r="M429" s="48" t="str">
        <f t="shared" si="92"/>
        <v/>
      </c>
      <c r="N429" s="54" t="str">
        <f t="shared" si="93"/>
        <v/>
      </c>
      <c r="O429" s="55">
        <f t="shared" si="94"/>
        <v>0</v>
      </c>
      <c r="P429" s="55">
        <f t="shared" si="95"/>
        <v>0</v>
      </c>
      <c r="Q429" s="54">
        <f t="shared" si="96"/>
        <v>0</v>
      </c>
      <c r="R429" s="47"/>
      <c r="T429" s="57"/>
      <c r="U429" s="45"/>
      <c r="V429" s="46">
        <f>IF(U429&lt;&gt;"",VLOOKUP(U429,'Tipo Projeto'!$A$3:$B$35,2,0),0)</f>
        <v>0</v>
      </c>
      <c r="W429" s="47"/>
      <c r="X429" s="49"/>
      <c r="Y429" s="50"/>
      <c r="Z429" s="51"/>
      <c r="AA429" s="52"/>
      <c r="AB429" s="53" t="str">
        <f t="shared" si="97"/>
        <v/>
      </c>
      <c r="AC429" s="48" t="str">
        <f t="shared" si="98"/>
        <v/>
      </c>
      <c r="AD429" s="54" t="str">
        <f t="shared" si="99"/>
        <v/>
      </c>
      <c r="AE429" s="55">
        <f t="shared" si="100"/>
        <v>0</v>
      </c>
      <c r="AF429" s="55">
        <f t="shared" si="101"/>
        <v>0</v>
      </c>
      <c r="AG429" s="58">
        <f t="shared" si="102"/>
        <v>0</v>
      </c>
      <c r="AH429" s="47"/>
      <c r="AJ429" s="47"/>
      <c r="AL429" s="47"/>
      <c r="AM429" s="47" t="str">
        <f t="shared" si="103"/>
        <v/>
      </c>
    </row>
    <row r="430" spans="1:39" s="56" customFormat="1" ht="24.75" customHeight="1">
      <c r="A430" s="44"/>
      <c r="B430" s="45"/>
      <c r="C430" s="46">
        <f>IF(B430&lt;&gt;"",VLOOKUP(B430,'Tipo Projeto'!$A$3:$B$35,2,0),0)</f>
        <v>0</v>
      </c>
      <c r="D430" s="47"/>
      <c r="E430" s="47"/>
      <c r="F430" s="48"/>
      <c r="G430" s="47"/>
      <c r="H430" s="49"/>
      <c r="I430" s="50"/>
      <c r="J430" s="51"/>
      <c r="K430" s="52"/>
      <c r="L430" s="53" t="str">
        <f t="shared" si="91"/>
        <v/>
      </c>
      <c r="M430" s="48" t="str">
        <f t="shared" si="92"/>
        <v/>
      </c>
      <c r="N430" s="54" t="str">
        <f t="shared" si="93"/>
        <v/>
      </c>
      <c r="O430" s="55">
        <f t="shared" si="94"/>
        <v>0</v>
      </c>
      <c r="P430" s="55">
        <f t="shared" si="95"/>
        <v>0</v>
      </c>
      <c r="Q430" s="54">
        <f t="shared" si="96"/>
        <v>0</v>
      </c>
      <c r="R430" s="47"/>
      <c r="T430" s="57"/>
      <c r="U430" s="45"/>
      <c r="V430" s="46">
        <f>IF(U430&lt;&gt;"",VLOOKUP(U430,'Tipo Projeto'!$A$3:$B$35,2,0),0)</f>
        <v>0</v>
      </c>
      <c r="W430" s="47"/>
      <c r="X430" s="49"/>
      <c r="Y430" s="50"/>
      <c r="Z430" s="51"/>
      <c r="AA430" s="52"/>
      <c r="AB430" s="53" t="str">
        <f t="shared" si="97"/>
        <v/>
      </c>
      <c r="AC430" s="48" t="str">
        <f t="shared" si="98"/>
        <v/>
      </c>
      <c r="AD430" s="54" t="str">
        <f t="shared" si="99"/>
        <v/>
      </c>
      <c r="AE430" s="55">
        <f t="shared" si="100"/>
        <v>0</v>
      </c>
      <c r="AF430" s="55">
        <f t="shared" si="101"/>
        <v>0</v>
      </c>
      <c r="AG430" s="58">
        <f t="shared" si="102"/>
        <v>0</v>
      </c>
      <c r="AH430" s="47"/>
      <c r="AJ430" s="47"/>
      <c r="AL430" s="47"/>
      <c r="AM430" s="47" t="str">
        <f t="shared" si="103"/>
        <v/>
      </c>
    </row>
    <row r="431" spans="1:39" s="56" customFormat="1" ht="24.75" customHeight="1">
      <c r="A431" s="44"/>
      <c r="B431" s="45"/>
      <c r="C431" s="46">
        <f>IF(B431&lt;&gt;"",VLOOKUP(B431,'Tipo Projeto'!$A$3:$B$35,2,0),0)</f>
        <v>0</v>
      </c>
      <c r="D431" s="47"/>
      <c r="E431" s="47"/>
      <c r="F431" s="48"/>
      <c r="G431" s="47"/>
      <c r="H431" s="49"/>
      <c r="I431" s="50"/>
      <c r="J431" s="51"/>
      <c r="K431" s="52"/>
      <c r="L431" s="53" t="str">
        <f t="shared" si="91"/>
        <v/>
      </c>
      <c r="M431" s="48" t="str">
        <f t="shared" si="92"/>
        <v/>
      </c>
      <c r="N431" s="54" t="str">
        <f t="shared" si="93"/>
        <v/>
      </c>
      <c r="O431" s="55">
        <f t="shared" si="94"/>
        <v>0</v>
      </c>
      <c r="P431" s="55">
        <f t="shared" si="95"/>
        <v>0</v>
      </c>
      <c r="Q431" s="54">
        <f t="shared" si="96"/>
        <v>0</v>
      </c>
      <c r="R431" s="47"/>
      <c r="T431" s="57"/>
      <c r="U431" s="45"/>
      <c r="V431" s="46">
        <f>IF(U431&lt;&gt;"",VLOOKUP(U431,'Tipo Projeto'!$A$3:$B$35,2,0),0)</f>
        <v>0</v>
      </c>
      <c r="W431" s="47"/>
      <c r="X431" s="49"/>
      <c r="Y431" s="50"/>
      <c r="Z431" s="51"/>
      <c r="AA431" s="52"/>
      <c r="AB431" s="53" t="str">
        <f t="shared" si="97"/>
        <v/>
      </c>
      <c r="AC431" s="48" t="str">
        <f t="shared" si="98"/>
        <v/>
      </c>
      <c r="AD431" s="54" t="str">
        <f t="shared" si="99"/>
        <v/>
      </c>
      <c r="AE431" s="55">
        <f t="shared" si="100"/>
        <v>0</v>
      </c>
      <c r="AF431" s="55">
        <f t="shared" si="101"/>
        <v>0</v>
      </c>
      <c r="AG431" s="58">
        <f t="shared" si="102"/>
        <v>0</v>
      </c>
      <c r="AH431" s="47"/>
      <c r="AJ431" s="47"/>
      <c r="AL431" s="47"/>
      <c r="AM431" s="47" t="str">
        <f t="shared" si="103"/>
        <v/>
      </c>
    </row>
    <row r="432" spans="1:39" s="56" customFormat="1" ht="24.75" customHeight="1">
      <c r="A432" s="44"/>
      <c r="B432" s="45"/>
      <c r="C432" s="46">
        <f>IF(B432&lt;&gt;"",VLOOKUP(B432,'Tipo Projeto'!$A$3:$B$35,2,0),0)</f>
        <v>0</v>
      </c>
      <c r="D432" s="47"/>
      <c r="E432" s="47"/>
      <c r="F432" s="48"/>
      <c r="G432" s="47"/>
      <c r="H432" s="49"/>
      <c r="I432" s="50"/>
      <c r="J432" s="51"/>
      <c r="K432" s="52"/>
      <c r="L432" s="53" t="str">
        <f t="shared" si="91"/>
        <v/>
      </c>
      <c r="M432" s="48" t="str">
        <f t="shared" si="92"/>
        <v/>
      </c>
      <c r="N432" s="54" t="str">
        <f t="shared" si="93"/>
        <v/>
      </c>
      <c r="O432" s="55">
        <f t="shared" si="94"/>
        <v>0</v>
      </c>
      <c r="P432" s="55">
        <f t="shared" si="95"/>
        <v>0</v>
      </c>
      <c r="Q432" s="54">
        <f t="shared" si="96"/>
        <v>0</v>
      </c>
      <c r="R432" s="47"/>
      <c r="T432" s="57"/>
      <c r="U432" s="45"/>
      <c r="V432" s="46">
        <f>IF(U432&lt;&gt;"",VLOOKUP(U432,'Tipo Projeto'!$A$3:$B$35,2,0),0)</f>
        <v>0</v>
      </c>
      <c r="W432" s="47"/>
      <c r="X432" s="49"/>
      <c r="Y432" s="50"/>
      <c r="Z432" s="51"/>
      <c r="AA432" s="52"/>
      <c r="AB432" s="53" t="str">
        <f t="shared" si="97"/>
        <v/>
      </c>
      <c r="AC432" s="48" t="str">
        <f t="shared" si="98"/>
        <v/>
      </c>
      <c r="AD432" s="54" t="str">
        <f t="shared" si="99"/>
        <v/>
      </c>
      <c r="AE432" s="55">
        <f t="shared" si="100"/>
        <v>0</v>
      </c>
      <c r="AF432" s="55">
        <f t="shared" si="101"/>
        <v>0</v>
      </c>
      <c r="AG432" s="58">
        <f t="shared" si="102"/>
        <v>0</v>
      </c>
      <c r="AH432" s="47"/>
      <c r="AJ432" s="47"/>
      <c r="AL432" s="47"/>
      <c r="AM432" s="47" t="str">
        <f t="shared" si="103"/>
        <v/>
      </c>
    </row>
    <row r="433" spans="1:39" s="56" customFormat="1" ht="24.75" customHeight="1">
      <c r="A433" s="44"/>
      <c r="B433" s="45"/>
      <c r="C433" s="46">
        <f>IF(B433&lt;&gt;"",VLOOKUP(B433,'Tipo Projeto'!$A$3:$B$35,2,0),0)</f>
        <v>0</v>
      </c>
      <c r="D433" s="47"/>
      <c r="E433" s="47"/>
      <c r="F433" s="48"/>
      <c r="G433" s="47"/>
      <c r="H433" s="49"/>
      <c r="I433" s="50"/>
      <c r="J433" s="51"/>
      <c r="K433" s="52"/>
      <c r="L433" s="53" t="str">
        <f t="shared" si="91"/>
        <v/>
      </c>
      <c r="M433" s="48" t="str">
        <f t="shared" si="92"/>
        <v/>
      </c>
      <c r="N433" s="54" t="str">
        <f t="shared" si="93"/>
        <v/>
      </c>
      <c r="O433" s="55">
        <f t="shared" si="94"/>
        <v>0</v>
      </c>
      <c r="P433" s="55">
        <f t="shared" si="95"/>
        <v>0</v>
      </c>
      <c r="Q433" s="54">
        <f t="shared" si="96"/>
        <v>0</v>
      </c>
      <c r="R433" s="47"/>
      <c r="T433" s="57"/>
      <c r="U433" s="45"/>
      <c r="V433" s="46">
        <f>IF(U433&lt;&gt;"",VLOOKUP(U433,'Tipo Projeto'!$A$3:$B$35,2,0),0)</f>
        <v>0</v>
      </c>
      <c r="W433" s="47"/>
      <c r="X433" s="49"/>
      <c r="Y433" s="50"/>
      <c r="Z433" s="51"/>
      <c r="AA433" s="52"/>
      <c r="AB433" s="53" t="str">
        <f t="shared" si="97"/>
        <v/>
      </c>
      <c r="AC433" s="48" t="str">
        <f t="shared" si="98"/>
        <v/>
      </c>
      <c r="AD433" s="54" t="str">
        <f t="shared" si="99"/>
        <v/>
      </c>
      <c r="AE433" s="55">
        <f t="shared" si="100"/>
        <v>0</v>
      </c>
      <c r="AF433" s="55">
        <f t="shared" si="101"/>
        <v>0</v>
      </c>
      <c r="AG433" s="58">
        <f t="shared" si="102"/>
        <v>0</v>
      </c>
      <c r="AH433" s="47"/>
      <c r="AJ433" s="47"/>
      <c r="AL433" s="47"/>
      <c r="AM433" s="47" t="str">
        <f t="shared" si="103"/>
        <v/>
      </c>
    </row>
    <row r="434" spans="1:39" s="56" customFormat="1" ht="24.75" customHeight="1">
      <c r="A434" s="44"/>
      <c r="B434" s="45"/>
      <c r="C434" s="46">
        <f>IF(B434&lt;&gt;"",VLOOKUP(B434,'Tipo Projeto'!$A$3:$B$35,2,0),0)</f>
        <v>0</v>
      </c>
      <c r="D434" s="47"/>
      <c r="E434" s="47"/>
      <c r="F434" s="48"/>
      <c r="G434" s="47"/>
      <c r="H434" s="49"/>
      <c r="I434" s="50"/>
      <c r="J434" s="51"/>
      <c r="K434" s="52"/>
      <c r="L434" s="53" t="str">
        <f t="shared" si="91"/>
        <v/>
      </c>
      <c r="M434" s="48" t="str">
        <f t="shared" si="92"/>
        <v/>
      </c>
      <c r="N434" s="54" t="str">
        <f t="shared" si="93"/>
        <v/>
      </c>
      <c r="O434" s="55">
        <f t="shared" si="94"/>
        <v>0</v>
      </c>
      <c r="P434" s="55">
        <f t="shared" si="95"/>
        <v>0</v>
      </c>
      <c r="Q434" s="54">
        <f t="shared" si="96"/>
        <v>0</v>
      </c>
      <c r="R434" s="47"/>
      <c r="T434" s="57"/>
      <c r="U434" s="45"/>
      <c r="V434" s="46">
        <f>IF(U434&lt;&gt;"",VLOOKUP(U434,'Tipo Projeto'!$A$3:$B$35,2,0),0)</f>
        <v>0</v>
      </c>
      <c r="W434" s="47"/>
      <c r="X434" s="49"/>
      <c r="Y434" s="50"/>
      <c r="Z434" s="51"/>
      <c r="AA434" s="52"/>
      <c r="AB434" s="53" t="str">
        <f t="shared" si="97"/>
        <v/>
      </c>
      <c r="AC434" s="48" t="str">
        <f t="shared" si="98"/>
        <v/>
      </c>
      <c r="AD434" s="54" t="str">
        <f t="shared" si="99"/>
        <v/>
      </c>
      <c r="AE434" s="55">
        <f t="shared" si="100"/>
        <v>0</v>
      </c>
      <c r="AF434" s="55">
        <f t="shared" si="101"/>
        <v>0</v>
      </c>
      <c r="AG434" s="58">
        <f t="shared" si="102"/>
        <v>0</v>
      </c>
      <c r="AH434" s="47"/>
      <c r="AJ434" s="47"/>
      <c r="AL434" s="47"/>
      <c r="AM434" s="47" t="str">
        <f t="shared" si="103"/>
        <v/>
      </c>
    </row>
    <row r="435" spans="1:39" s="56" customFormat="1" ht="24.75" customHeight="1">
      <c r="A435" s="44"/>
      <c r="B435" s="45"/>
      <c r="C435" s="46">
        <f>IF(B435&lt;&gt;"",VLOOKUP(B435,'Tipo Projeto'!$A$3:$B$35,2,0),0)</f>
        <v>0</v>
      </c>
      <c r="D435" s="47"/>
      <c r="E435" s="47"/>
      <c r="F435" s="48"/>
      <c r="G435" s="47"/>
      <c r="H435" s="49"/>
      <c r="I435" s="50"/>
      <c r="J435" s="51"/>
      <c r="K435" s="52"/>
      <c r="L435" s="53" t="str">
        <f t="shared" si="91"/>
        <v/>
      </c>
      <c r="M435" s="48" t="str">
        <f t="shared" si="92"/>
        <v/>
      </c>
      <c r="N435" s="54" t="str">
        <f t="shared" si="93"/>
        <v/>
      </c>
      <c r="O435" s="55">
        <f t="shared" si="94"/>
        <v>0</v>
      </c>
      <c r="P435" s="55">
        <f t="shared" si="95"/>
        <v>0</v>
      </c>
      <c r="Q435" s="54">
        <f t="shared" si="96"/>
        <v>0</v>
      </c>
      <c r="R435" s="47"/>
      <c r="T435" s="57"/>
      <c r="U435" s="45"/>
      <c r="V435" s="46">
        <f>IF(U435&lt;&gt;"",VLOOKUP(U435,'Tipo Projeto'!$A$3:$B$35,2,0),0)</f>
        <v>0</v>
      </c>
      <c r="W435" s="47"/>
      <c r="X435" s="49"/>
      <c r="Y435" s="50"/>
      <c r="Z435" s="51"/>
      <c r="AA435" s="52"/>
      <c r="AB435" s="53" t="str">
        <f t="shared" si="97"/>
        <v/>
      </c>
      <c r="AC435" s="48" t="str">
        <f t="shared" si="98"/>
        <v/>
      </c>
      <c r="AD435" s="54" t="str">
        <f t="shared" si="99"/>
        <v/>
      </c>
      <c r="AE435" s="55">
        <f t="shared" si="100"/>
        <v>0</v>
      </c>
      <c r="AF435" s="55">
        <f t="shared" si="101"/>
        <v>0</v>
      </c>
      <c r="AG435" s="58">
        <f t="shared" si="102"/>
        <v>0</v>
      </c>
      <c r="AH435" s="47"/>
      <c r="AJ435" s="47"/>
      <c r="AL435" s="47"/>
      <c r="AM435" s="47" t="str">
        <f t="shared" si="103"/>
        <v/>
      </c>
    </row>
    <row r="436" spans="1:39" s="56" customFormat="1" ht="24.75" customHeight="1">
      <c r="A436" s="44"/>
      <c r="B436" s="45"/>
      <c r="C436" s="46">
        <f>IF(B436&lt;&gt;"",VLOOKUP(B436,'Tipo Projeto'!$A$3:$B$35,2,0),0)</f>
        <v>0</v>
      </c>
      <c r="D436" s="47"/>
      <c r="E436" s="47"/>
      <c r="F436" s="48"/>
      <c r="G436" s="47"/>
      <c r="H436" s="49"/>
      <c r="I436" s="50"/>
      <c r="J436" s="51"/>
      <c r="K436" s="52"/>
      <c r="L436" s="53" t="str">
        <f t="shared" si="91"/>
        <v/>
      </c>
      <c r="M436" s="48" t="str">
        <f t="shared" si="92"/>
        <v/>
      </c>
      <c r="N436" s="54" t="str">
        <f t="shared" si="93"/>
        <v/>
      </c>
      <c r="O436" s="55">
        <f t="shared" si="94"/>
        <v>0</v>
      </c>
      <c r="P436" s="55">
        <f t="shared" si="95"/>
        <v>0</v>
      </c>
      <c r="Q436" s="54">
        <f t="shared" si="96"/>
        <v>0</v>
      </c>
      <c r="R436" s="47"/>
      <c r="T436" s="57"/>
      <c r="U436" s="45"/>
      <c r="V436" s="46">
        <f>IF(U436&lt;&gt;"",VLOOKUP(U436,'Tipo Projeto'!$A$3:$B$35,2,0),0)</f>
        <v>0</v>
      </c>
      <c r="W436" s="47"/>
      <c r="X436" s="49"/>
      <c r="Y436" s="50"/>
      <c r="Z436" s="51"/>
      <c r="AA436" s="52"/>
      <c r="AB436" s="53" t="str">
        <f t="shared" si="97"/>
        <v/>
      </c>
      <c r="AC436" s="48" t="str">
        <f t="shared" si="98"/>
        <v/>
      </c>
      <c r="AD436" s="54" t="str">
        <f t="shared" si="99"/>
        <v/>
      </c>
      <c r="AE436" s="55">
        <f t="shared" si="100"/>
        <v>0</v>
      </c>
      <c r="AF436" s="55">
        <f t="shared" si="101"/>
        <v>0</v>
      </c>
      <c r="AG436" s="58">
        <f t="shared" si="102"/>
        <v>0</v>
      </c>
      <c r="AH436" s="47"/>
      <c r="AJ436" s="47"/>
      <c r="AL436" s="47"/>
      <c r="AM436" s="47" t="str">
        <f t="shared" si="103"/>
        <v/>
      </c>
    </row>
    <row r="437" spans="1:39" s="56" customFormat="1" ht="24.75" customHeight="1">
      <c r="A437" s="44"/>
      <c r="B437" s="45"/>
      <c r="C437" s="46">
        <f>IF(B437&lt;&gt;"",VLOOKUP(B437,'Tipo Projeto'!$A$3:$B$35,2,0),0)</f>
        <v>0</v>
      </c>
      <c r="D437" s="47"/>
      <c r="E437" s="47"/>
      <c r="F437" s="48"/>
      <c r="G437" s="47"/>
      <c r="H437" s="49"/>
      <c r="I437" s="50"/>
      <c r="J437" s="51"/>
      <c r="K437" s="52"/>
      <c r="L437" s="53" t="str">
        <f t="shared" si="91"/>
        <v/>
      </c>
      <c r="M437" s="48" t="str">
        <f t="shared" si="92"/>
        <v/>
      </c>
      <c r="N437" s="54" t="str">
        <f t="shared" si="93"/>
        <v/>
      </c>
      <c r="O437" s="55">
        <f t="shared" si="94"/>
        <v>0</v>
      </c>
      <c r="P437" s="55">
        <f t="shared" si="95"/>
        <v>0</v>
      </c>
      <c r="Q437" s="54">
        <f t="shared" si="96"/>
        <v>0</v>
      </c>
      <c r="R437" s="47"/>
      <c r="T437" s="57"/>
      <c r="U437" s="45"/>
      <c r="V437" s="46">
        <f>IF(U437&lt;&gt;"",VLOOKUP(U437,'Tipo Projeto'!$A$3:$B$35,2,0),0)</f>
        <v>0</v>
      </c>
      <c r="W437" s="47"/>
      <c r="X437" s="49"/>
      <c r="Y437" s="50"/>
      <c r="Z437" s="51"/>
      <c r="AA437" s="52"/>
      <c r="AB437" s="53" t="str">
        <f t="shared" si="97"/>
        <v/>
      </c>
      <c r="AC437" s="48" t="str">
        <f t="shared" si="98"/>
        <v/>
      </c>
      <c r="AD437" s="54" t="str">
        <f t="shared" si="99"/>
        <v/>
      </c>
      <c r="AE437" s="55">
        <f t="shared" si="100"/>
        <v>0</v>
      </c>
      <c r="AF437" s="55">
        <f t="shared" si="101"/>
        <v>0</v>
      </c>
      <c r="AG437" s="58">
        <f t="shared" si="102"/>
        <v>0</v>
      </c>
      <c r="AH437" s="47"/>
      <c r="AJ437" s="47"/>
      <c r="AL437" s="47"/>
      <c r="AM437" s="47" t="str">
        <f t="shared" si="103"/>
        <v/>
      </c>
    </row>
    <row r="438" spans="1:39" s="56" customFormat="1" ht="24.75" customHeight="1">
      <c r="A438" s="44"/>
      <c r="B438" s="45"/>
      <c r="C438" s="46">
        <f>IF(B438&lt;&gt;"",VLOOKUP(B438,'Tipo Projeto'!$A$3:$B$35,2,0),0)</f>
        <v>0</v>
      </c>
      <c r="D438" s="47"/>
      <c r="E438" s="47"/>
      <c r="F438" s="48"/>
      <c r="G438" s="47"/>
      <c r="H438" s="49"/>
      <c r="I438" s="50"/>
      <c r="J438" s="51"/>
      <c r="K438" s="52"/>
      <c r="L438" s="53" t="str">
        <f t="shared" si="91"/>
        <v/>
      </c>
      <c r="M438" s="48" t="str">
        <f t="shared" si="92"/>
        <v/>
      </c>
      <c r="N438" s="54" t="str">
        <f t="shared" si="93"/>
        <v/>
      </c>
      <c r="O438" s="55">
        <f t="shared" si="94"/>
        <v>0</v>
      </c>
      <c r="P438" s="55">
        <f t="shared" si="95"/>
        <v>0</v>
      </c>
      <c r="Q438" s="54">
        <f t="shared" si="96"/>
        <v>0</v>
      </c>
      <c r="R438" s="47"/>
      <c r="T438" s="57"/>
      <c r="U438" s="45"/>
      <c r="V438" s="46">
        <f>IF(U438&lt;&gt;"",VLOOKUP(U438,'Tipo Projeto'!$A$3:$B$35,2,0),0)</f>
        <v>0</v>
      </c>
      <c r="W438" s="47"/>
      <c r="X438" s="49"/>
      <c r="Y438" s="50"/>
      <c r="Z438" s="51"/>
      <c r="AA438" s="52"/>
      <c r="AB438" s="53" t="str">
        <f t="shared" si="97"/>
        <v/>
      </c>
      <c r="AC438" s="48" t="str">
        <f t="shared" si="98"/>
        <v/>
      </c>
      <c r="AD438" s="54" t="str">
        <f t="shared" si="99"/>
        <v/>
      </c>
      <c r="AE438" s="55">
        <f t="shared" si="100"/>
        <v>0</v>
      </c>
      <c r="AF438" s="55">
        <f t="shared" si="101"/>
        <v>0</v>
      </c>
      <c r="AG438" s="58">
        <f t="shared" si="102"/>
        <v>0</v>
      </c>
      <c r="AH438" s="47"/>
      <c r="AJ438" s="47"/>
      <c r="AL438" s="47"/>
      <c r="AM438" s="47" t="str">
        <f t="shared" si="103"/>
        <v/>
      </c>
    </row>
    <row r="439" spans="1:39" s="56" customFormat="1" ht="24.75" customHeight="1">
      <c r="A439" s="44"/>
      <c r="B439" s="45"/>
      <c r="C439" s="46">
        <f>IF(B439&lt;&gt;"",VLOOKUP(B439,'Tipo Projeto'!$A$3:$B$35,2,0),0)</f>
        <v>0</v>
      </c>
      <c r="D439" s="47"/>
      <c r="E439" s="47"/>
      <c r="F439" s="48"/>
      <c r="G439" s="47"/>
      <c r="H439" s="49"/>
      <c r="I439" s="50"/>
      <c r="J439" s="51"/>
      <c r="K439" s="52"/>
      <c r="L439" s="53" t="str">
        <f t="shared" si="91"/>
        <v/>
      </c>
      <c r="M439" s="48" t="str">
        <f t="shared" si="92"/>
        <v/>
      </c>
      <c r="N439" s="54" t="str">
        <f t="shared" si="93"/>
        <v/>
      </c>
      <c r="O439" s="55">
        <f t="shared" si="94"/>
        <v>0</v>
      </c>
      <c r="P439" s="55">
        <f t="shared" si="95"/>
        <v>0</v>
      </c>
      <c r="Q439" s="54">
        <f t="shared" si="96"/>
        <v>0</v>
      </c>
      <c r="R439" s="47"/>
      <c r="T439" s="57"/>
      <c r="U439" s="45"/>
      <c r="V439" s="46">
        <f>IF(U439&lt;&gt;"",VLOOKUP(U439,'Tipo Projeto'!$A$3:$B$35,2,0),0)</f>
        <v>0</v>
      </c>
      <c r="W439" s="47"/>
      <c r="X439" s="49"/>
      <c r="Y439" s="50"/>
      <c r="Z439" s="51"/>
      <c r="AA439" s="52"/>
      <c r="AB439" s="53" t="str">
        <f t="shared" si="97"/>
        <v/>
      </c>
      <c r="AC439" s="48" t="str">
        <f t="shared" si="98"/>
        <v/>
      </c>
      <c r="AD439" s="54" t="str">
        <f t="shared" si="99"/>
        <v/>
      </c>
      <c r="AE439" s="55">
        <f t="shared" si="100"/>
        <v>0</v>
      </c>
      <c r="AF439" s="55">
        <f t="shared" si="101"/>
        <v>0</v>
      </c>
      <c r="AG439" s="58">
        <f t="shared" si="102"/>
        <v>0</v>
      </c>
      <c r="AH439" s="47"/>
      <c r="AJ439" s="47"/>
      <c r="AL439" s="47"/>
      <c r="AM439" s="47" t="str">
        <f t="shared" si="103"/>
        <v/>
      </c>
    </row>
    <row r="440" spans="1:39" s="56" customFormat="1" ht="24.75" customHeight="1">
      <c r="A440" s="44"/>
      <c r="B440" s="45"/>
      <c r="C440" s="46">
        <f>IF(B440&lt;&gt;"",VLOOKUP(B440,'Tipo Projeto'!$A$3:$B$35,2,0),0)</f>
        <v>0</v>
      </c>
      <c r="D440" s="47"/>
      <c r="E440" s="47"/>
      <c r="F440" s="48"/>
      <c r="G440" s="47"/>
      <c r="H440" s="49"/>
      <c r="I440" s="50"/>
      <c r="J440" s="51"/>
      <c r="K440" s="52"/>
      <c r="L440" s="53" t="str">
        <f t="shared" si="91"/>
        <v/>
      </c>
      <c r="M440" s="48" t="str">
        <f t="shared" si="92"/>
        <v/>
      </c>
      <c r="N440" s="54" t="str">
        <f t="shared" si="93"/>
        <v/>
      </c>
      <c r="O440" s="55">
        <f t="shared" si="94"/>
        <v>0</v>
      </c>
      <c r="P440" s="55">
        <f t="shared" si="95"/>
        <v>0</v>
      </c>
      <c r="Q440" s="54">
        <f t="shared" si="96"/>
        <v>0</v>
      </c>
      <c r="R440" s="47"/>
      <c r="T440" s="57"/>
      <c r="U440" s="45"/>
      <c r="V440" s="46">
        <f>IF(U440&lt;&gt;"",VLOOKUP(U440,'Tipo Projeto'!$A$3:$B$35,2,0),0)</f>
        <v>0</v>
      </c>
      <c r="W440" s="47"/>
      <c r="X440" s="49"/>
      <c r="Y440" s="50"/>
      <c r="Z440" s="51"/>
      <c r="AA440" s="52"/>
      <c r="AB440" s="53" t="str">
        <f t="shared" si="97"/>
        <v/>
      </c>
      <c r="AC440" s="48" t="str">
        <f t="shared" si="98"/>
        <v/>
      </c>
      <c r="AD440" s="54" t="str">
        <f t="shared" si="99"/>
        <v/>
      </c>
      <c r="AE440" s="55">
        <f t="shared" si="100"/>
        <v>0</v>
      </c>
      <c r="AF440" s="55">
        <f t="shared" si="101"/>
        <v>0</v>
      </c>
      <c r="AG440" s="58">
        <f t="shared" si="102"/>
        <v>0</v>
      </c>
      <c r="AH440" s="47"/>
      <c r="AJ440" s="47"/>
      <c r="AL440" s="47"/>
      <c r="AM440" s="47" t="str">
        <f t="shared" si="103"/>
        <v/>
      </c>
    </row>
    <row r="441" spans="1:39" s="56" customFormat="1" ht="24.75" customHeight="1">
      <c r="A441" s="44"/>
      <c r="B441" s="45"/>
      <c r="C441" s="46">
        <f>IF(B441&lt;&gt;"",VLOOKUP(B441,'Tipo Projeto'!$A$3:$B$35,2,0),0)</f>
        <v>0</v>
      </c>
      <c r="D441" s="47"/>
      <c r="E441" s="47"/>
      <c r="F441" s="48"/>
      <c r="G441" s="47"/>
      <c r="H441" s="49"/>
      <c r="I441" s="50"/>
      <c r="J441" s="51"/>
      <c r="K441" s="52"/>
      <c r="L441" s="53" t="str">
        <f t="shared" si="91"/>
        <v/>
      </c>
      <c r="M441" s="48" t="str">
        <f t="shared" si="92"/>
        <v/>
      </c>
      <c r="N441" s="54" t="str">
        <f t="shared" si="93"/>
        <v/>
      </c>
      <c r="O441" s="55">
        <f t="shared" si="94"/>
        <v>0</v>
      </c>
      <c r="P441" s="55">
        <f t="shared" si="95"/>
        <v>0</v>
      </c>
      <c r="Q441" s="54">
        <f t="shared" si="96"/>
        <v>0</v>
      </c>
      <c r="R441" s="47"/>
      <c r="T441" s="57"/>
      <c r="U441" s="45"/>
      <c r="V441" s="46">
        <f>IF(U441&lt;&gt;"",VLOOKUP(U441,'Tipo Projeto'!$A$3:$B$35,2,0),0)</f>
        <v>0</v>
      </c>
      <c r="W441" s="47"/>
      <c r="X441" s="49"/>
      <c r="Y441" s="50"/>
      <c r="Z441" s="51"/>
      <c r="AA441" s="52"/>
      <c r="AB441" s="53" t="str">
        <f t="shared" si="97"/>
        <v/>
      </c>
      <c r="AC441" s="48" t="str">
        <f t="shared" si="98"/>
        <v/>
      </c>
      <c r="AD441" s="54" t="str">
        <f t="shared" si="99"/>
        <v/>
      </c>
      <c r="AE441" s="55">
        <f t="shared" si="100"/>
        <v>0</v>
      </c>
      <c r="AF441" s="55">
        <f t="shared" si="101"/>
        <v>0</v>
      </c>
      <c r="AG441" s="58">
        <f t="shared" si="102"/>
        <v>0</v>
      </c>
      <c r="AH441" s="47"/>
      <c r="AJ441" s="47"/>
      <c r="AL441" s="47"/>
      <c r="AM441" s="47" t="str">
        <f t="shared" si="103"/>
        <v/>
      </c>
    </row>
    <row r="442" spans="1:39" s="56" customFormat="1" ht="24.75" customHeight="1">
      <c r="A442" s="44"/>
      <c r="B442" s="45"/>
      <c r="C442" s="46">
        <f>IF(B442&lt;&gt;"",VLOOKUP(B442,'Tipo Projeto'!$A$3:$B$35,2,0),0)</f>
        <v>0</v>
      </c>
      <c r="D442" s="47"/>
      <c r="E442" s="47"/>
      <c r="F442" s="48"/>
      <c r="G442" s="47"/>
      <c r="H442" s="49"/>
      <c r="I442" s="50"/>
      <c r="J442" s="51"/>
      <c r="K442" s="52"/>
      <c r="L442" s="53" t="str">
        <f t="shared" si="91"/>
        <v/>
      </c>
      <c r="M442" s="48" t="str">
        <f t="shared" si="92"/>
        <v/>
      </c>
      <c r="N442" s="54" t="str">
        <f t="shared" si="93"/>
        <v/>
      </c>
      <c r="O442" s="55">
        <f t="shared" si="94"/>
        <v>0</v>
      </c>
      <c r="P442" s="55">
        <f t="shared" si="95"/>
        <v>0</v>
      </c>
      <c r="Q442" s="54">
        <f t="shared" si="96"/>
        <v>0</v>
      </c>
      <c r="R442" s="47"/>
      <c r="T442" s="57"/>
      <c r="U442" s="45"/>
      <c r="V442" s="46">
        <f>IF(U442&lt;&gt;"",VLOOKUP(U442,'Tipo Projeto'!$A$3:$B$35,2,0),0)</f>
        <v>0</v>
      </c>
      <c r="W442" s="47"/>
      <c r="X442" s="49"/>
      <c r="Y442" s="50"/>
      <c r="Z442" s="51"/>
      <c r="AA442" s="52"/>
      <c r="AB442" s="53" t="str">
        <f t="shared" si="97"/>
        <v/>
      </c>
      <c r="AC442" s="48" t="str">
        <f t="shared" si="98"/>
        <v/>
      </c>
      <c r="AD442" s="54" t="str">
        <f t="shared" si="99"/>
        <v/>
      </c>
      <c r="AE442" s="55">
        <f t="shared" si="100"/>
        <v>0</v>
      </c>
      <c r="AF442" s="55">
        <f t="shared" si="101"/>
        <v>0</v>
      </c>
      <c r="AG442" s="58">
        <f t="shared" si="102"/>
        <v>0</v>
      </c>
      <c r="AH442" s="47"/>
      <c r="AJ442" s="47"/>
      <c r="AL442" s="47"/>
      <c r="AM442" s="47" t="str">
        <f t="shared" si="103"/>
        <v/>
      </c>
    </row>
    <row r="443" spans="1:39" s="56" customFormat="1" ht="24.75" customHeight="1">
      <c r="A443" s="44"/>
      <c r="B443" s="45"/>
      <c r="C443" s="46">
        <f>IF(B443&lt;&gt;"",VLOOKUP(B443,'Tipo Projeto'!$A$3:$B$35,2,0),0)</f>
        <v>0</v>
      </c>
      <c r="D443" s="47"/>
      <c r="E443" s="47"/>
      <c r="F443" s="48"/>
      <c r="G443" s="47"/>
      <c r="H443" s="49"/>
      <c r="I443" s="50"/>
      <c r="J443" s="51"/>
      <c r="K443" s="52"/>
      <c r="L443" s="53" t="str">
        <f t="shared" si="91"/>
        <v/>
      </c>
      <c r="M443" s="48" t="str">
        <f t="shared" si="92"/>
        <v/>
      </c>
      <c r="N443" s="54" t="str">
        <f t="shared" si="93"/>
        <v/>
      </c>
      <c r="O443" s="55">
        <f t="shared" si="94"/>
        <v>0</v>
      </c>
      <c r="P443" s="55">
        <f t="shared" si="95"/>
        <v>0</v>
      </c>
      <c r="Q443" s="54">
        <f t="shared" si="96"/>
        <v>0</v>
      </c>
      <c r="R443" s="47"/>
      <c r="T443" s="57"/>
      <c r="U443" s="45"/>
      <c r="V443" s="46">
        <f>IF(U443&lt;&gt;"",VLOOKUP(U443,'Tipo Projeto'!$A$3:$B$35,2,0),0)</f>
        <v>0</v>
      </c>
      <c r="W443" s="47"/>
      <c r="X443" s="49"/>
      <c r="Y443" s="50"/>
      <c r="Z443" s="51"/>
      <c r="AA443" s="52"/>
      <c r="AB443" s="53" t="str">
        <f t="shared" si="97"/>
        <v/>
      </c>
      <c r="AC443" s="48" t="str">
        <f t="shared" si="98"/>
        <v/>
      </c>
      <c r="AD443" s="54" t="str">
        <f t="shared" si="99"/>
        <v/>
      </c>
      <c r="AE443" s="55">
        <f t="shared" si="100"/>
        <v>0</v>
      </c>
      <c r="AF443" s="55">
        <f t="shared" si="101"/>
        <v>0</v>
      </c>
      <c r="AG443" s="58">
        <f t="shared" si="102"/>
        <v>0</v>
      </c>
      <c r="AH443" s="47"/>
      <c r="AJ443" s="47"/>
      <c r="AL443" s="47"/>
      <c r="AM443" s="47" t="str">
        <f t="shared" si="103"/>
        <v/>
      </c>
    </row>
    <row r="444" spans="1:39" s="56" customFormat="1" ht="24.75" customHeight="1">
      <c r="A444" s="44"/>
      <c r="B444" s="45"/>
      <c r="C444" s="46">
        <f>IF(B444&lt;&gt;"",VLOOKUP(B444,'Tipo Projeto'!$A$3:$B$35,2,0),0)</f>
        <v>0</v>
      </c>
      <c r="D444" s="47"/>
      <c r="E444" s="47"/>
      <c r="F444" s="48"/>
      <c r="G444" s="47"/>
      <c r="H444" s="49"/>
      <c r="I444" s="50"/>
      <c r="J444" s="51"/>
      <c r="K444" s="52"/>
      <c r="L444" s="53" t="str">
        <f t="shared" si="91"/>
        <v/>
      </c>
      <c r="M444" s="48" t="str">
        <f t="shared" si="92"/>
        <v/>
      </c>
      <c r="N444" s="54" t="str">
        <f t="shared" si="93"/>
        <v/>
      </c>
      <c r="O444" s="55">
        <f t="shared" si="94"/>
        <v>0</v>
      </c>
      <c r="P444" s="55">
        <f t="shared" si="95"/>
        <v>0</v>
      </c>
      <c r="Q444" s="54">
        <f t="shared" si="96"/>
        <v>0</v>
      </c>
      <c r="R444" s="47"/>
      <c r="T444" s="57"/>
      <c r="U444" s="45"/>
      <c r="V444" s="46">
        <f>IF(U444&lt;&gt;"",VLOOKUP(U444,'Tipo Projeto'!$A$3:$B$35,2,0),0)</f>
        <v>0</v>
      </c>
      <c r="W444" s="47"/>
      <c r="X444" s="49"/>
      <c r="Y444" s="50"/>
      <c r="Z444" s="51"/>
      <c r="AA444" s="52"/>
      <c r="AB444" s="53" t="str">
        <f t="shared" si="97"/>
        <v/>
      </c>
      <c r="AC444" s="48" t="str">
        <f t="shared" si="98"/>
        <v/>
      </c>
      <c r="AD444" s="54" t="str">
        <f t="shared" si="99"/>
        <v/>
      </c>
      <c r="AE444" s="55">
        <f t="shared" si="100"/>
        <v>0</v>
      </c>
      <c r="AF444" s="55">
        <f t="shared" si="101"/>
        <v>0</v>
      </c>
      <c r="AG444" s="58">
        <f t="shared" si="102"/>
        <v>0</v>
      </c>
      <c r="AH444" s="47"/>
      <c r="AJ444" s="47"/>
      <c r="AL444" s="47"/>
      <c r="AM444" s="47" t="str">
        <f t="shared" si="103"/>
        <v/>
      </c>
    </row>
    <row r="445" spans="1:39" s="56" customFormat="1" ht="24.75" customHeight="1">
      <c r="A445" s="44"/>
      <c r="B445" s="45"/>
      <c r="C445" s="46">
        <f>IF(B445&lt;&gt;"",VLOOKUP(B445,'Tipo Projeto'!$A$3:$B$35,2,0),0)</f>
        <v>0</v>
      </c>
      <c r="D445" s="47"/>
      <c r="E445" s="47"/>
      <c r="F445" s="48"/>
      <c r="G445" s="47"/>
      <c r="H445" s="49"/>
      <c r="I445" s="50"/>
      <c r="J445" s="51"/>
      <c r="K445" s="52"/>
      <c r="L445" s="53" t="str">
        <f t="shared" ref="L445:L508" si="104">IF(G445="EE",IF(OR(AND(OR(J445=1,J445=0),H445&gt;0,H445&lt;5),AND(OR(J445=1,J445=0),H445&gt;4,H445&lt;16),AND(J445=2,H445&gt;0,H445&lt;5)),"Simples",IF(OR(AND(OR(J445=1,J445=0),H445&gt;15),AND(J445=2,H445&gt;4,H445&lt;16),AND(J445&gt;2,H445&gt;0,H445&lt;5)),"Médio",IF(OR(AND(J445=2,H445&gt;15),AND(J445&gt;2,H445&gt;4,H445&lt;16),AND(J445&gt;2,H445&gt;15)),"Complexo",""))), IF(OR(G445="CE",G445="SE"),IF(OR(AND(OR(J445=1,J445=0),H445&gt;0,H445&lt;6),AND(OR(J445=1,J445=0),H445&gt;5,H445&lt;20),AND(J445&gt;1,J445&lt;4,H445&gt;0,H445&lt;6)),"Simples",IF(OR(AND(OR(J445=1,J445=0),H445&gt;19),AND(J445&gt;1,J445&lt;4,H445&gt;5,H445&lt;20),AND(J445&gt;3,H445&gt;0,H445&lt;6)),"Médio",IF(OR(AND(J445&gt;1,J445&lt;4,H445&gt;19),AND(J445&gt;3,H445&gt;5,H445&lt;20),AND(J445&gt;3,H445&gt;19)),"Complexo",""))),""))</f>
        <v/>
      </c>
      <c r="M445" s="48" t="str">
        <f t="shared" ref="M445:M508" si="105">IF(G445="ALI",IF(OR(AND(OR(J445=1,J445=0),H445&gt;0,H445&lt;20),AND(OR(J445=1,J445=0),H445&gt;19,H445&lt;51),AND(J445&gt;1,J445&lt;6,H445&gt;0,H445&lt;20)),"Simples",IF(OR(AND(OR(J445=1,J445=0),H445&gt;50),AND(J445&gt;1,J445&lt;6,H445&gt;19,H445&lt;51),AND(J445&gt;5,H445&gt;0,H445&lt;20)),"Médio",IF(OR(AND(J445&gt;1,J445&lt;6,H445&gt;50),AND(J445&gt;5,H445&gt;19,H445&lt;51),AND(J445&gt;5,H445&gt;50)),"Complexo",""))), IF(G445="AIE",IF(OR(AND(OR(J445=1, J445=0),H445&gt;0,H445&lt;20),AND(OR(J445=1, J445=0),H445&gt;19,H445&lt;51),AND(J445&gt;1,J445&lt;6,H445&gt;0,H445&lt;20)),"Simples",IF(OR(AND(OR(J445=1, J445=0),H445&gt;50),AND(J445&gt;1,J445&lt;6,H445&gt;19,H445&lt;51),AND(J445&gt;5,H445&gt;0,H445&lt;20)),"Médio",IF(OR(AND(J445&gt;1,J445&lt;6,H445&gt;50),AND(J445&gt;5,H445&gt;19,H445&lt;51),AND(J445&gt;5,H445&gt;50)),"Complexo",""))),""))</f>
        <v/>
      </c>
      <c r="N445" s="54" t="str">
        <f t="shared" ref="N445:N508" si="106">IF(L445="",M445,IF(M445="",L445,""))</f>
        <v/>
      </c>
      <c r="O445" s="55">
        <f t="shared" ref="O445:O508" si="107">IF(AND(OR(G445="EE",G445="CE"),N445="Simples"),3, IF(AND(OR(G445="EE",G445="CE"),N445="Médio"),4, IF(AND(OR(G445="EE",G445="CE"),N445="Complexo"),6, IF(AND(G445="SE",N445="Simples"),4, IF(AND(G445="SE",N445="Médio"),5, IF(AND(G445="SE",N445="Complexo"),7,0))))))</f>
        <v>0</v>
      </c>
      <c r="P445" s="55">
        <f t="shared" ref="P445:P508" si="108">IF(AND(G445="ALI",M445="Simples"),7, IF(AND(G445="ALI",M445="Médio"),10, IF(AND(G445="ALI",M445="Complexo"),15, IF(AND(G445="AIE",M445="Simples"),5, IF(AND(G445="AIE",M445="Médio"),7, IF(AND(G445="AIE",M445="Complexo"),10,0))))))</f>
        <v>0</v>
      </c>
      <c r="Q445" s="54">
        <f t="shared" ref="Q445:Q508" si="109">IF(B445&lt;&gt;"Manutenção em interface",IF(B445&lt;&gt;"Desenv., Manutenção e Publicação de Páginas Estáticas",(O445+P445)*C445,C445),C445)</f>
        <v>0</v>
      </c>
      <c r="R445" s="47"/>
      <c r="T445" s="57"/>
      <c r="U445" s="45"/>
      <c r="V445" s="46">
        <f>IF(U445&lt;&gt;"",VLOOKUP(U445,'Tipo Projeto'!$A$3:$B$35,2,0),0)</f>
        <v>0</v>
      </c>
      <c r="W445" s="47"/>
      <c r="X445" s="49"/>
      <c r="Y445" s="50"/>
      <c r="Z445" s="51"/>
      <c r="AA445" s="52"/>
      <c r="AB445" s="53" t="str">
        <f t="shared" ref="AB445:AB508" si="110">IF(W445="EE",IF(OR(AND(OR(Z445=1,Z445=0),X445&gt;0,X445&lt;5),AND(OR(Z445=1,Z445=0),X445&gt;4,X445&lt;16),AND(Z445=2,X445&gt;0,X445&lt;5)),"Simples",IF(OR(AND(OR(Z445=1,Z445=0),X445&gt;15),AND(Z445=2,X445&gt;4,X445&lt;16),AND(Z445&gt;2,X445&gt;0,X445&lt;5)),"Médio",IF(OR(AND(Z445=2,X445&gt;15),AND(Z445&gt;2,X445&gt;4,X445&lt;16),AND(Z445&gt;2,X445&gt;15)),"Complexo",""))), IF(OR(W445="CE",W445="SE"),IF(OR(AND(OR(Z445=1,Z445=0),X445&gt;0,X445&lt;6),AND(OR(Z445=1,Z445=0),X445&gt;5,X445&lt;20),AND(Z445&gt;1,Z445&lt;4,X445&gt;0,X445&lt;6)),"Simples",IF(OR(AND(OR(Z445=1,Z445=0),X445&gt;19),AND(Z445&gt;1,Z445&lt;4,X445&gt;5,X445&lt;20),AND(Z445&gt;3,X445&gt;0,X445&lt;6)),"Médio",IF(OR(AND(Z445&gt;1,Z445&lt;4,X445&gt;19),AND(Z445&gt;3,X445&gt;5,X445&lt;20),AND(Z445&gt;3,X445&gt;19)),"Complexo",""))),""))</f>
        <v/>
      </c>
      <c r="AC445" s="48" t="str">
        <f t="shared" ref="AC445:AC508" si="111">IF(W445="ALI",IF(OR(AND(OR(Z445=1,Z445=0),X445&gt;0,X445&lt;20),AND(OR(Z445=1,Z445=0),X445&gt;19,X445&lt;51),AND(Z445&gt;1,Z445&lt;6,X445&gt;0,X445&lt;20)),"Simples",IF(OR(AND(OR(Z445=1,Z445=0),X445&gt;50),AND(Z445&gt;1,Z445&lt;6,X445&gt;19,X445&lt;51),AND(Z445&gt;5,X445&gt;0,X445&lt;20)),"Médio",IF(OR(AND(Z445&gt;1,Z445&lt;6,X445&gt;50),AND(Z445&gt;5,X445&gt;19,X445&lt;51),AND(Z445&gt;5,X445&gt;50)),"Complexo",""))), IF(W445="AIE",IF(OR(AND(OR(Z445=1, Z445=0),X445&gt;0,X445&lt;20),AND(OR(Z445=1, Z445=0),X445&gt;19,X445&lt;51),AND(Z445&gt;1,Z445&lt;6,X445&gt;0,X445&lt;20)),"Simples",IF(OR(AND(OR(Z445=1, Z445=0),X445&gt;50),AND(Z445&gt;1,Z445&lt;6,X445&gt;19,X445&lt;51),AND(Z445&gt;5,X445&gt;0,X445&lt;20)),"Médio",IF(OR(AND(Z445&gt;1,Z445&lt;6,X445&gt;50),AND(Z445&gt;5,X445&gt;19,X445&lt;51),AND(Z445&gt;5,X445&gt;50)),"Complexo",""))),""))</f>
        <v/>
      </c>
      <c r="AD445" s="54" t="str">
        <f t="shared" ref="AD445:AD508" si="112">IF(AB445="",AC445,IF(AC445="",AB445,""))</f>
        <v/>
      </c>
      <c r="AE445" s="55">
        <f t="shared" ref="AE445:AE508" si="113">IF(AND(OR(W445="EE",W445="CE"),AD445="Simples"),3, IF(AND(OR(W445="EE",W445="CE"),AD445="Médio"),4, IF(AND(OR(W445="EE",W445="CE"),AD445="Complexo"),6, IF(AND(W445="SE",AD445="Simples"),4, IF(AND(W445="SE",AD445="Médio"),5, IF(AND(W445="SE",AD445="Complexo"),7,0))))))</f>
        <v>0</v>
      </c>
      <c r="AF445" s="55">
        <f t="shared" ref="AF445:AF508" si="114">IF(AND(W445="ALI",AC445="Simples"),7, IF(AND(W445="ALI",AC445="Médio"),10, IF(AND(W445="ALI",AC445="Complexo"),15, IF(AND(W445="AIE",AC445="Simples"),5, IF(AND(W445="AIE",AC445="Médio"),7, IF(AND(W445="AIE",AC445="Complexo"),10,0))))))</f>
        <v>0</v>
      </c>
      <c r="AG445" s="58">
        <f t="shared" ref="AG445:AG508" si="115">IF(T445="OK",Q445,( IF(U445&lt;&gt;"Manutenção em interface",IF(U445&lt;&gt;"Desenv., Manutenção e Publicação de Páginas Estáticas",(AE445+AF445)*V445,V445),V445)))</f>
        <v>0</v>
      </c>
      <c r="AH445" s="47"/>
      <c r="AJ445" s="47"/>
      <c r="AL445" s="47"/>
      <c r="AM445" s="47" t="str">
        <f t="shared" ref="AM445:AM508" si="116">IF(AG445=0,"",IF(AG445=Q445,"OK","Divergente"))</f>
        <v/>
      </c>
    </row>
    <row r="446" spans="1:39" s="56" customFormat="1" ht="24.75" customHeight="1">
      <c r="A446" s="44"/>
      <c r="B446" s="45"/>
      <c r="C446" s="46">
        <f>IF(B446&lt;&gt;"",VLOOKUP(B446,'Tipo Projeto'!$A$3:$B$35,2,0),0)</f>
        <v>0</v>
      </c>
      <c r="D446" s="47"/>
      <c r="E446" s="47"/>
      <c r="F446" s="48"/>
      <c r="G446" s="47"/>
      <c r="H446" s="49"/>
      <c r="I446" s="50"/>
      <c r="J446" s="51"/>
      <c r="K446" s="52"/>
      <c r="L446" s="53" t="str">
        <f t="shared" si="104"/>
        <v/>
      </c>
      <c r="M446" s="48" t="str">
        <f t="shared" si="105"/>
        <v/>
      </c>
      <c r="N446" s="54" t="str">
        <f t="shared" si="106"/>
        <v/>
      </c>
      <c r="O446" s="55">
        <f t="shared" si="107"/>
        <v>0</v>
      </c>
      <c r="P446" s="55">
        <f t="shared" si="108"/>
        <v>0</v>
      </c>
      <c r="Q446" s="54">
        <f t="shared" si="109"/>
        <v>0</v>
      </c>
      <c r="R446" s="47"/>
      <c r="T446" s="57"/>
      <c r="U446" s="45"/>
      <c r="V446" s="46">
        <f>IF(U446&lt;&gt;"",VLOOKUP(U446,'Tipo Projeto'!$A$3:$B$35,2,0),0)</f>
        <v>0</v>
      </c>
      <c r="W446" s="47"/>
      <c r="X446" s="49"/>
      <c r="Y446" s="50"/>
      <c r="Z446" s="51"/>
      <c r="AA446" s="52"/>
      <c r="AB446" s="53" t="str">
        <f t="shared" si="110"/>
        <v/>
      </c>
      <c r="AC446" s="48" t="str">
        <f t="shared" si="111"/>
        <v/>
      </c>
      <c r="AD446" s="54" t="str">
        <f t="shared" si="112"/>
        <v/>
      </c>
      <c r="AE446" s="55">
        <f t="shared" si="113"/>
        <v>0</v>
      </c>
      <c r="AF446" s="55">
        <f t="shared" si="114"/>
        <v>0</v>
      </c>
      <c r="AG446" s="58">
        <f t="shared" si="115"/>
        <v>0</v>
      </c>
      <c r="AH446" s="47"/>
      <c r="AJ446" s="47"/>
      <c r="AL446" s="47"/>
      <c r="AM446" s="47" t="str">
        <f t="shared" si="116"/>
        <v/>
      </c>
    </row>
    <row r="447" spans="1:39" s="56" customFormat="1" ht="24.75" customHeight="1">
      <c r="A447" s="44"/>
      <c r="B447" s="45"/>
      <c r="C447" s="46">
        <f>IF(B447&lt;&gt;"",VLOOKUP(B447,'Tipo Projeto'!$A$3:$B$35,2,0),0)</f>
        <v>0</v>
      </c>
      <c r="D447" s="47"/>
      <c r="E447" s="47"/>
      <c r="F447" s="48"/>
      <c r="G447" s="47"/>
      <c r="H447" s="49"/>
      <c r="I447" s="50"/>
      <c r="J447" s="51"/>
      <c r="K447" s="52"/>
      <c r="L447" s="53" t="str">
        <f t="shared" si="104"/>
        <v/>
      </c>
      <c r="M447" s="48" t="str">
        <f t="shared" si="105"/>
        <v/>
      </c>
      <c r="N447" s="54" t="str">
        <f t="shared" si="106"/>
        <v/>
      </c>
      <c r="O447" s="55">
        <f t="shared" si="107"/>
        <v>0</v>
      </c>
      <c r="P447" s="55">
        <f t="shared" si="108"/>
        <v>0</v>
      </c>
      <c r="Q447" s="54">
        <f t="shared" si="109"/>
        <v>0</v>
      </c>
      <c r="R447" s="47"/>
      <c r="T447" s="57"/>
      <c r="U447" s="45"/>
      <c r="V447" s="46">
        <f>IF(U447&lt;&gt;"",VLOOKUP(U447,'Tipo Projeto'!$A$3:$B$35,2,0),0)</f>
        <v>0</v>
      </c>
      <c r="W447" s="47"/>
      <c r="X447" s="49"/>
      <c r="Y447" s="50"/>
      <c r="Z447" s="51"/>
      <c r="AA447" s="52"/>
      <c r="AB447" s="53" t="str">
        <f t="shared" si="110"/>
        <v/>
      </c>
      <c r="AC447" s="48" t="str">
        <f t="shared" si="111"/>
        <v/>
      </c>
      <c r="AD447" s="54" t="str">
        <f t="shared" si="112"/>
        <v/>
      </c>
      <c r="AE447" s="55">
        <f t="shared" si="113"/>
        <v>0</v>
      </c>
      <c r="AF447" s="55">
        <f t="shared" si="114"/>
        <v>0</v>
      </c>
      <c r="AG447" s="58">
        <f t="shared" si="115"/>
        <v>0</v>
      </c>
      <c r="AH447" s="47"/>
      <c r="AJ447" s="47"/>
      <c r="AL447" s="47"/>
      <c r="AM447" s="47" t="str">
        <f t="shared" si="116"/>
        <v/>
      </c>
    </row>
    <row r="448" spans="1:39" s="56" customFormat="1" ht="24.75" customHeight="1">
      <c r="A448" s="44"/>
      <c r="B448" s="45"/>
      <c r="C448" s="46">
        <f>IF(B448&lt;&gt;"",VLOOKUP(B448,'Tipo Projeto'!$A$3:$B$35,2,0),0)</f>
        <v>0</v>
      </c>
      <c r="D448" s="47"/>
      <c r="E448" s="47"/>
      <c r="F448" s="48"/>
      <c r="G448" s="47"/>
      <c r="H448" s="49"/>
      <c r="I448" s="50"/>
      <c r="J448" s="51"/>
      <c r="K448" s="52"/>
      <c r="L448" s="53" t="str">
        <f t="shared" si="104"/>
        <v/>
      </c>
      <c r="M448" s="48" t="str">
        <f t="shared" si="105"/>
        <v/>
      </c>
      <c r="N448" s="54" t="str">
        <f t="shared" si="106"/>
        <v/>
      </c>
      <c r="O448" s="55">
        <f t="shared" si="107"/>
        <v>0</v>
      </c>
      <c r="P448" s="55">
        <f t="shared" si="108"/>
        <v>0</v>
      </c>
      <c r="Q448" s="54">
        <f t="shared" si="109"/>
        <v>0</v>
      </c>
      <c r="R448" s="47"/>
      <c r="T448" s="57"/>
      <c r="U448" s="45"/>
      <c r="V448" s="46">
        <f>IF(U448&lt;&gt;"",VLOOKUP(U448,'Tipo Projeto'!$A$3:$B$35,2,0),0)</f>
        <v>0</v>
      </c>
      <c r="W448" s="47"/>
      <c r="X448" s="49"/>
      <c r="Y448" s="50"/>
      <c r="Z448" s="51"/>
      <c r="AA448" s="52"/>
      <c r="AB448" s="53" t="str">
        <f t="shared" si="110"/>
        <v/>
      </c>
      <c r="AC448" s="48" t="str">
        <f t="shared" si="111"/>
        <v/>
      </c>
      <c r="AD448" s="54" t="str">
        <f t="shared" si="112"/>
        <v/>
      </c>
      <c r="AE448" s="55">
        <f t="shared" si="113"/>
        <v>0</v>
      </c>
      <c r="AF448" s="55">
        <f t="shared" si="114"/>
        <v>0</v>
      </c>
      <c r="AG448" s="58">
        <f t="shared" si="115"/>
        <v>0</v>
      </c>
      <c r="AH448" s="47"/>
      <c r="AJ448" s="47"/>
      <c r="AL448" s="47"/>
      <c r="AM448" s="47" t="str">
        <f t="shared" si="116"/>
        <v/>
      </c>
    </row>
    <row r="449" spans="1:39" s="56" customFormat="1" ht="24.75" customHeight="1">
      <c r="A449" s="44"/>
      <c r="B449" s="45"/>
      <c r="C449" s="46">
        <f>IF(B449&lt;&gt;"",VLOOKUP(B449,'Tipo Projeto'!$A$3:$B$35,2,0),0)</f>
        <v>0</v>
      </c>
      <c r="D449" s="47"/>
      <c r="E449" s="47"/>
      <c r="F449" s="48"/>
      <c r="G449" s="47"/>
      <c r="H449" s="49"/>
      <c r="I449" s="50"/>
      <c r="J449" s="51"/>
      <c r="K449" s="52"/>
      <c r="L449" s="53" t="str">
        <f t="shared" si="104"/>
        <v/>
      </c>
      <c r="M449" s="48" t="str">
        <f t="shared" si="105"/>
        <v/>
      </c>
      <c r="N449" s="54" t="str">
        <f t="shared" si="106"/>
        <v/>
      </c>
      <c r="O449" s="55">
        <f t="shared" si="107"/>
        <v>0</v>
      </c>
      <c r="P449" s="55">
        <f t="shared" si="108"/>
        <v>0</v>
      </c>
      <c r="Q449" s="54">
        <f t="shared" si="109"/>
        <v>0</v>
      </c>
      <c r="R449" s="47"/>
      <c r="T449" s="57"/>
      <c r="U449" s="45"/>
      <c r="V449" s="46">
        <f>IF(U449&lt;&gt;"",VLOOKUP(U449,'Tipo Projeto'!$A$3:$B$35,2,0),0)</f>
        <v>0</v>
      </c>
      <c r="W449" s="47"/>
      <c r="X449" s="49"/>
      <c r="Y449" s="50"/>
      <c r="Z449" s="51"/>
      <c r="AA449" s="52"/>
      <c r="AB449" s="53" t="str">
        <f t="shared" si="110"/>
        <v/>
      </c>
      <c r="AC449" s="48" t="str">
        <f t="shared" si="111"/>
        <v/>
      </c>
      <c r="AD449" s="54" t="str">
        <f t="shared" si="112"/>
        <v/>
      </c>
      <c r="AE449" s="55">
        <f t="shared" si="113"/>
        <v>0</v>
      </c>
      <c r="AF449" s="55">
        <f t="shared" si="114"/>
        <v>0</v>
      </c>
      <c r="AG449" s="58">
        <f t="shared" si="115"/>
        <v>0</v>
      </c>
      <c r="AH449" s="47"/>
      <c r="AJ449" s="47"/>
      <c r="AL449" s="47"/>
      <c r="AM449" s="47" t="str">
        <f t="shared" si="116"/>
        <v/>
      </c>
    </row>
    <row r="450" spans="1:39" s="56" customFormat="1" ht="24.75" customHeight="1">
      <c r="A450" s="44"/>
      <c r="B450" s="45"/>
      <c r="C450" s="46">
        <f>IF(B450&lt;&gt;"",VLOOKUP(B450,'Tipo Projeto'!$A$3:$B$35,2,0),0)</f>
        <v>0</v>
      </c>
      <c r="D450" s="47"/>
      <c r="E450" s="47"/>
      <c r="F450" s="48"/>
      <c r="G450" s="47"/>
      <c r="H450" s="49"/>
      <c r="I450" s="50"/>
      <c r="J450" s="51"/>
      <c r="K450" s="52"/>
      <c r="L450" s="53" t="str">
        <f t="shared" si="104"/>
        <v/>
      </c>
      <c r="M450" s="48" t="str">
        <f t="shared" si="105"/>
        <v/>
      </c>
      <c r="N450" s="54" t="str">
        <f t="shared" si="106"/>
        <v/>
      </c>
      <c r="O450" s="55">
        <f t="shared" si="107"/>
        <v>0</v>
      </c>
      <c r="P450" s="55">
        <f t="shared" si="108"/>
        <v>0</v>
      </c>
      <c r="Q450" s="54">
        <f t="shared" si="109"/>
        <v>0</v>
      </c>
      <c r="R450" s="47"/>
      <c r="T450" s="57"/>
      <c r="U450" s="45"/>
      <c r="V450" s="46">
        <f>IF(U450&lt;&gt;"",VLOOKUP(U450,'Tipo Projeto'!$A$3:$B$35,2,0),0)</f>
        <v>0</v>
      </c>
      <c r="W450" s="47"/>
      <c r="X450" s="49"/>
      <c r="Y450" s="50"/>
      <c r="Z450" s="51"/>
      <c r="AA450" s="52"/>
      <c r="AB450" s="53" t="str">
        <f t="shared" si="110"/>
        <v/>
      </c>
      <c r="AC450" s="48" t="str">
        <f t="shared" si="111"/>
        <v/>
      </c>
      <c r="AD450" s="54" t="str">
        <f t="shared" si="112"/>
        <v/>
      </c>
      <c r="AE450" s="55">
        <f t="shared" si="113"/>
        <v>0</v>
      </c>
      <c r="AF450" s="55">
        <f t="shared" si="114"/>
        <v>0</v>
      </c>
      <c r="AG450" s="58">
        <f t="shared" si="115"/>
        <v>0</v>
      </c>
      <c r="AH450" s="47"/>
      <c r="AJ450" s="47"/>
      <c r="AL450" s="47"/>
      <c r="AM450" s="47" t="str">
        <f t="shared" si="116"/>
        <v/>
      </c>
    </row>
    <row r="451" spans="1:39" s="56" customFormat="1" ht="24.75" customHeight="1">
      <c r="A451" s="44"/>
      <c r="B451" s="45"/>
      <c r="C451" s="46">
        <f>IF(B451&lt;&gt;"",VLOOKUP(B451,'Tipo Projeto'!$A$3:$B$35,2,0),0)</f>
        <v>0</v>
      </c>
      <c r="D451" s="47"/>
      <c r="E451" s="47"/>
      <c r="F451" s="48"/>
      <c r="G451" s="47"/>
      <c r="H451" s="49"/>
      <c r="I451" s="50"/>
      <c r="J451" s="51"/>
      <c r="K451" s="52"/>
      <c r="L451" s="53" t="str">
        <f t="shared" si="104"/>
        <v/>
      </c>
      <c r="M451" s="48" t="str">
        <f t="shared" si="105"/>
        <v/>
      </c>
      <c r="N451" s="54" t="str">
        <f t="shared" si="106"/>
        <v/>
      </c>
      <c r="O451" s="55">
        <f t="shared" si="107"/>
        <v>0</v>
      </c>
      <c r="P451" s="55">
        <f t="shared" si="108"/>
        <v>0</v>
      </c>
      <c r="Q451" s="54">
        <f t="shared" si="109"/>
        <v>0</v>
      </c>
      <c r="R451" s="47"/>
      <c r="T451" s="57"/>
      <c r="U451" s="45"/>
      <c r="V451" s="46">
        <f>IF(U451&lt;&gt;"",VLOOKUP(U451,'Tipo Projeto'!$A$3:$B$35,2,0),0)</f>
        <v>0</v>
      </c>
      <c r="W451" s="47"/>
      <c r="X451" s="49"/>
      <c r="Y451" s="50"/>
      <c r="Z451" s="51"/>
      <c r="AA451" s="52"/>
      <c r="AB451" s="53" t="str">
        <f t="shared" si="110"/>
        <v/>
      </c>
      <c r="AC451" s="48" t="str">
        <f t="shared" si="111"/>
        <v/>
      </c>
      <c r="AD451" s="54" t="str">
        <f t="shared" si="112"/>
        <v/>
      </c>
      <c r="AE451" s="55">
        <f t="shared" si="113"/>
        <v>0</v>
      </c>
      <c r="AF451" s="55">
        <f t="shared" si="114"/>
        <v>0</v>
      </c>
      <c r="AG451" s="58">
        <f t="shared" si="115"/>
        <v>0</v>
      </c>
      <c r="AH451" s="47"/>
      <c r="AJ451" s="47"/>
      <c r="AL451" s="47"/>
      <c r="AM451" s="47" t="str">
        <f t="shared" si="116"/>
        <v/>
      </c>
    </row>
    <row r="452" spans="1:39" s="56" customFormat="1" ht="24.75" customHeight="1">
      <c r="A452" s="44"/>
      <c r="B452" s="45"/>
      <c r="C452" s="46">
        <f>IF(B452&lt;&gt;"",VLOOKUP(B452,'Tipo Projeto'!$A$3:$B$35,2,0),0)</f>
        <v>0</v>
      </c>
      <c r="D452" s="47"/>
      <c r="E452" s="47"/>
      <c r="F452" s="48"/>
      <c r="G452" s="47"/>
      <c r="H452" s="49"/>
      <c r="I452" s="50"/>
      <c r="J452" s="51"/>
      <c r="K452" s="52"/>
      <c r="L452" s="53" t="str">
        <f t="shared" si="104"/>
        <v/>
      </c>
      <c r="M452" s="48" t="str">
        <f t="shared" si="105"/>
        <v/>
      </c>
      <c r="N452" s="54" t="str">
        <f t="shared" si="106"/>
        <v/>
      </c>
      <c r="O452" s="55">
        <f t="shared" si="107"/>
        <v>0</v>
      </c>
      <c r="P452" s="55">
        <f t="shared" si="108"/>
        <v>0</v>
      </c>
      <c r="Q452" s="54">
        <f t="shared" si="109"/>
        <v>0</v>
      </c>
      <c r="R452" s="47"/>
      <c r="T452" s="57"/>
      <c r="U452" s="45"/>
      <c r="V452" s="46">
        <f>IF(U452&lt;&gt;"",VLOOKUP(U452,'Tipo Projeto'!$A$3:$B$35,2,0),0)</f>
        <v>0</v>
      </c>
      <c r="W452" s="47"/>
      <c r="X452" s="49"/>
      <c r="Y452" s="50"/>
      <c r="Z452" s="51"/>
      <c r="AA452" s="52"/>
      <c r="AB452" s="53" t="str">
        <f t="shared" si="110"/>
        <v/>
      </c>
      <c r="AC452" s="48" t="str">
        <f t="shared" si="111"/>
        <v/>
      </c>
      <c r="AD452" s="54" t="str">
        <f t="shared" si="112"/>
        <v/>
      </c>
      <c r="AE452" s="55">
        <f t="shared" si="113"/>
        <v>0</v>
      </c>
      <c r="AF452" s="55">
        <f t="shared" si="114"/>
        <v>0</v>
      </c>
      <c r="AG452" s="58">
        <f t="shared" si="115"/>
        <v>0</v>
      </c>
      <c r="AH452" s="47"/>
      <c r="AJ452" s="47"/>
      <c r="AL452" s="47"/>
      <c r="AM452" s="47" t="str">
        <f t="shared" si="116"/>
        <v/>
      </c>
    </row>
    <row r="453" spans="1:39" s="56" customFormat="1" ht="24.75" customHeight="1">
      <c r="A453" s="44"/>
      <c r="B453" s="45"/>
      <c r="C453" s="46">
        <f>IF(B453&lt;&gt;"",VLOOKUP(B453,'Tipo Projeto'!$A$3:$B$35,2,0),0)</f>
        <v>0</v>
      </c>
      <c r="D453" s="47"/>
      <c r="E453" s="47"/>
      <c r="F453" s="48"/>
      <c r="G453" s="47"/>
      <c r="H453" s="49"/>
      <c r="I453" s="50"/>
      <c r="J453" s="51"/>
      <c r="K453" s="52"/>
      <c r="L453" s="53" t="str">
        <f t="shared" si="104"/>
        <v/>
      </c>
      <c r="M453" s="48" t="str">
        <f t="shared" si="105"/>
        <v/>
      </c>
      <c r="N453" s="54" t="str">
        <f t="shared" si="106"/>
        <v/>
      </c>
      <c r="O453" s="55">
        <f t="shared" si="107"/>
        <v>0</v>
      </c>
      <c r="P453" s="55">
        <f t="shared" si="108"/>
        <v>0</v>
      </c>
      <c r="Q453" s="54">
        <f t="shared" si="109"/>
        <v>0</v>
      </c>
      <c r="R453" s="47"/>
      <c r="T453" s="57"/>
      <c r="U453" s="45"/>
      <c r="V453" s="46">
        <f>IF(U453&lt;&gt;"",VLOOKUP(U453,'Tipo Projeto'!$A$3:$B$35,2,0),0)</f>
        <v>0</v>
      </c>
      <c r="W453" s="47"/>
      <c r="X453" s="49"/>
      <c r="Y453" s="50"/>
      <c r="Z453" s="51"/>
      <c r="AA453" s="52"/>
      <c r="AB453" s="53" t="str">
        <f t="shared" si="110"/>
        <v/>
      </c>
      <c r="AC453" s="48" t="str">
        <f t="shared" si="111"/>
        <v/>
      </c>
      <c r="AD453" s="54" t="str">
        <f t="shared" si="112"/>
        <v/>
      </c>
      <c r="AE453" s="55">
        <f t="shared" si="113"/>
        <v>0</v>
      </c>
      <c r="AF453" s="55">
        <f t="shared" si="114"/>
        <v>0</v>
      </c>
      <c r="AG453" s="58">
        <f t="shared" si="115"/>
        <v>0</v>
      </c>
      <c r="AH453" s="47"/>
      <c r="AJ453" s="47"/>
      <c r="AL453" s="47"/>
      <c r="AM453" s="47" t="str">
        <f t="shared" si="116"/>
        <v/>
      </c>
    </row>
    <row r="454" spans="1:39" s="56" customFormat="1" ht="24.75" customHeight="1">
      <c r="A454" s="44"/>
      <c r="B454" s="45"/>
      <c r="C454" s="46">
        <f>IF(B454&lt;&gt;"",VLOOKUP(B454,'Tipo Projeto'!$A$3:$B$35,2,0),0)</f>
        <v>0</v>
      </c>
      <c r="D454" s="47"/>
      <c r="E454" s="47"/>
      <c r="F454" s="48"/>
      <c r="G454" s="47"/>
      <c r="H454" s="49"/>
      <c r="I454" s="50"/>
      <c r="J454" s="51"/>
      <c r="K454" s="52"/>
      <c r="L454" s="53" t="str">
        <f t="shared" si="104"/>
        <v/>
      </c>
      <c r="M454" s="48" t="str">
        <f t="shared" si="105"/>
        <v/>
      </c>
      <c r="N454" s="54" t="str">
        <f t="shared" si="106"/>
        <v/>
      </c>
      <c r="O454" s="55">
        <f t="shared" si="107"/>
        <v>0</v>
      </c>
      <c r="P454" s="55">
        <f t="shared" si="108"/>
        <v>0</v>
      </c>
      <c r="Q454" s="54">
        <f t="shared" si="109"/>
        <v>0</v>
      </c>
      <c r="R454" s="47"/>
      <c r="T454" s="57"/>
      <c r="U454" s="45"/>
      <c r="V454" s="46">
        <f>IF(U454&lt;&gt;"",VLOOKUP(U454,'Tipo Projeto'!$A$3:$B$35,2,0),0)</f>
        <v>0</v>
      </c>
      <c r="W454" s="47"/>
      <c r="X454" s="49"/>
      <c r="Y454" s="50"/>
      <c r="Z454" s="51"/>
      <c r="AA454" s="52"/>
      <c r="AB454" s="53" t="str">
        <f t="shared" si="110"/>
        <v/>
      </c>
      <c r="AC454" s="48" t="str">
        <f t="shared" si="111"/>
        <v/>
      </c>
      <c r="AD454" s="54" t="str">
        <f t="shared" si="112"/>
        <v/>
      </c>
      <c r="AE454" s="55">
        <f t="shared" si="113"/>
        <v>0</v>
      </c>
      <c r="AF454" s="55">
        <f t="shared" si="114"/>
        <v>0</v>
      </c>
      <c r="AG454" s="58">
        <f t="shared" si="115"/>
        <v>0</v>
      </c>
      <c r="AH454" s="47"/>
      <c r="AJ454" s="47"/>
      <c r="AL454" s="47"/>
      <c r="AM454" s="47" t="str">
        <f t="shared" si="116"/>
        <v/>
      </c>
    </row>
    <row r="455" spans="1:39" s="56" customFormat="1" ht="24.75" customHeight="1">
      <c r="A455" s="44"/>
      <c r="B455" s="45"/>
      <c r="C455" s="46">
        <f>IF(B455&lt;&gt;"",VLOOKUP(B455,'Tipo Projeto'!$A$3:$B$35,2,0),0)</f>
        <v>0</v>
      </c>
      <c r="D455" s="47"/>
      <c r="E455" s="47"/>
      <c r="F455" s="48"/>
      <c r="G455" s="47"/>
      <c r="H455" s="49"/>
      <c r="I455" s="50"/>
      <c r="J455" s="51"/>
      <c r="K455" s="52"/>
      <c r="L455" s="53" t="str">
        <f t="shared" si="104"/>
        <v/>
      </c>
      <c r="M455" s="48" t="str">
        <f t="shared" si="105"/>
        <v/>
      </c>
      <c r="N455" s="54" t="str">
        <f t="shared" si="106"/>
        <v/>
      </c>
      <c r="O455" s="55">
        <f t="shared" si="107"/>
        <v>0</v>
      </c>
      <c r="P455" s="55">
        <f t="shared" si="108"/>
        <v>0</v>
      </c>
      <c r="Q455" s="54">
        <f t="shared" si="109"/>
        <v>0</v>
      </c>
      <c r="R455" s="47"/>
      <c r="T455" s="57"/>
      <c r="U455" s="45"/>
      <c r="V455" s="46">
        <f>IF(U455&lt;&gt;"",VLOOKUP(U455,'Tipo Projeto'!$A$3:$B$35,2,0),0)</f>
        <v>0</v>
      </c>
      <c r="W455" s="47"/>
      <c r="X455" s="49"/>
      <c r="Y455" s="50"/>
      <c r="Z455" s="51"/>
      <c r="AA455" s="52"/>
      <c r="AB455" s="53" t="str">
        <f t="shared" si="110"/>
        <v/>
      </c>
      <c r="AC455" s="48" t="str">
        <f t="shared" si="111"/>
        <v/>
      </c>
      <c r="AD455" s="54" t="str">
        <f t="shared" si="112"/>
        <v/>
      </c>
      <c r="AE455" s="55">
        <f t="shared" si="113"/>
        <v>0</v>
      </c>
      <c r="AF455" s="55">
        <f t="shared" si="114"/>
        <v>0</v>
      </c>
      <c r="AG455" s="58">
        <f t="shared" si="115"/>
        <v>0</v>
      </c>
      <c r="AH455" s="47"/>
      <c r="AJ455" s="47"/>
      <c r="AL455" s="47"/>
      <c r="AM455" s="47" t="str">
        <f t="shared" si="116"/>
        <v/>
      </c>
    </row>
    <row r="456" spans="1:39" s="56" customFormat="1" ht="24.75" customHeight="1">
      <c r="A456" s="44"/>
      <c r="B456" s="45"/>
      <c r="C456" s="46">
        <f>IF(B456&lt;&gt;"",VLOOKUP(B456,'Tipo Projeto'!$A$3:$B$35,2,0),0)</f>
        <v>0</v>
      </c>
      <c r="D456" s="47"/>
      <c r="E456" s="47"/>
      <c r="F456" s="48"/>
      <c r="G456" s="47"/>
      <c r="H456" s="49"/>
      <c r="I456" s="50"/>
      <c r="J456" s="51"/>
      <c r="K456" s="52"/>
      <c r="L456" s="53" t="str">
        <f t="shared" si="104"/>
        <v/>
      </c>
      <c r="M456" s="48" t="str">
        <f t="shared" si="105"/>
        <v/>
      </c>
      <c r="N456" s="54" t="str">
        <f t="shared" si="106"/>
        <v/>
      </c>
      <c r="O456" s="55">
        <f t="shared" si="107"/>
        <v>0</v>
      </c>
      <c r="P456" s="55">
        <f t="shared" si="108"/>
        <v>0</v>
      </c>
      <c r="Q456" s="54">
        <f t="shared" si="109"/>
        <v>0</v>
      </c>
      <c r="R456" s="47"/>
      <c r="T456" s="57"/>
      <c r="U456" s="45"/>
      <c r="V456" s="46">
        <f>IF(U456&lt;&gt;"",VLOOKUP(U456,'Tipo Projeto'!$A$3:$B$35,2,0),0)</f>
        <v>0</v>
      </c>
      <c r="W456" s="47"/>
      <c r="X456" s="49"/>
      <c r="Y456" s="50"/>
      <c r="Z456" s="51"/>
      <c r="AA456" s="52"/>
      <c r="AB456" s="53" t="str">
        <f t="shared" si="110"/>
        <v/>
      </c>
      <c r="AC456" s="48" t="str">
        <f t="shared" si="111"/>
        <v/>
      </c>
      <c r="AD456" s="54" t="str">
        <f t="shared" si="112"/>
        <v/>
      </c>
      <c r="AE456" s="55">
        <f t="shared" si="113"/>
        <v>0</v>
      </c>
      <c r="AF456" s="55">
        <f t="shared" si="114"/>
        <v>0</v>
      </c>
      <c r="AG456" s="58">
        <f t="shared" si="115"/>
        <v>0</v>
      </c>
      <c r="AH456" s="47"/>
      <c r="AJ456" s="47"/>
      <c r="AL456" s="47"/>
      <c r="AM456" s="47" t="str">
        <f t="shared" si="116"/>
        <v/>
      </c>
    </row>
    <row r="457" spans="1:39" s="56" customFormat="1" ht="24.75" customHeight="1">
      <c r="A457" s="44"/>
      <c r="B457" s="45"/>
      <c r="C457" s="46">
        <f>IF(B457&lt;&gt;"",VLOOKUP(B457,'Tipo Projeto'!$A$3:$B$35,2,0),0)</f>
        <v>0</v>
      </c>
      <c r="D457" s="47"/>
      <c r="E457" s="47"/>
      <c r="F457" s="48"/>
      <c r="G457" s="47"/>
      <c r="H457" s="49"/>
      <c r="I457" s="50"/>
      <c r="J457" s="51"/>
      <c r="K457" s="52"/>
      <c r="L457" s="53" t="str">
        <f t="shared" si="104"/>
        <v/>
      </c>
      <c r="M457" s="48" t="str">
        <f t="shared" si="105"/>
        <v/>
      </c>
      <c r="N457" s="54" t="str">
        <f t="shared" si="106"/>
        <v/>
      </c>
      <c r="O457" s="55">
        <f t="shared" si="107"/>
        <v>0</v>
      </c>
      <c r="P457" s="55">
        <f t="shared" si="108"/>
        <v>0</v>
      </c>
      <c r="Q457" s="54">
        <f t="shared" si="109"/>
        <v>0</v>
      </c>
      <c r="R457" s="47"/>
      <c r="T457" s="57"/>
      <c r="U457" s="45"/>
      <c r="V457" s="46">
        <f>IF(U457&lt;&gt;"",VLOOKUP(U457,'Tipo Projeto'!$A$3:$B$35,2,0),0)</f>
        <v>0</v>
      </c>
      <c r="W457" s="47"/>
      <c r="X457" s="49"/>
      <c r="Y457" s="50"/>
      <c r="Z457" s="51"/>
      <c r="AA457" s="52"/>
      <c r="AB457" s="53" t="str">
        <f t="shared" si="110"/>
        <v/>
      </c>
      <c r="AC457" s="48" t="str">
        <f t="shared" si="111"/>
        <v/>
      </c>
      <c r="AD457" s="54" t="str">
        <f t="shared" si="112"/>
        <v/>
      </c>
      <c r="AE457" s="55">
        <f t="shared" si="113"/>
        <v>0</v>
      </c>
      <c r="AF457" s="55">
        <f t="shared" si="114"/>
        <v>0</v>
      </c>
      <c r="AG457" s="58">
        <f t="shared" si="115"/>
        <v>0</v>
      </c>
      <c r="AH457" s="47"/>
      <c r="AJ457" s="47"/>
      <c r="AL457" s="47"/>
      <c r="AM457" s="47" t="str">
        <f t="shared" si="116"/>
        <v/>
      </c>
    </row>
    <row r="458" spans="1:39" s="56" customFormat="1" ht="24.75" customHeight="1">
      <c r="A458" s="44"/>
      <c r="B458" s="45"/>
      <c r="C458" s="46">
        <f>IF(B458&lt;&gt;"",VLOOKUP(B458,'Tipo Projeto'!$A$3:$B$35,2,0),0)</f>
        <v>0</v>
      </c>
      <c r="D458" s="47"/>
      <c r="E458" s="47"/>
      <c r="F458" s="48"/>
      <c r="G458" s="47"/>
      <c r="H458" s="49"/>
      <c r="I458" s="50"/>
      <c r="J458" s="51"/>
      <c r="K458" s="52"/>
      <c r="L458" s="53" t="str">
        <f t="shared" si="104"/>
        <v/>
      </c>
      <c r="M458" s="48" t="str">
        <f t="shared" si="105"/>
        <v/>
      </c>
      <c r="N458" s="54" t="str">
        <f t="shared" si="106"/>
        <v/>
      </c>
      <c r="O458" s="55">
        <f t="shared" si="107"/>
        <v>0</v>
      </c>
      <c r="P458" s="55">
        <f t="shared" si="108"/>
        <v>0</v>
      </c>
      <c r="Q458" s="54">
        <f t="shared" si="109"/>
        <v>0</v>
      </c>
      <c r="R458" s="47"/>
      <c r="T458" s="57"/>
      <c r="U458" s="45"/>
      <c r="V458" s="46">
        <f>IF(U458&lt;&gt;"",VLOOKUP(U458,'Tipo Projeto'!$A$3:$B$35,2,0),0)</f>
        <v>0</v>
      </c>
      <c r="W458" s="47"/>
      <c r="X458" s="49"/>
      <c r="Y458" s="50"/>
      <c r="Z458" s="51"/>
      <c r="AA458" s="52"/>
      <c r="AB458" s="53" t="str">
        <f t="shared" si="110"/>
        <v/>
      </c>
      <c r="AC458" s="48" t="str">
        <f t="shared" si="111"/>
        <v/>
      </c>
      <c r="AD458" s="54" t="str">
        <f t="shared" si="112"/>
        <v/>
      </c>
      <c r="AE458" s="55">
        <f t="shared" si="113"/>
        <v>0</v>
      </c>
      <c r="AF458" s="55">
        <f t="shared" si="114"/>
        <v>0</v>
      </c>
      <c r="AG458" s="58">
        <f t="shared" si="115"/>
        <v>0</v>
      </c>
      <c r="AH458" s="47"/>
      <c r="AJ458" s="47"/>
      <c r="AL458" s="47"/>
      <c r="AM458" s="47" t="str">
        <f t="shared" si="116"/>
        <v/>
      </c>
    </row>
    <row r="459" spans="1:39" s="56" customFormat="1" ht="24.75" customHeight="1">
      <c r="A459" s="44"/>
      <c r="B459" s="45"/>
      <c r="C459" s="46">
        <f>IF(B459&lt;&gt;"",VLOOKUP(B459,'Tipo Projeto'!$A$3:$B$35,2,0),0)</f>
        <v>0</v>
      </c>
      <c r="D459" s="47"/>
      <c r="E459" s="47"/>
      <c r="F459" s="48"/>
      <c r="G459" s="47"/>
      <c r="H459" s="49"/>
      <c r="I459" s="50"/>
      <c r="J459" s="51"/>
      <c r="K459" s="52"/>
      <c r="L459" s="53" t="str">
        <f t="shared" si="104"/>
        <v/>
      </c>
      <c r="M459" s="48" t="str">
        <f t="shared" si="105"/>
        <v/>
      </c>
      <c r="N459" s="54" t="str">
        <f t="shared" si="106"/>
        <v/>
      </c>
      <c r="O459" s="55">
        <f t="shared" si="107"/>
        <v>0</v>
      </c>
      <c r="P459" s="55">
        <f t="shared" si="108"/>
        <v>0</v>
      </c>
      <c r="Q459" s="54">
        <f t="shared" si="109"/>
        <v>0</v>
      </c>
      <c r="R459" s="47"/>
      <c r="T459" s="57"/>
      <c r="U459" s="45"/>
      <c r="V459" s="46">
        <f>IF(U459&lt;&gt;"",VLOOKUP(U459,'Tipo Projeto'!$A$3:$B$35,2,0),0)</f>
        <v>0</v>
      </c>
      <c r="W459" s="47"/>
      <c r="X459" s="49"/>
      <c r="Y459" s="50"/>
      <c r="Z459" s="51"/>
      <c r="AA459" s="52"/>
      <c r="AB459" s="53" t="str">
        <f t="shared" si="110"/>
        <v/>
      </c>
      <c r="AC459" s="48" t="str">
        <f t="shared" si="111"/>
        <v/>
      </c>
      <c r="AD459" s="54" t="str">
        <f t="shared" si="112"/>
        <v/>
      </c>
      <c r="AE459" s="55">
        <f t="shared" si="113"/>
        <v>0</v>
      </c>
      <c r="AF459" s="55">
        <f t="shared" si="114"/>
        <v>0</v>
      </c>
      <c r="AG459" s="58">
        <f t="shared" si="115"/>
        <v>0</v>
      </c>
      <c r="AH459" s="47"/>
      <c r="AJ459" s="47"/>
      <c r="AL459" s="47"/>
      <c r="AM459" s="47" t="str">
        <f t="shared" si="116"/>
        <v/>
      </c>
    </row>
    <row r="460" spans="1:39" s="56" customFormat="1" ht="24.75" customHeight="1">
      <c r="A460" s="44"/>
      <c r="B460" s="45"/>
      <c r="C460" s="46">
        <f>IF(B460&lt;&gt;"",VLOOKUP(B460,'Tipo Projeto'!$A$3:$B$35,2,0),0)</f>
        <v>0</v>
      </c>
      <c r="D460" s="47"/>
      <c r="E460" s="47"/>
      <c r="F460" s="48"/>
      <c r="G460" s="47"/>
      <c r="H460" s="49"/>
      <c r="I460" s="50"/>
      <c r="J460" s="51"/>
      <c r="K460" s="52"/>
      <c r="L460" s="53" t="str">
        <f t="shared" si="104"/>
        <v/>
      </c>
      <c r="M460" s="48" t="str">
        <f t="shared" si="105"/>
        <v/>
      </c>
      <c r="N460" s="54" t="str">
        <f t="shared" si="106"/>
        <v/>
      </c>
      <c r="O460" s="55">
        <f t="shared" si="107"/>
        <v>0</v>
      </c>
      <c r="P460" s="55">
        <f t="shared" si="108"/>
        <v>0</v>
      </c>
      <c r="Q460" s="54">
        <f t="shared" si="109"/>
        <v>0</v>
      </c>
      <c r="R460" s="47"/>
      <c r="T460" s="57"/>
      <c r="U460" s="45"/>
      <c r="V460" s="46">
        <f>IF(U460&lt;&gt;"",VLOOKUP(U460,'Tipo Projeto'!$A$3:$B$35,2,0),0)</f>
        <v>0</v>
      </c>
      <c r="W460" s="47"/>
      <c r="X460" s="49"/>
      <c r="Y460" s="50"/>
      <c r="Z460" s="51"/>
      <c r="AA460" s="52"/>
      <c r="AB460" s="53" t="str">
        <f t="shared" si="110"/>
        <v/>
      </c>
      <c r="AC460" s="48" t="str">
        <f t="shared" si="111"/>
        <v/>
      </c>
      <c r="AD460" s="54" t="str">
        <f t="shared" si="112"/>
        <v/>
      </c>
      <c r="AE460" s="55">
        <f t="shared" si="113"/>
        <v>0</v>
      </c>
      <c r="AF460" s="55">
        <f t="shared" si="114"/>
        <v>0</v>
      </c>
      <c r="AG460" s="58">
        <f t="shared" si="115"/>
        <v>0</v>
      </c>
      <c r="AH460" s="47"/>
      <c r="AJ460" s="47"/>
      <c r="AL460" s="47"/>
      <c r="AM460" s="47" t="str">
        <f t="shared" si="116"/>
        <v/>
      </c>
    </row>
    <row r="461" spans="1:39" s="56" customFormat="1" ht="24.75" customHeight="1">
      <c r="A461" s="44"/>
      <c r="B461" s="45"/>
      <c r="C461" s="46">
        <f>IF(B461&lt;&gt;"",VLOOKUP(B461,'Tipo Projeto'!$A$3:$B$35,2,0),0)</f>
        <v>0</v>
      </c>
      <c r="D461" s="47"/>
      <c r="E461" s="47"/>
      <c r="F461" s="48"/>
      <c r="G461" s="47"/>
      <c r="H461" s="49"/>
      <c r="I461" s="50"/>
      <c r="J461" s="51"/>
      <c r="K461" s="52"/>
      <c r="L461" s="53" t="str">
        <f t="shared" si="104"/>
        <v/>
      </c>
      <c r="M461" s="48" t="str">
        <f t="shared" si="105"/>
        <v/>
      </c>
      <c r="N461" s="54" t="str">
        <f t="shared" si="106"/>
        <v/>
      </c>
      <c r="O461" s="55">
        <f t="shared" si="107"/>
        <v>0</v>
      </c>
      <c r="P461" s="55">
        <f t="shared" si="108"/>
        <v>0</v>
      </c>
      <c r="Q461" s="54">
        <f t="shared" si="109"/>
        <v>0</v>
      </c>
      <c r="R461" s="47"/>
      <c r="T461" s="57"/>
      <c r="U461" s="45"/>
      <c r="V461" s="46">
        <f>IF(U461&lt;&gt;"",VLOOKUP(U461,'Tipo Projeto'!$A$3:$B$35,2,0),0)</f>
        <v>0</v>
      </c>
      <c r="W461" s="47"/>
      <c r="X461" s="49"/>
      <c r="Y461" s="50"/>
      <c r="Z461" s="51"/>
      <c r="AA461" s="52"/>
      <c r="AB461" s="53" t="str">
        <f t="shared" si="110"/>
        <v/>
      </c>
      <c r="AC461" s="48" t="str">
        <f t="shared" si="111"/>
        <v/>
      </c>
      <c r="AD461" s="54" t="str">
        <f t="shared" si="112"/>
        <v/>
      </c>
      <c r="AE461" s="55">
        <f t="shared" si="113"/>
        <v>0</v>
      </c>
      <c r="AF461" s="55">
        <f t="shared" si="114"/>
        <v>0</v>
      </c>
      <c r="AG461" s="58">
        <f t="shared" si="115"/>
        <v>0</v>
      </c>
      <c r="AH461" s="47"/>
      <c r="AJ461" s="47"/>
      <c r="AL461" s="47"/>
      <c r="AM461" s="47" t="str">
        <f t="shared" si="116"/>
        <v/>
      </c>
    </row>
    <row r="462" spans="1:39" s="56" customFormat="1" ht="24.75" customHeight="1">
      <c r="A462" s="44"/>
      <c r="B462" s="45"/>
      <c r="C462" s="46">
        <f>IF(B462&lt;&gt;"",VLOOKUP(B462,'Tipo Projeto'!$A$3:$B$35,2,0),0)</f>
        <v>0</v>
      </c>
      <c r="D462" s="47"/>
      <c r="E462" s="47"/>
      <c r="F462" s="48"/>
      <c r="G462" s="47"/>
      <c r="H462" s="49"/>
      <c r="I462" s="50"/>
      <c r="J462" s="51"/>
      <c r="K462" s="52"/>
      <c r="L462" s="53" t="str">
        <f t="shared" si="104"/>
        <v/>
      </c>
      <c r="M462" s="48" t="str">
        <f t="shared" si="105"/>
        <v/>
      </c>
      <c r="N462" s="54" t="str">
        <f t="shared" si="106"/>
        <v/>
      </c>
      <c r="O462" s="55">
        <f t="shared" si="107"/>
        <v>0</v>
      </c>
      <c r="P462" s="55">
        <f t="shared" si="108"/>
        <v>0</v>
      </c>
      <c r="Q462" s="54">
        <f t="shared" si="109"/>
        <v>0</v>
      </c>
      <c r="R462" s="47"/>
      <c r="T462" s="57"/>
      <c r="U462" s="45"/>
      <c r="V462" s="46">
        <f>IF(U462&lt;&gt;"",VLOOKUP(U462,'Tipo Projeto'!$A$3:$B$35,2,0),0)</f>
        <v>0</v>
      </c>
      <c r="W462" s="47"/>
      <c r="X462" s="49"/>
      <c r="Y462" s="50"/>
      <c r="Z462" s="51"/>
      <c r="AA462" s="52"/>
      <c r="AB462" s="53" t="str">
        <f t="shared" si="110"/>
        <v/>
      </c>
      <c r="AC462" s="48" t="str">
        <f t="shared" si="111"/>
        <v/>
      </c>
      <c r="AD462" s="54" t="str">
        <f t="shared" si="112"/>
        <v/>
      </c>
      <c r="AE462" s="55">
        <f t="shared" si="113"/>
        <v>0</v>
      </c>
      <c r="AF462" s="55">
        <f t="shared" si="114"/>
        <v>0</v>
      </c>
      <c r="AG462" s="58">
        <f t="shared" si="115"/>
        <v>0</v>
      </c>
      <c r="AH462" s="47"/>
      <c r="AJ462" s="47"/>
      <c r="AL462" s="47"/>
      <c r="AM462" s="47" t="str">
        <f t="shared" si="116"/>
        <v/>
      </c>
    </row>
    <row r="463" spans="1:39" s="56" customFormat="1" ht="24.75" customHeight="1">
      <c r="A463" s="44"/>
      <c r="B463" s="45"/>
      <c r="C463" s="46">
        <f>IF(B463&lt;&gt;"",VLOOKUP(B463,'Tipo Projeto'!$A$3:$B$35,2,0),0)</f>
        <v>0</v>
      </c>
      <c r="D463" s="47"/>
      <c r="E463" s="47"/>
      <c r="F463" s="48"/>
      <c r="G463" s="47"/>
      <c r="H463" s="49"/>
      <c r="I463" s="50"/>
      <c r="J463" s="51"/>
      <c r="K463" s="52"/>
      <c r="L463" s="53" t="str">
        <f t="shared" si="104"/>
        <v/>
      </c>
      <c r="M463" s="48" t="str">
        <f t="shared" si="105"/>
        <v/>
      </c>
      <c r="N463" s="54" t="str">
        <f t="shared" si="106"/>
        <v/>
      </c>
      <c r="O463" s="55">
        <f t="shared" si="107"/>
        <v>0</v>
      </c>
      <c r="P463" s="55">
        <f t="shared" si="108"/>
        <v>0</v>
      </c>
      <c r="Q463" s="54">
        <f t="shared" si="109"/>
        <v>0</v>
      </c>
      <c r="R463" s="47"/>
      <c r="T463" s="57"/>
      <c r="U463" s="45"/>
      <c r="V463" s="46">
        <f>IF(U463&lt;&gt;"",VLOOKUP(U463,'Tipo Projeto'!$A$3:$B$35,2,0),0)</f>
        <v>0</v>
      </c>
      <c r="W463" s="47"/>
      <c r="X463" s="49"/>
      <c r="Y463" s="50"/>
      <c r="Z463" s="51"/>
      <c r="AA463" s="52"/>
      <c r="AB463" s="53" t="str">
        <f t="shared" si="110"/>
        <v/>
      </c>
      <c r="AC463" s="48" t="str">
        <f t="shared" si="111"/>
        <v/>
      </c>
      <c r="AD463" s="54" t="str">
        <f t="shared" si="112"/>
        <v/>
      </c>
      <c r="AE463" s="55">
        <f t="shared" si="113"/>
        <v>0</v>
      </c>
      <c r="AF463" s="55">
        <f t="shared" si="114"/>
        <v>0</v>
      </c>
      <c r="AG463" s="58">
        <f t="shared" si="115"/>
        <v>0</v>
      </c>
      <c r="AH463" s="47"/>
      <c r="AJ463" s="47"/>
      <c r="AL463" s="47"/>
      <c r="AM463" s="47" t="str">
        <f t="shared" si="116"/>
        <v/>
      </c>
    </row>
    <row r="464" spans="1:39" s="56" customFormat="1" ht="24.75" customHeight="1">
      <c r="A464" s="44"/>
      <c r="B464" s="45"/>
      <c r="C464" s="46">
        <f>IF(B464&lt;&gt;"",VLOOKUP(B464,'Tipo Projeto'!$A$3:$B$35,2,0),0)</f>
        <v>0</v>
      </c>
      <c r="D464" s="47"/>
      <c r="E464" s="47"/>
      <c r="F464" s="48"/>
      <c r="G464" s="47"/>
      <c r="H464" s="49"/>
      <c r="I464" s="50"/>
      <c r="J464" s="51"/>
      <c r="K464" s="52"/>
      <c r="L464" s="53" t="str">
        <f t="shared" si="104"/>
        <v/>
      </c>
      <c r="M464" s="48" t="str">
        <f t="shared" si="105"/>
        <v/>
      </c>
      <c r="N464" s="54" t="str">
        <f t="shared" si="106"/>
        <v/>
      </c>
      <c r="O464" s="55">
        <f t="shared" si="107"/>
        <v>0</v>
      </c>
      <c r="P464" s="55">
        <f t="shared" si="108"/>
        <v>0</v>
      </c>
      <c r="Q464" s="54">
        <f t="shared" si="109"/>
        <v>0</v>
      </c>
      <c r="R464" s="47"/>
      <c r="T464" s="57"/>
      <c r="U464" s="45"/>
      <c r="V464" s="46">
        <f>IF(U464&lt;&gt;"",VLOOKUP(U464,'Tipo Projeto'!$A$3:$B$35,2,0),0)</f>
        <v>0</v>
      </c>
      <c r="W464" s="47"/>
      <c r="X464" s="49"/>
      <c r="Y464" s="50"/>
      <c r="Z464" s="51"/>
      <c r="AA464" s="52"/>
      <c r="AB464" s="53" t="str">
        <f t="shared" si="110"/>
        <v/>
      </c>
      <c r="AC464" s="48" t="str">
        <f t="shared" si="111"/>
        <v/>
      </c>
      <c r="AD464" s="54" t="str">
        <f t="shared" si="112"/>
        <v/>
      </c>
      <c r="AE464" s="55">
        <f t="shared" si="113"/>
        <v>0</v>
      </c>
      <c r="AF464" s="55">
        <f t="shared" si="114"/>
        <v>0</v>
      </c>
      <c r="AG464" s="58">
        <f t="shared" si="115"/>
        <v>0</v>
      </c>
      <c r="AH464" s="47"/>
      <c r="AJ464" s="47"/>
      <c r="AL464" s="47"/>
      <c r="AM464" s="47" t="str">
        <f t="shared" si="116"/>
        <v/>
      </c>
    </row>
    <row r="465" spans="1:39" s="56" customFormat="1" ht="24.75" customHeight="1">
      <c r="A465" s="44"/>
      <c r="B465" s="45"/>
      <c r="C465" s="46">
        <f>IF(B465&lt;&gt;"",VLOOKUP(B465,'Tipo Projeto'!$A$3:$B$35,2,0),0)</f>
        <v>0</v>
      </c>
      <c r="D465" s="47"/>
      <c r="E465" s="47"/>
      <c r="F465" s="48"/>
      <c r="G465" s="47"/>
      <c r="H465" s="49"/>
      <c r="I465" s="50"/>
      <c r="J465" s="51"/>
      <c r="K465" s="52"/>
      <c r="L465" s="53" t="str">
        <f t="shared" si="104"/>
        <v/>
      </c>
      <c r="M465" s="48" t="str">
        <f t="shared" si="105"/>
        <v/>
      </c>
      <c r="N465" s="54" t="str">
        <f t="shared" si="106"/>
        <v/>
      </c>
      <c r="O465" s="55">
        <f t="shared" si="107"/>
        <v>0</v>
      </c>
      <c r="P465" s="55">
        <f t="shared" si="108"/>
        <v>0</v>
      </c>
      <c r="Q465" s="54">
        <f t="shared" si="109"/>
        <v>0</v>
      </c>
      <c r="R465" s="47"/>
      <c r="T465" s="57"/>
      <c r="U465" s="45"/>
      <c r="V465" s="46">
        <f>IF(U465&lt;&gt;"",VLOOKUP(U465,'Tipo Projeto'!$A$3:$B$35,2,0),0)</f>
        <v>0</v>
      </c>
      <c r="W465" s="47"/>
      <c r="X465" s="49"/>
      <c r="Y465" s="50"/>
      <c r="Z465" s="51"/>
      <c r="AA465" s="52"/>
      <c r="AB465" s="53" t="str">
        <f t="shared" si="110"/>
        <v/>
      </c>
      <c r="AC465" s="48" t="str">
        <f t="shared" si="111"/>
        <v/>
      </c>
      <c r="AD465" s="54" t="str">
        <f t="shared" si="112"/>
        <v/>
      </c>
      <c r="AE465" s="55">
        <f t="shared" si="113"/>
        <v>0</v>
      </c>
      <c r="AF465" s="55">
        <f t="shared" si="114"/>
        <v>0</v>
      </c>
      <c r="AG465" s="58">
        <f t="shared" si="115"/>
        <v>0</v>
      </c>
      <c r="AH465" s="47"/>
      <c r="AJ465" s="47"/>
      <c r="AL465" s="47"/>
      <c r="AM465" s="47" t="str">
        <f t="shared" si="116"/>
        <v/>
      </c>
    </row>
    <row r="466" spans="1:39" s="56" customFormat="1" ht="24.75" customHeight="1">
      <c r="A466" s="44"/>
      <c r="B466" s="45"/>
      <c r="C466" s="46">
        <f>IF(B466&lt;&gt;"",VLOOKUP(B466,'Tipo Projeto'!$A$3:$B$35,2,0),0)</f>
        <v>0</v>
      </c>
      <c r="D466" s="47"/>
      <c r="E466" s="47"/>
      <c r="F466" s="48"/>
      <c r="G466" s="47"/>
      <c r="H466" s="49"/>
      <c r="I466" s="50"/>
      <c r="J466" s="51"/>
      <c r="K466" s="52"/>
      <c r="L466" s="53" t="str">
        <f t="shared" si="104"/>
        <v/>
      </c>
      <c r="M466" s="48" t="str">
        <f t="shared" si="105"/>
        <v/>
      </c>
      <c r="N466" s="54" t="str">
        <f t="shared" si="106"/>
        <v/>
      </c>
      <c r="O466" s="55">
        <f t="shared" si="107"/>
        <v>0</v>
      </c>
      <c r="P466" s="55">
        <f t="shared" si="108"/>
        <v>0</v>
      </c>
      <c r="Q466" s="54">
        <f t="shared" si="109"/>
        <v>0</v>
      </c>
      <c r="R466" s="47"/>
      <c r="T466" s="57"/>
      <c r="U466" s="45"/>
      <c r="V466" s="46">
        <f>IF(U466&lt;&gt;"",VLOOKUP(U466,'Tipo Projeto'!$A$3:$B$35,2,0),0)</f>
        <v>0</v>
      </c>
      <c r="W466" s="47"/>
      <c r="X466" s="49"/>
      <c r="Y466" s="50"/>
      <c r="Z466" s="51"/>
      <c r="AA466" s="52"/>
      <c r="AB466" s="53" t="str">
        <f t="shared" si="110"/>
        <v/>
      </c>
      <c r="AC466" s="48" t="str">
        <f t="shared" si="111"/>
        <v/>
      </c>
      <c r="AD466" s="54" t="str">
        <f t="shared" si="112"/>
        <v/>
      </c>
      <c r="AE466" s="55">
        <f t="shared" si="113"/>
        <v>0</v>
      </c>
      <c r="AF466" s="55">
        <f t="shared" si="114"/>
        <v>0</v>
      </c>
      <c r="AG466" s="58">
        <f t="shared" si="115"/>
        <v>0</v>
      </c>
      <c r="AH466" s="47"/>
      <c r="AJ466" s="47"/>
      <c r="AL466" s="47"/>
      <c r="AM466" s="47" t="str">
        <f t="shared" si="116"/>
        <v/>
      </c>
    </row>
    <row r="467" spans="1:39" s="56" customFormat="1" ht="24.75" customHeight="1">
      <c r="A467" s="44"/>
      <c r="B467" s="45"/>
      <c r="C467" s="46">
        <f>IF(B467&lt;&gt;"",VLOOKUP(B467,'Tipo Projeto'!$A$3:$B$35,2,0),0)</f>
        <v>0</v>
      </c>
      <c r="D467" s="47"/>
      <c r="E467" s="47"/>
      <c r="F467" s="48"/>
      <c r="G467" s="47"/>
      <c r="H467" s="49"/>
      <c r="I467" s="50"/>
      <c r="J467" s="51"/>
      <c r="K467" s="52"/>
      <c r="L467" s="53" t="str">
        <f t="shared" si="104"/>
        <v/>
      </c>
      <c r="M467" s="48" t="str">
        <f t="shared" si="105"/>
        <v/>
      </c>
      <c r="N467" s="54" t="str">
        <f t="shared" si="106"/>
        <v/>
      </c>
      <c r="O467" s="55">
        <f t="shared" si="107"/>
        <v>0</v>
      </c>
      <c r="P467" s="55">
        <f t="shared" si="108"/>
        <v>0</v>
      </c>
      <c r="Q467" s="54">
        <f t="shared" si="109"/>
        <v>0</v>
      </c>
      <c r="R467" s="47"/>
      <c r="T467" s="57"/>
      <c r="U467" s="45"/>
      <c r="V467" s="46">
        <f>IF(U467&lt;&gt;"",VLOOKUP(U467,'Tipo Projeto'!$A$3:$B$35,2,0),0)</f>
        <v>0</v>
      </c>
      <c r="W467" s="47"/>
      <c r="X467" s="49"/>
      <c r="Y467" s="50"/>
      <c r="Z467" s="51"/>
      <c r="AA467" s="52"/>
      <c r="AB467" s="53" t="str">
        <f t="shared" si="110"/>
        <v/>
      </c>
      <c r="AC467" s="48" t="str">
        <f t="shared" si="111"/>
        <v/>
      </c>
      <c r="AD467" s="54" t="str">
        <f t="shared" si="112"/>
        <v/>
      </c>
      <c r="AE467" s="55">
        <f t="shared" si="113"/>
        <v>0</v>
      </c>
      <c r="AF467" s="55">
        <f t="shared" si="114"/>
        <v>0</v>
      </c>
      <c r="AG467" s="58">
        <f t="shared" si="115"/>
        <v>0</v>
      </c>
      <c r="AH467" s="47"/>
      <c r="AJ467" s="47"/>
      <c r="AL467" s="47"/>
      <c r="AM467" s="47" t="str">
        <f t="shared" si="116"/>
        <v/>
      </c>
    </row>
    <row r="468" spans="1:39" s="56" customFormat="1" ht="24.75" customHeight="1">
      <c r="A468" s="44"/>
      <c r="B468" s="45"/>
      <c r="C468" s="46">
        <f>IF(B468&lt;&gt;"",VLOOKUP(B468,'Tipo Projeto'!$A$3:$B$35,2,0),0)</f>
        <v>0</v>
      </c>
      <c r="D468" s="47"/>
      <c r="E468" s="47"/>
      <c r="F468" s="48"/>
      <c r="G468" s="47"/>
      <c r="H468" s="49"/>
      <c r="I468" s="50"/>
      <c r="J468" s="51"/>
      <c r="K468" s="52"/>
      <c r="L468" s="53" t="str">
        <f t="shared" si="104"/>
        <v/>
      </c>
      <c r="M468" s="48" t="str">
        <f t="shared" si="105"/>
        <v/>
      </c>
      <c r="N468" s="54" t="str">
        <f t="shared" si="106"/>
        <v/>
      </c>
      <c r="O468" s="55">
        <f t="shared" si="107"/>
        <v>0</v>
      </c>
      <c r="P468" s="55">
        <f t="shared" si="108"/>
        <v>0</v>
      </c>
      <c r="Q468" s="54">
        <f t="shared" si="109"/>
        <v>0</v>
      </c>
      <c r="R468" s="47"/>
      <c r="T468" s="57"/>
      <c r="U468" s="45"/>
      <c r="V468" s="46">
        <f>IF(U468&lt;&gt;"",VLOOKUP(U468,'Tipo Projeto'!$A$3:$B$35,2,0),0)</f>
        <v>0</v>
      </c>
      <c r="W468" s="47"/>
      <c r="X468" s="49"/>
      <c r="Y468" s="50"/>
      <c r="Z468" s="51"/>
      <c r="AA468" s="52"/>
      <c r="AB468" s="53" t="str">
        <f t="shared" si="110"/>
        <v/>
      </c>
      <c r="AC468" s="48" t="str">
        <f t="shared" si="111"/>
        <v/>
      </c>
      <c r="AD468" s="54" t="str">
        <f t="shared" si="112"/>
        <v/>
      </c>
      <c r="AE468" s="55">
        <f t="shared" si="113"/>
        <v>0</v>
      </c>
      <c r="AF468" s="55">
        <f t="shared" si="114"/>
        <v>0</v>
      </c>
      <c r="AG468" s="58">
        <f t="shared" si="115"/>
        <v>0</v>
      </c>
      <c r="AH468" s="47"/>
      <c r="AJ468" s="47"/>
      <c r="AL468" s="47"/>
      <c r="AM468" s="47" t="str">
        <f t="shared" si="116"/>
        <v/>
      </c>
    </row>
    <row r="469" spans="1:39" s="56" customFormat="1" ht="24.75" customHeight="1">
      <c r="A469" s="44"/>
      <c r="B469" s="45"/>
      <c r="C469" s="46">
        <f>IF(B469&lt;&gt;"",VLOOKUP(B469,'Tipo Projeto'!$A$3:$B$35,2,0),0)</f>
        <v>0</v>
      </c>
      <c r="D469" s="47"/>
      <c r="E469" s="47"/>
      <c r="F469" s="48"/>
      <c r="G469" s="47"/>
      <c r="H469" s="49"/>
      <c r="I469" s="50"/>
      <c r="J469" s="51"/>
      <c r="K469" s="52"/>
      <c r="L469" s="53" t="str">
        <f t="shared" si="104"/>
        <v/>
      </c>
      <c r="M469" s="48" t="str">
        <f t="shared" si="105"/>
        <v/>
      </c>
      <c r="N469" s="54" t="str">
        <f t="shared" si="106"/>
        <v/>
      </c>
      <c r="O469" s="55">
        <f t="shared" si="107"/>
        <v>0</v>
      </c>
      <c r="P469" s="55">
        <f t="shared" si="108"/>
        <v>0</v>
      </c>
      <c r="Q469" s="54">
        <f t="shared" si="109"/>
        <v>0</v>
      </c>
      <c r="R469" s="47"/>
      <c r="T469" s="57"/>
      <c r="U469" s="45"/>
      <c r="V469" s="46">
        <f>IF(U469&lt;&gt;"",VLOOKUP(U469,'Tipo Projeto'!$A$3:$B$35,2,0),0)</f>
        <v>0</v>
      </c>
      <c r="W469" s="47"/>
      <c r="X469" s="49"/>
      <c r="Y469" s="50"/>
      <c r="Z469" s="51"/>
      <c r="AA469" s="52"/>
      <c r="AB469" s="53" t="str">
        <f t="shared" si="110"/>
        <v/>
      </c>
      <c r="AC469" s="48" t="str">
        <f t="shared" si="111"/>
        <v/>
      </c>
      <c r="AD469" s="54" t="str">
        <f t="shared" si="112"/>
        <v/>
      </c>
      <c r="AE469" s="55">
        <f t="shared" si="113"/>
        <v>0</v>
      </c>
      <c r="AF469" s="55">
        <f t="shared" si="114"/>
        <v>0</v>
      </c>
      <c r="AG469" s="58">
        <f t="shared" si="115"/>
        <v>0</v>
      </c>
      <c r="AH469" s="47"/>
      <c r="AJ469" s="47"/>
      <c r="AL469" s="47"/>
      <c r="AM469" s="47" t="str">
        <f t="shared" si="116"/>
        <v/>
      </c>
    </row>
    <row r="470" spans="1:39" s="56" customFormat="1" ht="24.75" customHeight="1">
      <c r="A470" s="44"/>
      <c r="B470" s="45"/>
      <c r="C470" s="46">
        <f>IF(B470&lt;&gt;"",VLOOKUP(B470,'Tipo Projeto'!$A$3:$B$35,2,0),0)</f>
        <v>0</v>
      </c>
      <c r="D470" s="47"/>
      <c r="E470" s="47"/>
      <c r="F470" s="48"/>
      <c r="G470" s="47"/>
      <c r="H470" s="49"/>
      <c r="I470" s="50"/>
      <c r="J470" s="51"/>
      <c r="K470" s="52"/>
      <c r="L470" s="53" t="str">
        <f t="shared" si="104"/>
        <v/>
      </c>
      <c r="M470" s="48" t="str">
        <f t="shared" si="105"/>
        <v/>
      </c>
      <c r="N470" s="54" t="str">
        <f t="shared" si="106"/>
        <v/>
      </c>
      <c r="O470" s="55">
        <f t="shared" si="107"/>
        <v>0</v>
      </c>
      <c r="P470" s="55">
        <f t="shared" si="108"/>
        <v>0</v>
      </c>
      <c r="Q470" s="54">
        <f t="shared" si="109"/>
        <v>0</v>
      </c>
      <c r="R470" s="47"/>
      <c r="T470" s="57"/>
      <c r="U470" s="45"/>
      <c r="V470" s="46">
        <f>IF(U470&lt;&gt;"",VLOOKUP(U470,'Tipo Projeto'!$A$3:$B$35,2,0),0)</f>
        <v>0</v>
      </c>
      <c r="W470" s="47"/>
      <c r="X470" s="49"/>
      <c r="Y470" s="50"/>
      <c r="Z470" s="51"/>
      <c r="AA470" s="52"/>
      <c r="AB470" s="53" t="str">
        <f t="shared" si="110"/>
        <v/>
      </c>
      <c r="AC470" s="48" t="str">
        <f t="shared" si="111"/>
        <v/>
      </c>
      <c r="AD470" s="54" t="str">
        <f t="shared" si="112"/>
        <v/>
      </c>
      <c r="AE470" s="55">
        <f t="shared" si="113"/>
        <v>0</v>
      </c>
      <c r="AF470" s="55">
        <f t="shared" si="114"/>
        <v>0</v>
      </c>
      <c r="AG470" s="58">
        <f t="shared" si="115"/>
        <v>0</v>
      </c>
      <c r="AH470" s="47"/>
      <c r="AJ470" s="47"/>
      <c r="AL470" s="47"/>
      <c r="AM470" s="47" t="str">
        <f t="shared" si="116"/>
        <v/>
      </c>
    </row>
    <row r="471" spans="1:39" s="56" customFormat="1" ht="24.75" customHeight="1">
      <c r="A471" s="44"/>
      <c r="B471" s="45"/>
      <c r="C471" s="46">
        <f>IF(B471&lt;&gt;"",VLOOKUP(B471,'Tipo Projeto'!$A$3:$B$35,2,0),0)</f>
        <v>0</v>
      </c>
      <c r="D471" s="47"/>
      <c r="E471" s="47"/>
      <c r="F471" s="48"/>
      <c r="G471" s="47"/>
      <c r="H471" s="49"/>
      <c r="I471" s="50"/>
      <c r="J471" s="51"/>
      <c r="K471" s="52"/>
      <c r="L471" s="53" t="str">
        <f t="shared" si="104"/>
        <v/>
      </c>
      <c r="M471" s="48" t="str">
        <f t="shared" si="105"/>
        <v/>
      </c>
      <c r="N471" s="54" t="str">
        <f t="shared" si="106"/>
        <v/>
      </c>
      <c r="O471" s="55">
        <f t="shared" si="107"/>
        <v>0</v>
      </c>
      <c r="P471" s="55">
        <f t="shared" si="108"/>
        <v>0</v>
      </c>
      <c r="Q471" s="54">
        <f t="shared" si="109"/>
        <v>0</v>
      </c>
      <c r="R471" s="47"/>
      <c r="T471" s="57"/>
      <c r="U471" s="45"/>
      <c r="V471" s="46">
        <f>IF(U471&lt;&gt;"",VLOOKUP(U471,'Tipo Projeto'!$A$3:$B$35,2,0),0)</f>
        <v>0</v>
      </c>
      <c r="W471" s="47"/>
      <c r="X471" s="49"/>
      <c r="Y471" s="50"/>
      <c r="Z471" s="51"/>
      <c r="AA471" s="52"/>
      <c r="AB471" s="53" t="str">
        <f t="shared" si="110"/>
        <v/>
      </c>
      <c r="AC471" s="48" t="str">
        <f t="shared" si="111"/>
        <v/>
      </c>
      <c r="AD471" s="54" t="str">
        <f t="shared" si="112"/>
        <v/>
      </c>
      <c r="AE471" s="55">
        <f t="shared" si="113"/>
        <v>0</v>
      </c>
      <c r="AF471" s="55">
        <f t="shared" si="114"/>
        <v>0</v>
      </c>
      <c r="AG471" s="58">
        <f t="shared" si="115"/>
        <v>0</v>
      </c>
      <c r="AH471" s="47"/>
      <c r="AJ471" s="47"/>
      <c r="AL471" s="47"/>
      <c r="AM471" s="47" t="str">
        <f t="shared" si="116"/>
        <v/>
      </c>
    </row>
    <row r="472" spans="1:39" s="56" customFormat="1" ht="24.75" customHeight="1">
      <c r="A472" s="44"/>
      <c r="B472" s="45"/>
      <c r="C472" s="46">
        <f>IF(B472&lt;&gt;"",VLOOKUP(B472,'Tipo Projeto'!$A$3:$B$35,2,0),0)</f>
        <v>0</v>
      </c>
      <c r="D472" s="47"/>
      <c r="E472" s="47"/>
      <c r="F472" s="48"/>
      <c r="G472" s="47"/>
      <c r="H472" s="49"/>
      <c r="I472" s="50"/>
      <c r="J472" s="51"/>
      <c r="K472" s="52"/>
      <c r="L472" s="53" t="str">
        <f t="shared" si="104"/>
        <v/>
      </c>
      <c r="M472" s="48" t="str">
        <f t="shared" si="105"/>
        <v/>
      </c>
      <c r="N472" s="54" t="str">
        <f t="shared" si="106"/>
        <v/>
      </c>
      <c r="O472" s="55">
        <f t="shared" si="107"/>
        <v>0</v>
      </c>
      <c r="P472" s="55">
        <f t="shared" si="108"/>
        <v>0</v>
      </c>
      <c r="Q472" s="54">
        <f t="shared" si="109"/>
        <v>0</v>
      </c>
      <c r="R472" s="47"/>
      <c r="T472" s="57"/>
      <c r="U472" s="45"/>
      <c r="V472" s="46">
        <f>IF(U472&lt;&gt;"",VLOOKUP(U472,'Tipo Projeto'!$A$3:$B$35,2,0),0)</f>
        <v>0</v>
      </c>
      <c r="W472" s="47"/>
      <c r="X472" s="49"/>
      <c r="Y472" s="50"/>
      <c r="Z472" s="51"/>
      <c r="AA472" s="52"/>
      <c r="AB472" s="53" t="str">
        <f t="shared" si="110"/>
        <v/>
      </c>
      <c r="AC472" s="48" t="str">
        <f t="shared" si="111"/>
        <v/>
      </c>
      <c r="AD472" s="54" t="str">
        <f t="shared" si="112"/>
        <v/>
      </c>
      <c r="AE472" s="55">
        <f t="shared" si="113"/>
        <v>0</v>
      </c>
      <c r="AF472" s="55">
        <f t="shared" si="114"/>
        <v>0</v>
      </c>
      <c r="AG472" s="58">
        <f t="shared" si="115"/>
        <v>0</v>
      </c>
      <c r="AH472" s="47"/>
      <c r="AJ472" s="47"/>
      <c r="AL472" s="47"/>
      <c r="AM472" s="47" t="str">
        <f t="shared" si="116"/>
        <v/>
      </c>
    </row>
    <row r="473" spans="1:39" s="56" customFormat="1" ht="24.75" customHeight="1">
      <c r="A473" s="44"/>
      <c r="B473" s="45"/>
      <c r="C473" s="46">
        <f>IF(B473&lt;&gt;"",VLOOKUP(B473,'Tipo Projeto'!$A$3:$B$35,2,0),0)</f>
        <v>0</v>
      </c>
      <c r="D473" s="47"/>
      <c r="E473" s="47"/>
      <c r="F473" s="48"/>
      <c r="G473" s="47"/>
      <c r="H473" s="49"/>
      <c r="I473" s="50"/>
      <c r="J473" s="51"/>
      <c r="K473" s="52"/>
      <c r="L473" s="53" t="str">
        <f t="shared" si="104"/>
        <v/>
      </c>
      <c r="M473" s="48" t="str">
        <f t="shared" si="105"/>
        <v/>
      </c>
      <c r="N473" s="54" t="str">
        <f t="shared" si="106"/>
        <v/>
      </c>
      <c r="O473" s="55">
        <f t="shared" si="107"/>
        <v>0</v>
      </c>
      <c r="P473" s="55">
        <f t="shared" si="108"/>
        <v>0</v>
      </c>
      <c r="Q473" s="54">
        <f t="shared" si="109"/>
        <v>0</v>
      </c>
      <c r="R473" s="47"/>
      <c r="T473" s="57"/>
      <c r="U473" s="45"/>
      <c r="V473" s="46">
        <f>IF(U473&lt;&gt;"",VLOOKUP(U473,'Tipo Projeto'!$A$3:$B$35,2,0),0)</f>
        <v>0</v>
      </c>
      <c r="W473" s="47"/>
      <c r="X473" s="49"/>
      <c r="Y473" s="50"/>
      <c r="Z473" s="51"/>
      <c r="AA473" s="52"/>
      <c r="AB473" s="53" t="str">
        <f t="shared" si="110"/>
        <v/>
      </c>
      <c r="AC473" s="48" t="str">
        <f t="shared" si="111"/>
        <v/>
      </c>
      <c r="AD473" s="54" t="str">
        <f t="shared" si="112"/>
        <v/>
      </c>
      <c r="AE473" s="55">
        <f t="shared" si="113"/>
        <v>0</v>
      </c>
      <c r="AF473" s="55">
        <f t="shared" si="114"/>
        <v>0</v>
      </c>
      <c r="AG473" s="58">
        <f t="shared" si="115"/>
        <v>0</v>
      </c>
      <c r="AH473" s="47"/>
      <c r="AJ473" s="47"/>
      <c r="AL473" s="47"/>
      <c r="AM473" s="47" t="str">
        <f t="shared" si="116"/>
        <v/>
      </c>
    </row>
    <row r="474" spans="1:39" s="56" customFormat="1" ht="24.75" customHeight="1">
      <c r="A474" s="44"/>
      <c r="B474" s="45"/>
      <c r="C474" s="46">
        <f>IF(B474&lt;&gt;"",VLOOKUP(B474,'Tipo Projeto'!$A$3:$B$35,2,0),0)</f>
        <v>0</v>
      </c>
      <c r="D474" s="47"/>
      <c r="E474" s="47"/>
      <c r="F474" s="48"/>
      <c r="G474" s="47"/>
      <c r="H474" s="49"/>
      <c r="I474" s="50"/>
      <c r="J474" s="51"/>
      <c r="K474" s="52"/>
      <c r="L474" s="53" t="str">
        <f t="shared" si="104"/>
        <v/>
      </c>
      <c r="M474" s="48" t="str">
        <f t="shared" si="105"/>
        <v/>
      </c>
      <c r="N474" s="54" t="str">
        <f t="shared" si="106"/>
        <v/>
      </c>
      <c r="O474" s="55">
        <f t="shared" si="107"/>
        <v>0</v>
      </c>
      <c r="P474" s="55">
        <f t="shared" si="108"/>
        <v>0</v>
      </c>
      <c r="Q474" s="54">
        <f t="shared" si="109"/>
        <v>0</v>
      </c>
      <c r="R474" s="47"/>
      <c r="T474" s="57"/>
      <c r="U474" s="45"/>
      <c r="V474" s="46">
        <f>IF(U474&lt;&gt;"",VLOOKUP(U474,'Tipo Projeto'!$A$3:$B$35,2,0),0)</f>
        <v>0</v>
      </c>
      <c r="W474" s="47"/>
      <c r="X474" s="49"/>
      <c r="Y474" s="50"/>
      <c r="Z474" s="51"/>
      <c r="AA474" s="52"/>
      <c r="AB474" s="53" t="str">
        <f t="shared" si="110"/>
        <v/>
      </c>
      <c r="AC474" s="48" t="str">
        <f t="shared" si="111"/>
        <v/>
      </c>
      <c r="AD474" s="54" t="str">
        <f t="shared" si="112"/>
        <v/>
      </c>
      <c r="AE474" s="55">
        <f t="shared" si="113"/>
        <v>0</v>
      </c>
      <c r="AF474" s="55">
        <f t="shared" si="114"/>
        <v>0</v>
      </c>
      <c r="AG474" s="58">
        <f t="shared" si="115"/>
        <v>0</v>
      </c>
      <c r="AH474" s="47"/>
      <c r="AJ474" s="47"/>
      <c r="AL474" s="47"/>
      <c r="AM474" s="47" t="str">
        <f t="shared" si="116"/>
        <v/>
      </c>
    </row>
    <row r="475" spans="1:39" s="56" customFormat="1" ht="24.75" customHeight="1">
      <c r="A475" s="44"/>
      <c r="B475" s="45"/>
      <c r="C475" s="46">
        <f>IF(B475&lt;&gt;"",VLOOKUP(B475,'Tipo Projeto'!$A$3:$B$35,2,0),0)</f>
        <v>0</v>
      </c>
      <c r="D475" s="47"/>
      <c r="E475" s="47"/>
      <c r="F475" s="48"/>
      <c r="G475" s="47"/>
      <c r="H475" s="49"/>
      <c r="I475" s="50"/>
      <c r="J475" s="51"/>
      <c r="K475" s="52"/>
      <c r="L475" s="53" t="str">
        <f t="shared" si="104"/>
        <v/>
      </c>
      <c r="M475" s="48" t="str">
        <f t="shared" si="105"/>
        <v/>
      </c>
      <c r="N475" s="54" t="str">
        <f t="shared" si="106"/>
        <v/>
      </c>
      <c r="O475" s="55">
        <f t="shared" si="107"/>
        <v>0</v>
      </c>
      <c r="P475" s="55">
        <f t="shared" si="108"/>
        <v>0</v>
      </c>
      <c r="Q475" s="54">
        <f t="shared" si="109"/>
        <v>0</v>
      </c>
      <c r="R475" s="47"/>
      <c r="T475" s="57"/>
      <c r="U475" s="45"/>
      <c r="V475" s="46">
        <f>IF(U475&lt;&gt;"",VLOOKUP(U475,'Tipo Projeto'!$A$3:$B$35,2,0),0)</f>
        <v>0</v>
      </c>
      <c r="W475" s="47"/>
      <c r="X475" s="49"/>
      <c r="Y475" s="50"/>
      <c r="Z475" s="51"/>
      <c r="AA475" s="52"/>
      <c r="AB475" s="53" t="str">
        <f t="shared" si="110"/>
        <v/>
      </c>
      <c r="AC475" s="48" t="str">
        <f t="shared" si="111"/>
        <v/>
      </c>
      <c r="AD475" s="54" t="str">
        <f t="shared" si="112"/>
        <v/>
      </c>
      <c r="AE475" s="55">
        <f t="shared" si="113"/>
        <v>0</v>
      </c>
      <c r="AF475" s="55">
        <f t="shared" si="114"/>
        <v>0</v>
      </c>
      <c r="AG475" s="58">
        <f t="shared" si="115"/>
        <v>0</v>
      </c>
      <c r="AH475" s="47"/>
      <c r="AJ475" s="47"/>
      <c r="AL475" s="47"/>
      <c r="AM475" s="47" t="str">
        <f t="shared" si="116"/>
        <v/>
      </c>
    </row>
    <row r="476" spans="1:39" s="56" customFormat="1" ht="24.75" customHeight="1">
      <c r="A476" s="44"/>
      <c r="B476" s="45"/>
      <c r="C476" s="46">
        <f>IF(B476&lt;&gt;"",VLOOKUP(B476,'Tipo Projeto'!$A$3:$B$35,2,0),0)</f>
        <v>0</v>
      </c>
      <c r="D476" s="47"/>
      <c r="E476" s="47"/>
      <c r="F476" s="48"/>
      <c r="G476" s="47"/>
      <c r="H476" s="49"/>
      <c r="I476" s="50"/>
      <c r="J476" s="51"/>
      <c r="K476" s="52"/>
      <c r="L476" s="53" t="str">
        <f t="shared" si="104"/>
        <v/>
      </c>
      <c r="M476" s="48" t="str">
        <f t="shared" si="105"/>
        <v/>
      </c>
      <c r="N476" s="54" t="str">
        <f t="shared" si="106"/>
        <v/>
      </c>
      <c r="O476" s="55">
        <f t="shared" si="107"/>
        <v>0</v>
      </c>
      <c r="P476" s="55">
        <f t="shared" si="108"/>
        <v>0</v>
      </c>
      <c r="Q476" s="54">
        <f t="shared" si="109"/>
        <v>0</v>
      </c>
      <c r="R476" s="47"/>
      <c r="T476" s="57"/>
      <c r="U476" s="45"/>
      <c r="V476" s="46">
        <f>IF(U476&lt;&gt;"",VLOOKUP(U476,'Tipo Projeto'!$A$3:$B$35,2,0),0)</f>
        <v>0</v>
      </c>
      <c r="W476" s="47"/>
      <c r="X476" s="49"/>
      <c r="Y476" s="50"/>
      <c r="Z476" s="51"/>
      <c r="AA476" s="52"/>
      <c r="AB476" s="53" t="str">
        <f t="shared" si="110"/>
        <v/>
      </c>
      <c r="AC476" s="48" t="str">
        <f t="shared" si="111"/>
        <v/>
      </c>
      <c r="AD476" s="54" t="str">
        <f t="shared" si="112"/>
        <v/>
      </c>
      <c r="AE476" s="55">
        <f t="shared" si="113"/>
        <v>0</v>
      </c>
      <c r="AF476" s="55">
        <f t="shared" si="114"/>
        <v>0</v>
      </c>
      <c r="AG476" s="58">
        <f t="shared" si="115"/>
        <v>0</v>
      </c>
      <c r="AH476" s="47"/>
      <c r="AJ476" s="47"/>
      <c r="AL476" s="47"/>
      <c r="AM476" s="47" t="str">
        <f t="shared" si="116"/>
        <v/>
      </c>
    </row>
    <row r="477" spans="1:39" s="56" customFormat="1" ht="24.75" customHeight="1">
      <c r="A477" s="44"/>
      <c r="B477" s="45"/>
      <c r="C477" s="46">
        <f>IF(B477&lt;&gt;"",VLOOKUP(B477,'Tipo Projeto'!$A$3:$B$35,2,0),0)</f>
        <v>0</v>
      </c>
      <c r="D477" s="47"/>
      <c r="E477" s="47"/>
      <c r="F477" s="48"/>
      <c r="G477" s="47"/>
      <c r="H477" s="49"/>
      <c r="I477" s="50"/>
      <c r="J477" s="51"/>
      <c r="K477" s="52"/>
      <c r="L477" s="53" t="str">
        <f t="shared" si="104"/>
        <v/>
      </c>
      <c r="M477" s="48" t="str">
        <f t="shared" si="105"/>
        <v/>
      </c>
      <c r="N477" s="54" t="str">
        <f t="shared" si="106"/>
        <v/>
      </c>
      <c r="O477" s="55">
        <f t="shared" si="107"/>
        <v>0</v>
      </c>
      <c r="P477" s="55">
        <f t="shared" si="108"/>
        <v>0</v>
      </c>
      <c r="Q477" s="54">
        <f t="shared" si="109"/>
        <v>0</v>
      </c>
      <c r="R477" s="47"/>
      <c r="T477" s="57"/>
      <c r="U477" s="45"/>
      <c r="V477" s="46">
        <f>IF(U477&lt;&gt;"",VLOOKUP(U477,'Tipo Projeto'!$A$3:$B$35,2,0),0)</f>
        <v>0</v>
      </c>
      <c r="W477" s="47"/>
      <c r="X477" s="49"/>
      <c r="Y477" s="50"/>
      <c r="Z477" s="51"/>
      <c r="AA477" s="52"/>
      <c r="AB477" s="53" t="str">
        <f t="shared" si="110"/>
        <v/>
      </c>
      <c r="AC477" s="48" t="str">
        <f t="shared" si="111"/>
        <v/>
      </c>
      <c r="AD477" s="54" t="str">
        <f t="shared" si="112"/>
        <v/>
      </c>
      <c r="AE477" s="55">
        <f t="shared" si="113"/>
        <v>0</v>
      </c>
      <c r="AF477" s="55">
        <f t="shared" si="114"/>
        <v>0</v>
      </c>
      <c r="AG477" s="58">
        <f t="shared" si="115"/>
        <v>0</v>
      </c>
      <c r="AH477" s="47"/>
      <c r="AJ477" s="47"/>
      <c r="AL477" s="47"/>
      <c r="AM477" s="47" t="str">
        <f t="shared" si="116"/>
        <v/>
      </c>
    </row>
    <row r="478" spans="1:39" s="56" customFormat="1" ht="24.75" customHeight="1">
      <c r="A478" s="44"/>
      <c r="B478" s="45"/>
      <c r="C478" s="46">
        <f>IF(B478&lt;&gt;"",VLOOKUP(B478,'Tipo Projeto'!$A$3:$B$35,2,0),0)</f>
        <v>0</v>
      </c>
      <c r="D478" s="47"/>
      <c r="E478" s="47"/>
      <c r="F478" s="48"/>
      <c r="G478" s="47"/>
      <c r="H478" s="49"/>
      <c r="I478" s="50"/>
      <c r="J478" s="51"/>
      <c r="K478" s="52"/>
      <c r="L478" s="53" t="str">
        <f t="shared" si="104"/>
        <v/>
      </c>
      <c r="M478" s="48" t="str">
        <f t="shared" si="105"/>
        <v/>
      </c>
      <c r="N478" s="54" t="str">
        <f t="shared" si="106"/>
        <v/>
      </c>
      <c r="O478" s="55">
        <f t="shared" si="107"/>
        <v>0</v>
      </c>
      <c r="P478" s="55">
        <f t="shared" si="108"/>
        <v>0</v>
      </c>
      <c r="Q478" s="54">
        <f t="shared" si="109"/>
        <v>0</v>
      </c>
      <c r="R478" s="47"/>
      <c r="T478" s="57"/>
      <c r="U478" s="45"/>
      <c r="V478" s="46">
        <f>IF(U478&lt;&gt;"",VLOOKUP(U478,'Tipo Projeto'!$A$3:$B$35,2,0),0)</f>
        <v>0</v>
      </c>
      <c r="W478" s="47"/>
      <c r="X478" s="49"/>
      <c r="Y478" s="50"/>
      <c r="Z478" s="51"/>
      <c r="AA478" s="52"/>
      <c r="AB478" s="53" t="str">
        <f t="shared" si="110"/>
        <v/>
      </c>
      <c r="AC478" s="48" t="str">
        <f t="shared" si="111"/>
        <v/>
      </c>
      <c r="AD478" s="54" t="str">
        <f t="shared" si="112"/>
        <v/>
      </c>
      <c r="AE478" s="55">
        <f t="shared" si="113"/>
        <v>0</v>
      </c>
      <c r="AF478" s="55">
        <f t="shared" si="114"/>
        <v>0</v>
      </c>
      <c r="AG478" s="58">
        <f t="shared" si="115"/>
        <v>0</v>
      </c>
      <c r="AH478" s="47"/>
      <c r="AJ478" s="47"/>
      <c r="AL478" s="47"/>
      <c r="AM478" s="47" t="str">
        <f t="shared" si="116"/>
        <v/>
      </c>
    </row>
    <row r="479" spans="1:39" s="56" customFormat="1" ht="24.75" customHeight="1">
      <c r="A479" s="44"/>
      <c r="B479" s="45"/>
      <c r="C479" s="46">
        <f>IF(B479&lt;&gt;"",VLOOKUP(B479,'Tipo Projeto'!$A$3:$B$35,2,0),0)</f>
        <v>0</v>
      </c>
      <c r="D479" s="47"/>
      <c r="E479" s="47"/>
      <c r="F479" s="48"/>
      <c r="G479" s="47"/>
      <c r="H479" s="49"/>
      <c r="I479" s="50"/>
      <c r="J479" s="51"/>
      <c r="K479" s="52"/>
      <c r="L479" s="53" t="str">
        <f t="shared" si="104"/>
        <v/>
      </c>
      <c r="M479" s="48" t="str">
        <f t="shared" si="105"/>
        <v/>
      </c>
      <c r="N479" s="54" t="str">
        <f t="shared" si="106"/>
        <v/>
      </c>
      <c r="O479" s="55">
        <f t="shared" si="107"/>
        <v>0</v>
      </c>
      <c r="P479" s="55">
        <f t="shared" si="108"/>
        <v>0</v>
      </c>
      <c r="Q479" s="54">
        <f t="shared" si="109"/>
        <v>0</v>
      </c>
      <c r="R479" s="47"/>
      <c r="T479" s="57"/>
      <c r="U479" s="45"/>
      <c r="V479" s="46">
        <f>IF(U479&lt;&gt;"",VLOOKUP(U479,'Tipo Projeto'!$A$3:$B$35,2,0),0)</f>
        <v>0</v>
      </c>
      <c r="W479" s="47"/>
      <c r="X479" s="49"/>
      <c r="Y479" s="50"/>
      <c r="Z479" s="51"/>
      <c r="AA479" s="52"/>
      <c r="AB479" s="53" t="str">
        <f t="shared" si="110"/>
        <v/>
      </c>
      <c r="AC479" s="48" t="str">
        <f t="shared" si="111"/>
        <v/>
      </c>
      <c r="AD479" s="54" t="str">
        <f t="shared" si="112"/>
        <v/>
      </c>
      <c r="AE479" s="55">
        <f t="shared" si="113"/>
        <v>0</v>
      </c>
      <c r="AF479" s="55">
        <f t="shared" si="114"/>
        <v>0</v>
      </c>
      <c r="AG479" s="58">
        <f t="shared" si="115"/>
        <v>0</v>
      </c>
      <c r="AH479" s="47"/>
      <c r="AJ479" s="47"/>
      <c r="AL479" s="47"/>
      <c r="AM479" s="47" t="str">
        <f t="shared" si="116"/>
        <v/>
      </c>
    </row>
    <row r="480" spans="1:39" s="56" customFormat="1" ht="24.75" customHeight="1">
      <c r="A480" s="44"/>
      <c r="B480" s="45"/>
      <c r="C480" s="46">
        <f>IF(B480&lt;&gt;"",VLOOKUP(B480,'Tipo Projeto'!$A$3:$B$35,2,0),0)</f>
        <v>0</v>
      </c>
      <c r="D480" s="47"/>
      <c r="E480" s="47"/>
      <c r="F480" s="48"/>
      <c r="G480" s="47"/>
      <c r="H480" s="49"/>
      <c r="I480" s="50"/>
      <c r="J480" s="51"/>
      <c r="K480" s="52"/>
      <c r="L480" s="53" t="str">
        <f t="shared" si="104"/>
        <v/>
      </c>
      <c r="M480" s="48" t="str">
        <f t="shared" si="105"/>
        <v/>
      </c>
      <c r="N480" s="54" t="str">
        <f t="shared" si="106"/>
        <v/>
      </c>
      <c r="O480" s="55">
        <f t="shared" si="107"/>
        <v>0</v>
      </c>
      <c r="P480" s="55">
        <f t="shared" si="108"/>
        <v>0</v>
      </c>
      <c r="Q480" s="54">
        <f t="shared" si="109"/>
        <v>0</v>
      </c>
      <c r="R480" s="47"/>
      <c r="T480" s="57"/>
      <c r="U480" s="45"/>
      <c r="V480" s="46">
        <f>IF(U480&lt;&gt;"",VLOOKUP(U480,'Tipo Projeto'!$A$3:$B$35,2,0),0)</f>
        <v>0</v>
      </c>
      <c r="W480" s="47"/>
      <c r="X480" s="49"/>
      <c r="Y480" s="50"/>
      <c r="Z480" s="51"/>
      <c r="AA480" s="52"/>
      <c r="AB480" s="53" t="str">
        <f t="shared" si="110"/>
        <v/>
      </c>
      <c r="AC480" s="48" t="str">
        <f t="shared" si="111"/>
        <v/>
      </c>
      <c r="AD480" s="54" t="str">
        <f t="shared" si="112"/>
        <v/>
      </c>
      <c r="AE480" s="55">
        <f t="shared" si="113"/>
        <v>0</v>
      </c>
      <c r="AF480" s="55">
        <f t="shared" si="114"/>
        <v>0</v>
      </c>
      <c r="AG480" s="58">
        <f t="shared" si="115"/>
        <v>0</v>
      </c>
      <c r="AH480" s="47"/>
      <c r="AJ480" s="47"/>
      <c r="AL480" s="47"/>
      <c r="AM480" s="47" t="str">
        <f t="shared" si="116"/>
        <v/>
      </c>
    </row>
    <row r="481" spans="1:39" s="56" customFormat="1" ht="24.75" customHeight="1">
      <c r="A481" s="44"/>
      <c r="B481" s="45"/>
      <c r="C481" s="46">
        <f>IF(B481&lt;&gt;"",VLOOKUP(B481,'Tipo Projeto'!$A$3:$B$35,2,0),0)</f>
        <v>0</v>
      </c>
      <c r="D481" s="47"/>
      <c r="E481" s="47"/>
      <c r="F481" s="48"/>
      <c r="G481" s="47"/>
      <c r="H481" s="49"/>
      <c r="I481" s="50"/>
      <c r="J481" s="51"/>
      <c r="K481" s="52"/>
      <c r="L481" s="53" t="str">
        <f t="shared" si="104"/>
        <v/>
      </c>
      <c r="M481" s="48" t="str">
        <f t="shared" si="105"/>
        <v/>
      </c>
      <c r="N481" s="54" t="str">
        <f t="shared" si="106"/>
        <v/>
      </c>
      <c r="O481" s="55">
        <f t="shared" si="107"/>
        <v>0</v>
      </c>
      <c r="P481" s="55">
        <f t="shared" si="108"/>
        <v>0</v>
      </c>
      <c r="Q481" s="54">
        <f t="shared" si="109"/>
        <v>0</v>
      </c>
      <c r="R481" s="47"/>
      <c r="T481" s="57"/>
      <c r="U481" s="45"/>
      <c r="V481" s="46">
        <f>IF(U481&lt;&gt;"",VLOOKUP(U481,'Tipo Projeto'!$A$3:$B$35,2,0),0)</f>
        <v>0</v>
      </c>
      <c r="W481" s="47"/>
      <c r="X481" s="49"/>
      <c r="Y481" s="50"/>
      <c r="Z481" s="51"/>
      <c r="AA481" s="52"/>
      <c r="AB481" s="53" t="str">
        <f t="shared" si="110"/>
        <v/>
      </c>
      <c r="AC481" s="48" t="str">
        <f t="shared" si="111"/>
        <v/>
      </c>
      <c r="AD481" s="54" t="str">
        <f t="shared" si="112"/>
        <v/>
      </c>
      <c r="AE481" s="55">
        <f t="shared" si="113"/>
        <v>0</v>
      </c>
      <c r="AF481" s="55">
        <f t="shared" si="114"/>
        <v>0</v>
      </c>
      <c r="AG481" s="58">
        <f t="shared" si="115"/>
        <v>0</v>
      </c>
      <c r="AH481" s="47"/>
      <c r="AJ481" s="47"/>
      <c r="AL481" s="47"/>
      <c r="AM481" s="47" t="str">
        <f t="shared" si="116"/>
        <v/>
      </c>
    </row>
    <row r="482" spans="1:39" s="56" customFormat="1" ht="24.75" customHeight="1">
      <c r="A482" s="44"/>
      <c r="B482" s="45"/>
      <c r="C482" s="46">
        <f>IF(B482&lt;&gt;"",VLOOKUP(B482,'Tipo Projeto'!$A$3:$B$35,2,0),0)</f>
        <v>0</v>
      </c>
      <c r="D482" s="47"/>
      <c r="E482" s="47"/>
      <c r="F482" s="48"/>
      <c r="G482" s="47"/>
      <c r="H482" s="49"/>
      <c r="I482" s="50"/>
      <c r="J482" s="51"/>
      <c r="K482" s="52"/>
      <c r="L482" s="53" t="str">
        <f t="shared" si="104"/>
        <v/>
      </c>
      <c r="M482" s="48" t="str">
        <f t="shared" si="105"/>
        <v/>
      </c>
      <c r="N482" s="54" t="str">
        <f t="shared" si="106"/>
        <v/>
      </c>
      <c r="O482" s="55">
        <f t="shared" si="107"/>
        <v>0</v>
      </c>
      <c r="P482" s="55">
        <f t="shared" si="108"/>
        <v>0</v>
      </c>
      <c r="Q482" s="54">
        <f t="shared" si="109"/>
        <v>0</v>
      </c>
      <c r="R482" s="47"/>
      <c r="T482" s="57"/>
      <c r="U482" s="45"/>
      <c r="V482" s="46">
        <f>IF(U482&lt;&gt;"",VLOOKUP(U482,'Tipo Projeto'!$A$3:$B$35,2,0),0)</f>
        <v>0</v>
      </c>
      <c r="W482" s="47"/>
      <c r="X482" s="49"/>
      <c r="Y482" s="50"/>
      <c r="Z482" s="51"/>
      <c r="AA482" s="52"/>
      <c r="AB482" s="53" t="str">
        <f t="shared" si="110"/>
        <v/>
      </c>
      <c r="AC482" s="48" t="str">
        <f t="shared" si="111"/>
        <v/>
      </c>
      <c r="AD482" s="54" t="str">
        <f t="shared" si="112"/>
        <v/>
      </c>
      <c r="AE482" s="55">
        <f t="shared" si="113"/>
        <v>0</v>
      </c>
      <c r="AF482" s="55">
        <f t="shared" si="114"/>
        <v>0</v>
      </c>
      <c r="AG482" s="58">
        <f t="shared" si="115"/>
        <v>0</v>
      </c>
      <c r="AH482" s="47"/>
      <c r="AJ482" s="47"/>
      <c r="AL482" s="47"/>
      <c r="AM482" s="47" t="str">
        <f t="shared" si="116"/>
        <v/>
      </c>
    </row>
    <row r="483" spans="1:39" s="56" customFormat="1" ht="24.75" customHeight="1">
      <c r="A483" s="44"/>
      <c r="B483" s="45"/>
      <c r="C483" s="46">
        <f>IF(B483&lt;&gt;"",VLOOKUP(B483,'Tipo Projeto'!$A$3:$B$35,2,0),0)</f>
        <v>0</v>
      </c>
      <c r="D483" s="47"/>
      <c r="E483" s="47"/>
      <c r="F483" s="48"/>
      <c r="G483" s="47"/>
      <c r="H483" s="49"/>
      <c r="I483" s="50"/>
      <c r="J483" s="51"/>
      <c r="K483" s="52"/>
      <c r="L483" s="53" t="str">
        <f t="shared" si="104"/>
        <v/>
      </c>
      <c r="M483" s="48" t="str">
        <f t="shared" si="105"/>
        <v/>
      </c>
      <c r="N483" s="54" t="str">
        <f t="shared" si="106"/>
        <v/>
      </c>
      <c r="O483" s="55">
        <f t="shared" si="107"/>
        <v>0</v>
      </c>
      <c r="P483" s="55">
        <f t="shared" si="108"/>
        <v>0</v>
      </c>
      <c r="Q483" s="54">
        <f t="shared" si="109"/>
        <v>0</v>
      </c>
      <c r="R483" s="47"/>
      <c r="T483" s="57"/>
      <c r="U483" s="45"/>
      <c r="V483" s="46">
        <f>IF(U483&lt;&gt;"",VLOOKUP(U483,'Tipo Projeto'!$A$3:$B$35,2,0),0)</f>
        <v>0</v>
      </c>
      <c r="W483" s="47"/>
      <c r="X483" s="49"/>
      <c r="Y483" s="50"/>
      <c r="Z483" s="51"/>
      <c r="AA483" s="52"/>
      <c r="AB483" s="53" t="str">
        <f t="shared" si="110"/>
        <v/>
      </c>
      <c r="AC483" s="48" t="str">
        <f t="shared" si="111"/>
        <v/>
      </c>
      <c r="AD483" s="54" t="str">
        <f t="shared" si="112"/>
        <v/>
      </c>
      <c r="AE483" s="55">
        <f t="shared" si="113"/>
        <v>0</v>
      </c>
      <c r="AF483" s="55">
        <f t="shared" si="114"/>
        <v>0</v>
      </c>
      <c r="AG483" s="58">
        <f t="shared" si="115"/>
        <v>0</v>
      </c>
      <c r="AH483" s="47"/>
      <c r="AJ483" s="47"/>
      <c r="AL483" s="47"/>
      <c r="AM483" s="47" t="str">
        <f t="shared" si="116"/>
        <v/>
      </c>
    </row>
    <row r="484" spans="1:39" s="56" customFormat="1" ht="24.75" customHeight="1">
      <c r="A484" s="44"/>
      <c r="B484" s="45"/>
      <c r="C484" s="46">
        <f>IF(B484&lt;&gt;"",VLOOKUP(B484,'Tipo Projeto'!$A$3:$B$35,2,0),0)</f>
        <v>0</v>
      </c>
      <c r="D484" s="47"/>
      <c r="E484" s="47"/>
      <c r="F484" s="48"/>
      <c r="G484" s="47"/>
      <c r="H484" s="49"/>
      <c r="I484" s="50"/>
      <c r="J484" s="51"/>
      <c r="K484" s="52"/>
      <c r="L484" s="53" t="str">
        <f t="shared" si="104"/>
        <v/>
      </c>
      <c r="M484" s="48" t="str">
        <f t="shared" si="105"/>
        <v/>
      </c>
      <c r="N484" s="54" t="str">
        <f t="shared" si="106"/>
        <v/>
      </c>
      <c r="O484" s="55">
        <f t="shared" si="107"/>
        <v>0</v>
      </c>
      <c r="P484" s="55">
        <f t="shared" si="108"/>
        <v>0</v>
      </c>
      <c r="Q484" s="54">
        <f t="shared" si="109"/>
        <v>0</v>
      </c>
      <c r="R484" s="47"/>
      <c r="T484" s="57"/>
      <c r="U484" s="45"/>
      <c r="V484" s="46">
        <f>IF(U484&lt;&gt;"",VLOOKUP(U484,'Tipo Projeto'!$A$3:$B$35,2,0),0)</f>
        <v>0</v>
      </c>
      <c r="W484" s="47"/>
      <c r="X484" s="49"/>
      <c r="Y484" s="50"/>
      <c r="Z484" s="51"/>
      <c r="AA484" s="52"/>
      <c r="AB484" s="53" t="str">
        <f t="shared" si="110"/>
        <v/>
      </c>
      <c r="AC484" s="48" t="str">
        <f t="shared" si="111"/>
        <v/>
      </c>
      <c r="AD484" s="54" t="str">
        <f t="shared" si="112"/>
        <v/>
      </c>
      <c r="AE484" s="55">
        <f t="shared" si="113"/>
        <v>0</v>
      </c>
      <c r="AF484" s="55">
        <f t="shared" si="114"/>
        <v>0</v>
      </c>
      <c r="AG484" s="58">
        <f t="shared" si="115"/>
        <v>0</v>
      </c>
      <c r="AH484" s="47"/>
      <c r="AJ484" s="47"/>
      <c r="AL484" s="47"/>
      <c r="AM484" s="47" t="str">
        <f t="shared" si="116"/>
        <v/>
      </c>
    </row>
    <row r="485" spans="1:39" s="56" customFormat="1" ht="24.75" customHeight="1">
      <c r="A485" s="44"/>
      <c r="B485" s="45"/>
      <c r="C485" s="46">
        <f>IF(B485&lt;&gt;"",VLOOKUP(B485,'Tipo Projeto'!$A$3:$B$35,2,0),0)</f>
        <v>0</v>
      </c>
      <c r="D485" s="47"/>
      <c r="E485" s="47"/>
      <c r="F485" s="48"/>
      <c r="G485" s="47"/>
      <c r="H485" s="49"/>
      <c r="I485" s="50"/>
      <c r="J485" s="51"/>
      <c r="K485" s="52"/>
      <c r="L485" s="53" t="str">
        <f t="shared" si="104"/>
        <v/>
      </c>
      <c r="M485" s="48" t="str">
        <f t="shared" si="105"/>
        <v/>
      </c>
      <c r="N485" s="54" t="str">
        <f t="shared" si="106"/>
        <v/>
      </c>
      <c r="O485" s="55">
        <f t="shared" si="107"/>
        <v>0</v>
      </c>
      <c r="P485" s="55">
        <f t="shared" si="108"/>
        <v>0</v>
      </c>
      <c r="Q485" s="54">
        <f t="shared" si="109"/>
        <v>0</v>
      </c>
      <c r="R485" s="47"/>
      <c r="T485" s="57"/>
      <c r="U485" s="45"/>
      <c r="V485" s="46">
        <f>IF(U485&lt;&gt;"",VLOOKUP(U485,'Tipo Projeto'!$A$3:$B$35,2,0),0)</f>
        <v>0</v>
      </c>
      <c r="W485" s="47"/>
      <c r="X485" s="49"/>
      <c r="Y485" s="50"/>
      <c r="Z485" s="51"/>
      <c r="AA485" s="52"/>
      <c r="AB485" s="53" t="str">
        <f t="shared" si="110"/>
        <v/>
      </c>
      <c r="AC485" s="48" t="str">
        <f t="shared" si="111"/>
        <v/>
      </c>
      <c r="AD485" s="54" t="str">
        <f t="shared" si="112"/>
        <v/>
      </c>
      <c r="AE485" s="55">
        <f t="shared" si="113"/>
        <v>0</v>
      </c>
      <c r="AF485" s="55">
        <f t="shared" si="114"/>
        <v>0</v>
      </c>
      <c r="AG485" s="58">
        <f t="shared" si="115"/>
        <v>0</v>
      </c>
      <c r="AH485" s="47"/>
      <c r="AJ485" s="47"/>
      <c r="AL485" s="47"/>
      <c r="AM485" s="47" t="str">
        <f t="shared" si="116"/>
        <v/>
      </c>
    </row>
    <row r="486" spans="1:39" s="56" customFormat="1" ht="24.75" customHeight="1">
      <c r="A486" s="44"/>
      <c r="B486" s="45"/>
      <c r="C486" s="46">
        <f>IF(B486&lt;&gt;"",VLOOKUP(B486,'Tipo Projeto'!$A$3:$B$35,2,0),0)</f>
        <v>0</v>
      </c>
      <c r="D486" s="47"/>
      <c r="E486" s="47"/>
      <c r="F486" s="48"/>
      <c r="G486" s="47"/>
      <c r="H486" s="49"/>
      <c r="I486" s="50"/>
      <c r="J486" s="51"/>
      <c r="K486" s="52"/>
      <c r="L486" s="53" t="str">
        <f t="shared" si="104"/>
        <v/>
      </c>
      <c r="M486" s="48" t="str">
        <f t="shared" si="105"/>
        <v/>
      </c>
      <c r="N486" s="54" t="str">
        <f t="shared" si="106"/>
        <v/>
      </c>
      <c r="O486" s="55">
        <f t="shared" si="107"/>
        <v>0</v>
      </c>
      <c r="P486" s="55">
        <f t="shared" si="108"/>
        <v>0</v>
      </c>
      <c r="Q486" s="54">
        <f t="shared" si="109"/>
        <v>0</v>
      </c>
      <c r="R486" s="47"/>
      <c r="T486" s="57"/>
      <c r="U486" s="45"/>
      <c r="V486" s="46">
        <f>IF(U486&lt;&gt;"",VLOOKUP(U486,'Tipo Projeto'!$A$3:$B$35,2,0),0)</f>
        <v>0</v>
      </c>
      <c r="W486" s="47"/>
      <c r="X486" s="49"/>
      <c r="Y486" s="50"/>
      <c r="Z486" s="51"/>
      <c r="AA486" s="52"/>
      <c r="AB486" s="53" t="str">
        <f t="shared" si="110"/>
        <v/>
      </c>
      <c r="AC486" s="48" t="str">
        <f t="shared" si="111"/>
        <v/>
      </c>
      <c r="AD486" s="54" t="str">
        <f t="shared" si="112"/>
        <v/>
      </c>
      <c r="AE486" s="55">
        <f t="shared" si="113"/>
        <v>0</v>
      </c>
      <c r="AF486" s="55">
        <f t="shared" si="114"/>
        <v>0</v>
      </c>
      <c r="AG486" s="58">
        <f t="shared" si="115"/>
        <v>0</v>
      </c>
      <c r="AH486" s="47"/>
      <c r="AJ486" s="47"/>
      <c r="AL486" s="47"/>
      <c r="AM486" s="47" t="str">
        <f t="shared" si="116"/>
        <v/>
      </c>
    </row>
    <row r="487" spans="1:39" s="56" customFormat="1" ht="24.75" customHeight="1">
      <c r="A487" s="44"/>
      <c r="B487" s="45"/>
      <c r="C487" s="46">
        <f>IF(B487&lt;&gt;"",VLOOKUP(B487,'Tipo Projeto'!$A$3:$B$35,2,0),0)</f>
        <v>0</v>
      </c>
      <c r="D487" s="47"/>
      <c r="E487" s="47"/>
      <c r="F487" s="48"/>
      <c r="G487" s="47"/>
      <c r="H487" s="49"/>
      <c r="I487" s="50"/>
      <c r="J487" s="51"/>
      <c r="K487" s="52"/>
      <c r="L487" s="53" t="str">
        <f t="shared" si="104"/>
        <v/>
      </c>
      <c r="M487" s="48" t="str">
        <f t="shared" si="105"/>
        <v/>
      </c>
      <c r="N487" s="54" t="str">
        <f t="shared" si="106"/>
        <v/>
      </c>
      <c r="O487" s="55">
        <f t="shared" si="107"/>
        <v>0</v>
      </c>
      <c r="P487" s="55">
        <f t="shared" si="108"/>
        <v>0</v>
      </c>
      <c r="Q487" s="54">
        <f t="shared" si="109"/>
        <v>0</v>
      </c>
      <c r="R487" s="47"/>
      <c r="T487" s="57"/>
      <c r="U487" s="45"/>
      <c r="V487" s="46">
        <f>IF(U487&lt;&gt;"",VLOOKUP(U487,'Tipo Projeto'!$A$3:$B$35,2,0),0)</f>
        <v>0</v>
      </c>
      <c r="W487" s="47"/>
      <c r="X487" s="49"/>
      <c r="Y487" s="50"/>
      <c r="Z487" s="51"/>
      <c r="AA487" s="52"/>
      <c r="AB487" s="53" t="str">
        <f t="shared" si="110"/>
        <v/>
      </c>
      <c r="AC487" s="48" t="str">
        <f t="shared" si="111"/>
        <v/>
      </c>
      <c r="AD487" s="54" t="str">
        <f t="shared" si="112"/>
        <v/>
      </c>
      <c r="AE487" s="55">
        <f t="shared" si="113"/>
        <v>0</v>
      </c>
      <c r="AF487" s="55">
        <f t="shared" si="114"/>
        <v>0</v>
      </c>
      <c r="AG487" s="58">
        <f t="shared" si="115"/>
        <v>0</v>
      </c>
      <c r="AH487" s="47"/>
      <c r="AJ487" s="47"/>
      <c r="AL487" s="47"/>
      <c r="AM487" s="47" t="str">
        <f t="shared" si="116"/>
        <v/>
      </c>
    </row>
    <row r="488" spans="1:39" s="56" customFormat="1" ht="24.75" customHeight="1">
      <c r="A488" s="44"/>
      <c r="B488" s="45"/>
      <c r="C488" s="46">
        <f>IF(B488&lt;&gt;"",VLOOKUP(B488,'Tipo Projeto'!$A$3:$B$35,2,0),0)</f>
        <v>0</v>
      </c>
      <c r="D488" s="47"/>
      <c r="E488" s="47"/>
      <c r="F488" s="48"/>
      <c r="G488" s="47"/>
      <c r="H488" s="49"/>
      <c r="I488" s="50"/>
      <c r="J488" s="51"/>
      <c r="K488" s="52"/>
      <c r="L488" s="53" t="str">
        <f t="shared" si="104"/>
        <v/>
      </c>
      <c r="M488" s="48" t="str">
        <f t="shared" si="105"/>
        <v/>
      </c>
      <c r="N488" s="54" t="str">
        <f t="shared" si="106"/>
        <v/>
      </c>
      <c r="O488" s="55">
        <f t="shared" si="107"/>
        <v>0</v>
      </c>
      <c r="P488" s="55">
        <f t="shared" si="108"/>
        <v>0</v>
      </c>
      <c r="Q488" s="54">
        <f t="shared" si="109"/>
        <v>0</v>
      </c>
      <c r="R488" s="47"/>
      <c r="T488" s="57"/>
      <c r="U488" s="45"/>
      <c r="V488" s="46">
        <f>IF(U488&lt;&gt;"",VLOOKUP(U488,'Tipo Projeto'!$A$3:$B$35,2,0),0)</f>
        <v>0</v>
      </c>
      <c r="W488" s="47"/>
      <c r="X488" s="49"/>
      <c r="Y488" s="50"/>
      <c r="Z488" s="51"/>
      <c r="AA488" s="52"/>
      <c r="AB488" s="53" t="str">
        <f t="shared" si="110"/>
        <v/>
      </c>
      <c r="AC488" s="48" t="str">
        <f t="shared" si="111"/>
        <v/>
      </c>
      <c r="AD488" s="54" t="str">
        <f t="shared" si="112"/>
        <v/>
      </c>
      <c r="AE488" s="55">
        <f t="shared" si="113"/>
        <v>0</v>
      </c>
      <c r="AF488" s="55">
        <f t="shared" si="114"/>
        <v>0</v>
      </c>
      <c r="AG488" s="58">
        <f t="shared" si="115"/>
        <v>0</v>
      </c>
      <c r="AH488" s="47"/>
      <c r="AJ488" s="47"/>
      <c r="AL488" s="47"/>
      <c r="AM488" s="47" t="str">
        <f t="shared" si="116"/>
        <v/>
      </c>
    </row>
    <row r="489" spans="1:39" s="56" customFormat="1" ht="24.75" customHeight="1">
      <c r="A489" s="44"/>
      <c r="B489" s="45"/>
      <c r="C489" s="46">
        <f>IF(B489&lt;&gt;"",VLOOKUP(B489,'Tipo Projeto'!$A$3:$B$35,2,0),0)</f>
        <v>0</v>
      </c>
      <c r="D489" s="47"/>
      <c r="E489" s="47"/>
      <c r="F489" s="48"/>
      <c r="G489" s="47"/>
      <c r="H489" s="49"/>
      <c r="I489" s="50"/>
      <c r="J489" s="51"/>
      <c r="K489" s="52"/>
      <c r="L489" s="53" t="str">
        <f t="shared" si="104"/>
        <v/>
      </c>
      <c r="M489" s="48" t="str">
        <f t="shared" si="105"/>
        <v/>
      </c>
      <c r="N489" s="54" t="str">
        <f t="shared" si="106"/>
        <v/>
      </c>
      <c r="O489" s="55">
        <f t="shared" si="107"/>
        <v>0</v>
      </c>
      <c r="P489" s="55">
        <f t="shared" si="108"/>
        <v>0</v>
      </c>
      <c r="Q489" s="54">
        <f t="shared" si="109"/>
        <v>0</v>
      </c>
      <c r="R489" s="47"/>
      <c r="T489" s="57"/>
      <c r="U489" s="45"/>
      <c r="V489" s="46">
        <f>IF(U489&lt;&gt;"",VLOOKUP(U489,'Tipo Projeto'!$A$3:$B$35,2,0),0)</f>
        <v>0</v>
      </c>
      <c r="W489" s="47"/>
      <c r="X489" s="49"/>
      <c r="Y489" s="50"/>
      <c r="Z489" s="51"/>
      <c r="AA489" s="52"/>
      <c r="AB489" s="53" t="str">
        <f t="shared" si="110"/>
        <v/>
      </c>
      <c r="AC489" s="48" t="str">
        <f t="shared" si="111"/>
        <v/>
      </c>
      <c r="AD489" s="54" t="str">
        <f t="shared" si="112"/>
        <v/>
      </c>
      <c r="AE489" s="55">
        <f t="shared" si="113"/>
        <v>0</v>
      </c>
      <c r="AF489" s="55">
        <f t="shared" si="114"/>
        <v>0</v>
      </c>
      <c r="AG489" s="58">
        <f t="shared" si="115"/>
        <v>0</v>
      </c>
      <c r="AH489" s="47"/>
      <c r="AJ489" s="47"/>
      <c r="AL489" s="47"/>
      <c r="AM489" s="47" t="str">
        <f t="shared" si="116"/>
        <v/>
      </c>
    </row>
    <row r="490" spans="1:39" s="56" customFormat="1" ht="24.75" customHeight="1">
      <c r="A490" s="44"/>
      <c r="B490" s="45"/>
      <c r="C490" s="46">
        <f>IF(B490&lt;&gt;"",VLOOKUP(B490,'Tipo Projeto'!$A$3:$B$35,2,0),0)</f>
        <v>0</v>
      </c>
      <c r="D490" s="47"/>
      <c r="E490" s="47"/>
      <c r="F490" s="48"/>
      <c r="G490" s="47"/>
      <c r="H490" s="49"/>
      <c r="I490" s="50"/>
      <c r="J490" s="51"/>
      <c r="K490" s="52"/>
      <c r="L490" s="53" t="str">
        <f t="shared" si="104"/>
        <v/>
      </c>
      <c r="M490" s="48" t="str">
        <f t="shared" si="105"/>
        <v/>
      </c>
      <c r="N490" s="54" t="str">
        <f t="shared" si="106"/>
        <v/>
      </c>
      <c r="O490" s="55">
        <f t="shared" si="107"/>
        <v>0</v>
      </c>
      <c r="P490" s="55">
        <f t="shared" si="108"/>
        <v>0</v>
      </c>
      <c r="Q490" s="54">
        <f t="shared" si="109"/>
        <v>0</v>
      </c>
      <c r="R490" s="47"/>
      <c r="T490" s="57"/>
      <c r="U490" s="45"/>
      <c r="V490" s="46">
        <f>IF(U490&lt;&gt;"",VLOOKUP(U490,'Tipo Projeto'!$A$3:$B$35,2,0),0)</f>
        <v>0</v>
      </c>
      <c r="W490" s="47"/>
      <c r="X490" s="49"/>
      <c r="Y490" s="50"/>
      <c r="Z490" s="51"/>
      <c r="AA490" s="52"/>
      <c r="AB490" s="53" t="str">
        <f t="shared" si="110"/>
        <v/>
      </c>
      <c r="AC490" s="48" t="str">
        <f t="shared" si="111"/>
        <v/>
      </c>
      <c r="AD490" s="54" t="str">
        <f t="shared" si="112"/>
        <v/>
      </c>
      <c r="AE490" s="55">
        <f t="shared" si="113"/>
        <v>0</v>
      </c>
      <c r="AF490" s="55">
        <f t="shared" si="114"/>
        <v>0</v>
      </c>
      <c r="AG490" s="58">
        <f t="shared" si="115"/>
        <v>0</v>
      </c>
      <c r="AH490" s="47"/>
      <c r="AJ490" s="47"/>
      <c r="AL490" s="47"/>
      <c r="AM490" s="47" t="str">
        <f t="shared" si="116"/>
        <v/>
      </c>
    </row>
    <row r="491" spans="1:39" s="56" customFormat="1" ht="24.75" customHeight="1">
      <c r="A491" s="44"/>
      <c r="B491" s="45"/>
      <c r="C491" s="46">
        <f>IF(B491&lt;&gt;"",VLOOKUP(B491,'Tipo Projeto'!$A$3:$B$35,2,0),0)</f>
        <v>0</v>
      </c>
      <c r="D491" s="47"/>
      <c r="E491" s="47"/>
      <c r="F491" s="48"/>
      <c r="G491" s="47"/>
      <c r="H491" s="49"/>
      <c r="I491" s="50"/>
      <c r="J491" s="51"/>
      <c r="K491" s="52"/>
      <c r="L491" s="53" t="str">
        <f t="shared" si="104"/>
        <v/>
      </c>
      <c r="M491" s="48" t="str">
        <f t="shared" si="105"/>
        <v/>
      </c>
      <c r="N491" s="54" t="str">
        <f t="shared" si="106"/>
        <v/>
      </c>
      <c r="O491" s="55">
        <f t="shared" si="107"/>
        <v>0</v>
      </c>
      <c r="P491" s="55">
        <f t="shared" si="108"/>
        <v>0</v>
      </c>
      <c r="Q491" s="54">
        <f t="shared" si="109"/>
        <v>0</v>
      </c>
      <c r="R491" s="47"/>
      <c r="T491" s="57"/>
      <c r="U491" s="45"/>
      <c r="V491" s="46">
        <f>IF(U491&lt;&gt;"",VLOOKUP(U491,'Tipo Projeto'!$A$3:$B$35,2,0),0)</f>
        <v>0</v>
      </c>
      <c r="W491" s="47"/>
      <c r="X491" s="49"/>
      <c r="Y491" s="50"/>
      <c r="Z491" s="51"/>
      <c r="AA491" s="52"/>
      <c r="AB491" s="53" t="str">
        <f t="shared" si="110"/>
        <v/>
      </c>
      <c r="AC491" s="48" t="str">
        <f t="shared" si="111"/>
        <v/>
      </c>
      <c r="AD491" s="54" t="str">
        <f t="shared" si="112"/>
        <v/>
      </c>
      <c r="AE491" s="55">
        <f t="shared" si="113"/>
        <v>0</v>
      </c>
      <c r="AF491" s="55">
        <f t="shared" si="114"/>
        <v>0</v>
      </c>
      <c r="AG491" s="58">
        <f t="shared" si="115"/>
        <v>0</v>
      </c>
      <c r="AH491" s="47"/>
      <c r="AJ491" s="47"/>
      <c r="AL491" s="47"/>
      <c r="AM491" s="47" t="str">
        <f t="shared" si="116"/>
        <v/>
      </c>
    </row>
    <row r="492" spans="1:39" s="56" customFormat="1" ht="24.75" customHeight="1">
      <c r="A492" s="44"/>
      <c r="B492" s="45"/>
      <c r="C492" s="46">
        <f>IF(B492&lt;&gt;"",VLOOKUP(B492,'Tipo Projeto'!$A$3:$B$35,2,0),0)</f>
        <v>0</v>
      </c>
      <c r="D492" s="47"/>
      <c r="E492" s="47"/>
      <c r="F492" s="48"/>
      <c r="G492" s="47"/>
      <c r="H492" s="49"/>
      <c r="I492" s="50"/>
      <c r="J492" s="51"/>
      <c r="K492" s="52"/>
      <c r="L492" s="53" t="str">
        <f t="shared" si="104"/>
        <v/>
      </c>
      <c r="M492" s="48" t="str">
        <f t="shared" si="105"/>
        <v/>
      </c>
      <c r="N492" s="54" t="str">
        <f t="shared" si="106"/>
        <v/>
      </c>
      <c r="O492" s="55">
        <f t="shared" si="107"/>
        <v>0</v>
      </c>
      <c r="P492" s="55">
        <f t="shared" si="108"/>
        <v>0</v>
      </c>
      <c r="Q492" s="54">
        <f t="shared" si="109"/>
        <v>0</v>
      </c>
      <c r="R492" s="47"/>
      <c r="T492" s="57"/>
      <c r="U492" s="45"/>
      <c r="V492" s="46">
        <f>IF(U492&lt;&gt;"",VLOOKUP(U492,'Tipo Projeto'!$A$3:$B$35,2,0),0)</f>
        <v>0</v>
      </c>
      <c r="W492" s="47"/>
      <c r="X492" s="49"/>
      <c r="Y492" s="50"/>
      <c r="Z492" s="51"/>
      <c r="AA492" s="52"/>
      <c r="AB492" s="53" t="str">
        <f t="shared" si="110"/>
        <v/>
      </c>
      <c r="AC492" s="48" t="str">
        <f t="shared" si="111"/>
        <v/>
      </c>
      <c r="AD492" s="54" t="str">
        <f t="shared" si="112"/>
        <v/>
      </c>
      <c r="AE492" s="55">
        <f t="shared" si="113"/>
        <v>0</v>
      </c>
      <c r="AF492" s="55">
        <f t="shared" si="114"/>
        <v>0</v>
      </c>
      <c r="AG492" s="58">
        <f t="shared" si="115"/>
        <v>0</v>
      </c>
      <c r="AH492" s="47"/>
      <c r="AJ492" s="47"/>
      <c r="AL492" s="47"/>
      <c r="AM492" s="47" t="str">
        <f t="shared" si="116"/>
        <v/>
      </c>
    </row>
    <row r="493" spans="1:39" s="56" customFormat="1" ht="24.75" customHeight="1">
      <c r="A493" s="44"/>
      <c r="B493" s="45"/>
      <c r="C493" s="46">
        <f>IF(B493&lt;&gt;"",VLOOKUP(B493,'Tipo Projeto'!$A$3:$B$35,2,0),0)</f>
        <v>0</v>
      </c>
      <c r="D493" s="47"/>
      <c r="E493" s="47"/>
      <c r="F493" s="48"/>
      <c r="G493" s="47"/>
      <c r="H493" s="49"/>
      <c r="I493" s="50"/>
      <c r="J493" s="51"/>
      <c r="K493" s="52"/>
      <c r="L493" s="53" t="str">
        <f t="shared" si="104"/>
        <v/>
      </c>
      <c r="M493" s="48" t="str">
        <f t="shared" si="105"/>
        <v/>
      </c>
      <c r="N493" s="54" t="str">
        <f t="shared" si="106"/>
        <v/>
      </c>
      <c r="O493" s="55">
        <f t="shared" si="107"/>
        <v>0</v>
      </c>
      <c r="P493" s="55">
        <f t="shared" si="108"/>
        <v>0</v>
      </c>
      <c r="Q493" s="54">
        <f t="shared" si="109"/>
        <v>0</v>
      </c>
      <c r="R493" s="47"/>
      <c r="T493" s="57"/>
      <c r="U493" s="45"/>
      <c r="V493" s="46">
        <f>IF(U493&lt;&gt;"",VLOOKUP(U493,'Tipo Projeto'!$A$3:$B$35,2,0),0)</f>
        <v>0</v>
      </c>
      <c r="W493" s="47"/>
      <c r="X493" s="49"/>
      <c r="Y493" s="50"/>
      <c r="Z493" s="51"/>
      <c r="AA493" s="52"/>
      <c r="AB493" s="53" t="str">
        <f t="shared" si="110"/>
        <v/>
      </c>
      <c r="AC493" s="48" t="str">
        <f t="shared" si="111"/>
        <v/>
      </c>
      <c r="AD493" s="54" t="str">
        <f t="shared" si="112"/>
        <v/>
      </c>
      <c r="AE493" s="55">
        <f t="shared" si="113"/>
        <v>0</v>
      </c>
      <c r="AF493" s="55">
        <f t="shared" si="114"/>
        <v>0</v>
      </c>
      <c r="AG493" s="58">
        <f t="shared" si="115"/>
        <v>0</v>
      </c>
      <c r="AH493" s="47"/>
      <c r="AJ493" s="47"/>
      <c r="AL493" s="47"/>
      <c r="AM493" s="47" t="str">
        <f t="shared" si="116"/>
        <v/>
      </c>
    </row>
    <row r="494" spans="1:39" s="56" customFormat="1" ht="24.75" customHeight="1">
      <c r="A494" s="44"/>
      <c r="B494" s="45"/>
      <c r="C494" s="46">
        <f>IF(B494&lt;&gt;"",VLOOKUP(B494,'Tipo Projeto'!$A$3:$B$35,2,0),0)</f>
        <v>0</v>
      </c>
      <c r="D494" s="47"/>
      <c r="E494" s="47"/>
      <c r="F494" s="48"/>
      <c r="G494" s="47"/>
      <c r="H494" s="49"/>
      <c r="I494" s="50"/>
      <c r="J494" s="51"/>
      <c r="K494" s="52"/>
      <c r="L494" s="53" t="str">
        <f t="shared" si="104"/>
        <v/>
      </c>
      <c r="M494" s="48" t="str">
        <f t="shared" si="105"/>
        <v/>
      </c>
      <c r="N494" s="54" t="str">
        <f t="shared" si="106"/>
        <v/>
      </c>
      <c r="O494" s="55">
        <f t="shared" si="107"/>
        <v>0</v>
      </c>
      <c r="P494" s="55">
        <f t="shared" si="108"/>
        <v>0</v>
      </c>
      <c r="Q494" s="54">
        <f t="shared" si="109"/>
        <v>0</v>
      </c>
      <c r="R494" s="47"/>
      <c r="T494" s="57"/>
      <c r="U494" s="45"/>
      <c r="V494" s="46">
        <f>IF(U494&lt;&gt;"",VLOOKUP(U494,'Tipo Projeto'!$A$3:$B$35,2,0),0)</f>
        <v>0</v>
      </c>
      <c r="W494" s="47"/>
      <c r="X494" s="49"/>
      <c r="Y494" s="50"/>
      <c r="Z494" s="51"/>
      <c r="AA494" s="52"/>
      <c r="AB494" s="53" t="str">
        <f t="shared" si="110"/>
        <v/>
      </c>
      <c r="AC494" s="48" t="str">
        <f t="shared" si="111"/>
        <v/>
      </c>
      <c r="AD494" s="54" t="str">
        <f t="shared" si="112"/>
        <v/>
      </c>
      <c r="AE494" s="55">
        <f t="shared" si="113"/>
        <v>0</v>
      </c>
      <c r="AF494" s="55">
        <f t="shared" si="114"/>
        <v>0</v>
      </c>
      <c r="AG494" s="58">
        <f t="shared" si="115"/>
        <v>0</v>
      </c>
      <c r="AH494" s="47"/>
      <c r="AJ494" s="47"/>
      <c r="AL494" s="47"/>
      <c r="AM494" s="47" t="str">
        <f t="shared" si="116"/>
        <v/>
      </c>
    </row>
    <row r="495" spans="1:39" s="56" customFormat="1" ht="24.75" customHeight="1">
      <c r="A495" s="44"/>
      <c r="B495" s="45"/>
      <c r="C495" s="46">
        <f>IF(B495&lt;&gt;"",VLOOKUP(B495,'Tipo Projeto'!$A$3:$B$35,2,0),0)</f>
        <v>0</v>
      </c>
      <c r="D495" s="47"/>
      <c r="E495" s="47"/>
      <c r="F495" s="48"/>
      <c r="G495" s="47"/>
      <c r="H495" s="49"/>
      <c r="I495" s="50"/>
      <c r="J495" s="51"/>
      <c r="K495" s="52"/>
      <c r="L495" s="53" t="str">
        <f t="shared" si="104"/>
        <v/>
      </c>
      <c r="M495" s="48" t="str">
        <f t="shared" si="105"/>
        <v/>
      </c>
      <c r="N495" s="54" t="str">
        <f t="shared" si="106"/>
        <v/>
      </c>
      <c r="O495" s="55">
        <f t="shared" si="107"/>
        <v>0</v>
      </c>
      <c r="P495" s="55">
        <f t="shared" si="108"/>
        <v>0</v>
      </c>
      <c r="Q495" s="54">
        <f t="shared" si="109"/>
        <v>0</v>
      </c>
      <c r="R495" s="47"/>
      <c r="T495" s="57"/>
      <c r="U495" s="45"/>
      <c r="V495" s="46">
        <f>IF(U495&lt;&gt;"",VLOOKUP(U495,'Tipo Projeto'!$A$3:$B$35,2,0),0)</f>
        <v>0</v>
      </c>
      <c r="W495" s="47"/>
      <c r="X495" s="49"/>
      <c r="Y495" s="50"/>
      <c r="Z495" s="51"/>
      <c r="AA495" s="52"/>
      <c r="AB495" s="53" t="str">
        <f t="shared" si="110"/>
        <v/>
      </c>
      <c r="AC495" s="48" t="str">
        <f t="shared" si="111"/>
        <v/>
      </c>
      <c r="AD495" s="54" t="str">
        <f t="shared" si="112"/>
        <v/>
      </c>
      <c r="AE495" s="55">
        <f t="shared" si="113"/>
        <v>0</v>
      </c>
      <c r="AF495" s="55">
        <f t="shared" si="114"/>
        <v>0</v>
      </c>
      <c r="AG495" s="58">
        <f t="shared" si="115"/>
        <v>0</v>
      </c>
      <c r="AH495" s="47"/>
      <c r="AJ495" s="47"/>
      <c r="AL495" s="47"/>
      <c r="AM495" s="47" t="str">
        <f t="shared" si="116"/>
        <v/>
      </c>
    </row>
    <row r="496" spans="1:39" s="56" customFormat="1" ht="24.75" customHeight="1">
      <c r="A496" s="44"/>
      <c r="B496" s="45"/>
      <c r="C496" s="46">
        <f>IF(B496&lt;&gt;"",VLOOKUP(B496,'Tipo Projeto'!$A$3:$B$35,2,0),0)</f>
        <v>0</v>
      </c>
      <c r="D496" s="47"/>
      <c r="E496" s="47"/>
      <c r="F496" s="48"/>
      <c r="G496" s="47"/>
      <c r="H496" s="49"/>
      <c r="I496" s="50"/>
      <c r="J496" s="51"/>
      <c r="K496" s="52"/>
      <c r="L496" s="53" t="str">
        <f t="shared" si="104"/>
        <v/>
      </c>
      <c r="M496" s="48" t="str">
        <f t="shared" si="105"/>
        <v/>
      </c>
      <c r="N496" s="54" t="str">
        <f t="shared" si="106"/>
        <v/>
      </c>
      <c r="O496" s="55">
        <f t="shared" si="107"/>
        <v>0</v>
      </c>
      <c r="P496" s="55">
        <f t="shared" si="108"/>
        <v>0</v>
      </c>
      <c r="Q496" s="54">
        <f t="shared" si="109"/>
        <v>0</v>
      </c>
      <c r="R496" s="47"/>
      <c r="T496" s="57"/>
      <c r="U496" s="45"/>
      <c r="V496" s="46">
        <f>IF(U496&lt;&gt;"",VLOOKUP(U496,'Tipo Projeto'!$A$3:$B$35,2,0),0)</f>
        <v>0</v>
      </c>
      <c r="W496" s="47"/>
      <c r="X496" s="49"/>
      <c r="Y496" s="50"/>
      <c r="Z496" s="51"/>
      <c r="AA496" s="52"/>
      <c r="AB496" s="53" t="str">
        <f t="shared" si="110"/>
        <v/>
      </c>
      <c r="AC496" s="48" t="str">
        <f t="shared" si="111"/>
        <v/>
      </c>
      <c r="AD496" s="54" t="str">
        <f t="shared" si="112"/>
        <v/>
      </c>
      <c r="AE496" s="55">
        <f t="shared" si="113"/>
        <v>0</v>
      </c>
      <c r="AF496" s="55">
        <f t="shared" si="114"/>
        <v>0</v>
      </c>
      <c r="AG496" s="58">
        <f t="shared" si="115"/>
        <v>0</v>
      </c>
      <c r="AH496" s="47"/>
      <c r="AJ496" s="47"/>
      <c r="AL496" s="47"/>
      <c r="AM496" s="47" t="str">
        <f t="shared" si="116"/>
        <v/>
      </c>
    </row>
    <row r="497" spans="1:39" s="56" customFormat="1" ht="24.75" customHeight="1">
      <c r="A497" s="44"/>
      <c r="B497" s="45"/>
      <c r="C497" s="46">
        <f>IF(B497&lt;&gt;"",VLOOKUP(B497,'Tipo Projeto'!$A$3:$B$35,2,0),0)</f>
        <v>0</v>
      </c>
      <c r="D497" s="47"/>
      <c r="E497" s="47"/>
      <c r="F497" s="48"/>
      <c r="G497" s="47"/>
      <c r="H497" s="49"/>
      <c r="I497" s="50"/>
      <c r="J497" s="51"/>
      <c r="K497" s="52"/>
      <c r="L497" s="53" t="str">
        <f t="shared" si="104"/>
        <v/>
      </c>
      <c r="M497" s="48" t="str">
        <f t="shared" si="105"/>
        <v/>
      </c>
      <c r="N497" s="54" t="str">
        <f t="shared" si="106"/>
        <v/>
      </c>
      <c r="O497" s="55">
        <f t="shared" si="107"/>
        <v>0</v>
      </c>
      <c r="P497" s="55">
        <f t="shared" si="108"/>
        <v>0</v>
      </c>
      <c r="Q497" s="54">
        <f t="shared" si="109"/>
        <v>0</v>
      </c>
      <c r="R497" s="47"/>
      <c r="T497" s="57"/>
      <c r="U497" s="45"/>
      <c r="V497" s="46">
        <f>IF(U497&lt;&gt;"",VLOOKUP(U497,'Tipo Projeto'!$A$3:$B$35,2,0),0)</f>
        <v>0</v>
      </c>
      <c r="W497" s="47"/>
      <c r="X497" s="49"/>
      <c r="Y497" s="50"/>
      <c r="Z497" s="51"/>
      <c r="AA497" s="52"/>
      <c r="AB497" s="53" t="str">
        <f t="shared" si="110"/>
        <v/>
      </c>
      <c r="AC497" s="48" t="str">
        <f t="shared" si="111"/>
        <v/>
      </c>
      <c r="AD497" s="54" t="str">
        <f t="shared" si="112"/>
        <v/>
      </c>
      <c r="AE497" s="55">
        <f t="shared" si="113"/>
        <v>0</v>
      </c>
      <c r="AF497" s="55">
        <f t="shared" si="114"/>
        <v>0</v>
      </c>
      <c r="AG497" s="58">
        <f t="shared" si="115"/>
        <v>0</v>
      </c>
      <c r="AH497" s="47"/>
      <c r="AJ497" s="47"/>
      <c r="AL497" s="47"/>
      <c r="AM497" s="47" t="str">
        <f t="shared" si="116"/>
        <v/>
      </c>
    </row>
    <row r="498" spans="1:39" s="56" customFormat="1" ht="24.75" customHeight="1">
      <c r="A498" s="44"/>
      <c r="B498" s="45"/>
      <c r="C498" s="46">
        <f>IF(B498&lt;&gt;"",VLOOKUP(B498,'Tipo Projeto'!$A$3:$B$35,2,0),0)</f>
        <v>0</v>
      </c>
      <c r="D498" s="47"/>
      <c r="E498" s="47"/>
      <c r="F498" s="48"/>
      <c r="G498" s="47"/>
      <c r="H498" s="49"/>
      <c r="I498" s="50"/>
      <c r="J498" s="51"/>
      <c r="K498" s="52"/>
      <c r="L498" s="53" t="str">
        <f t="shared" si="104"/>
        <v/>
      </c>
      <c r="M498" s="48" t="str">
        <f t="shared" si="105"/>
        <v/>
      </c>
      <c r="N498" s="54" t="str">
        <f t="shared" si="106"/>
        <v/>
      </c>
      <c r="O498" s="55">
        <f t="shared" si="107"/>
        <v>0</v>
      </c>
      <c r="P498" s="55">
        <f t="shared" si="108"/>
        <v>0</v>
      </c>
      <c r="Q498" s="54">
        <f t="shared" si="109"/>
        <v>0</v>
      </c>
      <c r="R498" s="47"/>
      <c r="T498" s="57"/>
      <c r="U498" s="45"/>
      <c r="V498" s="46">
        <f>IF(U498&lt;&gt;"",VLOOKUP(U498,'Tipo Projeto'!$A$3:$B$35,2,0),0)</f>
        <v>0</v>
      </c>
      <c r="W498" s="47"/>
      <c r="X498" s="49"/>
      <c r="Y498" s="50"/>
      <c r="Z498" s="51"/>
      <c r="AA498" s="52"/>
      <c r="AB498" s="53" t="str">
        <f t="shared" si="110"/>
        <v/>
      </c>
      <c r="AC498" s="48" t="str">
        <f t="shared" si="111"/>
        <v/>
      </c>
      <c r="AD498" s="54" t="str">
        <f t="shared" si="112"/>
        <v/>
      </c>
      <c r="AE498" s="55">
        <f t="shared" si="113"/>
        <v>0</v>
      </c>
      <c r="AF498" s="55">
        <f t="shared" si="114"/>
        <v>0</v>
      </c>
      <c r="AG498" s="58">
        <f t="shared" si="115"/>
        <v>0</v>
      </c>
      <c r="AH498" s="47"/>
      <c r="AJ498" s="47"/>
      <c r="AL498" s="47"/>
      <c r="AM498" s="47" t="str">
        <f t="shared" si="116"/>
        <v/>
      </c>
    </row>
    <row r="499" spans="1:39" s="56" customFormat="1" ht="24.75" customHeight="1">
      <c r="A499" s="44"/>
      <c r="B499" s="45"/>
      <c r="C499" s="46">
        <f>IF(B499&lt;&gt;"",VLOOKUP(B499,'Tipo Projeto'!$A$3:$B$35,2,0),0)</f>
        <v>0</v>
      </c>
      <c r="D499" s="47"/>
      <c r="E499" s="47"/>
      <c r="F499" s="48"/>
      <c r="G499" s="47"/>
      <c r="H499" s="49"/>
      <c r="I499" s="50"/>
      <c r="J499" s="51"/>
      <c r="K499" s="52"/>
      <c r="L499" s="53" t="str">
        <f t="shared" si="104"/>
        <v/>
      </c>
      <c r="M499" s="48" t="str">
        <f t="shared" si="105"/>
        <v/>
      </c>
      <c r="N499" s="54" t="str">
        <f t="shared" si="106"/>
        <v/>
      </c>
      <c r="O499" s="55">
        <f t="shared" si="107"/>
        <v>0</v>
      </c>
      <c r="P499" s="55">
        <f t="shared" si="108"/>
        <v>0</v>
      </c>
      <c r="Q499" s="54">
        <f t="shared" si="109"/>
        <v>0</v>
      </c>
      <c r="R499" s="47"/>
      <c r="T499" s="57"/>
      <c r="U499" s="45"/>
      <c r="V499" s="46">
        <f>IF(U499&lt;&gt;"",VLOOKUP(U499,'Tipo Projeto'!$A$3:$B$35,2,0),0)</f>
        <v>0</v>
      </c>
      <c r="W499" s="47"/>
      <c r="X499" s="49"/>
      <c r="Y499" s="50"/>
      <c r="Z499" s="51"/>
      <c r="AA499" s="52"/>
      <c r="AB499" s="53" t="str">
        <f t="shared" si="110"/>
        <v/>
      </c>
      <c r="AC499" s="48" t="str">
        <f t="shared" si="111"/>
        <v/>
      </c>
      <c r="AD499" s="54" t="str">
        <f t="shared" si="112"/>
        <v/>
      </c>
      <c r="AE499" s="55">
        <f t="shared" si="113"/>
        <v>0</v>
      </c>
      <c r="AF499" s="55">
        <f t="shared" si="114"/>
        <v>0</v>
      </c>
      <c r="AG499" s="58">
        <f t="shared" si="115"/>
        <v>0</v>
      </c>
      <c r="AH499" s="47"/>
      <c r="AJ499" s="47"/>
      <c r="AL499" s="47"/>
      <c r="AM499" s="47" t="str">
        <f t="shared" si="116"/>
        <v/>
      </c>
    </row>
    <row r="500" spans="1:39" s="56" customFormat="1" ht="24.75" customHeight="1">
      <c r="A500" s="44"/>
      <c r="B500" s="45"/>
      <c r="C500" s="46">
        <f>IF(B500&lt;&gt;"",VLOOKUP(B500,'Tipo Projeto'!$A$3:$B$35,2,0),0)</f>
        <v>0</v>
      </c>
      <c r="D500" s="47"/>
      <c r="E500" s="47"/>
      <c r="F500" s="48"/>
      <c r="G500" s="47"/>
      <c r="H500" s="49"/>
      <c r="I500" s="50"/>
      <c r="J500" s="51"/>
      <c r="K500" s="52"/>
      <c r="L500" s="53" t="str">
        <f t="shared" si="104"/>
        <v/>
      </c>
      <c r="M500" s="48" t="str">
        <f t="shared" si="105"/>
        <v/>
      </c>
      <c r="N500" s="54" t="str">
        <f t="shared" si="106"/>
        <v/>
      </c>
      <c r="O500" s="55">
        <f t="shared" si="107"/>
        <v>0</v>
      </c>
      <c r="P500" s="55">
        <f t="shared" si="108"/>
        <v>0</v>
      </c>
      <c r="Q500" s="54">
        <f t="shared" si="109"/>
        <v>0</v>
      </c>
      <c r="R500" s="47"/>
      <c r="T500" s="57"/>
      <c r="U500" s="45"/>
      <c r="V500" s="46">
        <f>IF(U500&lt;&gt;"",VLOOKUP(U500,'Tipo Projeto'!$A$3:$B$35,2,0),0)</f>
        <v>0</v>
      </c>
      <c r="W500" s="47"/>
      <c r="X500" s="49"/>
      <c r="Y500" s="50"/>
      <c r="Z500" s="51"/>
      <c r="AA500" s="52"/>
      <c r="AB500" s="53" t="str">
        <f t="shared" si="110"/>
        <v/>
      </c>
      <c r="AC500" s="48" t="str">
        <f t="shared" si="111"/>
        <v/>
      </c>
      <c r="AD500" s="54" t="str">
        <f t="shared" si="112"/>
        <v/>
      </c>
      <c r="AE500" s="55">
        <f t="shared" si="113"/>
        <v>0</v>
      </c>
      <c r="AF500" s="55">
        <f t="shared" si="114"/>
        <v>0</v>
      </c>
      <c r="AG500" s="58">
        <f t="shared" si="115"/>
        <v>0</v>
      </c>
      <c r="AH500" s="47"/>
      <c r="AJ500" s="47"/>
      <c r="AL500" s="47"/>
      <c r="AM500" s="47" t="str">
        <f t="shared" si="116"/>
        <v/>
      </c>
    </row>
    <row r="501" spans="1:39" s="56" customFormat="1" ht="24.75" customHeight="1">
      <c r="A501" s="44"/>
      <c r="B501" s="45"/>
      <c r="C501" s="46">
        <f>IF(B501&lt;&gt;"",VLOOKUP(B501,'Tipo Projeto'!$A$3:$B$35,2,0),0)</f>
        <v>0</v>
      </c>
      <c r="D501" s="47"/>
      <c r="E501" s="47"/>
      <c r="F501" s="48"/>
      <c r="G501" s="47"/>
      <c r="H501" s="49"/>
      <c r="I501" s="50"/>
      <c r="J501" s="51"/>
      <c r="K501" s="52"/>
      <c r="L501" s="53" t="str">
        <f t="shared" si="104"/>
        <v/>
      </c>
      <c r="M501" s="48" t="str">
        <f t="shared" si="105"/>
        <v/>
      </c>
      <c r="N501" s="54" t="str">
        <f t="shared" si="106"/>
        <v/>
      </c>
      <c r="O501" s="55">
        <f t="shared" si="107"/>
        <v>0</v>
      </c>
      <c r="P501" s="55">
        <f t="shared" si="108"/>
        <v>0</v>
      </c>
      <c r="Q501" s="54">
        <f t="shared" si="109"/>
        <v>0</v>
      </c>
      <c r="R501" s="47"/>
      <c r="T501" s="57"/>
      <c r="U501" s="45"/>
      <c r="V501" s="46">
        <f>IF(U501&lt;&gt;"",VLOOKUP(U501,'Tipo Projeto'!$A$3:$B$35,2,0),0)</f>
        <v>0</v>
      </c>
      <c r="W501" s="47"/>
      <c r="X501" s="49"/>
      <c r="Y501" s="50"/>
      <c r="Z501" s="51"/>
      <c r="AA501" s="52"/>
      <c r="AB501" s="53" t="str">
        <f t="shared" si="110"/>
        <v/>
      </c>
      <c r="AC501" s="48" t="str">
        <f t="shared" si="111"/>
        <v/>
      </c>
      <c r="AD501" s="54" t="str">
        <f t="shared" si="112"/>
        <v/>
      </c>
      <c r="AE501" s="55">
        <f t="shared" si="113"/>
        <v>0</v>
      </c>
      <c r="AF501" s="55">
        <f t="shared" si="114"/>
        <v>0</v>
      </c>
      <c r="AG501" s="58">
        <f t="shared" si="115"/>
        <v>0</v>
      </c>
      <c r="AH501" s="47"/>
      <c r="AJ501" s="47"/>
      <c r="AL501" s="47"/>
      <c r="AM501" s="47" t="str">
        <f t="shared" si="116"/>
        <v/>
      </c>
    </row>
    <row r="502" spans="1:39" s="56" customFormat="1" ht="24.75" customHeight="1">
      <c r="A502" s="44"/>
      <c r="B502" s="45"/>
      <c r="C502" s="46">
        <f>IF(B502&lt;&gt;"",VLOOKUP(B502,'Tipo Projeto'!$A$3:$B$35,2,0),0)</f>
        <v>0</v>
      </c>
      <c r="D502" s="47"/>
      <c r="E502" s="47"/>
      <c r="F502" s="48"/>
      <c r="G502" s="47"/>
      <c r="H502" s="49"/>
      <c r="I502" s="50"/>
      <c r="J502" s="51"/>
      <c r="K502" s="52"/>
      <c r="L502" s="53" t="str">
        <f t="shared" si="104"/>
        <v/>
      </c>
      <c r="M502" s="48" t="str">
        <f t="shared" si="105"/>
        <v/>
      </c>
      <c r="N502" s="54" t="str">
        <f t="shared" si="106"/>
        <v/>
      </c>
      <c r="O502" s="55">
        <f t="shared" si="107"/>
        <v>0</v>
      </c>
      <c r="P502" s="55">
        <f t="shared" si="108"/>
        <v>0</v>
      </c>
      <c r="Q502" s="54">
        <f t="shared" si="109"/>
        <v>0</v>
      </c>
      <c r="R502" s="47"/>
      <c r="T502" s="57"/>
      <c r="U502" s="45"/>
      <c r="V502" s="46">
        <f>IF(U502&lt;&gt;"",VLOOKUP(U502,'Tipo Projeto'!$A$3:$B$35,2,0),0)</f>
        <v>0</v>
      </c>
      <c r="W502" s="47"/>
      <c r="X502" s="49"/>
      <c r="Y502" s="50"/>
      <c r="Z502" s="51"/>
      <c r="AA502" s="52"/>
      <c r="AB502" s="53" t="str">
        <f t="shared" si="110"/>
        <v/>
      </c>
      <c r="AC502" s="48" t="str">
        <f t="shared" si="111"/>
        <v/>
      </c>
      <c r="AD502" s="54" t="str">
        <f t="shared" si="112"/>
        <v/>
      </c>
      <c r="AE502" s="55">
        <f t="shared" si="113"/>
        <v>0</v>
      </c>
      <c r="AF502" s="55">
        <f t="shared" si="114"/>
        <v>0</v>
      </c>
      <c r="AG502" s="58">
        <f t="shared" si="115"/>
        <v>0</v>
      </c>
      <c r="AH502" s="47"/>
      <c r="AJ502" s="47"/>
      <c r="AL502" s="47"/>
      <c r="AM502" s="47" t="str">
        <f t="shared" si="116"/>
        <v/>
      </c>
    </row>
    <row r="503" spans="1:39" s="56" customFormat="1" ht="24.75" customHeight="1">
      <c r="A503" s="44"/>
      <c r="B503" s="45"/>
      <c r="C503" s="46">
        <f>IF(B503&lt;&gt;"",VLOOKUP(B503,'Tipo Projeto'!$A$3:$B$35,2,0),0)</f>
        <v>0</v>
      </c>
      <c r="D503" s="47"/>
      <c r="E503" s="47"/>
      <c r="F503" s="48"/>
      <c r="G503" s="47"/>
      <c r="H503" s="49"/>
      <c r="I503" s="50"/>
      <c r="J503" s="51"/>
      <c r="K503" s="52"/>
      <c r="L503" s="53" t="str">
        <f t="shared" si="104"/>
        <v/>
      </c>
      <c r="M503" s="48" t="str">
        <f t="shared" si="105"/>
        <v/>
      </c>
      <c r="N503" s="54" t="str">
        <f t="shared" si="106"/>
        <v/>
      </c>
      <c r="O503" s="55">
        <f t="shared" si="107"/>
        <v>0</v>
      </c>
      <c r="P503" s="55">
        <f t="shared" si="108"/>
        <v>0</v>
      </c>
      <c r="Q503" s="54">
        <f t="shared" si="109"/>
        <v>0</v>
      </c>
      <c r="R503" s="47"/>
      <c r="T503" s="57"/>
      <c r="U503" s="45"/>
      <c r="V503" s="46">
        <f>IF(U503&lt;&gt;"",VLOOKUP(U503,'Tipo Projeto'!$A$3:$B$35,2,0),0)</f>
        <v>0</v>
      </c>
      <c r="W503" s="47"/>
      <c r="X503" s="49"/>
      <c r="Y503" s="50"/>
      <c r="Z503" s="51"/>
      <c r="AA503" s="52"/>
      <c r="AB503" s="53" t="str">
        <f t="shared" si="110"/>
        <v/>
      </c>
      <c r="AC503" s="48" t="str">
        <f t="shared" si="111"/>
        <v/>
      </c>
      <c r="AD503" s="54" t="str">
        <f t="shared" si="112"/>
        <v/>
      </c>
      <c r="AE503" s="55">
        <f t="shared" si="113"/>
        <v>0</v>
      </c>
      <c r="AF503" s="55">
        <f t="shared" si="114"/>
        <v>0</v>
      </c>
      <c r="AG503" s="58">
        <f t="shared" si="115"/>
        <v>0</v>
      </c>
      <c r="AH503" s="47"/>
      <c r="AJ503" s="47"/>
      <c r="AL503" s="47"/>
      <c r="AM503" s="47" t="str">
        <f t="shared" si="116"/>
        <v/>
      </c>
    </row>
    <row r="504" spans="1:39" s="56" customFormat="1" ht="24.75" customHeight="1">
      <c r="A504" s="44"/>
      <c r="B504" s="45"/>
      <c r="C504" s="46">
        <f>IF(B504&lt;&gt;"",VLOOKUP(B504,'Tipo Projeto'!$A$3:$B$35,2,0),0)</f>
        <v>0</v>
      </c>
      <c r="D504" s="47"/>
      <c r="E504" s="47"/>
      <c r="F504" s="48"/>
      <c r="G504" s="47"/>
      <c r="H504" s="49"/>
      <c r="I504" s="50"/>
      <c r="J504" s="51"/>
      <c r="K504" s="52"/>
      <c r="L504" s="53" t="str">
        <f t="shared" si="104"/>
        <v/>
      </c>
      <c r="M504" s="48" t="str">
        <f t="shared" si="105"/>
        <v/>
      </c>
      <c r="N504" s="54" t="str">
        <f t="shared" si="106"/>
        <v/>
      </c>
      <c r="O504" s="55">
        <f t="shared" si="107"/>
        <v>0</v>
      </c>
      <c r="P504" s="55">
        <f t="shared" si="108"/>
        <v>0</v>
      </c>
      <c r="Q504" s="54">
        <f t="shared" si="109"/>
        <v>0</v>
      </c>
      <c r="R504" s="47"/>
      <c r="T504" s="57"/>
      <c r="U504" s="45"/>
      <c r="V504" s="46">
        <f>IF(U504&lt;&gt;"",VLOOKUP(U504,'Tipo Projeto'!$A$3:$B$35,2,0),0)</f>
        <v>0</v>
      </c>
      <c r="W504" s="47"/>
      <c r="X504" s="49"/>
      <c r="Y504" s="50"/>
      <c r="Z504" s="51"/>
      <c r="AA504" s="52"/>
      <c r="AB504" s="53" t="str">
        <f t="shared" si="110"/>
        <v/>
      </c>
      <c r="AC504" s="48" t="str">
        <f t="shared" si="111"/>
        <v/>
      </c>
      <c r="AD504" s="54" t="str">
        <f t="shared" si="112"/>
        <v/>
      </c>
      <c r="AE504" s="55">
        <f t="shared" si="113"/>
        <v>0</v>
      </c>
      <c r="AF504" s="55">
        <f t="shared" si="114"/>
        <v>0</v>
      </c>
      <c r="AG504" s="58">
        <f t="shared" si="115"/>
        <v>0</v>
      </c>
      <c r="AH504" s="47"/>
      <c r="AJ504" s="47"/>
      <c r="AL504" s="47"/>
      <c r="AM504" s="47" t="str">
        <f t="shared" si="116"/>
        <v/>
      </c>
    </row>
    <row r="505" spans="1:39" s="56" customFormat="1" ht="24.75" customHeight="1">
      <c r="A505" s="44"/>
      <c r="B505" s="45"/>
      <c r="C505" s="46">
        <f>IF(B505&lt;&gt;"",VLOOKUP(B505,'Tipo Projeto'!$A$3:$B$35,2,0),0)</f>
        <v>0</v>
      </c>
      <c r="D505" s="47"/>
      <c r="E505" s="47"/>
      <c r="F505" s="48"/>
      <c r="G505" s="47"/>
      <c r="H505" s="49"/>
      <c r="I505" s="50"/>
      <c r="J505" s="51"/>
      <c r="K505" s="52"/>
      <c r="L505" s="53" t="str">
        <f t="shared" si="104"/>
        <v/>
      </c>
      <c r="M505" s="48" t="str">
        <f t="shared" si="105"/>
        <v/>
      </c>
      <c r="N505" s="54" t="str">
        <f t="shared" si="106"/>
        <v/>
      </c>
      <c r="O505" s="55">
        <f t="shared" si="107"/>
        <v>0</v>
      </c>
      <c r="P505" s="55">
        <f t="shared" si="108"/>
        <v>0</v>
      </c>
      <c r="Q505" s="54">
        <f t="shared" si="109"/>
        <v>0</v>
      </c>
      <c r="R505" s="47"/>
      <c r="T505" s="57"/>
      <c r="U505" s="45"/>
      <c r="V505" s="46">
        <f>IF(U505&lt;&gt;"",VLOOKUP(U505,'Tipo Projeto'!$A$3:$B$35,2,0),0)</f>
        <v>0</v>
      </c>
      <c r="W505" s="47"/>
      <c r="X505" s="49"/>
      <c r="Y505" s="50"/>
      <c r="Z505" s="51"/>
      <c r="AA505" s="52"/>
      <c r="AB505" s="53" t="str">
        <f t="shared" si="110"/>
        <v/>
      </c>
      <c r="AC505" s="48" t="str">
        <f t="shared" si="111"/>
        <v/>
      </c>
      <c r="AD505" s="54" t="str">
        <f t="shared" si="112"/>
        <v/>
      </c>
      <c r="AE505" s="55">
        <f t="shared" si="113"/>
        <v>0</v>
      </c>
      <c r="AF505" s="55">
        <f t="shared" si="114"/>
        <v>0</v>
      </c>
      <c r="AG505" s="58">
        <f t="shared" si="115"/>
        <v>0</v>
      </c>
      <c r="AH505" s="47"/>
      <c r="AJ505" s="47"/>
      <c r="AL505" s="47"/>
      <c r="AM505" s="47" t="str">
        <f t="shared" si="116"/>
        <v/>
      </c>
    </row>
    <row r="506" spans="1:39" s="56" customFormat="1" ht="24.75" customHeight="1">
      <c r="A506" s="44"/>
      <c r="B506" s="45"/>
      <c r="C506" s="46">
        <f>IF(B506&lt;&gt;"",VLOOKUP(B506,'Tipo Projeto'!$A$3:$B$35,2,0),0)</f>
        <v>0</v>
      </c>
      <c r="D506" s="47"/>
      <c r="E506" s="47"/>
      <c r="F506" s="48"/>
      <c r="G506" s="47"/>
      <c r="H506" s="49"/>
      <c r="I506" s="50"/>
      <c r="J506" s="51"/>
      <c r="K506" s="52"/>
      <c r="L506" s="53" t="str">
        <f t="shared" si="104"/>
        <v/>
      </c>
      <c r="M506" s="48" t="str">
        <f t="shared" si="105"/>
        <v/>
      </c>
      <c r="N506" s="54" t="str">
        <f t="shared" si="106"/>
        <v/>
      </c>
      <c r="O506" s="55">
        <f t="shared" si="107"/>
        <v>0</v>
      </c>
      <c r="P506" s="55">
        <f t="shared" si="108"/>
        <v>0</v>
      </c>
      <c r="Q506" s="54">
        <f t="shared" si="109"/>
        <v>0</v>
      </c>
      <c r="R506" s="47"/>
      <c r="T506" s="57"/>
      <c r="U506" s="45"/>
      <c r="V506" s="46">
        <f>IF(U506&lt;&gt;"",VLOOKUP(U506,'Tipo Projeto'!$A$3:$B$35,2,0),0)</f>
        <v>0</v>
      </c>
      <c r="W506" s="47"/>
      <c r="X506" s="49"/>
      <c r="Y506" s="50"/>
      <c r="Z506" s="51"/>
      <c r="AA506" s="52"/>
      <c r="AB506" s="53" t="str">
        <f t="shared" si="110"/>
        <v/>
      </c>
      <c r="AC506" s="48" t="str">
        <f t="shared" si="111"/>
        <v/>
      </c>
      <c r="AD506" s="54" t="str">
        <f t="shared" si="112"/>
        <v/>
      </c>
      <c r="AE506" s="55">
        <f t="shared" si="113"/>
        <v>0</v>
      </c>
      <c r="AF506" s="55">
        <f t="shared" si="114"/>
        <v>0</v>
      </c>
      <c r="AG506" s="58">
        <f t="shared" si="115"/>
        <v>0</v>
      </c>
      <c r="AH506" s="47"/>
      <c r="AJ506" s="47"/>
      <c r="AL506" s="47"/>
      <c r="AM506" s="47" t="str">
        <f t="shared" si="116"/>
        <v/>
      </c>
    </row>
    <row r="507" spans="1:39" s="56" customFormat="1" ht="24.75" customHeight="1">
      <c r="A507" s="44"/>
      <c r="B507" s="45"/>
      <c r="C507" s="46">
        <f>IF(B507&lt;&gt;"",VLOOKUP(B507,'Tipo Projeto'!$A$3:$B$35,2,0),0)</f>
        <v>0</v>
      </c>
      <c r="D507" s="47"/>
      <c r="E507" s="47"/>
      <c r="F507" s="48"/>
      <c r="G507" s="47"/>
      <c r="H507" s="49"/>
      <c r="I507" s="50"/>
      <c r="J507" s="51"/>
      <c r="K507" s="52"/>
      <c r="L507" s="53" t="str">
        <f t="shared" si="104"/>
        <v/>
      </c>
      <c r="M507" s="48" t="str">
        <f t="shared" si="105"/>
        <v/>
      </c>
      <c r="N507" s="54" t="str">
        <f t="shared" si="106"/>
        <v/>
      </c>
      <c r="O507" s="55">
        <f t="shared" si="107"/>
        <v>0</v>
      </c>
      <c r="P507" s="55">
        <f t="shared" si="108"/>
        <v>0</v>
      </c>
      <c r="Q507" s="54">
        <f t="shared" si="109"/>
        <v>0</v>
      </c>
      <c r="R507" s="47"/>
      <c r="T507" s="57"/>
      <c r="U507" s="45"/>
      <c r="V507" s="46">
        <f>IF(U507&lt;&gt;"",VLOOKUP(U507,'Tipo Projeto'!$A$3:$B$35,2,0),0)</f>
        <v>0</v>
      </c>
      <c r="W507" s="47"/>
      <c r="X507" s="49"/>
      <c r="Y507" s="50"/>
      <c r="Z507" s="51"/>
      <c r="AA507" s="52"/>
      <c r="AB507" s="53" t="str">
        <f t="shared" si="110"/>
        <v/>
      </c>
      <c r="AC507" s="48" t="str">
        <f t="shared" si="111"/>
        <v/>
      </c>
      <c r="AD507" s="54" t="str">
        <f t="shared" si="112"/>
        <v/>
      </c>
      <c r="AE507" s="55">
        <f t="shared" si="113"/>
        <v>0</v>
      </c>
      <c r="AF507" s="55">
        <f t="shared" si="114"/>
        <v>0</v>
      </c>
      <c r="AG507" s="58">
        <f t="shared" si="115"/>
        <v>0</v>
      </c>
      <c r="AH507" s="47"/>
      <c r="AJ507" s="47"/>
      <c r="AL507" s="47"/>
      <c r="AM507" s="47" t="str">
        <f t="shared" si="116"/>
        <v/>
      </c>
    </row>
    <row r="508" spans="1:39" s="56" customFormat="1" ht="24.75" customHeight="1">
      <c r="A508" s="44"/>
      <c r="B508" s="45"/>
      <c r="C508" s="46">
        <f>IF(B508&lt;&gt;"",VLOOKUP(B508,'Tipo Projeto'!$A$3:$B$35,2,0),0)</f>
        <v>0</v>
      </c>
      <c r="D508" s="47"/>
      <c r="E508" s="47"/>
      <c r="F508" s="48"/>
      <c r="G508" s="47"/>
      <c r="H508" s="49"/>
      <c r="I508" s="50"/>
      <c r="J508" s="51"/>
      <c r="K508" s="52"/>
      <c r="L508" s="53" t="str">
        <f t="shared" si="104"/>
        <v/>
      </c>
      <c r="M508" s="48" t="str">
        <f t="shared" si="105"/>
        <v/>
      </c>
      <c r="N508" s="54" t="str">
        <f t="shared" si="106"/>
        <v/>
      </c>
      <c r="O508" s="55">
        <f t="shared" si="107"/>
        <v>0</v>
      </c>
      <c r="P508" s="55">
        <f t="shared" si="108"/>
        <v>0</v>
      </c>
      <c r="Q508" s="54">
        <f t="shared" si="109"/>
        <v>0</v>
      </c>
      <c r="R508" s="47"/>
      <c r="T508" s="57"/>
      <c r="U508" s="45"/>
      <c r="V508" s="46">
        <f>IF(U508&lt;&gt;"",VLOOKUP(U508,'Tipo Projeto'!$A$3:$B$35,2,0),0)</f>
        <v>0</v>
      </c>
      <c r="W508" s="47"/>
      <c r="X508" s="49"/>
      <c r="Y508" s="50"/>
      <c r="Z508" s="51"/>
      <c r="AA508" s="52"/>
      <c r="AB508" s="53" t="str">
        <f t="shared" si="110"/>
        <v/>
      </c>
      <c r="AC508" s="48" t="str">
        <f t="shared" si="111"/>
        <v/>
      </c>
      <c r="AD508" s="54" t="str">
        <f t="shared" si="112"/>
        <v/>
      </c>
      <c r="AE508" s="55">
        <f t="shared" si="113"/>
        <v>0</v>
      </c>
      <c r="AF508" s="55">
        <f t="shared" si="114"/>
        <v>0</v>
      </c>
      <c r="AG508" s="58">
        <f t="shared" si="115"/>
        <v>0</v>
      </c>
      <c r="AH508" s="47"/>
      <c r="AJ508" s="47"/>
      <c r="AL508" s="47"/>
      <c r="AM508" s="47" t="str">
        <f t="shared" si="116"/>
        <v/>
      </c>
    </row>
    <row r="509" spans="1:39" s="56" customFormat="1" ht="24.75" customHeight="1">
      <c r="A509" s="44"/>
      <c r="B509" s="45"/>
      <c r="C509" s="46">
        <f>IF(B509&lt;&gt;"",VLOOKUP(B509,'Tipo Projeto'!$A$3:$B$35,2,0),0)</f>
        <v>0</v>
      </c>
      <c r="D509" s="47"/>
      <c r="E509" s="47"/>
      <c r="F509" s="48"/>
      <c r="G509" s="47"/>
      <c r="H509" s="49"/>
      <c r="I509" s="50"/>
      <c r="J509" s="51"/>
      <c r="K509" s="52"/>
      <c r="L509" s="53" t="str">
        <f t="shared" ref="L509:L572" si="117">IF(G509="EE",IF(OR(AND(OR(J509=1,J509=0),H509&gt;0,H509&lt;5),AND(OR(J509=1,J509=0),H509&gt;4,H509&lt;16),AND(J509=2,H509&gt;0,H509&lt;5)),"Simples",IF(OR(AND(OR(J509=1,J509=0),H509&gt;15),AND(J509=2,H509&gt;4,H509&lt;16),AND(J509&gt;2,H509&gt;0,H509&lt;5)),"Médio",IF(OR(AND(J509=2,H509&gt;15),AND(J509&gt;2,H509&gt;4,H509&lt;16),AND(J509&gt;2,H509&gt;15)),"Complexo",""))), IF(OR(G509="CE",G509="SE"),IF(OR(AND(OR(J509=1,J509=0),H509&gt;0,H509&lt;6),AND(OR(J509=1,J509=0),H509&gt;5,H509&lt;20),AND(J509&gt;1,J509&lt;4,H509&gt;0,H509&lt;6)),"Simples",IF(OR(AND(OR(J509=1,J509=0),H509&gt;19),AND(J509&gt;1,J509&lt;4,H509&gt;5,H509&lt;20),AND(J509&gt;3,H509&gt;0,H509&lt;6)),"Médio",IF(OR(AND(J509&gt;1,J509&lt;4,H509&gt;19),AND(J509&gt;3,H509&gt;5,H509&lt;20),AND(J509&gt;3,H509&gt;19)),"Complexo",""))),""))</f>
        <v/>
      </c>
      <c r="M509" s="48" t="str">
        <f t="shared" ref="M509:M572" si="118">IF(G509="ALI",IF(OR(AND(OR(J509=1,J509=0),H509&gt;0,H509&lt;20),AND(OR(J509=1,J509=0),H509&gt;19,H509&lt;51),AND(J509&gt;1,J509&lt;6,H509&gt;0,H509&lt;20)),"Simples",IF(OR(AND(OR(J509=1,J509=0),H509&gt;50),AND(J509&gt;1,J509&lt;6,H509&gt;19,H509&lt;51),AND(J509&gt;5,H509&gt;0,H509&lt;20)),"Médio",IF(OR(AND(J509&gt;1,J509&lt;6,H509&gt;50),AND(J509&gt;5,H509&gt;19,H509&lt;51),AND(J509&gt;5,H509&gt;50)),"Complexo",""))), IF(G509="AIE",IF(OR(AND(OR(J509=1, J509=0),H509&gt;0,H509&lt;20),AND(OR(J509=1, J509=0),H509&gt;19,H509&lt;51),AND(J509&gt;1,J509&lt;6,H509&gt;0,H509&lt;20)),"Simples",IF(OR(AND(OR(J509=1, J509=0),H509&gt;50),AND(J509&gt;1,J509&lt;6,H509&gt;19,H509&lt;51),AND(J509&gt;5,H509&gt;0,H509&lt;20)),"Médio",IF(OR(AND(J509&gt;1,J509&lt;6,H509&gt;50),AND(J509&gt;5,H509&gt;19,H509&lt;51),AND(J509&gt;5,H509&gt;50)),"Complexo",""))),""))</f>
        <v/>
      </c>
      <c r="N509" s="54" t="str">
        <f t="shared" ref="N509:N572" si="119">IF(L509="",M509,IF(M509="",L509,""))</f>
        <v/>
      </c>
      <c r="O509" s="55">
        <f t="shared" ref="O509:O572" si="120">IF(AND(OR(G509="EE",G509="CE"),N509="Simples"),3, IF(AND(OR(G509="EE",G509="CE"),N509="Médio"),4, IF(AND(OR(G509="EE",G509="CE"),N509="Complexo"),6, IF(AND(G509="SE",N509="Simples"),4, IF(AND(G509="SE",N509="Médio"),5, IF(AND(G509="SE",N509="Complexo"),7,0))))))</f>
        <v>0</v>
      </c>
      <c r="P509" s="55">
        <f t="shared" ref="P509:P572" si="121">IF(AND(G509="ALI",M509="Simples"),7, IF(AND(G509="ALI",M509="Médio"),10, IF(AND(G509="ALI",M509="Complexo"),15, IF(AND(G509="AIE",M509="Simples"),5, IF(AND(G509="AIE",M509="Médio"),7, IF(AND(G509="AIE",M509="Complexo"),10,0))))))</f>
        <v>0</v>
      </c>
      <c r="Q509" s="54">
        <f t="shared" ref="Q509:Q572" si="122">IF(B509&lt;&gt;"Manutenção em interface",IF(B509&lt;&gt;"Desenv., Manutenção e Publicação de Páginas Estáticas",(O509+P509)*C509,C509),C509)</f>
        <v>0</v>
      </c>
      <c r="R509" s="47"/>
      <c r="T509" s="57"/>
      <c r="U509" s="45"/>
      <c r="V509" s="46">
        <f>IF(U509&lt;&gt;"",VLOOKUP(U509,'Tipo Projeto'!$A$3:$B$35,2,0),0)</f>
        <v>0</v>
      </c>
      <c r="W509" s="47"/>
      <c r="X509" s="49"/>
      <c r="Y509" s="50"/>
      <c r="Z509" s="51"/>
      <c r="AA509" s="52"/>
      <c r="AB509" s="53" t="str">
        <f t="shared" ref="AB509:AB572" si="123">IF(W509="EE",IF(OR(AND(OR(Z509=1,Z509=0),X509&gt;0,X509&lt;5),AND(OR(Z509=1,Z509=0),X509&gt;4,X509&lt;16),AND(Z509=2,X509&gt;0,X509&lt;5)),"Simples",IF(OR(AND(OR(Z509=1,Z509=0),X509&gt;15),AND(Z509=2,X509&gt;4,X509&lt;16),AND(Z509&gt;2,X509&gt;0,X509&lt;5)),"Médio",IF(OR(AND(Z509=2,X509&gt;15),AND(Z509&gt;2,X509&gt;4,X509&lt;16),AND(Z509&gt;2,X509&gt;15)),"Complexo",""))), IF(OR(W509="CE",W509="SE"),IF(OR(AND(OR(Z509=1,Z509=0),X509&gt;0,X509&lt;6),AND(OR(Z509=1,Z509=0),X509&gt;5,X509&lt;20),AND(Z509&gt;1,Z509&lt;4,X509&gt;0,X509&lt;6)),"Simples",IF(OR(AND(OR(Z509=1,Z509=0),X509&gt;19),AND(Z509&gt;1,Z509&lt;4,X509&gt;5,X509&lt;20),AND(Z509&gt;3,X509&gt;0,X509&lt;6)),"Médio",IF(OR(AND(Z509&gt;1,Z509&lt;4,X509&gt;19),AND(Z509&gt;3,X509&gt;5,X509&lt;20),AND(Z509&gt;3,X509&gt;19)),"Complexo",""))),""))</f>
        <v/>
      </c>
      <c r="AC509" s="48" t="str">
        <f t="shared" ref="AC509:AC572" si="124">IF(W509="ALI",IF(OR(AND(OR(Z509=1,Z509=0),X509&gt;0,X509&lt;20),AND(OR(Z509=1,Z509=0),X509&gt;19,X509&lt;51),AND(Z509&gt;1,Z509&lt;6,X509&gt;0,X509&lt;20)),"Simples",IF(OR(AND(OR(Z509=1,Z509=0),X509&gt;50),AND(Z509&gt;1,Z509&lt;6,X509&gt;19,X509&lt;51),AND(Z509&gt;5,X509&gt;0,X509&lt;20)),"Médio",IF(OR(AND(Z509&gt;1,Z509&lt;6,X509&gt;50),AND(Z509&gt;5,X509&gt;19,X509&lt;51),AND(Z509&gt;5,X509&gt;50)),"Complexo",""))), IF(W509="AIE",IF(OR(AND(OR(Z509=1, Z509=0),X509&gt;0,X509&lt;20),AND(OR(Z509=1, Z509=0),X509&gt;19,X509&lt;51),AND(Z509&gt;1,Z509&lt;6,X509&gt;0,X509&lt;20)),"Simples",IF(OR(AND(OR(Z509=1, Z509=0),X509&gt;50),AND(Z509&gt;1,Z509&lt;6,X509&gt;19,X509&lt;51),AND(Z509&gt;5,X509&gt;0,X509&lt;20)),"Médio",IF(OR(AND(Z509&gt;1,Z509&lt;6,X509&gt;50),AND(Z509&gt;5,X509&gt;19,X509&lt;51),AND(Z509&gt;5,X509&gt;50)),"Complexo",""))),""))</f>
        <v/>
      </c>
      <c r="AD509" s="54" t="str">
        <f t="shared" ref="AD509:AD572" si="125">IF(AB509="",AC509,IF(AC509="",AB509,""))</f>
        <v/>
      </c>
      <c r="AE509" s="55">
        <f t="shared" ref="AE509:AE572" si="126">IF(AND(OR(W509="EE",W509="CE"),AD509="Simples"),3, IF(AND(OR(W509="EE",W509="CE"),AD509="Médio"),4, IF(AND(OR(W509="EE",W509="CE"),AD509="Complexo"),6, IF(AND(W509="SE",AD509="Simples"),4, IF(AND(W509="SE",AD509="Médio"),5, IF(AND(W509="SE",AD509="Complexo"),7,0))))))</f>
        <v>0</v>
      </c>
      <c r="AF509" s="55">
        <f t="shared" ref="AF509:AF572" si="127">IF(AND(W509="ALI",AC509="Simples"),7, IF(AND(W509="ALI",AC509="Médio"),10, IF(AND(W509="ALI",AC509="Complexo"),15, IF(AND(W509="AIE",AC509="Simples"),5, IF(AND(W509="AIE",AC509="Médio"),7, IF(AND(W509="AIE",AC509="Complexo"),10,0))))))</f>
        <v>0</v>
      </c>
      <c r="AG509" s="58">
        <f t="shared" ref="AG509:AG572" si="128">IF(T509="OK",Q509,( IF(U509&lt;&gt;"Manutenção em interface",IF(U509&lt;&gt;"Desenv., Manutenção e Publicação de Páginas Estáticas",(AE509+AF509)*V509,V509),V509)))</f>
        <v>0</v>
      </c>
      <c r="AH509" s="47"/>
      <c r="AJ509" s="47"/>
      <c r="AL509" s="47"/>
      <c r="AM509" s="47" t="str">
        <f t="shared" ref="AM509:AM572" si="129">IF(AG509=0,"",IF(AG509=Q509,"OK","Divergente"))</f>
        <v/>
      </c>
    </row>
    <row r="510" spans="1:39" s="56" customFormat="1" ht="24.75" customHeight="1">
      <c r="A510" s="44"/>
      <c r="B510" s="45"/>
      <c r="C510" s="46">
        <f>IF(B510&lt;&gt;"",VLOOKUP(B510,'Tipo Projeto'!$A$3:$B$35,2,0),0)</f>
        <v>0</v>
      </c>
      <c r="D510" s="47"/>
      <c r="E510" s="47"/>
      <c r="F510" s="48"/>
      <c r="G510" s="47"/>
      <c r="H510" s="49"/>
      <c r="I510" s="50"/>
      <c r="J510" s="51"/>
      <c r="K510" s="52"/>
      <c r="L510" s="53" t="str">
        <f t="shared" si="117"/>
        <v/>
      </c>
      <c r="M510" s="48" t="str">
        <f t="shared" si="118"/>
        <v/>
      </c>
      <c r="N510" s="54" t="str">
        <f t="shared" si="119"/>
        <v/>
      </c>
      <c r="O510" s="55">
        <f t="shared" si="120"/>
        <v>0</v>
      </c>
      <c r="P510" s="55">
        <f t="shared" si="121"/>
        <v>0</v>
      </c>
      <c r="Q510" s="54">
        <f t="shared" si="122"/>
        <v>0</v>
      </c>
      <c r="R510" s="47"/>
      <c r="T510" s="57"/>
      <c r="U510" s="45"/>
      <c r="V510" s="46">
        <f>IF(U510&lt;&gt;"",VLOOKUP(U510,'Tipo Projeto'!$A$3:$B$35,2,0),0)</f>
        <v>0</v>
      </c>
      <c r="W510" s="47"/>
      <c r="X510" s="49"/>
      <c r="Y510" s="50"/>
      <c r="Z510" s="51"/>
      <c r="AA510" s="52"/>
      <c r="AB510" s="53" t="str">
        <f t="shared" si="123"/>
        <v/>
      </c>
      <c r="AC510" s="48" t="str">
        <f t="shared" si="124"/>
        <v/>
      </c>
      <c r="AD510" s="54" t="str">
        <f t="shared" si="125"/>
        <v/>
      </c>
      <c r="AE510" s="55">
        <f t="shared" si="126"/>
        <v>0</v>
      </c>
      <c r="AF510" s="55">
        <f t="shared" si="127"/>
        <v>0</v>
      </c>
      <c r="AG510" s="58">
        <f t="shared" si="128"/>
        <v>0</v>
      </c>
      <c r="AH510" s="47"/>
      <c r="AJ510" s="47"/>
      <c r="AL510" s="47"/>
      <c r="AM510" s="47" t="str">
        <f t="shared" si="129"/>
        <v/>
      </c>
    </row>
    <row r="511" spans="1:39" s="56" customFormat="1" ht="24.75" customHeight="1">
      <c r="A511" s="44"/>
      <c r="B511" s="45"/>
      <c r="C511" s="46">
        <f>IF(B511&lt;&gt;"",VLOOKUP(B511,'Tipo Projeto'!$A$3:$B$35,2,0),0)</f>
        <v>0</v>
      </c>
      <c r="D511" s="47"/>
      <c r="E511" s="47"/>
      <c r="F511" s="48"/>
      <c r="G511" s="47"/>
      <c r="H511" s="49"/>
      <c r="I511" s="50"/>
      <c r="J511" s="51"/>
      <c r="K511" s="52"/>
      <c r="L511" s="53" t="str">
        <f t="shared" si="117"/>
        <v/>
      </c>
      <c r="M511" s="48" t="str">
        <f t="shared" si="118"/>
        <v/>
      </c>
      <c r="N511" s="54" t="str">
        <f t="shared" si="119"/>
        <v/>
      </c>
      <c r="O511" s="55">
        <f t="shared" si="120"/>
        <v>0</v>
      </c>
      <c r="P511" s="55">
        <f t="shared" si="121"/>
        <v>0</v>
      </c>
      <c r="Q511" s="54">
        <f t="shared" si="122"/>
        <v>0</v>
      </c>
      <c r="R511" s="47"/>
      <c r="T511" s="57"/>
      <c r="U511" s="45"/>
      <c r="V511" s="46">
        <f>IF(U511&lt;&gt;"",VLOOKUP(U511,'Tipo Projeto'!$A$3:$B$35,2,0),0)</f>
        <v>0</v>
      </c>
      <c r="W511" s="47"/>
      <c r="X511" s="49"/>
      <c r="Y511" s="50"/>
      <c r="Z511" s="51"/>
      <c r="AA511" s="52"/>
      <c r="AB511" s="53" t="str">
        <f t="shared" si="123"/>
        <v/>
      </c>
      <c r="AC511" s="48" t="str">
        <f t="shared" si="124"/>
        <v/>
      </c>
      <c r="AD511" s="54" t="str">
        <f t="shared" si="125"/>
        <v/>
      </c>
      <c r="AE511" s="55">
        <f t="shared" si="126"/>
        <v>0</v>
      </c>
      <c r="AF511" s="55">
        <f t="shared" si="127"/>
        <v>0</v>
      </c>
      <c r="AG511" s="58">
        <f t="shared" si="128"/>
        <v>0</v>
      </c>
      <c r="AH511" s="47"/>
      <c r="AJ511" s="47"/>
      <c r="AL511" s="47"/>
      <c r="AM511" s="47" t="str">
        <f t="shared" si="129"/>
        <v/>
      </c>
    </row>
    <row r="512" spans="1:39" s="56" customFormat="1" ht="24.75" customHeight="1">
      <c r="A512" s="44"/>
      <c r="B512" s="45"/>
      <c r="C512" s="46">
        <f>IF(B512&lt;&gt;"",VLOOKUP(B512,'Tipo Projeto'!$A$3:$B$35,2,0),0)</f>
        <v>0</v>
      </c>
      <c r="D512" s="47"/>
      <c r="E512" s="47"/>
      <c r="F512" s="48"/>
      <c r="G512" s="47"/>
      <c r="H512" s="49"/>
      <c r="I512" s="50"/>
      <c r="J512" s="51"/>
      <c r="K512" s="52"/>
      <c r="L512" s="53" t="str">
        <f t="shared" si="117"/>
        <v/>
      </c>
      <c r="M512" s="48" t="str">
        <f t="shared" si="118"/>
        <v/>
      </c>
      <c r="N512" s="54" t="str">
        <f t="shared" si="119"/>
        <v/>
      </c>
      <c r="O512" s="55">
        <f t="shared" si="120"/>
        <v>0</v>
      </c>
      <c r="P512" s="55">
        <f t="shared" si="121"/>
        <v>0</v>
      </c>
      <c r="Q512" s="54">
        <f t="shared" si="122"/>
        <v>0</v>
      </c>
      <c r="R512" s="47"/>
      <c r="T512" s="57"/>
      <c r="U512" s="45"/>
      <c r="V512" s="46">
        <f>IF(U512&lt;&gt;"",VLOOKUP(U512,'Tipo Projeto'!$A$3:$B$35,2,0),0)</f>
        <v>0</v>
      </c>
      <c r="W512" s="47"/>
      <c r="X512" s="49"/>
      <c r="Y512" s="50"/>
      <c r="Z512" s="51"/>
      <c r="AA512" s="52"/>
      <c r="AB512" s="53" t="str">
        <f t="shared" si="123"/>
        <v/>
      </c>
      <c r="AC512" s="48" t="str">
        <f t="shared" si="124"/>
        <v/>
      </c>
      <c r="AD512" s="54" t="str">
        <f t="shared" si="125"/>
        <v/>
      </c>
      <c r="AE512" s="55">
        <f t="shared" si="126"/>
        <v>0</v>
      </c>
      <c r="AF512" s="55">
        <f t="shared" si="127"/>
        <v>0</v>
      </c>
      <c r="AG512" s="58">
        <f t="shared" si="128"/>
        <v>0</v>
      </c>
      <c r="AH512" s="47"/>
      <c r="AJ512" s="47"/>
      <c r="AL512" s="47"/>
      <c r="AM512" s="47" t="str">
        <f t="shared" si="129"/>
        <v/>
      </c>
    </row>
    <row r="513" spans="1:39" s="56" customFormat="1" ht="24.75" customHeight="1">
      <c r="A513" s="44"/>
      <c r="B513" s="45"/>
      <c r="C513" s="46">
        <f>IF(B513&lt;&gt;"",VLOOKUP(B513,'Tipo Projeto'!$A$3:$B$35,2,0),0)</f>
        <v>0</v>
      </c>
      <c r="D513" s="47"/>
      <c r="E513" s="47"/>
      <c r="F513" s="48"/>
      <c r="G513" s="47"/>
      <c r="H513" s="49"/>
      <c r="I513" s="50"/>
      <c r="J513" s="51"/>
      <c r="K513" s="52"/>
      <c r="L513" s="53" t="str">
        <f t="shared" si="117"/>
        <v/>
      </c>
      <c r="M513" s="48" t="str">
        <f t="shared" si="118"/>
        <v/>
      </c>
      <c r="N513" s="54" t="str">
        <f t="shared" si="119"/>
        <v/>
      </c>
      <c r="O513" s="55">
        <f t="shared" si="120"/>
        <v>0</v>
      </c>
      <c r="P513" s="55">
        <f t="shared" si="121"/>
        <v>0</v>
      </c>
      <c r="Q513" s="54">
        <f t="shared" si="122"/>
        <v>0</v>
      </c>
      <c r="R513" s="47"/>
      <c r="T513" s="57"/>
      <c r="U513" s="45"/>
      <c r="V513" s="46">
        <f>IF(U513&lt;&gt;"",VLOOKUP(U513,'Tipo Projeto'!$A$3:$B$35,2,0),0)</f>
        <v>0</v>
      </c>
      <c r="W513" s="47"/>
      <c r="X513" s="49"/>
      <c r="Y513" s="50"/>
      <c r="Z513" s="51"/>
      <c r="AA513" s="52"/>
      <c r="AB513" s="53" t="str">
        <f t="shared" si="123"/>
        <v/>
      </c>
      <c r="AC513" s="48" t="str">
        <f t="shared" si="124"/>
        <v/>
      </c>
      <c r="AD513" s="54" t="str">
        <f t="shared" si="125"/>
        <v/>
      </c>
      <c r="AE513" s="55">
        <f t="shared" si="126"/>
        <v>0</v>
      </c>
      <c r="AF513" s="55">
        <f t="shared" si="127"/>
        <v>0</v>
      </c>
      <c r="AG513" s="58">
        <f t="shared" si="128"/>
        <v>0</v>
      </c>
      <c r="AH513" s="47"/>
      <c r="AJ513" s="47"/>
      <c r="AL513" s="47"/>
      <c r="AM513" s="47" t="str">
        <f t="shared" si="129"/>
        <v/>
      </c>
    </row>
    <row r="514" spans="1:39" s="56" customFormat="1" ht="24.75" customHeight="1">
      <c r="A514" s="44"/>
      <c r="B514" s="45"/>
      <c r="C514" s="46">
        <f>IF(B514&lt;&gt;"",VLOOKUP(B514,'Tipo Projeto'!$A$3:$B$35,2,0),0)</f>
        <v>0</v>
      </c>
      <c r="D514" s="47"/>
      <c r="E514" s="47"/>
      <c r="F514" s="48"/>
      <c r="G514" s="47"/>
      <c r="H514" s="49"/>
      <c r="I514" s="50"/>
      <c r="J514" s="51"/>
      <c r="K514" s="52"/>
      <c r="L514" s="53" t="str">
        <f t="shared" si="117"/>
        <v/>
      </c>
      <c r="M514" s="48" t="str">
        <f t="shared" si="118"/>
        <v/>
      </c>
      <c r="N514" s="54" t="str">
        <f t="shared" si="119"/>
        <v/>
      </c>
      <c r="O514" s="55">
        <f t="shared" si="120"/>
        <v>0</v>
      </c>
      <c r="P514" s="55">
        <f t="shared" si="121"/>
        <v>0</v>
      </c>
      <c r="Q514" s="54">
        <f t="shared" si="122"/>
        <v>0</v>
      </c>
      <c r="R514" s="47"/>
      <c r="T514" s="57"/>
      <c r="U514" s="45"/>
      <c r="V514" s="46">
        <f>IF(U514&lt;&gt;"",VLOOKUP(U514,'Tipo Projeto'!$A$3:$B$35,2,0),0)</f>
        <v>0</v>
      </c>
      <c r="W514" s="47"/>
      <c r="X514" s="49"/>
      <c r="Y514" s="50"/>
      <c r="Z514" s="51"/>
      <c r="AA514" s="52"/>
      <c r="AB514" s="53" t="str">
        <f t="shared" si="123"/>
        <v/>
      </c>
      <c r="AC514" s="48" t="str">
        <f t="shared" si="124"/>
        <v/>
      </c>
      <c r="AD514" s="54" t="str">
        <f t="shared" si="125"/>
        <v/>
      </c>
      <c r="AE514" s="55">
        <f t="shared" si="126"/>
        <v>0</v>
      </c>
      <c r="AF514" s="55">
        <f t="shared" si="127"/>
        <v>0</v>
      </c>
      <c r="AG514" s="58">
        <f t="shared" si="128"/>
        <v>0</v>
      </c>
      <c r="AH514" s="47"/>
      <c r="AJ514" s="47"/>
      <c r="AL514" s="47"/>
      <c r="AM514" s="47" t="str">
        <f t="shared" si="129"/>
        <v/>
      </c>
    </row>
    <row r="515" spans="1:39" s="56" customFormat="1" ht="24.75" customHeight="1">
      <c r="A515" s="44"/>
      <c r="B515" s="45"/>
      <c r="C515" s="46">
        <f>IF(B515&lt;&gt;"",VLOOKUP(B515,'Tipo Projeto'!$A$3:$B$35,2,0),0)</f>
        <v>0</v>
      </c>
      <c r="D515" s="47"/>
      <c r="E515" s="47"/>
      <c r="F515" s="48"/>
      <c r="G515" s="47"/>
      <c r="H515" s="49"/>
      <c r="I515" s="50"/>
      <c r="J515" s="51"/>
      <c r="K515" s="52"/>
      <c r="L515" s="53" t="str">
        <f t="shared" si="117"/>
        <v/>
      </c>
      <c r="M515" s="48" t="str">
        <f t="shared" si="118"/>
        <v/>
      </c>
      <c r="N515" s="54" t="str">
        <f t="shared" si="119"/>
        <v/>
      </c>
      <c r="O515" s="55">
        <f t="shared" si="120"/>
        <v>0</v>
      </c>
      <c r="P515" s="55">
        <f t="shared" si="121"/>
        <v>0</v>
      </c>
      <c r="Q515" s="54">
        <f t="shared" si="122"/>
        <v>0</v>
      </c>
      <c r="R515" s="47"/>
      <c r="T515" s="57"/>
      <c r="U515" s="45"/>
      <c r="V515" s="46">
        <f>IF(U515&lt;&gt;"",VLOOKUP(U515,'Tipo Projeto'!$A$3:$B$35,2,0),0)</f>
        <v>0</v>
      </c>
      <c r="W515" s="47"/>
      <c r="X515" s="49"/>
      <c r="Y515" s="50"/>
      <c r="Z515" s="51"/>
      <c r="AA515" s="52"/>
      <c r="AB515" s="53" t="str">
        <f t="shared" si="123"/>
        <v/>
      </c>
      <c r="AC515" s="48" t="str">
        <f t="shared" si="124"/>
        <v/>
      </c>
      <c r="AD515" s="54" t="str">
        <f t="shared" si="125"/>
        <v/>
      </c>
      <c r="AE515" s="55">
        <f t="shared" si="126"/>
        <v>0</v>
      </c>
      <c r="AF515" s="55">
        <f t="shared" si="127"/>
        <v>0</v>
      </c>
      <c r="AG515" s="58">
        <f t="shared" si="128"/>
        <v>0</v>
      </c>
      <c r="AH515" s="47"/>
      <c r="AJ515" s="47"/>
      <c r="AL515" s="47"/>
      <c r="AM515" s="47" t="str">
        <f t="shared" si="129"/>
        <v/>
      </c>
    </row>
    <row r="516" spans="1:39" s="56" customFormat="1" ht="24.75" customHeight="1">
      <c r="A516" s="44"/>
      <c r="B516" s="45"/>
      <c r="C516" s="46">
        <f>IF(B516&lt;&gt;"",VLOOKUP(B516,'Tipo Projeto'!$A$3:$B$35,2,0),0)</f>
        <v>0</v>
      </c>
      <c r="D516" s="47"/>
      <c r="E516" s="47"/>
      <c r="F516" s="48"/>
      <c r="G516" s="47"/>
      <c r="H516" s="49"/>
      <c r="I516" s="50"/>
      <c r="J516" s="51"/>
      <c r="K516" s="52"/>
      <c r="L516" s="53" t="str">
        <f t="shared" si="117"/>
        <v/>
      </c>
      <c r="M516" s="48" t="str">
        <f t="shared" si="118"/>
        <v/>
      </c>
      <c r="N516" s="54" t="str">
        <f t="shared" si="119"/>
        <v/>
      </c>
      <c r="O516" s="55">
        <f t="shared" si="120"/>
        <v>0</v>
      </c>
      <c r="P516" s="55">
        <f t="shared" si="121"/>
        <v>0</v>
      </c>
      <c r="Q516" s="54">
        <f t="shared" si="122"/>
        <v>0</v>
      </c>
      <c r="R516" s="47"/>
      <c r="T516" s="57"/>
      <c r="U516" s="45"/>
      <c r="V516" s="46">
        <f>IF(U516&lt;&gt;"",VLOOKUP(U516,'Tipo Projeto'!$A$3:$B$35,2,0),0)</f>
        <v>0</v>
      </c>
      <c r="W516" s="47"/>
      <c r="X516" s="49"/>
      <c r="Y516" s="50"/>
      <c r="Z516" s="51"/>
      <c r="AA516" s="52"/>
      <c r="AB516" s="53" t="str">
        <f t="shared" si="123"/>
        <v/>
      </c>
      <c r="AC516" s="48" t="str">
        <f t="shared" si="124"/>
        <v/>
      </c>
      <c r="AD516" s="54" t="str">
        <f t="shared" si="125"/>
        <v/>
      </c>
      <c r="AE516" s="55">
        <f t="shared" si="126"/>
        <v>0</v>
      </c>
      <c r="AF516" s="55">
        <f t="shared" si="127"/>
        <v>0</v>
      </c>
      <c r="AG516" s="58">
        <f t="shared" si="128"/>
        <v>0</v>
      </c>
      <c r="AH516" s="47"/>
      <c r="AJ516" s="47"/>
      <c r="AL516" s="47"/>
      <c r="AM516" s="47" t="str">
        <f t="shared" si="129"/>
        <v/>
      </c>
    </row>
    <row r="517" spans="1:39" s="56" customFormat="1" ht="24.75" customHeight="1">
      <c r="A517" s="44"/>
      <c r="B517" s="45"/>
      <c r="C517" s="46">
        <f>IF(B517&lt;&gt;"",VLOOKUP(B517,'Tipo Projeto'!$A$3:$B$35,2,0),0)</f>
        <v>0</v>
      </c>
      <c r="D517" s="47"/>
      <c r="E517" s="47"/>
      <c r="F517" s="48"/>
      <c r="G517" s="47"/>
      <c r="H517" s="49"/>
      <c r="I517" s="50"/>
      <c r="J517" s="51"/>
      <c r="K517" s="52"/>
      <c r="L517" s="53" t="str">
        <f t="shared" si="117"/>
        <v/>
      </c>
      <c r="M517" s="48" t="str">
        <f t="shared" si="118"/>
        <v/>
      </c>
      <c r="N517" s="54" t="str">
        <f t="shared" si="119"/>
        <v/>
      </c>
      <c r="O517" s="55">
        <f t="shared" si="120"/>
        <v>0</v>
      </c>
      <c r="P517" s="55">
        <f t="shared" si="121"/>
        <v>0</v>
      </c>
      <c r="Q517" s="54">
        <f t="shared" si="122"/>
        <v>0</v>
      </c>
      <c r="R517" s="47"/>
      <c r="T517" s="57"/>
      <c r="U517" s="45"/>
      <c r="V517" s="46">
        <f>IF(U517&lt;&gt;"",VLOOKUP(U517,'Tipo Projeto'!$A$3:$B$35,2,0),0)</f>
        <v>0</v>
      </c>
      <c r="W517" s="47"/>
      <c r="X517" s="49"/>
      <c r="Y517" s="50"/>
      <c r="Z517" s="51"/>
      <c r="AA517" s="52"/>
      <c r="AB517" s="53" t="str">
        <f t="shared" si="123"/>
        <v/>
      </c>
      <c r="AC517" s="48" t="str">
        <f t="shared" si="124"/>
        <v/>
      </c>
      <c r="AD517" s="54" t="str">
        <f t="shared" si="125"/>
        <v/>
      </c>
      <c r="AE517" s="55">
        <f t="shared" si="126"/>
        <v>0</v>
      </c>
      <c r="AF517" s="55">
        <f t="shared" si="127"/>
        <v>0</v>
      </c>
      <c r="AG517" s="58">
        <f t="shared" si="128"/>
        <v>0</v>
      </c>
      <c r="AH517" s="47"/>
      <c r="AJ517" s="47"/>
      <c r="AL517" s="47"/>
      <c r="AM517" s="47" t="str">
        <f t="shared" si="129"/>
        <v/>
      </c>
    </row>
    <row r="518" spans="1:39" s="56" customFormat="1" ht="24.75" customHeight="1">
      <c r="A518" s="44"/>
      <c r="B518" s="45"/>
      <c r="C518" s="46">
        <f>IF(B518&lt;&gt;"",VLOOKUP(B518,'Tipo Projeto'!$A$3:$B$35,2,0),0)</f>
        <v>0</v>
      </c>
      <c r="D518" s="47"/>
      <c r="E518" s="47"/>
      <c r="F518" s="48"/>
      <c r="G518" s="47"/>
      <c r="H518" s="49"/>
      <c r="I518" s="50"/>
      <c r="J518" s="51"/>
      <c r="K518" s="52"/>
      <c r="L518" s="53" t="str">
        <f t="shared" si="117"/>
        <v/>
      </c>
      <c r="M518" s="48" t="str">
        <f t="shared" si="118"/>
        <v/>
      </c>
      <c r="N518" s="54" t="str">
        <f t="shared" si="119"/>
        <v/>
      </c>
      <c r="O518" s="55">
        <f t="shared" si="120"/>
        <v>0</v>
      </c>
      <c r="P518" s="55">
        <f t="shared" si="121"/>
        <v>0</v>
      </c>
      <c r="Q518" s="54">
        <f t="shared" si="122"/>
        <v>0</v>
      </c>
      <c r="R518" s="47"/>
      <c r="T518" s="57"/>
      <c r="U518" s="45"/>
      <c r="V518" s="46">
        <f>IF(U518&lt;&gt;"",VLOOKUP(U518,'Tipo Projeto'!$A$3:$B$35,2,0),0)</f>
        <v>0</v>
      </c>
      <c r="W518" s="47"/>
      <c r="X518" s="49"/>
      <c r="Y518" s="50"/>
      <c r="Z518" s="51"/>
      <c r="AA518" s="52"/>
      <c r="AB518" s="53" t="str">
        <f t="shared" si="123"/>
        <v/>
      </c>
      <c r="AC518" s="48" t="str">
        <f t="shared" si="124"/>
        <v/>
      </c>
      <c r="AD518" s="54" t="str">
        <f t="shared" si="125"/>
        <v/>
      </c>
      <c r="AE518" s="55">
        <f t="shared" si="126"/>
        <v>0</v>
      </c>
      <c r="AF518" s="55">
        <f t="shared" si="127"/>
        <v>0</v>
      </c>
      <c r="AG518" s="58">
        <f t="shared" si="128"/>
        <v>0</v>
      </c>
      <c r="AH518" s="47"/>
      <c r="AJ518" s="47"/>
      <c r="AL518" s="47"/>
      <c r="AM518" s="47" t="str">
        <f t="shared" si="129"/>
        <v/>
      </c>
    </row>
    <row r="519" spans="1:39" s="56" customFormat="1" ht="24.75" customHeight="1">
      <c r="A519" s="44"/>
      <c r="B519" s="45"/>
      <c r="C519" s="46">
        <f>IF(B519&lt;&gt;"",VLOOKUP(B519,'Tipo Projeto'!$A$3:$B$35,2,0),0)</f>
        <v>0</v>
      </c>
      <c r="D519" s="47"/>
      <c r="E519" s="47"/>
      <c r="F519" s="48"/>
      <c r="G519" s="47"/>
      <c r="H519" s="49"/>
      <c r="I519" s="50"/>
      <c r="J519" s="51"/>
      <c r="K519" s="52"/>
      <c r="L519" s="53" t="str">
        <f t="shared" si="117"/>
        <v/>
      </c>
      <c r="M519" s="48" t="str">
        <f t="shared" si="118"/>
        <v/>
      </c>
      <c r="N519" s="54" t="str">
        <f t="shared" si="119"/>
        <v/>
      </c>
      <c r="O519" s="55">
        <f t="shared" si="120"/>
        <v>0</v>
      </c>
      <c r="P519" s="55">
        <f t="shared" si="121"/>
        <v>0</v>
      </c>
      <c r="Q519" s="54">
        <f t="shared" si="122"/>
        <v>0</v>
      </c>
      <c r="R519" s="47"/>
      <c r="T519" s="57"/>
      <c r="U519" s="45"/>
      <c r="V519" s="46">
        <f>IF(U519&lt;&gt;"",VLOOKUP(U519,'Tipo Projeto'!$A$3:$B$35,2,0),0)</f>
        <v>0</v>
      </c>
      <c r="W519" s="47"/>
      <c r="X519" s="49"/>
      <c r="Y519" s="50"/>
      <c r="Z519" s="51"/>
      <c r="AA519" s="52"/>
      <c r="AB519" s="53" t="str">
        <f t="shared" si="123"/>
        <v/>
      </c>
      <c r="AC519" s="48" t="str">
        <f t="shared" si="124"/>
        <v/>
      </c>
      <c r="AD519" s="54" t="str">
        <f t="shared" si="125"/>
        <v/>
      </c>
      <c r="AE519" s="55">
        <f t="shared" si="126"/>
        <v>0</v>
      </c>
      <c r="AF519" s="55">
        <f t="shared" si="127"/>
        <v>0</v>
      </c>
      <c r="AG519" s="58">
        <f t="shared" si="128"/>
        <v>0</v>
      </c>
      <c r="AH519" s="47"/>
      <c r="AJ519" s="47"/>
      <c r="AL519" s="47"/>
      <c r="AM519" s="47" t="str">
        <f t="shared" si="129"/>
        <v/>
      </c>
    </row>
    <row r="520" spans="1:39" s="56" customFormat="1" ht="24.75" customHeight="1">
      <c r="A520" s="44"/>
      <c r="B520" s="45"/>
      <c r="C520" s="46">
        <f>IF(B520&lt;&gt;"",VLOOKUP(B520,'Tipo Projeto'!$A$3:$B$35,2,0),0)</f>
        <v>0</v>
      </c>
      <c r="D520" s="47"/>
      <c r="E520" s="47"/>
      <c r="F520" s="48"/>
      <c r="G520" s="47"/>
      <c r="H520" s="49"/>
      <c r="I520" s="50"/>
      <c r="J520" s="51"/>
      <c r="K520" s="52"/>
      <c r="L520" s="53" t="str">
        <f t="shared" si="117"/>
        <v/>
      </c>
      <c r="M520" s="48" t="str">
        <f t="shared" si="118"/>
        <v/>
      </c>
      <c r="N520" s="54" t="str">
        <f t="shared" si="119"/>
        <v/>
      </c>
      <c r="O520" s="55">
        <f t="shared" si="120"/>
        <v>0</v>
      </c>
      <c r="P520" s="55">
        <f t="shared" si="121"/>
        <v>0</v>
      </c>
      <c r="Q520" s="54">
        <f t="shared" si="122"/>
        <v>0</v>
      </c>
      <c r="R520" s="47"/>
      <c r="T520" s="57"/>
      <c r="U520" s="45"/>
      <c r="V520" s="46">
        <f>IF(U520&lt;&gt;"",VLOOKUP(U520,'Tipo Projeto'!$A$3:$B$35,2,0),0)</f>
        <v>0</v>
      </c>
      <c r="W520" s="47"/>
      <c r="X520" s="49"/>
      <c r="Y520" s="50"/>
      <c r="Z520" s="51"/>
      <c r="AA520" s="52"/>
      <c r="AB520" s="53" t="str">
        <f t="shared" si="123"/>
        <v/>
      </c>
      <c r="AC520" s="48" t="str">
        <f t="shared" si="124"/>
        <v/>
      </c>
      <c r="AD520" s="54" t="str">
        <f t="shared" si="125"/>
        <v/>
      </c>
      <c r="AE520" s="55">
        <f t="shared" si="126"/>
        <v>0</v>
      </c>
      <c r="AF520" s="55">
        <f t="shared" si="127"/>
        <v>0</v>
      </c>
      <c r="AG520" s="58">
        <f t="shared" si="128"/>
        <v>0</v>
      </c>
      <c r="AH520" s="47"/>
      <c r="AJ520" s="47"/>
      <c r="AL520" s="47"/>
      <c r="AM520" s="47" t="str">
        <f t="shared" si="129"/>
        <v/>
      </c>
    </row>
    <row r="521" spans="1:39" s="56" customFormat="1" ht="24.75" customHeight="1">
      <c r="A521" s="44"/>
      <c r="B521" s="45"/>
      <c r="C521" s="46">
        <f>IF(B521&lt;&gt;"",VLOOKUP(B521,'Tipo Projeto'!$A$3:$B$35,2,0),0)</f>
        <v>0</v>
      </c>
      <c r="D521" s="47"/>
      <c r="E521" s="47"/>
      <c r="F521" s="48"/>
      <c r="G521" s="47"/>
      <c r="H521" s="49"/>
      <c r="I521" s="50"/>
      <c r="J521" s="51"/>
      <c r="K521" s="52"/>
      <c r="L521" s="53" t="str">
        <f t="shared" si="117"/>
        <v/>
      </c>
      <c r="M521" s="48" t="str">
        <f t="shared" si="118"/>
        <v/>
      </c>
      <c r="N521" s="54" t="str">
        <f t="shared" si="119"/>
        <v/>
      </c>
      <c r="O521" s="55">
        <f t="shared" si="120"/>
        <v>0</v>
      </c>
      <c r="P521" s="55">
        <f t="shared" si="121"/>
        <v>0</v>
      </c>
      <c r="Q521" s="54">
        <f t="shared" si="122"/>
        <v>0</v>
      </c>
      <c r="R521" s="47"/>
      <c r="T521" s="57"/>
      <c r="U521" s="45"/>
      <c r="V521" s="46">
        <f>IF(U521&lt;&gt;"",VLOOKUP(U521,'Tipo Projeto'!$A$3:$B$35,2,0),0)</f>
        <v>0</v>
      </c>
      <c r="W521" s="47"/>
      <c r="X521" s="49"/>
      <c r="Y521" s="50"/>
      <c r="Z521" s="51"/>
      <c r="AA521" s="52"/>
      <c r="AB521" s="53" t="str">
        <f t="shared" si="123"/>
        <v/>
      </c>
      <c r="AC521" s="48" t="str">
        <f t="shared" si="124"/>
        <v/>
      </c>
      <c r="AD521" s="54" t="str">
        <f t="shared" si="125"/>
        <v/>
      </c>
      <c r="AE521" s="55">
        <f t="shared" si="126"/>
        <v>0</v>
      </c>
      <c r="AF521" s="55">
        <f t="shared" si="127"/>
        <v>0</v>
      </c>
      <c r="AG521" s="58">
        <f t="shared" si="128"/>
        <v>0</v>
      </c>
      <c r="AH521" s="47"/>
      <c r="AJ521" s="47"/>
      <c r="AL521" s="47"/>
      <c r="AM521" s="47" t="str">
        <f t="shared" si="129"/>
        <v/>
      </c>
    </row>
    <row r="522" spans="1:39" s="56" customFormat="1" ht="24.75" customHeight="1">
      <c r="A522" s="44"/>
      <c r="B522" s="45"/>
      <c r="C522" s="46">
        <f>IF(B522&lt;&gt;"",VLOOKUP(B522,'Tipo Projeto'!$A$3:$B$35,2,0),0)</f>
        <v>0</v>
      </c>
      <c r="D522" s="47"/>
      <c r="E522" s="47"/>
      <c r="F522" s="48"/>
      <c r="G522" s="47"/>
      <c r="H522" s="49"/>
      <c r="I522" s="50"/>
      <c r="J522" s="51"/>
      <c r="K522" s="52"/>
      <c r="L522" s="53" t="str">
        <f t="shared" si="117"/>
        <v/>
      </c>
      <c r="M522" s="48" t="str">
        <f t="shared" si="118"/>
        <v/>
      </c>
      <c r="N522" s="54" t="str">
        <f t="shared" si="119"/>
        <v/>
      </c>
      <c r="O522" s="55">
        <f t="shared" si="120"/>
        <v>0</v>
      </c>
      <c r="P522" s="55">
        <f t="shared" si="121"/>
        <v>0</v>
      </c>
      <c r="Q522" s="54">
        <f t="shared" si="122"/>
        <v>0</v>
      </c>
      <c r="R522" s="47"/>
      <c r="T522" s="57"/>
      <c r="U522" s="45"/>
      <c r="V522" s="46">
        <f>IF(U522&lt;&gt;"",VLOOKUP(U522,'Tipo Projeto'!$A$3:$B$35,2,0),0)</f>
        <v>0</v>
      </c>
      <c r="W522" s="47"/>
      <c r="X522" s="49"/>
      <c r="Y522" s="50"/>
      <c r="Z522" s="51"/>
      <c r="AA522" s="52"/>
      <c r="AB522" s="53" t="str">
        <f t="shared" si="123"/>
        <v/>
      </c>
      <c r="AC522" s="48" t="str">
        <f t="shared" si="124"/>
        <v/>
      </c>
      <c r="AD522" s="54" t="str">
        <f t="shared" si="125"/>
        <v/>
      </c>
      <c r="AE522" s="55">
        <f t="shared" si="126"/>
        <v>0</v>
      </c>
      <c r="AF522" s="55">
        <f t="shared" si="127"/>
        <v>0</v>
      </c>
      <c r="AG522" s="58">
        <f t="shared" si="128"/>
        <v>0</v>
      </c>
      <c r="AH522" s="47"/>
      <c r="AJ522" s="47"/>
      <c r="AL522" s="47"/>
      <c r="AM522" s="47" t="str">
        <f t="shared" si="129"/>
        <v/>
      </c>
    </row>
    <row r="523" spans="1:39" s="56" customFormat="1" ht="24.75" customHeight="1">
      <c r="A523" s="44"/>
      <c r="B523" s="45"/>
      <c r="C523" s="46">
        <f>IF(B523&lt;&gt;"",VLOOKUP(B523,'Tipo Projeto'!$A$3:$B$35,2,0),0)</f>
        <v>0</v>
      </c>
      <c r="D523" s="47"/>
      <c r="E523" s="47"/>
      <c r="F523" s="48"/>
      <c r="G523" s="47"/>
      <c r="H523" s="49"/>
      <c r="I523" s="50"/>
      <c r="J523" s="51"/>
      <c r="K523" s="52"/>
      <c r="L523" s="53" t="str">
        <f t="shared" si="117"/>
        <v/>
      </c>
      <c r="M523" s="48" t="str">
        <f t="shared" si="118"/>
        <v/>
      </c>
      <c r="N523" s="54" t="str">
        <f t="shared" si="119"/>
        <v/>
      </c>
      <c r="O523" s="55">
        <f t="shared" si="120"/>
        <v>0</v>
      </c>
      <c r="P523" s="55">
        <f t="shared" si="121"/>
        <v>0</v>
      </c>
      <c r="Q523" s="54">
        <f t="shared" si="122"/>
        <v>0</v>
      </c>
      <c r="R523" s="47"/>
      <c r="T523" s="57"/>
      <c r="U523" s="45"/>
      <c r="V523" s="46">
        <f>IF(U523&lt;&gt;"",VLOOKUP(U523,'Tipo Projeto'!$A$3:$B$35,2,0),0)</f>
        <v>0</v>
      </c>
      <c r="W523" s="47"/>
      <c r="X523" s="49"/>
      <c r="Y523" s="50"/>
      <c r="Z523" s="51"/>
      <c r="AA523" s="52"/>
      <c r="AB523" s="53" t="str">
        <f t="shared" si="123"/>
        <v/>
      </c>
      <c r="AC523" s="48" t="str">
        <f t="shared" si="124"/>
        <v/>
      </c>
      <c r="AD523" s="54" t="str">
        <f t="shared" si="125"/>
        <v/>
      </c>
      <c r="AE523" s="55">
        <f t="shared" si="126"/>
        <v>0</v>
      </c>
      <c r="AF523" s="55">
        <f t="shared" si="127"/>
        <v>0</v>
      </c>
      <c r="AG523" s="58">
        <f t="shared" si="128"/>
        <v>0</v>
      </c>
      <c r="AH523" s="47"/>
      <c r="AJ523" s="47"/>
      <c r="AL523" s="47"/>
      <c r="AM523" s="47" t="str">
        <f t="shared" si="129"/>
        <v/>
      </c>
    </row>
    <row r="524" spans="1:39" s="56" customFormat="1" ht="24.75" customHeight="1">
      <c r="A524" s="44"/>
      <c r="B524" s="45"/>
      <c r="C524" s="46">
        <f>IF(B524&lt;&gt;"",VLOOKUP(B524,'Tipo Projeto'!$A$3:$B$35,2,0),0)</f>
        <v>0</v>
      </c>
      <c r="D524" s="47"/>
      <c r="E524" s="47"/>
      <c r="F524" s="48"/>
      <c r="G524" s="47"/>
      <c r="H524" s="49"/>
      <c r="I524" s="50"/>
      <c r="J524" s="51"/>
      <c r="K524" s="52"/>
      <c r="L524" s="53" t="str">
        <f t="shared" si="117"/>
        <v/>
      </c>
      <c r="M524" s="48" t="str">
        <f t="shared" si="118"/>
        <v/>
      </c>
      <c r="N524" s="54" t="str">
        <f t="shared" si="119"/>
        <v/>
      </c>
      <c r="O524" s="55">
        <f t="shared" si="120"/>
        <v>0</v>
      </c>
      <c r="P524" s="55">
        <f t="shared" si="121"/>
        <v>0</v>
      </c>
      <c r="Q524" s="54">
        <f t="shared" si="122"/>
        <v>0</v>
      </c>
      <c r="R524" s="47"/>
      <c r="T524" s="57"/>
      <c r="U524" s="45"/>
      <c r="V524" s="46">
        <f>IF(U524&lt;&gt;"",VLOOKUP(U524,'Tipo Projeto'!$A$3:$B$35,2,0),0)</f>
        <v>0</v>
      </c>
      <c r="W524" s="47"/>
      <c r="X524" s="49"/>
      <c r="Y524" s="50"/>
      <c r="Z524" s="51"/>
      <c r="AA524" s="52"/>
      <c r="AB524" s="53" t="str">
        <f t="shared" si="123"/>
        <v/>
      </c>
      <c r="AC524" s="48" t="str">
        <f t="shared" si="124"/>
        <v/>
      </c>
      <c r="AD524" s="54" t="str">
        <f t="shared" si="125"/>
        <v/>
      </c>
      <c r="AE524" s="55">
        <f t="shared" si="126"/>
        <v>0</v>
      </c>
      <c r="AF524" s="55">
        <f t="shared" si="127"/>
        <v>0</v>
      </c>
      <c r="AG524" s="58">
        <f t="shared" si="128"/>
        <v>0</v>
      </c>
      <c r="AH524" s="47"/>
      <c r="AJ524" s="47"/>
      <c r="AL524" s="47"/>
      <c r="AM524" s="47" t="str">
        <f t="shared" si="129"/>
        <v/>
      </c>
    </row>
    <row r="525" spans="1:39" s="56" customFormat="1" ht="24.75" customHeight="1">
      <c r="A525" s="44"/>
      <c r="B525" s="45"/>
      <c r="C525" s="46">
        <f>IF(B525&lt;&gt;"",VLOOKUP(B525,'Tipo Projeto'!$A$3:$B$35,2,0),0)</f>
        <v>0</v>
      </c>
      <c r="D525" s="47"/>
      <c r="E525" s="47"/>
      <c r="F525" s="48"/>
      <c r="G525" s="47"/>
      <c r="H525" s="49"/>
      <c r="I525" s="50"/>
      <c r="J525" s="51"/>
      <c r="K525" s="52"/>
      <c r="L525" s="53" t="str">
        <f t="shared" si="117"/>
        <v/>
      </c>
      <c r="M525" s="48" t="str">
        <f t="shared" si="118"/>
        <v/>
      </c>
      <c r="N525" s="54" t="str">
        <f t="shared" si="119"/>
        <v/>
      </c>
      <c r="O525" s="55">
        <f t="shared" si="120"/>
        <v>0</v>
      </c>
      <c r="P525" s="55">
        <f t="shared" si="121"/>
        <v>0</v>
      </c>
      <c r="Q525" s="54">
        <f t="shared" si="122"/>
        <v>0</v>
      </c>
      <c r="R525" s="47"/>
      <c r="T525" s="57"/>
      <c r="U525" s="45"/>
      <c r="V525" s="46">
        <f>IF(U525&lt;&gt;"",VLOOKUP(U525,'Tipo Projeto'!$A$3:$B$35,2,0),0)</f>
        <v>0</v>
      </c>
      <c r="W525" s="47"/>
      <c r="X525" s="49"/>
      <c r="Y525" s="50"/>
      <c r="Z525" s="51"/>
      <c r="AA525" s="52"/>
      <c r="AB525" s="53" t="str">
        <f t="shared" si="123"/>
        <v/>
      </c>
      <c r="AC525" s="48" t="str">
        <f t="shared" si="124"/>
        <v/>
      </c>
      <c r="AD525" s="54" t="str">
        <f t="shared" si="125"/>
        <v/>
      </c>
      <c r="AE525" s="55">
        <f t="shared" si="126"/>
        <v>0</v>
      </c>
      <c r="AF525" s="55">
        <f t="shared" si="127"/>
        <v>0</v>
      </c>
      <c r="AG525" s="58">
        <f t="shared" si="128"/>
        <v>0</v>
      </c>
      <c r="AH525" s="47"/>
      <c r="AJ525" s="47"/>
      <c r="AL525" s="47"/>
      <c r="AM525" s="47" t="str">
        <f t="shared" si="129"/>
        <v/>
      </c>
    </row>
    <row r="526" spans="1:39" s="56" customFormat="1" ht="24.75" customHeight="1">
      <c r="A526" s="44"/>
      <c r="B526" s="45"/>
      <c r="C526" s="46">
        <f>IF(B526&lt;&gt;"",VLOOKUP(B526,'Tipo Projeto'!$A$3:$B$35,2,0),0)</f>
        <v>0</v>
      </c>
      <c r="D526" s="47"/>
      <c r="E526" s="47"/>
      <c r="F526" s="48"/>
      <c r="G526" s="47"/>
      <c r="H526" s="49"/>
      <c r="I526" s="50"/>
      <c r="J526" s="51"/>
      <c r="K526" s="52"/>
      <c r="L526" s="53" t="str">
        <f t="shared" si="117"/>
        <v/>
      </c>
      <c r="M526" s="48" t="str">
        <f t="shared" si="118"/>
        <v/>
      </c>
      <c r="N526" s="54" t="str">
        <f t="shared" si="119"/>
        <v/>
      </c>
      <c r="O526" s="55">
        <f t="shared" si="120"/>
        <v>0</v>
      </c>
      <c r="P526" s="55">
        <f t="shared" si="121"/>
        <v>0</v>
      </c>
      <c r="Q526" s="54">
        <f t="shared" si="122"/>
        <v>0</v>
      </c>
      <c r="R526" s="47"/>
      <c r="T526" s="57"/>
      <c r="U526" s="45"/>
      <c r="V526" s="46">
        <f>IF(U526&lt;&gt;"",VLOOKUP(U526,'Tipo Projeto'!$A$3:$B$35,2,0),0)</f>
        <v>0</v>
      </c>
      <c r="W526" s="47"/>
      <c r="X526" s="49"/>
      <c r="Y526" s="50"/>
      <c r="Z526" s="51"/>
      <c r="AA526" s="52"/>
      <c r="AB526" s="53" t="str">
        <f t="shared" si="123"/>
        <v/>
      </c>
      <c r="AC526" s="48" t="str">
        <f t="shared" si="124"/>
        <v/>
      </c>
      <c r="AD526" s="54" t="str">
        <f t="shared" si="125"/>
        <v/>
      </c>
      <c r="AE526" s="55">
        <f t="shared" si="126"/>
        <v>0</v>
      </c>
      <c r="AF526" s="55">
        <f t="shared" si="127"/>
        <v>0</v>
      </c>
      <c r="AG526" s="58">
        <f t="shared" si="128"/>
        <v>0</v>
      </c>
      <c r="AH526" s="47"/>
      <c r="AJ526" s="47"/>
      <c r="AL526" s="47"/>
      <c r="AM526" s="47" t="str">
        <f t="shared" si="129"/>
        <v/>
      </c>
    </row>
    <row r="527" spans="1:39" s="56" customFormat="1" ht="24.75" customHeight="1">
      <c r="A527" s="44"/>
      <c r="B527" s="45"/>
      <c r="C527" s="46">
        <f>IF(B527&lt;&gt;"",VLOOKUP(B527,'Tipo Projeto'!$A$3:$B$35,2,0),0)</f>
        <v>0</v>
      </c>
      <c r="D527" s="47"/>
      <c r="E527" s="47"/>
      <c r="F527" s="48"/>
      <c r="G527" s="47"/>
      <c r="H527" s="49"/>
      <c r="I527" s="50"/>
      <c r="J527" s="51"/>
      <c r="K527" s="52"/>
      <c r="L527" s="53" t="str">
        <f t="shared" si="117"/>
        <v/>
      </c>
      <c r="M527" s="48" t="str">
        <f t="shared" si="118"/>
        <v/>
      </c>
      <c r="N527" s="54" t="str">
        <f t="shared" si="119"/>
        <v/>
      </c>
      <c r="O527" s="55">
        <f t="shared" si="120"/>
        <v>0</v>
      </c>
      <c r="P527" s="55">
        <f t="shared" si="121"/>
        <v>0</v>
      </c>
      <c r="Q527" s="54">
        <f t="shared" si="122"/>
        <v>0</v>
      </c>
      <c r="R527" s="47"/>
      <c r="T527" s="57"/>
      <c r="U527" s="45"/>
      <c r="V527" s="46">
        <f>IF(U527&lt;&gt;"",VLOOKUP(U527,'Tipo Projeto'!$A$3:$B$35,2,0),0)</f>
        <v>0</v>
      </c>
      <c r="W527" s="47"/>
      <c r="X527" s="49"/>
      <c r="Y527" s="50"/>
      <c r="Z527" s="51"/>
      <c r="AA527" s="52"/>
      <c r="AB527" s="53" t="str">
        <f t="shared" si="123"/>
        <v/>
      </c>
      <c r="AC527" s="48" t="str">
        <f t="shared" si="124"/>
        <v/>
      </c>
      <c r="AD527" s="54" t="str">
        <f t="shared" si="125"/>
        <v/>
      </c>
      <c r="AE527" s="55">
        <f t="shared" si="126"/>
        <v>0</v>
      </c>
      <c r="AF527" s="55">
        <f t="shared" si="127"/>
        <v>0</v>
      </c>
      <c r="AG527" s="58">
        <f t="shared" si="128"/>
        <v>0</v>
      </c>
      <c r="AH527" s="47"/>
      <c r="AJ527" s="47"/>
      <c r="AL527" s="47"/>
      <c r="AM527" s="47" t="str">
        <f t="shared" si="129"/>
        <v/>
      </c>
    </row>
    <row r="528" spans="1:39" s="56" customFormat="1" ht="24.75" customHeight="1">
      <c r="A528" s="44"/>
      <c r="B528" s="45"/>
      <c r="C528" s="46">
        <f>IF(B528&lt;&gt;"",VLOOKUP(B528,'Tipo Projeto'!$A$3:$B$35,2,0),0)</f>
        <v>0</v>
      </c>
      <c r="D528" s="47"/>
      <c r="E528" s="47"/>
      <c r="F528" s="48"/>
      <c r="G528" s="47"/>
      <c r="H528" s="49"/>
      <c r="I528" s="50"/>
      <c r="J528" s="51"/>
      <c r="K528" s="52"/>
      <c r="L528" s="53" t="str">
        <f t="shared" si="117"/>
        <v/>
      </c>
      <c r="M528" s="48" t="str">
        <f t="shared" si="118"/>
        <v/>
      </c>
      <c r="N528" s="54" t="str">
        <f t="shared" si="119"/>
        <v/>
      </c>
      <c r="O528" s="55">
        <f t="shared" si="120"/>
        <v>0</v>
      </c>
      <c r="P528" s="55">
        <f t="shared" si="121"/>
        <v>0</v>
      </c>
      <c r="Q528" s="54">
        <f t="shared" si="122"/>
        <v>0</v>
      </c>
      <c r="R528" s="47"/>
      <c r="T528" s="57"/>
      <c r="U528" s="45"/>
      <c r="V528" s="46">
        <f>IF(U528&lt;&gt;"",VLOOKUP(U528,'Tipo Projeto'!$A$3:$B$35,2,0),0)</f>
        <v>0</v>
      </c>
      <c r="W528" s="47"/>
      <c r="X528" s="49"/>
      <c r="Y528" s="50"/>
      <c r="Z528" s="51"/>
      <c r="AA528" s="52"/>
      <c r="AB528" s="53" t="str">
        <f t="shared" si="123"/>
        <v/>
      </c>
      <c r="AC528" s="48" t="str">
        <f t="shared" si="124"/>
        <v/>
      </c>
      <c r="AD528" s="54" t="str">
        <f t="shared" si="125"/>
        <v/>
      </c>
      <c r="AE528" s="55">
        <f t="shared" si="126"/>
        <v>0</v>
      </c>
      <c r="AF528" s="55">
        <f t="shared" si="127"/>
        <v>0</v>
      </c>
      <c r="AG528" s="58">
        <f t="shared" si="128"/>
        <v>0</v>
      </c>
      <c r="AH528" s="47"/>
      <c r="AJ528" s="47"/>
      <c r="AL528" s="47"/>
      <c r="AM528" s="47" t="str">
        <f t="shared" si="129"/>
        <v/>
      </c>
    </row>
    <row r="529" spans="1:39" s="56" customFormat="1" ht="24.75" customHeight="1">
      <c r="A529" s="44"/>
      <c r="B529" s="45"/>
      <c r="C529" s="46">
        <f>IF(B529&lt;&gt;"",VLOOKUP(B529,'Tipo Projeto'!$A$3:$B$35,2,0),0)</f>
        <v>0</v>
      </c>
      <c r="D529" s="47"/>
      <c r="E529" s="47"/>
      <c r="F529" s="48"/>
      <c r="G529" s="47"/>
      <c r="H529" s="49"/>
      <c r="I529" s="50"/>
      <c r="J529" s="51"/>
      <c r="K529" s="52"/>
      <c r="L529" s="53" t="str">
        <f t="shared" si="117"/>
        <v/>
      </c>
      <c r="M529" s="48" t="str">
        <f t="shared" si="118"/>
        <v/>
      </c>
      <c r="N529" s="54" t="str">
        <f t="shared" si="119"/>
        <v/>
      </c>
      <c r="O529" s="55">
        <f t="shared" si="120"/>
        <v>0</v>
      </c>
      <c r="P529" s="55">
        <f t="shared" si="121"/>
        <v>0</v>
      </c>
      <c r="Q529" s="54">
        <f t="shared" si="122"/>
        <v>0</v>
      </c>
      <c r="R529" s="47"/>
      <c r="T529" s="57"/>
      <c r="U529" s="45"/>
      <c r="V529" s="46">
        <f>IF(U529&lt;&gt;"",VLOOKUP(U529,'Tipo Projeto'!$A$3:$B$35,2,0),0)</f>
        <v>0</v>
      </c>
      <c r="W529" s="47"/>
      <c r="X529" s="49"/>
      <c r="Y529" s="50"/>
      <c r="Z529" s="51"/>
      <c r="AA529" s="52"/>
      <c r="AB529" s="53" t="str">
        <f t="shared" si="123"/>
        <v/>
      </c>
      <c r="AC529" s="48" t="str">
        <f t="shared" si="124"/>
        <v/>
      </c>
      <c r="AD529" s="54" t="str">
        <f t="shared" si="125"/>
        <v/>
      </c>
      <c r="AE529" s="55">
        <f t="shared" si="126"/>
        <v>0</v>
      </c>
      <c r="AF529" s="55">
        <f t="shared" si="127"/>
        <v>0</v>
      </c>
      <c r="AG529" s="58">
        <f t="shared" si="128"/>
        <v>0</v>
      </c>
      <c r="AH529" s="47"/>
      <c r="AJ529" s="47"/>
      <c r="AL529" s="47"/>
      <c r="AM529" s="47" t="str">
        <f t="shared" si="129"/>
        <v/>
      </c>
    </row>
    <row r="530" spans="1:39" s="56" customFormat="1" ht="24.75" customHeight="1">
      <c r="A530" s="44"/>
      <c r="B530" s="45"/>
      <c r="C530" s="46">
        <f>IF(B530&lt;&gt;"",VLOOKUP(B530,'Tipo Projeto'!$A$3:$B$35,2,0),0)</f>
        <v>0</v>
      </c>
      <c r="D530" s="47"/>
      <c r="E530" s="47"/>
      <c r="F530" s="48"/>
      <c r="G530" s="47"/>
      <c r="H530" s="49"/>
      <c r="I530" s="50"/>
      <c r="J530" s="51"/>
      <c r="K530" s="52"/>
      <c r="L530" s="53" t="str">
        <f t="shared" si="117"/>
        <v/>
      </c>
      <c r="M530" s="48" t="str">
        <f t="shared" si="118"/>
        <v/>
      </c>
      <c r="N530" s="54" t="str">
        <f t="shared" si="119"/>
        <v/>
      </c>
      <c r="O530" s="55">
        <f t="shared" si="120"/>
        <v>0</v>
      </c>
      <c r="P530" s="55">
        <f t="shared" si="121"/>
        <v>0</v>
      </c>
      <c r="Q530" s="54">
        <f t="shared" si="122"/>
        <v>0</v>
      </c>
      <c r="R530" s="47"/>
      <c r="T530" s="57"/>
      <c r="U530" s="45"/>
      <c r="V530" s="46">
        <f>IF(U530&lt;&gt;"",VLOOKUP(U530,'Tipo Projeto'!$A$3:$B$35,2,0),0)</f>
        <v>0</v>
      </c>
      <c r="W530" s="47"/>
      <c r="X530" s="49"/>
      <c r="Y530" s="50"/>
      <c r="Z530" s="51"/>
      <c r="AA530" s="52"/>
      <c r="AB530" s="53" t="str">
        <f t="shared" si="123"/>
        <v/>
      </c>
      <c r="AC530" s="48" t="str">
        <f t="shared" si="124"/>
        <v/>
      </c>
      <c r="AD530" s="54" t="str">
        <f t="shared" si="125"/>
        <v/>
      </c>
      <c r="AE530" s="55">
        <f t="shared" si="126"/>
        <v>0</v>
      </c>
      <c r="AF530" s="55">
        <f t="shared" si="127"/>
        <v>0</v>
      </c>
      <c r="AG530" s="58">
        <f t="shared" si="128"/>
        <v>0</v>
      </c>
      <c r="AH530" s="47"/>
      <c r="AJ530" s="47"/>
      <c r="AL530" s="47"/>
      <c r="AM530" s="47" t="str">
        <f t="shared" si="129"/>
        <v/>
      </c>
    </row>
    <row r="531" spans="1:39" s="56" customFormat="1" ht="24.75" customHeight="1">
      <c r="A531" s="44"/>
      <c r="B531" s="45"/>
      <c r="C531" s="46">
        <f>IF(B531&lt;&gt;"",VLOOKUP(B531,'Tipo Projeto'!$A$3:$B$35,2,0),0)</f>
        <v>0</v>
      </c>
      <c r="D531" s="47"/>
      <c r="E531" s="47"/>
      <c r="F531" s="48"/>
      <c r="G531" s="47"/>
      <c r="H531" s="49"/>
      <c r="I531" s="50"/>
      <c r="J531" s="51"/>
      <c r="K531" s="52"/>
      <c r="L531" s="53" t="str">
        <f t="shared" si="117"/>
        <v/>
      </c>
      <c r="M531" s="48" t="str">
        <f t="shared" si="118"/>
        <v/>
      </c>
      <c r="N531" s="54" t="str">
        <f t="shared" si="119"/>
        <v/>
      </c>
      <c r="O531" s="55">
        <f t="shared" si="120"/>
        <v>0</v>
      </c>
      <c r="P531" s="55">
        <f t="shared" si="121"/>
        <v>0</v>
      </c>
      <c r="Q531" s="54">
        <f t="shared" si="122"/>
        <v>0</v>
      </c>
      <c r="R531" s="47"/>
      <c r="T531" s="57"/>
      <c r="U531" s="45"/>
      <c r="V531" s="46">
        <f>IF(U531&lt;&gt;"",VLOOKUP(U531,'Tipo Projeto'!$A$3:$B$35,2,0),0)</f>
        <v>0</v>
      </c>
      <c r="W531" s="47"/>
      <c r="X531" s="49"/>
      <c r="Y531" s="50"/>
      <c r="Z531" s="51"/>
      <c r="AA531" s="52"/>
      <c r="AB531" s="53" t="str">
        <f t="shared" si="123"/>
        <v/>
      </c>
      <c r="AC531" s="48" t="str">
        <f t="shared" si="124"/>
        <v/>
      </c>
      <c r="AD531" s="54" t="str">
        <f t="shared" si="125"/>
        <v/>
      </c>
      <c r="AE531" s="55">
        <f t="shared" si="126"/>
        <v>0</v>
      </c>
      <c r="AF531" s="55">
        <f t="shared" si="127"/>
        <v>0</v>
      </c>
      <c r="AG531" s="58">
        <f t="shared" si="128"/>
        <v>0</v>
      </c>
      <c r="AH531" s="47"/>
      <c r="AJ531" s="47"/>
      <c r="AL531" s="47"/>
      <c r="AM531" s="47" t="str">
        <f t="shared" si="129"/>
        <v/>
      </c>
    </row>
    <row r="532" spans="1:39" s="56" customFormat="1" ht="24.75" customHeight="1">
      <c r="A532" s="44"/>
      <c r="B532" s="45"/>
      <c r="C532" s="46">
        <f>IF(B532&lt;&gt;"",VLOOKUP(B532,'Tipo Projeto'!$A$3:$B$35,2,0),0)</f>
        <v>0</v>
      </c>
      <c r="D532" s="47"/>
      <c r="E532" s="47"/>
      <c r="F532" s="48"/>
      <c r="G532" s="47"/>
      <c r="H532" s="49"/>
      <c r="I532" s="50"/>
      <c r="J532" s="51"/>
      <c r="K532" s="52"/>
      <c r="L532" s="53" t="str">
        <f t="shared" si="117"/>
        <v/>
      </c>
      <c r="M532" s="48" t="str">
        <f t="shared" si="118"/>
        <v/>
      </c>
      <c r="N532" s="54" t="str">
        <f t="shared" si="119"/>
        <v/>
      </c>
      <c r="O532" s="55">
        <f t="shared" si="120"/>
        <v>0</v>
      </c>
      <c r="P532" s="55">
        <f t="shared" si="121"/>
        <v>0</v>
      </c>
      <c r="Q532" s="54">
        <f t="shared" si="122"/>
        <v>0</v>
      </c>
      <c r="R532" s="47"/>
      <c r="T532" s="57"/>
      <c r="U532" s="45"/>
      <c r="V532" s="46">
        <f>IF(U532&lt;&gt;"",VLOOKUP(U532,'Tipo Projeto'!$A$3:$B$35,2,0),0)</f>
        <v>0</v>
      </c>
      <c r="W532" s="47"/>
      <c r="X532" s="49"/>
      <c r="Y532" s="50"/>
      <c r="Z532" s="51"/>
      <c r="AA532" s="52"/>
      <c r="AB532" s="53" t="str">
        <f t="shared" si="123"/>
        <v/>
      </c>
      <c r="AC532" s="48" t="str">
        <f t="shared" si="124"/>
        <v/>
      </c>
      <c r="AD532" s="54" t="str">
        <f t="shared" si="125"/>
        <v/>
      </c>
      <c r="AE532" s="55">
        <f t="shared" si="126"/>
        <v>0</v>
      </c>
      <c r="AF532" s="55">
        <f t="shared" si="127"/>
        <v>0</v>
      </c>
      <c r="AG532" s="58">
        <f t="shared" si="128"/>
        <v>0</v>
      </c>
      <c r="AH532" s="47"/>
      <c r="AJ532" s="47"/>
      <c r="AL532" s="47"/>
      <c r="AM532" s="47" t="str">
        <f t="shared" si="129"/>
        <v/>
      </c>
    </row>
    <row r="533" spans="1:39" s="56" customFormat="1" ht="24.75" customHeight="1">
      <c r="A533" s="44"/>
      <c r="B533" s="45"/>
      <c r="C533" s="46">
        <f>IF(B533&lt;&gt;"",VLOOKUP(B533,'Tipo Projeto'!$A$3:$B$35,2,0),0)</f>
        <v>0</v>
      </c>
      <c r="D533" s="47"/>
      <c r="E533" s="47"/>
      <c r="F533" s="48"/>
      <c r="G533" s="47"/>
      <c r="H533" s="49"/>
      <c r="I533" s="50"/>
      <c r="J533" s="51"/>
      <c r="K533" s="52"/>
      <c r="L533" s="53" t="str">
        <f t="shared" si="117"/>
        <v/>
      </c>
      <c r="M533" s="48" t="str">
        <f t="shared" si="118"/>
        <v/>
      </c>
      <c r="N533" s="54" t="str">
        <f t="shared" si="119"/>
        <v/>
      </c>
      <c r="O533" s="55">
        <f t="shared" si="120"/>
        <v>0</v>
      </c>
      <c r="P533" s="55">
        <f t="shared" si="121"/>
        <v>0</v>
      </c>
      <c r="Q533" s="54">
        <f t="shared" si="122"/>
        <v>0</v>
      </c>
      <c r="R533" s="47"/>
      <c r="T533" s="57"/>
      <c r="U533" s="45"/>
      <c r="V533" s="46">
        <f>IF(U533&lt;&gt;"",VLOOKUP(U533,'Tipo Projeto'!$A$3:$B$35,2,0),0)</f>
        <v>0</v>
      </c>
      <c r="W533" s="47"/>
      <c r="X533" s="49"/>
      <c r="Y533" s="50"/>
      <c r="Z533" s="51"/>
      <c r="AA533" s="52"/>
      <c r="AB533" s="53" t="str">
        <f t="shared" si="123"/>
        <v/>
      </c>
      <c r="AC533" s="48" t="str">
        <f t="shared" si="124"/>
        <v/>
      </c>
      <c r="AD533" s="54" t="str">
        <f t="shared" si="125"/>
        <v/>
      </c>
      <c r="AE533" s="55">
        <f t="shared" si="126"/>
        <v>0</v>
      </c>
      <c r="AF533" s="55">
        <f t="shared" si="127"/>
        <v>0</v>
      </c>
      <c r="AG533" s="58">
        <f t="shared" si="128"/>
        <v>0</v>
      </c>
      <c r="AH533" s="47"/>
      <c r="AJ533" s="47"/>
      <c r="AL533" s="47"/>
      <c r="AM533" s="47" t="str">
        <f t="shared" si="129"/>
        <v/>
      </c>
    </row>
    <row r="534" spans="1:39" s="56" customFormat="1" ht="24.75" customHeight="1">
      <c r="A534" s="44"/>
      <c r="B534" s="45"/>
      <c r="C534" s="46">
        <f>IF(B534&lt;&gt;"",VLOOKUP(B534,'Tipo Projeto'!$A$3:$B$35,2,0),0)</f>
        <v>0</v>
      </c>
      <c r="D534" s="47"/>
      <c r="E534" s="47"/>
      <c r="F534" s="48"/>
      <c r="G534" s="47"/>
      <c r="H534" s="49"/>
      <c r="I534" s="50"/>
      <c r="J534" s="51"/>
      <c r="K534" s="52"/>
      <c r="L534" s="53" t="str">
        <f t="shared" si="117"/>
        <v/>
      </c>
      <c r="M534" s="48" t="str">
        <f t="shared" si="118"/>
        <v/>
      </c>
      <c r="N534" s="54" t="str">
        <f t="shared" si="119"/>
        <v/>
      </c>
      <c r="O534" s="55">
        <f t="shared" si="120"/>
        <v>0</v>
      </c>
      <c r="P534" s="55">
        <f t="shared" si="121"/>
        <v>0</v>
      </c>
      <c r="Q534" s="54">
        <f t="shared" si="122"/>
        <v>0</v>
      </c>
      <c r="R534" s="47"/>
      <c r="T534" s="57"/>
      <c r="U534" s="45"/>
      <c r="V534" s="46">
        <f>IF(U534&lt;&gt;"",VLOOKUP(U534,'Tipo Projeto'!$A$3:$B$35,2,0),0)</f>
        <v>0</v>
      </c>
      <c r="W534" s="47"/>
      <c r="X534" s="49"/>
      <c r="Y534" s="50"/>
      <c r="Z534" s="51"/>
      <c r="AA534" s="52"/>
      <c r="AB534" s="53" t="str">
        <f t="shared" si="123"/>
        <v/>
      </c>
      <c r="AC534" s="48" t="str">
        <f t="shared" si="124"/>
        <v/>
      </c>
      <c r="AD534" s="54" t="str">
        <f t="shared" si="125"/>
        <v/>
      </c>
      <c r="AE534" s="55">
        <f t="shared" si="126"/>
        <v>0</v>
      </c>
      <c r="AF534" s="55">
        <f t="shared" si="127"/>
        <v>0</v>
      </c>
      <c r="AG534" s="58">
        <f t="shared" si="128"/>
        <v>0</v>
      </c>
      <c r="AH534" s="47"/>
      <c r="AJ534" s="47"/>
      <c r="AL534" s="47"/>
      <c r="AM534" s="47" t="str">
        <f t="shared" si="129"/>
        <v/>
      </c>
    </row>
    <row r="535" spans="1:39" s="56" customFormat="1" ht="24.75" customHeight="1">
      <c r="A535" s="44"/>
      <c r="B535" s="45"/>
      <c r="C535" s="46">
        <f>IF(B535&lt;&gt;"",VLOOKUP(B535,'Tipo Projeto'!$A$3:$B$35,2,0),0)</f>
        <v>0</v>
      </c>
      <c r="D535" s="47"/>
      <c r="E535" s="47"/>
      <c r="F535" s="48"/>
      <c r="G535" s="47"/>
      <c r="H535" s="49"/>
      <c r="I535" s="50"/>
      <c r="J535" s="51"/>
      <c r="K535" s="52"/>
      <c r="L535" s="53" t="str">
        <f t="shared" si="117"/>
        <v/>
      </c>
      <c r="M535" s="48" t="str">
        <f t="shared" si="118"/>
        <v/>
      </c>
      <c r="N535" s="54" t="str">
        <f t="shared" si="119"/>
        <v/>
      </c>
      <c r="O535" s="55">
        <f t="shared" si="120"/>
        <v>0</v>
      </c>
      <c r="P535" s="55">
        <f t="shared" si="121"/>
        <v>0</v>
      </c>
      <c r="Q535" s="54">
        <f t="shared" si="122"/>
        <v>0</v>
      </c>
      <c r="R535" s="47"/>
      <c r="T535" s="57"/>
      <c r="U535" s="45"/>
      <c r="V535" s="46">
        <f>IF(U535&lt;&gt;"",VLOOKUP(U535,'Tipo Projeto'!$A$3:$B$35,2,0),0)</f>
        <v>0</v>
      </c>
      <c r="W535" s="47"/>
      <c r="X535" s="49"/>
      <c r="Y535" s="50"/>
      <c r="Z535" s="51"/>
      <c r="AA535" s="52"/>
      <c r="AB535" s="53" t="str">
        <f t="shared" si="123"/>
        <v/>
      </c>
      <c r="AC535" s="48" t="str">
        <f t="shared" si="124"/>
        <v/>
      </c>
      <c r="AD535" s="54" t="str">
        <f t="shared" si="125"/>
        <v/>
      </c>
      <c r="AE535" s="55">
        <f t="shared" si="126"/>
        <v>0</v>
      </c>
      <c r="AF535" s="55">
        <f t="shared" si="127"/>
        <v>0</v>
      </c>
      <c r="AG535" s="58">
        <f t="shared" si="128"/>
        <v>0</v>
      </c>
      <c r="AH535" s="47"/>
      <c r="AJ535" s="47"/>
      <c r="AL535" s="47"/>
      <c r="AM535" s="47" t="str">
        <f t="shared" si="129"/>
        <v/>
      </c>
    </row>
    <row r="536" spans="1:39" s="56" customFormat="1" ht="24.75" customHeight="1">
      <c r="A536" s="44"/>
      <c r="B536" s="45"/>
      <c r="C536" s="46">
        <f>IF(B536&lt;&gt;"",VLOOKUP(B536,'Tipo Projeto'!$A$3:$B$35,2,0),0)</f>
        <v>0</v>
      </c>
      <c r="D536" s="47"/>
      <c r="E536" s="47"/>
      <c r="F536" s="48"/>
      <c r="G536" s="47"/>
      <c r="H536" s="49"/>
      <c r="I536" s="50"/>
      <c r="J536" s="51"/>
      <c r="K536" s="52"/>
      <c r="L536" s="53" t="str">
        <f t="shared" si="117"/>
        <v/>
      </c>
      <c r="M536" s="48" t="str">
        <f t="shared" si="118"/>
        <v/>
      </c>
      <c r="N536" s="54" t="str">
        <f t="shared" si="119"/>
        <v/>
      </c>
      <c r="O536" s="55">
        <f t="shared" si="120"/>
        <v>0</v>
      </c>
      <c r="P536" s="55">
        <f t="shared" si="121"/>
        <v>0</v>
      </c>
      <c r="Q536" s="54">
        <f t="shared" si="122"/>
        <v>0</v>
      </c>
      <c r="R536" s="47"/>
      <c r="T536" s="57"/>
      <c r="U536" s="45"/>
      <c r="V536" s="46">
        <f>IF(U536&lt;&gt;"",VLOOKUP(U536,'Tipo Projeto'!$A$3:$B$35,2,0),0)</f>
        <v>0</v>
      </c>
      <c r="W536" s="47"/>
      <c r="X536" s="49"/>
      <c r="Y536" s="50"/>
      <c r="Z536" s="51"/>
      <c r="AA536" s="52"/>
      <c r="AB536" s="53" t="str">
        <f t="shared" si="123"/>
        <v/>
      </c>
      <c r="AC536" s="48" t="str">
        <f t="shared" si="124"/>
        <v/>
      </c>
      <c r="AD536" s="54" t="str">
        <f t="shared" si="125"/>
        <v/>
      </c>
      <c r="AE536" s="55">
        <f t="shared" si="126"/>
        <v>0</v>
      </c>
      <c r="AF536" s="55">
        <f t="shared" si="127"/>
        <v>0</v>
      </c>
      <c r="AG536" s="58">
        <f t="shared" si="128"/>
        <v>0</v>
      </c>
      <c r="AH536" s="47"/>
      <c r="AJ536" s="47"/>
      <c r="AL536" s="47"/>
      <c r="AM536" s="47" t="str">
        <f t="shared" si="129"/>
        <v/>
      </c>
    </row>
    <row r="537" spans="1:39" s="56" customFormat="1" ht="24.75" customHeight="1">
      <c r="A537" s="44"/>
      <c r="B537" s="45"/>
      <c r="C537" s="46">
        <f>IF(B537&lt;&gt;"",VLOOKUP(B537,'Tipo Projeto'!$A$3:$B$35,2,0),0)</f>
        <v>0</v>
      </c>
      <c r="D537" s="47"/>
      <c r="E537" s="47"/>
      <c r="F537" s="48"/>
      <c r="G537" s="47"/>
      <c r="H537" s="49"/>
      <c r="I537" s="50"/>
      <c r="J537" s="51"/>
      <c r="K537" s="52"/>
      <c r="L537" s="53" t="str">
        <f t="shared" si="117"/>
        <v/>
      </c>
      <c r="M537" s="48" t="str">
        <f t="shared" si="118"/>
        <v/>
      </c>
      <c r="N537" s="54" t="str">
        <f t="shared" si="119"/>
        <v/>
      </c>
      <c r="O537" s="55">
        <f t="shared" si="120"/>
        <v>0</v>
      </c>
      <c r="P537" s="55">
        <f t="shared" si="121"/>
        <v>0</v>
      </c>
      <c r="Q537" s="54">
        <f t="shared" si="122"/>
        <v>0</v>
      </c>
      <c r="R537" s="47"/>
      <c r="T537" s="57"/>
      <c r="U537" s="45"/>
      <c r="V537" s="46">
        <f>IF(U537&lt;&gt;"",VLOOKUP(U537,'Tipo Projeto'!$A$3:$B$35,2,0),0)</f>
        <v>0</v>
      </c>
      <c r="W537" s="47"/>
      <c r="X537" s="49"/>
      <c r="Y537" s="50"/>
      <c r="Z537" s="51"/>
      <c r="AA537" s="52"/>
      <c r="AB537" s="53" t="str">
        <f t="shared" si="123"/>
        <v/>
      </c>
      <c r="AC537" s="48" t="str">
        <f t="shared" si="124"/>
        <v/>
      </c>
      <c r="AD537" s="54" t="str">
        <f t="shared" si="125"/>
        <v/>
      </c>
      <c r="AE537" s="55">
        <f t="shared" si="126"/>
        <v>0</v>
      </c>
      <c r="AF537" s="55">
        <f t="shared" si="127"/>
        <v>0</v>
      </c>
      <c r="AG537" s="58">
        <f t="shared" si="128"/>
        <v>0</v>
      </c>
      <c r="AH537" s="47"/>
      <c r="AJ537" s="47"/>
      <c r="AL537" s="47"/>
      <c r="AM537" s="47" t="str">
        <f t="shared" si="129"/>
        <v/>
      </c>
    </row>
    <row r="538" spans="1:39" s="56" customFormat="1" ht="24.75" customHeight="1">
      <c r="A538" s="44"/>
      <c r="B538" s="45"/>
      <c r="C538" s="46">
        <f>IF(B538&lt;&gt;"",VLOOKUP(B538,'Tipo Projeto'!$A$3:$B$35,2,0),0)</f>
        <v>0</v>
      </c>
      <c r="D538" s="47"/>
      <c r="E538" s="47"/>
      <c r="F538" s="48"/>
      <c r="G538" s="47"/>
      <c r="H538" s="49"/>
      <c r="I538" s="50"/>
      <c r="J538" s="51"/>
      <c r="K538" s="52"/>
      <c r="L538" s="53" t="str">
        <f t="shared" si="117"/>
        <v/>
      </c>
      <c r="M538" s="48" t="str">
        <f t="shared" si="118"/>
        <v/>
      </c>
      <c r="N538" s="54" t="str">
        <f t="shared" si="119"/>
        <v/>
      </c>
      <c r="O538" s="55">
        <f t="shared" si="120"/>
        <v>0</v>
      </c>
      <c r="P538" s="55">
        <f t="shared" si="121"/>
        <v>0</v>
      </c>
      <c r="Q538" s="54">
        <f t="shared" si="122"/>
        <v>0</v>
      </c>
      <c r="R538" s="47"/>
      <c r="T538" s="57"/>
      <c r="U538" s="45"/>
      <c r="V538" s="46">
        <f>IF(U538&lt;&gt;"",VLOOKUP(U538,'Tipo Projeto'!$A$3:$B$35,2,0),0)</f>
        <v>0</v>
      </c>
      <c r="W538" s="47"/>
      <c r="X538" s="49"/>
      <c r="Y538" s="50"/>
      <c r="Z538" s="51"/>
      <c r="AA538" s="52"/>
      <c r="AB538" s="53" t="str">
        <f t="shared" si="123"/>
        <v/>
      </c>
      <c r="AC538" s="48" t="str">
        <f t="shared" si="124"/>
        <v/>
      </c>
      <c r="AD538" s="54" t="str">
        <f t="shared" si="125"/>
        <v/>
      </c>
      <c r="AE538" s="55">
        <f t="shared" si="126"/>
        <v>0</v>
      </c>
      <c r="AF538" s="55">
        <f t="shared" si="127"/>
        <v>0</v>
      </c>
      <c r="AG538" s="58">
        <f t="shared" si="128"/>
        <v>0</v>
      </c>
      <c r="AH538" s="47"/>
      <c r="AJ538" s="47"/>
      <c r="AL538" s="47"/>
      <c r="AM538" s="47" t="str">
        <f t="shared" si="129"/>
        <v/>
      </c>
    </row>
    <row r="539" spans="1:39" s="56" customFormat="1" ht="24.75" customHeight="1">
      <c r="A539" s="44"/>
      <c r="B539" s="45"/>
      <c r="C539" s="46">
        <f>IF(B539&lt;&gt;"",VLOOKUP(B539,'Tipo Projeto'!$A$3:$B$35,2,0),0)</f>
        <v>0</v>
      </c>
      <c r="D539" s="47"/>
      <c r="E539" s="47"/>
      <c r="F539" s="48"/>
      <c r="G539" s="47"/>
      <c r="H539" s="49"/>
      <c r="I539" s="50"/>
      <c r="J539" s="51"/>
      <c r="K539" s="52"/>
      <c r="L539" s="53" t="str">
        <f t="shared" si="117"/>
        <v/>
      </c>
      <c r="M539" s="48" t="str">
        <f t="shared" si="118"/>
        <v/>
      </c>
      <c r="N539" s="54" t="str">
        <f t="shared" si="119"/>
        <v/>
      </c>
      <c r="O539" s="55">
        <f t="shared" si="120"/>
        <v>0</v>
      </c>
      <c r="P539" s="55">
        <f t="shared" si="121"/>
        <v>0</v>
      </c>
      <c r="Q539" s="54">
        <f t="shared" si="122"/>
        <v>0</v>
      </c>
      <c r="R539" s="47"/>
      <c r="T539" s="57"/>
      <c r="U539" s="45"/>
      <c r="V539" s="46">
        <f>IF(U539&lt;&gt;"",VLOOKUP(U539,'Tipo Projeto'!$A$3:$B$35,2,0),0)</f>
        <v>0</v>
      </c>
      <c r="W539" s="47"/>
      <c r="X539" s="49"/>
      <c r="Y539" s="50"/>
      <c r="Z539" s="51"/>
      <c r="AA539" s="52"/>
      <c r="AB539" s="53" t="str">
        <f t="shared" si="123"/>
        <v/>
      </c>
      <c r="AC539" s="48" t="str">
        <f t="shared" si="124"/>
        <v/>
      </c>
      <c r="AD539" s="54" t="str">
        <f t="shared" si="125"/>
        <v/>
      </c>
      <c r="AE539" s="55">
        <f t="shared" si="126"/>
        <v>0</v>
      </c>
      <c r="AF539" s="55">
        <f t="shared" si="127"/>
        <v>0</v>
      </c>
      <c r="AG539" s="58">
        <f t="shared" si="128"/>
        <v>0</v>
      </c>
      <c r="AH539" s="47"/>
      <c r="AJ539" s="47"/>
      <c r="AL539" s="47"/>
      <c r="AM539" s="47" t="str">
        <f t="shared" si="129"/>
        <v/>
      </c>
    </row>
    <row r="540" spans="1:39" s="56" customFormat="1" ht="24.75" customHeight="1">
      <c r="A540" s="44"/>
      <c r="B540" s="45"/>
      <c r="C540" s="46">
        <f>IF(B540&lt;&gt;"",VLOOKUP(B540,'Tipo Projeto'!$A$3:$B$35,2,0),0)</f>
        <v>0</v>
      </c>
      <c r="D540" s="47"/>
      <c r="E540" s="47"/>
      <c r="F540" s="48"/>
      <c r="G540" s="47"/>
      <c r="H540" s="49"/>
      <c r="I540" s="50"/>
      <c r="J540" s="51"/>
      <c r="K540" s="52"/>
      <c r="L540" s="53" t="str">
        <f t="shared" si="117"/>
        <v/>
      </c>
      <c r="M540" s="48" t="str">
        <f t="shared" si="118"/>
        <v/>
      </c>
      <c r="N540" s="54" t="str">
        <f t="shared" si="119"/>
        <v/>
      </c>
      <c r="O540" s="55">
        <f t="shared" si="120"/>
        <v>0</v>
      </c>
      <c r="P540" s="55">
        <f t="shared" si="121"/>
        <v>0</v>
      </c>
      <c r="Q540" s="54">
        <f t="shared" si="122"/>
        <v>0</v>
      </c>
      <c r="R540" s="47"/>
      <c r="T540" s="57"/>
      <c r="U540" s="45"/>
      <c r="V540" s="46">
        <f>IF(U540&lt;&gt;"",VLOOKUP(U540,'Tipo Projeto'!$A$3:$B$35,2,0),0)</f>
        <v>0</v>
      </c>
      <c r="W540" s="47"/>
      <c r="X540" s="49"/>
      <c r="Y540" s="50"/>
      <c r="Z540" s="51"/>
      <c r="AA540" s="52"/>
      <c r="AB540" s="53" t="str">
        <f t="shared" si="123"/>
        <v/>
      </c>
      <c r="AC540" s="48" t="str">
        <f t="shared" si="124"/>
        <v/>
      </c>
      <c r="AD540" s="54" t="str">
        <f t="shared" si="125"/>
        <v/>
      </c>
      <c r="AE540" s="55">
        <f t="shared" si="126"/>
        <v>0</v>
      </c>
      <c r="AF540" s="55">
        <f t="shared" si="127"/>
        <v>0</v>
      </c>
      <c r="AG540" s="58">
        <f t="shared" si="128"/>
        <v>0</v>
      </c>
      <c r="AH540" s="47"/>
      <c r="AJ540" s="47"/>
      <c r="AL540" s="47"/>
      <c r="AM540" s="47" t="str">
        <f t="shared" si="129"/>
        <v/>
      </c>
    </row>
    <row r="541" spans="1:39" s="56" customFormat="1" ht="24.75" customHeight="1">
      <c r="A541" s="44"/>
      <c r="B541" s="45"/>
      <c r="C541" s="46">
        <f>IF(B541&lt;&gt;"",VLOOKUP(B541,'Tipo Projeto'!$A$3:$B$35,2,0),0)</f>
        <v>0</v>
      </c>
      <c r="D541" s="47"/>
      <c r="E541" s="47"/>
      <c r="F541" s="48"/>
      <c r="G541" s="47"/>
      <c r="H541" s="49"/>
      <c r="I541" s="50"/>
      <c r="J541" s="51"/>
      <c r="K541" s="52"/>
      <c r="L541" s="53" t="str">
        <f t="shared" si="117"/>
        <v/>
      </c>
      <c r="M541" s="48" t="str">
        <f t="shared" si="118"/>
        <v/>
      </c>
      <c r="N541" s="54" t="str">
        <f t="shared" si="119"/>
        <v/>
      </c>
      <c r="O541" s="55">
        <f t="shared" si="120"/>
        <v>0</v>
      </c>
      <c r="P541" s="55">
        <f t="shared" si="121"/>
        <v>0</v>
      </c>
      <c r="Q541" s="54">
        <f t="shared" si="122"/>
        <v>0</v>
      </c>
      <c r="R541" s="47"/>
      <c r="T541" s="57"/>
      <c r="U541" s="45"/>
      <c r="V541" s="46">
        <f>IF(U541&lt;&gt;"",VLOOKUP(U541,'Tipo Projeto'!$A$3:$B$35,2,0),0)</f>
        <v>0</v>
      </c>
      <c r="W541" s="47"/>
      <c r="X541" s="49"/>
      <c r="Y541" s="50"/>
      <c r="Z541" s="51"/>
      <c r="AA541" s="52"/>
      <c r="AB541" s="53" t="str">
        <f t="shared" si="123"/>
        <v/>
      </c>
      <c r="AC541" s="48" t="str">
        <f t="shared" si="124"/>
        <v/>
      </c>
      <c r="AD541" s="54" t="str">
        <f t="shared" si="125"/>
        <v/>
      </c>
      <c r="AE541" s="55">
        <f t="shared" si="126"/>
        <v>0</v>
      </c>
      <c r="AF541" s="55">
        <f t="shared" si="127"/>
        <v>0</v>
      </c>
      <c r="AG541" s="58">
        <f t="shared" si="128"/>
        <v>0</v>
      </c>
      <c r="AH541" s="47"/>
      <c r="AJ541" s="47"/>
      <c r="AL541" s="47"/>
      <c r="AM541" s="47" t="str">
        <f t="shared" si="129"/>
        <v/>
      </c>
    </row>
    <row r="542" spans="1:39" s="56" customFormat="1" ht="24.75" customHeight="1">
      <c r="A542" s="44"/>
      <c r="B542" s="45"/>
      <c r="C542" s="46">
        <f>IF(B542&lt;&gt;"",VLOOKUP(B542,'Tipo Projeto'!$A$3:$B$35,2,0),0)</f>
        <v>0</v>
      </c>
      <c r="D542" s="47"/>
      <c r="E542" s="47"/>
      <c r="F542" s="48"/>
      <c r="G542" s="47"/>
      <c r="H542" s="49"/>
      <c r="I542" s="50"/>
      <c r="J542" s="51"/>
      <c r="K542" s="52"/>
      <c r="L542" s="53" t="str">
        <f t="shared" si="117"/>
        <v/>
      </c>
      <c r="M542" s="48" t="str">
        <f t="shared" si="118"/>
        <v/>
      </c>
      <c r="N542" s="54" t="str">
        <f t="shared" si="119"/>
        <v/>
      </c>
      <c r="O542" s="55">
        <f t="shared" si="120"/>
        <v>0</v>
      </c>
      <c r="P542" s="55">
        <f t="shared" si="121"/>
        <v>0</v>
      </c>
      <c r="Q542" s="54">
        <f t="shared" si="122"/>
        <v>0</v>
      </c>
      <c r="R542" s="47"/>
      <c r="T542" s="57"/>
      <c r="U542" s="45"/>
      <c r="V542" s="46">
        <f>IF(U542&lt;&gt;"",VLOOKUP(U542,'Tipo Projeto'!$A$3:$B$35,2,0),0)</f>
        <v>0</v>
      </c>
      <c r="W542" s="47"/>
      <c r="X542" s="49"/>
      <c r="Y542" s="50"/>
      <c r="Z542" s="51"/>
      <c r="AA542" s="52"/>
      <c r="AB542" s="53" t="str">
        <f t="shared" si="123"/>
        <v/>
      </c>
      <c r="AC542" s="48" t="str">
        <f t="shared" si="124"/>
        <v/>
      </c>
      <c r="AD542" s="54" t="str">
        <f t="shared" si="125"/>
        <v/>
      </c>
      <c r="AE542" s="55">
        <f t="shared" si="126"/>
        <v>0</v>
      </c>
      <c r="AF542" s="55">
        <f t="shared" si="127"/>
        <v>0</v>
      </c>
      <c r="AG542" s="58">
        <f t="shared" si="128"/>
        <v>0</v>
      </c>
      <c r="AH542" s="47"/>
      <c r="AJ542" s="47"/>
      <c r="AL542" s="47"/>
      <c r="AM542" s="47" t="str">
        <f t="shared" si="129"/>
        <v/>
      </c>
    </row>
    <row r="543" spans="1:39" s="56" customFormat="1" ht="24.75" customHeight="1">
      <c r="A543" s="44"/>
      <c r="B543" s="45"/>
      <c r="C543" s="46">
        <f>IF(B543&lt;&gt;"",VLOOKUP(B543,'Tipo Projeto'!$A$3:$B$35,2,0),0)</f>
        <v>0</v>
      </c>
      <c r="D543" s="47"/>
      <c r="E543" s="47"/>
      <c r="F543" s="48"/>
      <c r="G543" s="47"/>
      <c r="H543" s="49"/>
      <c r="I543" s="50"/>
      <c r="J543" s="51"/>
      <c r="K543" s="52"/>
      <c r="L543" s="53" t="str">
        <f t="shared" si="117"/>
        <v/>
      </c>
      <c r="M543" s="48" t="str">
        <f t="shared" si="118"/>
        <v/>
      </c>
      <c r="N543" s="54" t="str">
        <f t="shared" si="119"/>
        <v/>
      </c>
      <c r="O543" s="55">
        <f t="shared" si="120"/>
        <v>0</v>
      </c>
      <c r="P543" s="55">
        <f t="shared" si="121"/>
        <v>0</v>
      </c>
      <c r="Q543" s="54">
        <f t="shared" si="122"/>
        <v>0</v>
      </c>
      <c r="R543" s="47"/>
      <c r="T543" s="57"/>
      <c r="U543" s="45"/>
      <c r="V543" s="46">
        <f>IF(U543&lt;&gt;"",VLOOKUP(U543,'Tipo Projeto'!$A$3:$B$35,2,0),0)</f>
        <v>0</v>
      </c>
      <c r="W543" s="47"/>
      <c r="X543" s="49"/>
      <c r="Y543" s="50"/>
      <c r="Z543" s="51"/>
      <c r="AA543" s="52"/>
      <c r="AB543" s="53" t="str">
        <f t="shared" si="123"/>
        <v/>
      </c>
      <c r="AC543" s="48" t="str">
        <f t="shared" si="124"/>
        <v/>
      </c>
      <c r="AD543" s="54" t="str">
        <f t="shared" si="125"/>
        <v/>
      </c>
      <c r="AE543" s="55">
        <f t="shared" si="126"/>
        <v>0</v>
      </c>
      <c r="AF543" s="55">
        <f t="shared" si="127"/>
        <v>0</v>
      </c>
      <c r="AG543" s="58">
        <f t="shared" si="128"/>
        <v>0</v>
      </c>
      <c r="AH543" s="47"/>
      <c r="AJ543" s="47"/>
      <c r="AL543" s="47"/>
      <c r="AM543" s="47" t="str">
        <f t="shared" si="129"/>
        <v/>
      </c>
    </row>
    <row r="544" spans="1:39" s="56" customFormat="1" ht="24.75" customHeight="1">
      <c r="A544" s="44"/>
      <c r="B544" s="45"/>
      <c r="C544" s="46">
        <f>IF(B544&lt;&gt;"",VLOOKUP(B544,'Tipo Projeto'!$A$3:$B$35,2,0),0)</f>
        <v>0</v>
      </c>
      <c r="D544" s="47"/>
      <c r="E544" s="47"/>
      <c r="F544" s="48"/>
      <c r="G544" s="47"/>
      <c r="H544" s="49"/>
      <c r="I544" s="50"/>
      <c r="J544" s="51"/>
      <c r="K544" s="52"/>
      <c r="L544" s="53" t="str">
        <f t="shared" si="117"/>
        <v/>
      </c>
      <c r="M544" s="48" t="str">
        <f t="shared" si="118"/>
        <v/>
      </c>
      <c r="N544" s="54" t="str">
        <f t="shared" si="119"/>
        <v/>
      </c>
      <c r="O544" s="55">
        <f t="shared" si="120"/>
        <v>0</v>
      </c>
      <c r="P544" s="55">
        <f t="shared" si="121"/>
        <v>0</v>
      </c>
      <c r="Q544" s="54">
        <f t="shared" si="122"/>
        <v>0</v>
      </c>
      <c r="R544" s="47"/>
      <c r="T544" s="57"/>
      <c r="U544" s="45"/>
      <c r="V544" s="46">
        <f>IF(U544&lt;&gt;"",VLOOKUP(U544,'Tipo Projeto'!$A$3:$B$35,2,0),0)</f>
        <v>0</v>
      </c>
      <c r="W544" s="47"/>
      <c r="X544" s="49"/>
      <c r="Y544" s="50"/>
      <c r="Z544" s="51"/>
      <c r="AA544" s="52"/>
      <c r="AB544" s="53" t="str">
        <f t="shared" si="123"/>
        <v/>
      </c>
      <c r="AC544" s="48" t="str">
        <f t="shared" si="124"/>
        <v/>
      </c>
      <c r="AD544" s="54" t="str">
        <f t="shared" si="125"/>
        <v/>
      </c>
      <c r="AE544" s="55">
        <f t="shared" si="126"/>
        <v>0</v>
      </c>
      <c r="AF544" s="55">
        <f t="shared" si="127"/>
        <v>0</v>
      </c>
      <c r="AG544" s="58">
        <f t="shared" si="128"/>
        <v>0</v>
      </c>
      <c r="AH544" s="47"/>
      <c r="AJ544" s="47"/>
      <c r="AL544" s="47"/>
      <c r="AM544" s="47" t="str">
        <f t="shared" si="129"/>
        <v/>
      </c>
    </row>
    <row r="545" spans="1:39" s="56" customFormat="1" ht="24.75" customHeight="1">
      <c r="A545" s="44"/>
      <c r="B545" s="45"/>
      <c r="C545" s="46">
        <f>IF(B545&lt;&gt;"",VLOOKUP(B545,'Tipo Projeto'!$A$3:$B$35,2,0),0)</f>
        <v>0</v>
      </c>
      <c r="D545" s="47"/>
      <c r="E545" s="47"/>
      <c r="F545" s="48"/>
      <c r="G545" s="47"/>
      <c r="H545" s="49"/>
      <c r="I545" s="50"/>
      <c r="J545" s="51"/>
      <c r="K545" s="52"/>
      <c r="L545" s="53" t="str">
        <f t="shared" si="117"/>
        <v/>
      </c>
      <c r="M545" s="48" t="str">
        <f t="shared" si="118"/>
        <v/>
      </c>
      <c r="N545" s="54" t="str">
        <f t="shared" si="119"/>
        <v/>
      </c>
      <c r="O545" s="55">
        <f t="shared" si="120"/>
        <v>0</v>
      </c>
      <c r="P545" s="55">
        <f t="shared" si="121"/>
        <v>0</v>
      </c>
      <c r="Q545" s="54">
        <f t="shared" si="122"/>
        <v>0</v>
      </c>
      <c r="R545" s="47"/>
      <c r="T545" s="57"/>
      <c r="U545" s="45"/>
      <c r="V545" s="46">
        <f>IF(U545&lt;&gt;"",VLOOKUP(U545,'Tipo Projeto'!$A$3:$B$35,2,0),0)</f>
        <v>0</v>
      </c>
      <c r="W545" s="47"/>
      <c r="X545" s="49"/>
      <c r="Y545" s="50"/>
      <c r="Z545" s="51"/>
      <c r="AA545" s="52"/>
      <c r="AB545" s="53" t="str">
        <f t="shared" si="123"/>
        <v/>
      </c>
      <c r="AC545" s="48" t="str">
        <f t="shared" si="124"/>
        <v/>
      </c>
      <c r="AD545" s="54" t="str">
        <f t="shared" si="125"/>
        <v/>
      </c>
      <c r="AE545" s="55">
        <f t="shared" si="126"/>
        <v>0</v>
      </c>
      <c r="AF545" s="55">
        <f t="shared" si="127"/>
        <v>0</v>
      </c>
      <c r="AG545" s="58">
        <f t="shared" si="128"/>
        <v>0</v>
      </c>
      <c r="AH545" s="47"/>
      <c r="AJ545" s="47"/>
      <c r="AL545" s="47"/>
      <c r="AM545" s="47" t="str">
        <f t="shared" si="129"/>
        <v/>
      </c>
    </row>
    <row r="546" spans="1:39" s="56" customFormat="1" ht="24.75" customHeight="1">
      <c r="A546" s="44"/>
      <c r="B546" s="45"/>
      <c r="C546" s="46">
        <f>IF(B546&lt;&gt;"",VLOOKUP(B546,'Tipo Projeto'!$A$3:$B$35,2,0),0)</f>
        <v>0</v>
      </c>
      <c r="D546" s="47"/>
      <c r="E546" s="47"/>
      <c r="F546" s="48"/>
      <c r="G546" s="47"/>
      <c r="H546" s="49"/>
      <c r="I546" s="50"/>
      <c r="J546" s="51"/>
      <c r="K546" s="52"/>
      <c r="L546" s="53" t="str">
        <f t="shared" si="117"/>
        <v/>
      </c>
      <c r="M546" s="48" t="str">
        <f t="shared" si="118"/>
        <v/>
      </c>
      <c r="N546" s="54" t="str">
        <f t="shared" si="119"/>
        <v/>
      </c>
      <c r="O546" s="55">
        <f t="shared" si="120"/>
        <v>0</v>
      </c>
      <c r="P546" s="55">
        <f t="shared" si="121"/>
        <v>0</v>
      </c>
      <c r="Q546" s="54">
        <f t="shared" si="122"/>
        <v>0</v>
      </c>
      <c r="R546" s="47"/>
      <c r="T546" s="57"/>
      <c r="U546" s="45"/>
      <c r="V546" s="46">
        <f>IF(U546&lt;&gt;"",VLOOKUP(U546,'Tipo Projeto'!$A$3:$B$35,2,0),0)</f>
        <v>0</v>
      </c>
      <c r="W546" s="47"/>
      <c r="X546" s="49"/>
      <c r="Y546" s="50"/>
      <c r="Z546" s="51"/>
      <c r="AA546" s="52"/>
      <c r="AB546" s="53" t="str">
        <f t="shared" si="123"/>
        <v/>
      </c>
      <c r="AC546" s="48" t="str">
        <f t="shared" si="124"/>
        <v/>
      </c>
      <c r="AD546" s="54" t="str">
        <f t="shared" si="125"/>
        <v/>
      </c>
      <c r="AE546" s="55">
        <f t="shared" si="126"/>
        <v>0</v>
      </c>
      <c r="AF546" s="55">
        <f t="shared" si="127"/>
        <v>0</v>
      </c>
      <c r="AG546" s="58">
        <f t="shared" si="128"/>
        <v>0</v>
      </c>
      <c r="AH546" s="47"/>
      <c r="AJ546" s="47"/>
      <c r="AL546" s="47"/>
      <c r="AM546" s="47" t="str">
        <f t="shared" si="129"/>
        <v/>
      </c>
    </row>
    <row r="547" spans="1:39" s="56" customFormat="1" ht="24.75" customHeight="1">
      <c r="A547" s="44"/>
      <c r="B547" s="45"/>
      <c r="C547" s="46">
        <f>IF(B547&lt;&gt;"",VLOOKUP(B547,'Tipo Projeto'!$A$3:$B$35,2,0),0)</f>
        <v>0</v>
      </c>
      <c r="D547" s="47"/>
      <c r="E547" s="47"/>
      <c r="F547" s="48"/>
      <c r="G547" s="47"/>
      <c r="H547" s="49"/>
      <c r="I547" s="50"/>
      <c r="J547" s="51"/>
      <c r="K547" s="52"/>
      <c r="L547" s="53" t="str">
        <f t="shared" si="117"/>
        <v/>
      </c>
      <c r="M547" s="48" t="str">
        <f t="shared" si="118"/>
        <v/>
      </c>
      <c r="N547" s="54" t="str">
        <f t="shared" si="119"/>
        <v/>
      </c>
      <c r="O547" s="55">
        <f t="shared" si="120"/>
        <v>0</v>
      </c>
      <c r="P547" s="55">
        <f t="shared" si="121"/>
        <v>0</v>
      </c>
      <c r="Q547" s="54">
        <f t="shared" si="122"/>
        <v>0</v>
      </c>
      <c r="R547" s="47"/>
      <c r="T547" s="57"/>
      <c r="U547" s="45"/>
      <c r="V547" s="46">
        <f>IF(U547&lt;&gt;"",VLOOKUP(U547,'Tipo Projeto'!$A$3:$B$35,2,0),0)</f>
        <v>0</v>
      </c>
      <c r="W547" s="47"/>
      <c r="X547" s="49"/>
      <c r="Y547" s="50"/>
      <c r="Z547" s="51"/>
      <c r="AA547" s="52"/>
      <c r="AB547" s="53" t="str">
        <f t="shared" si="123"/>
        <v/>
      </c>
      <c r="AC547" s="48" t="str">
        <f t="shared" si="124"/>
        <v/>
      </c>
      <c r="AD547" s="54" t="str">
        <f t="shared" si="125"/>
        <v/>
      </c>
      <c r="AE547" s="55">
        <f t="shared" si="126"/>
        <v>0</v>
      </c>
      <c r="AF547" s="55">
        <f t="shared" si="127"/>
        <v>0</v>
      </c>
      <c r="AG547" s="58">
        <f t="shared" si="128"/>
        <v>0</v>
      </c>
      <c r="AH547" s="47"/>
      <c r="AJ547" s="47"/>
      <c r="AL547" s="47"/>
      <c r="AM547" s="47" t="str">
        <f t="shared" si="129"/>
        <v/>
      </c>
    </row>
    <row r="548" spans="1:39" s="56" customFormat="1" ht="24.75" customHeight="1">
      <c r="A548" s="44"/>
      <c r="B548" s="45"/>
      <c r="C548" s="46">
        <f>IF(B548&lt;&gt;"",VLOOKUP(B548,'Tipo Projeto'!$A$3:$B$35,2,0),0)</f>
        <v>0</v>
      </c>
      <c r="D548" s="47"/>
      <c r="E548" s="47"/>
      <c r="F548" s="48"/>
      <c r="G548" s="47"/>
      <c r="H548" s="49"/>
      <c r="I548" s="50"/>
      <c r="J548" s="51"/>
      <c r="K548" s="52"/>
      <c r="L548" s="53" t="str">
        <f t="shared" si="117"/>
        <v/>
      </c>
      <c r="M548" s="48" t="str">
        <f t="shared" si="118"/>
        <v/>
      </c>
      <c r="N548" s="54" t="str">
        <f t="shared" si="119"/>
        <v/>
      </c>
      <c r="O548" s="55">
        <f t="shared" si="120"/>
        <v>0</v>
      </c>
      <c r="P548" s="55">
        <f t="shared" si="121"/>
        <v>0</v>
      </c>
      <c r="Q548" s="54">
        <f t="shared" si="122"/>
        <v>0</v>
      </c>
      <c r="R548" s="47"/>
      <c r="T548" s="57"/>
      <c r="U548" s="45"/>
      <c r="V548" s="46">
        <f>IF(U548&lt;&gt;"",VLOOKUP(U548,'Tipo Projeto'!$A$3:$B$35,2,0),0)</f>
        <v>0</v>
      </c>
      <c r="W548" s="47"/>
      <c r="X548" s="49"/>
      <c r="Y548" s="50"/>
      <c r="Z548" s="51"/>
      <c r="AA548" s="52"/>
      <c r="AB548" s="53" t="str">
        <f t="shared" si="123"/>
        <v/>
      </c>
      <c r="AC548" s="48" t="str">
        <f t="shared" si="124"/>
        <v/>
      </c>
      <c r="AD548" s="54" t="str">
        <f t="shared" si="125"/>
        <v/>
      </c>
      <c r="AE548" s="55">
        <f t="shared" si="126"/>
        <v>0</v>
      </c>
      <c r="AF548" s="55">
        <f t="shared" si="127"/>
        <v>0</v>
      </c>
      <c r="AG548" s="58">
        <f t="shared" si="128"/>
        <v>0</v>
      </c>
      <c r="AH548" s="47"/>
      <c r="AJ548" s="47"/>
      <c r="AL548" s="47"/>
      <c r="AM548" s="47" t="str">
        <f t="shared" si="129"/>
        <v/>
      </c>
    </row>
    <row r="549" spans="1:39" s="56" customFormat="1" ht="24.75" customHeight="1">
      <c r="A549" s="44"/>
      <c r="B549" s="45"/>
      <c r="C549" s="46">
        <f>IF(B549&lt;&gt;"",VLOOKUP(B549,'Tipo Projeto'!$A$3:$B$35,2,0),0)</f>
        <v>0</v>
      </c>
      <c r="D549" s="47"/>
      <c r="E549" s="47"/>
      <c r="F549" s="48"/>
      <c r="G549" s="47"/>
      <c r="H549" s="49"/>
      <c r="I549" s="50"/>
      <c r="J549" s="51"/>
      <c r="K549" s="52"/>
      <c r="L549" s="53" t="str">
        <f t="shared" si="117"/>
        <v/>
      </c>
      <c r="M549" s="48" t="str">
        <f t="shared" si="118"/>
        <v/>
      </c>
      <c r="N549" s="54" t="str">
        <f t="shared" si="119"/>
        <v/>
      </c>
      <c r="O549" s="55">
        <f t="shared" si="120"/>
        <v>0</v>
      </c>
      <c r="P549" s="55">
        <f t="shared" si="121"/>
        <v>0</v>
      </c>
      <c r="Q549" s="54">
        <f t="shared" si="122"/>
        <v>0</v>
      </c>
      <c r="R549" s="47"/>
      <c r="T549" s="57"/>
      <c r="U549" s="45"/>
      <c r="V549" s="46">
        <f>IF(U549&lt;&gt;"",VLOOKUP(U549,'Tipo Projeto'!$A$3:$B$35,2,0),0)</f>
        <v>0</v>
      </c>
      <c r="W549" s="47"/>
      <c r="X549" s="49"/>
      <c r="Y549" s="50"/>
      <c r="Z549" s="51"/>
      <c r="AA549" s="52"/>
      <c r="AB549" s="53" t="str">
        <f t="shared" si="123"/>
        <v/>
      </c>
      <c r="AC549" s="48" t="str">
        <f t="shared" si="124"/>
        <v/>
      </c>
      <c r="AD549" s="54" t="str">
        <f t="shared" si="125"/>
        <v/>
      </c>
      <c r="AE549" s="55">
        <f t="shared" si="126"/>
        <v>0</v>
      </c>
      <c r="AF549" s="55">
        <f t="shared" si="127"/>
        <v>0</v>
      </c>
      <c r="AG549" s="58">
        <f t="shared" si="128"/>
        <v>0</v>
      </c>
      <c r="AH549" s="47"/>
      <c r="AJ549" s="47"/>
      <c r="AL549" s="47"/>
      <c r="AM549" s="47" t="str">
        <f t="shared" si="129"/>
        <v/>
      </c>
    </row>
    <row r="550" spans="1:39" s="56" customFormat="1" ht="24.75" customHeight="1">
      <c r="A550" s="44"/>
      <c r="B550" s="45"/>
      <c r="C550" s="46">
        <f>IF(B550&lt;&gt;"",VLOOKUP(B550,'Tipo Projeto'!$A$3:$B$35,2,0),0)</f>
        <v>0</v>
      </c>
      <c r="D550" s="47"/>
      <c r="E550" s="47"/>
      <c r="F550" s="48"/>
      <c r="G550" s="47"/>
      <c r="H550" s="49"/>
      <c r="I550" s="50"/>
      <c r="J550" s="51"/>
      <c r="K550" s="52"/>
      <c r="L550" s="53" t="str">
        <f t="shared" si="117"/>
        <v/>
      </c>
      <c r="M550" s="48" t="str">
        <f t="shared" si="118"/>
        <v/>
      </c>
      <c r="N550" s="54" t="str">
        <f t="shared" si="119"/>
        <v/>
      </c>
      <c r="O550" s="55">
        <f t="shared" si="120"/>
        <v>0</v>
      </c>
      <c r="P550" s="55">
        <f t="shared" si="121"/>
        <v>0</v>
      </c>
      <c r="Q550" s="54">
        <f t="shared" si="122"/>
        <v>0</v>
      </c>
      <c r="R550" s="47"/>
      <c r="T550" s="57"/>
      <c r="U550" s="45"/>
      <c r="V550" s="46">
        <f>IF(U550&lt;&gt;"",VLOOKUP(U550,'Tipo Projeto'!$A$3:$B$35,2,0),0)</f>
        <v>0</v>
      </c>
      <c r="W550" s="47"/>
      <c r="X550" s="49"/>
      <c r="Y550" s="50"/>
      <c r="Z550" s="51"/>
      <c r="AA550" s="52"/>
      <c r="AB550" s="53" t="str">
        <f t="shared" si="123"/>
        <v/>
      </c>
      <c r="AC550" s="48" t="str">
        <f t="shared" si="124"/>
        <v/>
      </c>
      <c r="AD550" s="54" t="str">
        <f t="shared" si="125"/>
        <v/>
      </c>
      <c r="AE550" s="55">
        <f t="shared" si="126"/>
        <v>0</v>
      </c>
      <c r="AF550" s="55">
        <f t="shared" si="127"/>
        <v>0</v>
      </c>
      <c r="AG550" s="58">
        <f t="shared" si="128"/>
        <v>0</v>
      </c>
      <c r="AH550" s="47"/>
      <c r="AJ550" s="47"/>
      <c r="AL550" s="47"/>
      <c r="AM550" s="47" t="str">
        <f t="shared" si="129"/>
        <v/>
      </c>
    </row>
    <row r="551" spans="1:39" s="56" customFormat="1" ht="24.75" customHeight="1">
      <c r="A551" s="44"/>
      <c r="B551" s="45"/>
      <c r="C551" s="46">
        <f>IF(B551&lt;&gt;"",VLOOKUP(B551,'Tipo Projeto'!$A$3:$B$35,2,0),0)</f>
        <v>0</v>
      </c>
      <c r="D551" s="47"/>
      <c r="E551" s="47"/>
      <c r="F551" s="48"/>
      <c r="G551" s="47"/>
      <c r="H551" s="49"/>
      <c r="I551" s="50"/>
      <c r="J551" s="51"/>
      <c r="K551" s="52"/>
      <c r="L551" s="53" t="str">
        <f t="shared" si="117"/>
        <v/>
      </c>
      <c r="M551" s="48" t="str">
        <f t="shared" si="118"/>
        <v/>
      </c>
      <c r="N551" s="54" t="str">
        <f t="shared" si="119"/>
        <v/>
      </c>
      <c r="O551" s="55">
        <f t="shared" si="120"/>
        <v>0</v>
      </c>
      <c r="P551" s="55">
        <f t="shared" si="121"/>
        <v>0</v>
      </c>
      <c r="Q551" s="54">
        <f t="shared" si="122"/>
        <v>0</v>
      </c>
      <c r="R551" s="47"/>
      <c r="T551" s="57"/>
      <c r="U551" s="45"/>
      <c r="V551" s="46">
        <f>IF(U551&lt;&gt;"",VLOOKUP(U551,'Tipo Projeto'!$A$3:$B$35,2,0),0)</f>
        <v>0</v>
      </c>
      <c r="W551" s="47"/>
      <c r="X551" s="49"/>
      <c r="Y551" s="50"/>
      <c r="Z551" s="51"/>
      <c r="AA551" s="52"/>
      <c r="AB551" s="53" t="str">
        <f t="shared" si="123"/>
        <v/>
      </c>
      <c r="AC551" s="48" t="str">
        <f t="shared" si="124"/>
        <v/>
      </c>
      <c r="AD551" s="54" t="str">
        <f t="shared" si="125"/>
        <v/>
      </c>
      <c r="AE551" s="55">
        <f t="shared" si="126"/>
        <v>0</v>
      </c>
      <c r="AF551" s="55">
        <f t="shared" si="127"/>
        <v>0</v>
      </c>
      <c r="AG551" s="58">
        <f t="shared" si="128"/>
        <v>0</v>
      </c>
      <c r="AH551" s="47"/>
      <c r="AJ551" s="47"/>
      <c r="AL551" s="47"/>
      <c r="AM551" s="47" t="str">
        <f t="shared" si="129"/>
        <v/>
      </c>
    </row>
    <row r="552" spans="1:39" s="56" customFormat="1" ht="24.75" customHeight="1">
      <c r="A552" s="44"/>
      <c r="B552" s="45"/>
      <c r="C552" s="46">
        <f>IF(B552&lt;&gt;"",VLOOKUP(B552,'Tipo Projeto'!$A$3:$B$35,2,0),0)</f>
        <v>0</v>
      </c>
      <c r="D552" s="47"/>
      <c r="E552" s="47"/>
      <c r="F552" s="48"/>
      <c r="G552" s="47"/>
      <c r="H552" s="49"/>
      <c r="I552" s="50"/>
      <c r="J552" s="51"/>
      <c r="K552" s="52"/>
      <c r="L552" s="53" t="str">
        <f t="shared" si="117"/>
        <v/>
      </c>
      <c r="M552" s="48" t="str">
        <f t="shared" si="118"/>
        <v/>
      </c>
      <c r="N552" s="54" t="str">
        <f t="shared" si="119"/>
        <v/>
      </c>
      <c r="O552" s="55">
        <f t="shared" si="120"/>
        <v>0</v>
      </c>
      <c r="P552" s="55">
        <f t="shared" si="121"/>
        <v>0</v>
      </c>
      <c r="Q552" s="54">
        <f t="shared" si="122"/>
        <v>0</v>
      </c>
      <c r="R552" s="47"/>
      <c r="T552" s="57"/>
      <c r="U552" s="45"/>
      <c r="V552" s="46">
        <f>IF(U552&lt;&gt;"",VLOOKUP(U552,'Tipo Projeto'!$A$3:$B$35,2,0),0)</f>
        <v>0</v>
      </c>
      <c r="W552" s="47"/>
      <c r="X552" s="49"/>
      <c r="Y552" s="50"/>
      <c r="Z552" s="51"/>
      <c r="AA552" s="52"/>
      <c r="AB552" s="53" t="str">
        <f t="shared" si="123"/>
        <v/>
      </c>
      <c r="AC552" s="48" t="str">
        <f t="shared" si="124"/>
        <v/>
      </c>
      <c r="AD552" s="54" t="str">
        <f t="shared" si="125"/>
        <v/>
      </c>
      <c r="AE552" s="55">
        <f t="shared" si="126"/>
        <v>0</v>
      </c>
      <c r="AF552" s="55">
        <f t="shared" si="127"/>
        <v>0</v>
      </c>
      <c r="AG552" s="58">
        <f t="shared" si="128"/>
        <v>0</v>
      </c>
      <c r="AH552" s="47"/>
      <c r="AJ552" s="47"/>
      <c r="AL552" s="47"/>
      <c r="AM552" s="47" t="str">
        <f t="shared" si="129"/>
        <v/>
      </c>
    </row>
    <row r="553" spans="1:39" s="56" customFormat="1" ht="24.75" customHeight="1">
      <c r="A553" s="44"/>
      <c r="B553" s="45"/>
      <c r="C553" s="46">
        <f>IF(B553&lt;&gt;"",VLOOKUP(B553,'Tipo Projeto'!$A$3:$B$35,2,0),0)</f>
        <v>0</v>
      </c>
      <c r="D553" s="47"/>
      <c r="E553" s="47"/>
      <c r="F553" s="48"/>
      <c r="G553" s="47"/>
      <c r="H553" s="49"/>
      <c r="I553" s="50"/>
      <c r="J553" s="51"/>
      <c r="K553" s="52"/>
      <c r="L553" s="53" t="str">
        <f t="shared" si="117"/>
        <v/>
      </c>
      <c r="M553" s="48" t="str">
        <f t="shared" si="118"/>
        <v/>
      </c>
      <c r="N553" s="54" t="str">
        <f t="shared" si="119"/>
        <v/>
      </c>
      <c r="O553" s="55">
        <f t="shared" si="120"/>
        <v>0</v>
      </c>
      <c r="P553" s="55">
        <f t="shared" si="121"/>
        <v>0</v>
      </c>
      <c r="Q553" s="54">
        <f t="shared" si="122"/>
        <v>0</v>
      </c>
      <c r="R553" s="47"/>
      <c r="T553" s="57"/>
      <c r="U553" s="45"/>
      <c r="V553" s="46">
        <f>IF(U553&lt;&gt;"",VLOOKUP(U553,'Tipo Projeto'!$A$3:$B$35,2,0),0)</f>
        <v>0</v>
      </c>
      <c r="W553" s="47"/>
      <c r="X553" s="49"/>
      <c r="Y553" s="50"/>
      <c r="Z553" s="51"/>
      <c r="AA553" s="52"/>
      <c r="AB553" s="53" t="str">
        <f t="shared" si="123"/>
        <v/>
      </c>
      <c r="AC553" s="48" t="str">
        <f t="shared" si="124"/>
        <v/>
      </c>
      <c r="AD553" s="54" t="str">
        <f t="shared" si="125"/>
        <v/>
      </c>
      <c r="AE553" s="55">
        <f t="shared" si="126"/>
        <v>0</v>
      </c>
      <c r="AF553" s="55">
        <f t="shared" si="127"/>
        <v>0</v>
      </c>
      <c r="AG553" s="58">
        <f t="shared" si="128"/>
        <v>0</v>
      </c>
      <c r="AH553" s="47"/>
      <c r="AJ553" s="47"/>
      <c r="AL553" s="47"/>
      <c r="AM553" s="47" t="str">
        <f t="shared" si="129"/>
        <v/>
      </c>
    </row>
    <row r="554" spans="1:39" s="56" customFormat="1" ht="24.75" customHeight="1">
      <c r="A554" s="44"/>
      <c r="B554" s="45"/>
      <c r="C554" s="46">
        <f>IF(B554&lt;&gt;"",VLOOKUP(B554,'Tipo Projeto'!$A$3:$B$35,2,0),0)</f>
        <v>0</v>
      </c>
      <c r="D554" s="47"/>
      <c r="E554" s="47"/>
      <c r="F554" s="48"/>
      <c r="G554" s="47"/>
      <c r="H554" s="49"/>
      <c r="I554" s="50"/>
      <c r="J554" s="51"/>
      <c r="K554" s="52"/>
      <c r="L554" s="53" t="str">
        <f t="shared" si="117"/>
        <v/>
      </c>
      <c r="M554" s="48" t="str">
        <f t="shared" si="118"/>
        <v/>
      </c>
      <c r="N554" s="54" t="str">
        <f t="shared" si="119"/>
        <v/>
      </c>
      <c r="O554" s="55">
        <f t="shared" si="120"/>
        <v>0</v>
      </c>
      <c r="P554" s="55">
        <f t="shared" si="121"/>
        <v>0</v>
      </c>
      <c r="Q554" s="54">
        <f t="shared" si="122"/>
        <v>0</v>
      </c>
      <c r="R554" s="47"/>
      <c r="T554" s="57"/>
      <c r="U554" s="45"/>
      <c r="V554" s="46">
        <f>IF(U554&lt;&gt;"",VLOOKUP(U554,'Tipo Projeto'!$A$3:$B$35,2,0),0)</f>
        <v>0</v>
      </c>
      <c r="W554" s="47"/>
      <c r="X554" s="49"/>
      <c r="Y554" s="50"/>
      <c r="Z554" s="51"/>
      <c r="AA554" s="52"/>
      <c r="AB554" s="53" t="str">
        <f t="shared" si="123"/>
        <v/>
      </c>
      <c r="AC554" s="48" t="str">
        <f t="shared" si="124"/>
        <v/>
      </c>
      <c r="AD554" s="54" t="str">
        <f t="shared" si="125"/>
        <v/>
      </c>
      <c r="AE554" s="55">
        <f t="shared" si="126"/>
        <v>0</v>
      </c>
      <c r="AF554" s="55">
        <f t="shared" si="127"/>
        <v>0</v>
      </c>
      <c r="AG554" s="58">
        <f t="shared" si="128"/>
        <v>0</v>
      </c>
      <c r="AH554" s="47"/>
      <c r="AJ554" s="47"/>
      <c r="AL554" s="47"/>
      <c r="AM554" s="47" t="str">
        <f t="shared" si="129"/>
        <v/>
      </c>
    </row>
    <row r="555" spans="1:39" s="56" customFormat="1" ht="24.75" customHeight="1">
      <c r="A555" s="44"/>
      <c r="B555" s="45"/>
      <c r="C555" s="46">
        <f>IF(B555&lt;&gt;"",VLOOKUP(B555,'Tipo Projeto'!$A$3:$B$35,2,0),0)</f>
        <v>0</v>
      </c>
      <c r="D555" s="47"/>
      <c r="E555" s="47"/>
      <c r="F555" s="48"/>
      <c r="G555" s="47"/>
      <c r="H555" s="49"/>
      <c r="I555" s="50"/>
      <c r="J555" s="51"/>
      <c r="K555" s="52"/>
      <c r="L555" s="53" t="str">
        <f t="shared" si="117"/>
        <v/>
      </c>
      <c r="M555" s="48" t="str">
        <f t="shared" si="118"/>
        <v/>
      </c>
      <c r="N555" s="54" t="str">
        <f t="shared" si="119"/>
        <v/>
      </c>
      <c r="O555" s="55">
        <f t="shared" si="120"/>
        <v>0</v>
      </c>
      <c r="P555" s="55">
        <f t="shared" si="121"/>
        <v>0</v>
      </c>
      <c r="Q555" s="54">
        <f t="shared" si="122"/>
        <v>0</v>
      </c>
      <c r="R555" s="47"/>
      <c r="T555" s="57"/>
      <c r="U555" s="45"/>
      <c r="V555" s="46">
        <f>IF(U555&lt;&gt;"",VLOOKUP(U555,'Tipo Projeto'!$A$3:$B$35,2,0),0)</f>
        <v>0</v>
      </c>
      <c r="W555" s="47"/>
      <c r="X555" s="49"/>
      <c r="Y555" s="50"/>
      <c r="Z555" s="51"/>
      <c r="AA555" s="52"/>
      <c r="AB555" s="53" t="str">
        <f t="shared" si="123"/>
        <v/>
      </c>
      <c r="AC555" s="48" t="str">
        <f t="shared" si="124"/>
        <v/>
      </c>
      <c r="AD555" s="54" t="str">
        <f t="shared" si="125"/>
        <v/>
      </c>
      <c r="AE555" s="55">
        <f t="shared" si="126"/>
        <v>0</v>
      </c>
      <c r="AF555" s="55">
        <f t="shared" si="127"/>
        <v>0</v>
      </c>
      <c r="AG555" s="58">
        <f t="shared" si="128"/>
        <v>0</v>
      </c>
      <c r="AH555" s="47"/>
      <c r="AJ555" s="47"/>
      <c r="AL555" s="47"/>
      <c r="AM555" s="47" t="str">
        <f t="shared" si="129"/>
        <v/>
      </c>
    </row>
    <row r="556" spans="1:39" s="56" customFormat="1" ht="24.75" customHeight="1">
      <c r="A556" s="44"/>
      <c r="B556" s="45"/>
      <c r="C556" s="46">
        <f>IF(B556&lt;&gt;"",VLOOKUP(B556,'Tipo Projeto'!$A$3:$B$35,2,0),0)</f>
        <v>0</v>
      </c>
      <c r="D556" s="47"/>
      <c r="E556" s="47"/>
      <c r="F556" s="48"/>
      <c r="G556" s="47"/>
      <c r="H556" s="49"/>
      <c r="I556" s="50"/>
      <c r="J556" s="51"/>
      <c r="K556" s="52"/>
      <c r="L556" s="53" t="str">
        <f t="shared" si="117"/>
        <v/>
      </c>
      <c r="M556" s="48" t="str">
        <f t="shared" si="118"/>
        <v/>
      </c>
      <c r="N556" s="54" t="str">
        <f t="shared" si="119"/>
        <v/>
      </c>
      <c r="O556" s="55">
        <f t="shared" si="120"/>
        <v>0</v>
      </c>
      <c r="P556" s="55">
        <f t="shared" si="121"/>
        <v>0</v>
      </c>
      <c r="Q556" s="54">
        <f t="shared" si="122"/>
        <v>0</v>
      </c>
      <c r="R556" s="47"/>
      <c r="T556" s="57"/>
      <c r="U556" s="45"/>
      <c r="V556" s="46">
        <f>IF(U556&lt;&gt;"",VLOOKUP(U556,'Tipo Projeto'!$A$3:$B$35,2,0),0)</f>
        <v>0</v>
      </c>
      <c r="W556" s="47"/>
      <c r="X556" s="49"/>
      <c r="Y556" s="50"/>
      <c r="Z556" s="51"/>
      <c r="AA556" s="52"/>
      <c r="AB556" s="53" t="str">
        <f t="shared" si="123"/>
        <v/>
      </c>
      <c r="AC556" s="48" t="str">
        <f t="shared" si="124"/>
        <v/>
      </c>
      <c r="AD556" s="54" t="str">
        <f t="shared" si="125"/>
        <v/>
      </c>
      <c r="AE556" s="55">
        <f t="shared" si="126"/>
        <v>0</v>
      </c>
      <c r="AF556" s="55">
        <f t="shared" si="127"/>
        <v>0</v>
      </c>
      <c r="AG556" s="58">
        <f t="shared" si="128"/>
        <v>0</v>
      </c>
      <c r="AH556" s="47"/>
      <c r="AJ556" s="47"/>
      <c r="AL556" s="47"/>
      <c r="AM556" s="47" t="str">
        <f t="shared" si="129"/>
        <v/>
      </c>
    </row>
    <row r="557" spans="1:39" s="56" customFormat="1" ht="24.75" customHeight="1">
      <c r="A557" s="44"/>
      <c r="B557" s="45"/>
      <c r="C557" s="46">
        <f>IF(B557&lt;&gt;"",VLOOKUP(B557,'Tipo Projeto'!$A$3:$B$35,2,0),0)</f>
        <v>0</v>
      </c>
      <c r="D557" s="47"/>
      <c r="E557" s="47"/>
      <c r="F557" s="48"/>
      <c r="G557" s="47"/>
      <c r="H557" s="49"/>
      <c r="I557" s="50"/>
      <c r="J557" s="51"/>
      <c r="K557" s="52"/>
      <c r="L557" s="53" t="str">
        <f t="shared" si="117"/>
        <v/>
      </c>
      <c r="M557" s="48" t="str">
        <f t="shared" si="118"/>
        <v/>
      </c>
      <c r="N557" s="54" t="str">
        <f t="shared" si="119"/>
        <v/>
      </c>
      <c r="O557" s="55">
        <f t="shared" si="120"/>
        <v>0</v>
      </c>
      <c r="P557" s="55">
        <f t="shared" si="121"/>
        <v>0</v>
      </c>
      <c r="Q557" s="54">
        <f t="shared" si="122"/>
        <v>0</v>
      </c>
      <c r="R557" s="47"/>
      <c r="T557" s="57"/>
      <c r="U557" s="45"/>
      <c r="V557" s="46">
        <f>IF(U557&lt;&gt;"",VLOOKUP(U557,'Tipo Projeto'!$A$3:$B$35,2,0),0)</f>
        <v>0</v>
      </c>
      <c r="W557" s="47"/>
      <c r="X557" s="49"/>
      <c r="Y557" s="50"/>
      <c r="Z557" s="51"/>
      <c r="AA557" s="52"/>
      <c r="AB557" s="53" t="str">
        <f t="shared" si="123"/>
        <v/>
      </c>
      <c r="AC557" s="48" t="str">
        <f t="shared" si="124"/>
        <v/>
      </c>
      <c r="AD557" s="54" t="str">
        <f t="shared" si="125"/>
        <v/>
      </c>
      <c r="AE557" s="55">
        <f t="shared" si="126"/>
        <v>0</v>
      </c>
      <c r="AF557" s="55">
        <f t="shared" si="127"/>
        <v>0</v>
      </c>
      <c r="AG557" s="58">
        <f t="shared" si="128"/>
        <v>0</v>
      </c>
      <c r="AH557" s="47"/>
      <c r="AJ557" s="47"/>
      <c r="AL557" s="47"/>
      <c r="AM557" s="47" t="str">
        <f t="shared" si="129"/>
        <v/>
      </c>
    </row>
    <row r="558" spans="1:39" s="56" customFormat="1" ht="24.75" customHeight="1">
      <c r="A558" s="44"/>
      <c r="B558" s="45"/>
      <c r="C558" s="46">
        <f>IF(B558&lt;&gt;"",VLOOKUP(B558,'Tipo Projeto'!$A$3:$B$35,2,0),0)</f>
        <v>0</v>
      </c>
      <c r="D558" s="47"/>
      <c r="E558" s="47"/>
      <c r="F558" s="48"/>
      <c r="G558" s="47"/>
      <c r="H558" s="49"/>
      <c r="I558" s="50"/>
      <c r="J558" s="51"/>
      <c r="K558" s="52"/>
      <c r="L558" s="53" t="str">
        <f t="shared" si="117"/>
        <v/>
      </c>
      <c r="M558" s="48" t="str">
        <f t="shared" si="118"/>
        <v/>
      </c>
      <c r="N558" s="54" t="str">
        <f t="shared" si="119"/>
        <v/>
      </c>
      <c r="O558" s="55">
        <f t="shared" si="120"/>
        <v>0</v>
      </c>
      <c r="P558" s="55">
        <f t="shared" si="121"/>
        <v>0</v>
      </c>
      <c r="Q558" s="54">
        <f t="shared" si="122"/>
        <v>0</v>
      </c>
      <c r="R558" s="47"/>
      <c r="T558" s="57"/>
      <c r="U558" s="45"/>
      <c r="V558" s="46">
        <f>IF(U558&lt;&gt;"",VLOOKUP(U558,'Tipo Projeto'!$A$3:$B$35,2,0),0)</f>
        <v>0</v>
      </c>
      <c r="W558" s="47"/>
      <c r="X558" s="49"/>
      <c r="Y558" s="50"/>
      <c r="Z558" s="51"/>
      <c r="AA558" s="52"/>
      <c r="AB558" s="53" t="str">
        <f t="shared" si="123"/>
        <v/>
      </c>
      <c r="AC558" s="48" t="str">
        <f t="shared" si="124"/>
        <v/>
      </c>
      <c r="AD558" s="54" t="str">
        <f t="shared" si="125"/>
        <v/>
      </c>
      <c r="AE558" s="55">
        <f t="shared" si="126"/>
        <v>0</v>
      </c>
      <c r="AF558" s="55">
        <f t="shared" si="127"/>
        <v>0</v>
      </c>
      <c r="AG558" s="58">
        <f t="shared" si="128"/>
        <v>0</v>
      </c>
      <c r="AH558" s="47"/>
      <c r="AJ558" s="47"/>
      <c r="AL558" s="47"/>
      <c r="AM558" s="47" t="str">
        <f t="shared" si="129"/>
        <v/>
      </c>
    </row>
    <row r="559" spans="1:39" s="56" customFormat="1" ht="24.75" customHeight="1">
      <c r="A559" s="44"/>
      <c r="B559" s="45"/>
      <c r="C559" s="46">
        <f>IF(B559&lt;&gt;"",VLOOKUP(B559,'Tipo Projeto'!$A$3:$B$35,2,0),0)</f>
        <v>0</v>
      </c>
      <c r="D559" s="47"/>
      <c r="E559" s="47"/>
      <c r="F559" s="48"/>
      <c r="G559" s="47"/>
      <c r="H559" s="49"/>
      <c r="I559" s="50"/>
      <c r="J559" s="51"/>
      <c r="K559" s="52"/>
      <c r="L559" s="53" t="str">
        <f t="shared" si="117"/>
        <v/>
      </c>
      <c r="M559" s="48" t="str">
        <f t="shared" si="118"/>
        <v/>
      </c>
      <c r="N559" s="54" t="str">
        <f t="shared" si="119"/>
        <v/>
      </c>
      <c r="O559" s="55">
        <f t="shared" si="120"/>
        <v>0</v>
      </c>
      <c r="P559" s="55">
        <f t="shared" si="121"/>
        <v>0</v>
      </c>
      <c r="Q559" s="54">
        <f t="shared" si="122"/>
        <v>0</v>
      </c>
      <c r="R559" s="47"/>
      <c r="T559" s="57"/>
      <c r="U559" s="45"/>
      <c r="V559" s="46">
        <f>IF(U559&lt;&gt;"",VLOOKUP(U559,'Tipo Projeto'!$A$3:$B$35,2,0),0)</f>
        <v>0</v>
      </c>
      <c r="W559" s="47"/>
      <c r="X559" s="49"/>
      <c r="Y559" s="50"/>
      <c r="Z559" s="51"/>
      <c r="AA559" s="52"/>
      <c r="AB559" s="53" t="str">
        <f t="shared" si="123"/>
        <v/>
      </c>
      <c r="AC559" s="48" t="str">
        <f t="shared" si="124"/>
        <v/>
      </c>
      <c r="AD559" s="54" t="str">
        <f t="shared" si="125"/>
        <v/>
      </c>
      <c r="AE559" s="55">
        <f t="shared" si="126"/>
        <v>0</v>
      </c>
      <c r="AF559" s="55">
        <f t="shared" si="127"/>
        <v>0</v>
      </c>
      <c r="AG559" s="58">
        <f t="shared" si="128"/>
        <v>0</v>
      </c>
      <c r="AH559" s="47"/>
      <c r="AJ559" s="47"/>
      <c r="AL559" s="47"/>
      <c r="AM559" s="47" t="str">
        <f t="shared" si="129"/>
        <v/>
      </c>
    </row>
    <row r="560" spans="1:39" s="56" customFormat="1" ht="24.75" customHeight="1">
      <c r="A560" s="44"/>
      <c r="B560" s="45"/>
      <c r="C560" s="46">
        <f>IF(B560&lt;&gt;"",VLOOKUP(B560,'Tipo Projeto'!$A$3:$B$35,2,0),0)</f>
        <v>0</v>
      </c>
      <c r="D560" s="47"/>
      <c r="E560" s="47"/>
      <c r="F560" s="48"/>
      <c r="G560" s="47"/>
      <c r="H560" s="49"/>
      <c r="I560" s="50"/>
      <c r="J560" s="51"/>
      <c r="K560" s="52"/>
      <c r="L560" s="53" t="str">
        <f t="shared" si="117"/>
        <v/>
      </c>
      <c r="M560" s="48" t="str">
        <f t="shared" si="118"/>
        <v/>
      </c>
      <c r="N560" s="54" t="str">
        <f t="shared" si="119"/>
        <v/>
      </c>
      <c r="O560" s="55">
        <f t="shared" si="120"/>
        <v>0</v>
      </c>
      <c r="P560" s="55">
        <f t="shared" si="121"/>
        <v>0</v>
      </c>
      <c r="Q560" s="54">
        <f t="shared" si="122"/>
        <v>0</v>
      </c>
      <c r="R560" s="47"/>
      <c r="T560" s="57"/>
      <c r="U560" s="45"/>
      <c r="V560" s="46">
        <f>IF(U560&lt;&gt;"",VLOOKUP(U560,'Tipo Projeto'!$A$3:$B$35,2,0),0)</f>
        <v>0</v>
      </c>
      <c r="W560" s="47"/>
      <c r="X560" s="49"/>
      <c r="Y560" s="50"/>
      <c r="Z560" s="51"/>
      <c r="AA560" s="52"/>
      <c r="AB560" s="53" t="str">
        <f t="shared" si="123"/>
        <v/>
      </c>
      <c r="AC560" s="48" t="str">
        <f t="shared" si="124"/>
        <v/>
      </c>
      <c r="AD560" s="54" t="str">
        <f t="shared" si="125"/>
        <v/>
      </c>
      <c r="AE560" s="55">
        <f t="shared" si="126"/>
        <v>0</v>
      </c>
      <c r="AF560" s="55">
        <f t="shared" si="127"/>
        <v>0</v>
      </c>
      <c r="AG560" s="58">
        <f t="shared" si="128"/>
        <v>0</v>
      </c>
      <c r="AH560" s="47"/>
      <c r="AJ560" s="47"/>
      <c r="AL560" s="47"/>
      <c r="AM560" s="47" t="str">
        <f t="shared" si="129"/>
        <v/>
      </c>
    </row>
    <row r="561" spans="1:39" s="56" customFormat="1" ht="24.75" customHeight="1">
      <c r="A561" s="44"/>
      <c r="B561" s="45"/>
      <c r="C561" s="46">
        <f>IF(B561&lt;&gt;"",VLOOKUP(B561,'Tipo Projeto'!$A$3:$B$35,2,0),0)</f>
        <v>0</v>
      </c>
      <c r="D561" s="47"/>
      <c r="E561" s="47"/>
      <c r="F561" s="48"/>
      <c r="G561" s="47"/>
      <c r="H561" s="49"/>
      <c r="I561" s="50"/>
      <c r="J561" s="51"/>
      <c r="K561" s="52"/>
      <c r="L561" s="53" t="str">
        <f t="shared" si="117"/>
        <v/>
      </c>
      <c r="M561" s="48" t="str">
        <f t="shared" si="118"/>
        <v/>
      </c>
      <c r="N561" s="54" t="str">
        <f t="shared" si="119"/>
        <v/>
      </c>
      <c r="O561" s="55">
        <f t="shared" si="120"/>
        <v>0</v>
      </c>
      <c r="P561" s="55">
        <f t="shared" si="121"/>
        <v>0</v>
      </c>
      <c r="Q561" s="54">
        <f t="shared" si="122"/>
        <v>0</v>
      </c>
      <c r="R561" s="47"/>
      <c r="T561" s="57"/>
      <c r="U561" s="45"/>
      <c r="V561" s="46">
        <f>IF(U561&lt;&gt;"",VLOOKUP(U561,'Tipo Projeto'!$A$3:$B$35,2,0),0)</f>
        <v>0</v>
      </c>
      <c r="W561" s="47"/>
      <c r="X561" s="49"/>
      <c r="Y561" s="50"/>
      <c r="Z561" s="51"/>
      <c r="AA561" s="52"/>
      <c r="AB561" s="53" t="str">
        <f t="shared" si="123"/>
        <v/>
      </c>
      <c r="AC561" s="48" t="str">
        <f t="shared" si="124"/>
        <v/>
      </c>
      <c r="AD561" s="54" t="str">
        <f t="shared" si="125"/>
        <v/>
      </c>
      <c r="AE561" s="55">
        <f t="shared" si="126"/>
        <v>0</v>
      </c>
      <c r="AF561" s="55">
        <f t="shared" si="127"/>
        <v>0</v>
      </c>
      <c r="AG561" s="58">
        <f t="shared" si="128"/>
        <v>0</v>
      </c>
      <c r="AH561" s="47"/>
      <c r="AJ561" s="47"/>
      <c r="AL561" s="47"/>
      <c r="AM561" s="47" t="str">
        <f t="shared" si="129"/>
        <v/>
      </c>
    </row>
    <row r="562" spans="1:39" s="56" customFormat="1" ht="24.75" customHeight="1">
      <c r="A562" s="44"/>
      <c r="B562" s="45"/>
      <c r="C562" s="46">
        <f>IF(B562&lt;&gt;"",VLOOKUP(B562,'Tipo Projeto'!$A$3:$B$35,2,0),0)</f>
        <v>0</v>
      </c>
      <c r="D562" s="47"/>
      <c r="E562" s="47"/>
      <c r="F562" s="48"/>
      <c r="G562" s="47"/>
      <c r="H562" s="49"/>
      <c r="I562" s="50"/>
      <c r="J562" s="51"/>
      <c r="K562" s="52"/>
      <c r="L562" s="53" t="str">
        <f t="shared" si="117"/>
        <v/>
      </c>
      <c r="M562" s="48" t="str">
        <f t="shared" si="118"/>
        <v/>
      </c>
      <c r="N562" s="54" t="str">
        <f t="shared" si="119"/>
        <v/>
      </c>
      <c r="O562" s="55">
        <f t="shared" si="120"/>
        <v>0</v>
      </c>
      <c r="P562" s="55">
        <f t="shared" si="121"/>
        <v>0</v>
      </c>
      <c r="Q562" s="54">
        <f t="shared" si="122"/>
        <v>0</v>
      </c>
      <c r="R562" s="47"/>
      <c r="T562" s="57"/>
      <c r="U562" s="45"/>
      <c r="V562" s="46">
        <f>IF(U562&lt;&gt;"",VLOOKUP(U562,'Tipo Projeto'!$A$3:$B$35,2,0),0)</f>
        <v>0</v>
      </c>
      <c r="W562" s="47"/>
      <c r="X562" s="49"/>
      <c r="Y562" s="50"/>
      <c r="Z562" s="51"/>
      <c r="AA562" s="52"/>
      <c r="AB562" s="53" t="str">
        <f t="shared" si="123"/>
        <v/>
      </c>
      <c r="AC562" s="48" t="str">
        <f t="shared" si="124"/>
        <v/>
      </c>
      <c r="AD562" s="54" t="str">
        <f t="shared" si="125"/>
        <v/>
      </c>
      <c r="AE562" s="55">
        <f t="shared" si="126"/>
        <v>0</v>
      </c>
      <c r="AF562" s="55">
        <f t="shared" si="127"/>
        <v>0</v>
      </c>
      <c r="AG562" s="58">
        <f t="shared" si="128"/>
        <v>0</v>
      </c>
      <c r="AH562" s="47"/>
      <c r="AJ562" s="47"/>
      <c r="AL562" s="47"/>
      <c r="AM562" s="47" t="str">
        <f t="shared" si="129"/>
        <v/>
      </c>
    </row>
    <row r="563" spans="1:39" s="56" customFormat="1" ht="24.75" customHeight="1">
      <c r="A563" s="44"/>
      <c r="B563" s="45"/>
      <c r="C563" s="46">
        <f>IF(B563&lt;&gt;"",VLOOKUP(B563,'Tipo Projeto'!$A$3:$B$35,2,0),0)</f>
        <v>0</v>
      </c>
      <c r="D563" s="47"/>
      <c r="E563" s="47"/>
      <c r="F563" s="48"/>
      <c r="G563" s="47"/>
      <c r="H563" s="49"/>
      <c r="I563" s="50"/>
      <c r="J563" s="51"/>
      <c r="K563" s="52"/>
      <c r="L563" s="53" t="str">
        <f t="shared" si="117"/>
        <v/>
      </c>
      <c r="M563" s="48" t="str">
        <f t="shared" si="118"/>
        <v/>
      </c>
      <c r="N563" s="54" t="str">
        <f t="shared" si="119"/>
        <v/>
      </c>
      <c r="O563" s="55">
        <f t="shared" si="120"/>
        <v>0</v>
      </c>
      <c r="P563" s="55">
        <f t="shared" si="121"/>
        <v>0</v>
      </c>
      <c r="Q563" s="54">
        <f t="shared" si="122"/>
        <v>0</v>
      </c>
      <c r="R563" s="47"/>
      <c r="T563" s="57"/>
      <c r="U563" s="45"/>
      <c r="V563" s="46">
        <f>IF(U563&lt;&gt;"",VLOOKUP(U563,'Tipo Projeto'!$A$3:$B$35,2,0),0)</f>
        <v>0</v>
      </c>
      <c r="W563" s="47"/>
      <c r="X563" s="49"/>
      <c r="Y563" s="50"/>
      <c r="Z563" s="51"/>
      <c r="AA563" s="52"/>
      <c r="AB563" s="53" t="str">
        <f t="shared" si="123"/>
        <v/>
      </c>
      <c r="AC563" s="48" t="str">
        <f t="shared" si="124"/>
        <v/>
      </c>
      <c r="AD563" s="54" t="str">
        <f t="shared" si="125"/>
        <v/>
      </c>
      <c r="AE563" s="55">
        <f t="shared" si="126"/>
        <v>0</v>
      </c>
      <c r="AF563" s="55">
        <f t="shared" si="127"/>
        <v>0</v>
      </c>
      <c r="AG563" s="58">
        <f t="shared" si="128"/>
        <v>0</v>
      </c>
      <c r="AH563" s="47"/>
      <c r="AJ563" s="47"/>
      <c r="AL563" s="47"/>
      <c r="AM563" s="47" t="str">
        <f t="shared" si="129"/>
        <v/>
      </c>
    </row>
    <row r="564" spans="1:39" s="56" customFormat="1" ht="24.75" customHeight="1">
      <c r="A564" s="44"/>
      <c r="B564" s="45"/>
      <c r="C564" s="46">
        <f>IF(B564&lt;&gt;"",VLOOKUP(B564,'Tipo Projeto'!$A$3:$B$35,2,0),0)</f>
        <v>0</v>
      </c>
      <c r="D564" s="47"/>
      <c r="E564" s="47"/>
      <c r="F564" s="48"/>
      <c r="G564" s="47"/>
      <c r="H564" s="49"/>
      <c r="I564" s="50"/>
      <c r="J564" s="51"/>
      <c r="K564" s="52"/>
      <c r="L564" s="53" t="str">
        <f t="shared" si="117"/>
        <v/>
      </c>
      <c r="M564" s="48" t="str">
        <f t="shared" si="118"/>
        <v/>
      </c>
      <c r="N564" s="54" t="str">
        <f t="shared" si="119"/>
        <v/>
      </c>
      <c r="O564" s="55">
        <f t="shared" si="120"/>
        <v>0</v>
      </c>
      <c r="P564" s="55">
        <f t="shared" si="121"/>
        <v>0</v>
      </c>
      <c r="Q564" s="54">
        <f t="shared" si="122"/>
        <v>0</v>
      </c>
      <c r="R564" s="47"/>
      <c r="T564" s="57"/>
      <c r="U564" s="45"/>
      <c r="V564" s="46">
        <f>IF(U564&lt;&gt;"",VLOOKUP(U564,'Tipo Projeto'!$A$3:$B$35,2,0),0)</f>
        <v>0</v>
      </c>
      <c r="W564" s="47"/>
      <c r="X564" s="49"/>
      <c r="Y564" s="50"/>
      <c r="Z564" s="51"/>
      <c r="AA564" s="52"/>
      <c r="AB564" s="53" t="str">
        <f t="shared" si="123"/>
        <v/>
      </c>
      <c r="AC564" s="48" t="str">
        <f t="shared" si="124"/>
        <v/>
      </c>
      <c r="AD564" s="54" t="str">
        <f t="shared" si="125"/>
        <v/>
      </c>
      <c r="AE564" s="55">
        <f t="shared" si="126"/>
        <v>0</v>
      </c>
      <c r="AF564" s="55">
        <f t="shared" si="127"/>
        <v>0</v>
      </c>
      <c r="AG564" s="58">
        <f t="shared" si="128"/>
        <v>0</v>
      </c>
      <c r="AH564" s="47"/>
      <c r="AJ564" s="47"/>
      <c r="AL564" s="47"/>
      <c r="AM564" s="47" t="str">
        <f t="shared" si="129"/>
        <v/>
      </c>
    </row>
    <row r="565" spans="1:39" s="56" customFormat="1" ht="24.75" customHeight="1">
      <c r="A565" s="44"/>
      <c r="B565" s="45"/>
      <c r="C565" s="46">
        <f>IF(B565&lt;&gt;"",VLOOKUP(B565,'Tipo Projeto'!$A$3:$B$35,2,0),0)</f>
        <v>0</v>
      </c>
      <c r="D565" s="47"/>
      <c r="E565" s="47"/>
      <c r="F565" s="48"/>
      <c r="G565" s="47"/>
      <c r="H565" s="49"/>
      <c r="I565" s="50"/>
      <c r="J565" s="51"/>
      <c r="K565" s="52"/>
      <c r="L565" s="53" t="str">
        <f t="shared" si="117"/>
        <v/>
      </c>
      <c r="M565" s="48" t="str">
        <f t="shared" si="118"/>
        <v/>
      </c>
      <c r="N565" s="54" t="str">
        <f t="shared" si="119"/>
        <v/>
      </c>
      <c r="O565" s="55">
        <f t="shared" si="120"/>
        <v>0</v>
      </c>
      <c r="P565" s="55">
        <f t="shared" si="121"/>
        <v>0</v>
      </c>
      <c r="Q565" s="54">
        <f t="shared" si="122"/>
        <v>0</v>
      </c>
      <c r="R565" s="47"/>
      <c r="T565" s="57"/>
      <c r="U565" s="45"/>
      <c r="V565" s="46">
        <f>IF(U565&lt;&gt;"",VLOOKUP(U565,'Tipo Projeto'!$A$3:$B$35,2,0),0)</f>
        <v>0</v>
      </c>
      <c r="W565" s="47"/>
      <c r="X565" s="49"/>
      <c r="Y565" s="50"/>
      <c r="Z565" s="51"/>
      <c r="AA565" s="52"/>
      <c r="AB565" s="53" t="str">
        <f t="shared" si="123"/>
        <v/>
      </c>
      <c r="AC565" s="48" t="str">
        <f t="shared" si="124"/>
        <v/>
      </c>
      <c r="AD565" s="54" t="str">
        <f t="shared" si="125"/>
        <v/>
      </c>
      <c r="AE565" s="55">
        <f t="shared" si="126"/>
        <v>0</v>
      </c>
      <c r="AF565" s="55">
        <f t="shared" si="127"/>
        <v>0</v>
      </c>
      <c r="AG565" s="58">
        <f t="shared" si="128"/>
        <v>0</v>
      </c>
      <c r="AH565" s="47"/>
      <c r="AJ565" s="47"/>
      <c r="AL565" s="47"/>
      <c r="AM565" s="47" t="str">
        <f t="shared" si="129"/>
        <v/>
      </c>
    </row>
    <row r="566" spans="1:39" s="56" customFormat="1" ht="24.75" customHeight="1">
      <c r="A566" s="44"/>
      <c r="B566" s="45"/>
      <c r="C566" s="46">
        <f>IF(B566&lt;&gt;"",VLOOKUP(B566,'Tipo Projeto'!$A$3:$B$35,2,0),0)</f>
        <v>0</v>
      </c>
      <c r="D566" s="47"/>
      <c r="E566" s="47"/>
      <c r="F566" s="48"/>
      <c r="G566" s="47"/>
      <c r="H566" s="49"/>
      <c r="I566" s="50"/>
      <c r="J566" s="51"/>
      <c r="K566" s="52"/>
      <c r="L566" s="53" t="str">
        <f t="shared" si="117"/>
        <v/>
      </c>
      <c r="M566" s="48" t="str">
        <f t="shared" si="118"/>
        <v/>
      </c>
      <c r="N566" s="54" t="str">
        <f t="shared" si="119"/>
        <v/>
      </c>
      <c r="O566" s="55">
        <f t="shared" si="120"/>
        <v>0</v>
      </c>
      <c r="P566" s="55">
        <f t="shared" si="121"/>
        <v>0</v>
      </c>
      <c r="Q566" s="54">
        <f t="shared" si="122"/>
        <v>0</v>
      </c>
      <c r="R566" s="47"/>
      <c r="T566" s="57"/>
      <c r="U566" s="45"/>
      <c r="V566" s="46">
        <f>IF(U566&lt;&gt;"",VLOOKUP(U566,'Tipo Projeto'!$A$3:$B$35,2,0),0)</f>
        <v>0</v>
      </c>
      <c r="W566" s="47"/>
      <c r="X566" s="49"/>
      <c r="Y566" s="50"/>
      <c r="Z566" s="51"/>
      <c r="AA566" s="52"/>
      <c r="AB566" s="53" t="str">
        <f t="shared" si="123"/>
        <v/>
      </c>
      <c r="AC566" s="48" t="str">
        <f t="shared" si="124"/>
        <v/>
      </c>
      <c r="AD566" s="54" t="str">
        <f t="shared" si="125"/>
        <v/>
      </c>
      <c r="AE566" s="55">
        <f t="shared" si="126"/>
        <v>0</v>
      </c>
      <c r="AF566" s="55">
        <f t="shared" si="127"/>
        <v>0</v>
      </c>
      <c r="AG566" s="58">
        <f t="shared" si="128"/>
        <v>0</v>
      </c>
      <c r="AH566" s="47"/>
      <c r="AJ566" s="47"/>
      <c r="AL566" s="47"/>
      <c r="AM566" s="47" t="str">
        <f t="shared" si="129"/>
        <v/>
      </c>
    </row>
    <row r="567" spans="1:39" s="56" customFormat="1" ht="24.75" customHeight="1">
      <c r="A567" s="44"/>
      <c r="B567" s="45"/>
      <c r="C567" s="46">
        <f>IF(B567&lt;&gt;"",VLOOKUP(B567,'Tipo Projeto'!$A$3:$B$35,2,0),0)</f>
        <v>0</v>
      </c>
      <c r="D567" s="47"/>
      <c r="E567" s="47"/>
      <c r="F567" s="48"/>
      <c r="G567" s="47"/>
      <c r="H567" s="49"/>
      <c r="I567" s="50"/>
      <c r="J567" s="51"/>
      <c r="K567" s="52"/>
      <c r="L567" s="53" t="str">
        <f t="shared" si="117"/>
        <v/>
      </c>
      <c r="M567" s="48" t="str">
        <f t="shared" si="118"/>
        <v/>
      </c>
      <c r="N567" s="54" t="str">
        <f t="shared" si="119"/>
        <v/>
      </c>
      <c r="O567" s="55">
        <f t="shared" si="120"/>
        <v>0</v>
      </c>
      <c r="P567" s="55">
        <f t="shared" si="121"/>
        <v>0</v>
      </c>
      <c r="Q567" s="54">
        <f t="shared" si="122"/>
        <v>0</v>
      </c>
      <c r="R567" s="47"/>
      <c r="T567" s="57"/>
      <c r="U567" s="45"/>
      <c r="V567" s="46">
        <f>IF(U567&lt;&gt;"",VLOOKUP(U567,'Tipo Projeto'!$A$3:$B$35,2,0),0)</f>
        <v>0</v>
      </c>
      <c r="W567" s="47"/>
      <c r="X567" s="49"/>
      <c r="Y567" s="50"/>
      <c r="Z567" s="51"/>
      <c r="AA567" s="52"/>
      <c r="AB567" s="53" t="str">
        <f t="shared" si="123"/>
        <v/>
      </c>
      <c r="AC567" s="48" t="str">
        <f t="shared" si="124"/>
        <v/>
      </c>
      <c r="AD567" s="54" t="str">
        <f t="shared" si="125"/>
        <v/>
      </c>
      <c r="AE567" s="55">
        <f t="shared" si="126"/>
        <v>0</v>
      </c>
      <c r="AF567" s="55">
        <f t="shared" si="127"/>
        <v>0</v>
      </c>
      <c r="AG567" s="58">
        <f t="shared" si="128"/>
        <v>0</v>
      </c>
      <c r="AH567" s="47"/>
      <c r="AJ567" s="47"/>
      <c r="AL567" s="47"/>
      <c r="AM567" s="47" t="str">
        <f t="shared" si="129"/>
        <v/>
      </c>
    </row>
    <row r="568" spans="1:39" s="56" customFormat="1" ht="24.75" customHeight="1">
      <c r="A568" s="44"/>
      <c r="B568" s="45"/>
      <c r="C568" s="46">
        <f>IF(B568&lt;&gt;"",VLOOKUP(B568,'Tipo Projeto'!$A$3:$B$35,2,0),0)</f>
        <v>0</v>
      </c>
      <c r="D568" s="47"/>
      <c r="E568" s="47"/>
      <c r="F568" s="48"/>
      <c r="G568" s="47"/>
      <c r="H568" s="49"/>
      <c r="I568" s="50"/>
      <c r="J568" s="51"/>
      <c r="K568" s="52"/>
      <c r="L568" s="53" t="str">
        <f t="shared" si="117"/>
        <v/>
      </c>
      <c r="M568" s="48" t="str">
        <f t="shared" si="118"/>
        <v/>
      </c>
      <c r="N568" s="54" t="str">
        <f t="shared" si="119"/>
        <v/>
      </c>
      <c r="O568" s="55">
        <f t="shared" si="120"/>
        <v>0</v>
      </c>
      <c r="P568" s="55">
        <f t="shared" si="121"/>
        <v>0</v>
      </c>
      <c r="Q568" s="54">
        <f t="shared" si="122"/>
        <v>0</v>
      </c>
      <c r="R568" s="47"/>
      <c r="T568" s="57"/>
      <c r="U568" s="45"/>
      <c r="V568" s="46">
        <f>IF(U568&lt;&gt;"",VLOOKUP(U568,'Tipo Projeto'!$A$3:$B$35,2,0),0)</f>
        <v>0</v>
      </c>
      <c r="W568" s="47"/>
      <c r="X568" s="49"/>
      <c r="Y568" s="50"/>
      <c r="Z568" s="51"/>
      <c r="AA568" s="52"/>
      <c r="AB568" s="53" t="str">
        <f t="shared" si="123"/>
        <v/>
      </c>
      <c r="AC568" s="48" t="str">
        <f t="shared" si="124"/>
        <v/>
      </c>
      <c r="AD568" s="54" t="str">
        <f t="shared" si="125"/>
        <v/>
      </c>
      <c r="AE568" s="55">
        <f t="shared" si="126"/>
        <v>0</v>
      </c>
      <c r="AF568" s="55">
        <f t="shared" si="127"/>
        <v>0</v>
      </c>
      <c r="AG568" s="58">
        <f t="shared" si="128"/>
        <v>0</v>
      </c>
      <c r="AH568" s="47"/>
      <c r="AJ568" s="47"/>
      <c r="AL568" s="47"/>
      <c r="AM568" s="47" t="str">
        <f t="shared" si="129"/>
        <v/>
      </c>
    </row>
    <row r="569" spans="1:39" s="56" customFormat="1" ht="24.75" customHeight="1">
      <c r="A569" s="44"/>
      <c r="B569" s="45"/>
      <c r="C569" s="46">
        <f>IF(B569&lt;&gt;"",VLOOKUP(B569,'Tipo Projeto'!$A$3:$B$35,2,0),0)</f>
        <v>0</v>
      </c>
      <c r="D569" s="47"/>
      <c r="E569" s="47"/>
      <c r="F569" s="48"/>
      <c r="G569" s="47"/>
      <c r="H569" s="49"/>
      <c r="I569" s="50"/>
      <c r="J569" s="51"/>
      <c r="K569" s="52"/>
      <c r="L569" s="53" t="str">
        <f t="shared" si="117"/>
        <v/>
      </c>
      <c r="M569" s="48" t="str">
        <f t="shared" si="118"/>
        <v/>
      </c>
      <c r="N569" s="54" t="str">
        <f t="shared" si="119"/>
        <v/>
      </c>
      <c r="O569" s="55">
        <f t="shared" si="120"/>
        <v>0</v>
      </c>
      <c r="P569" s="55">
        <f t="shared" si="121"/>
        <v>0</v>
      </c>
      <c r="Q569" s="54">
        <f t="shared" si="122"/>
        <v>0</v>
      </c>
      <c r="R569" s="47"/>
      <c r="T569" s="57"/>
      <c r="U569" s="45"/>
      <c r="V569" s="46">
        <f>IF(U569&lt;&gt;"",VLOOKUP(U569,'Tipo Projeto'!$A$3:$B$35,2,0),0)</f>
        <v>0</v>
      </c>
      <c r="W569" s="47"/>
      <c r="X569" s="49"/>
      <c r="Y569" s="50"/>
      <c r="Z569" s="51"/>
      <c r="AA569" s="52"/>
      <c r="AB569" s="53" t="str">
        <f t="shared" si="123"/>
        <v/>
      </c>
      <c r="AC569" s="48" t="str">
        <f t="shared" si="124"/>
        <v/>
      </c>
      <c r="AD569" s="54" t="str">
        <f t="shared" si="125"/>
        <v/>
      </c>
      <c r="AE569" s="55">
        <f t="shared" si="126"/>
        <v>0</v>
      </c>
      <c r="AF569" s="55">
        <f t="shared" si="127"/>
        <v>0</v>
      </c>
      <c r="AG569" s="58">
        <f t="shared" si="128"/>
        <v>0</v>
      </c>
      <c r="AH569" s="47"/>
      <c r="AJ569" s="47"/>
      <c r="AL569" s="47"/>
      <c r="AM569" s="47" t="str">
        <f t="shared" si="129"/>
        <v/>
      </c>
    </row>
    <row r="570" spans="1:39" s="56" customFormat="1" ht="24.75" customHeight="1">
      <c r="A570" s="44"/>
      <c r="B570" s="45"/>
      <c r="C570" s="46">
        <f>IF(B570&lt;&gt;"",VLOOKUP(B570,'Tipo Projeto'!$A$3:$B$35,2,0),0)</f>
        <v>0</v>
      </c>
      <c r="D570" s="47"/>
      <c r="E570" s="47"/>
      <c r="F570" s="48"/>
      <c r="G570" s="47"/>
      <c r="H570" s="49"/>
      <c r="I570" s="50"/>
      <c r="J570" s="51"/>
      <c r="K570" s="52"/>
      <c r="L570" s="53" t="str">
        <f t="shared" si="117"/>
        <v/>
      </c>
      <c r="M570" s="48" t="str">
        <f t="shared" si="118"/>
        <v/>
      </c>
      <c r="N570" s="54" t="str">
        <f t="shared" si="119"/>
        <v/>
      </c>
      <c r="O570" s="55">
        <f t="shared" si="120"/>
        <v>0</v>
      </c>
      <c r="P570" s="55">
        <f t="shared" si="121"/>
        <v>0</v>
      </c>
      <c r="Q570" s="54">
        <f t="shared" si="122"/>
        <v>0</v>
      </c>
      <c r="R570" s="47"/>
      <c r="T570" s="57"/>
      <c r="U570" s="45"/>
      <c r="V570" s="46">
        <f>IF(U570&lt;&gt;"",VLOOKUP(U570,'Tipo Projeto'!$A$3:$B$35,2,0),0)</f>
        <v>0</v>
      </c>
      <c r="W570" s="47"/>
      <c r="X570" s="49"/>
      <c r="Y570" s="50"/>
      <c r="Z570" s="51"/>
      <c r="AA570" s="52"/>
      <c r="AB570" s="53" t="str">
        <f t="shared" si="123"/>
        <v/>
      </c>
      <c r="AC570" s="48" t="str">
        <f t="shared" si="124"/>
        <v/>
      </c>
      <c r="AD570" s="54" t="str">
        <f t="shared" si="125"/>
        <v/>
      </c>
      <c r="AE570" s="55">
        <f t="shared" si="126"/>
        <v>0</v>
      </c>
      <c r="AF570" s="55">
        <f t="shared" si="127"/>
        <v>0</v>
      </c>
      <c r="AG570" s="58">
        <f t="shared" si="128"/>
        <v>0</v>
      </c>
      <c r="AH570" s="47"/>
      <c r="AJ570" s="47"/>
      <c r="AL570" s="47"/>
      <c r="AM570" s="47" t="str">
        <f t="shared" si="129"/>
        <v/>
      </c>
    </row>
    <row r="571" spans="1:39" s="56" customFormat="1" ht="24.75" customHeight="1">
      <c r="A571" s="44"/>
      <c r="B571" s="45"/>
      <c r="C571" s="46">
        <f>IF(B571&lt;&gt;"",VLOOKUP(B571,'Tipo Projeto'!$A$3:$B$35,2,0),0)</f>
        <v>0</v>
      </c>
      <c r="D571" s="47"/>
      <c r="E571" s="47"/>
      <c r="F571" s="48"/>
      <c r="G571" s="47"/>
      <c r="H571" s="49"/>
      <c r="I571" s="50"/>
      <c r="J571" s="51"/>
      <c r="K571" s="52"/>
      <c r="L571" s="53" t="str">
        <f t="shared" si="117"/>
        <v/>
      </c>
      <c r="M571" s="48" t="str">
        <f t="shared" si="118"/>
        <v/>
      </c>
      <c r="N571" s="54" t="str">
        <f t="shared" si="119"/>
        <v/>
      </c>
      <c r="O571" s="55">
        <f t="shared" si="120"/>
        <v>0</v>
      </c>
      <c r="P571" s="55">
        <f t="shared" si="121"/>
        <v>0</v>
      </c>
      <c r="Q571" s="54">
        <f t="shared" si="122"/>
        <v>0</v>
      </c>
      <c r="R571" s="47"/>
      <c r="T571" s="57"/>
      <c r="U571" s="45"/>
      <c r="V571" s="46">
        <f>IF(U571&lt;&gt;"",VLOOKUP(U571,'Tipo Projeto'!$A$3:$B$35,2,0),0)</f>
        <v>0</v>
      </c>
      <c r="W571" s="47"/>
      <c r="X571" s="49"/>
      <c r="Y571" s="50"/>
      <c r="Z571" s="51"/>
      <c r="AA571" s="52"/>
      <c r="AB571" s="53" t="str">
        <f t="shared" si="123"/>
        <v/>
      </c>
      <c r="AC571" s="48" t="str">
        <f t="shared" si="124"/>
        <v/>
      </c>
      <c r="AD571" s="54" t="str">
        <f t="shared" si="125"/>
        <v/>
      </c>
      <c r="AE571" s="55">
        <f t="shared" si="126"/>
        <v>0</v>
      </c>
      <c r="AF571" s="55">
        <f t="shared" si="127"/>
        <v>0</v>
      </c>
      <c r="AG571" s="58">
        <f t="shared" si="128"/>
        <v>0</v>
      </c>
      <c r="AH571" s="47"/>
      <c r="AJ571" s="47"/>
      <c r="AL571" s="47"/>
      <c r="AM571" s="47" t="str">
        <f t="shared" si="129"/>
        <v/>
      </c>
    </row>
    <row r="572" spans="1:39" s="56" customFormat="1" ht="24.75" customHeight="1">
      <c r="A572" s="44"/>
      <c r="B572" s="45"/>
      <c r="C572" s="46">
        <f>IF(B572&lt;&gt;"",VLOOKUP(B572,'Tipo Projeto'!$A$3:$B$35,2,0),0)</f>
        <v>0</v>
      </c>
      <c r="D572" s="47"/>
      <c r="E572" s="47"/>
      <c r="F572" s="48"/>
      <c r="G572" s="47"/>
      <c r="H572" s="49"/>
      <c r="I572" s="50"/>
      <c r="J572" s="51"/>
      <c r="K572" s="52"/>
      <c r="L572" s="53" t="str">
        <f t="shared" si="117"/>
        <v/>
      </c>
      <c r="M572" s="48" t="str">
        <f t="shared" si="118"/>
        <v/>
      </c>
      <c r="N572" s="54" t="str">
        <f t="shared" si="119"/>
        <v/>
      </c>
      <c r="O572" s="55">
        <f t="shared" si="120"/>
        <v>0</v>
      </c>
      <c r="P572" s="55">
        <f t="shared" si="121"/>
        <v>0</v>
      </c>
      <c r="Q572" s="54">
        <f t="shared" si="122"/>
        <v>0</v>
      </c>
      <c r="R572" s="47"/>
      <c r="T572" s="57"/>
      <c r="U572" s="45"/>
      <c r="V572" s="46">
        <f>IF(U572&lt;&gt;"",VLOOKUP(U572,'Tipo Projeto'!$A$3:$B$35,2,0),0)</f>
        <v>0</v>
      </c>
      <c r="W572" s="47"/>
      <c r="X572" s="49"/>
      <c r="Y572" s="50"/>
      <c r="Z572" s="51"/>
      <c r="AA572" s="52"/>
      <c r="AB572" s="53" t="str">
        <f t="shared" si="123"/>
        <v/>
      </c>
      <c r="AC572" s="48" t="str">
        <f t="shared" si="124"/>
        <v/>
      </c>
      <c r="AD572" s="54" t="str">
        <f t="shared" si="125"/>
        <v/>
      </c>
      <c r="AE572" s="55">
        <f t="shared" si="126"/>
        <v>0</v>
      </c>
      <c r="AF572" s="55">
        <f t="shared" si="127"/>
        <v>0</v>
      </c>
      <c r="AG572" s="58">
        <f t="shared" si="128"/>
        <v>0</v>
      </c>
      <c r="AH572" s="47"/>
      <c r="AJ572" s="47"/>
      <c r="AL572" s="47"/>
      <c r="AM572" s="47" t="str">
        <f t="shared" si="129"/>
        <v/>
      </c>
    </row>
    <row r="573" spans="1:39" s="56" customFormat="1" ht="24.75" customHeight="1">
      <c r="A573" s="44"/>
      <c r="B573" s="45"/>
      <c r="C573" s="46">
        <f>IF(B573&lt;&gt;"",VLOOKUP(B573,'Tipo Projeto'!$A$3:$B$35,2,0),0)</f>
        <v>0</v>
      </c>
      <c r="D573" s="47"/>
      <c r="E573" s="47"/>
      <c r="F573" s="48"/>
      <c r="G573" s="47"/>
      <c r="H573" s="49"/>
      <c r="I573" s="50"/>
      <c r="J573" s="51"/>
      <c r="K573" s="52"/>
      <c r="L573" s="53" t="str">
        <f t="shared" ref="L573:L627" si="130">IF(G573="EE",IF(OR(AND(OR(J573=1,J573=0),H573&gt;0,H573&lt;5),AND(OR(J573=1,J573=0),H573&gt;4,H573&lt;16),AND(J573=2,H573&gt;0,H573&lt;5)),"Simples",IF(OR(AND(OR(J573=1,J573=0),H573&gt;15),AND(J573=2,H573&gt;4,H573&lt;16),AND(J573&gt;2,H573&gt;0,H573&lt;5)),"Médio",IF(OR(AND(J573=2,H573&gt;15),AND(J573&gt;2,H573&gt;4,H573&lt;16),AND(J573&gt;2,H573&gt;15)),"Complexo",""))), IF(OR(G573="CE",G573="SE"),IF(OR(AND(OR(J573=1,J573=0),H573&gt;0,H573&lt;6),AND(OR(J573=1,J573=0),H573&gt;5,H573&lt;20),AND(J573&gt;1,J573&lt;4,H573&gt;0,H573&lt;6)),"Simples",IF(OR(AND(OR(J573=1,J573=0),H573&gt;19),AND(J573&gt;1,J573&lt;4,H573&gt;5,H573&lt;20),AND(J573&gt;3,H573&gt;0,H573&lt;6)),"Médio",IF(OR(AND(J573&gt;1,J573&lt;4,H573&gt;19),AND(J573&gt;3,H573&gt;5,H573&lt;20),AND(J573&gt;3,H573&gt;19)),"Complexo",""))),""))</f>
        <v/>
      </c>
      <c r="M573" s="48" t="str">
        <f t="shared" ref="M573:M627" si="131">IF(G573="ALI",IF(OR(AND(OR(J573=1,J573=0),H573&gt;0,H573&lt;20),AND(OR(J573=1,J573=0),H573&gt;19,H573&lt;51),AND(J573&gt;1,J573&lt;6,H573&gt;0,H573&lt;20)),"Simples",IF(OR(AND(OR(J573=1,J573=0),H573&gt;50),AND(J573&gt;1,J573&lt;6,H573&gt;19,H573&lt;51),AND(J573&gt;5,H573&gt;0,H573&lt;20)),"Médio",IF(OR(AND(J573&gt;1,J573&lt;6,H573&gt;50),AND(J573&gt;5,H573&gt;19,H573&lt;51),AND(J573&gt;5,H573&gt;50)),"Complexo",""))), IF(G573="AIE",IF(OR(AND(OR(J573=1, J573=0),H573&gt;0,H573&lt;20),AND(OR(J573=1, J573=0),H573&gt;19,H573&lt;51),AND(J573&gt;1,J573&lt;6,H573&gt;0,H573&lt;20)),"Simples",IF(OR(AND(OR(J573=1, J573=0),H573&gt;50),AND(J573&gt;1,J573&lt;6,H573&gt;19,H573&lt;51),AND(J573&gt;5,H573&gt;0,H573&lt;20)),"Médio",IF(OR(AND(J573&gt;1,J573&lt;6,H573&gt;50),AND(J573&gt;5,H573&gt;19,H573&lt;51),AND(J573&gt;5,H573&gt;50)),"Complexo",""))),""))</f>
        <v/>
      </c>
      <c r="N573" s="54" t="str">
        <f t="shared" ref="N573:N627" si="132">IF(L573="",M573,IF(M573="",L573,""))</f>
        <v/>
      </c>
      <c r="O573" s="55">
        <f t="shared" ref="O573:O627" si="133">IF(AND(OR(G573="EE",G573="CE"),N573="Simples"),3, IF(AND(OR(G573="EE",G573="CE"),N573="Médio"),4, IF(AND(OR(G573="EE",G573="CE"),N573="Complexo"),6, IF(AND(G573="SE",N573="Simples"),4, IF(AND(G573="SE",N573="Médio"),5, IF(AND(G573="SE",N573="Complexo"),7,0))))))</f>
        <v>0</v>
      </c>
      <c r="P573" s="55">
        <f t="shared" ref="P573:P627" si="134">IF(AND(G573="ALI",M573="Simples"),7, IF(AND(G573="ALI",M573="Médio"),10, IF(AND(G573="ALI",M573="Complexo"),15, IF(AND(G573="AIE",M573="Simples"),5, IF(AND(G573="AIE",M573="Médio"),7, IF(AND(G573="AIE",M573="Complexo"),10,0))))))</f>
        <v>0</v>
      </c>
      <c r="Q573" s="54">
        <f t="shared" ref="Q573:Q627" si="135">IF(B573&lt;&gt;"Manutenção em interface",IF(B573&lt;&gt;"Desenv., Manutenção e Publicação de Páginas Estáticas",(O573+P573)*C573,C573),C573)</f>
        <v>0</v>
      </c>
      <c r="R573" s="47"/>
      <c r="T573" s="57"/>
      <c r="U573" s="45"/>
      <c r="V573" s="46">
        <f>IF(U573&lt;&gt;"",VLOOKUP(U573,'Tipo Projeto'!$A$3:$B$35,2,0),0)</f>
        <v>0</v>
      </c>
      <c r="W573" s="47"/>
      <c r="X573" s="49"/>
      <c r="Y573" s="50"/>
      <c r="Z573" s="51"/>
      <c r="AA573" s="52"/>
      <c r="AB573" s="53" t="str">
        <f t="shared" ref="AB573:AB627" si="136">IF(W573="EE",IF(OR(AND(OR(Z573=1,Z573=0),X573&gt;0,X573&lt;5),AND(OR(Z573=1,Z573=0),X573&gt;4,X573&lt;16),AND(Z573=2,X573&gt;0,X573&lt;5)),"Simples",IF(OR(AND(OR(Z573=1,Z573=0),X573&gt;15),AND(Z573=2,X573&gt;4,X573&lt;16),AND(Z573&gt;2,X573&gt;0,X573&lt;5)),"Médio",IF(OR(AND(Z573=2,X573&gt;15),AND(Z573&gt;2,X573&gt;4,X573&lt;16),AND(Z573&gt;2,X573&gt;15)),"Complexo",""))), IF(OR(W573="CE",W573="SE"),IF(OR(AND(OR(Z573=1,Z573=0),X573&gt;0,X573&lt;6),AND(OR(Z573=1,Z573=0),X573&gt;5,X573&lt;20),AND(Z573&gt;1,Z573&lt;4,X573&gt;0,X573&lt;6)),"Simples",IF(OR(AND(OR(Z573=1,Z573=0),X573&gt;19),AND(Z573&gt;1,Z573&lt;4,X573&gt;5,X573&lt;20),AND(Z573&gt;3,X573&gt;0,X573&lt;6)),"Médio",IF(OR(AND(Z573&gt;1,Z573&lt;4,X573&gt;19),AND(Z573&gt;3,X573&gt;5,X573&lt;20),AND(Z573&gt;3,X573&gt;19)),"Complexo",""))),""))</f>
        <v/>
      </c>
      <c r="AC573" s="48" t="str">
        <f t="shared" ref="AC573:AC627" si="137">IF(W573="ALI",IF(OR(AND(OR(Z573=1,Z573=0),X573&gt;0,X573&lt;20),AND(OR(Z573=1,Z573=0),X573&gt;19,X573&lt;51),AND(Z573&gt;1,Z573&lt;6,X573&gt;0,X573&lt;20)),"Simples",IF(OR(AND(OR(Z573=1,Z573=0),X573&gt;50),AND(Z573&gt;1,Z573&lt;6,X573&gt;19,X573&lt;51),AND(Z573&gt;5,X573&gt;0,X573&lt;20)),"Médio",IF(OR(AND(Z573&gt;1,Z573&lt;6,X573&gt;50),AND(Z573&gt;5,X573&gt;19,X573&lt;51),AND(Z573&gt;5,X573&gt;50)),"Complexo",""))), IF(W573="AIE",IF(OR(AND(OR(Z573=1, Z573=0),X573&gt;0,X573&lt;20),AND(OR(Z573=1, Z573=0),X573&gt;19,X573&lt;51),AND(Z573&gt;1,Z573&lt;6,X573&gt;0,X573&lt;20)),"Simples",IF(OR(AND(OR(Z573=1, Z573=0),X573&gt;50),AND(Z573&gt;1,Z573&lt;6,X573&gt;19,X573&lt;51),AND(Z573&gt;5,X573&gt;0,X573&lt;20)),"Médio",IF(OR(AND(Z573&gt;1,Z573&lt;6,X573&gt;50),AND(Z573&gt;5,X573&gt;19,X573&lt;51),AND(Z573&gt;5,X573&gt;50)),"Complexo",""))),""))</f>
        <v/>
      </c>
      <c r="AD573" s="54" t="str">
        <f t="shared" ref="AD573:AD627" si="138">IF(AB573="",AC573,IF(AC573="",AB573,""))</f>
        <v/>
      </c>
      <c r="AE573" s="55">
        <f t="shared" ref="AE573:AE627" si="139">IF(AND(OR(W573="EE",W573="CE"),AD573="Simples"),3, IF(AND(OR(W573="EE",W573="CE"),AD573="Médio"),4, IF(AND(OR(W573="EE",W573="CE"),AD573="Complexo"),6, IF(AND(W573="SE",AD573="Simples"),4, IF(AND(W573="SE",AD573="Médio"),5, IF(AND(W573="SE",AD573="Complexo"),7,0))))))</f>
        <v>0</v>
      </c>
      <c r="AF573" s="55">
        <f t="shared" ref="AF573:AF627" si="140">IF(AND(W573="ALI",AC573="Simples"),7, IF(AND(W573="ALI",AC573="Médio"),10, IF(AND(W573="ALI",AC573="Complexo"),15, IF(AND(W573="AIE",AC573="Simples"),5, IF(AND(W573="AIE",AC573="Médio"),7, IF(AND(W573="AIE",AC573="Complexo"),10,0))))))</f>
        <v>0</v>
      </c>
      <c r="AG573" s="58">
        <f t="shared" ref="AG573:AG627" si="141">IF(T573="OK",Q573,( IF(U573&lt;&gt;"Manutenção em interface",IF(U573&lt;&gt;"Desenv., Manutenção e Publicação de Páginas Estáticas",(AE573+AF573)*V573,V573),V573)))</f>
        <v>0</v>
      </c>
      <c r="AH573" s="47"/>
      <c r="AJ573" s="47"/>
      <c r="AL573" s="47"/>
      <c r="AM573" s="47" t="str">
        <f t="shared" ref="AM573:AM627" si="142">IF(AG573=0,"",IF(AG573=Q573,"OK","Divergente"))</f>
        <v/>
      </c>
    </row>
    <row r="574" spans="1:39" s="56" customFormat="1" ht="24.75" customHeight="1">
      <c r="A574" s="44"/>
      <c r="B574" s="45"/>
      <c r="C574" s="46">
        <f>IF(B574&lt;&gt;"",VLOOKUP(B574,'Tipo Projeto'!$A$3:$B$35,2,0),0)</f>
        <v>0</v>
      </c>
      <c r="D574" s="47"/>
      <c r="E574" s="47"/>
      <c r="F574" s="48"/>
      <c r="G574" s="47"/>
      <c r="H574" s="49"/>
      <c r="I574" s="50"/>
      <c r="J574" s="51"/>
      <c r="K574" s="52"/>
      <c r="L574" s="53" t="str">
        <f t="shared" si="130"/>
        <v/>
      </c>
      <c r="M574" s="48" t="str">
        <f t="shared" si="131"/>
        <v/>
      </c>
      <c r="N574" s="54" t="str">
        <f t="shared" si="132"/>
        <v/>
      </c>
      <c r="O574" s="55">
        <f t="shared" si="133"/>
        <v>0</v>
      </c>
      <c r="P574" s="55">
        <f t="shared" si="134"/>
        <v>0</v>
      </c>
      <c r="Q574" s="54">
        <f t="shared" si="135"/>
        <v>0</v>
      </c>
      <c r="R574" s="47"/>
      <c r="T574" s="57"/>
      <c r="U574" s="45"/>
      <c r="V574" s="46">
        <f>IF(U574&lt;&gt;"",VLOOKUP(U574,'Tipo Projeto'!$A$3:$B$35,2,0),0)</f>
        <v>0</v>
      </c>
      <c r="W574" s="47"/>
      <c r="X574" s="49"/>
      <c r="Y574" s="50"/>
      <c r="Z574" s="51"/>
      <c r="AA574" s="52"/>
      <c r="AB574" s="53" t="str">
        <f t="shared" si="136"/>
        <v/>
      </c>
      <c r="AC574" s="48" t="str">
        <f t="shared" si="137"/>
        <v/>
      </c>
      <c r="AD574" s="54" t="str">
        <f t="shared" si="138"/>
        <v/>
      </c>
      <c r="AE574" s="55">
        <f t="shared" si="139"/>
        <v>0</v>
      </c>
      <c r="AF574" s="55">
        <f t="shared" si="140"/>
        <v>0</v>
      </c>
      <c r="AG574" s="58">
        <f t="shared" si="141"/>
        <v>0</v>
      </c>
      <c r="AH574" s="47"/>
      <c r="AJ574" s="47"/>
      <c r="AL574" s="47"/>
      <c r="AM574" s="47" t="str">
        <f t="shared" si="142"/>
        <v/>
      </c>
    </row>
    <row r="575" spans="1:39" s="56" customFormat="1" ht="24.75" customHeight="1">
      <c r="A575" s="44"/>
      <c r="B575" s="45"/>
      <c r="C575" s="46">
        <f>IF(B575&lt;&gt;"",VLOOKUP(B575,'Tipo Projeto'!$A$3:$B$35,2,0),0)</f>
        <v>0</v>
      </c>
      <c r="D575" s="47"/>
      <c r="E575" s="47"/>
      <c r="F575" s="48"/>
      <c r="G575" s="47"/>
      <c r="H575" s="49"/>
      <c r="I575" s="50"/>
      <c r="J575" s="51"/>
      <c r="K575" s="52"/>
      <c r="L575" s="53" t="str">
        <f t="shared" si="130"/>
        <v/>
      </c>
      <c r="M575" s="48" t="str">
        <f t="shared" si="131"/>
        <v/>
      </c>
      <c r="N575" s="54" t="str">
        <f t="shared" si="132"/>
        <v/>
      </c>
      <c r="O575" s="55">
        <f t="shared" si="133"/>
        <v>0</v>
      </c>
      <c r="P575" s="55">
        <f t="shared" si="134"/>
        <v>0</v>
      </c>
      <c r="Q575" s="54">
        <f t="shared" si="135"/>
        <v>0</v>
      </c>
      <c r="R575" s="47"/>
      <c r="T575" s="57"/>
      <c r="U575" s="45"/>
      <c r="V575" s="46">
        <f>IF(U575&lt;&gt;"",VLOOKUP(U575,'Tipo Projeto'!$A$3:$B$35,2,0),0)</f>
        <v>0</v>
      </c>
      <c r="W575" s="47"/>
      <c r="X575" s="49"/>
      <c r="Y575" s="50"/>
      <c r="Z575" s="51"/>
      <c r="AA575" s="52"/>
      <c r="AB575" s="53" t="str">
        <f t="shared" si="136"/>
        <v/>
      </c>
      <c r="AC575" s="48" t="str">
        <f t="shared" si="137"/>
        <v/>
      </c>
      <c r="AD575" s="54" t="str">
        <f t="shared" si="138"/>
        <v/>
      </c>
      <c r="AE575" s="55">
        <f t="shared" si="139"/>
        <v>0</v>
      </c>
      <c r="AF575" s="55">
        <f t="shared" si="140"/>
        <v>0</v>
      </c>
      <c r="AG575" s="58">
        <f t="shared" si="141"/>
        <v>0</v>
      </c>
      <c r="AH575" s="47"/>
      <c r="AJ575" s="47"/>
      <c r="AL575" s="47"/>
      <c r="AM575" s="47" t="str">
        <f t="shared" si="142"/>
        <v/>
      </c>
    </row>
    <row r="576" spans="1:39" s="56" customFormat="1" ht="24.75" customHeight="1">
      <c r="A576" s="44"/>
      <c r="B576" s="45"/>
      <c r="C576" s="46">
        <f>IF(B576&lt;&gt;"",VLOOKUP(B576,'Tipo Projeto'!$A$3:$B$35,2,0),0)</f>
        <v>0</v>
      </c>
      <c r="D576" s="47"/>
      <c r="E576" s="47"/>
      <c r="F576" s="48"/>
      <c r="G576" s="47"/>
      <c r="H576" s="49"/>
      <c r="I576" s="50"/>
      <c r="J576" s="51"/>
      <c r="K576" s="52"/>
      <c r="L576" s="53" t="str">
        <f t="shared" si="130"/>
        <v/>
      </c>
      <c r="M576" s="48" t="str">
        <f t="shared" si="131"/>
        <v/>
      </c>
      <c r="N576" s="54" t="str">
        <f t="shared" si="132"/>
        <v/>
      </c>
      <c r="O576" s="55">
        <f t="shared" si="133"/>
        <v>0</v>
      </c>
      <c r="P576" s="55">
        <f t="shared" si="134"/>
        <v>0</v>
      </c>
      <c r="Q576" s="54">
        <f t="shared" si="135"/>
        <v>0</v>
      </c>
      <c r="R576" s="47"/>
      <c r="T576" s="57"/>
      <c r="U576" s="45"/>
      <c r="V576" s="46">
        <f>IF(U576&lt;&gt;"",VLOOKUP(U576,'Tipo Projeto'!$A$3:$B$35,2,0),0)</f>
        <v>0</v>
      </c>
      <c r="W576" s="47"/>
      <c r="X576" s="49"/>
      <c r="Y576" s="50"/>
      <c r="Z576" s="51"/>
      <c r="AA576" s="52"/>
      <c r="AB576" s="53" t="str">
        <f t="shared" si="136"/>
        <v/>
      </c>
      <c r="AC576" s="48" t="str">
        <f t="shared" si="137"/>
        <v/>
      </c>
      <c r="AD576" s="54" t="str">
        <f t="shared" si="138"/>
        <v/>
      </c>
      <c r="AE576" s="55">
        <f t="shared" si="139"/>
        <v>0</v>
      </c>
      <c r="AF576" s="55">
        <f t="shared" si="140"/>
        <v>0</v>
      </c>
      <c r="AG576" s="58">
        <f t="shared" si="141"/>
        <v>0</v>
      </c>
      <c r="AH576" s="47"/>
      <c r="AJ576" s="47"/>
      <c r="AL576" s="47"/>
      <c r="AM576" s="47" t="str">
        <f t="shared" si="142"/>
        <v/>
      </c>
    </row>
    <row r="577" spans="1:39" s="56" customFormat="1" ht="24.75" customHeight="1">
      <c r="A577" s="44"/>
      <c r="B577" s="45"/>
      <c r="C577" s="46">
        <f>IF(B577&lt;&gt;"",VLOOKUP(B577,'Tipo Projeto'!$A$3:$B$35,2,0),0)</f>
        <v>0</v>
      </c>
      <c r="D577" s="47"/>
      <c r="E577" s="47"/>
      <c r="F577" s="48"/>
      <c r="G577" s="47"/>
      <c r="H577" s="49"/>
      <c r="I577" s="50"/>
      <c r="J577" s="51"/>
      <c r="K577" s="52"/>
      <c r="L577" s="53" t="str">
        <f t="shared" si="130"/>
        <v/>
      </c>
      <c r="M577" s="48" t="str">
        <f t="shared" si="131"/>
        <v/>
      </c>
      <c r="N577" s="54" t="str">
        <f t="shared" si="132"/>
        <v/>
      </c>
      <c r="O577" s="55">
        <f t="shared" si="133"/>
        <v>0</v>
      </c>
      <c r="P577" s="55">
        <f t="shared" si="134"/>
        <v>0</v>
      </c>
      <c r="Q577" s="54">
        <f t="shared" si="135"/>
        <v>0</v>
      </c>
      <c r="R577" s="47"/>
      <c r="T577" s="57"/>
      <c r="U577" s="45"/>
      <c r="V577" s="46">
        <f>IF(U577&lt;&gt;"",VLOOKUP(U577,'Tipo Projeto'!$A$3:$B$35,2,0),0)</f>
        <v>0</v>
      </c>
      <c r="W577" s="47"/>
      <c r="X577" s="49"/>
      <c r="Y577" s="50"/>
      <c r="Z577" s="51"/>
      <c r="AA577" s="52"/>
      <c r="AB577" s="53" t="str">
        <f t="shared" si="136"/>
        <v/>
      </c>
      <c r="AC577" s="48" t="str">
        <f t="shared" si="137"/>
        <v/>
      </c>
      <c r="AD577" s="54" t="str">
        <f t="shared" si="138"/>
        <v/>
      </c>
      <c r="AE577" s="55">
        <f t="shared" si="139"/>
        <v>0</v>
      </c>
      <c r="AF577" s="55">
        <f t="shared" si="140"/>
        <v>0</v>
      </c>
      <c r="AG577" s="58">
        <f t="shared" si="141"/>
        <v>0</v>
      </c>
      <c r="AH577" s="47"/>
      <c r="AJ577" s="47"/>
      <c r="AL577" s="47"/>
      <c r="AM577" s="47" t="str">
        <f t="shared" si="142"/>
        <v/>
      </c>
    </row>
    <row r="578" spans="1:39" s="56" customFormat="1" ht="24.75" customHeight="1">
      <c r="A578" s="44"/>
      <c r="B578" s="45"/>
      <c r="C578" s="46">
        <f>IF(B578&lt;&gt;"",VLOOKUP(B578,'Tipo Projeto'!$A$3:$B$35,2,0),0)</f>
        <v>0</v>
      </c>
      <c r="D578" s="47"/>
      <c r="E578" s="47"/>
      <c r="F578" s="48"/>
      <c r="G578" s="47"/>
      <c r="H578" s="49"/>
      <c r="I578" s="50"/>
      <c r="J578" s="51"/>
      <c r="K578" s="52"/>
      <c r="L578" s="53" t="str">
        <f t="shared" si="130"/>
        <v/>
      </c>
      <c r="M578" s="48" t="str">
        <f t="shared" si="131"/>
        <v/>
      </c>
      <c r="N578" s="54" t="str">
        <f t="shared" si="132"/>
        <v/>
      </c>
      <c r="O578" s="55">
        <f t="shared" si="133"/>
        <v>0</v>
      </c>
      <c r="P578" s="55">
        <f t="shared" si="134"/>
        <v>0</v>
      </c>
      <c r="Q578" s="54">
        <f t="shared" si="135"/>
        <v>0</v>
      </c>
      <c r="R578" s="47"/>
      <c r="T578" s="57"/>
      <c r="U578" s="45"/>
      <c r="V578" s="46">
        <f>IF(U578&lt;&gt;"",VLOOKUP(U578,'Tipo Projeto'!$A$3:$B$35,2,0),0)</f>
        <v>0</v>
      </c>
      <c r="W578" s="47"/>
      <c r="X578" s="49"/>
      <c r="Y578" s="50"/>
      <c r="Z578" s="51"/>
      <c r="AA578" s="52"/>
      <c r="AB578" s="53" t="str">
        <f t="shared" si="136"/>
        <v/>
      </c>
      <c r="AC578" s="48" t="str">
        <f t="shared" si="137"/>
        <v/>
      </c>
      <c r="AD578" s="54" t="str">
        <f t="shared" si="138"/>
        <v/>
      </c>
      <c r="AE578" s="55">
        <f t="shared" si="139"/>
        <v>0</v>
      </c>
      <c r="AF578" s="55">
        <f t="shared" si="140"/>
        <v>0</v>
      </c>
      <c r="AG578" s="58">
        <f t="shared" si="141"/>
        <v>0</v>
      </c>
      <c r="AH578" s="47"/>
      <c r="AJ578" s="47"/>
      <c r="AL578" s="47"/>
      <c r="AM578" s="47" t="str">
        <f t="shared" si="142"/>
        <v/>
      </c>
    </row>
    <row r="579" spans="1:39" s="56" customFormat="1" ht="24.75" customHeight="1">
      <c r="A579" s="44"/>
      <c r="B579" s="45"/>
      <c r="C579" s="46">
        <f>IF(B579&lt;&gt;"",VLOOKUP(B579,'Tipo Projeto'!$A$3:$B$35,2,0),0)</f>
        <v>0</v>
      </c>
      <c r="D579" s="47"/>
      <c r="E579" s="47"/>
      <c r="F579" s="48"/>
      <c r="G579" s="47"/>
      <c r="H579" s="49"/>
      <c r="I579" s="50"/>
      <c r="J579" s="51"/>
      <c r="K579" s="52"/>
      <c r="L579" s="53" t="str">
        <f t="shared" si="130"/>
        <v/>
      </c>
      <c r="M579" s="48" t="str">
        <f t="shared" si="131"/>
        <v/>
      </c>
      <c r="N579" s="54" t="str">
        <f t="shared" si="132"/>
        <v/>
      </c>
      <c r="O579" s="55">
        <f t="shared" si="133"/>
        <v>0</v>
      </c>
      <c r="P579" s="55">
        <f t="shared" si="134"/>
        <v>0</v>
      </c>
      <c r="Q579" s="54">
        <f t="shared" si="135"/>
        <v>0</v>
      </c>
      <c r="R579" s="47"/>
      <c r="T579" s="57"/>
      <c r="U579" s="45"/>
      <c r="V579" s="46">
        <f>IF(U579&lt;&gt;"",VLOOKUP(U579,'Tipo Projeto'!$A$3:$B$35,2,0),0)</f>
        <v>0</v>
      </c>
      <c r="W579" s="47"/>
      <c r="X579" s="49"/>
      <c r="Y579" s="50"/>
      <c r="Z579" s="51"/>
      <c r="AA579" s="52"/>
      <c r="AB579" s="53" t="str">
        <f t="shared" si="136"/>
        <v/>
      </c>
      <c r="AC579" s="48" t="str">
        <f t="shared" si="137"/>
        <v/>
      </c>
      <c r="AD579" s="54" t="str">
        <f t="shared" si="138"/>
        <v/>
      </c>
      <c r="AE579" s="55">
        <f t="shared" si="139"/>
        <v>0</v>
      </c>
      <c r="AF579" s="55">
        <f t="shared" si="140"/>
        <v>0</v>
      </c>
      <c r="AG579" s="58">
        <f t="shared" si="141"/>
        <v>0</v>
      </c>
      <c r="AH579" s="47"/>
      <c r="AJ579" s="47"/>
      <c r="AL579" s="47"/>
      <c r="AM579" s="47" t="str">
        <f t="shared" si="142"/>
        <v/>
      </c>
    </row>
    <row r="580" spans="1:39" s="56" customFormat="1" ht="24.75" customHeight="1">
      <c r="A580" s="44"/>
      <c r="B580" s="45"/>
      <c r="C580" s="46">
        <f>IF(B580&lt;&gt;"",VLOOKUP(B580,'Tipo Projeto'!$A$3:$B$35,2,0),0)</f>
        <v>0</v>
      </c>
      <c r="D580" s="47"/>
      <c r="E580" s="47"/>
      <c r="F580" s="48"/>
      <c r="G580" s="47"/>
      <c r="H580" s="49"/>
      <c r="I580" s="50"/>
      <c r="J580" s="51"/>
      <c r="K580" s="52"/>
      <c r="L580" s="53" t="str">
        <f t="shared" si="130"/>
        <v/>
      </c>
      <c r="M580" s="48" t="str">
        <f t="shared" si="131"/>
        <v/>
      </c>
      <c r="N580" s="54" t="str">
        <f t="shared" si="132"/>
        <v/>
      </c>
      <c r="O580" s="55">
        <f t="shared" si="133"/>
        <v>0</v>
      </c>
      <c r="P580" s="55">
        <f t="shared" si="134"/>
        <v>0</v>
      </c>
      <c r="Q580" s="54">
        <f t="shared" si="135"/>
        <v>0</v>
      </c>
      <c r="R580" s="47"/>
      <c r="T580" s="57"/>
      <c r="U580" s="45"/>
      <c r="V580" s="46">
        <f>IF(U580&lt;&gt;"",VLOOKUP(U580,'Tipo Projeto'!$A$3:$B$35,2,0),0)</f>
        <v>0</v>
      </c>
      <c r="W580" s="47"/>
      <c r="X580" s="49"/>
      <c r="Y580" s="50"/>
      <c r="Z580" s="51"/>
      <c r="AA580" s="52"/>
      <c r="AB580" s="53" t="str">
        <f t="shared" si="136"/>
        <v/>
      </c>
      <c r="AC580" s="48" t="str">
        <f t="shared" si="137"/>
        <v/>
      </c>
      <c r="AD580" s="54" t="str">
        <f t="shared" si="138"/>
        <v/>
      </c>
      <c r="AE580" s="55">
        <f t="shared" si="139"/>
        <v>0</v>
      </c>
      <c r="AF580" s="55">
        <f t="shared" si="140"/>
        <v>0</v>
      </c>
      <c r="AG580" s="58">
        <f t="shared" si="141"/>
        <v>0</v>
      </c>
      <c r="AH580" s="47"/>
      <c r="AJ580" s="47"/>
      <c r="AL580" s="47"/>
      <c r="AM580" s="47" t="str">
        <f t="shared" si="142"/>
        <v/>
      </c>
    </row>
    <row r="581" spans="1:39" s="56" customFormat="1" ht="24.75" customHeight="1">
      <c r="A581" s="44"/>
      <c r="B581" s="45"/>
      <c r="C581" s="46">
        <f>IF(B581&lt;&gt;"",VLOOKUP(B581,'Tipo Projeto'!$A$3:$B$35,2,0),0)</f>
        <v>0</v>
      </c>
      <c r="D581" s="47"/>
      <c r="E581" s="47"/>
      <c r="F581" s="48"/>
      <c r="G581" s="47"/>
      <c r="H581" s="49"/>
      <c r="I581" s="50"/>
      <c r="J581" s="51"/>
      <c r="K581" s="52"/>
      <c r="L581" s="53" t="str">
        <f t="shared" si="130"/>
        <v/>
      </c>
      <c r="M581" s="48" t="str">
        <f t="shared" si="131"/>
        <v/>
      </c>
      <c r="N581" s="54" t="str">
        <f t="shared" si="132"/>
        <v/>
      </c>
      <c r="O581" s="55">
        <f t="shared" si="133"/>
        <v>0</v>
      </c>
      <c r="P581" s="55">
        <f t="shared" si="134"/>
        <v>0</v>
      </c>
      <c r="Q581" s="54">
        <f t="shared" si="135"/>
        <v>0</v>
      </c>
      <c r="R581" s="47"/>
      <c r="T581" s="57"/>
      <c r="U581" s="45"/>
      <c r="V581" s="46">
        <f>IF(U581&lt;&gt;"",VLOOKUP(U581,'Tipo Projeto'!$A$3:$B$35,2,0),0)</f>
        <v>0</v>
      </c>
      <c r="W581" s="47"/>
      <c r="X581" s="49"/>
      <c r="Y581" s="50"/>
      <c r="Z581" s="51"/>
      <c r="AA581" s="52"/>
      <c r="AB581" s="53" t="str">
        <f t="shared" si="136"/>
        <v/>
      </c>
      <c r="AC581" s="48" t="str">
        <f t="shared" si="137"/>
        <v/>
      </c>
      <c r="AD581" s="54" t="str">
        <f t="shared" si="138"/>
        <v/>
      </c>
      <c r="AE581" s="55">
        <f t="shared" si="139"/>
        <v>0</v>
      </c>
      <c r="AF581" s="55">
        <f t="shared" si="140"/>
        <v>0</v>
      </c>
      <c r="AG581" s="58">
        <f t="shared" si="141"/>
        <v>0</v>
      </c>
      <c r="AH581" s="47"/>
      <c r="AJ581" s="47"/>
      <c r="AL581" s="47"/>
      <c r="AM581" s="47" t="str">
        <f t="shared" si="142"/>
        <v/>
      </c>
    </row>
    <row r="582" spans="1:39" s="56" customFormat="1" ht="24.75" customHeight="1">
      <c r="A582" s="44"/>
      <c r="B582" s="45"/>
      <c r="C582" s="46">
        <f>IF(B582&lt;&gt;"",VLOOKUP(B582,'Tipo Projeto'!$A$3:$B$35,2,0),0)</f>
        <v>0</v>
      </c>
      <c r="D582" s="47"/>
      <c r="E582" s="47"/>
      <c r="F582" s="48"/>
      <c r="G582" s="47"/>
      <c r="H582" s="49"/>
      <c r="I582" s="50"/>
      <c r="J582" s="51"/>
      <c r="K582" s="52"/>
      <c r="L582" s="53" t="str">
        <f t="shared" si="130"/>
        <v/>
      </c>
      <c r="M582" s="48" t="str">
        <f t="shared" si="131"/>
        <v/>
      </c>
      <c r="N582" s="54" t="str">
        <f t="shared" si="132"/>
        <v/>
      </c>
      <c r="O582" s="55">
        <f t="shared" si="133"/>
        <v>0</v>
      </c>
      <c r="P582" s="55">
        <f t="shared" si="134"/>
        <v>0</v>
      </c>
      <c r="Q582" s="54">
        <f t="shared" si="135"/>
        <v>0</v>
      </c>
      <c r="R582" s="47"/>
      <c r="T582" s="57"/>
      <c r="U582" s="45"/>
      <c r="V582" s="46">
        <f>IF(U582&lt;&gt;"",VLOOKUP(U582,'Tipo Projeto'!$A$3:$B$35,2,0),0)</f>
        <v>0</v>
      </c>
      <c r="W582" s="47"/>
      <c r="X582" s="49"/>
      <c r="Y582" s="50"/>
      <c r="Z582" s="51"/>
      <c r="AA582" s="52"/>
      <c r="AB582" s="53" t="str">
        <f t="shared" si="136"/>
        <v/>
      </c>
      <c r="AC582" s="48" t="str">
        <f t="shared" si="137"/>
        <v/>
      </c>
      <c r="AD582" s="54" t="str">
        <f t="shared" si="138"/>
        <v/>
      </c>
      <c r="AE582" s="55">
        <f t="shared" si="139"/>
        <v>0</v>
      </c>
      <c r="AF582" s="55">
        <f t="shared" si="140"/>
        <v>0</v>
      </c>
      <c r="AG582" s="58">
        <f t="shared" si="141"/>
        <v>0</v>
      </c>
      <c r="AH582" s="47"/>
      <c r="AJ582" s="47"/>
      <c r="AL582" s="47"/>
      <c r="AM582" s="47" t="str">
        <f t="shared" si="142"/>
        <v/>
      </c>
    </row>
    <row r="583" spans="1:39" s="56" customFormat="1" ht="24.75" customHeight="1">
      <c r="A583" s="44"/>
      <c r="B583" s="45"/>
      <c r="C583" s="46">
        <f>IF(B583&lt;&gt;"",VLOOKUP(B583,'Tipo Projeto'!$A$3:$B$35,2,0),0)</f>
        <v>0</v>
      </c>
      <c r="D583" s="47"/>
      <c r="E583" s="47"/>
      <c r="F583" s="48"/>
      <c r="G583" s="47"/>
      <c r="H583" s="49"/>
      <c r="I583" s="50"/>
      <c r="J583" s="51"/>
      <c r="K583" s="52"/>
      <c r="L583" s="53" t="str">
        <f t="shared" si="130"/>
        <v/>
      </c>
      <c r="M583" s="48" t="str">
        <f t="shared" si="131"/>
        <v/>
      </c>
      <c r="N583" s="54" t="str">
        <f t="shared" si="132"/>
        <v/>
      </c>
      <c r="O583" s="55">
        <f t="shared" si="133"/>
        <v>0</v>
      </c>
      <c r="P583" s="55">
        <f t="shared" si="134"/>
        <v>0</v>
      </c>
      <c r="Q583" s="54">
        <f t="shared" si="135"/>
        <v>0</v>
      </c>
      <c r="R583" s="47"/>
      <c r="T583" s="57"/>
      <c r="U583" s="45"/>
      <c r="V583" s="46">
        <f>IF(U583&lt;&gt;"",VLOOKUP(U583,'Tipo Projeto'!$A$3:$B$35,2,0),0)</f>
        <v>0</v>
      </c>
      <c r="W583" s="47"/>
      <c r="X583" s="49"/>
      <c r="Y583" s="50"/>
      <c r="Z583" s="51"/>
      <c r="AA583" s="52"/>
      <c r="AB583" s="53" t="str">
        <f t="shared" si="136"/>
        <v/>
      </c>
      <c r="AC583" s="48" t="str">
        <f t="shared" si="137"/>
        <v/>
      </c>
      <c r="AD583" s="54" t="str">
        <f t="shared" si="138"/>
        <v/>
      </c>
      <c r="AE583" s="55">
        <f t="shared" si="139"/>
        <v>0</v>
      </c>
      <c r="AF583" s="55">
        <f t="shared" si="140"/>
        <v>0</v>
      </c>
      <c r="AG583" s="58">
        <f t="shared" si="141"/>
        <v>0</v>
      </c>
      <c r="AH583" s="47"/>
      <c r="AJ583" s="47"/>
      <c r="AL583" s="47"/>
      <c r="AM583" s="47" t="str">
        <f t="shared" si="142"/>
        <v/>
      </c>
    </row>
    <row r="584" spans="1:39" s="56" customFormat="1" ht="24.75" customHeight="1">
      <c r="A584" s="44"/>
      <c r="B584" s="45"/>
      <c r="C584" s="46">
        <f>IF(B584&lt;&gt;"",VLOOKUP(B584,'Tipo Projeto'!$A$3:$B$35,2,0),0)</f>
        <v>0</v>
      </c>
      <c r="D584" s="47"/>
      <c r="E584" s="47"/>
      <c r="F584" s="48"/>
      <c r="G584" s="47"/>
      <c r="H584" s="49"/>
      <c r="I584" s="50"/>
      <c r="J584" s="51"/>
      <c r="K584" s="52"/>
      <c r="L584" s="53" t="str">
        <f t="shared" si="130"/>
        <v/>
      </c>
      <c r="M584" s="48" t="str">
        <f t="shared" si="131"/>
        <v/>
      </c>
      <c r="N584" s="54" t="str">
        <f t="shared" si="132"/>
        <v/>
      </c>
      <c r="O584" s="55">
        <f t="shared" si="133"/>
        <v>0</v>
      </c>
      <c r="P584" s="55">
        <f t="shared" si="134"/>
        <v>0</v>
      </c>
      <c r="Q584" s="54">
        <f t="shared" si="135"/>
        <v>0</v>
      </c>
      <c r="R584" s="47"/>
      <c r="T584" s="57"/>
      <c r="U584" s="45"/>
      <c r="V584" s="46">
        <f>IF(U584&lt;&gt;"",VLOOKUP(U584,'Tipo Projeto'!$A$3:$B$35,2,0),0)</f>
        <v>0</v>
      </c>
      <c r="W584" s="47"/>
      <c r="X584" s="49"/>
      <c r="Y584" s="50"/>
      <c r="Z584" s="51"/>
      <c r="AA584" s="52"/>
      <c r="AB584" s="53" t="str">
        <f t="shared" si="136"/>
        <v/>
      </c>
      <c r="AC584" s="48" t="str">
        <f t="shared" si="137"/>
        <v/>
      </c>
      <c r="AD584" s="54" t="str">
        <f t="shared" si="138"/>
        <v/>
      </c>
      <c r="AE584" s="55">
        <f t="shared" si="139"/>
        <v>0</v>
      </c>
      <c r="AF584" s="55">
        <f t="shared" si="140"/>
        <v>0</v>
      </c>
      <c r="AG584" s="58">
        <f t="shared" si="141"/>
        <v>0</v>
      </c>
      <c r="AH584" s="47"/>
      <c r="AJ584" s="47"/>
      <c r="AL584" s="47"/>
      <c r="AM584" s="47" t="str">
        <f t="shared" si="142"/>
        <v/>
      </c>
    </row>
    <row r="585" spans="1:39" s="56" customFormat="1" ht="24.75" customHeight="1">
      <c r="A585" s="44"/>
      <c r="B585" s="45"/>
      <c r="C585" s="46">
        <f>IF(B585&lt;&gt;"",VLOOKUP(B585,'Tipo Projeto'!$A$3:$B$35,2,0),0)</f>
        <v>0</v>
      </c>
      <c r="D585" s="47"/>
      <c r="E585" s="47"/>
      <c r="F585" s="48"/>
      <c r="G585" s="47"/>
      <c r="H585" s="49"/>
      <c r="I585" s="50"/>
      <c r="J585" s="51"/>
      <c r="K585" s="52"/>
      <c r="L585" s="53" t="str">
        <f t="shared" si="130"/>
        <v/>
      </c>
      <c r="M585" s="48" t="str">
        <f t="shared" si="131"/>
        <v/>
      </c>
      <c r="N585" s="54" t="str">
        <f t="shared" si="132"/>
        <v/>
      </c>
      <c r="O585" s="55">
        <f t="shared" si="133"/>
        <v>0</v>
      </c>
      <c r="P585" s="55">
        <f t="shared" si="134"/>
        <v>0</v>
      </c>
      <c r="Q585" s="54">
        <f t="shared" si="135"/>
        <v>0</v>
      </c>
      <c r="R585" s="47"/>
      <c r="T585" s="57"/>
      <c r="U585" s="45"/>
      <c r="V585" s="46">
        <f>IF(U585&lt;&gt;"",VLOOKUP(U585,'Tipo Projeto'!$A$3:$B$35,2,0),0)</f>
        <v>0</v>
      </c>
      <c r="W585" s="47"/>
      <c r="X585" s="49"/>
      <c r="Y585" s="50"/>
      <c r="Z585" s="51"/>
      <c r="AA585" s="52"/>
      <c r="AB585" s="53" t="str">
        <f t="shared" si="136"/>
        <v/>
      </c>
      <c r="AC585" s="48" t="str">
        <f t="shared" si="137"/>
        <v/>
      </c>
      <c r="AD585" s="54" t="str">
        <f t="shared" si="138"/>
        <v/>
      </c>
      <c r="AE585" s="55">
        <f t="shared" si="139"/>
        <v>0</v>
      </c>
      <c r="AF585" s="55">
        <f t="shared" si="140"/>
        <v>0</v>
      </c>
      <c r="AG585" s="58">
        <f t="shared" si="141"/>
        <v>0</v>
      </c>
      <c r="AH585" s="47"/>
      <c r="AJ585" s="47"/>
      <c r="AL585" s="47"/>
      <c r="AM585" s="47" t="str">
        <f t="shared" si="142"/>
        <v/>
      </c>
    </row>
    <row r="586" spans="1:39" s="56" customFormat="1" ht="24.75" customHeight="1">
      <c r="A586" s="44"/>
      <c r="B586" s="45"/>
      <c r="C586" s="46">
        <f>IF(B586&lt;&gt;"",VLOOKUP(B586,'Tipo Projeto'!$A$3:$B$35,2,0),0)</f>
        <v>0</v>
      </c>
      <c r="D586" s="47"/>
      <c r="E586" s="47"/>
      <c r="F586" s="48"/>
      <c r="G586" s="47"/>
      <c r="H586" s="49"/>
      <c r="I586" s="50"/>
      <c r="J586" s="51"/>
      <c r="K586" s="52"/>
      <c r="L586" s="53" t="str">
        <f t="shared" si="130"/>
        <v/>
      </c>
      <c r="M586" s="48" t="str">
        <f t="shared" si="131"/>
        <v/>
      </c>
      <c r="N586" s="54" t="str">
        <f t="shared" si="132"/>
        <v/>
      </c>
      <c r="O586" s="55">
        <f t="shared" si="133"/>
        <v>0</v>
      </c>
      <c r="P586" s="55">
        <f t="shared" si="134"/>
        <v>0</v>
      </c>
      <c r="Q586" s="54">
        <f t="shared" si="135"/>
        <v>0</v>
      </c>
      <c r="R586" s="47"/>
      <c r="T586" s="57"/>
      <c r="U586" s="45"/>
      <c r="V586" s="46">
        <f>IF(U586&lt;&gt;"",VLOOKUP(U586,'Tipo Projeto'!$A$3:$B$35,2,0),0)</f>
        <v>0</v>
      </c>
      <c r="W586" s="47"/>
      <c r="X586" s="49"/>
      <c r="Y586" s="50"/>
      <c r="Z586" s="51"/>
      <c r="AA586" s="52"/>
      <c r="AB586" s="53" t="str">
        <f t="shared" si="136"/>
        <v/>
      </c>
      <c r="AC586" s="48" t="str">
        <f t="shared" si="137"/>
        <v/>
      </c>
      <c r="AD586" s="54" t="str">
        <f t="shared" si="138"/>
        <v/>
      </c>
      <c r="AE586" s="55">
        <f t="shared" si="139"/>
        <v>0</v>
      </c>
      <c r="AF586" s="55">
        <f t="shared" si="140"/>
        <v>0</v>
      </c>
      <c r="AG586" s="58">
        <f t="shared" si="141"/>
        <v>0</v>
      </c>
      <c r="AH586" s="47"/>
      <c r="AJ586" s="47"/>
      <c r="AL586" s="47"/>
      <c r="AM586" s="47" t="str">
        <f t="shared" si="142"/>
        <v/>
      </c>
    </row>
    <row r="587" spans="1:39" s="56" customFormat="1" ht="24.75" customHeight="1">
      <c r="A587" s="44"/>
      <c r="B587" s="45"/>
      <c r="C587" s="46">
        <f>IF(B587&lt;&gt;"",VLOOKUP(B587,'Tipo Projeto'!$A$3:$B$35,2,0),0)</f>
        <v>0</v>
      </c>
      <c r="D587" s="47"/>
      <c r="E587" s="47"/>
      <c r="F587" s="48"/>
      <c r="G587" s="47"/>
      <c r="H587" s="49"/>
      <c r="I587" s="50"/>
      <c r="J587" s="51"/>
      <c r="K587" s="52"/>
      <c r="L587" s="53" t="str">
        <f t="shared" si="130"/>
        <v/>
      </c>
      <c r="M587" s="48" t="str">
        <f t="shared" si="131"/>
        <v/>
      </c>
      <c r="N587" s="54" t="str">
        <f t="shared" si="132"/>
        <v/>
      </c>
      <c r="O587" s="55">
        <f t="shared" si="133"/>
        <v>0</v>
      </c>
      <c r="P587" s="55">
        <f t="shared" si="134"/>
        <v>0</v>
      </c>
      <c r="Q587" s="54">
        <f t="shared" si="135"/>
        <v>0</v>
      </c>
      <c r="R587" s="47"/>
      <c r="T587" s="57"/>
      <c r="U587" s="45"/>
      <c r="V587" s="46">
        <f>IF(U587&lt;&gt;"",VLOOKUP(U587,'Tipo Projeto'!$A$3:$B$35,2,0),0)</f>
        <v>0</v>
      </c>
      <c r="W587" s="47"/>
      <c r="X587" s="49"/>
      <c r="Y587" s="50"/>
      <c r="Z587" s="51"/>
      <c r="AA587" s="52"/>
      <c r="AB587" s="53" t="str">
        <f t="shared" si="136"/>
        <v/>
      </c>
      <c r="AC587" s="48" t="str">
        <f t="shared" si="137"/>
        <v/>
      </c>
      <c r="AD587" s="54" t="str">
        <f t="shared" si="138"/>
        <v/>
      </c>
      <c r="AE587" s="55">
        <f t="shared" si="139"/>
        <v>0</v>
      </c>
      <c r="AF587" s="55">
        <f t="shared" si="140"/>
        <v>0</v>
      </c>
      <c r="AG587" s="58">
        <f t="shared" si="141"/>
        <v>0</v>
      </c>
      <c r="AH587" s="47"/>
      <c r="AJ587" s="47"/>
      <c r="AL587" s="47"/>
      <c r="AM587" s="47" t="str">
        <f t="shared" si="142"/>
        <v/>
      </c>
    </row>
    <row r="588" spans="1:39" s="56" customFormat="1" ht="24.75" customHeight="1">
      <c r="A588" s="44"/>
      <c r="B588" s="45"/>
      <c r="C588" s="46">
        <f>IF(B588&lt;&gt;"",VLOOKUP(B588,'Tipo Projeto'!$A$3:$B$35,2,0),0)</f>
        <v>0</v>
      </c>
      <c r="D588" s="47"/>
      <c r="E588" s="47"/>
      <c r="F588" s="48"/>
      <c r="G588" s="47"/>
      <c r="H588" s="49"/>
      <c r="I588" s="50"/>
      <c r="J588" s="51"/>
      <c r="K588" s="52"/>
      <c r="L588" s="53" t="str">
        <f t="shared" si="130"/>
        <v/>
      </c>
      <c r="M588" s="48" t="str">
        <f t="shared" si="131"/>
        <v/>
      </c>
      <c r="N588" s="54" t="str">
        <f t="shared" si="132"/>
        <v/>
      </c>
      <c r="O588" s="55">
        <f t="shared" si="133"/>
        <v>0</v>
      </c>
      <c r="P588" s="55">
        <f t="shared" si="134"/>
        <v>0</v>
      </c>
      <c r="Q588" s="54">
        <f t="shared" si="135"/>
        <v>0</v>
      </c>
      <c r="R588" s="47"/>
      <c r="T588" s="57"/>
      <c r="U588" s="45"/>
      <c r="V588" s="46">
        <f>IF(U588&lt;&gt;"",VLOOKUP(U588,'Tipo Projeto'!$A$3:$B$35,2,0),0)</f>
        <v>0</v>
      </c>
      <c r="W588" s="47"/>
      <c r="X588" s="49"/>
      <c r="Y588" s="50"/>
      <c r="Z588" s="51"/>
      <c r="AA588" s="52"/>
      <c r="AB588" s="53" t="str">
        <f t="shared" si="136"/>
        <v/>
      </c>
      <c r="AC588" s="48" t="str">
        <f t="shared" si="137"/>
        <v/>
      </c>
      <c r="AD588" s="54" t="str">
        <f t="shared" si="138"/>
        <v/>
      </c>
      <c r="AE588" s="55">
        <f t="shared" si="139"/>
        <v>0</v>
      </c>
      <c r="AF588" s="55">
        <f t="shared" si="140"/>
        <v>0</v>
      </c>
      <c r="AG588" s="58">
        <f t="shared" si="141"/>
        <v>0</v>
      </c>
      <c r="AH588" s="47"/>
      <c r="AJ588" s="47"/>
      <c r="AL588" s="47"/>
      <c r="AM588" s="47" t="str">
        <f t="shared" si="142"/>
        <v/>
      </c>
    </row>
    <row r="589" spans="1:39" s="56" customFormat="1" ht="24.75" customHeight="1">
      <c r="A589" s="44"/>
      <c r="B589" s="45"/>
      <c r="C589" s="46">
        <f>IF(B589&lt;&gt;"",VLOOKUP(B589,'Tipo Projeto'!$A$3:$B$35,2,0),0)</f>
        <v>0</v>
      </c>
      <c r="D589" s="47"/>
      <c r="E589" s="47"/>
      <c r="F589" s="48"/>
      <c r="G589" s="47"/>
      <c r="H589" s="49"/>
      <c r="I589" s="50"/>
      <c r="J589" s="51"/>
      <c r="K589" s="52"/>
      <c r="L589" s="53" t="str">
        <f t="shared" si="130"/>
        <v/>
      </c>
      <c r="M589" s="48" t="str">
        <f t="shared" si="131"/>
        <v/>
      </c>
      <c r="N589" s="54" t="str">
        <f t="shared" si="132"/>
        <v/>
      </c>
      <c r="O589" s="55">
        <f t="shared" si="133"/>
        <v>0</v>
      </c>
      <c r="P589" s="55">
        <f t="shared" si="134"/>
        <v>0</v>
      </c>
      <c r="Q589" s="54">
        <f t="shared" si="135"/>
        <v>0</v>
      </c>
      <c r="R589" s="47"/>
      <c r="T589" s="57"/>
      <c r="U589" s="45"/>
      <c r="V589" s="46">
        <f>IF(U589&lt;&gt;"",VLOOKUP(U589,'Tipo Projeto'!$A$3:$B$35,2,0),0)</f>
        <v>0</v>
      </c>
      <c r="W589" s="47"/>
      <c r="X589" s="49"/>
      <c r="Y589" s="50"/>
      <c r="Z589" s="51"/>
      <c r="AA589" s="52"/>
      <c r="AB589" s="53" t="str">
        <f t="shared" si="136"/>
        <v/>
      </c>
      <c r="AC589" s="48" t="str">
        <f t="shared" si="137"/>
        <v/>
      </c>
      <c r="AD589" s="54" t="str">
        <f t="shared" si="138"/>
        <v/>
      </c>
      <c r="AE589" s="55">
        <f t="shared" si="139"/>
        <v>0</v>
      </c>
      <c r="AF589" s="55">
        <f t="shared" si="140"/>
        <v>0</v>
      </c>
      <c r="AG589" s="58">
        <f t="shared" si="141"/>
        <v>0</v>
      </c>
      <c r="AH589" s="47"/>
      <c r="AJ589" s="47"/>
      <c r="AL589" s="47"/>
      <c r="AM589" s="47" t="str">
        <f t="shared" si="142"/>
        <v/>
      </c>
    </row>
    <row r="590" spans="1:39" s="56" customFormat="1" ht="24.75" customHeight="1">
      <c r="A590" s="44"/>
      <c r="B590" s="45"/>
      <c r="C590" s="46">
        <f>IF(B590&lt;&gt;"",VLOOKUP(B590,'Tipo Projeto'!$A$3:$B$35,2,0),0)</f>
        <v>0</v>
      </c>
      <c r="D590" s="47"/>
      <c r="E590" s="47"/>
      <c r="F590" s="48"/>
      <c r="G590" s="47"/>
      <c r="H590" s="49"/>
      <c r="I590" s="50"/>
      <c r="J590" s="51"/>
      <c r="K590" s="52"/>
      <c r="L590" s="53" t="str">
        <f t="shared" si="130"/>
        <v/>
      </c>
      <c r="M590" s="48" t="str">
        <f t="shared" si="131"/>
        <v/>
      </c>
      <c r="N590" s="54" t="str">
        <f t="shared" si="132"/>
        <v/>
      </c>
      <c r="O590" s="55">
        <f t="shared" si="133"/>
        <v>0</v>
      </c>
      <c r="P590" s="55">
        <f t="shared" si="134"/>
        <v>0</v>
      </c>
      <c r="Q590" s="54">
        <f t="shared" si="135"/>
        <v>0</v>
      </c>
      <c r="R590" s="47"/>
      <c r="T590" s="57"/>
      <c r="U590" s="45"/>
      <c r="V590" s="46">
        <f>IF(U590&lt;&gt;"",VLOOKUP(U590,'Tipo Projeto'!$A$3:$B$35,2,0),0)</f>
        <v>0</v>
      </c>
      <c r="W590" s="47"/>
      <c r="X590" s="49"/>
      <c r="Y590" s="50"/>
      <c r="Z590" s="51"/>
      <c r="AA590" s="52"/>
      <c r="AB590" s="53" t="str">
        <f t="shared" si="136"/>
        <v/>
      </c>
      <c r="AC590" s="48" t="str">
        <f t="shared" si="137"/>
        <v/>
      </c>
      <c r="AD590" s="54" t="str">
        <f t="shared" si="138"/>
        <v/>
      </c>
      <c r="AE590" s="55">
        <f t="shared" si="139"/>
        <v>0</v>
      </c>
      <c r="AF590" s="55">
        <f t="shared" si="140"/>
        <v>0</v>
      </c>
      <c r="AG590" s="58">
        <f t="shared" si="141"/>
        <v>0</v>
      </c>
      <c r="AH590" s="47"/>
      <c r="AJ590" s="47"/>
      <c r="AL590" s="47"/>
      <c r="AM590" s="47" t="str">
        <f t="shared" si="142"/>
        <v/>
      </c>
    </row>
    <row r="591" spans="1:39" s="56" customFormat="1" ht="24.75" customHeight="1">
      <c r="A591" s="44"/>
      <c r="B591" s="45"/>
      <c r="C591" s="46">
        <f>IF(B591&lt;&gt;"",VLOOKUP(B591,'Tipo Projeto'!$A$3:$B$35,2,0),0)</f>
        <v>0</v>
      </c>
      <c r="D591" s="47"/>
      <c r="E591" s="47"/>
      <c r="F591" s="48"/>
      <c r="G591" s="47"/>
      <c r="H591" s="49"/>
      <c r="I591" s="50"/>
      <c r="J591" s="51"/>
      <c r="K591" s="52"/>
      <c r="L591" s="53" t="str">
        <f t="shared" si="130"/>
        <v/>
      </c>
      <c r="M591" s="48" t="str">
        <f t="shared" si="131"/>
        <v/>
      </c>
      <c r="N591" s="54" t="str">
        <f t="shared" si="132"/>
        <v/>
      </c>
      <c r="O591" s="55">
        <f t="shared" si="133"/>
        <v>0</v>
      </c>
      <c r="P591" s="55">
        <f t="shared" si="134"/>
        <v>0</v>
      </c>
      <c r="Q591" s="54">
        <f t="shared" si="135"/>
        <v>0</v>
      </c>
      <c r="R591" s="47"/>
      <c r="T591" s="57"/>
      <c r="U591" s="45"/>
      <c r="V591" s="46">
        <f>IF(U591&lt;&gt;"",VLOOKUP(U591,'Tipo Projeto'!$A$3:$B$35,2,0),0)</f>
        <v>0</v>
      </c>
      <c r="W591" s="47"/>
      <c r="X591" s="49"/>
      <c r="Y591" s="50"/>
      <c r="Z591" s="51"/>
      <c r="AA591" s="52"/>
      <c r="AB591" s="53" t="str">
        <f t="shared" si="136"/>
        <v/>
      </c>
      <c r="AC591" s="48" t="str">
        <f t="shared" si="137"/>
        <v/>
      </c>
      <c r="AD591" s="54" t="str">
        <f t="shared" si="138"/>
        <v/>
      </c>
      <c r="AE591" s="55">
        <f t="shared" si="139"/>
        <v>0</v>
      </c>
      <c r="AF591" s="55">
        <f t="shared" si="140"/>
        <v>0</v>
      </c>
      <c r="AG591" s="58">
        <f t="shared" si="141"/>
        <v>0</v>
      </c>
      <c r="AH591" s="47"/>
      <c r="AJ591" s="47"/>
      <c r="AL591" s="47"/>
      <c r="AM591" s="47" t="str">
        <f t="shared" si="142"/>
        <v/>
      </c>
    </row>
    <row r="592" spans="1:39" s="56" customFormat="1" ht="24.75" customHeight="1">
      <c r="A592" s="44"/>
      <c r="B592" s="45"/>
      <c r="C592" s="46">
        <f>IF(B592&lt;&gt;"",VLOOKUP(B592,'Tipo Projeto'!$A$3:$B$35,2,0),0)</f>
        <v>0</v>
      </c>
      <c r="D592" s="47"/>
      <c r="E592" s="47"/>
      <c r="F592" s="48"/>
      <c r="G592" s="47"/>
      <c r="H592" s="49"/>
      <c r="I592" s="50"/>
      <c r="J592" s="51"/>
      <c r="K592" s="52"/>
      <c r="L592" s="53" t="str">
        <f t="shared" si="130"/>
        <v/>
      </c>
      <c r="M592" s="48" t="str">
        <f t="shared" si="131"/>
        <v/>
      </c>
      <c r="N592" s="54" t="str">
        <f t="shared" si="132"/>
        <v/>
      </c>
      <c r="O592" s="55">
        <f t="shared" si="133"/>
        <v>0</v>
      </c>
      <c r="P592" s="55">
        <f t="shared" si="134"/>
        <v>0</v>
      </c>
      <c r="Q592" s="54">
        <f t="shared" si="135"/>
        <v>0</v>
      </c>
      <c r="R592" s="47"/>
      <c r="T592" s="57"/>
      <c r="U592" s="45"/>
      <c r="V592" s="46">
        <f>IF(U592&lt;&gt;"",VLOOKUP(U592,'Tipo Projeto'!$A$3:$B$35,2,0),0)</f>
        <v>0</v>
      </c>
      <c r="W592" s="47"/>
      <c r="X592" s="49"/>
      <c r="Y592" s="50"/>
      <c r="Z592" s="51"/>
      <c r="AA592" s="52"/>
      <c r="AB592" s="53" t="str">
        <f t="shared" si="136"/>
        <v/>
      </c>
      <c r="AC592" s="48" t="str">
        <f t="shared" si="137"/>
        <v/>
      </c>
      <c r="AD592" s="54" t="str">
        <f t="shared" si="138"/>
        <v/>
      </c>
      <c r="AE592" s="55">
        <f t="shared" si="139"/>
        <v>0</v>
      </c>
      <c r="AF592" s="55">
        <f t="shared" si="140"/>
        <v>0</v>
      </c>
      <c r="AG592" s="58">
        <f t="shared" si="141"/>
        <v>0</v>
      </c>
      <c r="AH592" s="47"/>
      <c r="AJ592" s="47"/>
      <c r="AL592" s="47"/>
      <c r="AM592" s="47" t="str">
        <f t="shared" si="142"/>
        <v/>
      </c>
    </row>
    <row r="593" spans="1:39" s="56" customFormat="1" ht="24.75" customHeight="1">
      <c r="A593" s="44"/>
      <c r="B593" s="45"/>
      <c r="C593" s="46">
        <f>IF(B593&lt;&gt;"",VLOOKUP(B593,'Tipo Projeto'!$A$3:$B$35,2,0),0)</f>
        <v>0</v>
      </c>
      <c r="D593" s="47"/>
      <c r="E593" s="47"/>
      <c r="F593" s="48"/>
      <c r="G593" s="47"/>
      <c r="H593" s="49"/>
      <c r="I593" s="50"/>
      <c r="J593" s="51"/>
      <c r="K593" s="52"/>
      <c r="L593" s="53" t="str">
        <f t="shared" si="130"/>
        <v/>
      </c>
      <c r="M593" s="48" t="str">
        <f t="shared" si="131"/>
        <v/>
      </c>
      <c r="N593" s="54" t="str">
        <f t="shared" si="132"/>
        <v/>
      </c>
      <c r="O593" s="55">
        <f t="shared" si="133"/>
        <v>0</v>
      </c>
      <c r="P593" s="55">
        <f t="shared" si="134"/>
        <v>0</v>
      </c>
      <c r="Q593" s="54">
        <f t="shared" si="135"/>
        <v>0</v>
      </c>
      <c r="R593" s="47"/>
      <c r="T593" s="57"/>
      <c r="U593" s="45"/>
      <c r="V593" s="46">
        <f>IF(U593&lt;&gt;"",VLOOKUP(U593,'Tipo Projeto'!$A$3:$B$35,2,0),0)</f>
        <v>0</v>
      </c>
      <c r="W593" s="47"/>
      <c r="X593" s="49"/>
      <c r="Y593" s="50"/>
      <c r="Z593" s="51"/>
      <c r="AA593" s="52"/>
      <c r="AB593" s="53" t="str">
        <f t="shared" si="136"/>
        <v/>
      </c>
      <c r="AC593" s="48" t="str">
        <f t="shared" si="137"/>
        <v/>
      </c>
      <c r="AD593" s="54" t="str">
        <f t="shared" si="138"/>
        <v/>
      </c>
      <c r="AE593" s="55">
        <f t="shared" si="139"/>
        <v>0</v>
      </c>
      <c r="AF593" s="55">
        <f t="shared" si="140"/>
        <v>0</v>
      </c>
      <c r="AG593" s="58">
        <f t="shared" si="141"/>
        <v>0</v>
      </c>
      <c r="AH593" s="47"/>
      <c r="AJ593" s="47"/>
      <c r="AL593" s="47"/>
      <c r="AM593" s="47" t="str">
        <f t="shared" si="142"/>
        <v/>
      </c>
    </row>
    <row r="594" spans="1:39" s="56" customFormat="1" ht="24.75" customHeight="1">
      <c r="A594" s="44"/>
      <c r="B594" s="45"/>
      <c r="C594" s="46">
        <f>IF(B594&lt;&gt;"",VLOOKUP(B594,'Tipo Projeto'!$A$3:$B$35,2,0),0)</f>
        <v>0</v>
      </c>
      <c r="D594" s="47"/>
      <c r="E594" s="47"/>
      <c r="F594" s="48"/>
      <c r="G594" s="47"/>
      <c r="H594" s="49"/>
      <c r="I594" s="50"/>
      <c r="J594" s="51"/>
      <c r="K594" s="52"/>
      <c r="L594" s="53" t="str">
        <f t="shared" si="130"/>
        <v/>
      </c>
      <c r="M594" s="48" t="str">
        <f t="shared" si="131"/>
        <v/>
      </c>
      <c r="N594" s="54" t="str">
        <f t="shared" si="132"/>
        <v/>
      </c>
      <c r="O594" s="55">
        <f t="shared" si="133"/>
        <v>0</v>
      </c>
      <c r="P594" s="55">
        <f t="shared" si="134"/>
        <v>0</v>
      </c>
      <c r="Q594" s="54">
        <f t="shared" si="135"/>
        <v>0</v>
      </c>
      <c r="R594" s="47"/>
      <c r="T594" s="57"/>
      <c r="U594" s="45"/>
      <c r="V594" s="46">
        <f>IF(U594&lt;&gt;"",VLOOKUP(U594,'Tipo Projeto'!$A$3:$B$35,2,0),0)</f>
        <v>0</v>
      </c>
      <c r="W594" s="47"/>
      <c r="X594" s="49"/>
      <c r="Y594" s="50"/>
      <c r="Z594" s="51"/>
      <c r="AA594" s="52"/>
      <c r="AB594" s="53" t="str">
        <f t="shared" si="136"/>
        <v/>
      </c>
      <c r="AC594" s="48" t="str">
        <f t="shared" si="137"/>
        <v/>
      </c>
      <c r="AD594" s="54" t="str">
        <f t="shared" si="138"/>
        <v/>
      </c>
      <c r="AE594" s="55">
        <f t="shared" si="139"/>
        <v>0</v>
      </c>
      <c r="AF594" s="55">
        <f t="shared" si="140"/>
        <v>0</v>
      </c>
      <c r="AG594" s="58">
        <f t="shared" si="141"/>
        <v>0</v>
      </c>
      <c r="AH594" s="47"/>
      <c r="AJ594" s="47"/>
      <c r="AL594" s="47"/>
      <c r="AM594" s="47" t="str">
        <f t="shared" si="142"/>
        <v/>
      </c>
    </row>
    <row r="595" spans="1:39" s="56" customFormat="1" ht="24.75" customHeight="1">
      <c r="A595" s="44"/>
      <c r="B595" s="45"/>
      <c r="C595" s="46">
        <f>IF(B595&lt;&gt;"",VLOOKUP(B595,'Tipo Projeto'!$A$3:$B$35,2,0),0)</f>
        <v>0</v>
      </c>
      <c r="D595" s="47"/>
      <c r="E595" s="47"/>
      <c r="F595" s="48"/>
      <c r="G595" s="47"/>
      <c r="H595" s="49"/>
      <c r="I595" s="50"/>
      <c r="J595" s="51"/>
      <c r="K595" s="52"/>
      <c r="L595" s="53" t="str">
        <f t="shared" si="130"/>
        <v/>
      </c>
      <c r="M595" s="48" t="str">
        <f t="shared" si="131"/>
        <v/>
      </c>
      <c r="N595" s="54" t="str">
        <f t="shared" si="132"/>
        <v/>
      </c>
      <c r="O595" s="55">
        <f t="shared" si="133"/>
        <v>0</v>
      </c>
      <c r="P595" s="55">
        <f t="shared" si="134"/>
        <v>0</v>
      </c>
      <c r="Q595" s="54">
        <f t="shared" si="135"/>
        <v>0</v>
      </c>
      <c r="R595" s="47"/>
      <c r="T595" s="57"/>
      <c r="U595" s="45"/>
      <c r="V595" s="46">
        <f>IF(U595&lt;&gt;"",VLOOKUP(U595,'Tipo Projeto'!$A$3:$B$35,2,0),0)</f>
        <v>0</v>
      </c>
      <c r="W595" s="47"/>
      <c r="X595" s="49"/>
      <c r="Y595" s="50"/>
      <c r="Z595" s="51"/>
      <c r="AA595" s="52"/>
      <c r="AB595" s="53" t="str">
        <f t="shared" si="136"/>
        <v/>
      </c>
      <c r="AC595" s="48" t="str">
        <f t="shared" si="137"/>
        <v/>
      </c>
      <c r="AD595" s="54" t="str">
        <f t="shared" si="138"/>
        <v/>
      </c>
      <c r="AE595" s="55">
        <f t="shared" si="139"/>
        <v>0</v>
      </c>
      <c r="AF595" s="55">
        <f t="shared" si="140"/>
        <v>0</v>
      </c>
      <c r="AG595" s="58">
        <f t="shared" si="141"/>
        <v>0</v>
      </c>
      <c r="AH595" s="47"/>
      <c r="AJ595" s="47"/>
      <c r="AL595" s="47"/>
      <c r="AM595" s="47" t="str">
        <f t="shared" si="142"/>
        <v/>
      </c>
    </row>
    <row r="596" spans="1:39" s="56" customFormat="1" ht="24.75" customHeight="1">
      <c r="A596" s="44"/>
      <c r="B596" s="45"/>
      <c r="C596" s="46">
        <f>IF(B596&lt;&gt;"",VLOOKUP(B596,'Tipo Projeto'!$A$3:$B$35,2,0),0)</f>
        <v>0</v>
      </c>
      <c r="D596" s="47"/>
      <c r="E596" s="47"/>
      <c r="F596" s="48"/>
      <c r="G596" s="47"/>
      <c r="H596" s="49"/>
      <c r="I596" s="50"/>
      <c r="J596" s="51"/>
      <c r="K596" s="52"/>
      <c r="L596" s="53" t="str">
        <f t="shared" si="130"/>
        <v/>
      </c>
      <c r="M596" s="48" t="str">
        <f t="shared" si="131"/>
        <v/>
      </c>
      <c r="N596" s="54" t="str">
        <f t="shared" si="132"/>
        <v/>
      </c>
      <c r="O596" s="55">
        <f t="shared" si="133"/>
        <v>0</v>
      </c>
      <c r="P596" s="55">
        <f t="shared" si="134"/>
        <v>0</v>
      </c>
      <c r="Q596" s="54">
        <f t="shared" si="135"/>
        <v>0</v>
      </c>
      <c r="R596" s="47"/>
      <c r="T596" s="57"/>
      <c r="U596" s="45"/>
      <c r="V596" s="46">
        <f>IF(U596&lt;&gt;"",VLOOKUP(U596,'Tipo Projeto'!$A$3:$B$35,2,0),0)</f>
        <v>0</v>
      </c>
      <c r="W596" s="47"/>
      <c r="X596" s="49"/>
      <c r="Y596" s="50"/>
      <c r="Z596" s="51"/>
      <c r="AA596" s="52"/>
      <c r="AB596" s="53" t="str">
        <f t="shared" si="136"/>
        <v/>
      </c>
      <c r="AC596" s="48" t="str">
        <f t="shared" si="137"/>
        <v/>
      </c>
      <c r="AD596" s="54" t="str">
        <f t="shared" si="138"/>
        <v/>
      </c>
      <c r="AE596" s="55">
        <f t="shared" si="139"/>
        <v>0</v>
      </c>
      <c r="AF596" s="55">
        <f t="shared" si="140"/>
        <v>0</v>
      </c>
      <c r="AG596" s="58">
        <f t="shared" si="141"/>
        <v>0</v>
      </c>
      <c r="AH596" s="47"/>
      <c r="AJ596" s="47"/>
      <c r="AL596" s="47"/>
      <c r="AM596" s="47" t="str">
        <f t="shared" si="142"/>
        <v/>
      </c>
    </row>
    <row r="597" spans="1:39" s="56" customFormat="1" ht="24.75" customHeight="1">
      <c r="A597" s="44"/>
      <c r="B597" s="45"/>
      <c r="C597" s="46">
        <f>IF(B597&lt;&gt;"",VLOOKUP(B597,'Tipo Projeto'!$A$3:$B$35,2,0),0)</f>
        <v>0</v>
      </c>
      <c r="D597" s="47"/>
      <c r="E597" s="47"/>
      <c r="F597" s="48"/>
      <c r="G597" s="47"/>
      <c r="H597" s="49"/>
      <c r="I597" s="50"/>
      <c r="J597" s="51"/>
      <c r="K597" s="52"/>
      <c r="L597" s="53" t="str">
        <f t="shared" si="130"/>
        <v/>
      </c>
      <c r="M597" s="48" t="str">
        <f t="shared" si="131"/>
        <v/>
      </c>
      <c r="N597" s="54" t="str">
        <f t="shared" si="132"/>
        <v/>
      </c>
      <c r="O597" s="55">
        <f t="shared" si="133"/>
        <v>0</v>
      </c>
      <c r="P597" s="55">
        <f t="shared" si="134"/>
        <v>0</v>
      </c>
      <c r="Q597" s="54">
        <f t="shared" si="135"/>
        <v>0</v>
      </c>
      <c r="R597" s="47"/>
      <c r="T597" s="57"/>
      <c r="U597" s="45"/>
      <c r="V597" s="46">
        <f>IF(U597&lt;&gt;"",VLOOKUP(U597,'Tipo Projeto'!$A$3:$B$35,2,0),0)</f>
        <v>0</v>
      </c>
      <c r="W597" s="47"/>
      <c r="X597" s="49"/>
      <c r="Y597" s="50"/>
      <c r="Z597" s="51"/>
      <c r="AA597" s="52"/>
      <c r="AB597" s="53" t="str">
        <f t="shared" si="136"/>
        <v/>
      </c>
      <c r="AC597" s="48" t="str">
        <f t="shared" si="137"/>
        <v/>
      </c>
      <c r="AD597" s="54" t="str">
        <f t="shared" si="138"/>
        <v/>
      </c>
      <c r="AE597" s="55">
        <f t="shared" si="139"/>
        <v>0</v>
      </c>
      <c r="AF597" s="55">
        <f t="shared" si="140"/>
        <v>0</v>
      </c>
      <c r="AG597" s="58">
        <f t="shared" si="141"/>
        <v>0</v>
      </c>
      <c r="AH597" s="47"/>
      <c r="AJ597" s="47"/>
      <c r="AL597" s="47"/>
      <c r="AM597" s="47" t="str">
        <f t="shared" si="142"/>
        <v/>
      </c>
    </row>
    <row r="598" spans="1:39" s="56" customFormat="1" ht="24.75" customHeight="1">
      <c r="A598" s="44"/>
      <c r="B598" s="45"/>
      <c r="C598" s="46">
        <f>IF(B598&lt;&gt;"",VLOOKUP(B598,'Tipo Projeto'!$A$3:$B$35,2,0),0)</f>
        <v>0</v>
      </c>
      <c r="D598" s="47"/>
      <c r="E598" s="47"/>
      <c r="F598" s="48"/>
      <c r="G598" s="47"/>
      <c r="H598" s="49"/>
      <c r="I598" s="50"/>
      <c r="J598" s="51"/>
      <c r="K598" s="52"/>
      <c r="L598" s="53" t="str">
        <f t="shared" si="130"/>
        <v/>
      </c>
      <c r="M598" s="48" t="str">
        <f t="shared" si="131"/>
        <v/>
      </c>
      <c r="N598" s="54" t="str">
        <f t="shared" si="132"/>
        <v/>
      </c>
      <c r="O598" s="55">
        <f t="shared" si="133"/>
        <v>0</v>
      </c>
      <c r="P598" s="55">
        <f t="shared" si="134"/>
        <v>0</v>
      </c>
      <c r="Q598" s="54">
        <f t="shared" si="135"/>
        <v>0</v>
      </c>
      <c r="R598" s="47"/>
      <c r="T598" s="57"/>
      <c r="U598" s="45"/>
      <c r="V598" s="46">
        <f>IF(U598&lt;&gt;"",VLOOKUP(U598,'Tipo Projeto'!$A$3:$B$35,2,0),0)</f>
        <v>0</v>
      </c>
      <c r="W598" s="47"/>
      <c r="X598" s="49"/>
      <c r="Y598" s="50"/>
      <c r="Z598" s="51"/>
      <c r="AA598" s="52"/>
      <c r="AB598" s="53" t="str">
        <f t="shared" si="136"/>
        <v/>
      </c>
      <c r="AC598" s="48" t="str">
        <f t="shared" si="137"/>
        <v/>
      </c>
      <c r="AD598" s="54" t="str">
        <f t="shared" si="138"/>
        <v/>
      </c>
      <c r="AE598" s="55">
        <f t="shared" si="139"/>
        <v>0</v>
      </c>
      <c r="AF598" s="55">
        <f t="shared" si="140"/>
        <v>0</v>
      </c>
      <c r="AG598" s="58">
        <f t="shared" si="141"/>
        <v>0</v>
      </c>
      <c r="AH598" s="47"/>
      <c r="AJ598" s="47"/>
      <c r="AL598" s="47"/>
      <c r="AM598" s="47" t="str">
        <f t="shared" si="142"/>
        <v/>
      </c>
    </row>
    <row r="599" spans="1:39" s="56" customFormat="1" ht="24.75" customHeight="1">
      <c r="A599" s="44"/>
      <c r="B599" s="45"/>
      <c r="C599" s="46">
        <f>IF(B599&lt;&gt;"",VLOOKUP(B599,'Tipo Projeto'!$A$3:$B$35,2,0),0)</f>
        <v>0</v>
      </c>
      <c r="D599" s="47"/>
      <c r="E599" s="47"/>
      <c r="F599" s="48"/>
      <c r="G599" s="47"/>
      <c r="H599" s="49"/>
      <c r="I599" s="50"/>
      <c r="J599" s="51"/>
      <c r="K599" s="52"/>
      <c r="L599" s="53" t="str">
        <f t="shared" si="130"/>
        <v/>
      </c>
      <c r="M599" s="48" t="str">
        <f t="shared" si="131"/>
        <v/>
      </c>
      <c r="N599" s="54" t="str">
        <f t="shared" si="132"/>
        <v/>
      </c>
      <c r="O599" s="55">
        <f t="shared" si="133"/>
        <v>0</v>
      </c>
      <c r="P599" s="55">
        <f t="shared" si="134"/>
        <v>0</v>
      </c>
      <c r="Q599" s="54">
        <f t="shared" si="135"/>
        <v>0</v>
      </c>
      <c r="R599" s="47"/>
      <c r="T599" s="57"/>
      <c r="U599" s="45"/>
      <c r="V599" s="46">
        <f>IF(U599&lt;&gt;"",VLOOKUP(U599,'Tipo Projeto'!$A$3:$B$35,2,0),0)</f>
        <v>0</v>
      </c>
      <c r="W599" s="47"/>
      <c r="X599" s="49"/>
      <c r="Y599" s="50"/>
      <c r="Z599" s="51"/>
      <c r="AA599" s="52"/>
      <c r="AB599" s="53" t="str">
        <f t="shared" si="136"/>
        <v/>
      </c>
      <c r="AC599" s="48" t="str">
        <f t="shared" si="137"/>
        <v/>
      </c>
      <c r="AD599" s="54" t="str">
        <f t="shared" si="138"/>
        <v/>
      </c>
      <c r="AE599" s="55">
        <f t="shared" si="139"/>
        <v>0</v>
      </c>
      <c r="AF599" s="55">
        <f t="shared" si="140"/>
        <v>0</v>
      </c>
      <c r="AG599" s="58">
        <f t="shared" si="141"/>
        <v>0</v>
      </c>
      <c r="AH599" s="47"/>
      <c r="AJ599" s="47"/>
      <c r="AL599" s="47"/>
      <c r="AM599" s="47" t="str">
        <f t="shared" si="142"/>
        <v/>
      </c>
    </row>
    <row r="600" spans="1:39" s="56" customFormat="1" ht="24.75" customHeight="1">
      <c r="A600" s="44"/>
      <c r="B600" s="45"/>
      <c r="C600" s="46">
        <f>IF(B600&lt;&gt;"",VLOOKUP(B600,'Tipo Projeto'!$A$3:$B$35,2,0),0)</f>
        <v>0</v>
      </c>
      <c r="D600" s="47"/>
      <c r="E600" s="47"/>
      <c r="F600" s="48"/>
      <c r="G600" s="47"/>
      <c r="H600" s="49"/>
      <c r="I600" s="50"/>
      <c r="J600" s="51"/>
      <c r="K600" s="52"/>
      <c r="L600" s="53" t="str">
        <f t="shared" si="130"/>
        <v/>
      </c>
      <c r="M600" s="48" t="str">
        <f t="shared" si="131"/>
        <v/>
      </c>
      <c r="N600" s="54" t="str">
        <f t="shared" si="132"/>
        <v/>
      </c>
      <c r="O600" s="55">
        <f t="shared" si="133"/>
        <v>0</v>
      </c>
      <c r="P600" s="55">
        <f t="shared" si="134"/>
        <v>0</v>
      </c>
      <c r="Q600" s="54">
        <f t="shared" si="135"/>
        <v>0</v>
      </c>
      <c r="R600" s="47"/>
      <c r="T600" s="57"/>
      <c r="U600" s="45"/>
      <c r="V600" s="46">
        <f>IF(U600&lt;&gt;"",VLOOKUP(U600,'Tipo Projeto'!$A$3:$B$35,2,0),0)</f>
        <v>0</v>
      </c>
      <c r="W600" s="47"/>
      <c r="X600" s="49"/>
      <c r="Y600" s="50"/>
      <c r="Z600" s="51"/>
      <c r="AA600" s="52"/>
      <c r="AB600" s="53" t="str">
        <f t="shared" si="136"/>
        <v/>
      </c>
      <c r="AC600" s="48" t="str">
        <f t="shared" si="137"/>
        <v/>
      </c>
      <c r="AD600" s="54" t="str">
        <f t="shared" si="138"/>
        <v/>
      </c>
      <c r="AE600" s="55">
        <f t="shared" si="139"/>
        <v>0</v>
      </c>
      <c r="AF600" s="55">
        <f t="shared" si="140"/>
        <v>0</v>
      </c>
      <c r="AG600" s="58">
        <f t="shared" si="141"/>
        <v>0</v>
      </c>
      <c r="AH600" s="47"/>
      <c r="AJ600" s="47"/>
      <c r="AL600" s="47"/>
      <c r="AM600" s="47" t="str">
        <f t="shared" si="142"/>
        <v/>
      </c>
    </row>
    <row r="601" spans="1:39" s="56" customFormat="1" ht="24.75" customHeight="1">
      <c r="A601" s="44"/>
      <c r="B601" s="45"/>
      <c r="C601" s="46">
        <f>IF(B601&lt;&gt;"",VLOOKUP(B601,'Tipo Projeto'!$A$3:$B$35,2,0),0)</f>
        <v>0</v>
      </c>
      <c r="D601" s="47"/>
      <c r="E601" s="47"/>
      <c r="F601" s="48"/>
      <c r="G601" s="47"/>
      <c r="H601" s="49"/>
      <c r="I601" s="50"/>
      <c r="J601" s="51"/>
      <c r="K601" s="52"/>
      <c r="L601" s="53" t="str">
        <f t="shared" si="130"/>
        <v/>
      </c>
      <c r="M601" s="48" t="str">
        <f t="shared" si="131"/>
        <v/>
      </c>
      <c r="N601" s="54" t="str">
        <f t="shared" si="132"/>
        <v/>
      </c>
      <c r="O601" s="55">
        <f t="shared" si="133"/>
        <v>0</v>
      </c>
      <c r="P601" s="55">
        <f t="shared" si="134"/>
        <v>0</v>
      </c>
      <c r="Q601" s="54">
        <f t="shared" si="135"/>
        <v>0</v>
      </c>
      <c r="R601" s="47"/>
      <c r="T601" s="57"/>
      <c r="U601" s="45"/>
      <c r="V601" s="46">
        <f>IF(U601&lt;&gt;"",VLOOKUP(U601,'Tipo Projeto'!$A$3:$B$35,2,0),0)</f>
        <v>0</v>
      </c>
      <c r="W601" s="47"/>
      <c r="X601" s="49"/>
      <c r="Y601" s="50"/>
      <c r="Z601" s="51"/>
      <c r="AA601" s="52"/>
      <c r="AB601" s="53" t="str">
        <f t="shared" si="136"/>
        <v/>
      </c>
      <c r="AC601" s="48" t="str">
        <f t="shared" si="137"/>
        <v/>
      </c>
      <c r="AD601" s="54" t="str">
        <f t="shared" si="138"/>
        <v/>
      </c>
      <c r="AE601" s="55">
        <f t="shared" si="139"/>
        <v>0</v>
      </c>
      <c r="AF601" s="55">
        <f t="shared" si="140"/>
        <v>0</v>
      </c>
      <c r="AG601" s="58">
        <f t="shared" si="141"/>
        <v>0</v>
      </c>
      <c r="AH601" s="47"/>
      <c r="AJ601" s="47"/>
      <c r="AL601" s="47"/>
      <c r="AM601" s="47" t="str">
        <f t="shared" si="142"/>
        <v/>
      </c>
    </row>
    <row r="602" spans="1:39" s="56" customFormat="1" ht="24.75" customHeight="1">
      <c r="A602" s="44"/>
      <c r="B602" s="45"/>
      <c r="C602" s="46">
        <f>IF(B602&lt;&gt;"",VLOOKUP(B602,'Tipo Projeto'!$A$3:$B$35,2,0),0)</f>
        <v>0</v>
      </c>
      <c r="D602" s="47"/>
      <c r="E602" s="47"/>
      <c r="F602" s="48"/>
      <c r="G602" s="47"/>
      <c r="H602" s="49"/>
      <c r="I602" s="50"/>
      <c r="J602" s="51"/>
      <c r="K602" s="52"/>
      <c r="L602" s="53" t="str">
        <f t="shared" si="130"/>
        <v/>
      </c>
      <c r="M602" s="48" t="str">
        <f t="shared" si="131"/>
        <v/>
      </c>
      <c r="N602" s="54" t="str">
        <f t="shared" si="132"/>
        <v/>
      </c>
      <c r="O602" s="55">
        <f t="shared" si="133"/>
        <v>0</v>
      </c>
      <c r="P602" s="55">
        <f t="shared" si="134"/>
        <v>0</v>
      </c>
      <c r="Q602" s="54">
        <f t="shared" si="135"/>
        <v>0</v>
      </c>
      <c r="R602" s="47"/>
      <c r="T602" s="57"/>
      <c r="U602" s="45"/>
      <c r="V602" s="46">
        <f>IF(U602&lt;&gt;"",VLOOKUP(U602,'Tipo Projeto'!$A$3:$B$35,2,0),0)</f>
        <v>0</v>
      </c>
      <c r="W602" s="47"/>
      <c r="X602" s="49"/>
      <c r="Y602" s="50"/>
      <c r="Z602" s="51"/>
      <c r="AA602" s="52"/>
      <c r="AB602" s="53" t="str">
        <f t="shared" si="136"/>
        <v/>
      </c>
      <c r="AC602" s="48" t="str">
        <f t="shared" si="137"/>
        <v/>
      </c>
      <c r="AD602" s="54" t="str">
        <f t="shared" si="138"/>
        <v/>
      </c>
      <c r="AE602" s="55">
        <f t="shared" si="139"/>
        <v>0</v>
      </c>
      <c r="AF602" s="55">
        <f t="shared" si="140"/>
        <v>0</v>
      </c>
      <c r="AG602" s="58">
        <f t="shared" si="141"/>
        <v>0</v>
      </c>
      <c r="AH602" s="47"/>
      <c r="AJ602" s="47"/>
      <c r="AL602" s="47"/>
      <c r="AM602" s="47" t="str">
        <f t="shared" si="142"/>
        <v/>
      </c>
    </row>
    <row r="603" spans="1:39" s="56" customFormat="1" ht="24.75" customHeight="1">
      <c r="A603" s="44"/>
      <c r="B603" s="45"/>
      <c r="C603" s="46">
        <f>IF(B603&lt;&gt;"",VLOOKUP(B603,'Tipo Projeto'!$A$3:$B$35,2,0),0)</f>
        <v>0</v>
      </c>
      <c r="D603" s="47"/>
      <c r="E603" s="47"/>
      <c r="F603" s="48"/>
      <c r="G603" s="47"/>
      <c r="H603" s="49"/>
      <c r="I603" s="50"/>
      <c r="J603" s="51"/>
      <c r="K603" s="52"/>
      <c r="L603" s="53" t="str">
        <f t="shared" si="130"/>
        <v/>
      </c>
      <c r="M603" s="48" t="str">
        <f t="shared" si="131"/>
        <v/>
      </c>
      <c r="N603" s="54" t="str">
        <f t="shared" si="132"/>
        <v/>
      </c>
      <c r="O603" s="55">
        <f t="shared" si="133"/>
        <v>0</v>
      </c>
      <c r="P603" s="55">
        <f t="shared" si="134"/>
        <v>0</v>
      </c>
      <c r="Q603" s="54">
        <f t="shared" si="135"/>
        <v>0</v>
      </c>
      <c r="R603" s="47"/>
      <c r="T603" s="57"/>
      <c r="U603" s="45"/>
      <c r="V603" s="46">
        <f>IF(U603&lt;&gt;"",VLOOKUP(U603,'Tipo Projeto'!$A$3:$B$35,2,0),0)</f>
        <v>0</v>
      </c>
      <c r="W603" s="47"/>
      <c r="X603" s="49"/>
      <c r="Y603" s="50"/>
      <c r="Z603" s="51"/>
      <c r="AA603" s="52"/>
      <c r="AB603" s="53" t="str">
        <f t="shared" si="136"/>
        <v/>
      </c>
      <c r="AC603" s="48" t="str">
        <f t="shared" si="137"/>
        <v/>
      </c>
      <c r="AD603" s="54" t="str">
        <f t="shared" si="138"/>
        <v/>
      </c>
      <c r="AE603" s="55">
        <f t="shared" si="139"/>
        <v>0</v>
      </c>
      <c r="AF603" s="55">
        <f t="shared" si="140"/>
        <v>0</v>
      </c>
      <c r="AG603" s="58">
        <f t="shared" si="141"/>
        <v>0</v>
      </c>
      <c r="AH603" s="47"/>
      <c r="AJ603" s="47"/>
      <c r="AL603" s="47"/>
      <c r="AM603" s="47" t="str">
        <f t="shared" si="142"/>
        <v/>
      </c>
    </row>
    <row r="604" spans="1:39" s="56" customFormat="1" ht="24.75" customHeight="1">
      <c r="A604" s="44"/>
      <c r="B604" s="45"/>
      <c r="C604" s="46">
        <f>IF(B604&lt;&gt;"",VLOOKUP(B604,'Tipo Projeto'!$A$3:$B$35,2,0),0)</f>
        <v>0</v>
      </c>
      <c r="D604" s="47"/>
      <c r="E604" s="47"/>
      <c r="F604" s="48"/>
      <c r="G604" s="47"/>
      <c r="H604" s="49"/>
      <c r="I604" s="50"/>
      <c r="J604" s="51"/>
      <c r="K604" s="52"/>
      <c r="L604" s="53" t="str">
        <f t="shared" si="130"/>
        <v/>
      </c>
      <c r="M604" s="48" t="str">
        <f t="shared" si="131"/>
        <v/>
      </c>
      <c r="N604" s="54" t="str">
        <f t="shared" si="132"/>
        <v/>
      </c>
      <c r="O604" s="55">
        <f t="shared" si="133"/>
        <v>0</v>
      </c>
      <c r="P604" s="55">
        <f t="shared" si="134"/>
        <v>0</v>
      </c>
      <c r="Q604" s="54">
        <f t="shared" si="135"/>
        <v>0</v>
      </c>
      <c r="R604" s="47"/>
      <c r="T604" s="57"/>
      <c r="U604" s="45"/>
      <c r="V604" s="46">
        <f>IF(U604&lt;&gt;"",VLOOKUP(U604,'Tipo Projeto'!$A$3:$B$35,2,0),0)</f>
        <v>0</v>
      </c>
      <c r="W604" s="47"/>
      <c r="X604" s="49"/>
      <c r="Y604" s="50"/>
      <c r="Z604" s="51"/>
      <c r="AA604" s="52"/>
      <c r="AB604" s="53" t="str">
        <f t="shared" si="136"/>
        <v/>
      </c>
      <c r="AC604" s="48" t="str">
        <f t="shared" si="137"/>
        <v/>
      </c>
      <c r="AD604" s="54" t="str">
        <f t="shared" si="138"/>
        <v/>
      </c>
      <c r="AE604" s="55">
        <f t="shared" si="139"/>
        <v>0</v>
      </c>
      <c r="AF604" s="55">
        <f t="shared" si="140"/>
        <v>0</v>
      </c>
      <c r="AG604" s="58">
        <f t="shared" si="141"/>
        <v>0</v>
      </c>
      <c r="AH604" s="47"/>
      <c r="AJ604" s="47"/>
      <c r="AL604" s="47"/>
      <c r="AM604" s="47" t="str">
        <f t="shared" si="142"/>
        <v/>
      </c>
    </row>
    <row r="605" spans="1:39" s="56" customFormat="1" ht="24.75" customHeight="1">
      <c r="A605" s="44"/>
      <c r="B605" s="45"/>
      <c r="C605" s="46">
        <f>IF(B605&lt;&gt;"",VLOOKUP(B605,'Tipo Projeto'!$A$3:$B$35,2,0),0)</f>
        <v>0</v>
      </c>
      <c r="D605" s="47"/>
      <c r="E605" s="47"/>
      <c r="F605" s="48"/>
      <c r="G605" s="47"/>
      <c r="H605" s="49"/>
      <c r="I605" s="50"/>
      <c r="J605" s="51"/>
      <c r="K605" s="52"/>
      <c r="L605" s="53" t="str">
        <f t="shared" si="130"/>
        <v/>
      </c>
      <c r="M605" s="48" t="str">
        <f t="shared" si="131"/>
        <v/>
      </c>
      <c r="N605" s="54" t="str">
        <f t="shared" si="132"/>
        <v/>
      </c>
      <c r="O605" s="55">
        <f t="shared" si="133"/>
        <v>0</v>
      </c>
      <c r="P605" s="55">
        <f t="shared" si="134"/>
        <v>0</v>
      </c>
      <c r="Q605" s="54">
        <f t="shared" si="135"/>
        <v>0</v>
      </c>
      <c r="R605" s="47"/>
      <c r="T605" s="57"/>
      <c r="U605" s="45"/>
      <c r="V605" s="46">
        <f>IF(U605&lt;&gt;"",VLOOKUP(U605,'Tipo Projeto'!$A$3:$B$35,2,0),0)</f>
        <v>0</v>
      </c>
      <c r="W605" s="47"/>
      <c r="X605" s="49"/>
      <c r="Y605" s="50"/>
      <c r="Z605" s="51"/>
      <c r="AA605" s="52"/>
      <c r="AB605" s="53" t="str">
        <f t="shared" si="136"/>
        <v/>
      </c>
      <c r="AC605" s="48" t="str">
        <f t="shared" si="137"/>
        <v/>
      </c>
      <c r="AD605" s="54" t="str">
        <f t="shared" si="138"/>
        <v/>
      </c>
      <c r="AE605" s="55">
        <f t="shared" si="139"/>
        <v>0</v>
      </c>
      <c r="AF605" s="55">
        <f t="shared" si="140"/>
        <v>0</v>
      </c>
      <c r="AG605" s="58">
        <f t="shared" si="141"/>
        <v>0</v>
      </c>
      <c r="AH605" s="47"/>
      <c r="AJ605" s="47"/>
      <c r="AL605" s="47"/>
      <c r="AM605" s="47" t="str">
        <f t="shared" si="142"/>
        <v/>
      </c>
    </row>
    <row r="606" spans="1:39" s="56" customFormat="1" ht="24.75" customHeight="1">
      <c r="A606" s="44"/>
      <c r="B606" s="45"/>
      <c r="C606" s="46">
        <f>IF(B606&lt;&gt;"",VLOOKUP(B606,'Tipo Projeto'!$A$3:$B$35,2,0),0)</f>
        <v>0</v>
      </c>
      <c r="D606" s="47"/>
      <c r="E606" s="47"/>
      <c r="F606" s="48"/>
      <c r="G606" s="47"/>
      <c r="H606" s="49"/>
      <c r="I606" s="50"/>
      <c r="J606" s="51"/>
      <c r="K606" s="52"/>
      <c r="L606" s="53" t="str">
        <f t="shared" si="130"/>
        <v/>
      </c>
      <c r="M606" s="48" t="str">
        <f t="shared" si="131"/>
        <v/>
      </c>
      <c r="N606" s="54" t="str">
        <f t="shared" si="132"/>
        <v/>
      </c>
      <c r="O606" s="55">
        <f t="shared" si="133"/>
        <v>0</v>
      </c>
      <c r="P606" s="55">
        <f t="shared" si="134"/>
        <v>0</v>
      </c>
      <c r="Q606" s="54">
        <f t="shared" si="135"/>
        <v>0</v>
      </c>
      <c r="R606" s="47"/>
      <c r="T606" s="57"/>
      <c r="U606" s="45"/>
      <c r="V606" s="46">
        <f>IF(U606&lt;&gt;"",VLOOKUP(U606,'Tipo Projeto'!$A$3:$B$35,2,0),0)</f>
        <v>0</v>
      </c>
      <c r="W606" s="47"/>
      <c r="X606" s="49"/>
      <c r="Y606" s="50"/>
      <c r="Z606" s="51"/>
      <c r="AA606" s="52"/>
      <c r="AB606" s="53" t="str">
        <f t="shared" si="136"/>
        <v/>
      </c>
      <c r="AC606" s="48" t="str">
        <f t="shared" si="137"/>
        <v/>
      </c>
      <c r="AD606" s="54" t="str">
        <f t="shared" si="138"/>
        <v/>
      </c>
      <c r="AE606" s="55">
        <f t="shared" si="139"/>
        <v>0</v>
      </c>
      <c r="AF606" s="55">
        <f t="shared" si="140"/>
        <v>0</v>
      </c>
      <c r="AG606" s="58">
        <f t="shared" si="141"/>
        <v>0</v>
      </c>
      <c r="AH606" s="47"/>
      <c r="AJ606" s="47"/>
      <c r="AL606" s="47"/>
      <c r="AM606" s="47" t="str">
        <f t="shared" si="142"/>
        <v/>
      </c>
    </row>
    <row r="607" spans="1:39" s="56" customFormat="1" ht="24.75" customHeight="1">
      <c r="A607" s="44"/>
      <c r="B607" s="45"/>
      <c r="C607" s="46">
        <f>IF(B607&lt;&gt;"",VLOOKUP(B607,'Tipo Projeto'!$A$3:$B$35,2,0),0)</f>
        <v>0</v>
      </c>
      <c r="D607" s="47"/>
      <c r="E607" s="47"/>
      <c r="F607" s="48"/>
      <c r="G607" s="47"/>
      <c r="H607" s="49"/>
      <c r="I607" s="50"/>
      <c r="J607" s="51"/>
      <c r="K607" s="52"/>
      <c r="L607" s="53" t="str">
        <f t="shared" si="130"/>
        <v/>
      </c>
      <c r="M607" s="48" t="str">
        <f t="shared" si="131"/>
        <v/>
      </c>
      <c r="N607" s="54" t="str">
        <f t="shared" si="132"/>
        <v/>
      </c>
      <c r="O607" s="55">
        <f t="shared" si="133"/>
        <v>0</v>
      </c>
      <c r="P607" s="55">
        <f t="shared" si="134"/>
        <v>0</v>
      </c>
      <c r="Q607" s="54">
        <f t="shared" si="135"/>
        <v>0</v>
      </c>
      <c r="R607" s="47"/>
      <c r="T607" s="57"/>
      <c r="U607" s="45"/>
      <c r="V607" s="46">
        <f>IF(U607&lt;&gt;"",VLOOKUP(U607,'Tipo Projeto'!$A$3:$B$35,2,0),0)</f>
        <v>0</v>
      </c>
      <c r="W607" s="47"/>
      <c r="X607" s="49"/>
      <c r="Y607" s="50"/>
      <c r="Z607" s="51"/>
      <c r="AA607" s="52"/>
      <c r="AB607" s="53" t="str">
        <f t="shared" si="136"/>
        <v/>
      </c>
      <c r="AC607" s="48" t="str">
        <f t="shared" si="137"/>
        <v/>
      </c>
      <c r="AD607" s="54" t="str">
        <f t="shared" si="138"/>
        <v/>
      </c>
      <c r="AE607" s="55">
        <f t="shared" si="139"/>
        <v>0</v>
      </c>
      <c r="AF607" s="55">
        <f t="shared" si="140"/>
        <v>0</v>
      </c>
      <c r="AG607" s="58">
        <f t="shared" si="141"/>
        <v>0</v>
      </c>
      <c r="AH607" s="47"/>
      <c r="AJ607" s="47"/>
      <c r="AL607" s="47"/>
      <c r="AM607" s="47" t="str">
        <f t="shared" si="142"/>
        <v/>
      </c>
    </row>
    <row r="608" spans="1:39" s="56" customFormat="1" ht="24.75" customHeight="1">
      <c r="A608" s="44"/>
      <c r="B608" s="45"/>
      <c r="C608" s="46">
        <f>IF(B608&lt;&gt;"",VLOOKUP(B608,'Tipo Projeto'!$A$3:$B$35,2,0),0)</f>
        <v>0</v>
      </c>
      <c r="D608" s="47"/>
      <c r="E608" s="47"/>
      <c r="F608" s="48"/>
      <c r="G608" s="47"/>
      <c r="H608" s="49"/>
      <c r="I608" s="50"/>
      <c r="J608" s="51"/>
      <c r="K608" s="52"/>
      <c r="L608" s="53" t="str">
        <f t="shared" si="130"/>
        <v/>
      </c>
      <c r="M608" s="48" t="str">
        <f t="shared" si="131"/>
        <v/>
      </c>
      <c r="N608" s="54" t="str">
        <f t="shared" si="132"/>
        <v/>
      </c>
      <c r="O608" s="55">
        <f t="shared" si="133"/>
        <v>0</v>
      </c>
      <c r="P608" s="55">
        <f t="shared" si="134"/>
        <v>0</v>
      </c>
      <c r="Q608" s="54">
        <f t="shared" si="135"/>
        <v>0</v>
      </c>
      <c r="R608" s="47"/>
      <c r="T608" s="57"/>
      <c r="U608" s="45"/>
      <c r="V608" s="46">
        <f>IF(U608&lt;&gt;"",VLOOKUP(U608,'Tipo Projeto'!$A$3:$B$35,2,0),0)</f>
        <v>0</v>
      </c>
      <c r="W608" s="47"/>
      <c r="X608" s="49"/>
      <c r="Y608" s="50"/>
      <c r="Z608" s="51"/>
      <c r="AA608" s="52"/>
      <c r="AB608" s="53" t="str">
        <f t="shared" si="136"/>
        <v/>
      </c>
      <c r="AC608" s="48" t="str">
        <f t="shared" si="137"/>
        <v/>
      </c>
      <c r="AD608" s="54" t="str">
        <f t="shared" si="138"/>
        <v/>
      </c>
      <c r="AE608" s="55">
        <f t="shared" si="139"/>
        <v>0</v>
      </c>
      <c r="AF608" s="55">
        <f t="shared" si="140"/>
        <v>0</v>
      </c>
      <c r="AG608" s="58">
        <f t="shared" si="141"/>
        <v>0</v>
      </c>
      <c r="AH608" s="47"/>
      <c r="AJ608" s="47"/>
      <c r="AL608" s="47"/>
      <c r="AM608" s="47" t="str">
        <f t="shared" si="142"/>
        <v/>
      </c>
    </row>
    <row r="609" spans="1:39" s="56" customFormat="1" ht="24.75" customHeight="1">
      <c r="A609" s="44"/>
      <c r="B609" s="45"/>
      <c r="C609" s="46">
        <f>IF(B609&lt;&gt;"",VLOOKUP(B609,'Tipo Projeto'!$A$3:$B$35,2,0),0)</f>
        <v>0</v>
      </c>
      <c r="D609" s="47"/>
      <c r="E609" s="47"/>
      <c r="F609" s="48"/>
      <c r="G609" s="47"/>
      <c r="H609" s="49"/>
      <c r="I609" s="50"/>
      <c r="J609" s="51"/>
      <c r="K609" s="52"/>
      <c r="L609" s="53" t="str">
        <f t="shared" si="130"/>
        <v/>
      </c>
      <c r="M609" s="48" t="str">
        <f t="shared" si="131"/>
        <v/>
      </c>
      <c r="N609" s="54" t="str">
        <f t="shared" si="132"/>
        <v/>
      </c>
      <c r="O609" s="55">
        <f t="shared" si="133"/>
        <v>0</v>
      </c>
      <c r="P609" s="55">
        <f t="shared" si="134"/>
        <v>0</v>
      </c>
      <c r="Q609" s="54">
        <f t="shared" si="135"/>
        <v>0</v>
      </c>
      <c r="R609" s="47"/>
      <c r="T609" s="57"/>
      <c r="U609" s="45"/>
      <c r="V609" s="46">
        <f>IF(U609&lt;&gt;"",VLOOKUP(U609,'Tipo Projeto'!$A$3:$B$35,2,0),0)</f>
        <v>0</v>
      </c>
      <c r="W609" s="47"/>
      <c r="X609" s="49"/>
      <c r="Y609" s="50"/>
      <c r="Z609" s="51"/>
      <c r="AA609" s="52"/>
      <c r="AB609" s="53" t="str">
        <f t="shared" si="136"/>
        <v/>
      </c>
      <c r="AC609" s="48" t="str">
        <f t="shared" si="137"/>
        <v/>
      </c>
      <c r="AD609" s="54" t="str">
        <f t="shared" si="138"/>
        <v/>
      </c>
      <c r="AE609" s="55">
        <f t="shared" si="139"/>
        <v>0</v>
      </c>
      <c r="AF609" s="55">
        <f t="shared" si="140"/>
        <v>0</v>
      </c>
      <c r="AG609" s="58">
        <f t="shared" si="141"/>
        <v>0</v>
      </c>
      <c r="AH609" s="47"/>
      <c r="AJ609" s="47"/>
      <c r="AL609" s="47"/>
      <c r="AM609" s="47" t="str">
        <f t="shared" si="142"/>
        <v/>
      </c>
    </row>
    <row r="610" spans="1:39" s="56" customFormat="1" ht="24.75" customHeight="1">
      <c r="A610" s="44"/>
      <c r="B610" s="45"/>
      <c r="C610" s="46">
        <f>IF(B610&lt;&gt;"",VLOOKUP(B610,'Tipo Projeto'!$A$3:$B$35,2,0),0)</f>
        <v>0</v>
      </c>
      <c r="D610" s="47"/>
      <c r="E610" s="47"/>
      <c r="F610" s="48"/>
      <c r="G610" s="47"/>
      <c r="H610" s="49"/>
      <c r="I610" s="50"/>
      <c r="J610" s="51"/>
      <c r="K610" s="52"/>
      <c r="L610" s="53" t="str">
        <f t="shared" si="130"/>
        <v/>
      </c>
      <c r="M610" s="48" t="str">
        <f t="shared" si="131"/>
        <v/>
      </c>
      <c r="N610" s="54" t="str">
        <f t="shared" si="132"/>
        <v/>
      </c>
      <c r="O610" s="55">
        <f t="shared" si="133"/>
        <v>0</v>
      </c>
      <c r="P610" s="55">
        <f t="shared" si="134"/>
        <v>0</v>
      </c>
      <c r="Q610" s="54">
        <f t="shared" si="135"/>
        <v>0</v>
      </c>
      <c r="R610" s="47"/>
      <c r="T610" s="57"/>
      <c r="U610" s="45"/>
      <c r="V610" s="46">
        <f>IF(U610&lt;&gt;"",VLOOKUP(U610,'Tipo Projeto'!$A$3:$B$35,2,0),0)</f>
        <v>0</v>
      </c>
      <c r="W610" s="47"/>
      <c r="X610" s="49"/>
      <c r="Y610" s="50"/>
      <c r="Z610" s="51"/>
      <c r="AA610" s="52"/>
      <c r="AB610" s="53" t="str">
        <f t="shared" si="136"/>
        <v/>
      </c>
      <c r="AC610" s="48" t="str">
        <f t="shared" si="137"/>
        <v/>
      </c>
      <c r="AD610" s="54" t="str">
        <f t="shared" si="138"/>
        <v/>
      </c>
      <c r="AE610" s="55">
        <f t="shared" si="139"/>
        <v>0</v>
      </c>
      <c r="AF610" s="55">
        <f t="shared" si="140"/>
        <v>0</v>
      </c>
      <c r="AG610" s="58">
        <f t="shared" si="141"/>
        <v>0</v>
      </c>
      <c r="AH610" s="47"/>
      <c r="AJ610" s="47"/>
      <c r="AL610" s="47"/>
      <c r="AM610" s="47" t="str">
        <f t="shared" si="142"/>
        <v/>
      </c>
    </row>
    <row r="611" spans="1:39" s="56" customFormat="1" ht="24.75" customHeight="1">
      <c r="A611" s="44"/>
      <c r="B611" s="45"/>
      <c r="C611" s="46">
        <f>IF(B611&lt;&gt;"",VLOOKUP(B611,'Tipo Projeto'!$A$3:$B$35,2,0),0)</f>
        <v>0</v>
      </c>
      <c r="D611" s="47"/>
      <c r="E611" s="47"/>
      <c r="F611" s="48"/>
      <c r="G611" s="47"/>
      <c r="H611" s="49"/>
      <c r="I611" s="50"/>
      <c r="J611" s="51"/>
      <c r="K611" s="52"/>
      <c r="L611" s="53" t="str">
        <f t="shared" si="130"/>
        <v/>
      </c>
      <c r="M611" s="48" t="str">
        <f t="shared" si="131"/>
        <v/>
      </c>
      <c r="N611" s="54" t="str">
        <f t="shared" si="132"/>
        <v/>
      </c>
      <c r="O611" s="55">
        <f t="shared" si="133"/>
        <v>0</v>
      </c>
      <c r="P611" s="55">
        <f t="shared" si="134"/>
        <v>0</v>
      </c>
      <c r="Q611" s="54">
        <f t="shared" si="135"/>
        <v>0</v>
      </c>
      <c r="R611" s="47"/>
      <c r="T611" s="57"/>
      <c r="U611" s="45"/>
      <c r="V611" s="46">
        <f>IF(U611&lt;&gt;"",VLOOKUP(U611,'Tipo Projeto'!$A$3:$B$35,2,0),0)</f>
        <v>0</v>
      </c>
      <c r="W611" s="47"/>
      <c r="X611" s="49"/>
      <c r="Y611" s="50"/>
      <c r="Z611" s="51"/>
      <c r="AA611" s="52"/>
      <c r="AB611" s="53" t="str">
        <f t="shared" si="136"/>
        <v/>
      </c>
      <c r="AC611" s="48" t="str">
        <f t="shared" si="137"/>
        <v/>
      </c>
      <c r="AD611" s="54" t="str">
        <f t="shared" si="138"/>
        <v/>
      </c>
      <c r="AE611" s="55">
        <f t="shared" si="139"/>
        <v>0</v>
      </c>
      <c r="AF611" s="55">
        <f t="shared" si="140"/>
        <v>0</v>
      </c>
      <c r="AG611" s="58">
        <f t="shared" si="141"/>
        <v>0</v>
      </c>
      <c r="AH611" s="47"/>
      <c r="AJ611" s="47"/>
      <c r="AL611" s="47"/>
      <c r="AM611" s="47" t="str">
        <f t="shared" si="142"/>
        <v/>
      </c>
    </row>
    <row r="612" spans="1:39" s="56" customFormat="1" ht="24.75" customHeight="1">
      <c r="A612" s="44"/>
      <c r="B612" s="45"/>
      <c r="C612" s="46">
        <f>IF(B612&lt;&gt;"",VLOOKUP(B612,'Tipo Projeto'!$A$3:$B$35,2,0),0)</f>
        <v>0</v>
      </c>
      <c r="D612" s="47"/>
      <c r="E612" s="47"/>
      <c r="F612" s="48"/>
      <c r="G612" s="47"/>
      <c r="H612" s="49"/>
      <c r="I612" s="50"/>
      <c r="J612" s="51"/>
      <c r="K612" s="52"/>
      <c r="L612" s="53" t="str">
        <f t="shared" si="130"/>
        <v/>
      </c>
      <c r="M612" s="48" t="str">
        <f t="shared" si="131"/>
        <v/>
      </c>
      <c r="N612" s="54" t="str">
        <f t="shared" si="132"/>
        <v/>
      </c>
      <c r="O612" s="55">
        <f t="shared" si="133"/>
        <v>0</v>
      </c>
      <c r="P612" s="55">
        <f t="shared" si="134"/>
        <v>0</v>
      </c>
      <c r="Q612" s="54">
        <f t="shared" si="135"/>
        <v>0</v>
      </c>
      <c r="R612" s="47"/>
      <c r="T612" s="57"/>
      <c r="U612" s="45"/>
      <c r="V612" s="46">
        <f>IF(U612&lt;&gt;"",VLOOKUP(U612,'Tipo Projeto'!$A$3:$B$35,2,0),0)</f>
        <v>0</v>
      </c>
      <c r="W612" s="47"/>
      <c r="X612" s="49"/>
      <c r="Y612" s="50"/>
      <c r="Z612" s="51"/>
      <c r="AA612" s="52"/>
      <c r="AB612" s="53" t="str">
        <f t="shared" si="136"/>
        <v/>
      </c>
      <c r="AC612" s="48" t="str">
        <f t="shared" si="137"/>
        <v/>
      </c>
      <c r="AD612" s="54" t="str">
        <f t="shared" si="138"/>
        <v/>
      </c>
      <c r="AE612" s="55">
        <f t="shared" si="139"/>
        <v>0</v>
      </c>
      <c r="AF612" s="55">
        <f t="shared" si="140"/>
        <v>0</v>
      </c>
      <c r="AG612" s="58">
        <f t="shared" si="141"/>
        <v>0</v>
      </c>
      <c r="AH612" s="47"/>
      <c r="AJ612" s="47"/>
      <c r="AL612" s="47"/>
      <c r="AM612" s="47" t="str">
        <f t="shared" si="142"/>
        <v/>
      </c>
    </row>
    <row r="613" spans="1:39" s="56" customFormat="1" ht="24.75" customHeight="1">
      <c r="A613" s="44"/>
      <c r="B613" s="45"/>
      <c r="C613" s="46">
        <f>IF(B613&lt;&gt;"",VLOOKUP(B613,'Tipo Projeto'!$A$3:$B$35,2,0),0)</f>
        <v>0</v>
      </c>
      <c r="D613" s="47"/>
      <c r="E613" s="47"/>
      <c r="F613" s="48"/>
      <c r="G613" s="47"/>
      <c r="H613" s="49"/>
      <c r="I613" s="50"/>
      <c r="J613" s="51"/>
      <c r="K613" s="52"/>
      <c r="L613" s="53" t="str">
        <f t="shared" si="130"/>
        <v/>
      </c>
      <c r="M613" s="48" t="str">
        <f t="shared" si="131"/>
        <v/>
      </c>
      <c r="N613" s="54" t="str">
        <f t="shared" si="132"/>
        <v/>
      </c>
      <c r="O613" s="55">
        <f t="shared" si="133"/>
        <v>0</v>
      </c>
      <c r="P613" s="55">
        <f t="shared" si="134"/>
        <v>0</v>
      </c>
      <c r="Q613" s="54">
        <f t="shared" si="135"/>
        <v>0</v>
      </c>
      <c r="R613" s="47"/>
      <c r="T613" s="57"/>
      <c r="U613" s="45"/>
      <c r="V613" s="46">
        <f>IF(U613&lt;&gt;"",VLOOKUP(U613,'Tipo Projeto'!$A$3:$B$35,2,0),0)</f>
        <v>0</v>
      </c>
      <c r="W613" s="47"/>
      <c r="X613" s="49"/>
      <c r="Y613" s="50"/>
      <c r="Z613" s="51"/>
      <c r="AA613" s="52"/>
      <c r="AB613" s="53" t="str">
        <f t="shared" si="136"/>
        <v/>
      </c>
      <c r="AC613" s="48" t="str">
        <f t="shared" si="137"/>
        <v/>
      </c>
      <c r="AD613" s="54" t="str">
        <f t="shared" si="138"/>
        <v/>
      </c>
      <c r="AE613" s="55">
        <f t="shared" si="139"/>
        <v>0</v>
      </c>
      <c r="AF613" s="55">
        <f t="shared" si="140"/>
        <v>0</v>
      </c>
      <c r="AG613" s="58">
        <f t="shared" si="141"/>
        <v>0</v>
      </c>
      <c r="AH613" s="47"/>
      <c r="AJ613" s="47"/>
      <c r="AL613" s="47"/>
      <c r="AM613" s="47" t="str">
        <f t="shared" si="142"/>
        <v/>
      </c>
    </row>
    <row r="614" spans="1:39" s="56" customFormat="1" ht="24.75" customHeight="1">
      <c r="A614" s="44"/>
      <c r="B614" s="45"/>
      <c r="C614" s="46">
        <f>IF(B614&lt;&gt;"",VLOOKUP(B614,'Tipo Projeto'!$A$3:$B$35,2,0),0)</f>
        <v>0</v>
      </c>
      <c r="D614" s="47"/>
      <c r="E614" s="47"/>
      <c r="F614" s="48"/>
      <c r="G614" s="47"/>
      <c r="H614" s="49"/>
      <c r="I614" s="50"/>
      <c r="J614" s="51"/>
      <c r="K614" s="52"/>
      <c r="L614" s="53" t="str">
        <f t="shared" si="130"/>
        <v/>
      </c>
      <c r="M614" s="48" t="str">
        <f t="shared" si="131"/>
        <v/>
      </c>
      <c r="N614" s="54" t="str">
        <f t="shared" si="132"/>
        <v/>
      </c>
      <c r="O614" s="55">
        <f t="shared" si="133"/>
        <v>0</v>
      </c>
      <c r="P614" s="55">
        <f t="shared" si="134"/>
        <v>0</v>
      </c>
      <c r="Q614" s="54">
        <f t="shared" si="135"/>
        <v>0</v>
      </c>
      <c r="R614" s="47"/>
      <c r="T614" s="57"/>
      <c r="U614" s="45"/>
      <c r="V614" s="46">
        <f>IF(U614&lt;&gt;"",VLOOKUP(U614,'Tipo Projeto'!$A$3:$B$35,2,0),0)</f>
        <v>0</v>
      </c>
      <c r="W614" s="47"/>
      <c r="X614" s="49"/>
      <c r="Y614" s="50"/>
      <c r="Z614" s="51"/>
      <c r="AA614" s="52"/>
      <c r="AB614" s="53" t="str">
        <f t="shared" si="136"/>
        <v/>
      </c>
      <c r="AC614" s="48" t="str">
        <f t="shared" si="137"/>
        <v/>
      </c>
      <c r="AD614" s="54" t="str">
        <f t="shared" si="138"/>
        <v/>
      </c>
      <c r="AE614" s="55">
        <f t="shared" si="139"/>
        <v>0</v>
      </c>
      <c r="AF614" s="55">
        <f t="shared" si="140"/>
        <v>0</v>
      </c>
      <c r="AG614" s="58">
        <f t="shared" si="141"/>
        <v>0</v>
      </c>
      <c r="AH614" s="47"/>
      <c r="AJ614" s="47"/>
      <c r="AL614" s="47"/>
      <c r="AM614" s="47" t="str">
        <f t="shared" si="142"/>
        <v/>
      </c>
    </row>
    <row r="615" spans="1:39" s="56" customFormat="1" ht="24.75" customHeight="1">
      <c r="A615" s="44"/>
      <c r="B615" s="45"/>
      <c r="C615" s="46">
        <f>IF(B615&lt;&gt;"",VLOOKUP(B615,'Tipo Projeto'!$A$3:$B$35,2,0),0)</f>
        <v>0</v>
      </c>
      <c r="D615" s="47"/>
      <c r="E615" s="47"/>
      <c r="F615" s="48"/>
      <c r="G615" s="47"/>
      <c r="H615" s="49"/>
      <c r="I615" s="50"/>
      <c r="J615" s="51"/>
      <c r="K615" s="52"/>
      <c r="L615" s="53" t="str">
        <f t="shared" si="130"/>
        <v/>
      </c>
      <c r="M615" s="48" t="str">
        <f t="shared" si="131"/>
        <v/>
      </c>
      <c r="N615" s="54" t="str">
        <f t="shared" si="132"/>
        <v/>
      </c>
      <c r="O615" s="55">
        <f t="shared" si="133"/>
        <v>0</v>
      </c>
      <c r="P615" s="55">
        <f t="shared" si="134"/>
        <v>0</v>
      </c>
      <c r="Q615" s="54">
        <f t="shared" si="135"/>
        <v>0</v>
      </c>
      <c r="R615" s="47"/>
      <c r="T615" s="57"/>
      <c r="U615" s="45"/>
      <c r="V615" s="46">
        <f>IF(U615&lt;&gt;"",VLOOKUP(U615,'Tipo Projeto'!$A$3:$B$35,2,0),0)</f>
        <v>0</v>
      </c>
      <c r="W615" s="47"/>
      <c r="X615" s="49"/>
      <c r="Y615" s="50"/>
      <c r="Z615" s="51"/>
      <c r="AA615" s="52"/>
      <c r="AB615" s="53" t="str">
        <f t="shared" si="136"/>
        <v/>
      </c>
      <c r="AC615" s="48" t="str">
        <f t="shared" si="137"/>
        <v/>
      </c>
      <c r="AD615" s="54" t="str">
        <f t="shared" si="138"/>
        <v/>
      </c>
      <c r="AE615" s="55">
        <f t="shared" si="139"/>
        <v>0</v>
      </c>
      <c r="AF615" s="55">
        <f t="shared" si="140"/>
        <v>0</v>
      </c>
      <c r="AG615" s="58">
        <f t="shared" si="141"/>
        <v>0</v>
      </c>
      <c r="AH615" s="47"/>
      <c r="AJ615" s="47"/>
      <c r="AL615" s="47"/>
      <c r="AM615" s="47" t="str">
        <f t="shared" si="142"/>
        <v/>
      </c>
    </row>
    <row r="616" spans="1:39" s="56" customFormat="1" ht="24.75" customHeight="1">
      <c r="A616" s="44"/>
      <c r="B616" s="45"/>
      <c r="C616" s="46">
        <f>IF(B616&lt;&gt;"",VLOOKUP(B616,'Tipo Projeto'!$A$3:$B$35,2,0),0)</f>
        <v>0</v>
      </c>
      <c r="D616" s="47"/>
      <c r="E616" s="47"/>
      <c r="F616" s="48"/>
      <c r="G616" s="47"/>
      <c r="H616" s="49"/>
      <c r="I616" s="50"/>
      <c r="J616" s="51"/>
      <c r="K616" s="52"/>
      <c r="L616" s="53" t="str">
        <f t="shared" si="130"/>
        <v/>
      </c>
      <c r="M616" s="48" t="str">
        <f t="shared" si="131"/>
        <v/>
      </c>
      <c r="N616" s="54" t="str">
        <f t="shared" si="132"/>
        <v/>
      </c>
      <c r="O616" s="55">
        <f t="shared" si="133"/>
        <v>0</v>
      </c>
      <c r="P616" s="55">
        <f t="shared" si="134"/>
        <v>0</v>
      </c>
      <c r="Q616" s="54">
        <f t="shared" si="135"/>
        <v>0</v>
      </c>
      <c r="R616" s="47"/>
      <c r="T616" s="57"/>
      <c r="U616" s="45"/>
      <c r="V616" s="46">
        <f>IF(U616&lt;&gt;"",VLOOKUP(U616,'Tipo Projeto'!$A$3:$B$35,2,0),0)</f>
        <v>0</v>
      </c>
      <c r="W616" s="47"/>
      <c r="X616" s="49"/>
      <c r="Y616" s="50"/>
      <c r="Z616" s="51"/>
      <c r="AA616" s="52"/>
      <c r="AB616" s="53" t="str">
        <f t="shared" si="136"/>
        <v/>
      </c>
      <c r="AC616" s="48" t="str">
        <f t="shared" si="137"/>
        <v/>
      </c>
      <c r="AD616" s="54" t="str">
        <f t="shared" si="138"/>
        <v/>
      </c>
      <c r="AE616" s="55">
        <f t="shared" si="139"/>
        <v>0</v>
      </c>
      <c r="AF616" s="55">
        <f t="shared" si="140"/>
        <v>0</v>
      </c>
      <c r="AG616" s="58">
        <f t="shared" si="141"/>
        <v>0</v>
      </c>
      <c r="AH616" s="47"/>
      <c r="AJ616" s="47"/>
      <c r="AL616" s="47"/>
      <c r="AM616" s="47" t="str">
        <f t="shared" si="142"/>
        <v/>
      </c>
    </row>
    <row r="617" spans="1:39" s="56" customFormat="1" ht="24.75" customHeight="1">
      <c r="A617" s="44"/>
      <c r="B617" s="45"/>
      <c r="C617" s="46">
        <f>IF(B617&lt;&gt;"",VLOOKUP(B617,'Tipo Projeto'!$A$3:$B$35,2,0),0)</f>
        <v>0</v>
      </c>
      <c r="D617" s="47"/>
      <c r="E617" s="47"/>
      <c r="F617" s="48"/>
      <c r="G617" s="47"/>
      <c r="H617" s="49"/>
      <c r="I617" s="50"/>
      <c r="J617" s="51"/>
      <c r="K617" s="52"/>
      <c r="L617" s="53" t="str">
        <f t="shared" si="130"/>
        <v/>
      </c>
      <c r="M617" s="48" t="str">
        <f t="shared" si="131"/>
        <v/>
      </c>
      <c r="N617" s="54" t="str">
        <f t="shared" si="132"/>
        <v/>
      </c>
      <c r="O617" s="55">
        <f t="shared" si="133"/>
        <v>0</v>
      </c>
      <c r="P617" s="55">
        <f t="shared" si="134"/>
        <v>0</v>
      </c>
      <c r="Q617" s="54">
        <f t="shared" si="135"/>
        <v>0</v>
      </c>
      <c r="R617" s="47"/>
      <c r="T617" s="57"/>
      <c r="U617" s="45"/>
      <c r="V617" s="46">
        <f>IF(U617&lt;&gt;"",VLOOKUP(U617,'Tipo Projeto'!$A$3:$B$35,2,0),0)</f>
        <v>0</v>
      </c>
      <c r="W617" s="47"/>
      <c r="X617" s="49"/>
      <c r="Y617" s="50"/>
      <c r="Z617" s="51"/>
      <c r="AA617" s="52"/>
      <c r="AB617" s="53" t="str">
        <f t="shared" si="136"/>
        <v/>
      </c>
      <c r="AC617" s="48" t="str">
        <f t="shared" si="137"/>
        <v/>
      </c>
      <c r="AD617" s="54" t="str">
        <f t="shared" si="138"/>
        <v/>
      </c>
      <c r="AE617" s="55">
        <f t="shared" si="139"/>
        <v>0</v>
      </c>
      <c r="AF617" s="55">
        <f t="shared" si="140"/>
        <v>0</v>
      </c>
      <c r="AG617" s="58">
        <f t="shared" si="141"/>
        <v>0</v>
      </c>
      <c r="AH617" s="47"/>
      <c r="AJ617" s="47"/>
      <c r="AL617" s="47"/>
      <c r="AM617" s="47" t="str">
        <f t="shared" si="142"/>
        <v/>
      </c>
    </row>
    <row r="618" spans="1:39" s="56" customFormat="1" ht="24.75" customHeight="1">
      <c r="A618" s="44"/>
      <c r="B618" s="45"/>
      <c r="C618" s="46">
        <f>IF(B618&lt;&gt;"",VLOOKUP(B618,'Tipo Projeto'!$A$3:$B$35,2,0),0)</f>
        <v>0</v>
      </c>
      <c r="D618" s="47"/>
      <c r="E618" s="47"/>
      <c r="F618" s="48"/>
      <c r="G618" s="47"/>
      <c r="H618" s="49"/>
      <c r="I618" s="50"/>
      <c r="J618" s="51"/>
      <c r="K618" s="52"/>
      <c r="L618" s="53" t="str">
        <f t="shared" si="130"/>
        <v/>
      </c>
      <c r="M618" s="48" t="str">
        <f t="shared" si="131"/>
        <v/>
      </c>
      <c r="N618" s="54" t="str">
        <f t="shared" si="132"/>
        <v/>
      </c>
      <c r="O618" s="55">
        <f t="shared" si="133"/>
        <v>0</v>
      </c>
      <c r="P618" s="55">
        <f t="shared" si="134"/>
        <v>0</v>
      </c>
      <c r="Q618" s="54">
        <f t="shared" si="135"/>
        <v>0</v>
      </c>
      <c r="R618" s="47"/>
      <c r="T618" s="57"/>
      <c r="U618" s="45"/>
      <c r="V618" s="46">
        <f>IF(U618&lt;&gt;"",VLOOKUP(U618,'Tipo Projeto'!$A$3:$B$35,2,0),0)</f>
        <v>0</v>
      </c>
      <c r="W618" s="47"/>
      <c r="X618" s="49"/>
      <c r="Y618" s="50"/>
      <c r="Z618" s="51"/>
      <c r="AA618" s="52"/>
      <c r="AB618" s="53" t="str">
        <f t="shared" si="136"/>
        <v/>
      </c>
      <c r="AC618" s="48" t="str">
        <f t="shared" si="137"/>
        <v/>
      </c>
      <c r="AD618" s="54" t="str">
        <f t="shared" si="138"/>
        <v/>
      </c>
      <c r="AE618" s="55">
        <f t="shared" si="139"/>
        <v>0</v>
      </c>
      <c r="AF618" s="55">
        <f t="shared" si="140"/>
        <v>0</v>
      </c>
      <c r="AG618" s="58">
        <f t="shared" si="141"/>
        <v>0</v>
      </c>
      <c r="AH618" s="47"/>
      <c r="AJ618" s="47"/>
      <c r="AL618" s="47"/>
      <c r="AM618" s="47" t="str">
        <f t="shared" si="142"/>
        <v/>
      </c>
    </row>
    <row r="619" spans="1:39" s="56" customFormat="1" ht="24.75" customHeight="1">
      <c r="A619" s="44"/>
      <c r="B619" s="45"/>
      <c r="C619" s="46">
        <f>IF(B619&lt;&gt;"",VLOOKUP(B619,'Tipo Projeto'!$A$3:$B$35,2,0),0)</f>
        <v>0</v>
      </c>
      <c r="D619" s="47"/>
      <c r="E619" s="47"/>
      <c r="F619" s="48"/>
      <c r="G619" s="47"/>
      <c r="H619" s="49"/>
      <c r="I619" s="50"/>
      <c r="J619" s="51"/>
      <c r="K619" s="52"/>
      <c r="L619" s="53" t="str">
        <f t="shared" si="130"/>
        <v/>
      </c>
      <c r="M619" s="48" t="str">
        <f t="shared" si="131"/>
        <v/>
      </c>
      <c r="N619" s="54" t="str">
        <f t="shared" si="132"/>
        <v/>
      </c>
      <c r="O619" s="55">
        <f t="shared" si="133"/>
        <v>0</v>
      </c>
      <c r="P619" s="55">
        <f t="shared" si="134"/>
        <v>0</v>
      </c>
      <c r="Q619" s="54">
        <f t="shared" si="135"/>
        <v>0</v>
      </c>
      <c r="R619" s="47"/>
      <c r="T619" s="57"/>
      <c r="U619" s="45"/>
      <c r="V619" s="46">
        <f>IF(U619&lt;&gt;"",VLOOKUP(U619,'Tipo Projeto'!$A$3:$B$35,2,0),0)</f>
        <v>0</v>
      </c>
      <c r="W619" s="47"/>
      <c r="X619" s="49"/>
      <c r="Y619" s="50"/>
      <c r="Z619" s="51"/>
      <c r="AA619" s="52"/>
      <c r="AB619" s="53" t="str">
        <f t="shared" si="136"/>
        <v/>
      </c>
      <c r="AC619" s="48" t="str">
        <f t="shared" si="137"/>
        <v/>
      </c>
      <c r="AD619" s="54" t="str">
        <f t="shared" si="138"/>
        <v/>
      </c>
      <c r="AE619" s="55">
        <f t="shared" si="139"/>
        <v>0</v>
      </c>
      <c r="AF619" s="55">
        <f t="shared" si="140"/>
        <v>0</v>
      </c>
      <c r="AG619" s="58">
        <f t="shared" si="141"/>
        <v>0</v>
      </c>
      <c r="AH619" s="47"/>
      <c r="AJ619" s="47"/>
      <c r="AL619" s="47"/>
      <c r="AM619" s="47" t="str">
        <f t="shared" si="142"/>
        <v/>
      </c>
    </row>
    <row r="620" spans="1:39" s="56" customFormat="1" ht="24.75" customHeight="1">
      <c r="A620" s="44"/>
      <c r="B620" s="45"/>
      <c r="C620" s="46">
        <f>IF(B620&lt;&gt;"",VLOOKUP(B620,'Tipo Projeto'!$A$3:$B$35,2,0),0)</f>
        <v>0</v>
      </c>
      <c r="D620" s="47"/>
      <c r="E620" s="47"/>
      <c r="F620" s="48"/>
      <c r="G620" s="47"/>
      <c r="H620" s="49"/>
      <c r="I620" s="50"/>
      <c r="J620" s="51"/>
      <c r="K620" s="52"/>
      <c r="L620" s="53" t="str">
        <f t="shared" si="130"/>
        <v/>
      </c>
      <c r="M620" s="48" t="str">
        <f t="shared" si="131"/>
        <v/>
      </c>
      <c r="N620" s="54" t="str">
        <f t="shared" si="132"/>
        <v/>
      </c>
      <c r="O620" s="55">
        <f t="shared" si="133"/>
        <v>0</v>
      </c>
      <c r="P620" s="55">
        <f t="shared" si="134"/>
        <v>0</v>
      </c>
      <c r="Q620" s="54">
        <f t="shared" si="135"/>
        <v>0</v>
      </c>
      <c r="R620" s="47"/>
      <c r="T620" s="57"/>
      <c r="U620" s="45"/>
      <c r="V620" s="46">
        <f>IF(U620&lt;&gt;"",VLOOKUP(U620,'Tipo Projeto'!$A$3:$B$35,2,0),0)</f>
        <v>0</v>
      </c>
      <c r="W620" s="47"/>
      <c r="X620" s="49"/>
      <c r="Y620" s="50"/>
      <c r="Z620" s="51"/>
      <c r="AA620" s="52"/>
      <c r="AB620" s="53" t="str">
        <f t="shared" si="136"/>
        <v/>
      </c>
      <c r="AC620" s="48" t="str">
        <f t="shared" si="137"/>
        <v/>
      </c>
      <c r="AD620" s="54" t="str">
        <f t="shared" si="138"/>
        <v/>
      </c>
      <c r="AE620" s="55">
        <f t="shared" si="139"/>
        <v>0</v>
      </c>
      <c r="AF620" s="55">
        <f t="shared" si="140"/>
        <v>0</v>
      </c>
      <c r="AG620" s="58">
        <f t="shared" si="141"/>
        <v>0</v>
      </c>
      <c r="AH620" s="47"/>
      <c r="AJ620" s="47"/>
      <c r="AL620" s="47"/>
      <c r="AM620" s="47" t="str">
        <f t="shared" si="142"/>
        <v/>
      </c>
    </row>
    <row r="621" spans="1:39" s="56" customFormat="1" ht="24.75" customHeight="1">
      <c r="A621" s="44"/>
      <c r="B621" s="45"/>
      <c r="C621" s="46">
        <f>IF(B621&lt;&gt;"",VLOOKUP(B621,'Tipo Projeto'!$A$3:$B$35,2,0),0)</f>
        <v>0</v>
      </c>
      <c r="D621" s="47"/>
      <c r="E621" s="47"/>
      <c r="F621" s="48"/>
      <c r="G621" s="47"/>
      <c r="H621" s="49"/>
      <c r="I621" s="50"/>
      <c r="J621" s="51"/>
      <c r="K621" s="52"/>
      <c r="L621" s="53" t="str">
        <f t="shared" si="130"/>
        <v/>
      </c>
      <c r="M621" s="48" t="str">
        <f t="shared" si="131"/>
        <v/>
      </c>
      <c r="N621" s="54" t="str">
        <f t="shared" si="132"/>
        <v/>
      </c>
      <c r="O621" s="55">
        <f t="shared" si="133"/>
        <v>0</v>
      </c>
      <c r="P621" s="55">
        <f t="shared" si="134"/>
        <v>0</v>
      </c>
      <c r="Q621" s="54">
        <f t="shared" si="135"/>
        <v>0</v>
      </c>
      <c r="R621" s="47"/>
      <c r="T621" s="57"/>
      <c r="U621" s="45"/>
      <c r="V621" s="46">
        <f>IF(U621&lt;&gt;"",VLOOKUP(U621,'Tipo Projeto'!$A$3:$B$35,2,0),0)</f>
        <v>0</v>
      </c>
      <c r="W621" s="47"/>
      <c r="X621" s="49"/>
      <c r="Y621" s="50"/>
      <c r="Z621" s="51"/>
      <c r="AA621" s="52"/>
      <c r="AB621" s="53" t="str">
        <f t="shared" si="136"/>
        <v/>
      </c>
      <c r="AC621" s="48" t="str">
        <f t="shared" si="137"/>
        <v/>
      </c>
      <c r="AD621" s="54" t="str">
        <f t="shared" si="138"/>
        <v/>
      </c>
      <c r="AE621" s="55">
        <f t="shared" si="139"/>
        <v>0</v>
      </c>
      <c r="AF621" s="55">
        <f t="shared" si="140"/>
        <v>0</v>
      </c>
      <c r="AG621" s="58">
        <f t="shared" si="141"/>
        <v>0</v>
      </c>
      <c r="AH621" s="47"/>
      <c r="AJ621" s="47"/>
      <c r="AL621" s="47"/>
      <c r="AM621" s="47" t="str">
        <f t="shared" si="142"/>
        <v/>
      </c>
    </row>
    <row r="622" spans="1:39" s="56" customFormat="1" ht="24.75" customHeight="1">
      <c r="A622" s="44"/>
      <c r="B622" s="45"/>
      <c r="C622" s="46">
        <f>IF(B622&lt;&gt;"",VLOOKUP(B622,'Tipo Projeto'!$A$3:$B$35,2,0),0)</f>
        <v>0</v>
      </c>
      <c r="D622" s="47"/>
      <c r="E622" s="47"/>
      <c r="F622" s="48"/>
      <c r="G622" s="47"/>
      <c r="H622" s="49"/>
      <c r="I622" s="50"/>
      <c r="J622" s="51"/>
      <c r="K622" s="52"/>
      <c r="L622" s="53" t="str">
        <f t="shared" si="130"/>
        <v/>
      </c>
      <c r="M622" s="48" t="str">
        <f t="shared" si="131"/>
        <v/>
      </c>
      <c r="N622" s="54" t="str">
        <f t="shared" si="132"/>
        <v/>
      </c>
      <c r="O622" s="55">
        <f t="shared" si="133"/>
        <v>0</v>
      </c>
      <c r="P622" s="55">
        <f t="shared" si="134"/>
        <v>0</v>
      </c>
      <c r="Q622" s="54">
        <f t="shared" si="135"/>
        <v>0</v>
      </c>
      <c r="R622" s="47"/>
      <c r="T622" s="57"/>
      <c r="U622" s="45"/>
      <c r="V622" s="46">
        <f>IF(U622&lt;&gt;"",VLOOKUP(U622,'Tipo Projeto'!$A$3:$B$35,2,0),0)</f>
        <v>0</v>
      </c>
      <c r="W622" s="47"/>
      <c r="X622" s="49"/>
      <c r="Y622" s="50"/>
      <c r="Z622" s="51"/>
      <c r="AA622" s="52"/>
      <c r="AB622" s="53" t="str">
        <f t="shared" si="136"/>
        <v/>
      </c>
      <c r="AC622" s="48" t="str">
        <f t="shared" si="137"/>
        <v/>
      </c>
      <c r="AD622" s="54" t="str">
        <f t="shared" si="138"/>
        <v/>
      </c>
      <c r="AE622" s="55">
        <f t="shared" si="139"/>
        <v>0</v>
      </c>
      <c r="AF622" s="55">
        <f t="shared" si="140"/>
        <v>0</v>
      </c>
      <c r="AG622" s="58">
        <f t="shared" si="141"/>
        <v>0</v>
      </c>
      <c r="AH622" s="47"/>
      <c r="AJ622" s="47"/>
      <c r="AL622" s="47"/>
      <c r="AM622" s="47" t="str">
        <f t="shared" si="142"/>
        <v/>
      </c>
    </row>
    <row r="623" spans="1:39" s="56" customFormat="1" ht="24.75" customHeight="1">
      <c r="A623" s="44"/>
      <c r="B623" s="45"/>
      <c r="C623" s="46">
        <f>IF(B623&lt;&gt;"",VLOOKUP(B623,'Tipo Projeto'!$A$3:$B$35,2,0),0)</f>
        <v>0</v>
      </c>
      <c r="D623" s="47"/>
      <c r="E623" s="47"/>
      <c r="F623" s="48"/>
      <c r="G623" s="47"/>
      <c r="H623" s="49"/>
      <c r="I623" s="50"/>
      <c r="J623" s="51"/>
      <c r="K623" s="52"/>
      <c r="L623" s="53" t="str">
        <f t="shared" si="130"/>
        <v/>
      </c>
      <c r="M623" s="48" t="str">
        <f t="shared" si="131"/>
        <v/>
      </c>
      <c r="N623" s="54" t="str">
        <f t="shared" si="132"/>
        <v/>
      </c>
      <c r="O623" s="55">
        <f t="shared" si="133"/>
        <v>0</v>
      </c>
      <c r="P623" s="55">
        <f t="shared" si="134"/>
        <v>0</v>
      </c>
      <c r="Q623" s="54">
        <f t="shared" si="135"/>
        <v>0</v>
      </c>
      <c r="R623" s="47"/>
      <c r="T623" s="57"/>
      <c r="U623" s="45"/>
      <c r="V623" s="46">
        <f>IF(U623&lt;&gt;"",VLOOKUP(U623,'Tipo Projeto'!$A$3:$B$35,2,0),0)</f>
        <v>0</v>
      </c>
      <c r="W623" s="47"/>
      <c r="X623" s="49"/>
      <c r="Y623" s="50"/>
      <c r="Z623" s="51"/>
      <c r="AA623" s="52"/>
      <c r="AB623" s="53" t="str">
        <f t="shared" si="136"/>
        <v/>
      </c>
      <c r="AC623" s="48" t="str">
        <f t="shared" si="137"/>
        <v/>
      </c>
      <c r="AD623" s="54" t="str">
        <f t="shared" si="138"/>
        <v/>
      </c>
      <c r="AE623" s="55">
        <f t="shared" si="139"/>
        <v>0</v>
      </c>
      <c r="AF623" s="55">
        <f t="shared" si="140"/>
        <v>0</v>
      </c>
      <c r="AG623" s="58">
        <f t="shared" si="141"/>
        <v>0</v>
      </c>
      <c r="AH623" s="47"/>
      <c r="AJ623" s="47"/>
      <c r="AL623" s="47"/>
      <c r="AM623" s="47" t="str">
        <f t="shared" si="142"/>
        <v/>
      </c>
    </row>
    <row r="624" spans="1:39" s="56" customFormat="1" ht="24.75" customHeight="1">
      <c r="A624" s="44"/>
      <c r="B624" s="45"/>
      <c r="C624" s="46">
        <f>IF(B624&lt;&gt;"",VLOOKUP(B624,'Tipo Projeto'!$A$3:$B$35,2,0),0)</f>
        <v>0</v>
      </c>
      <c r="D624" s="47"/>
      <c r="E624" s="47"/>
      <c r="F624" s="48"/>
      <c r="G624" s="47"/>
      <c r="H624" s="49"/>
      <c r="I624" s="50"/>
      <c r="J624" s="51"/>
      <c r="K624" s="52"/>
      <c r="L624" s="53" t="str">
        <f t="shared" si="130"/>
        <v/>
      </c>
      <c r="M624" s="48" t="str">
        <f t="shared" si="131"/>
        <v/>
      </c>
      <c r="N624" s="54" t="str">
        <f t="shared" si="132"/>
        <v/>
      </c>
      <c r="O624" s="55">
        <f t="shared" si="133"/>
        <v>0</v>
      </c>
      <c r="P624" s="55">
        <f t="shared" si="134"/>
        <v>0</v>
      </c>
      <c r="Q624" s="54">
        <f t="shared" si="135"/>
        <v>0</v>
      </c>
      <c r="R624" s="47"/>
      <c r="T624" s="57"/>
      <c r="U624" s="45"/>
      <c r="V624" s="46">
        <f>IF(U624&lt;&gt;"",VLOOKUP(U624,'Tipo Projeto'!$A$3:$B$35,2,0),0)</f>
        <v>0</v>
      </c>
      <c r="W624" s="47"/>
      <c r="X624" s="49"/>
      <c r="Y624" s="50"/>
      <c r="Z624" s="51"/>
      <c r="AA624" s="52"/>
      <c r="AB624" s="53" t="str">
        <f t="shared" si="136"/>
        <v/>
      </c>
      <c r="AC624" s="48" t="str">
        <f t="shared" si="137"/>
        <v/>
      </c>
      <c r="AD624" s="54" t="str">
        <f t="shared" si="138"/>
        <v/>
      </c>
      <c r="AE624" s="55">
        <f t="shared" si="139"/>
        <v>0</v>
      </c>
      <c r="AF624" s="55">
        <f t="shared" si="140"/>
        <v>0</v>
      </c>
      <c r="AG624" s="58">
        <f t="shared" si="141"/>
        <v>0</v>
      </c>
      <c r="AH624" s="47"/>
      <c r="AJ624" s="47"/>
      <c r="AL624" s="47"/>
      <c r="AM624" s="47" t="str">
        <f t="shared" si="142"/>
        <v/>
      </c>
    </row>
    <row r="625" spans="1:39" s="56" customFormat="1" ht="24.75" customHeight="1">
      <c r="A625" s="44"/>
      <c r="B625" s="45"/>
      <c r="C625" s="46">
        <f>IF(B625&lt;&gt;"",VLOOKUP(B625,'Tipo Projeto'!$A$3:$B$35,2,0),0)</f>
        <v>0</v>
      </c>
      <c r="D625" s="47"/>
      <c r="E625" s="47"/>
      <c r="F625" s="48"/>
      <c r="G625" s="47"/>
      <c r="H625" s="49"/>
      <c r="I625" s="50"/>
      <c r="J625" s="51"/>
      <c r="K625" s="52"/>
      <c r="L625" s="53" t="str">
        <f t="shared" si="130"/>
        <v/>
      </c>
      <c r="M625" s="48" t="str">
        <f t="shared" si="131"/>
        <v/>
      </c>
      <c r="N625" s="54" t="str">
        <f t="shared" si="132"/>
        <v/>
      </c>
      <c r="O625" s="55">
        <f t="shared" si="133"/>
        <v>0</v>
      </c>
      <c r="P625" s="55">
        <f t="shared" si="134"/>
        <v>0</v>
      </c>
      <c r="Q625" s="54">
        <f t="shared" si="135"/>
        <v>0</v>
      </c>
      <c r="R625" s="47"/>
      <c r="T625" s="57"/>
      <c r="U625" s="45"/>
      <c r="V625" s="46">
        <f>IF(U625&lt;&gt;"",VLOOKUP(U625,'Tipo Projeto'!$A$3:$B$35,2,0),0)</f>
        <v>0</v>
      </c>
      <c r="W625" s="47"/>
      <c r="X625" s="49"/>
      <c r="Y625" s="50"/>
      <c r="Z625" s="51"/>
      <c r="AA625" s="52"/>
      <c r="AB625" s="53" t="str">
        <f t="shared" si="136"/>
        <v/>
      </c>
      <c r="AC625" s="48" t="str">
        <f t="shared" si="137"/>
        <v/>
      </c>
      <c r="AD625" s="54" t="str">
        <f t="shared" si="138"/>
        <v/>
      </c>
      <c r="AE625" s="55">
        <f t="shared" si="139"/>
        <v>0</v>
      </c>
      <c r="AF625" s="55">
        <f t="shared" si="140"/>
        <v>0</v>
      </c>
      <c r="AG625" s="58">
        <f t="shared" si="141"/>
        <v>0</v>
      </c>
      <c r="AH625" s="47"/>
      <c r="AJ625" s="47"/>
      <c r="AL625" s="47"/>
      <c r="AM625" s="47" t="str">
        <f t="shared" si="142"/>
        <v/>
      </c>
    </row>
    <row r="626" spans="1:39" s="56" customFormat="1" ht="24.75" customHeight="1">
      <c r="A626" s="44"/>
      <c r="B626" s="45"/>
      <c r="C626" s="46">
        <f>IF(B626&lt;&gt;"",VLOOKUP(B626,'Tipo Projeto'!$A$3:$B$35,2,0),0)</f>
        <v>0</v>
      </c>
      <c r="D626" s="47"/>
      <c r="E626" s="47"/>
      <c r="F626" s="48"/>
      <c r="G626" s="47"/>
      <c r="H626" s="49"/>
      <c r="I626" s="50"/>
      <c r="J626" s="51"/>
      <c r="K626" s="52"/>
      <c r="L626" s="53" t="str">
        <f t="shared" si="130"/>
        <v/>
      </c>
      <c r="M626" s="48" t="str">
        <f t="shared" si="131"/>
        <v/>
      </c>
      <c r="N626" s="54" t="str">
        <f t="shared" si="132"/>
        <v/>
      </c>
      <c r="O626" s="55">
        <f t="shared" si="133"/>
        <v>0</v>
      </c>
      <c r="P626" s="55">
        <f t="shared" si="134"/>
        <v>0</v>
      </c>
      <c r="Q626" s="54">
        <f t="shared" si="135"/>
        <v>0</v>
      </c>
      <c r="R626" s="47"/>
      <c r="T626" s="57"/>
      <c r="U626" s="45"/>
      <c r="V626" s="46">
        <f>IF(U626&lt;&gt;"",VLOOKUP(U626,'Tipo Projeto'!$A$3:$B$35,2,0),0)</f>
        <v>0</v>
      </c>
      <c r="W626" s="47"/>
      <c r="X626" s="49"/>
      <c r="Y626" s="50"/>
      <c r="Z626" s="51"/>
      <c r="AA626" s="52"/>
      <c r="AB626" s="53" t="str">
        <f t="shared" si="136"/>
        <v/>
      </c>
      <c r="AC626" s="48" t="str">
        <f t="shared" si="137"/>
        <v/>
      </c>
      <c r="AD626" s="54" t="str">
        <f t="shared" si="138"/>
        <v/>
      </c>
      <c r="AE626" s="55">
        <f t="shared" si="139"/>
        <v>0</v>
      </c>
      <c r="AF626" s="55">
        <f t="shared" si="140"/>
        <v>0</v>
      </c>
      <c r="AG626" s="58">
        <f t="shared" si="141"/>
        <v>0</v>
      </c>
      <c r="AH626" s="47"/>
      <c r="AJ626" s="47"/>
      <c r="AL626" s="47"/>
      <c r="AM626" s="47" t="str">
        <f t="shared" si="142"/>
        <v/>
      </c>
    </row>
    <row r="627" spans="1:39" s="56" customFormat="1" ht="24.75" customHeight="1">
      <c r="A627" s="44"/>
      <c r="B627" s="45"/>
      <c r="C627" s="46">
        <f>IF(B627&lt;&gt;"",VLOOKUP(B627,'Tipo Projeto'!$A$3:$B$35,2,0),0)</f>
        <v>0</v>
      </c>
      <c r="D627" s="47"/>
      <c r="E627" s="47"/>
      <c r="F627" s="48"/>
      <c r="G627" s="47"/>
      <c r="H627" s="49"/>
      <c r="I627" s="50"/>
      <c r="J627" s="51"/>
      <c r="K627" s="52"/>
      <c r="L627" s="53" t="str">
        <f t="shared" si="130"/>
        <v/>
      </c>
      <c r="M627" s="48" t="str">
        <f t="shared" si="131"/>
        <v/>
      </c>
      <c r="N627" s="54" t="str">
        <f t="shared" si="132"/>
        <v/>
      </c>
      <c r="O627" s="55">
        <f t="shared" si="133"/>
        <v>0</v>
      </c>
      <c r="P627" s="55">
        <f t="shared" si="134"/>
        <v>0</v>
      </c>
      <c r="Q627" s="54">
        <f t="shared" si="135"/>
        <v>0</v>
      </c>
      <c r="R627" s="47"/>
      <c r="T627" s="57"/>
      <c r="U627" s="45"/>
      <c r="V627" s="46">
        <f>IF(U627&lt;&gt;"",VLOOKUP(U627,'Tipo Projeto'!$A$3:$B$35,2,0),0)</f>
        <v>0</v>
      </c>
      <c r="W627" s="47"/>
      <c r="X627" s="49"/>
      <c r="Y627" s="50"/>
      <c r="Z627" s="51"/>
      <c r="AA627" s="52"/>
      <c r="AB627" s="53" t="str">
        <f t="shared" si="136"/>
        <v/>
      </c>
      <c r="AC627" s="48" t="str">
        <f t="shared" si="137"/>
        <v/>
      </c>
      <c r="AD627" s="54" t="str">
        <f t="shared" si="138"/>
        <v/>
      </c>
      <c r="AE627" s="55">
        <f t="shared" si="139"/>
        <v>0</v>
      </c>
      <c r="AF627" s="55">
        <f t="shared" si="140"/>
        <v>0</v>
      </c>
      <c r="AG627" s="58">
        <f t="shared" si="141"/>
        <v>0</v>
      </c>
      <c r="AH627" s="47"/>
      <c r="AJ627" s="47"/>
      <c r="AL627" s="47"/>
      <c r="AM627" s="47" t="str">
        <f t="shared" si="142"/>
        <v/>
      </c>
    </row>
    <row r="628" spans="1:39" s="56" customFormat="1" ht="24.75" customHeight="1">
      <c r="A628" s="44"/>
      <c r="B628" s="45"/>
      <c r="C628" s="46">
        <f>IF(B628&lt;&gt;"",VLOOKUP(B628,'Tipo Projeto'!$A$3:$B$35,2,0),0)</f>
        <v>0</v>
      </c>
      <c r="D628" s="47"/>
      <c r="E628" s="47"/>
      <c r="F628" s="48"/>
      <c r="G628" s="47"/>
      <c r="H628" s="49"/>
      <c r="I628" s="50"/>
      <c r="J628" s="51"/>
      <c r="K628" s="52"/>
      <c r="L628" s="53" t="str">
        <f>IF(G628="EE",IF(OR(AND(OR(J628=1,J628=0),H628&gt;0,H628&lt;5),AND(OR(J628=1,J628=0),H628&gt;4,H628&lt;16),AND(J628=2,H628&gt;0,H628&lt;5)),"Simples",IF(OR(AND(OR(J628=1,J628=0),H628&gt;15),AND(J628=2,H628&gt;4,H628&lt;16),AND(J628&gt;2,H628&gt;0,H628&lt;5)),"Médio",IF(OR(AND(J628=2,H628&gt;15),AND(J628&gt;2,H628&gt;4,H628&lt;16),AND(J628&gt;2,H628&gt;15)),"Complexo",""))), IF(OR(G628="CE",G628="SE"),IF(OR(AND(OR(J628=1,J628=0),H628&gt;0,H628&lt;6),AND(OR(J628=1,J628=0),H628&gt;5,H628&lt;20),AND(J628&gt;1,J628&lt;4,H628&gt;0,H628&lt;6)),"Simples",IF(OR(AND(OR(J628=1,J628=0),H628&gt;19),AND(J628&gt;1,J628&lt;4,H628&gt;5,H628&lt;20),AND(J628&gt;3,H628&gt;0,H628&lt;6)),"Médio",IF(OR(AND(J628&gt;1,J628&lt;4,H628&gt;19),AND(J628&gt;3,H628&gt;5,H628&lt;20),AND(J628&gt;3,H628&gt;19)),"Complexo",""))),""))</f>
        <v/>
      </c>
      <c r="M628" s="48" t="str">
        <f>IF(G628="ALI",IF(OR(AND(OR(J628=1,J628=0),H628&gt;0,H628&lt;20),AND(OR(J628=1,J628=0),H628&gt;19,H628&lt;51),AND(J628&gt;1,J628&lt;6,H628&gt;0,H628&lt;20)),"Simples",IF(OR(AND(OR(J628=1,J628=0),H628&gt;50),AND(J628&gt;1,J628&lt;6,H628&gt;19,H628&lt;51),AND(J628&gt;5,H628&gt;0,H628&lt;20)),"Médio",IF(OR(AND(J628&gt;1,J628&lt;6,H628&gt;50),AND(J628&gt;5,H628&gt;19,H628&lt;51),AND(J628&gt;5,H628&gt;50)),"Complexo",""))), IF(G628="AIE",IF(OR(AND(OR(J628=1, J628=0),H628&gt;0,H628&lt;20),AND(OR(J628=1, J628=0),H628&gt;19,H628&lt;51),AND(J628&gt;1,J628&lt;6,H628&gt;0,H628&lt;20)),"Simples",IF(OR(AND(OR(J628=1, J628=0),H628&gt;50),AND(J628&gt;1,J628&lt;6,H628&gt;19,H628&lt;51),AND(J628&gt;5,H628&gt;0,H628&lt;20)),"Médio",IF(OR(AND(J628&gt;1,J628&lt;6,H628&gt;50),AND(J628&gt;5,H628&gt;19,H628&lt;51),AND(J628&gt;5,H628&gt;50)),"Complexo",""))),""))</f>
        <v/>
      </c>
      <c r="N628" s="54" t="str">
        <f>IF(L628="",M628,IF(M628="",L628,""))</f>
        <v/>
      </c>
      <c r="O628" s="55">
        <f>IF(AND(OR(G628="EE",G628="CE"),N628="Simples"),3, IF(AND(OR(G628="EE",G628="CE"),N628="Médio"),4, IF(AND(OR(G628="EE",G628="CE"),N628="Complexo"),6, IF(AND(G628="SE",N628="Simples"),4, IF(AND(G628="SE",N628="Médio"),5, IF(AND(G628="SE",N628="Complexo"),7,0))))))</f>
        <v>0</v>
      </c>
      <c r="P628" s="55">
        <f>IF(AND(G628="ALI",M628="Simples"),7, IF(AND(G628="ALI",M628="Médio"),10, IF(AND(G628="ALI",M628="Complexo"),15, IF(AND(G628="AIE",M628="Simples"),5, IF(AND(G628="AIE",M628="Médio"),7, IF(AND(G628="AIE",M628="Complexo"),10,0))))))</f>
        <v>0</v>
      </c>
      <c r="Q628" s="54">
        <f>IF(B628&lt;&gt;"Manutenção em interface",IF(B628&lt;&gt;"Desenv., Manutenção e Publicação de Páginas Estáticas",(O628+P628)*C628,C628),C628)</f>
        <v>0</v>
      </c>
      <c r="R628" s="47"/>
      <c r="T628" s="57"/>
      <c r="U628" s="45"/>
      <c r="V628" s="46">
        <f>IF(U628&lt;&gt;"",VLOOKUP(U628,'Tipo Projeto'!$A$3:$B$35,2,0),0)</f>
        <v>0</v>
      </c>
      <c r="W628" s="47"/>
      <c r="X628" s="49"/>
      <c r="Y628" s="50"/>
      <c r="Z628" s="51"/>
      <c r="AA628" s="52"/>
      <c r="AB628" s="53" t="str">
        <f>IF(W628="EE",IF(OR(AND(OR(Z628=1,Z628=0),X628&gt;0,X628&lt;5),AND(OR(Z628=1,Z628=0),X628&gt;4,X628&lt;16),AND(Z628=2,X628&gt;0,X628&lt;5)),"Simples",IF(OR(AND(OR(Z628=1,Z628=0),X628&gt;15),AND(Z628=2,X628&gt;4,X628&lt;16),AND(Z628&gt;2,X628&gt;0,X628&lt;5)),"Médio",IF(OR(AND(Z628=2,X628&gt;15),AND(Z628&gt;2,X628&gt;4,X628&lt;16),AND(Z628&gt;2,X628&gt;15)),"Complexo",""))), IF(OR(W628="CE",W628="SE"),IF(OR(AND(OR(Z628=1,Z628=0),X628&gt;0,X628&lt;6),AND(OR(Z628=1,Z628=0),X628&gt;5,X628&lt;20),AND(Z628&gt;1,Z628&lt;4,X628&gt;0,X628&lt;6)),"Simples",IF(OR(AND(OR(Z628=1,Z628=0),X628&gt;19),AND(Z628&gt;1,Z628&lt;4,X628&gt;5,X628&lt;20),AND(Z628&gt;3,X628&gt;0,X628&lt;6)),"Médio",IF(OR(AND(Z628&gt;1,Z628&lt;4,X628&gt;19),AND(Z628&gt;3,X628&gt;5,X628&lt;20),AND(Z628&gt;3,X628&gt;19)),"Complexo",""))),""))</f>
        <v/>
      </c>
      <c r="AC628" s="48" t="str">
        <f>IF(W628="ALI",IF(OR(AND(OR(Z628=1,Z628=0),X628&gt;0,X628&lt;20),AND(OR(Z628=1,Z628=0),X628&gt;19,X628&lt;51),AND(Z628&gt;1,Z628&lt;6,X628&gt;0,X628&lt;20)),"Simples",IF(OR(AND(OR(Z628=1,Z628=0),X628&gt;50),AND(Z628&gt;1,Z628&lt;6,X628&gt;19,X628&lt;51),AND(Z628&gt;5,X628&gt;0,X628&lt;20)),"Médio",IF(OR(AND(Z628&gt;1,Z628&lt;6,X628&gt;50),AND(Z628&gt;5,X628&gt;19,X628&lt;51),AND(Z628&gt;5,X628&gt;50)),"Complexo",""))), IF(W628="AIE",IF(OR(AND(OR(Z628=1, Z628=0),X628&gt;0,X628&lt;20),AND(OR(Z628=1, Z628=0),X628&gt;19,X628&lt;51),AND(Z628&gt;1,Z628&lt;6,X628&gt;0,X628&lt;20)),"Simples",IF(OR(AND(OR(Z628=1, Z628=0),X628&gt;50),AND(Z628&gt;1,Z628&lt;6,X628&gt;19,X628&lt;51),AND(Z628&gt;5,X628&gt;0,X628&lt;20)),"Médio",IF(OR(AND(Z628&gt;1,Z628&lt;6,X628&gt;50),AND(Z628&gt;5,X628&gt;19,X628&lt;51),AND(Z628&gt;5,X628&gt;50)),"Complexo",""))),""))</f>
        <v/>
      </c>
      <c r="AD628" s="54" t="str">
        <f>IF(AB628="",AC628,IF(AC628="",AB628,""))</f>
        <v/>
      </c>
      <c r="AE628" s="55">
        <f>IF(AND(OR(W628="EE",W628="CE"),AD628="Simples"),3, IF(AND(OR(W628="EE",W628="CE"),AD628="Médio"),4, IF(AND(OR(W628="EE",W628="CE"),AD628="Complexo"),6, IF(AND(W628="SE",AD628="Simples"),4, IF(AND(W628="SE",AD628="Médio"),5, IF(AND(W628="SE",AD628="Complexo"),7,0))))))</f>
        <v>0</v>
      </c>
      <c r="AF628" s="55">
        <f>IF(AND(W628="ALI",AC628="Simples"),7, IF(AND(W628="ALI",AC628="Médio"),10, IF(AND(W628="ALI",AC628="Complexo"),15, IF(AND(W628="AIE",AC628="Simples"),5, IF(AND(W628="AIE",AC628="Médio"),7, IF(AND(W628="AIE",AC628="Complexo"),10,0))))))</f>
        <v>0</v>
      </c>
      <c r="AG628" s="58">
        <f>IF(T628="OK",Q628,( IF(U628&lt;&gt;"Manutenção em interface",IF(U628&lt;&gt;"Desenv., Manutenção e Publicação de Páginas Estáticas",(AE628+AF628)*V628,V628),V628)))</f>
        <v>0</v>
      </c>
      <c r="AH628" s="47"/>
      <c r="AJ628" s="47"/>
      <c r="AL628" s="47"/>
      <c r="AM628" s="47" t="str">
        <f>IF(AG628=0,"",IF(AG628=Q628,"OK","Divergente"))</f>
        <v/>
      </c>
    </row>
    <row r="629" spans="1:39" s="56" customFormat="1" ht="24.75" customHeight="1">
      <c r="A629" s="44"/>
      <c r="B629" s="45"/>
      <c r="C629" s="46">
        <f>IF(B629&lt;&gt;"",VLOOKUP(B629,'Tipo Projeto'!$A$3:$B$35,2,0),0)</f>
        <v>0</v>
      </c>
      <c r="D629" s="47"/>
      <c r="E629" s="47"/>
      <c r="F629" s="48"/>
      <c r="G629" s="47"/>
      <c r="H629" s="49"/>
      <c r="I629" s="50"/>
      <c r="J629" s="51"/>
      <c r="K629" s="52"/>
      <c r="L629" s="53" t="str">
        <f t="shared" ref="L629:L692" si="143">IF(G629="EE",IF(OR(AND(OR(J629=1,J629=0),H629&gt;0,H629&lt;5),AND(OR(J629=1,J629=0),H629&gt;4,H629&lt;16),AND(J629=2,H629&gt;0,H629&lt;5)),"Simples",IF(OR(AND(OR(J629=1,J629=0),H629&gt;15),AND(J629=2,H629&gt;4,H629&lt;16),AND(J629&gt;2,H629&gt;0,H629&lt;5)),"Médio",IF(OR(AND(J629=2,H629&gt;15),AND(J629&gt;2,H629&gt;4,H629&lt;16),AND(J629&gt;2,H629&gt;15)),"Complexo",""))), IF(OR(G629="CE",G629="SE"),IF(OR(AND(OR(J629=1,J629=0),H629&gt;0,H629&lt;6),AND(OR(J629=1,J629=0),H629&gt;5,H629&lt;20),AND(J629&gt;1,J629&lt;4,H629&gt;0,H629&lt;6)),"Simples",IF(OR(AND(OR(J629=1,J629=0),H629&gt;19),AND(J629&gt;1,J629&lt;4,H629&gt;5,H629&lt;20),AND(J629&gt;3,H629&gt;0,H629&lt;6)),"Médio",IF(OR(AND(J629&gt;1,J629&lt;4,H629&gt;19),AND(J629&gt;3,H629&gt;5,H629&lt;20),AND(J629&gt;3,H629&gt;19)),"Complexo",""))),""))</f>
        <v/>
      </c>
      <c r="M629" s="48" t="str">
        <f t="shared" ref="M629:M692" si="144">IF(G629="ALI",IF(OR(AND(OR(J629=1,J629=0),H629&gt;0,H629&lt;20),AND(OR(J629=1,J629=0),H629&gt;19,H629&lt;51),AND(J629&gt;1,J629&lt;6,H629&gt;0,H629&lt;20)),"Simples",IF(OR(AND(OR(J629=1,J629=0),H629&gt;50),AND(J629&gt;1,J629&lt;6,H629&gt;19,H629&lt;51),AND(J629&gt;5,H629&gt;0,H629&lt;20)),"Médio",IF(OR(AND(J629&gt;1,J629&lt;6,H629&gt;50),AND(J629&gt;5,H629&gt;19,H629&lt;51),AND(J629&gt;5,H629&gt;50)),"Complexo",""))), IF(G629="AIE",IF(OR(AND(OR(J629=1, J629=0),H629&gt;0,H629&lt;20),AND(OR(J629=1, J629=0),H629&gt;19,H629&lt;51),AND(J629&gt;1,J629&lt;6,H629&gt;0,H629&lt;20)),"Simples",IF(OR(AND(OR(J629=1, J629=0),H629&gt;50),AND(J629&gt;1,J629&lt;6,H629&gt;19,H629&lt;51),AND(J629&gt;5,H629&gt;0,H629&lt;20)),"Médio",IF(OR(AND(J629&gt;1,J629&lt;6,H629&gt;50),AND(J629&gt;5,H629&gt;19,H629&lt;51),AND(J629&gt;5,H629&gt;50)),"Complexo",""))),""))</f>
        <v/>
      </c>
      <c r="N629" s="54" t="str">
        <f t="shared" ref="N629:N692" si="145">IF(L629="",M629,IF(M629="",L629,""))</f>
        <v/>
      </c>
      <c r="O629" s="55">
        <f t="shared" ref="O629:O692" si="146">IF(AND(OR(G629="EE",G629="CE"),N629="Simples"),3, IF(AND(OR(G629="EE",G629="CE"),N629="Médio"),4, IF(AND(OR(G629="EE",G629="CE"),N629="Complexo"),6, IF(AND(G629="SE",N629="Simples"),4, IF(AND(G629="SE",N629="Médio"),5, IF(AND(G629="SE",N629="Complexo"),7,0))))))</f>
        <v>0</v>
      </c>
      <c r="P629" s="55">
        <f t="shared" ref="P629:P692" si="147">IF(AND(G629="ALI",M629="Simples"),7, IF(AND(G629="ALI",M629="Médio"),10, IF(AND(G629="ALI",M629="Complexo"),15, IF(AND(G629="AIE",M629="Simples"),5, IF(AND(G629="AIE",M629="Médio"),7, IF(AND(G629="AIE",M629="Complexo"),10,0))))))</f>
        <v>0</v>
      </c>
      <c r="Q629" s="54">
        <f t="shared" ref="Q629:Q692" si="148">IF(B629&lt;&gt;"Manutenção em interface",IF(B629&lt;&gt;"Desenv., Manutenção e Publicação de Páginas Estáticas",(O629+P629)*C629,C629),C629)</f>
        <v>0</v>
      </c>
      <c r="R629" s="47"/>
      <c r="T629" s="57"/>
      <c r="U629" s="45"/>
      <c r="V629" s="46">
        <f>IF(U629&lt;&gt;"",VLOOKUP(U629,'Tipo Projeto'!$A$3:$B$35,2,0),0)</f>
        <v>0</v>
      </c>
      <c r="W629" s="47"/>
      <c r="X629" s="49"/>
      <c r="Y629" s="50"/>
      <c r="Z629" s="51"/>
      <c r="AA629" s="52"/>
      <c r="AB629" s="53" t="str">
        <f t="shared" ref="AB629:AB692" si="149">IF(W629="EE",IF(OR(AND(OR(Z629=1,Z629=0),X629&gt;0,X629&lt;5),AND(OR(Z629=1,Z629=0),X629&gt;4,X629&lt;16),AND(Z629=2,X629&gt;0,X629&lt;5)),"Simples",IF(OR(AND(OR(Z629=1,Z629=0),X629&gt;15),AND(Z629=2,X629&gt;4,X629&lt;16),AND(Z629&gt;2,X629&gt;0,X629&lt;5)),"Médio",IF(OR(AND(Z629=2,X629&gt;15),AND(Z629&gt;2,X629&gt;4,X629&lt;16),AND(Z629&gt;2,X629&gt;15)),"Complexo",""))), IF(OR(W629="CE",W629="SE"),IF(OR(AND(OR(Z629=1,Z629=0),X629&gt;0,X629&lt;6),AND(OR(Z629=1,Z629=0),X629&gt;5,X629&lt;20),AND(Z629&gt;1,Z629&lt;4,X629&gt;0,X629&lt;6)),"Simples",IF(OR(AND(OR(Z629=1,Z629=0),X629&gt;19),AND(Z629&gt;1,Z629&lt;4,X629&gt;5,X629&lt;20),AND(Z629&gt;3,X629&gt;0,X629&lt;6)),"Médio",IF(OR(AND(Z629&gt;1,Z629&lt;4,X629&gt;19),AND(Z629&gt;3,X629&gt;5,X629&lt;20),AND(Z629&gt;3,X629&gt;19)),"Complexo",""))),""))</f>
        <v/>
      </c>
      <c r="AC629" s="48" t="str">
        <f t="shared" ref="AC629:AC692" si="150">IF(W629="ALI",IF(OR(AND(OR(Z629=1,Z629=0),X629&gt;0,X629&lt;20),AND(OR(Z629=1,Z629=0),X629&gt;19,X629&lt;51),AND(Z629&gt;1,Z629&lt;6,X629&gt;0,X629&lt;20)),"Simples",IF(OR(AND(OR(Z629=1,Z629=0),X629&gt;50),AND(Z629&gt;1,Z629&lt;6,X629&gt;19,X629&lt;51),AND(Z629&gt;5,X629&gt;0,X629&lt;20)),"Médio",IF(OR(AND(Z629&gt;1,Z629&lt;6,X629&gt;50),AND(Z629&gt;5,X629&gt;19,X629&lt;51),AND(Z629&gt;5,X629&gt;50)),"Complexo",""))), IF(W629="AIE",IF(OR(AND(OR(Z629=1, Z629=0),X629&gt;0,X629&lt;20),AND(OR(Z629=1, Z629=0),X629&gt;19,X629&lt;51),AND(Z629&gt;1,Z629&lt;6,X629&gt;0,X629&lt;20)),"Simples",IF(OR(AND(OR(Z629=1, Z629=0),X629&gt;50),AND(Z629&gt;1,Z629&lt;6,X629&gt;19,X629&lt;51),AND(Z629&gt;5,X629&gt;0,X629&lt;20)),"Médio",IF(OR(AND(Z629&gt;1,Z629&lt;6,X629&gt;50),AND(Z629&gt;5,X629&gt;19,X629&lt;51),AND(Z629&gt;5,X629&gt;50)),"Complexo",""))),""))</f>
        <v/>
      </c>
      <c r="AD629" s="54" t="str">
        <f t="shared" ref="AD629:AD692" si="151">IF(AB629="",AC629,IF(AC629="",AB629,""))</f>
        <v/>
      </c>
      <c r="AE629" s="55">
        <f t="shared" ref="AE629:AE692" si="152">IF(AND(OR(W629="EE",W629="CE"),AD629="Simples"),3, IF(AND(OR(W629="EE",W629="CE"),AD629="Médio"),4, IF(AND(OR(W629="EE",W629="CE"),AD629="Complexo"),6, IF(AND(W629="SE",AD629="Simples"),4, IF(AND(W629="SE",AD629="Médio"),5, IF(AND(W629="SE",AD629="Complexo"),7,0))))))</f>
        <v>0</v>
      </c>
      <c r="AF629" s="55">
        <f t="shared" ref="AF629:AF692" si="153">IF(AND(W629="ALI",AC629="Simples"),7, IF(AND(W629="ALI",AC629="Médio"),10, IF(AND(W629="ALI",AC629="Complexo"),15, IF(AND(W629="AIE",AC629="Simples"),5, IF(AND(W629="AIE",AC629="Médio"),7, IF(AND(W629="AIE",AC629="Complexo"),10,0))))))</f>
        <v>0</v>
      </c>
      <c r="AG629" s="58">
        <f t="shared" ref="AG629:AG692" si="154">IF(T629="OK",Q629,( IF(U629&lt;&gt;"Manutenção em interface",IF(U629&lt;&gt;"Desenv., Manutenção e Publicação de Páginas Estáticas",(AE629+AF629)*V629,V629),V629)))</f>
        <v>0</v>
      </c>
      <c r="AH629" s="47"/>
      <c r="AJ629" s="47"/>
      <c r="AL629" s="47"/>
      <c r="AM629" s="47" t="str">
        <f t="shared" ref="AM629:AM692" si="155">IF(AG629=0,"",IF(AG629=Q629,"OK","Divergente"))</f>
        <v/>
      </c>
    </row>
    <row r="630" spans="1:39" s="56" customFormat="1" ht="24.75" customHeight="1">
      <c r="A630" s="44"/>
      <c r="B630" s="45"/>
      <c r="C630" s="46">
        <f>IF(B630&lt;&gt;"",VLOOKUP(B630,'Tipo Projeto'!$A$3:$B$35,2,0),0)</f>
        <v>0</v>
      </c>
      <c r="D630" s="47"/>
      <c r="E630" s="47"/>
      <c r="F630" s="48"/>
      <c r="G630" s="47"/>
      <c r="H630" s="49"/>
      <c r="I630" s="50"/>
      <c r="J630" s="51"/>
      <c r="K630" s="52"/>
      <c r="L630" s="53" t="str">
        <f t="shared" si="143"/>
        <v/>
      </c>
      <c r="M630" s="48" t="str">
        <f t="shared" si="144"/>
        <v/>
      </c>
      <c r="N630" s="54" t="str">
        <f t="shared" si="145"/>
        <v/>
      </c>
      <c r="O630" s="55">
        <f t="shared" si="146"/>
        <v>0</v>
      </c>
      <c r="P630" s="55">
        <f t="shared" si="147"/>
        <v>0</v>
      </c>
      <c r="Q630" s="54">
        <f t="shared" si="148"/>
        <v>0</v>
      </c>
      <c r="R630" s="47"/>
      <c r="T630" s="57"/>
      <c r="U630" s="45"/>
      <c r="V630" s="46">
        <f>IF(U630&lt;&gt;"",VLOOKUP(U630,'Tipo Projeto'!$A$3:$B$35,2,0),0)</f>
        <v>0</v>
      </c>
      <c r="W630" s="47"/>
      <c r="X630" s="49"/>
      <c r="Y630" s="50"/>
      <c r="Z630" s="51"/>
      <c r="AA630" s="52"/>
      <c r="AB630" s="53" t="str">
        <f t="shared" si="149"/>
        <v/>
      </c>
      <c r="AC630" s="48" t="str">
        <f t="shared" si="150"/>
        <v/>
      </c>
      <c r="AD630" s="54" t="str">
        <f t="shared" si="151"/>
        <v/>
      </c>
      <c r="AE630" s="55">
        <f t="shared" si="152"/>
        <v>0</v>
      </c>
      <c r="AF630" s="55">
        <f t="shared" si="153"/>
        <v>0</v>
      </c>
      <c r="AG630" s="58">
        <f t="shared" si="154"/>
        <v>0</v>
      </c>
      <c r="AH630" s="47"/>
      <c r="AJ630" s="47"/>
      <c r="AL630" s="47"/>
      <c r="AM630" s="47" t="str">
        <f t="shared" si="155"/>
        <v/>
      </c>
    </row>
    <row r="631" spans="1:39" s="56" customFormat="1" ht="24.75" customHeight="1">
      <c r="A631" s="44"/>
      <c r="B631" s="45"/>
      <c r="C631" s="46">
        <f>IF(B631&lt;&gt;"",VLOOKUP(B631,'Tipo Projeto'!$A$3:$B$35,2,0),0)</f>
        <v>0</v>
      </c>
      <c r="D631" s="47"/>
      <c r="E631" s="47"/>
      <c r="F631" s="48"/>
      <c r="G631" s="47"/>
      <c r="H631" s="49"/>
      <c r="I631" s="50"/>
      <c r="J631" s="51"/>
      <c r="K631" s="52"/>
      <c r="L631" s="53" t="str">
        <f t="shared" si="143"/>
        <v/>
      </c>
      <c r="M631" s="48" t="str">
        <f t="shared" si="144"/>
        <v/>
      </c>
      <c r="N631" s="54" t="str">
        <f t="shared" si="145"/>
        <v/>
      </c>
      <c r="O631" s="55">
        <f t="shared" si="146"/>
        <v>0</v>
      </c>
      <c r="P631" s="55">
        <f t="shared" si="147"/>
        <v>0</v>
      </c>
      <c r="Q631" s="54">
        <f t="shared" si="148"/>
        <v>0</v>
      </c>
      <c r="R631" s="47"/>
      <c r="T631" s="57"/>
      <c r="U631" s="45"/>
      <c r="V631" s="46">
        <f>IF(U631&lt;&gt;"",VLOOKUP(U631,'Tipo Projeto'!$A$3:$B$35,2,0),0)</f>
        <v>0</v>
      </c>
      <c r="W631" s="47"/>
      <c r="X631" s="49"/>
      <c r="Y631" s="50"/>
      <c r="Z631" s="51"/>
      <c r="AA631" s="52"/>
      <c r="AB631" s="53" t="str">
        <f t="shared" si="149"/>
        <v/>
      </c>
      <c r="AC631" s="48" t="str">
        <f t="shared" si="150"/>
        <v/>
      </c>
      <c r="AD631" s="54" t="str">
        <f t="shared" si="151"/>
        <v/>
      </c>
      <c r="AE631" s="55">
        <f t="shared" si="152"/>
        <v>0</v>
      </c>
      <c r="AF631" s="55">
        <f t="shared" si="153"/>
        <v>0</v>
      </c>
      <c r="AG631" s="58">
        <f t="shared" si="154"/>
        <v>0</v>
      </c>
      <c r="AH631" s="47"/>
      <c r="AJ631" s="47"/>
      <c r="AL631" s="47"/>
      <c r="AM631" s="47" t="str">
        <f t="shared" si="155"/>
        <v/>
      </c>
    </row>
    <row r="632" spans="1:39" s="56" customFormat="1" ht="24.75" customHeight="1">
      <c r="A632" s="44"/>
      <c r="B632" s="45"/>
      <c r="C632" s="46">
        <f>IF(B632&lt;&gt;"",VLOOKUP(B632,'Tipo Projeto'!$A$3:$B$35,2,0),0)</f>
        <v>0</v>
      </c>
      <c r="D632" s="47"/>
      <c r="E632" s="47"/>
      <c r="F632" s="48"/>
      <c r="G632" s="47"/>
      <c r="H632" s="49"/>
      <c r="I632" s="50"/>
      <c r="J632" s="51"/>
      <c r="K632" s="52"/>
      <c r="L632" s="53" t="str">
        <f t="shared" si="143"/>
        <v/>
      </c>
      <c r="M632" s="48" t="str">
        <f t="shared" si="144"/>
        <v/>
      </c>
      <c r="N632" s="54" t="str">
        <f t="shared" si="145"/>
        <v/>
      </c>
      <c r="O632" s="55">
        <f t="shared" si="146"/>
        <v>0</v>
      </c>
      <c r="P632" s="55">
        <f t="shared" si="147"/>
        <v>0</v>
      </c>
      <c r="Q632" s="54">
        <f t="shared" si="148"/>
        <v>0</v>
      </c>
      <c r="R632" s="47"/>
      <c r="T632" s="57"/>
      <c r="U632" s="45"/>
      <c r="V632" s="46">
        <f>IF(U632&lt;&gt;"",VLOOKUP(U632,'Tipo Projeto'!$A$3:$B$35,2,0),0)</f>
        <v>0</v>
      </c>
      <c r="W632" s="47"/>
      <c r="X632" s="49"/>
      <c r="Y632" s="50"/>
      <c r="Z632" s="51"/>
      <c r="AA632" s="52"/>
      <c r="AB632" s="53" t="str">
        <f t="shared" si="149"/>
        <v/>
      </c>
      <c r="AC632" s="48" t="str">
        <f t="shared" si="150"/>
        <v/>
      </c>
      <c r="AD632" s="54" t="str">
        <f t="shared" si="151"/>
        <v/>
      </c>
      <c r="AE632" s="55">
        <f t="shared" si="152"/>
        <v>0</v>
      </c>
      <c r="AF632" s="55">
        <f t="shared" si="153"/>
        <v>0</v>
      </c>
      <c r="AG632" s="58">
        <f t="shared" si="154"/>
        <v>0</v>
      </c>
      <c r="AH632" s="47"/>
      <c r="AJ632" s="47"/>
      <c r="AL632" s="47"/>
      <c r="AM632" s="47" t="str">
        <f t="shared" si="155"/>
        <v/>
      </c>
    </row>
    <row r="633" spans="1:39" s="56" customFormat="1" ht="24.75" customHeight="1">
      <c r="A633" s="44"/>
      <c r="B633" s="45"/>
      <c r="C633" s="46">
        <f>IF(B633&lt;&gt;"",VLOOKUP(B633,'Tipo Projeto'!$A$3:$B$35,2,0),0)</f>
        <v>0</v>
      </c>
      <c r="D633" s="47"/>
      <c r="E633" s="47"/>
      <c r="F633" s="48"/>
      <c r="G633" s="47"/>
      <c r="H633" s="49"/>
      <c r="I633" s="50"/>
      <c r="J633" s="51"/>
      <c r="K633" s="52"/>
      <c r="L633" s="53" t="str">
        <f t="shared" si="143"/>
        <v/>
      </c>
      <c r="M633" s="48" t="str">
        <f t="shared" si="144"/>
        <v/>
      </c>
      <c r="N633" s="54" t="str">
        <f t="shared" si="145"/>
        <v/>
      </c>
      <c r="O633" s="55">
        <f t="shared" si="146"/>
        <v>0</v>
      </c>
      <c r="P633" s="55">
        <f t="shared" si="147"/>
        <v>0</v>
      </c>
      <c r="Q633" s="54">
        <f t="shared" si="148"/>
        <v>0</v>
      </c>
      <c r="R633" s="47"/>
      <c r="T633" s="57"/>
      <c r="U633" s="45"/>
      <c r="V633" s="46">
        <f>IF(U633&lt;&gt;"",VLOOKUP(U633,'Tipo Projeto'!$A$3:$B$35,2,0),0)</f>
        <v>0</v>
      </c>
      <c r="W633" s="47"/>
      <c r="X633" s="49"/>
      <c r="Y633" s="50"/>
      <c r="Z633" s="51"/>
      <c r="AA633" s="52"/>
      <c r="AB633" s="53" t="str">
        <f t="shared" si="149"/>
        <v/>
      </c>
      <c r="AC633" s="48" t="str">
        <f t="shared" si="150"/>
        <v/>
      </c>
      <c r="AD633" s="54" t="str">
        <f t="shared" si="151"/>
        <v/>
      </c>
      <c r="AE633" s="55">
        <f t="shared" si="152"/>
        <v>0</v>
      </c>
      <c r="AF633" s="55">
        <f t="shared" si="153"/>
        <v>0</v>
      </c>
      <c r="AG633" s="58">
        <f t="shared" si="154"/>
        <v>0</v>
      </c>
      <c r="AH633" s="47"/>
      <c r="AJ633" s="47"/>
      <c r="AL633" s="47"/>
      <c r="AM633" s="47" t="str">
        <f t="shared" si="155"/>
        <v/>
      </c>
    </row>
    <row r="634" spans="1:39" s="56" customFormat="1" ht="24.75" customHeight="1">
      <c r="A634" s="44"/>
      <c r="B634" s="45"/>
      <c r="C634" s="46">
        <f>IF(B634&lt;&gt;"",VLOOKUP(B634,'Tipo Projeto'!$A$3:$B$35,2,0),0)</f>
        <v>0</v>
      </c>
      <c r="D634" s="47"/>
      <c r="E634" s="47"/>
      <c r="F634" s="48"/>
      <c r="G634" s="47"/>
      <c r="H634" s="49"/>
      <c r="I634" s="50"/>
      <c r="J634" s="51"/>
      <c r="K634" s="52"/>
      <c r="L634" s="53" t="str">
        <f t="shared" si="143"/>
        <v/>
      </c>
      <c r="M634" s="48" t="str">
        <f t="shared" si="144"/>
        <v/>
      </c>
      <c r="N634" s="54" t="str">
        <f t="shared" si="145"/>
        <v/>
      </c>
      <c r="O634" s="55">
        <f t="shared" si="146"/>
        <v>0</v>
      </c>
      <c r="P634" s="55">
        <f t="shared" si="147"/>
        <v>0</v>
      </c>
      <c r="Q634" s="54">
        <f t="shared" si="148"/>
        <v>0</v>
      </c>
      <c r="R634" s="47"/>
      <c r="T634" s="57"/>
      <c r="U634" s="45"/>
      <c r="V634" s="46">
        <f>IF(U634&lt;&gt;"",VLOOKUP(U634,'Tipo Projeto'!$A$3:$B$35,2,0),0)</f>
        <v>0</v>
      </c>
      <c r="W634" s="47"/>
      <c r="X634" s="49"/>
      <c r="Y634" s="50"/>
      <c r="Z634" s="51"/>
      <c r="AA634" s="52"/>
      <c r="AB634" s="53" t="str">
        <f t="shared" si="149"/>
        <v/>
      </c>
      <c r="AC634" s="48" t="str">
        <f t="shared" si="150"/>
        <v/>
      </c>
      <c r="AD634" s="54" t="str">
        <f t="shared" si="151"/>
        <v/>
      </c>
      <c r="AE634" s="55">
        <f t="shared" si="152"/>
        <v>0</v>
      </c>
      <c r="AF634" s="55">
        <f t="shared" si="153"/>
        <v>0</v>
      </c>
      <c r="AG634" s="58">
        <f t="shared" si="154"/>
        <v>0</v>
      </c>
      <c r="AH634" s="47"/>
      <c r="AJ634" s="47"/>
      <c r="AL634" s="47"/>
      <c r="AM634" s="47" t="str">
        <f t="shared" si="155"/>
        <v/>
      </c>
    </row>
    <row r="635" spans="1:39" s="56" customFormat="1" ht="24.75" customHeight="1">
      <c r="A635" s="44"/>
      <c r="B635" s="45"/>
      <c r="C635" s="46">
        <f>IF(B635&lt;&gt;"",VLOOKUP(B635,'Tipo Projeto'!$A$3:$B$35,2,0),0)</f>
        <v>0</v>
      </c>
      <c r="D635" s="47"/>
      <c r="E635" s="47"/>
      <c r="F635" s="48"/>
      <c r="G635" s="47"/>
      <c r="H635" s="49"/>
      <c r="I635" s="50"/>
      <c r="J635" s="51"/>
      <c r="K635" s="52"/>
      <c r="L635" s="53" t="str">
        <f t="shared" si="143"/>
        <v/>
      </c>
      <c r="M635" s="48" t="str">
        <f t="shared" si="144"/>
        <v/>
      </c>
      <c r="N635" s="54" t="str">
        <f t="shared" si="145"/>
        <v/>
      </c>
      <c r="O635" s="55">
        <f t="shared" si="146"/>
        <v>0</v>
      </c>
      <c r="P635" s="55">
        <f t="shared" si="147"/>
        <v>0</v>
      </c>
      <c r="Q635" s="54">
        <f t="shared" si="148"/>
        <v>0</v>
      </c>
      <c r="R635" s="47"/>
      <c r="T635" s="57"/>
      <c r="U635" s="45"/>
      <c r="V635" s="46">
        <f>IF(U635&lt;&gt;"",VLOOKUP(U635,'Tipo Projeto'!$A$3:$B$35,2,0),0)</f>
        <v>0</v>
      </c>
      <c r="W635" s="47"/>
      <c r="X635" s="49"/>
      <c r="Y635" s="50"/>
      <c r="Z635" s="51"/>
      <c r="AA635" s="52"/>
      <c r="AB635" s="53" t="str">
        <f t="shared" si="149"/>
        <v/>
      </c>
      <c r="AC635" s="48" t="str">
        <f t="shared" si="150"/>
        <v/>
      </c>
      <c r="AD635" s="54" t="str">
        <f t="shared" si="151"/>
        <v/>
      </c>
      <c r="AE635" s="55">
        <f t="shared" si="152"/>
        <v>0</v>
      </c>
      <c r="AF635" s="55">
        <f t="shared" si="153"/>
        <v>0</v>
      </c>
      <c r="AG635" s="58">
        <f t="shared" si="154"/>
        <v>0</v>
      </c>
      <c r="AH635" s="47"/>
      <c r="AJ635" s="47"/>
      <c r="AL635" s="47"/>
      <c r="AM635" s="47" t="str">
        <f t="shared" si="155"/>
        <v/>
      </c>
    </row>
    <row r="636" spans="1:39" s="56" customFormat="1" ht="24.75" customHeight="1">
      <c r="A636" s="44"/>
      <c r="B636" s="45"/>
      <c r="C636" s="46">
        <f>IF(B636&lt;&gt;"",VLOOKUP(B636,'Tipo Projeto'!$A$3:$B$35,2,0),0)</f>
        <v>0</v>
      </c>
      <c r="D636" s="47"/>
      <c r="E636" s="47"/>
      <c r="F636" s="48"/>
      <c r="G636" s="47"/>
      <c r="H636" s="49"/>
      <c r="I636" s="50"/>
      <c r="J636" s="51"/>
      <c r="K636" s="52"/>
      <c r="L636" s="53" t="str">
        <f t="shared" si="143"/>
        <v/>
      </c>
      <c r="M636" s="48" t="str">
        <f t="shared" si="144"/>
        <v/>
      </c>
      <c r="N636" s="54" t="str">
        <f t="shared" si="145"/>
        <v/>
      </c>
      <c r="O636" s="55">
        <f t="shared" si="146"/>
        <v>0</v>
      </c>
      <c r="P636" s="55">
        <f t="shared" si="147"/>
        <v>0</v>
      </c>
      <c r="Q636" s="54">
        <f t="shared" si="148"/>
        <v>0</v>
      </c>
      <c r="R636" s="47"/>
      <c r="T636" s="57"/>
      <c r="U636" s="45"/>
      <c r="V636" s="46">
        <f>IF(U636&lt;&gt;"",VLOOKUP(U636,'Tipo Projeto'!$A$3:$B$35,2,0),0)</f>
        <v>0</v>
      </c>
      <c r="W636" s="47"/>
      <c r="X636" s="49"/>
      <c r="Y636" s="50"/>
      <c r="Z636" s="51"/>
      <c r="AA636" s="52"/>
      <c r="AB636" s="53" t="str">
        <f t="shared" si="149"/>
        <v/>
      </c>
      <c r="AC636" s="48" t="str">
        <f t="shared" si="150"/>
        <v/>
      </c>
      <c r="AD636" s="54" t="str">
        <f t="shared" si="151"/>
        <v/>
      </c>
      <c r="AE636" s="55">
        <f t="shared" si="152"/>
        <v>0</v>
      </c>
      <c r="AF636" s="55">
        <f t="shared" si="153"/>
        <v>0</v>
      </c>
      <c r="AG636" s="58">
        <f t="shared" si="154"/>
        <v>0</v>
      </c>
      <c r="AH636" s="47"/>
      <c r="AJ636" s="47"/>
      <c r="AL636" s="47"/>
      <c r="AM636" s="47" t="str">
        <f t="shared" si="155"/>
        <v/>
      </c>
    </row>
    <row r="637" spans="1:39" s="56" customFormat="1" ht="24.75" customHeight="1">
      <c r="A637" s="44"/>
      <c r="B637" s="45"/>
      <c r="C637" s="46">
        <f>IF(B637&lt;&gt;"",VLOOKUP(B637,'Tipo Projeto'!$A$3:$B$35,2,0),0)</f>
        <v>0</v>
      </c>
      <c r="D637" s="47"/>
      <c r="E637" s="47"/>
      <c r="F637" s="48"/>
      <c r="G637" s="47"/>
      <c r="H637" s="49"/>
      <c r="I637" s="50"/>
      <c r="J637" s="51"/>
      <c r="K637" s="52"/>
      <c r="L637" s="53" t="str">
        <f t="shared" si="143"/>
        <v/>
      </c>
      <c r="M637" s="48" t="str">
        <f t="shared" si="144"/>
        <v/>
      </c>
      <c r="N637" s="54" t="str">
        <f t="shared" si="145"/>
        <v/>
      </c>
      <c r="O637" s="55">
        <f t="shared" si="146"/>
        <v>0</v>
      </c>
      <c r="P637" s="55">
        <f t="shared" si="147"/>
        <v>0</v>
      </c>
      <c r="Q637" s="54">
        <f t="shared" si="148"/>
        <v>0</v>
      </c>
      <c r="R637" s="47"/>
      <c r="T637" s="57"/>
      <c r="U637" s="45"/>
      <c r="V637" s="46">
        <f>IF(U637&lt;&gt;"",VLOOKUP(U637,'Tipo Projeto'!$A$3:$B$35,2,0),0)</f>
        <v>0</v>
      </c>
      <c r="W637" s="47"/>
      <c r="X637" s="49"/>
      <c r="Y637" s="50"/>
      <c r="Z637" s="51"/>
      <c r="AA637" s="52"/>
      <c r="AB637" s="53" t="str">
        <f t="shared" si="149"/>
        <v/>
      </c>
      <c r="AC637" s="48" t="str">
        <f t="shared" si="150"/>
        <v/>
      </c>
      <c r="AD637" s="54" t="str">
        <f t="shared" si="151"/>
        <v/>
      </c>
      <c r="AE637" s="55">
        <f t="shared" si="152"/>
        <v>0</v>
      </c>
      <c r="AF637" s="55">
        <f t="shared" si="153"/>
        <v>0</v>
      </c>
      <c r="AG637" s="58">
        <f t="shared" si="154"/>
        <v>0</v>
      </c>
      <c r="AH637" s="47"/>
      <c r="AJ637" s="47"/>
      <c r="AL637" s="47"/>
      <c r="AM637" s="47" t="str">
        <f t="shared" si="155"/>
        <v/>
      </c>
    </row>
    <row r="638" spans="1:39" s="56" customFormat="1" ht="24.75" customHeight="1">
      <c r="A638" s="44"/>
      <c r="B638" s="45"/>
      <c r="C638" s="46">
        <f>IF(B638&lt;&gt;"",VLOOKUP(B638,'Tipo Projeto'!$A$3:$B$35,2,0),0)</f>
        <v>0</v>
      </c>
      <c r="D638" s="47"/>
      <c r="E638" s="47"/>
      <c r="F638" s="48"/>
      <c r="G638" s="47"/>
      <c r="H638" s="49"/>
      <c r="I638" s="50"/>
      <c r="J638" s="51"/>
      <c r="K638" s="52"/>
      <c r="L638" s="53" t="str">
        <f t="shared" si="143"/>
        <v/>
      </c>
      <c r="M638" s="48" t="str">
        <f t="shared" si="144"/>
        <v/>
      </c>
      <c r="N638" s="54" t="str">
        <f t="shared" si="145"/>
        <v/>
      </c>
      <c r="O638" s="55">
        <f t="shared" si="146"/>
        <v>0</v>
      </c>
      <c r="P638" s="55">
        <f t="shared" si="147"/>
        <v>0</v>
      </c>
      <c r="Q638" s="54">
        <f t="shared" si="148"/>
        <v>0</v>
      </c>
      <c r="R638" s="47"/>
      <c r="T638" s="57"/>
      <c r="U638" s="45"/>
      <c r="V638" s="46">
        <f>IF(U638&lt;&gt;"",VLOOKUP(U638,'Tipo Projeto'!$A$3:$B$35,2,0),0)</f>
        <v>0</v>
      </c>
      <c r="W638" s="47"/>
      <c r="X638" s="49"/>
      <c r="Y638" s="50"/>
      <c r="Z638" s="51"/>
      <c r="AA638" s="52"/>
      <c r="AB638" s="53" t="str">
        <f t="shared" si="149"/>
        <v/>
      </c>
      <c r="AC638" s="48" t="str">
        <f t="shared" si="150"/>
        <v/>
      </c>
      <c r="AD638" s="54" t="str">
        <f t="shared" si="151"/>
        <v/>
      </c>
      <c r="AE638" s="55">
        <f t="shared" si="152"/>
        <v>0</v>
      </c>
      <c r="AF638" s="55">
        <f t="shared" si="153"/>
        <v>0</v>
      </c>
      <c r="AG638" s="58">
        <f t="shared" si="154"/>
        <v>0</v>
      </c>
      <c r="AH638" s="47"/>
      <c r="AJ638" s="47"/>
      <c r="AL638" s="47"/>
      <c r="AM638" s="47" t="str">
        <f t="shared" si="155"/>
        <v/>
      </c>
    </row>
    <row r="639" spans="1:39" s="56" customFormat="1" ht="24.75" customHeight="1">
      <c r="A639" s="44"/>
      <c r="B639" s="45"/>
      <c r="C639" s="46">
        <f>IF(B639&lt;&gt;"",VLOOKUP(B639,'Tipo Projeto'!$A$3:$B$35,2,0),0)</f>
        <v>0</v>
      </c>
      <c r="D639" s="47"/>
      <c r="E639" s="47"/>
      <c r="F639" s="48"/>
      <c r="G639" s="47"/>
      <c r="H639" s="49"/>
      <c r="I639" s="50"/>
      <c r="J639" s="51"/>
      <c r="K639" s="52"/>
      <c r="L639" s="53" t="str">
        <f t="shared" si="143"/>
        <v/>
      </c>
      <c r="M639" s="48" t="str">
        <f t="shared" si="144"/>
        <v/>
      </c>
      <c r="N639" s="54" t="str">
        <f t="shared" si="145"/>
        <v/>
      </c>
      <c r="O639" s="55">
        <f t="shared" si="146"/>
        <v>0</v>
      </c>
      <c r="P639" s="55">
        <f t="shared" si="147"/>
        <v>0</v>
      </c>
      <c r="Q639" s="54">
        <f t="shared" si="148"/>
        <v>0</v>
      </c>
      <c r="R639" s="47"/>
      <c r="T639" s="57"/>
      <c r="U639" s="45"/>
      <c r="V639" s="46">
        <f>IF(U639&lt;&gt;"",VLOOKUP(U639,'Tipo Projeto'!$A$3:$B$35,2,0),0)</f>
        <v>0</v>
      </c>
      <c r="W639" s="47"/>
      <c r="X639" s="49"/>
      <c r="Y639" s="50"/>
      <c r="Z639" s="51"/>
      <c r="AA639" s="52"/>
      <c r="AB639" s="53" t="str">
        <f t="shared" si="149"/>
        <v/>
      </c>
      <c r="AC639" s="48" t="str">
        <f t="shared" si="150"/>
        <v/>
      </c>
      <c r="AD639" s="54" t="str">
        <f t="shared" si="151"/>
        <v/>
      </c>
      <c r="AE639" s="55">
        <f t="shared" si="152"/>
        <v>0</v>
      </c>
      <c r="AF639" s="55">
        <f t="shared" si="153"/>
        <v>0</v>
      </c>
      <c r="AG639" s="58">
        <f t="shared" si="154"/>
        <v>0</v>
      </c>
      <c r="AH639" s="47"/>
      <c r="AJ639" s="47"/>
      <c r="AL639" s="47"/>
      <c r="AM639" s="47" t="str">
        <f t="shared" si="155"/>
        <v/>
      </c>
    </row>
    <row r="640" spans="1:39" s="56" customFormat="1" ht="24.75" customHeight="1">
      <c r="A640" s="44"/>
      <c r="B640" s="45"/>
      <c r="C640" s="46">
        <f>IF(B640&lt;&gt;"",VLOOKUP(B640,'Tipo Projeto'!$A$3:$B$35,2,0),0)</f>
        <v>0</v>
      </c>
      <c r="D640" s="47"/>
      <c r="E640" s="47"/>
      <c r="F640" s="48"/>
      <c r="G640" s="47"/>
      <c r="H640" s="49"/>
      <c r="I640" s="50"/>
      <c r="J640" s="51"/>
      <c r="K640" s="52"/>
      <c r="L640" s="53" t="str">
        <f t="shared" si="143"/>
        <v/>
      </c>
      <c r="M640" s="48" t="str">
        <f t="shared" si="144"/>
        <v/>
      </c>
      <c r="N640" s="54" t="str">
        <f t="shared" si="145"/>
        <v/>
      </c>
      <c r="O640" s="55">
        <f t="shared" si="146"/>
        <v>0</v>
      </c>
      <c r="P640" s="55">
        <f t="shared" si="147"/>
        <v>0</v>
      </c>
      <c r="Q640" s="54">
        <f t="shared" si="148"/>
        <v>0</v>
      </c>
      <c r="R640" s="47"/>
      <c r="T640" s="57"/>
      <c r="U640" s="45"/>
      <c r="V640" s="46">
        <f>IF(U640&lt;&gt;"",VLOOKUP(U640,'Tipo Projeto'!$A$3:$B$35,2,0),0)</f>
        <v>0</v>
      </c>
      <c r="W640" s="47"/>
      <c r="X640" s="49"/>
      <c r="Y640" s="50"/>
      <c r="Z640" s="51"/>
      <c r="AA640" s="52"/>
      <c r="AB640" s="53" t="str">
        <f t="shared" si="149"/>
        <v/>
      </c>
      <c r="AC640" s="48" t="str">
        <f t="shared" si="150"/>
        <v/>
      </c>
      <c r="AD640" s="54" t="str">
        <f t="shared" si="151"/>
        <v/>
      </c>
      <c r="AE640" s="55">
        <f t="shared" si="152"/>
        <v>0</v>
      </c>
      <c r="AF640" s="55">
        <f t="shared" si="153"/>
        <v>0</v>
      </c>
      <c r="AG640" s="58">
        <f t="shared" si="154"/>
        <v>0</v>
      </c>
      <c r="AH640" s="47"/>
      <c r="AJ640" s="47"/>
      <c r="AL640" s="47"/>
      <c r="AM640" s="47" t="str">
        <f t="shared" si="155"/>
        <v/>
      </c>
    </row>
    <row r="641" spans="1:39" s="56" customFormat="1" ht="24.75" customHeight="1">
      <c r="A641" s="44"/>
      <c r="B641" s="45"/>
      <c r="C641" s="46">
        <f>IF(B641&lt;&gt;"",VLOOKUP(B641,'Tipo Projeto'!$A$3:$B$35,2,0),0)</f>
        <v>0</v>
      </c>
      <c r="D641" s="47"/>
      <c r="E641" s="47"/>
      <c r="F641" s="48"/>
      <c r="G641" s="47"/>
      <c r="H641" s="49"/>
      <c r="I641" s="50"/>
      <c r="J641" s="51"/>
      <c r="K641" s="52"/>
      <c r="L641" s="53" t="str">
        <f t="shared" si="143"/>
        <v/>
      </c>
      <c r="M641" s="48" t="str">
        <f t="shared" si="144"/>
        <v/>
      </c>
      <c r="N641" s="54" t="str">
        <f t="shared" si="145"/>
        <v/>
      </c>
      <c r="O641" s="55">
        <f t="shared" si="146"/>
        <v>0</v>
      </c>
      <c r="P641" s="55">
        <f t="shared" si="147"/>
        <v>0</v>
      </c>
      <c r="Q641" s="54">
        <f t="shared" si="148"/>
        <v>0</v>
      </c>
      <c r="R641" s="47"/>
      <c r="T641" s="57"/>
      <c r="U641" s="45"/>
      <c r="V641" s="46">
        <f>IF(U641&lt;&gt;"",VLOOKUP(U641,'Tipo Projeto'!$A$3:$B$35,2,0),0)</f>
        <v>0</v>
      </c>
      <c r="W641" s="47"/>
      <c r="X641" s="49"/>
      <c r="Y641" s="50"/>
      <c r="Z641" s="51"/>
      <c r="AA641" s="52"/>
      <c r="AB641" s="53" t="str">
        <f t="shared" si="149"/>
        <v/>
      </c>
      <c r="AC641" s="48" t="str">
        <f t="shared" si="150"/>
        <v/>
      </c>
      <c r="AD641" s="54" t="str">
        <f t="shared" si="151"/>
        <v/>
      </c>
      <c r="AE641" s="55">
        <f t="shared" si="152"/>
        <v>0</v>
      </c>
      <c r="AF641" s="55">
        <f t="shared" si="153"/>
        <v>0</v>
      </c>
      <c r="AG641" s="58">
        <f t="shared" si="154"/>
        <v>0</v>
      </c>
      <c r="AH641" s="47"/>
      <c r="AJ641" s="47"/>
      <c r="AL641" s="47"/>
      <c r="AM641" s="47" t="str">
        <f t="shared" si="155"/>
        <v/>
      </c>
    </row>
    <row r="642" spans="1:39" s="56" customFormat="1" ht="24.75" customHeight="1">
      <c r="A642" s="44"/>
      <c r="B642" s="45"/>
      <c r="C642" s="46">
        <f>IF(B642&lt;&gt;"",VLOOKUP(B642,'Tipo Projeto'!$A$3:$B$35,2,0),0)</f>
        <v>0</v>
      </c>
      <c r="D642" s="47"/>
      <c r="E642" s="47"/>
      <c r="F642" s="48"/>
      <c r="G642" s="47"/>
      <c r="H642" s="49"/>
      <c r="I642" s="50"/>
      <c r="J642" s="51"/>
      <c r="K642" s="52"/>
      <c r="L642" s="53" t="str">
        <f t="shared" si="143"/>
        <v/>
      </c>
      <c r="M642" s="48" t="str">
        <f t="shared" si="144"/>
        <v/>
      </c>
      <c r="N642" s="54" t="str">
        <f t="shared" si="145"/>
        <v/>
      </c>
      <c r="O642" s="55">
        <f t="shared" si="146"/>
        <v>0</v>
      </c>
      <c r="P642" s="55">
        <f t="shared" si="147"/>
        <v>0</v>
      </c>
      <c r="Q642" s="54">
        <f t="shared" si="148"/>
        <v>0</v>
      </c>
      <c r="R642" s="47"/>
      <c r="T642" s="57"/>
      <c r="U642" s="45"/>
      <c r="V642" s="46">
        <f>IF(U642&lt;&gt;"",VLOOKUP(U642,'Tipo Projeto'!$A$3:$B$35,2,0),0)</f>
        <v>0</v>
      </c>
      <c r="W642" s="47"/>
      <c r="X642" s="49"/>
      <c r="Y642" s="50"/>
      <c r="Z642" s="51"/>
      <c r="AA642" s="52"/>
      <c r="AB642" s="53" t="str">
        <f t="shared" si="149"/>
        <v/>
      </c>
      <c r="AC642" s="48" t="str">
        <f t="shared" si="150"/>
        <v/>
      </c>
      <c r="AD642" s="54" t="str">
        <f t="shared" si="151"/>
        <v/>
      </c>
      <c r="AE642" s="55">
        <f t="shared" si="152"/>
        <v>0</v>
      </c>
      <c r="AF642" s="55">
        <f t="shared" si="153"/>
        <v>0</v>
      </c>
      <c r="AG642" s="58">
        <f t="shared" si="154"/>
        <v>0</v>
      </c>
      <c r="AH642" s="47"/>
      <c r="AJ642" s="47"/>
      <c r="AL642" s="47"/>
      <c r="AM642" s="47" t="str">
        <f t="shared" si="155"/>
        <v/>
      </c>
    </row>
    <row r="643" spans="1:39" s="56" customFormat="1" ht="24.75" customHeight="1">
      <c r="A643" s="44"/>
      <c r="B643" s="45"/>
      <c r="C643" s="46">
        <f>IF(B643&lt;&gt;"",VLOOKUP(B643,'Tipo Projeto'!$A$3:$B$35,2,0),0)</f>
        <v>0</v>
      </c>
      <c r="D643" s="47"/>
      <c r="E643" s="47"/>
      <c r="F643" s="48"/>
      <c r="G643" s="47"/>
      <c r="H643" s="49"/>
      <c r="I643" s="50"/>
      <c r="J643" s="51"/>
      <c r="K643" s="52"/>
      <c r="L643" s="53" t="str">
        <f t="shared" si="143"/>
        <v/>
      </c>
      <c r="M643" s="48" t="str">
        <f t="shared" si="144"/>
        <v/>
      </c>
      <c r="N643" s="54" t="str">
        <f t="shared" si="145"/>
        <v/>
      </c>
      <c r="O643" s="55">
        <f t="shared" si="146"/>
        <v>0</v>
      </c>
      <c r="P643" s="55">
        <f t="shared" si="147"/>
        <v>0</v>
      </c>
      <c r="Q643" s="54">
        <f t="shared" si="148"/>
        <v>0</v>
      </c>
      <c r="R643" s="47"/>
      <c r="T643" s="57"/>
      <c r="U643" s="45"/>
      <c r="V643" s="46">
        <f>IF(U643&lt;&gt;"",VLOOKUP(U643,'Tipo Projeto'!$A$3:$B$35,2,0),0)</f>
        <v>0</v>
      </c>
      <c r="W643" s="47"/>
      <c r="X643" s="49"/>
      <c r="Y643" s="50"/>
      <c r="Z643" s="51"/>
      <c r="AA643" s="52"/>
      <c r="AB643" s="53" t="str">
        <f t="shared" si="149"/>
        <v/>
      </c>
      <c r="AC643" s="48" t="str">
        <f t="shared" si="150"/>
        <v/>
      </c>
      <c r="AD643" s="54" t="str">
        <f t="shared" si="151"/>
        <v/>
      </c>
      <c r="AE643" s="55">
        <f t="shared" si="152"/>
        <v>0</v>
      </c>
      <c r="AF643" s="55">
        <f t="shared" si="153"/>
        <v>0</v>
      </c>
      <c r="AG643" s="58">
        <f t="shared" si="154"/>
        <v>0</v>
      </c>
      <c r="AH643" s="47"/>
      <c r="AJ643" s="47"/>
      <c r="AL643" s="47"/>
      <c r="AM643" s="47" t="str">
        <f t="shared" si="155"/>
        <v/>
      </c>
    </row>
    <row r="644" spans="1:39" s="56" customFormat="1" ht="24.75" customHeight="1">
      <c r="A644" s="44"/>
      <c r="B644" s="45"/>
      <c r="C644" s="46">
        <f>IF(B644&lt;&gt;"",VLOOKUP(B644,'Tipo Projeto'!$A$3:$B$35,2,0),0)</f>
        <v>0</v>
      </c>
      <c r="D644" s="47"/>
      <c r="E644" s="47"/>
      <c r="F644" s="48"/>
      <c r="G644" s="47"/>
      <c r="H644" s="49"/>
      <c r="I644" s="50"/>
      <c r="J644" s="51"/>
      <c r="K644" s="52"/>
      <c r="L644" s="53" t="str">
        <f t="shared" si="143"/>
        <v/>
      </c>
      <c r="M644" s="48" t="str">
        <f t="shared" si="144"/>
        <v/>
      </c>
      <c r="N644" s="54" t="str">
        <f t="shared" si="145"/>
        <v/>
      </c>
      <c r="O644" s="55">
        <f t="shared" si="146"/>
        <v>0</v>
      </c>
      <c r="P644" s="55">
        <f t="shared" si="147"/>
        <v>0</v>
      </c>
      <c r="Q644" s="54">
        <f t="shared" si="148"/>
        <v>0</v>
      </c>
      <c r="R644" s="47"/>
      <c r="T644" s="57"/>
      <c r="U644" s="45"/>
      <c r="V644" s="46">
        <f>IF(U644&lt;&gt;"",VLOOKUP(U644,'Tipo Projeto'!$A$3:$B$35,2,0),0)</f>
        <v>0</v>
      </c>
      <c r="W644" s="47"/>
      <c r="X644" s="49"/>
      <c r="Y644" s="50"/>
      <c r="Z644" s="51"/>
      <c r="AA644" s="52"/>
      <c r="AB644" s="53" t="str">
        <f t="shared" si="149"/>
        <v/>
      </c>
      <c r="AC644" s="48" t="str">
        <f t="shared" si="150"/>
        <v/>
      </c>
      <c r="AD644" s="54" t="str">
        <f t="shared" si="151"/>
        <v/>
      </c>
      <c r="AE644" s="55">
        <f t="shared" si="152"/>
        <v>0</v>
      </c>
      <c r="AF644" s="55">
        <f t="shared" si="153"/>
        <v>0</v>
      </c>
      <c r="AG644" s="58">
        <f t="shared" si="154"/>
        <v>0</v>
      </c>
      <c r="AH644" s="47"/>
      <c r="AJ644" s="47"/>
      <c r="AL644" s="47"/>
      <c r="AM644" s="47" t="str">
        <f t="shared" si="155"/>
        <v/>
      </c>
    </row>
    <row r="645" spans="1:39" s="56" customFormat="1" ht="24.75" customHeight="1">
      <c r="A645" s="44"/>
      <c r="B645" s="45"/>
      <c r="C645" s="46">
        <f>IF(B645&lt;&gt;"",VLOOKUP(B645,'Tipo Projeto'!$A$3:$B$35,2,0),0)</f>
        <v>0</v>
      </c>
      <c r="D645" s="47"/>
      <c r="E645" s="47"/>
      <c r="F645" s="48"/>
      <c r="G645" s="47"/>
      <c r="H645" s="49"/>
      <c r="I645" s="50"/>
      <c r="J645" s="51"/>
      <c r="K645" s="52"/>
      <c r="L645" s="53" t="str">
        <f t="shared" si="143"/>
        <v/>
      </c>
      <c r="M645" s="48" t="str">
        <f t="shared" si="144"/>
        <v/>
      </c>
      <c r="N645" s="54" t="str">
        <f t="shared" si="145"/>
        <v/>
      </c>
      <c r="O645" s="55">
        <f t="shared" si="146"/>
        <v>0</v>
      </c>
      <c r="P645" s="55">
        <f t="shared" si="147"/>
        <v>0</v>
      </c>
      <c r="Q645" s="54">
        <f t="shared" si="148"/>
        <v>0</v>
      </c>
      <c r="R645" s="47"/>
      <c r="T645" s="57"/>
      <c r="U645" s="45"/>
      <c r="V645" s="46">
        <f>IF(U645&lt;&gt;"",VLOOKUP(U645,'Tipo Projeto'!$A$3:$B$35,2,0),0)</f>
        <v>0</v>
      </c>
      <c r="W645" s="47"/>
      <c r="X645" s="49"/>
      <c r="Y645" s="50"/>
      <c r="Z645" s="51"/>
      <c r="AA645" s="52"/>
      <c r="AB645" s="53" t="str">
        <f t="shared" si="149"/>
        <v/>
      </c>
      <c r="AC645" s="48" t="str">
        <f t="shared" si="150"/>
        <v/>
      </c>
      <c r="AD645" s="54" t="str">
        <f t="shared" si="151"/>
        <v/>
      </c>
      <c r="AE645" s="55">
        <f t="shared" si="152"/>
        <v>0</v>
      </c>
      <c r="AF645" s="55">
        <f t="shared" si="153"/>
        <v>0</v>
      </c>
      <c r="AG645" s="58">
        <f t="shared" si="154"/>
        <v>0</v>
      </c>
      <c r="AH645" s="47"/>
      <c r="AJ645" s="47"/>
      <c r="AL645" s="47"/>
      <c r="AM645" s="47" t="str">
        <f t="shared" si="155"/>
        <v/>
      </c>
    </row>
    <row r="646" spans="1:39" s="56" customFormat="1" ht="24.75" customHeight="1">
      <c r="A646" s="44"/>
      <c r="B646" s="45"/>
      <c r="C646" s="46">
        <f>IF(B646&lt;&gt;"",VLOOKUP(B646,'Tipo Projeto'!$A$3:$B$35,2,0),0)</f>
        <v>0</v>
      </c>
      <c r="D646" s="47"/>
      <c r="E646" s="47"/>
      <c r="F646" s="48"/>
      <c r="G646" s="47"/>
      <c r="H646" s="49"/>
      <c r="I646" s="50"/>
      <c r="J646" s="51"/>
      <c r="K646" s="52"/>
      <c r="L646" s="53" t="str">
        <f t="shared" si="143"/>
        <v/>
      </c>
      <c r="M646" s="48" t="str">
        <f t="shared" si="144"/>
        <v/>
      </c>
      <c r="N646" s="54" t="str">
        <f t="shared" si="145"/>
        <v/>
      </c>
      <c r="O646" s="55">
        <f t="shared" si="146"/>
        <v>0</v>
      </c>
      <c r="P646" s="55">
        <f t="shared" si="147"/>
        <v>0</v>
      </c>
      <c r="Q646" s="54">
        <f t="shared" si="148"/>
        <v>0</v>
      </c>
      <c r="R646" s="47"/>
      <c r="T646" s="57"/>
      <c r="U646" s="45"/>
      <c r="V646" s="46">
        <f>IF(U646&lt;&gt;"",VLOOKUP(U646,'Tipo Projeto'!$A$3:$B$35,2,0),0)</f>
        <v>0</v>
      </c>
      <c r="W646" s="47"/>
      <c r="X646" s="49"/>
      <c r="Y646" s="50"/>
      <c r="Z646" s="51"/>
      <c r="AA646" s="52"/>
      <c r="AB646" s="53" t="str">
        <f t="shared" si="149"/>
        <v/>
      </c>
      <c r="AC646" s="48" t="str">
        <f t="shared" si="150"/>
        <v/>
      </c>
      <c r="AD646" s="54" t="str">
        <f t="shared" si="151"/>
        <v/>
      </c>
      <c r="AE646" s="55">
        <f t="shared" si="152"/>
        <v>0</v>
      </c>
      <c r="AF646" s="55">
        <f t="shared" si="153"/>
        <v>0</v>
      </c>
      <c r="AG646" s="58">
        <f t="shared" si="154"/>
        <v>0</v>
      </c>
      <c r="AH646" s="47"/>
      <c r="AJ646" s="47"/>
      <c r="AL646" s="47"/>
      <c r="AM646" s="47" t="str">
        <f t="shared" si="155"/>
        <v/>
      </c>
    </row>
    <row r="647" spans="1:39" s="56" customFormat="1" ht="24.75" customHeight="1">
      <c r="A647" s="44"/>
      <c r="B647" s="45"/>
      <c r="C647" s="46">
        <f>IF(B647&lt;&gt;"",VLOOKUP(B647,'Tipo Projeto'!$A$3:$B$35,2,0),0)</f>
        <v>0</v>
      </c>
      <c r="D647" s="47"/>
      <c r="E647" s="47"/>
      <c r="F647" s="48"/>
      <c r="G647" s="47"/>
      <c r="H647" s="49"/>
      <c r="I647" s="50"/>
      <c r="J647" s="51"/>
      <c r="K647" s="52"/>
      <c r="L647" s="53" t="str">
        <f t="shared" si="143"/>
        <v/>
      </c>
      <c r="M647" s="48" t="str">
        <f t="shared" si="144"/>
        <v/>
      </c>
      <c r="N647" s="54" t="str">
        <f t="shared" si="145"/>
        <v/>
      </c>
      <c r="O647" s="55">
        <f t="shared" si="146"/>
        <v>0</v>
      </c>
      <c r="P647" s="55">
        <f t="shared" si="147"/>
        <v>0</v>
      </c>
      <c r="Q647" s="54">
        <f t="shared" si="148"/>
        <v>0</v>
      </c>
      <c r="R647" s="47"/>
      <c r="T647" s="57"/>
      <c r="U647" s="45"/>
      <c r="V647" s="46">
        <f>IF(U647&lt;&gt;"",VLOOKUP(U647,'Tipo Projeto'!$A$3:$B$35,2,0),0)</f>
        <v>0</v>
      </c>
      <c r="W647" s="47"/>
      <c r="X647" s="49"/>
      <c r="Y647" s="50"/>
      <c r="Z647" s="51"/>
      <c r="AA647" s="52"/>
      <c r="AB647" s="53" t="str">
        <f t="shared" si="149"/>
        <v/>
      </c>
      <c r="AC647" s="48" t="str">
        <f t="shared" si="150"/>
        <v/>
      </c>
      <c r="AD647" s="54" t="str">
        <f t="shared" si="151"/>
        <v/>
      </c>
      <c r="AE647" s="55">
        <f t="shared" si="152"/>
        <v>0</v>
      </c>
      <c r="AF647" s="55">
        <f t="shared" si="153"/>
        <v>0</v>
      </c>
      <c r="AG647" s="58">
        <f t="shared" si="154"/>
        <v>0</v>
      </c>
      <c r="AH647" s="47"/>
      <c r="AJ647" s="47"/>
      <c r="AL647" s="47"/>
      <c r="AM647" s="47" t="str">
        <f t="shared" si="155"/>
        <v/>
      </c>
    </row>
    <row r="648" spans="1:39" s="56" customFormat="1" ht="24.75" customHeight="1">
      <c r="A648" s="44"/>
      <c r="B648" s="45"/>
      <c r="C648" s="46">
        <f>IF(B648&lt;&gt;"",VLOOKUP(B648,'Tipo Projeto'!$A$3:$B$35,2,0),0)</f>
        <v>0</v>
      </c>
      <c r="D648" s="47"/>
      <c r="E648" s="47"/>
      <c r="F648" s="48"/>
      <c r="G648" s="47"/>
      <c r="H648" s="49"/>
      <c r="I648" s="50"/>
      <c r="J648" s="51"/>
      <c r="K648" s="52"/>
      <c r="L648" s="53" t="str">
        <f t="shared" si="143"/>
        <v/>
      </c>
      <c r="M648" s="48" t="str">
        <f t="shared" si="144"/>
        <v/>
      </c>
      <c r="N648" s="54" t="str">
        <f t="shared" si="145"/>
        <v/>
      </c>
      <c r="O648" s="55">
        <f t="shared" si="146"/>
        <v>0</v>
      </c>
      <c r="P648" s="55">
        <f t="shared" si="147"/>
        <v>0</v>
      </c>
      <c r="Q648" s="54">
        <f t="shared" si="148"/>
        <v>0</v>
      </c>
      <c r="R648" s="47"/>
      <c r="T648" s="57"/>
      <c r="U648" s="45"/>
      <c r="V648" s="46">
        <f>IF(U648&lt;&gt;"",VLOOKUP(U648,'Tipo Projeto'!$A$3:$B$35,2,0),0)</f>
        <v>0</v>
      </c>
      <c r="W648" s="47"/>
      <c r="X648" s="49"/>
      <c r="Y648" s="50"/>
      <c r="Z648" s="51"/>
      <c r="AA648" s="52"/>
      <c r="AB648" s="53" t="str">
        <f t="shared" si="149"/>
        <v/>
      </c>
      <c r="AC648" s="48" t="str">
        <f t="shared" si="150"/>
        <v/>
      </c>
      <c r="AD648" s="54" t="str">
        <f t="shared" si="151"/>
        <v/>
      </c>
      <c r="AE648" s="55">
        <f t="shared" si="152"/>
        <v>0</v>
      </c>
      <c r="AF648" s="55">
        <f t="shared" si="153"/>
        <v>0</v>
      </c>
      <c r="AG648" s="58">
        <f t="shared" si="154"/>
        <v>0</v>
      </c>
      <c r="AH648" s="47"/>
      <c r="AJ648" s="47"/>
      <c r="AL648" s="47"/>
      <c r="AM648" s="47" t="str">
        <f t="shared" si="155"/>
        <v/>
      </c>
    </row>
    <row r="649" spans="1:39" s="56" customFormat="1" ht="24.75" customHeight="1">
      <c r="A649" s="44"/>
      <c r="B649" s="45"/>
      <c r="C649" s="46">
        <f>IF(B649&lt;&gt;"",VLOOKUP(B649,'Tipo Projeto'!$A$3:$B$35,2,0),0)</f>
        <v>0</v>
      </c>
      <c r="D649" s="47"/>
      <c r="E649" s="47"/>
      <c r="F649" s="48"/>
      <c r="G649" s="47"/>
      <c r="H649" s="49"/>
      <c r="I649" s="50"/>
      <c r="J649" s="51"/>
      <c r="K649" s="52"/>
      <c r="L649" s="53" t="str">
        <f t="shared" si="143"/>
        <v/>
      </c>
      <c r="M649" s="48" t="str">
        <f t="shared" si="144"/>
        <v/>
      </c>
      <c r="N649" s="54" t="str">
        <f t="shared" si="145"/>
        <v/>
      </c>
      <c r="O649" s="55">
        <f t="shared" si="146"/>
        <v>0</v>
      </c>
      <c r="P649" s="55">
        <f t="shared" si="147"/>
        <v>0</v>
      </c>
      <c r="Q649" s="54">
        <f t="shared" si="148"/>
        <v>0</v>
      </c>
      <c r="R649" s="47"/>
      <c r="T649" s="57"/>
      <c r="U649" s="45"/>
      <c r="V649" s="46">
        <f>IF(U649&lt;&gt;"",VLOOKUP(U649,'Tipo Projeto'!$A$3:$B$35,2,0),0)</f>
        <v>0</v>
      </c>
      <c r="W649" s="47"/>
      <c r="X649" s="49"/>
      <c r="Y649" s="50"/>
      <c r="Z649" s="51"/>
      <c r="AA649" s="52"/>
      <c r="AB649" s="53" t="str">
        <f t="shared" si="149"/>
        <v/>
      </c>
      <c r="AC649" s="48" t="str">
        <f t="shared" si="150"/>
        <v/>
      </c>
      <c r="AD649" s="54" t="str">
        <f t="shared" si="151"/>
        <v/>
      </c>
      <c r="AE649" s="55">
        <f t="shared" si="152"/>
        <v>0</v>
      </c>
      <c r="AF649" s="55">
        <f t="shared" si="153"/>
        <v>0</v>
      </c>
      <c r="AG649" s="58">
        <f t="shared" si="154"/>
        <v>0</v>
      </c>
      <c r="AH649" s="47"/>
      <c r="AJ649" s="47"/>
      <c r="AL649" s="47"/>
      <c r="AM649" s="47" t="str">
        <f t="shared" si="155"/>
        <v/>
      </c>
    </row>
    <row r="650" spans="1:39" s="56" customFormat="1" ht="24.75" customHeight="1">
      <c r="A650" s="44"/>
      <c r="B650" s="45"/>
      <c r="C650" s="46">
        <f>IF(B650&lt;&gt;"",VLOOKUP(B650,'Tipo Projeto'!$A$3:$B$35,2,0),0)</f>
        <v>0</v>
      </c>
      <c r="D650" s="47"/>
      <c r="E650" s="47"/>
      <c r="F650" s="48"/>
      <c r="G650" s="47"/>
      <c r="H650" s="49"/>
      <c r="I650" s="50"/>
      <c r="J650" s="51"/>
      <c r="K650" s="52"/>
      <c r="L650" s="53" t="str">
        <f t="shared" si="143"/>
        <v/>
      </c>
      <c r="M650" s="48" t="str">
        <f t="shared" si="144"/>
        <v/>
      </c>
      <c r="N650" s="54" t="str">
        <f t="shared" si="145"/>
        <v/>
      </c>
      <c r="O650" s="55">
        <f t="shared" si="146"/>
        <v>0</v>
      </c>
      <c r="P650" s="55">
        <f t="shared" si="147"/>
        <v>0</v>
      </c>
      <c r="Q650" s="54">
        <f t="shared" si="148"/>
        <v>0</v>
      </c>
      <c r="R650" s="47"/>
      <c r="T650" s="57"/>
      <c r="U650" s="45"/>
      <c r="V650" s="46">
        <f>IF(U650&lt;&gt;"",VLOOKUP(U650,'Tipo Projeto'!$A$3:$B$35,2,0),0)</f>
        <v>0</v>
      </c>
      <c r="W650" s="47"/>
      <c r="X650" s="49"/>
      <c r="Y650" s="50"/>
      <c r="Z650" s="51"/>
      <c r="AA650" s="52"/>
      <c r="AB650" s="53" t="str">
        <f t="shared" si="149"/>
        <v/>
      </c>
      <c r="AC650" s="48" t="str">
        <f t="shared" si="150"/>
        <v/>
      </c>
      <c r="AD650" s="54" t="str">
        <f t="shared" si="151"/>
        <v/>
      </c>
      <c r="AE650" s="55">
        <f t="shared" si="152"/>
        <v>0</v>
      </c>
      <c r="AF650" s="55">
        <f t="shared" si="153"/>
        <v>0</v>
      </c>
      <c r="AG650" s="58">
        <f t="shared" si="154"/>
        <v>0</v>
      </c>
      <c r="AH650" s="47"/>
      <c r="AJ650" s="47"/>
      <c r="AL650" s="47"/>
      <c r="AM650" s="47" t="str">
        <f t="shared" si="155"/>
        <v/>
      </c>
    </row>
    <row r="651" spans="1:39" s="56" customFormat="1" ht="24.75" customHeight="1">
      <c r="A651" s="44"/>
      <c r="B651" s="45"/>
      <c r="C651" s="46">
        <f>IF(B651&lt;&gt;"",VLOOKUP(B651,'Tipo Projeto'!$A$3:$B$35,2,0),0)</f>
        <v>0</v>
      </c>
      <c r="D651" s="47"/>
      <c r="E651" s="47"/>
      <c r="F651" s="48"/>
      <c r="G651" s="47"/>
      <c r="H651" s="49"/>
      <c r="I651" s="50"/>
      <c r="J651" s="51"/>
      <c r="K651" s="52"/>
      <c r="L651" s="53" t="str">
        <f t="shared" si="143"/>
        <v/>
      </c>
      <c r="M651" s="48" t="str">
        <f t="shared" si="144"/>
        <v/>
      </c>
      <c r="N651" s="54" t="str">
        <f t="shared" si="145"/>
        <v/>
      </c>
      <c r="O651" s="55">
        <f t="shared" si="146"/>
        <v>0</v>
      </c>
      <c r="P651" s="55">
        <f t="shared" si="147"/>
        <v>0</v>
      </c>
      <c r="Q651" s="54">
        <f t="shared" si="148"/>
        <v>0</v>
      </c>
      <c r="R651" s="47"/>
      <c r="T651" s="57"/>
      <c r="U651" s="45"/>
      <c r="V651" s="46">
        <f>IF(U651&lt;&gt;"",VLOOKUP(U651,'Tipo Projeto'!$A$3:$B$35,2,0),0)</f>
        <v>0</v>
      </c>
      <c r="W651" s="47"/>
      <c r="X651" s="49"/>
      <c r="Y651" s="50"/>
      <c r="Z651" s="51"/>
      <c r="AA651" s="52"/>
      <c r="AB651" s="53" t="str">
        <f t="shared" si="149"/>
        <v/>
      </c>
      <c r="AC651" s="48" t="str">
        <f t="shared" si="150"/>
        <v/>
      </c>
      <c r="AD651" s="54" t="str">
        <f t="shared" si="151"/>
        <v/>
      </c>
      <c r="AE651" s="55">
        <f t="shared" si="152"/>
        <v>0</v>
      </c>
      <c r="AF651" s="55">
        <f t="shared" si="153"/>
        <v>0</v>
      </c>
      <c r="AG651" s="58">
        <f t="shared" si="154"/>
        <v>0</v>
      </c>
      <c r="AH651" s="47"/>
      <c r="AJ651" s="47"/>
      <c r="AL651" s="47"/>
      <c r="AM651" s="47" t="str">
        <f t="shared" si="155"/>
        <v/>
      </c>
    </row>
    <row r="652" spans="1:39" s="56" customFormat="1" ht="24.75" customHeight="1">
      <c r="A652" s="44"/>
      <c r="B652" s="45"/>
      <c r="C652" s="46">
        <f>IF(B652&lt;&gt;"",VLOOKUP(B652,'Tipo Projeto'!$A$3:$B$35,2,0),0)</f>
        <v>0</v>
      </c>
      <c r="D652" s="47"/>
      <c r="E652" s="47"/>
      <c r="F652" s="48"/>
      <c r="G652" s="47"/>
      <c r="H652" s="49"/>
      <c r="I652" s="50"/>
      <c r="J652" s="51"/>
      <c r="K652" s="52"/>
      <c r="L652" s="53" t="str">
        <f t="shared" si="143"/>
        <v/>
      </c>
      <c r="M652" s="48" t="str">
        <f t="shared" si="144"/>
        <v/>
      </c>
      <c r="N652" s="54" t="str">
        <f t="shared" si="145"/>
        <v/>
      </c>
      <c r="O652" s="55">
        <f t="shared" si="146"/>
        <v>0</v>
      </c>
      <c r="P652" s="55">
        <f t="shared" si="147"/>
        <v>0</v>
      </c>
      <c r="Q652" s="54">
        <f t="shared" si="148"/>
        <v>0</v>
      </c>
      <c r="R652" s="47"/>
      <c r="T652" s="57"/>
      <c r="U652" s="45"/>
      <c r="V652" s="46">
        <f>IF(U652&lt;&gt;"",VLOOKUP(U652,'Tipo Projeto'!$A$3:$B$35,2,0),0)</f>
        <v>0</v>
      </c>
      <c r="W652" s="47"/>
      <c r="X652" s="49"/>
      <c r="Y652" s="50"/>
      <c r="Z652" s="51"/>
      <c r="AA652" s="52"/>
      <c r="AB652" s="53" t="str">
        <f t="shared" si="149"/>
        <v/>
      </c>
      <c r="AC652" s="48" t="str">
        <f t="shared" si="150"/>
        <v/>
      </c>
      <c r="AD652" s="54" t="str">
        <f t="shared" si="151"/>
        <v/>
      </c>
      <c r="AE652" s="55">
        <f t="shared" si="152"/>
        <v>0</v>
      </c>
      <c r="AF652" s="55">
        <f t="shared" si="153"/>
        <v>0</v>
      </c>
      <c r="AG652" s="58">
        <f t="shared" si="154"/>
        <v>0</v>
      </c>
      <c r="AH652" s="47"/>
      <c r="AJ652" s="47"/>
      <c r="AL652" s="47"/>
      <c r="AM652" s="47" t="str">
        <f t="shared" si="155"/>
        <v/>
      </c>
    </row>
    <row r="653" spans="1:39" s="56" customFormat="1" ht="24.75" customHeight="1">
      <c r="A653" s="44"/>
      <c r="B653" s="45"/>
      <c r="C653" s="46">
        <f>IF(B653&lt;&gt;"",VLOOKUP(B653,'Tipo Projeto'!$A$3:$B$35,2,0),0)</f>
        <v>0</v>
      </c>
      <c r="D653" s="47"/>
      <c r="E653" s="47"/>
      <c r="F653" s="48"/>
      <c r="G653" s="47"/>
      <c r="H653" s="49"/>
      <c r="I653" s="50"/>
      <c r="J653" s="51"/>
      <c r="K653" s="52"/>
      <c r="L653" s="53" t="str">
        <f t="shared" si="143"/>
        <v/>
      </c>
      <c r="M653" s="48" t="str">
        <f t="shared" si="144"/>
        <v/>
      </c>
      <c r="N653" s="54" t="str">
        <f t="shared" si="145"/>
        <v/>
      </c>
      <c r="O653" s="55">
        <f t="shared" si="146"/>
        <v>0</v>
      </c>
      <c r="P653" s="55">
        <f t="shared" si="147"/>
        <v>0</v>
      </c>
      <c r="Q653" s="54">
        <f t="shared" si="148"/>
        <v>0</v>
      </c>
      <c r="R653" s="47"/>
      <c r="T653" s="57"/>
      <c r="U653" s="45"/>
      <c r="V653" s="46">
        <f>IF(U653&lt;&gt;"",VLOOKUP(U653,'Tipo Projeto'!$A$3:$B$35,2,0),0)</f>
        <v>0</v>
      </c>
      <c r="W653" s="47"/>
      <c r="X653" s="49"/>
      <c r="Y653" s="50"/>
      <c r="Z653" s="51"/>
      <c r="AA653" s="52"/>
      <c r="AB653" s="53" t="str">
        <f t="shared" si="149"/>
        <v/>
      </c>
      <c r="AC653" s="48" t="str">
        <f t="shared" si="150"/>
        <v/>
      </c>
      <c r="AD653" s="54" t="str">
        <f t="shared" si="151"/>
        <v/>
      </c>
      <c r="AE653" s="55">
        <f t="shared" si="152"/>
        <v>0</v>
      </c>
      <c r="AF653" s="55">
        <f t="shared" si="153"/>
        <v>0</v>
      </c>
      <c r="AG653" s="58">
        <f t="shared" si="154"/>
        <v>0</v>
      </c>
      <c r="AH653" s="47"/>
      <c r="AJ653" s="47"/>
      <c r="AL653" s="47"/>
      <c r="AM653" s="47" t="str">
        <f t="shared" si="155"/>
        <v/>
      </c>
    </row>
    <row r="654" spans="1:39" s="56" customFormat="1" ht="24.75" customHeight="1">
      <c r="A654" s="44"/>
      <c r="B654" s="45"/>
      <c r="C654" s="46">
        <f>IF(B654&lt;&gt;"",VLOOKUP(B654,'Tipo Projeto'!$A$3:$B$35,2,0),0)</f>
        <v>0</v>
      </c>
      <c r="D654" s="47"/>
      <c r="E654" s="47"/>
      <c r="F654" s="48"/>
      <c r="G654" s="47"/>
      <c r="H654" s="49"/>
      <c r="I654" s="50"/>
      <c r="J654" s="51"/>
      <c r="K654" s="52"/>
      <c r="L654" s="53" t="str">
        <f t="shared" si="143"/>
        <v/>
      </c>
      <c r="M654" s="48" t="str">
        <f t="shared" si="144"/>
        <v/>
      </c>
      <c r="N654" s="54" t="str">
        <f t="shared" si="145"/>
        <v/>
      </c>
      <c r="O654" s="55">
        <f t="shared" si="146"/>
        <v>0</v>
      </c>
      <c r="P654" s="55">
        <f t="shared" si="147"/>
        <v>0</v>
      </c>
      <c r="Q654" s="54">
        <f t="shared" si="148"/>
        <v>0</v>
      </c>
      <c r="R654" s="47"/>
      <c r="T654" s="57"/>
      <c r="U654" s="45"/>
      <c r="V654" s="46">
        <f>IF(U654&lt;&gt;"",VLOOKUP(U654,'Tipo Projeto'!$A$3:$B$35,2,0),0)</f>
        <v>0</v>
      </c>
      <c r="W654" s="47"/>
      <c r="X654" s="49"/>
      <c r="Y654" s="50"/>
      <c r="Z654" s="51"/>
      <c r="AA654" s="52"/>
      <c r="AB654" s="53" t="str">
        <f t="shared" si="149"/>
        <v/>
      </c>
      <c r="AC654" s="48" t="str">
        <f t="shared" si="150"/>
        <v/>
      </c>
      <c r="AD654" s="54" t="str">
        <f t="shared" si="151"/>
        <v/>
      </c>
      <c r="AE654" s="55">
        <f t="shared" si="152"/>
        <v>0</v>
      </c>
      <c r="AF654" s="55">
        <f t="shared" si="153"/>
        <v>0</v>
      </c>
      <c r="AG654" s="58">
        <f t="shared" si="154"/>
        <v>0</v>
      </c>
      <c r="AH654" s="47"/>
      <c r="AJ654" s="47"/>
      <c r="AL654" s="47"/>
      <c r="AM654" s="47" t="str">
        <f t="shared" si="155"/>
        <v/>
      </c>
    </row>
    <row r="655" spans="1:39" s="56" customFormat="1" ht="24.75" customHeight="1">
      <c r="A655" s="44"/>
      <c r="B655" s="45"/>
      <c r="C655" s="46">
        <f>IF(B655&lt;&gt;"",VLOOKUP(B655,'Tipo Projeto'!$A$3:$B$35,2,0),0)</f>
        <v>0</v>
      </c>
      <c r="D655" s="47"/>
      <c r="E655" s="47"/>
      <c r="F655" s="48"/>
      <c r="G655" s="47"/>
      <c r="H655" s="49"/>
      <c r="I655" s="50"/>
      <c r="J655" s="51"/>
      <c r="K655" s="52"/>
      <c r="L655" s="53" t="str">
        <f t="shared" si="143"/>
        <v/>
      </c>
      <c r="M655" s="48" t="str">
        <f t="shared" si="144"/>
        <v/>
      </c>
      <c r="N655" s="54" t="str">
        <f t="shared" si="145"/>
        <v/>
      </c>
      <c r="O655" s="55">
        <f t="shared" si="146"/>
        <v>0</v>
      </c>
      <c r="P655" s="55">
        <f t="shared" si="147"/>
        <v>0</v>
      </c>
      <c r="Q655" s="54">
        <f t="shared" si="148"/>
        <v>0</v>
      </c>
      <c r="R655" s="47"/>
      <c r="T655" s="57"/>
      <c r="U655" s="45"/>
      <c r="V655" s="46">
        <f>IF(U655&lt;&gt;"",VLOOKUP(U655,'Tipo Projeto'!$A$3:$B$35,2,0),0)</f>
        <v>0</v>
      </c>
      <c r="W655" s="47"/>
      <c r="X655" s="49"/>
      <c r="Y655" s="50"/>
      <c r="Z655" s="51"/>
      <c r="AA655" s="52"/>
      <c r="AB655" s="53" t="str">
        <f t="shared" si="149"/>
        <v/>
      </c>
      <c r="AC655" s="48" t="str">
        <f t="shared" si="150"/>
        <v/>
      </c>
      <c r="AD655" s="54" t="str">
        <f t="shared" si="151"/>
        <v/>
      </c>
      <c r="AE655" s="55">
        <f t="shared" si="152"/>
        <v>0</v>
      </c>
      <c r="AF655" s="55">
        <f t="shared" si="153"/>
        <v>0</v>
      </c>
      <c r="AG655" s="58">
        <f t="shared" si="154"/>
        <v>0</v>
      </c>
      <c r="AH655" s="47"/>
      <c r="AJ655" s="47"/>
      <c r="AL655" s="47"/>
      <c r="AM655" s="47" t="str">
        <f t="shared" si="155"/>
        <v/>
      </c>
    </row>
    <row r="656" spans="1:39" s="56" customFormat="1" ht="24.75" customHeight="1">
      <c r="A656" s="44"/>
      <c r="B656" s="45"/>
      <c r="C656" s="46">
        <f>IF(B656&lt;&gt;"",VLOOKUP(B656,'Tipo Projeto'!$A$3:$B$35,2,0),0)</f>
        <v>0</v>
      </c>
      <c r="D656" s="47"/>
      <c r="E656" s="47"/>
      <c r="F656" s="48"/>
      <c r="G656" s="47"/>
      <c r="H656" s="49"/>
      <c r="I656" s="50"/>
      <c r="J656" s="51"/>
      <c r="K656" s="52"/>
      <c r="L656" s="53" t="str">
        <f t="shared" si="143"/>
        <v/>
      </c>
      <c r="M656" s="48" t="str">
        <f t="shared" si="144"/>
        <v/>
      </c>
      <c r="N656" s="54" t="str">
        <f t="shared" si="145"/>
        <v/>
      </c>
      <c r="O656" s="55">
        <f t="shared" si="146"/>
        <v>0</v>
      </c>
      <c r="P656" s="55">
        <f t="shared" si="147"/>
        <v>0</v>
      </c>
      <c r="Q656" s="54">
        <f t="shared" si="148"/>
        <v>0</v>
      </c>
      <c r="R656" s="47"/>
      <c r="T656" s="57"/>
      <c r="U656" s="45"/>
      <c r="V656" s="46">
        <f>IF(U656&lt;&gt;"",VLOOKUP(U656,'Tipo Projeto'!$A$3:$B$35,2,0),0)</f>
        <v>0</v>
      </c>
      <c r="W656" s="47"/>
      <c r="X656" s="49"/>
      <c r="Y656" s="50"/>
      <c r="Z656" s="51"/>
      <c r="AA656" s="52"/>
      <c r="AB656" s="53" t="str">
        <f t="shared" si="149"/>
        <v/>
      </c>
      <c r="AC656" s="48" t="str">
        <f t="shared" si="150"/>
        <v/>
      </c>
      <c r="AD656" s="54" t="str">
        <f t="shared" si="151"/>
        <v/>
      </c>
      <c r="AE656" s="55">
        <f t="shared" si="152"/>
        <v>0</v>
      </c>
      <c r="AF656" s="55">
        <f t="shared" si="153"/>
        <v>0</v>
      </c>
      <c r="AG656" s="58">
        <f t="shared" si="154"/>
        <v>0</v>
      </c>
      <c r="AH656" s="47"/>
      <c r="AJ656" s="47"/>
      <c r="AL656" s="47"/>
      <c r="AM656" s="47" t="str">
        <f t="shared" si="155"/>
        <v/>
      </c>
    </row>
    <row r="657" spans="1:39" s="56" customFormat="1" ht="24.75" customHeight="1">
      <c r="A657" s="44"/>
      <c r="B657" s="45"/>
      <c r="C657" s="46">
        <f>IF(B657&lt;&gt;"",VLOOKUP(B657,'Tipo Projeto'!$A$3:$B$35,2,0),0)</f>
        <v>0</v>
      </c>
      <c r="D657" s="47"/>
      <c r="E657" s="47"/>
      <c r="F657" s="48"/>
      <c r="G657" s="47"/>
      <c r="H657" s="49"/>
      <c r="I657" s="50"/>
      <c r="J657" s="51"/>
      <c r="K657" s="52"/>
      <c r="L657" s="53" t="str">
        <f t="shared" si="143"/>
        <v/>
      </c>
      <c r="M657" s="48" t="str">
        <f t="shared" si="144"/>
        <v/>
      </c>
      <c r="N657" s="54" t="str">
        <f t="shared" si="145"/>
        <v/>
      </c>
      <c r="O657" s="55">
        <f t="shared" si="146"/>
        <v>0</v>
      </c>
      <c r="P657" s="55">
        <f t="shared" si="147"/>
        <v>0</v>
      </c>
      <c r="Q657" s="54">
        <f t="shared" si="148"/>
        <v>0</v>
      </c>
      <c r="R657" s="47"/>
      <c r="T657" s="57"/>
      <c r="U657" s="45"/>
      <c r="V657" s="46">
        <f>IF(U657&lt;&gt;"",VLOOKUP(U657,'Tipo Projeto'!$A$3:$B$35,2,0),0)</f>
        <v>0</v>
      </c>
      <c r="W657" s="47"/>
      <c r="X657" s="49"/>
      <c r="Y657" s="50"/>
      <c r="Z657" s="51"/>
      <c r="AA657" s="52"/>
      <c r="AB657" s="53" t="str">
        <f t="shared" si="149"/>
        <v/>
      </c>
      <c r="AC657" s="48" t="str">
        <f t="shared" si="150"/>
        <v/>
      </c>
      <c r="AD657" s="54" t="str">
        <f t="shared" si="151"/>
        <v/>
      </c>
      <c r="AE657" s="55">
        <f t="shared" si="152"/>
        <v>0</v>
      </c>
      <c r="AF657" s="55">
        <f t="shared" si="153"/>
        <v>0</v>
      </c>
      <c r="AG657" s="58">
        <f t="shared" si="154"/>
        <v>0</v>
      </c>
      <c r="AH657" s="47"/>
      <c r="AJ657" s="47"/>
      <c r="AL657" s="47"/>
      <c r="AM657" s="47" t="str">
        <f t="shared" si="155"/>
        <v/>
      </c>
    </row>
    <row r="658" spans="1:39" s="56" customFormat="1" ht="24.75" customHeight="1">
      <c r="A658" s="44"/>
      <c r="B658" s="45"/>
      <c r="C658" s="46">
        <f>IF(B658&lt;&gt;"",VLOOKUP(B658,'Tipo Projeto'!$A$3:$B$35,2,0),0)</f>
        <v>0</v>
      </c>
      <c r="D658" s="47"/>
      <c r="E658" s="47"/>
      <c r="F658" s="48"/>
      <c r="G658" s="47"/>
      <c r="H658" s="49"/>
      <c r="I658" s="50"/>
      <c r="J658" s="51"/>
      <c r="K658" s="52"/>
      <c r="L658" s="53" t="str">
        <f t="shared" si="143"/>
        <v/>
      </c>
      <c r="M658" s="48" t="str">
        <f t="shared" si="144"/>
        <v/>
      </c>
      <c r="N658" s="54" t="str">
        <f t="shared" si="145"/>
        <v/>
      </c>
      <c r="O658" s="55">
        <f t="shared" si="146"/>
        <v>0</v>
      </c>
      <c r="P658" s="55">
        <f t="shared" si="147"/>
        <v>0</v>
      </c>
      <c r="Q658" s="54">
        <f t="shared" si="148"/>
        <v>0</v>
      </c>
      <c r="R658" s="47"/>
      <c r="T658" s="57"/>
      <c r="U658" s="45"/>
      <c r="V658" s="46">
        <f>IF(U658&lt;&gt;"",VLOOKUP(U658,'Tipo Projeto'!$A$3:$B$35,2,0),0)</f>
        <v>0</v>
      </c>
      <c r="W658" s="47"/>
      <c r="X658" s="49"/>
      <c r="Y658" s="50"/>
      <c r="Z658" s="51"/>
      <c r="AA658" s="52"/>
      <c r="AB658" s="53" t="str">
        <f t="shared" si="149"/>
        <v/>
      </c>
      <c r="AC658" s="48" t="str">
        <f t="shared" si="150"/>
        <v/>
      </c>
      <c r="AD658" s="54" t="str">
        <f t="shared" si="151"/>
        <v/>
      </c>
      <c r="AE658" s="55">
        <f t="shared" si="152"/>
        <v>0</v>
      </c>
      <c r="AF658" s="55">
        <f t="shared" si="153"/>
        <v>0</v>
      </c>
      <c r="AG658" s="58">
        <f t="shared" si="154"/>
        <v>0</v>
      </c>
      <c r="AH658" s="47"/>
      <c r="AJ658" s="47"/>
      <c r="AL658" s="47"/>
      <c r="AM658" s="47" t="str">
        <f t="shared" si="155"/>
        <v/>
      </c>
    </row>
    <row r="659" spans="1:39" s="56" customFormat="1" ht="24.75" customHeight="1">
      <c r="A659" s="44"/>
      <c r="B659" s="45"/>
      <c r="C659" s="46">
        <f>IF(B659&lt;&gt;"",VLOOKUP(B659,'Tipo Projeto'!$A$3:$B$35,2,0),0)</f>
        <v>0</v>
      </c>
      <c r="D659" s="47"/>
      <c r="E659" s="47"/>
      <c r="F659" s="48"/>
      <c r="G659" s="47"/>
      <c r="H659" s="49"/>
      <c r="I659" s="50"/>
      <c r="J659" s="51"/>
      <c r="K659" s="52"/>
      <c r="L659" s="53" t="str">
        <f t="shared" si="143"/>
        <v/>
      </c>
      <c r="M659" s="48" t="str">
        <f t="shared" si="144"/>
        <v/>
      </c>
      <c r="N659" s="54" t="str">
        <f t="shared" si="145"/>
        <v/>
      </c>
      <c r="O659" s="55">
        <f t="shared" si="146"/>
        <v>0</v>
      </c>
      <c r="P659" s="55">
        <f t="shared" si="147"/>
        <v>0</v>
      </c>
      <c r="Q659" s="54">
        <f t="shared" si="148"/>
        <v>0</v>
      </c>
      <c r="R659" s="47"/>
      <c r="T659" s="57"/>
      <c r="U659" s="45"/>
      <c r="V659" s="46">
        <f>IF(U659&lt;&gt;"",VLOOKUP(U659,'Tipo Projeto'!$A$3:$B$35,2,0),0)</f>
        <v>0</v>
      </c>
      <c r="W659" s="47"/>
      <c r="X659" s="49"/>
      <c r="Y659" s="50"/>
      <c r="Z659" s="51"/>
      <c r="AA659" s="52"/>
      <c r="AB659" s="53" t="str">
        <f t="shared" si="149"/>
        <v/>
      </c>
      <c r="AC659" s="48" t="str">
        <f t="shared" si="150"/>
        <v/>
      </c>
      <c r="AD659" s="54" t="str">
        <f t="shared" si="151"/>
        <v/>
      </c>
      <c r="AE659" s="55">
        <f t="shared" si="152"/>
        <v>0</v>
      </c>
      <c r="AF659" s="55">
        <f t="shared" si="153"/>
        <v>0</v>
      </c>
      <c r="AG659" s="58">
        <f t="shared" si="154"/>
        <v>0</v>
      </c>
      <c r="AH659" s="47"/>
      <c r="AJ659" s="47"/>
      <c r="AL659" s="47"/>
      <c r="AM659" s="47" t="str">
        <f t="shared" si="155"/>
        <v/>
      </c>
    </row>
    <row r="660" spans="1:39" s="56" customFormat="1" ht="24.75" customHeight="1">
      <c r="A660" s="44"/>
      <c r="B660" s="45"/>
      <c r="C660" s="46">
        <f>IF(B660&lt;&gt;"",VLOOKUP(B660,'Tipo Projeto'!$A$3:$B$35,2,0),0)</f>
        <v>0</v>
      </c>
      <c r="D660" s="47"/>
      <c r="E660" s="47"/>
      <c r="F660" s="48"/>
      <c r="G660" s="47"/>
      <c r="H660" s="49"/>
      <c r="I660" s="50"/>
      <c r="J660" s="51"/>
      <c r="K660" s="52"/>
      <c r="L660" s="53" t="str">
        <f t="shared" si="143"/>
        <v/>
      </c>
      <c r="M660" s="48" t="str">
        <f t="shared" si="144"/>
        <v/>
      </c>
      <c r="N660" s="54" t="str">
        <f t="shared" si="145"/>
        <v/>
      </c>
      <c r="O660" s="55">
        <f t="shared" si="146"/>
        <v>0</v>
      </c>
      <c r="P660" s="55">
        <f t="shared" si="147"/>
        <v>0</v>
      </c>
      <c r="Q660" s="54">
        <f t="shared" si="148"/>
        <v>0</v>
      </c>
      <c r="R660" s="47"/>
      <c r="T660" s="57"/>
      <c r="U660" s="45"/>
      <c r="V660" s="46">
        <f>IF(U660&lt;&gt;"",VLOOKUP(U660,'Tipo Projeto'!$A$3:$B$35,2,0),0)</f>
        <v>0</v>
      </c>
      <c r="W660" s="47"/>
      <c r="X660" s="49"/>
      <c r="Y660" s="50"/>
      <c r="Z660" s="51"/>
      <c r="AA660" s="52"/>
      <c r="AB660" s="53" t="str">
        <f t="shared" si="149"/>
        <v/>
      </c>
      <c r="AC660" s="48" t="str">
        <f t="shared" si="150"/>
        <v/>
      </c>
      <c r="AD660" s="54" t="str">
        <f t="shared" si="151"/>
        <v/>
      </c>
      <c r="AE660" s="55">
        <f t="shared" si="152"/>
        <v>0</v>
      </c>
      <c r="AF660" s="55">
        <f t="shared" si="153"/>
        <v>0</v>
      </c>
      <c r="AG660" s="58">
        <f t="shared" si="154"/>
        <v>0</v>
      </c>
      <c r="AH660" s="47"/>
      <c r="AJ660" s="47"/>
      <c r="AL660" s="47"/>
      <c r="AM660" s="47" t="str">
        <f t="shared" si="155"/>
        <v/>
      </c>
    </row>
    <row r="661" spans="1:39" s="56" customFormat="1" ht="24.75" customHeight="1">
      <c r="A661" s="44"/>
      <c r="B661" s="45"/>
      <c r="C661" s="46">
        <f>IF(B661&lt;&gt;"",VLOOKUP(B661,'Tipo Projeto'!$A$3:$B$35,2,0),0)</f>
        <v>0</v>
      </c>
      <c r="D661" s="47"/>
      <c r="E661" s="47"/>
      <c r="F661" s="48"/>
      <c r="G661" s="47"/>
      <c r="H661" s="49"/>
      <c r="I661" s="50"/>
      <c r="J661" s="51"/>
      <c r="K661" s="52"/>
      <c r="L661" s="53" t="str">
        <f t="shared" si="143"/>
        <v/>
      </c>
      <c r="M661" s="48" t="str">
        <f t="shared" si="144"/>
        <v/>
      </c>
      <c r="N661" s="54" t="str">
        <f t="shared" si="145"/>
        <v/>
      </c>
      <c r="O661" s="55">
        <f t="shared" si="146"/>
        <v>0</v>
      </c>
      <c r="P661" s="55">
        <f t="shared" si="147"/>
        <v>0</v>
      </c>
      <c r="Q661" s="54">
        <f t="shared" si="148"/>
        <v>0</v>
      </c>
      <c r="R661" s="47"/>
      <c r="T661" s="57"/>
      <c r="U661" s="45"/>
      <c r="V661" s="46">
        <f>IF(U661&lt;&gt;"",VLOOKUP(U661,'Tipo Projeto'!$A$3:$B$35,2,0),0)</f>
        <v>0</v>
      </c>
      <c r="W661" s="47"/>
      <c r="X661" s="49"/>
      <c r="Y661" s="50"/>
      <c r="Z661" s="51"/>
      <c r="AA661" s="52"/>
      <c r="AB661" s="53" t="str">
        <f t="shared" si="149"/>
        <v/>
      </c>
      <c r="AC661" s="48" t="str">
        <f t="shared" si="150"/>
        <v/>
      </c>
      <c r="AD661" s="54" t="str">
        <f t="shared" si="151"/>
        <v/>
      </c>
      <c r="AE661" s="55">
        <f t="shared" si="152"/>
        <v>0</v>
      </c>
      <c r="AF661" s="55">
        <f t="shared" si="153"/>
        <v>0</v>
      </c>
      <c r="AG661" s="58">
        <f t="shared" si="154"/>
        <v>0</v>
      </c>
      <c r="AH661" s="47"/>
      <c r="AJ661" s="47"/>
      <c r="AL661" s="47"/>
      <c r="AM661" s="47" t="str">
        <f t="shared" si="155"/>
        <v/>
      </c>
    </row>
    <row r="662" spans="1:39" s="56" customFormat="1" ht="24.75" customHeight="1">
      <c r="A662" s="44"/>
      <c r="B662" s="45"/>
      <c r="C662" s="46">
        <f>IF(B662&lt;&gt;"",VLOOKUP(B662,'Tipo Projeto'!$A$3:$B$35,2,0),0)</f>
        <v>0</v>
      </c>
      <c r="D662" s="47"/>
      <c r="E662" s="47"/>
      <c r="F662" s="48"/>
      <c r="G662" s="47"/>
      <c r="H662" s="49"/>
      <c r="I662" s="50"/>
      <c r="J662" s="51"/>
      <c r="K662" s="52"/>
      <c r="L662" s="53" t="str">
        <f t="shared" si="143"/>
        <v/>
      </c>
      <c r="M662" s="48" t="str">
        <f t="shared" si="144"/>
        <v/>
      </c>
      <c r="N662" s="54" t="str">
        <f t="shared" si="145"/>
        <v/>
      </c>
      <c r="O662" s="55">
        <f t="shared" si="146"/>
        <v>0</v>
      </c>
      <c r="P662" s="55">
        <f t="shared" si="147"/>
        <v>0</v>
      </c>
      <c r="Q662" s="54">
        <f t="shared" si="148"/>
        <v>0</v>
      </c>
      <c r="R662" s="47"/>
      <c r="T662" s="57"/>
      <c r="U662" s="45"/>
      <c r="V662" s="46">
        <f>IF(U662&lt;&gt;"",VLOOKUP(U662,'Tipo Projeto'!$A$3:$B$35,2,0),0)</f>
        <v>0</v>
      </c>
      <c r="W662" s="47"/>
      <c r="X662" s="49"/>
      <c r="Y662" s="50"/>
      <c r="Z662" s="51"/>
      <c r="AA662" s="52"/>
      <c r="AB662" s="53" t="str">
        <f t="shared" si="149"/>
        <v/>
      </c>
      <c r="AC662" s="48" t="str">
        <f t="shared" si="150"/>
        <v/>
      </c>
      <c r="AD662" s="54" t="str">
        <f t="shared" si="151"/>
        <v/>
      </c>
      <c r="AE662" s="55">
        <f t="shared" si="152"/>
        <v>0</v>
      </c>
      <c r="AF662" s="55">
        <f t="shared" si="153"/>
        <v>0</v>
      </c>
      <c r="AG662" s="58">
        <f t="shared" si="154"/>
        <v>0</v>
      </c>
      <c r="AH662" s="47"/>
      <c r="AJ662" s="47"/>
      <c r="AL662" s="47"/>
      <c r="AM662" s="47" t="str">
        <f t="shared" si="155"/>
        <v/>
      </c>
    </row>
    <row r="663" spans="1:39" s="56" customFormat="1" ht="24.75" customHeight="1">
      <c r="A663" s="44"/>
      <c r="B663" s="45"/>
      <c r="C663" s="46">
        <f>IF(B663&lt;&gt;"",VLOOKUP(B663,'Tipo Projeto'!$A$3:$B$35,2,0),0)</f>
        <v>0</v>
      </c>
      <c r="D663" s="47"/>
      <c r="E663" s="47"/>
      <c r="F663" s="48"/>
      <c r="G663" s="47"/>
      <c r="H663" s="49"/>
      <c r="I663" s="50"/>
      <c r="J663" s="51"/>
      <c r="K663" s="52"/>
      <c r="L663" s="53" t="str">
        <f t="shared" si="143"/>
        <v/>
      </c>
      <c r="M663" s="48" t="str">
        <f t="shared" si="144"/>
        <v/>
      </c>
      <c r="N663" s="54" t="str">
        <f t="shared" si="145"/>
        <v/>
      </c>
      <c r="O663" s="55">
        <f t="shared" si="146"/>
        <v>0</v>
      </c>
      <c r="P663" s="55">
        <f t="shared" si="147"/>
        <v>0</v>
      </c>
      <c r="Q663" s="54">
        <f t="shared" si="148"/>
        <v>0</v>
      </c>
      <c r="R663" s="47"/>
      <c r="T663" s="57"/>
      <c r="U663" s="45"/>
      <c r="V663" s="46">
        <f>IF(U663&lt;&gt;"",VLOOKUP(U663,'Tipo Projeto'!$A$3:$B$35,2,0),0)</f>
        <v>0</v>
      </c>
      <c r="W663" s="47"/>
      <c r="X663" s="49"/>
      <c r="Y663" s="50"/>
      <c r="Z663" s="51"/>
      <c r="AA663" s="52"/>
      <c r="AB663" s="53" t="str">
        <f t="shared" si="149"/>
        <v/>
      </c>
      <c r="AC663" s="48" t="str">
        <f t="shared" si="150"/>
        <v/>
      </c>
      <c r="AD663" s="54" t="str">
        <f t="shared" si="151"/>
        <v/>
      </c>
      <c r="AE663" s="55">
        <f t="shared" si="152"/>
        <v>0</v>
      </c>
      <c r="AF663" s="55">
        <f t="shared" si="153"/>
        <v>0</v>
      </c>
      <c r="AG663" s="58">
        <f t="shared" si="154"/>
        <v>0</v>
      </c>
      <c r="AH663" s="47"/>
      <c r="AJ663" s="47"/>
      <c r="AL663" s="47"/>
      <c r="AM663" s="47" t="str">
        <f t="shared" si="155"/>
        <v/>
      </c>
    </row>
    <row r="664" spans="1:39" s="56" customFormat="1" ht="24.75" customHeight="1">
      <c r="A664" s="44"/>
      <c r="B664" s="45"/>
      <c r="C664" s="46">
        <f>IF(B664&lt;&gt;"",VLOOKUP(B664,'Tipo Projeto'!$A$3:$B$35,2,0),0)</f>
        <v>0</v>
      </c>
      <c r="D664" s="47"/>
      <c r="E664" s="47"/>
      <c r="F664" s="48"/>
      <c r="G664" s="47"/>
      <c r="H664" s="49"/>
      <c r="I664" s="50"/>
      <c r="J664" s="51"/>
      <c r="K664" s="52"/>
      <c r="L664" s="53" t="str">
        <f t="shared" si="143"/>
        <v/>
      </c>
      <c r="M664" s="48" t="str">
        <f t="shared" si="144"/>
        <v/>
      </c>
      <c r="N664" s="54" t="str">
        <f t="shared" si="145"/>
        <v/>
      </c>
      <c r="O664" s="55">
        <f t="shared" si="146"/>
        <v>0</v>
      </c>
      <c r="P664" s="55">
        <f t="shared" si="147"/>
        <v>0</v>
      </c>
      <c r="Q664" s="54">
        <f t="shared" si="148"/>
        <v>0</v>
      </c>
      <c r="R664" s="47"/>
      <c r="T664" s="57"/>
      <c r="U664" s="45"/>
      <c r="V664" s="46">
        <f>IF(U664&lt;&gt;"",VLOOKUP(U664,'Tipo Projeto'!$A$3:$B$35,2,0),0)</f>
        <v>0</v>
      </c>
      <c r="W664" s="47"/>
      <c r="X664" s="49"/>
      <c r="Y664" s="50"/>
      <c r="Z664" s="51"/>
      <c r="AA664" s="52"/>
      <c r="AB664" s="53" t="str">
        <f t="shared" si="149"/>
        <v/>
      </c>
      <c r="AC664" s="48" t="str">
        <f t="shared" si="150"/>
        <v/>
      </c>
      <c r="AD664" s="54" t="str">
        <f t="shared" si="151"/>
        <v/>
      </c>
      <c r="AE664" s="55">
        <f t="shared" si="152"/>
        <v>0</v>
      </c>
      <c r="AF664" s="55">
        <f t="shared" si="153"/>
        <v>0</v>
      </c>
      <c r="AG664" s="58">
        <f t="shared" si="154"/>
        <v>0</v>
      </c>
      <c r="AH664" s="47"/>
      <c r="AJ664" s="47"/>
      <c r="AL664" s="47"/>
      <c r="AM664" s="47" t="str">
        <f t="shared" si="155"/>
        <v/>
      </c>
    </row>
    <row r="665" spans="1:39" s="56" customFormat="1" ht="24.75" customHeight="1">
      <c r="A665" s="44"/>
      <c r="B665" s="45"/>
      <c r="C665" s="46">
        <f>IF(B665&lt;&gt;"",VLOOKUP(B665,'Tipo Projeto'!$A$3:$B$35,2,0),0)</f>
        <v>0</v>
      </c>
      <c r="D665" s="47"/>
      <c r="E665" s="47"/>
      <c r="F665" s="48"/>
      <c r="G665" s="47"/>
      <c r="H665" s="49"/>
      <c r="I665" s="50"/>
      <c r="J665" s="51"/>
      <c r="K665" s="52"/>
      <c r="L665" s="53" t="str">
        <f t="shared" si="143"/>
        <v/>
      </c>
      <c r="M665" s="48" t="str">
        <f t="shared" si="144"/>
        <v/>
      </c>
      <c r="N665" s="54" t="str">
        <f t="shared" si="145"/>
        <v/>
      </c>
      <c r="O665" s="55">
        <f t="shared" si="146"/>
        <v>0</v>
      </c>
      <c r="P665" s="55">
        <f t="shared" si="147"/>
        <v>0</v>
      </c>
      <c r="Q665" s="54">
        <f t="shared" si="148"/>
        <v>0</v>
      </c>
      <c r="R665" s="47"/>
      <c r="T665" s="57"/>
      <c r="U665" s="45"/>
      <c r="V665" s="46">
        <f>IF(U665&lt;&gt;"",VLOOKUP(U665,'Tipo Projeto'!$A$3:$B$35,2,0),0)</f>
        <v>0</v>
      </c>
      <c r="W665" s="47"/>
      <c r="X665" s="49"/>
      <c r="Y665" s="50"/>
      <c r="Z665" s="51"/>
      <c r="AA665" s="52"/>
      <c r="AB665" s="53" t="str">
        <f t="shared" si="149"/>
        <v/>
      </c>
      <c r="AC665" s="48" t="str">
        <f t="shared" si="150"/>
        <v/>
      </c>
      <c r="AD665" s="54" t="str">
        <f t="shared" si="151"/>
        <v/>
      </c>
      <c r="AE665" s="55">
        <f t="shared" si="152"/>
        <v>0</v>
      </c>
      <c r="AF665" s="55">
        <f t="shared" si="153"/>
        <v>0</v>
      </c>
      <c r="AG665" s="58">
        <f t="shared" si="154"/>
        <v>0</v>
      </c>
      <c r="AH665" s="47"/>
      <c r="AJ665" s="47"/>
      <c r="AL665" s="47"/>
      <c r="AM665" s="47" t="str">
        <f t="shared" si="155"/>
        <v/>
      </c>
    </row>
    <row r="666" spans="1:39" s="56" customFormat="1" ht="24.75" customHeight="1">
      <c r="A666" s="44"/>
      <c r="B666" s="45"/>
      <c r="C666" s="46">
        <f>IF(B666&lt;&gt;"",VLOOKUP(B666,'Tipo Projeto'!$A$3:$B$35,2,0),0)</f>
        <v>0</v>
      </c>
      <c r="D666" s="47"/>
      <c r="E666" s="47"/>
      <c r="F666" s="48"/>
      <c r="G666" s="47"/>
      <c r="H666" s="49"/>
      <c r="I666" s="50"/>
      <c r="J666" s="51"/>
      <c r="K666" s="52"/>
      <c r="L666" s="53" t="str">
        <f t="shared" si="143"/>
        <v/>
      </c>
      <c r="M666" s="48" t="str">
        <f t="shared" si="144"/>
        <v/>
      </c>
      <c r="N666" s="54" t="str">
        <f t="shared" si="145"/>
        <v/>
      </c>
      <c r="O666" s="55">
        <f t="shared" si="146"/>
        <v>0</v>
      </c>
      <c r="P666" s="55">
        <f t="shared" si="147"/>
        <v>0</v>
      </c>
      <c r="Q666" s="54">
        <f t="shared" si="148"/>
        <v>0</v>
      </c>
      <c r="R666" s="47"/>
      <c r="T666" s="57"/>
      <c r="U666" s="45"/>
      <c r="V666" s="46">
        <f>IF(U666&lt;&gt;"",VLOOKUP(U666,'Tipo Projeto'!$A$3:$B$35,2,0),0)</f>
        <v>0</v>
      </c>
      <c r="W666" s="47"/>
      <c r="X666" s="49"/>
      <c r="Y666" s="50"/>
      <c r="Z666" s="51"/>
      <c r="AA666" s="52"/>
      <c r="AB666" s="53" t="str">
        <f t="shared" si="149"/>
        <v/>
      </c>
      <c r="AC666" s="48" t="str">
        <f t="shared" si="150"/>
        <v/>
      </c>
      <c r="AD666" s="54" t="str">
        <f t="shared" si="151"/>
        <v/>
      </c>
      <c r="AE666" s="55">
        <f t="shared" si="152"/>
        <v>0</v>
      </c>
      <c r="AF666" s="55">
        <f t="shared" si="153"/>
        <v>0</v>
      </c>
      <c r="AG666" s="58">
        <f t="shared" si="154"/>
        <v>0</v>
      </c>
      <c r="AH666" s="47"/>
      <c r="AJ666" s="47"/>
      <c r="AL666" s="47"/>
      <c r="AM666" s="47" t="str">
        <f t="shared" si="155"/>
        <v/>
      </c>
    </row>
    <row r="667" spans="1:39" s="56" customFormat="1" ht="24.75" customHeight="1">
      <c r="A667" s="44"/>
      <c r="B667" s="45"/>
      <c r="C667" s="46">
        <f>IF(B667&lt;&gt;"",VLOOKUP(B667,'Tipo Projeto'!$A$3:$B$35,2,0),0)</f>
        <v>0</v>
      </c>
      <c r="D667" s="47"/>
      <c r="E667" s="47"/>
      <c r="F667" s="48"/>
      <c r="G667" s="47"/>
      <c r="H667" s="49"/>
      <c r="I667" s="50"/>
      <c r="J667" s="51"/>
      <c r="K667" s="52"/>
      <c r="L667" s="53" t="str">
        <f t="shared" si="143"/>
        <v/>
      </c>
      <c r="M667" s="48" t="str">
        <f t="shared" si="144"/>
        <v/>
      </c>
      <c r="N667" s="54" t="str">
        <f t="shared" si="145"/>
        <v/>
      </c>
      <c r="O667" s="55">
        <f t="shared" si="146"/>
        <v>0</v>
      </c>
      <c r="P667" s="55">
        <f t="shared" si="147"/>
        <v>0</v>
      </c>
      <c r="Q667" s="54">
        <f t="shared" si="148"/>
        <v>0</v>
      </c>
      <c r="R667" s="47"/>
      <c r="T667" s="57"/>
      <c r="U667" s="45"/>
      <c r="V667" s="46">
        <f>IF(U667&lt;&gt;"",VLOOKUP(U667,'Tipo Projeto'!$A$3:$B$35,2,0),0)</f>
        <v>0</v>
      </c>
      <c r="W667" s="47"/>
      <c r="X667" s="49"/>
      <c r="Y667" s="50"/>
      <c r="Z667" s="51"/>
      <c r="AA667" s="52"/>
      <c r="AB667" s="53" t="str">
        <f t="shared" si="149"/>
        <v/>
      </c>
      <c r="AC667" s="48" t="str">
        <f t="shared" si="150"/>
        <v/>
      </c>
      <c r="AD667" s="54" t="str">
        <f t="shared" si="151"/>
        <v/>
      </c>
      <c r="AE667" s="55">
        <f t="shared" si="152"/>
        <v>0</v>
      </c>
      <c r="AF667" s="55">
        <f t="shared" si="153"/>
        <v>0</v>
      </c>
      <c r="AG667" s="58">
        <f t="shared" si="154"/>
        <v>0</v>
      </c>
      <c r="AH667" s="47"/>
      <c r="AJ667" s="47"/>
      <c r="AL667" s="47"/>
      <c r="AM667" s="47" t="str">
        <f t="shared" si="155"/>
        <v/>
      </c>
    </row>
    <row r="668" spans="1:39" s="56" customFormat="1" ht="24.75" customHeight="1">
      <c r="A668" s="44"/>
      <c r="B668" s="45"/>
      <c r="C668" s="46">
        <f>IF(B668&lt;&gt;"",VLOOKUP(B668,'Tipo Projeto'!$A$3:$B$35,2,0),0)</f>
        <v>0</v>
      </c>
      <c r="D668" s="47"/>
      <c r="E668" s="47"/>
      <c r="F668" s="48"/>
      <c r="G668" s="47"/>
      <c r="H668" s="49"/>
      <c r="I668" s="50"/>
      <c r="J668" s="51"/>
      <c r="K668" s="52"/>
      <c r="L668" s="53" t="str">
        <f t="shared" si="143"/>
        <v/>
      </c>
      <c r="M668" s="48" t="str">
        <f t="shared" si="144"/>
        <v/>
      </c>
      <c r="N668" s="54" t="str">
        <f t="shared" si="145"/>
        <v/>
      </c>
      <c r="O668" s="55">
        <f t="shared" si="146"/>
        <v>0</v>
      </c>
      <c r="P668" s="55">
        <f t="shared" si="147"/>
        <v>0</v>
      </c>
      <c r="Q668" s="54">
        <f t="shared" si="148"/>
        <v>0</v>
      </c>
      <c r="R668" s="47"/>
      <c r="T668" s="57"/>
      <c r="U668" s="45"/>
      <c r="V668" s="46">
        <f>IF(U668&lt;&gt;"",VLOOKUP(U668,'Tipo Projeto'!$A$3:$B$35,2,0),0)</f>
        <v>0</v>
      </c>
      <c r="W668" s="47"/>
      <c r="X668" s="49"/>
      <c r="Y668" s="50"/>
      <c r="Z668" s="51"/>
      <c r="AA668" s="52"/>
      <c r="AB668" s="53" t="str">
        <f t="shared" si="149"/>
        <v/>
      </c>
      <c r="AC668" s="48" t="str">
        <f t="shared" si="150"/>
        <v/>
      </c>
      <c r="AD668" s="54" t="str">
        <f t="shared" si="151"/>
        <v/>
      </c>
      <c r="AE668" s="55">
        <f t="shared" si="152"/>
        <v>0</v>
      </c>
      <c r="AF668" s="55">
        <f t="shared" si="153"/>
        <v>0</v>
      </c>
      <c r="AG668" s="58">
        <f t="shared" si="154"/>
        <v>0</v>
      </c>
      <c r="AH668" s="47"/>
      <c r="AJ668" s="47"/>
      <c r="AL668" s="47"/>
      <c r="AM668" s="47" t="str">
        <f t="shared" si="155"/>
        <v/>
      </c>
    </row>
    <row r="669" spans="1:39" s="56" customFormat="1" ht="24.75" customHeight="1">
      <c r="A669" s="44"/>
      <c r="B669" s="45"/>
      <c r="C669" s="46">
        <f>IF(B669&lt;&gt;"",VLOOKUP(B669,'Tipo Projeto'!$A$3:$B$35,2,0),0)</f>
        <v>0</v>
      </c>
      <c r="D669" s="47"/>
      <c r="E669" s="47"/>
      <c r="F669" s="48"/>
      <c r="G669" s="47"/>
      <c r="H669" s="49"/>
      <c r="I669" s="50"/>
      <c r="J669" s="51"/>
      <c r="K669" s="52"/>
      <c r="L669" s="53" t="str">
        <f t="shared" si="143"/>
        <v/>
      </c>
      <c r="M669" s="48" t="str">
        <f t="shared" si="144"/>
        <v/>
      </c>
      <c r="N669" s="54" t="str">
        <f t="shared" si="145"/>
        <v/>
      </c>
      <c r="O669" s="55">
        <f t="shared" si="146"/>
        <v>0</v>
      </c>
      <c r="P669" s="55">
        <f t="shared" si="147"/>
        <v>0</v>
      </c>
      <c r="Q669" s="54">
        <f t="shared" si="148"/>
        <v>0</v>
      </c>
      <c r="R669" s="47"/>
      <c r="T669" s="57"/>
      <c r="U669" s="45"/>
      <c r="V669" s="46">
        <f>IF(U669&lt;&gt;"",VLOOKUP(U669,'Tipo Projeto'!$A$3:$B$35,2,0),0)</f>
        <v>0</v>
      </c>
      <c r="W669" s="47"/>
      <c r="X669" s="49"/>
      <c r="Y669" s="50"/>
      <c r="Z669" s="51"/>
      <c r="AA669" s="52"/>
      <c r="AB669" s="53" t="str">
        <f t="shared" si="149"/>
        <v/>
      </c>
      <c r="AC669" s="48" t="str">
        <f t="shared" si="150"/>
        <v/>
      </c>
      <c r="AD669" s="54" t="str">
        <f t="shared" si="151"/>
        <v/>
      </c>
      <c r="AE669" s="55">
        <f t="shared" si="152"/>
        <v>0</v>
      </c>
      <c r="AF669" s="55">
        <f t="shared" si="153"/>
        <v>0</v>
      </c>
      <c r="AG669" s="58">
        <f t="shared" si="154"/>
        <v>0</v>
      </c>
      <c r="AH669" s="47"/>
      <c r="AJ669" s="47"/>
      <c r="AL669" s="47"/>
      <c r="AM669" s="47" t="str">
        <f t="shared" si="155"/>
        <v/>
      </c>
    </row>
    <row r="670" spans="1:39" s="56" customFormat="1" ht="24.75" customHeight="1">
      <c r="A670" s="44"/>
      <c r="B670" s="45"/>
      <c r="C670" s="46">
        <f>IF(B670&lt;&gt;"",VLOOKUP(B670,'Tipo Projeto'!$A$3:$B$35,2,0),0)</f>
        <v>0</v>
      </c>
      <c r="D670" s="47"/>
      <c r="E670" s="47"/>
      <c r="F670" s="48"/>
      <c r="G670" s="47"/>
      <c r="H670" s="49"/>
      <c r="I670" s="50"/>
      <c r="J670" s="51"/>
      <c r="K670" s="52"/>
      <c r="L670" s="53" t="str">
        <f t="shared" si="143"/>
        <v/>
      </c>
      <c r="M670" s="48" t="str">
        <f t="shared" si="144"/>
        <v/>
      </c>
      <c r="N670" s="54" t="str">
        <f t="shared" si="145"/>
        <v/>
      </c>
      <c r="O670" s="55">
        <f t="shared" si="146"/>
        <v>0</v>
      </c>
      <c r="P670" s="55">
        <f t="shared" si="147"/>
        <v>0</v>
      </c>
      <c r="Q670" s="54">
        <f t="shared" si="148"/>
        <v>0</v>
      </c>
      <c r="R670" s="47"/>
      <c r="T670" s="57"/>
      <c r="U670" s="45"/>
      <c r="V670" s="46">
        <f>IF(U670&lt;&gt;"",VLOOKUP(U670,'Tipo Projeto'!$A$3:$B$35,2,0),0)</f>
        <v>0</v>
      </c>
      <c r="W670" s="47"/>
      <c r="X670" s="49"/>
      <c r="Y670" s="50"/>
      <c r="Z670" s="51"/>
      <c r="AA670" s="52"/>
      <c r="AB670" s="53" t="str">
        <f t="shared" si="149"/>
        <v/>
      </c>
      <c r="AC670" s="48" t="str">
        <f t="shared" si="150"/>
        <v/>
      </c>
      <c r="AD670" s="54" t="str">
        <f t="shared" si="151"/>
        <v/>
      </c>
      <c r="AE670" s="55">
        <f t="shared" si="152"/>
        <v>0</v>
      </c>
      <c r="AF670" s="55">
        <f t="shared" si="153"/>
        <v>0</v>
      </c>
      <c r="AG670" s="58">
        <f t="shared" si="154"/>
        <v>0</v>
      </c>
      <c r="AH670" s="47"/>
      <c r="AJ670" s="47"/>
      <c r="AL670" s="47"/>
      <c r="AM670" s="47" t="str">
        <f t="shared" si="155"/>
        <v/>
      </c>
    </row>
    <row r="671" spans="1:39" s="56" customFormat="1" ht="24.75" customHeight="1">
      <c r="A671" s="44"/>
      <c r="B671" s="45"/>
      <c r="C671" s="46">
        <f>IF(B671&lt;&gt;"",VLOOKUP(B671,'Tipo Projeto'!$A$3:$B$35,2,0),0)</f>
        <v>0</v>
      </c>
      <c r="D671" s="47"/>
      <c r="E671" s="47"/>
      <c r="F671" s="48"/>
      <c r="G671" s="47"/>
      <c r="H671" s="49"/>
      <c r="I671" s="50"/>
      <c r="J671" s="51"/>
      <c r="K671" s="52"/>
      <c r="L671" s="53" t="str">
        <f t="shared" si="143"/>
        <v/>
      </c>
      <c r="M671" s="48" t="str">
        <f t="shared" si="144"/>
        <v/>
      </c>
      <c r="N671" s="54" t="str">
        <f t="shared" si="145"/>
        <v/>
      </c>
      <c r="O671" s="55">
        <f t="shared" si="146"/>
        <v>0</v>
      </c>
      <c r="P671" s="55">
        <f t="shared" si="147"/>
        <v>0</v>
      </c>
      <c r="Q671" s="54">
        <f t="shared" si="148"/>
        <v>0</v>
      </c>
      <c r="R671" s="47"/>
      <c r="T671" s="57"/>
      <c r="U671" s="45"/>
      <c r="V671" s="46">
        <f>IF(U671&lt;&gt;"",VLOOKUP(U671,'Tipo Projeto'!$A$3:$B$35,2,0),0)</f>
        <v>0</v>
      </c>
      <c r="W671" s="47"/>
      <c r="X671" s="49"/>
      <c r="Y671" s="50"/>
      <c r="Z671" s="51"/>
      <c r="AA671" s="52"/>
      <c r="AB671" s="53" t="str">
        <f t="shared" si="149"/>
        <v/>
      </c>
      <c r="AC671" s="48" t="str">
        <f t="shared" si="150"/>
        <v/>
      </c>
      <c r="AD671" s="54" t="str">
        <f t="shared" si="151"/>
        <v/>
      </c>
      <c r="AE671" s="55">
        <f t="shared" si="152"/>
        <v>0</v>
      </c>
      <c r="AF671" s="55">
        <f t="shared" si="153"/>
        <v>0</v>
      </c>
      <c r="AG671" s="58">
        <f t="shared" si="154"/>
        <v>0</v>
      </c>
      <c r="AH671" s="47"/>
      <c r="AJ671" s="47"/>
      <c r="AL671" s="47"/>
      <c r="AM671" s="47" t="str">
        <f t="shared" si="155"/>
        <v/>
      </c>
    </row>
    <row r="672" spans="1:39" s="56" customFormat="1" ht="24.75" customHeight="1">
      <c r="A672" s="44"/>
      <c r="B672" s="45"/>
      <c r="C672" s="46">
        <f>IF(B672&lt;&gt;"",VLOOKUP(B672,'Tipo Projeto'!$A$3:$B$35,2,0),0)</f>
        <v>0</v>
      </c>
      <c r="D672" s="47"/>
      <c r="E672" s="47"/>
      <c r="F672" s="48"/>
      <c r="G672" s="47"/>
      <c r="H672" s="49"/>
      <c r="I672" s="50"/>
      <c r="J672" s="51"/>
      <c r="K672" s="52"/>
      <c r="L672" s="53" t="str">
        <f t="shared" si="143"/>
        <v/>
      </c>
      <c r="M672" s="48" t="str">
        <f t="shared" si="144"/>
        <v/>
      </c>
      <c r="N672" s="54" t="str">
        <f t="shared" si="145"/>
        <v/>
      </c>
      <c r="O672" s="55">
        <f t="shared" si="146"/>
        <v>0</v>
      </c>
      <c r="P672" s="55">
        <f t="shared" si="147"/>
        <v>0</v>
      </c>
      <c r="Q672" s="54">
        <f t="shared" si="148"/>
        <v>0</v>
      </c>
      <c r="R672" s="47"/>
      <c r="T672" s="57"/>
      <c r="U672" s="45"/>
      <c r="V672" s="46">
        <f>IF(U672&lt;&gt;"",VLOOKUP(U672,'Tipo Projeto'!$A$3:$B$35,2,0),0)</f>
        <v>0</v>
      </c>
      <c r="W672" s="47"/>
      <c r="X672" s="49"/>
      <c r="Y672" s="50"/>
      <c r="Z672" s="51"/>
      <c r="AA672" s="52"/>
      <c r="AB672" s="53" t="str">
        <f t="shared" si="149"/>
        <v/>
      </c>
      <c r="AC672" s="48" t="str">
        <f t="shared" si="150"/>
        <v/>
      </c>
      <c r="AD672" s="54" t="str">
        <f t="shared" si="151"/>
        <v/>
      </c>
      <c r="AE672" s="55">
        <f t="shared" si="152"/>
        <v>0</v>
      </c>
      <c r="AF672" s="55">
        <f t="shared" si="153"/>
        <v>0</v>
      </c>
      <c r="AG672" s="58">
        <f t="shared" si="154"/>
        <v>0</v>
      </c>
      <c r="AH672" s="47"/>
      <c r="AJ672" s="47"/>
      <c r="AL672" s="47"/>
      <c r="AM672" s="47" t="str">
        <f t="shared" si="155"/>
        <v/>
      </c>
    </row>
    <row r="673" spans="1:39" s="56" customFormat="1" ht="24.75" customHeight="1">
      <c r="A673" s="44"/>
      <c r="B673" s="45"/>
      <c r="C673" s="46">
        <f>IF(B673&lt;&gt;"",VLOOKUP(B673,'Tipo Projeto'!$A$3:$B$35,2,0),0)</f>
        <v>0</v>
      </c>
      <c r="D673" s="47"/>
      <c r="E673" s="47"/>
      <c r="F673" s="48"/>
      <c r="G673" s="47"/>
      <c r="H673" s="49"/>
      <c r="I673" s="50"/>
      <c r="J673" s="51"/>
      <c r="K673" s="52"/>
      <c r="L673" s="53" t="str">
        <f t="shared" si="143"/>
        <v/>
      </c>
      <c r="M673" s="48" t="str">
        <f t="shared" si="144"/>
        <v/>
      </c>
      <c r="N673" s="54" t="str">
        <f t="shared" si="145"/>
        <v/>
      </c>
      <c r="O673" s="55">
        <f t="shared" si="146"/>
        <v>0</v>
      </c>
      <c r="P673" s="55">
        <f t="shared" si="147"/>
        <v>0</v>
      </c>
      <c r="Q673" s="54">
        <f t="shared" si="148"/>
        <v>0</v>
      </c>
      <c r="R673" s="47"/>
      <c r="T673" s="57"/>
      <c r="U673" s="45"/>
      <c r="V673" s="46">
        <f>IF(U673&lt;&gt;"",VLOOKUP(U673,'Tipo Projeto'!$A$3:$B$35,2,0),0)</f>
        <v>0</v>
      </c>
      <c r="W673" s="47"/>
      <c r="X673" s="49"/>
      <c r="Y673" s="50"/>
      <c r="Z673" s="51"/>
      <c r="AA673" s="52"/>
      <c r="AB673" s="53" t="str">
        <f t="shared" si="149"/>
        <v/>
      </c>
      <c r="AC673" s="48" t="str">
        <f t="shared" si="150"/>
        <v/>
      </c>
      <c r="AD673" s="54" t="str">
        <f t="shared" si="151"/>
        <v/>
      </c>
      <c r="AE673" s="55">
        <f t="shared" si="152"/>
        <v>0</v>
      </c>
      <c r="AF673" s="55">
        <f t="shared" si="153"/>
        <v>0</v>
      </c>
      <c r="AG673" s="58">
        <f t="shared" si="154"/>
        <v>0</v>
      </c>
      <c r="AH673" s="47"/>
      <c r="AJ673" s="47"/>
      <c r="AL673" s="47"/>
      <c r="AM673" s="47" t="str">
        <f t="shared" si="155"/>
        <v/>
      </c>
    </row>
    <row r="674" spans="1:39" s="56" customFormat="1" ht="24.75" customHeight="1">
      <c r="A674" s="44"/>
      <c r="B674" s="45"/>
      <c r="C674" s="46">
        <f>IF(B674&lt;&gt;"",VLOOKUP(B674,'Tipo Projeto'!$A$3:$B$35,2,0),0)</f>
        <v>0</v>
      </c>
      <c r="D674" s="47"/>
      <c r="E674" s="47"/>
      <c r="F674" s="48"/>
      <c r="G674" s="47"/>
      <c r="H674" s="49"/>
      <c r="I674" s="50"/>
      <c r="J674" s="51"/>
      <c r="K674" s="52"/>
      <c r="L674" s="53" t="str">
        <f t="shared" si="143"/>
        <v/>
      </c>
      <c r="M674" s="48" t="str">
        <f t="shared" si="144"/>
        <v/>
      </c>
      <c r="N674" s="54" t="str">
        <f t="shared" si="145"/>
        <v/>
      </c>
      <c r="O674" s="55">
        <f t="shared" si="146"/>
        <v>0</v>
      </c>
      <c r="P674" s="55">
        <f t="shared" si="147"/>
        <v>0</v>
      </c>
      <c r="Q674" s="54">
        <f t="shared" si="148"/>
        <v>0</v>
      </c>
      <c r="R674" s="47"/>
      <c r="T674" s="57"/>
      <c r="U674" s="45"/>
      <c r="V674" s="46">
        <f>IF(U674&lt;&gt;"",VLOOKUP(U674,'Tipo Projeto'!$A$3:$B$35,2,0),0)</f>
        <v>0</v>
      </c>
      <c r="W674" s="47"/>
      <c r="X674" s="49"/>
      <c r="Y674" s="50"/>
      <c r="Z674" s="51"/>
      <c r="AA674" s="52"/>
      <c r="AB674" s="53" t="str">
        <f t="shared" si="149"/>
        <v/>
      </c>
      <c r="AC674" s="48" t="str">
        <f t="shared" si="150"/>
        <v/>
      </c>
      <c r="AD674" s="54" t="str">
        <f t="shared" si="151"/>
        <v/>
      </c>
      <c r="AE674" s="55">
        <f t="shared" si="152"/>
        <v>0</v>
      </c>
      <c r="AF674" s="55">
        <f t="shared" si="153"/>
        <v>0</v>
      </c>
      <c r="AG674" s="58">
        <f t="shared" si="154"/>
        <v>0</v>
      </c>
      <c r="AH674" s="47"/>
      <c r="AJ674" s="47"/>
      <c r="AL674" s="47"/>
      <c r="AM674" s="47" t="str">
        <f t="shared" si="155"/>
        <v/>
      </c>
    </row>
    <row r="675" spans="1:39" s="56" customFormat="1" ht="24.75" customHeight="1">
      <c r="A675" s="44"/>
      <c r="B675" s="45"/>
      <c r="C675" s="46">
        <f>IF(B675&lt;&gt;"",VLOOKUP(B675,'Tipo Projeto'!$A$3:$B$35,2,0),0)</f>
        <v>0</v>
      </c>
      <c r="D675" s="47"/>
      <c r="E675" s="47"/>
      <c r="F675" s="48"/>
      <c r="G675" s="47"/>
      <c r="H675" s="49"/>
      <c r="I675" s="50"/>
      <c r="J675" s="51"/>
      <c r="K675" s="52"/>
      <c r="L675" s="53" t="str">
        <f t="shared" si="143"/>
        <v/>
      </c>
      <c r="M675" s="48" t="str">
        <f t="shared" si="144"/>
        <v/>
      </c>
      <c r="N675" s="54" t="str">
        <f t="shared" si="145"/>
        <v/>
      </c>
      <c r="O675" s="55">
        <f t="shared" si="146"/>
        <v>0</v>
      </c>
      <c r="P675" s="55">
        <f t="shared" si="147"/>
        <v>0</v>
      </c>
      <c r="Q675" s="54">
        <f t="shared" si="148"/>
        <v>0</v>
      </c>
      <c r="R675" s="47"/>
      <c r="T675" s="57"/>
      <c r="U675" s="45"/>
      <c r="V675" s="46">
        <f>IF(U675&lt;&gt;"",VLOOKUP(U675,'Tipo Projeto'!$A$3:$B$35,2,0),0)</f>
        <v>0</v>
      </c>
      <c r="W675" s="47"/>
      <c r="X675" s="49"/>
      <c r="Y675" s="50"/>
      <c r="Z675" s="51"/>
      <c r="AA675" s="52"/>
      <c r="AB675" s="53" t="str">
        <f t="shared" si="149"/>
        <v/>
      </c>
      <c r="AC675" s="48" t="str">
        <f t="shared" si="150"/>
        <v/>
      </c>
      <c r="AD675" s="54" t="str">
        <f t="shared" si="151"/>
        <v/>
      </c>
      <c r="AE675" s="55">
        <f t="shared" si="152"/>
        <v>0</v>
      </c>
      <c r="AF675" s="55">
        <f t="shared" si="153"/>
        <v>0</v>
      </c>
      <c r="AG675" s="58">
        <f t="shared" si="154"/>
        <v>0</v>
      </c>
      <c r="AH675" s="47"/>
      <c r="AJ675" s="47"/>
      <c r="AL675" s="47"/>
      <c r="AM675" s="47" t="str">
        <f t="shared" si="155"/>
        <v/>
      </c>
    </row>
    <row r="676" spans="1:39" s="56" customFormat="1" ht="24.75" customHeight="1">
      <c r="A676" s="44"/>
      <c r="B676" s="45"/>
      <c r="C676" s="46">
        <f>IF(B676&lt;&gt;"",VLOOKUP(B676,'Tipo Projeto'!$A$3:$B$35,2,0),0)</f>
        <v>0</v>
      </c>
      <c r="D676" s="47"/>
      <c r="E676" s="47"/>
      <c r="F676" s="48"/>
      <c r="G676" s="47"/>
      <c r="H676" s="49"/>
      <c r="I676" s="50"/>
      <c r="J676" s="51"/>
      <c r="K676" s="52"/>
      <c r="L676" s="53" t="str">
        <f t="shared" si="143"/>
        <v/>
      </c>
      <c r="M676" s="48" t="str">
        <f t="shared" si="144"/>
        <v/>
      </c>
      <c r="N676" s="54" t="str">
        <f t="shared" si="145"/>
        <v/>
      </c>
      <c r="O676" s="55">
        <f t="shared" si="146"/>
        <v>0</v>
      </c>
      <c r="P676" s="55">
        <f t="shared" si="147"/>
        <v>0</v>
      </c>
      <c r="Q676" s="54">
        <f t="shared" si="148"/>
        <v>0</v>
      </c>
      <c r="R676" s="47"/>
      <c r="T676" s="57"/>
      <c r="U676" s="45"/>
      <c r="V676" s="46">
        <f>IF(U676&lt;&gt;"",VLOOKUP(U676,'Tipo Projeto'!$A$3:$B$35,2,0),0)</f>
        <v>0</v>
      </c>
      <c r="W676" s="47"/>
      <c r="X676" s="49"/>
      <c r="Y676" s="50"/>
      <c r="Z676" s="51"/>
      <c r="AA676" s="52"/>
      <c r="AB676" s="53" t="str">
        <f t="shared" si="149"/>
        <v/>
      </c>
      <c r="AC676" s="48" t="str">
        <f t="shared" si="150"/>
        <v/>
      </c>
      <c r="AD676" s="54" t="str">
        <f t="shared" si="151"/>
        <v/>
      </c>
      <c r="AE676" s="55">
        <f t="shared" si="152"/>
        <v>0</v>
      </c>
      <c r="AF676" s="55">
        <f t="shared" si="153"/>
        <v>0</v>
      </c>
      <c r="AG676" s="58">
        <f t="shared" si="154"/>
        <v>0</v>
      </c>
      <c r="AH676" s="47"/>
      <c r="AJ676" s="47"/>
      <c r="AL676" s="47"/>
      <c r="AM676" s="47" t="str">
        <f t="shared" si="155"/>
        <v/>
      </c>
    </row>
    <row r="677" spans="1:39" s="56" customFormat="1" ht="24.75" customHeight="1">
      <c r="A677" s="44"/>
      <c r="B677" s="45"/>
      <c r="C677" s="46">
        <f>IF(B677&lt;&gt;"",VLOOKUP(B677,'Tipo Projeto'!$A$3:$B$35,2,0),0)</f>
        <v>0</v>
      </c>
      <c r="D677" s="47"/>
      <c r="E677" s="47"/>
      <c r="F677" s="48"/>
      <c r="G677" s="47"/>
      <c r="H677" s="49"/>
      <c r="I677" s="50"/>
      <c r="J677" s="51"/>
      <c r="K677" s="52"/>
      <c r="L677" s="53" t="str">
        <f t="shared" si="143"/>
        <v/>
      </c>
      <c r="M677" s="48" t="str">
        <f t="shared" si="144"/>
        <v/>
      </c>
      <c r="N677" s="54" t="str">
        <f t="shared" si="145"/>
        <v/>
      </c>
      <c r="O677" s="55">
        <f t="shared" si="146"/>
        <v>0</v>
      </c>
      <c r="P677" s="55">
        <f t="shared" si="147"/>
        <v>0</v>
      </c>
      <c r="Q677" s="54">
        <f t="shared" si="148"/>
        <v>0</v>
      </c>
      <c r="R677" s="47"/>
      <c r="T677" s="57"/>
      <c r="U677" s="45"/>
      <c r="V677" s="46">
        <f>IF(U677&lt;&gt;"",VLOOKUP(U677,'Tipo Projeto'!$A$3:$B$35,2,0),0)</f>
        <v>0</v>
      </c>
      <c r="W677" s="47"/>
      <c r="X677" s="49"/>
      <c r="Y677" s="50"/>
      <c r="Z677" s="51"/>
      <c r="AA677" s="52"/>
      <c r="AB677" s="53" t="str">
        <f t="shared" si="149"/>
        <v/>
      </c>
      <c r="AC677" s="48" t="str">
        <f t="shared" si="150"/>
        <v/>
      </c>
      <c r="AD677" s="54" t="str">
        <f t="shared" si="151"/>
        <v/>
      </c>
      <c r="AE677" s="55">
        <f t="shared" si="152"/>
        <v>0</v>
      </c>
      <c r="AF677" s="55">
        <f t="shared" si="153"/>
        <v>0</v>
      </c>
      <c r="AG677" s="58">
        <f t="shared" si="154"/>
        <v>0</v>
      </c>
      <c r="AH677" s="47"/>
      <c r="AJ677" s="47"/>
      <c r="AL677" s="47"/>
      <c r="AM677" s="47" t="str">
        <f t="shared" si="155"/>
        <v/>
      </c>
    </row>
    <row r="678" spans="1:39" s="56" customFormat="1" ht="24.75" customHeight="1">
      <c r="A678" s="44"/>
      <c r="B678" s="45"/>
      <c r="C678" s="46">
        <f>IF(B678&lt;&gt;"",VLOOKUP(B678,'Tipo Projeto'!$A$3:$B$35,2,0),0)</f>
        <v>0</v>
      </c>
      <c r="D678" s="47"/>
      <c r="E678" s="47"/>
      <c r="F678" s="48"/>
      <c r="G678" s="47"/>
      <c r="H678" s="49"/>
      <c r="I678" s="50"/>
      <c r="J678" s="51"/>
      <c r="K678" s="52"/>
      <c r="L678" s="53" t="str">
        <f t="shared" si="143"/>
        <v/>
      </c>
      <c r="M678" s="48" t="str">
        <f t="shared" si="144"/>
        <v/>
      </c>
      <c r="N678" s="54" t="str">
        <f t="shared" si="145"/>
        <v/>
      </c>
      <c r="O678" s="55">
        <f t="shared" si="146"/>
        <v>0</v>
      </c>
      <c r="P678" s="55">
        <f t="shared" si="147"/>
        <v>0</v>
      </c>
      <c r="Q678" s="54">
        <f t="shared" si="148"/>
        <v>0</v>
      </c>
      <c r="R678" s="47"/>
      <c r="T678" s="57"/>
      <c r="U678" s="45"/>
      <c r="V678" s="46">
        <f>IF(U678&lt;&gt;"",VLOOKUP(U678,'Tipo Projeto'!$A$3:$B$35,2,0),0)</f>
        <v>0</v>
      </c>
      <c r="W678" s="47"/>
      <c r="X678" s="49"/>
      <c r="Y678" s="50"/>
      <c r="Z678" s="51"/>
      <c r="AA678" s="52"/>
      <c r="AB678" s="53" t="str">
        <f t="shared" si="149"/>
        <v/>
      </c>
      <c r="AC678" s="48" t="str">
        <f t="shared" si="150"/>
        <v/>
      </c>
      <c r="AD678" s="54" t="str">
        <f t="shared" si="151"/>
        <v/>
      </c>
      <c r="AE678" s="55">
        <f t="shared" si="152"/>
        <v>0</v>
      </c>
      <c r="AF678" s="55">
        <f t="shared" si="153"/>
        <v>0</v>
      </c>
      <c r="AG678" s="58">
        <f t="shared" si="154"/>
        <v>0</v>
      </c>
      <c r="AH678" s="47"/>
      <c r="AJ678" s="47"/>
      <c r="AL678" s="47"/>
      <c r="AM678" s="47" t="str">
        <f t="shared" si="155"/>
        <v/>
      </c>
    </row>
    <row r="679" spans="1:39" s="56" customFormat="1" ht="24.75" customHeight="1">
      <c r="A679" s="44"/>
      <c r="B679" s="45"/>
      <c r="C679" s="46">
        <f>IF(B679&lt;&gt;"",VLOOKUP(B679,'Tipo Projeto'!$A$3:$B$35,2,0),0)</f>
        <v>0</v>
      </c>
      <c r="D679" s="47"/>
      <c r="E679" s="47"/>
      <c r="F679" s="48"/>
      <c r="G679" s="47"/>
      <c r="H679" s="49"/>
      <c r="I679" s="50"/>
      <c r="J679" s="51"/>
      <c r="K679" s="52"/>
      <c r="L679" s="53" t="str">
        <f t="shared" si="143"/>
        <v/>
      </c>
      <c r="M679" s="48" t="str">
        <f t="shared" si="144"/>
        <v/>
      </c>
      <c r="N679" s="54" t="str">
        <f t="shared" si="145"/>
        <v/>
      </c>
      <c r="O679" s="55">
        <f t="shared" si="146"/>
        <v>0</v>
      </c>
      <c r="P679" s="55">
        <f t="shared" si="147"/>
        <v>0</v>
      </c>
      <c r="Q679" s="54">
        <f t="shared" si="148"/>
        <v>0</v>
      </c>
      <c r="R679" s="47"/>
      <c r="T679" s="57"/>
      <c r="U679" s="45"/>
      <c r="V679" s="46">
        <f>IF(U679&lt;&gt;"",VLOOKUP(U679,'Tipo Projeto'!$A$3:$B$35,2,0),0)</f>
        <v>0</v>
      </c>
      <c r="W679" s="47"/>
      <c r="X679" s="49"/>
      <c r="Y679" s="50"/>
      <c r="Z679" s="51"/>
      <c r="AA679" s="52"/>
      <c r="AB679" s="53" t="str">
        <f t="shared" si="149"/>
        <v/>
      </c>
      <c r="AC679" s="48" t="str">
        <f t="shared" si="150"/>
        <v/>
      </c>
      <c r="AD679" s="54" t="str">
        <f t="shared" si="151"/>
        <v/>
      </c>
      <c r="AE679" s="55">
        <f t="shared" si="152"/>
        <v>0</v>
      </c>
      <c r="AF679" s="55">
        <f t="shared" si="153"/>
        <v>0</v>
      </c>
      <c r="AG679" s="58">
        <f t="shared" si="154"/>
        <v>0</v>
      </c>
      <c r="AH679" s="47"/>
      <c r="AJ679" s="47"/>
      <c r="AL679" s="47"/>
      <c r="AM679" s="47" t="str">
        <f t="shared" si="155"/>
        <v/>
      </c>
    </row>
    <row r="680" spans="1:39" s="56" customFormat="1" ht="24.75" customHeight="1">
      <c r="A680" s="44"/>
      <c r="B680" s="45"/>
      <c r="C680" s="46">
        <f>IF(B680&lt;&gt;"",VLOOKUP(B680,'Tipo Projeto'!$A$3:$B$35,2,0),0)</f>
        <v>0</v>
      </c>
      <c r="D680" s="47"/>
      <c r="E680" s="47"/>
      <c r="F680" s="48"/>
      <c r="G680" s="47"/>
      <c r="H680" s="49"/>
      <c r="I680" s="50"/>
      <c r="J680" s="51"/>
      <c r="K680" s="52"/>
      <c r="L680" s="53" t="str">
        <f t="shared" si="143"/>
        <v/>
      </c>
      <c r="M680" s="48" t="str">
        <f t="shared" si="144"/>
        <v/>
      </c>
      <c r="N680" s="54" t="str">
        <f t="shared" si="145"/>
        <v/>
      </c>
      <c r="O680" s="55">
        <f t="shared" si="146"/>
        <v>0</v>
      </c>
      <c r="P680" s="55">
        <f t="shared" si="147"/>
        <v>0</v>
      </c>
      <c r="Q680" s="54">
        <f t="shared" si="148"/>
        <v>0</v>
      </c>
      <c r="R680" s="47"/>
      <c r="T680" s="57"/>
      <c r="U680" s="45"/>
      <c r="V680" s="46">
        <f>IF(U680&lt;&gt;"",VLOOKUP(U680,'Tipo Projeto'!$A$3:$B$35,2,0),0)</f>
        <v>0</v>
      </c>
      <c r="W680" s="47"/>
      <c r="X680" s="49"/>
      <c r="Y680" s="50"/>
      <c r="Z680" s="51"/>
      <c r="AA680" s="52"/>
      <c r="AB680" s="53" t="str">
        <f t="shared" si="149"/>
        <v/>
      </c>
      <c r="AC680" s="48" t="str">
        <f t="shared" si="150"/>
        <v/>
      </c>
      <c r="AD680" s="54" t="str">
        <f t="shared" si="151"/>
        <v/>
      </c>
      <c r="AE680" s="55">
        <f t="shared" si="152"/>
        <v>0</v>
      </c>
      <c r="AF680" s="55">
        <f t="shared" si="153"/>
        <v>0</v>
      </c>
      <c r="AG680" s="58">
        <f t="shared" si="154"/>
        <v>0</v>
      </c>
      <c r="AH680" s="47"/>
      <c r="AJ680" s="47"/>
      <c r="AL680" s="47"/>
      <c r="AM680" s="47" t="str">
        <f t="shared" si="155"/>
        <v/>
      </c>
    </row>
    <row r="681" spans="1:39" s="56" customFormat="1" ht="24.75" customHeight="1">
      <c r="A681" s="44"/>
      <c r="B681" s="45"/>
      <c r="C681" s="46">
        <f>IF(B681&lt;&gt;"",VLOOKUP(B681,'Tipo Projeto'!$A$3:$B$35,2,0),0)</f>
        <v>0</v>
      </c>
      <c r="D681" s="47"/>
      <c r="E681" s="47"/>
      <c r="F681" s="48"/>
      <c r="G681" s="47"/>
      <c r="H681" s="49"/>
      <c r="I681" s="50"/>
      <c r="J681" s="51"/>
      <c r="K681" s="52"/>
      <c r="L681" s="53" t="str">
        <f t="shared" si="143"/>
        <v/>
      </c>
      <c r="M681" s="48" t="str">
        <f t="shared" si="144"/>
        <v/>
      </c>
      <c r="N681" s="54" t="str">
        <f t="shared" si="145"/>
        <v/>
      </c>
      <c r="O681" s="55">
        <f t="shared" si="146"/>
        <v>0</v>
      </c>
      <c r="P681" s="55">
        <f t="shared" si="147"/>
        <v>0</v>
      </c>
      <c r="Q681" s="54">
        <f t="shared" si="148"/>
        <v>0</v>
      </c>
      <c r="R681" s="47"/>
      <c r="T681" s="57"/>
      <c r="U681" s="45"/>
      <c r="V681" s="46">
        <f>IF(U681&lt;&gt;"",VLOOKUP(U681,'Tipo Projeto'!$A$3:$B$35,2,0),0)</f>
        <v>0</v>
      </c>
      <c r="W681" s="47"/>
      <c r="X681" s="49"/>
      <c r="Y681" s="50"/>
      <c r="Z681" s="51"/>
      <c r="AA681" s="52"/>
      <c r="AB681" s="53" t="str">
        <f t="shared" si="149"/>
        <v/>
      </c>
      <c r="AC681" s="48" t="str">
        <f t="shared" si="150"/>
        <v/>
      </c>
      <c r="AD681" s="54" t="str">
        <f t="shared" si="151"/>
        <v/>
      </c>
      <c r="AE681" s="55">
        <f t="shared" si="152"/>
        <v>0</v>
      </c>
      <c r="AF681" s="55">
        <f t="shared" si="153"/>
        <v>0</v>
      </c>
      <c r="AG681" s="58">
        <f t="shared" si="154"/>
        <v>0</v>
      </c>
      <c r="AH681" s="47"/>
      <c r="AJ681" s="47"/>
      <c r="AL681" s="47"/>
      <c r="AM681" s="47" t="str">
        <f t="shared" si="155"/>
        <v/>
      </c>
    </row>
    <row r="682" spans="1:39" s="56" customFormat="1" ht="24.75" customHeight="1">
      <c r="A682" s="44"/>
      <c r="B682" s="45"/>
      <c r="C682" s="46">
        <f>IF(B682&lt;&gt;"",VLOOKUP(B682,'Tipo Projeto'!$A$3:$B$35,2,0),0)</f>
        <v>0</v>
      </c>
      <c r="D682" s="47"/>
      <c r="E682" s="47"/>
      <c r="F682" s="48"/>
      <c r="G682" s="47"/>
      <c r="H682" s="49"/>
      <c r="I682" s="50"/>
      <c r="J682" s="51"/>
      <c r="K682" s="52"/>
      <c r="L682" s="53" t="str">
        <f t="shared" si="143"/>
        <v/>
      </c>
      <c r="M682" s="48" t="str">
        <f t="shared" si="144"/>
        <v/>
      </c>
      <c r="N682" s="54" t="str">
        <f t="shared" si="145"/>
        <v/>
      </c>
      <c r="O682" s="55">
        <f t="shared" si="146"/>
        <v>0</v>
      </c>
      <c r="P682" s="55">
        <f t="shared" si="147"/>
        <v>0</v>
      </c>
      <c r="Q682" s="54">
        <f t="shared" si="148"/>
        <v>0</v>
      </c>
      <c r="R682" s="47"/>
      <c r="T682" s="57"/>
      <c r="U682" s="45"/>
      <c r="V682" s="46">
        <f>IF(U682&lt;&gt;"",VLOOKUP(U682,'Tipo Projeto'!$A$3:$B$35,2,0),0)</f>
        <v>0</v>
      </c>
      <c r="W682" s="47"/>
      <c r="X682" s="49"/>
      <c r="Y682" s="50"/>
      <c r="Z682" s="51"/>
      <c r="AA682" s="52"/>
      <c r="AB682" s="53" t="str">
        <f t="shared" si="149"/>
        <v/>
      </c>
      <c r="AC682" s="48" t="str">
        <f t="shared" si="150"/>
        <v/>
      </c>
      <c r="AD682" s="54" t="str">
        <f t="shared" si="151"/>
        <v/>
      </c>
      <c r="AE682" s="55">
        <f t="shared" si="152"/>
        <v>0</v>
      </c>
      <c r="AF682" s="55">
        <f t="shared" si="153"/>
        <v>0</v>
      </c>
      <c r="AG682" s="58">
        <f t="shared" si="154"/>
        <v>0</v>
      </c>
      <c r="AH682" s="47"/>
      <c r="AJ682" s="47"/>
      <c r="AL682" s="47"/>
      <c r="AM682" s="47" t="str">
        <f t="shared" si="155"/>
        <v/>
      </c>
    </row>
    <row r="683" spans="1:39" s="56" customFormat="1" ht="24.75" customHeight="1">
      <c r="A683" s="44"/>
      <c r="B683" s="45"/>
      <c r="C683" s="46">
        <f>IF(B683&lt;&gt;"",VLOOKUP(B683,'Tipo Projeto'!$A$3:$B$35,2,0),0)</f>
        <v>0</v>
      </c>
      <c r="D683" s="47"/>
      <c r="E683" s="47"/>
      <c r="F683" s="48"/>
      <c r="G683" s="47"/>
      <c r="H683" s="49"/>
      <c r="I683" s="50"/>
      <c r="J683" s="51"/>
      <c r="K683" s="52"/>
      <c r="L683" s="53" t="str">
        <f t="shared" si="143"/>
        <v/>
      </c>
      <c r="M683" s="48" t="str">
        <f t="shared" si="144"/>
        <v/>
      </c>
      <c r="N683" s="54" t="str">
        <f t="shared" si="145"/>
        <v/>
      </c>
      <c r="O683" s="55">
        <f t="shared" si="146"/>
        <v>0</v>
      </c>
      <c r="P683" s="55">
        <f t="shared" si="147"/>
        <v>0</v>
      </c>
      <c r="Q683" s="54">
        <f t="shared" si="148"/>
        <v>0</v>
      </c>
      <c r="R683" s="47"/>
      <c r="T683" s="57"/>
      <c r="U683" s="45"/>
      <c r="V683" s="46">
        <f>IF(U683&lt;&gt;"",VLOOKUP(U683,'Tipo Projeto'!$A$3:$B$35,2,0),0)</f>
        <v>0</v>
      </c>
      <c r="W683" s="47"/>
      <c r="X683" s="49"/>
      <c r="Y683" s="50"/>
      <c r="Z683" s="51"/>
      <c r="AA683" s="52"/>
      <c r="AB683" s="53" t="str">
        <f t="shared" si="149"/>
        <v/>
      </c>
      <c r="AC683" s="48" t="str">
        <f t="shared" si="150"/>
        <v/>
      </c>
      <c r="AD683" s="54" t="str">
        <f t="shared" si="151"/>
        <v/>
      </c>
      <c r="AE683" s="55">
        <f t="shared" si="152"/>
        <v>0</v>
      </c>
      <c r="AF683" s="55">
        <f t="shared" si="153"/>
        <v>0</v>
      </c>
      <c r="AG683" s="58">
        <f t="shared" si="154"/>
        <v>0</v>
      </c>
      <c r="AH683" s="47"/>
      <c r="AJ683" s="47"/>
      <c r="AL683" s="47"/>
      <c r="AM683" s="47" t="str">
        <f t="shared" si="155"/>
        <v/>
      </c>
    </row>
    <row r="684" spans="1:39" s="56" customFormat="1" ht="24.75" customHeight="1">
      <c r="A684" s="44"/>
      <c r="B684" s="45"/>
      <c r="C684" s="46">
        <f>IF(B684&lt;&gt;"",VLOOKUP(B684,'Tipo Projeto'!$A$3:$B$35,2,0),0)</f>
        <v>0</v>
      </c>
      <c r="D684" s="47"/>
      <c r="E684" s="47"/>
      <c r="F684" s="48"/>
      <c r="G684" s="47"/>
      <c r="H684" s="49"/>
      <c r="I684" s="50"/>
      <c r="J684" s="51"/>
      <c r="K684" s="52"/>
      <c r="L684" s="53" t="str">
        <f t="shared" si="143"/>
        <v/>
      </c>
      <c r="M684" s="48" t="str">
        <f t="shared" si="144"/>
        <v/>
      </c>
      <c r="N684" s="54" t="str">
        <f t="shared" si="145"/>
        <v/>
      </c>
      <c r="O684" s="55">
        <f t="shared" si="146"/>
        <v>0</v>
      </c>
      <c r="P684" s="55">
        <f t="shared" si="147"/>
        <v>0</v>
      </c>
      <c r="Q684" s="54">
        <f t="shared" si="148"/>
        <v>0</v>
      </c>
      <c r="R684" s="47"/>
      <c r="T684" s="57"/>
      <c r="U684" s="45"/>
      <c r="V684" s="46">
        <f>IF(U684&lt;&gt;"",VLOOKUP(U684,'Tipo Projeto'!$A$3:$B$35,2,0),0)</f>
        <v>0</v>
      </c>
      <c r="W684" s="47"/>
      <c r="X684" s="49"/>
      <c r="Y684" s="50"/>
      <c r="Z684" s="51"/>
      <c r="AA684" s="52"/>
      <c r="AB684" s="53" t="str">
        <f t="shared" si="149"/>
        <v/>
      </c>
      <c r="AC684" s="48" t="str">
        <f t="shared" si="150"/>
        <v/>
      </c>
      <c r="AD684" s="54" t="str">
        <f t="shared" si="151"/>
        <v/>
      </c>
      <c r="AE684" s="55">
        <f t="shared" si="152"/>
        <v>0</v>
      </c>
      <c r="AF684" s="55">
        <f t="shared" si="153"/>
        <v>0</v>
      </c>
      <c r="AG684" s="58">
        <f t="shared" si="154"/>
        <v>0</v>
      </c>
      <c r="AH684" s="47"/>
      <c r="AJ684" s="47"/>
      <c r="AL684" s="47"/>
      <c r="AM684" s="47" t="str">
        <f t="shared" si="155"/>
        <v/>
      </c>
    </row>
    <row r="685" spans="1:39" s="56" customFormat="1" ht="24.75" customHeight="1">
      <c r="A685" s="44"/>
      <c r="B685" s="45"/>
      <c r="C685" s="46">
        <f>IF(B685&lt;&gt;"",VLOOKUP(B685,'Tipo Projeto'!$A$3:$B$35,2,0),0)</f>
        <v>0</v>
      </c>
      <c r="D685" s="47"/>
      <c r="E685" s="47"/>
      <c r="F685" s="48"/>
      <c r="G685" s="47"/>
      <c r="H685" s="49"/>
      <c r="I685" s="50"/>
      <c r="J685" s="51"/>
      <c r="K685" s="52"/>
      <c r="L685" s="53" t="str">
        <f t="shared" si="143"/>
        <v/>
      </c>
      <c r="M685" s="48" t="str">
        <f t="shared" si="144"/>
        <v/>
      </c>
      <c r="N685" s="54" t="str">
        <f t="shared" si="145"/>
        <v/>
      </c>
      <c r="O685" s="55">
        <f t="shared" si="146"/>
        <v>0</v>
      </c>
      <c r="P685" s="55">
        <f t="shared" si="147"/>
        <v>0</v>
      </c>
      <c r="Q685" s="54">
        <f t="shared" si="148"/>
        <v>0</v>
      </c>
      <c r="R685" s="47"/>
      <c r="T685" s="57"/>
      <c r="U685" s="45"/>
      <c r="V685" s="46">
        <f>IF(U685&lt;&gt;"",VLOOKUP(U685,'Tipo Projeto'!$A$3:$B$35,2,0),0)</f>
        <v>0</v>
      </c>
      <c r="W685" s="47"/>
      <c r="X685" s="49"/>
      <c r="Y685" s="50"/>
      <c r="Z685" s="51"/>
      <c r="AA685" s="52"/>
      <c r="AB685" s="53" t="str">
        <f t="shared" si="149"/>
        <v/>
      </c>
      <c r="AC685" s="48" t="str">
        <f t="shared" si="150"/>
        <v/>
      </c>
      <c r="AD685" s="54" t="str">
        <f t="shared" si="151"/>
        <v/>
      </c>
      <c r="AE685" s="55">
        <f t="shared" si="152"/>
        <v>0</v>
      </c>
      <c r="AF685" s="55">
        <f t="shared" si="153"/>
        <v>0</v>
      </c>
      <c r="AG685" s="58">
        <f t="shared" si="154"/>
        <v>0</v>
      </c>
      <c r="AH685" s="47"/>
      <c r="AJ685" s="47"/>
      <c r="AL685" s="47"/>
      <c r="AM685" s="47" t="str">
        <f t="shared" si="155"/>
        <v/>
      </c>
    </row>
    <row r="686" spans="1:39" s="56" customFormat="1" ht="24.75" customHeight="1">
      <c r="A686" s="44"/>
      <c r="B686" s="45"/>
      <c r="C686" s="46">
        <f>IF(B686&lt;&gt;"",VLOOKUP(B686,'Tipo Projeto'!$A$3:$B$35,2,0),0)</f>
        <v>0</v>
      </c>
      <c r="D686" s="47"/>
      <c r="E686" s="47"/>
      <c r="F686" s="48"/>
      <c r="G686" s="47"/>
      <c r="H686" s="49"/>
      <c r="I686" s="50"/>
      <c r="J686" s="51"/>
      <c r="K686" s="52"/>
      <c r="L686" s="53" t="str">
        <f t="shared" si="143"/>
        <v/>
      </c>
      <c r="M686" s="48" t="str">
        <f t="shared" si="144"/>
        <v/>
      </c>
      <c r="N686" s="54" t="str">
        <f t="shared" si="145"/>
        <v/>
      </c>
      <c r="O686" s="55">
        <f t="shared" si="146"/>
        <v>0</v>
      </c>
      <c r="P686" s="55">
        <f t="shared" si="147"/>
        <v>0</v>
      </c>
      <c r="Q686" s="54">
        <f t="shared" si="148"/>
        <v>0</v>
      </c>
      <c r="R686" s="47"/>
      <c r="T686" s="57"/>
      <c r="U686" s="45"/>
      <c r="V686" s="46">
        <f>IF(U686&lt;&gt;"",VLOOKUP(U686,'Tipo Projeto'!$A$3:$B$35,2,0),0)</f>
        <v>0</v>
      </c>
      <c r="W686" s="47"/>
      <c r="X686" s="49"/>
      <c r="Y686" s="50"/>
      <c r="Z686" s="51"/>
      <c r="AA686" s="52"/>
      <c r="AB686" s="53" t="str">
        <f t="shared" si="149"/>
        <v/>
      </c>
      <c r="AC686" s="48" t="str">
        <f t="shared" si="150"/>
        <v/>
      </c>
      <c r="AD686" s="54" t="str">
        <f t="shared" si="151"/>
        <v/>
      </c>
      <c r="AE686" s="55">
        <f t="shared" si="152"/>
        <v>0</v>
      </c>
      <c r="AF686" s="55">
        <f t="shared" si="153"/>
        <v>0</v>
      </c>
      <c r="AG686" s="58">
        <f t="shared" si="154"/>
        <v>0</v>
      </c>
      <c r="AH686" s="47"/>
      <c r="AJ686" s="47"/>
      <c r="AL686" s="47"/>
      <c r="AM686" s="47" t="str">
        <f t="shared" si="155"/>
        <v/>
      </c>
    </row>
    <row r="687" spans="1:39" s="56" customFormat="1" ht="24.75" customHeight="1">
      <c r="A687" s="44"/>
      <c r="B687" s="45"/>
      <c r="C687" s="46">
        <f>IF(B687&lt;&gt;"",VLOOKUP(B687,'Tipo Projeto'!$A$3:$B$35,2,0),0)</f>
        <v>0</v>
      </c>
      <c r="D687" s="47"/>
      <c r="E687" s="47"/>
      <c r="F687" s="48"/>
      <c r="G687" s="47"/>
      <c r="H687" s="49"/>
      <c r="I687" s="50"/>
      <c r="J687" s="51"/>
      <c r="K687" s="52"/>
      <c r="L687" s="53" t="str">
        <f t="shared" si="143"/>
        <v/>
      </c>
      <c r="M687" s="48" t="str">
        <f t="shared" si="144"/>
        <v/>
      </c>
      <c r="N687" s="54" t="str">
        <f t="shared" si="145"/>
        <v/>
      </c>
      <c r="O687" s="55">
        <f t="shared" si="146"/>
        <v>0</v>
      </c>
      <c r="P687" s="55">
        <f t="shared" si="147"/>
        <v>0</v>
      </c>
      <c r="Q687" s="54">
        <f t="shared" si="148"/>
        <v>0</v>
      </c>
      <c r="R687" s="47"/>
      <c r="T687" s="57"/>
      <c r="U687" s="45"/>
      <c r="V687" s="46">
        <f>IF(U687&lt;&gt;"",VLOOKUP(U687,'Tipo Projeto'!$A$3:$B$35,2,0),0)</f>
        <v>0</v>
      </c>
      <c r="W687" s="47"/>
      <c r="X687" s="49"/>
      <c r="Y687" s="50"/>
      <c r="Z687" s="51"/>
      <c r="AA687" s="52"/>
      <c r="AB687" s="53" t="str">
        <f t="shared" si="149"/>
        <v/>
      </c>
      <c r="AC687" s="48" t="str">
        <f t="shared" si="150"/>
        <v/>
      </c>
      <c r="AD687" s="54" t="str">
        <f t="shared" si="151"/>
        <v/>
      </c>
      <c r="AE687" s="55">
        <f t="shared" si="152"/>
        <v>0</v>
      </c>
      <c r="AF687" s="55">
        <f t="shared" si="153"/>
        <v>0</v>
      </c>
      <c r="AG687" s="58">
        <f t="shared" si="154"/>
        <v>0</v>
      </c>
      <c r="AH687" s="47"/>
      <c r="AJ687" s="47"/>
      <c r="AL687" s="47"/>
      <c r="AM687" s="47" t="str">
        <f t="shared" si="155"/>
        <v/>
      </c>
    </row>
    <row r="688" spans="1:39" s="56" customFormat="1" ht="24.75" customHeight="1">
      <c r="A688" s="44"/>
      <c r="B688" s="45"/>
      <c r="C688" s="46">
        <f>IF(B688&lt;&gt;"",VLOOKUP(B688,'Tipo Projeto'!$A$3:$B$35,2,0),0)</f>
        <v>0</v>
      </c>
      <c r="D688" s="47"/>
      <c r="E688" s="47"/>
      <c r="F688" s="48"/>
      <c r="G688" s="47"/>
      <c r="H688" s="49"/>
      <c r="I688" s="50"/>
      <c r="J688" s="51"/>
      <c r="K688" s="52"/>
      <c r="L688" s="53" t="str">
        <f t="shared" si="143"/>
        <v/>
      </c>
      <c r="M688" s="48" t="str">
        <f t="shared" si="144"/>
        <v/>
      </c>
      <c r="N688" s="54" t="str">
        <f t="shared" si="145"/>
        <v/>
      </c>
      <c r="O688" s="55">
        <f t="shared" si="146"/>
        <v>0</v>
      </c>
      <c r="P688" s="55">
        <f t="shared" si="147"/>
        <v>0</v>
      </c>
      <c r="Q688" s="54">
        <f t="shared" si="148"/>
        <v>0</v>
      </c>
      <c r="R688" s="47"/>
      <c r="T688" s="57"/>
      <c r="U688" s="45"/>
      <c r="V688" s="46">
        <f>IF(U688&lt;&gt;"",VLOOKUP(U688,'Tipo Projeto'!$A$3:$B$35,2,0),0)</f>
        <v>0</v>
      </c>
      <c r="W688" s="47"/>
      <c r="X688" s="49"/>
      <c r="Y688" s="50"/>
      <c r="Z688" s="51"/>
      <c r="AA688" s="52"/>
      <c r="AB688" s="53" t="str">
        <f t="shared" si="149"/>
        <v/>
      </c>
      <c r="AC688" s="48" t="str">
        <f t="shared" si="150"/>
        <v/>
      </c>
      <c r="AD688" s="54" t="str">
        <f t="shared" si="151"/>
        <v/>
      </c>
      <c r="AE688" s="55">
        <f t="shared" si="152"/>
        <v>0</v>
      </c>
      <c r="AF688" s="55">
        <f t="shared" si="153"/>
        <v>0</v>
      </c>
      <c r="AG688" s="58">
        <f t="shared" si="154"/>
        <v>0</v>
      </c>
      <c r="AH688" s="47"/>
      <c r="AJ688" s="47"/>
      <c r="AL688" s="47"/>
      <c r="AM688" s="47" t="str">
        <f t="shared" si="155"/>
        <v/>
      </c>
    </row>
    <row r="689" spans="1:39" s="56" customFormat="1" ht="24.75" customHeight="1">
      <c r="A689" s="44"/>
      <c r="B689" s="45"/>
      <c r="C689" s="46">
        <f>IF(B689&lt;&gt;"",VLOOKUP(B689,'Tipo Projeto'!$A$3:$B$35,2,0),0)</f>
        <v>0</v>
      </c>
      <c r="D689" s="47"/>
      <c r="E689" s="47"/>
      <c r="F689" s="48"/>
      <c r="G689" s="47"/>
      <c r="H689" s="49"/>
      <c r="I689" s="50"/>
      <c r="J689" s="51"/>
      <c r="K689" s="52"/>
      <c r="L689" s="53" t="str">
        <f t="shared" si="143"/>
        <v/>
      </c>
      <c r="M689" s="48" t="str">
        <f t="shared" si="144"/>
        <v/>
      </c>
      <c r="N689" s="54" t="str">
        <f t="shared" si="145"/>
        <v/>
      </c>
      <c r="O689" s="55">
        <f t="shared" si="146"/>
        <v>0</v>
      </c>
      <c r="P689" s="55">
        <f t="shared" si="147"/>
        <v>0</v>
      </c>
      <c r="Q689" s="54">
        <f t="shared" si="148"/>
        <v>0</v>
      </c>
      <c r="R689" s="47"/>
      <c r="T689" s="57"/>
      <c r="U689" s="45"/>
      <c r="V689" s="46">
        <f>IF(U689&lt;&gt;"",VLOOKUP(U689,'Tipo Projeto'!$A$3:$B$35,2,0),0)</f>
        <v>0</v>
      </c>
      <c r="W689" s="47"/>
      <c r="X689" s="49"/>
      <c r="Y689" s="50"/>
      <c r="Z689" s="51"/>
      <c r="AA689" s="52"/>
      <c r="AB689" s="53" t="str">
        <f t="shared" si="149"/>
        <v/>
      </c>
      <c r="AC689" s="48" t="str">
        <f t="shared" si="150"/>
        <v/>
      </c>
      <c r="AD689" s="54" t="str">
        <f t="shared" si="151"/>
        <v/>
      </c>
      <c r="AE689" s="55">
        <f t="shared" si="152"/>
        <v>0</v>
      </c>
      <c r="AF689" s="55">
        <f t="shared" si="153"/>
        <v>0</v>
      </c>
      <c r="AG689" s="58">
        <f t="shared" si="154"/>
        <v>0</v>
      </c>
      <c r="AH689" s="47"/>
      <c r="AJ689" s="47"/>
      <c r="AL689" s="47"/>
      <c r="AM689" s="47" t="str">
        <f t="shared" si="155"/>
        <v/>
      </c>
    </row>
    <row r="690" spans="1:39" s="56" customFormat="1" ht="24.75" customHeight="1">
      <c r="A690" s="44"/>
      <c r="B690" s="45"/>
      <c r="C690" s="46">
        <f>IF(B690&lt;&gt;"",VLOOKUP(B690,'Tipo Projeto'!$A$3:$B$35,2,0),0)</f>
        <v>0</v>
      </c>
      <c r="D690" s="47"/>
      <c r="E690" s="47"/>
      <c r="F690" s="48"/>
      <c r="G690" s="47"/>
      <c r="H690" s="49"/>
      <c r="I690" s="50"/>
      <c r="J690" s="51"/>
      <c r="K690" s="52"/>
      <c r="L690" s="53" t="str">
        <f t="shared" si="143"/>
        <v/>
      </c>
      <c r="M690" s="48" t="str">
        <f t="shared" si="144"/>
        <v/>
      </c>
      <c r="N690" s="54" t="str">
        <f t="shared" si="145"/>
        <v/>
      </c>
      <c r="O690" s="55">
        <f t="shared" si="146"/>
        <v>0</v>
      </c>
      <c r="P690" s="55">
        <f t="shared" si="147"/>
        <v>0</v>
      </c>
      <c r="Q690" s="54">
        <f t="shared" si="148"/>
        <v>0</v>
      </c>
      <c r="R690" s="47"/>
      <c r="T690" s="57"/>
      <c r="U690" s="45"/>
      <c r="V690" s="46">
        <f>IF(U690&lt;&gt;"",VLOOKUP(U690,'Tipo Projeto'!$A$3:$B$35,2,0),0)</f>
        <v>0</v>
      </c>
      <c r="W690" s="47"/>
      <c r="X690" s="49"/>
      <c r="Y690" s="50"/>
      <c r="Z690" s="51"/>
      <c r="AA690" s="52"/>
      <c r="AB690" s="53" t="str">
        <f t="shared" si="149"/>
        <v/>
      </c>
      <c r="AC690" s="48" t="str">
        <f t="shared" si="150"/>
        <v/>
      </c>
      <c r="AD690" s="54" t="str">
        <f t="shared" si="151"/>
        <v/>
      </c>
      <c r="AE690" s="55">
        <f t="shared" si="152"/>
        <v>0</v>
      </c>
      <c r="AF690" s="55">
        <f t="shared" si="153"/>
        <v>0</v>
      </c>
      <c r="AG690" s="58">
        <f t="shared" si="154"/>
        <v>0</v>
      </c>
      <c r="AH690" s="47"/>
      <c r="AJ690" s="47"/>
      <c r="AL690" s="47"/>
      <c r="AM690" s="47" t="str">
        <f t="shared" si="155"/>
        <v/>
      </c>
    </row>
    <row r="691" spans="1:39" s="56" customFormat="1" ht="24.75" customHeight="1">
      <c r="A691" s="44"/>
      <c r="B691" s="45"/>
      <c r="C691" s="46">
        <f>IF(B691&lt;&gt;"",VLOOKUP(B691,'Tipo Projeto'!$A$3:$B$35,2,0),0)</f>
        <v>0</v>
      </c>
      <c r="D691" s="47"/>
      <c r="E691" s="47"/>
      <c r="F691" s="48"/>
      <c r="G691" s="47"/>
      <c r="H691" s="49"/>
      <c r="I691" s="50"/>
      <c r="J691" s="51"/>
      <c r="K691" s="52"/>
      <c r="L691" s="53" t="str">
        <f t="shared" si="143"/>
        <v/>
      </c>
      <c r="M691" s="48" t="str">
        <f t="shared" si="144"/>
        <v/>
      </c>
      <c r="N691" s="54" t="str">
        <f t="shared" si="145"/>
        <v/>
      </c>
      <c r="O691" s="55">
        <f t="shared" si="146"/>
        <v>0</v>
      </c>
      <c r="P691" s="55">
        <f t="shared" si="147"/>
        <v>0</v>
      </c>
      <c r="Q691" s="54">
        <f t="shared" si="148"/>
        <v>0</v>
      </c>
      <c r="R691" s="47"/>
      <c r="T691" s="57"/>
      <c r="U691" s="45"/>
      <c r="V691" s="46">
        <f>IF(U691&lt;&gt;"",VLOOKUP(U691,'Tipo Projeto'!$A$3:$B$35,2,0),0)</f>
        <v>0</v>
      </c>
      <c r="W691" s="47"/>
      <c r="X691" s="49"/>
      <c r="Y691" s="50"/>
      <c r="Z691" s="51"/>
      <c r="AA691" s="52"/>
      <c r="AB691" s="53" t="str">
        <f t="shared" si="149"/>
        <v/>
      </c>
      <c r="AC691" s="48" t="str">
        <f t="shared" si="150"/>
        <v/>
      </c>
      <c r="AD691" s="54" t="str">
        <f t="shared" si="151"/>
        <v/>
      </c>
      <c r="AE691" s="55">
        <f t="shared" si="152"/>
        <v>0</v>
      </c>
      <c r="AF691" s="55">
        <f t="shared" si="153"/>
        <v>0</v>
      </c>
      <c r="AG691" s="58">
        <f t="shared" si="154"/>
        <v>0</v>
      </c>
      <c r="AH691" s="47"/>
      <c r="AJ691" s="47"/>
      <c r="AL691" s="47"/>
      <c r="AM691" s="47" t="str">
        <f t="shared" si="155"/>
        <v/>
      </c>
    </row>
    <row r="692" spans="1:39" s="56" customFormat="1" ht="24.75" customHeight="1">
      <c r="A692" s="44"/>
      <c r="B692" s="45"/>
      <c r="C692" s="46">
        <f>IF(B692&lt;&gt;"",VLOOKUP(B692,'Tipo Projeto'!$A$3:$B$35,2,0),0)</f>
        <v>0</v>
      </c>
      <c r="D692" s="47"/>
      <c r="E692" s="47"/>
      <c r="F692" s="48"/>
      <c r="G692" s="47"/>
      <c r="H692" s="49"/>
      <c r="I692" s="50"/>
      <c r="J692" s="51"/>
      <c r="K692" s="52"/>
      <c r="L692" s="53" t="str">
        <f t="shared" si="143"/>
        <v/>
      </c>
      <c r="M692" s="48" t="str">
        <f t="shared" si="144"/>
        <v/>
      </c>
      <c r="N692" s="54" t="str">
        <f t="shared" si="145"/>
        <v/>
      </c>
      <c r="O692" s="55">
        <f t="shared" si="146"/>
        <v>0</v>
      </c>
      <c r="P692" s="55">
        <f t="shared" si="147"/>
        <v>0</v>
      </c>
      <c r="Q692" s="54">
        <f t="shared" si="148"/>
        <v>0</v>
      </c>
      <c r="R692" s="47"/>
      <c r="T692" s="57"/>
      <c r="U692" s="45"/>
      <c r="V692" s="46">
        <f>IF(U692&lt;&gt;"",VLOOKUP(U692,'Tipo Projeto'!$A$3:$B$35,2,0),0)</f>
        <v>0</v>
      </c>
      <c r="W692" s="47"/>
      <c r="X692" s="49"/>
      <c r="Y692" s="50"/>
      <c r="Z692" s="51"/>
      <c r="AA692" s="52"/>
      <c r="AB692" s="53" t="str">
        <f t="shared" si="149"/>
        <v/>
      </c>
      <c r="AC692" s="48" t="str">
        <f t="shared" si="150"/>
        <v/>
      </c>
      <c r="AD692" s="54" t="str">
        <f t="shared" si="151"/>
        <v/>
      </c>
      <c r="AE692" s="55">
        <f t="shared" si="152"/>
        <v>0</v>
      </c>
      <c r="AF692" s="55">
        <f t="shared" si="153"/>
        <v>0</v>
      </c>
      <c r="AG692" s="58">
        <f t="shared" si="154"/>
        <v>0</v>
      </c>
      <c r="AH692" s="47"/>
      <c r="AJ692" s="47"/>
      <c r="AL692" s="47"/>
      <c r="AM692" s="47" t="str">
        <f t="shared" si="155"/>
        <v/>
      </c>
    </row>
    <row r="693" spans="1:39" s="56" customFormat="1" ht="24.75" customHeight="1">
      <c r="A693" s="44"/>
      <c r="B693" s="45"/>
      <c r="C693" s="46">
        <f>IF(B693&lt;&gt;"",VLOOKUP(B693,'Tipo Projeto'!$A$3:$B$35,2,0),0)</f>
        <v>0</v>
      </c>
      <c r="D693" s="47"/>
      <c r="E693" s="47"/>
      <c r="F693" s="48"/>
      <c r="G693" s="47"/>
      <c r="H693" s="49"/>
      <c r="I693" s="50"/>
      <c r="J693" s="51"/>
      <c r="K693" s="52"/>
      <c r="L693" s="53" t="str">
        <f t="shared" ref="L693:L756" si="156">IF(G693="EE",IF(OR(AND(OR(J693=1,J693=0),H693&gt;0,H693&lt;5),AND(OR(J693=1,J693=0),H693&gt;4,H693&lt;16),AND(J693=2,H693&gt;0,H693&lt;5)),"Simples",IF(OR(AND(OR(J693=1,J693=0),H693&gt;15),AND(J693=2,H693&gt;4,H693&lt;16),AND(J693&gt;2,H693&gt;0,H693&lt;5)),"Médio",IF(OR(AND(J693=2,H693&gt;15),AND(J693&gt;2,H693&gt;4,H693&lt;16),AND(J693&gt;2,H693&gt;15)),"Complexo",""))), IF(OR(G693="CE",G693="SE"),IF(OR(AND(OR(J693=1,J693=0),H693&gt;0,H693&lt;6),AND(OR(J693=1,J693=0),H693&gt;5,H693&lt;20),AND(J693&gt;1,J693&lt;4,H693&gt;0,H693&lt;6)),"Simples",IF(OR(AND(OR(J693=1,J693=0),H693&gt;19),AND(J693&gt;1,J693&lt;4,H693&gt;5,H693&lt;20),AND(J693&gt;3,H693&gt;0,H693&lt;6)),"Médio",IF(OR(AND(J693&gt;1,J693&lt;4,H693&gt;19),AND(J693&gt;3,H693&gt;5,H693&lt;20),AND(J693&gt;3,H693&gt;19)),"Complexo",""))),""))</f>
        <v/>
      </c>
      <c r="M693" s="48" t="str">
        <f t="shared" ref="M693:M756" si="157">IF(G693="ALI",IF(OR(AND(OR(J693=1,J693=0),H693&gt;0,H693&lt;20),AND(OR(J693=1,J693=0),H693&gt;19,H693&lt;51),AND(J693&gt;1,J693&lt;6,H693&gt;0,H693&lt;20)),"Simples",IF(OR(AND(OR(J693=1,J693=0),H693&gt;50),AND(J693&gt;1,J693&lt;6,H693&gt;19,H693&lt;51),AND(J693&gt;5,H693&gt;0,H693&lt;20)),"Médio",IF(OR(AND(J693&gt;1,J693&lt;6,H693&gt;50),AND(J693&gt;5,H693&gt;19,H693&lt;51),AND(J693&gt;5,H693&gt;50)),"Complexo",""))), IF(G693="AIE",IF(OR(AND(OR(J693=1, J693=0),H693&gt;0,H693&lt;20),AND(OR(J693=1, J693=0),H693&gt;19,H693&lt;51),AND(J693&gt;1,J693&lt;6,H693&gt;0,H693&lt;20)),"Simples",IF(OR(AND(OR(J693=1, J693=0),H693&gt;50),AND(J693&gt;1,J693&lt;6,H693&gt;19,H693&lt;51),AND(J693&gt;5,H693&gt;0,H693&lt;20)),"Médio",IF(OR(AND(J693&gt;1,J693&lt;6,H693&gt;50),AND(J693&gt;5,H693&gt;19,H693&lt;51),AND(J693&gt;5,H693&gt;50)),"Complexo",""))),""))</f>
        <v/>
      </c>
      <c r="N693" s="54" t="str">
        <f t="shared" ref="N693:N756" si="158">IF(L693="",M693,IF(M693="",L693,""))</f>
        <v/>
      </c>
      <c r="O693" s="55">
        <f t="shared" ref="O693:O756" si="159">IF(AND(OR(G693="EE",G693="CE"),N693="Simples"),3, IF(AND(OR(G693="EE",G693="CE"),N693="Médio"),4, IF(AND(OR(G693="EE",G693="CE"),N693="Complexo"),6, IF(AND(G693="SE",N693="Simples"),4, IF(AND(G693="SE",N693="Médio"),5, IF(AND(G693="SE",N693="Complexo"),7,0))))))</f>
        <v>0</v>
      </c>
      <c r="P693" s="55">
        <f t="shared" ref="P693:P756" si="160">IF(AND(G693="ALI",M693="Simples"),7, IF(AND(G693="ALI",M693="Médio"),10, IF(AND(G693="ALI",M693="Complexo"),15, IF(AND(G693="AIE",M693="Simples"),5, IF(AND(G693="AIE",M693="Médio"),7, IF(AND(G693="AIE",M693="Complexo"),10,0))))))</f>
        <v>0</v>
      </c>
      <c r="Q693" s="54">
        <f t="shared" ref="Q693:Q756" si="161">IF(B693&lt;&gt;"Manutenção em interface",IF(B693&lt;&gt;"Desenv., Manutenção e Publicação de Páginas Estáticas",(O693+P693)*C693,C693),C693)</f>
        <v>0</v>
      </c>
      <c r="R693" s="47"/>
      <c r="T693" s="57"/>
      <c r="U693" s="45"/>
      <c r="V693" s="46">
        <f>IF(U693&lt;&gt;"",VLOOKUP(U693,'Tipo Projeto'!$A$3:$B$35,2,0),0)</f>
        <v>0</v>
      </c>
      <c r="W693" s="47"/>
      <c r="X693" s="49"/>
      <c r="Y693" s="50"/>
      <c r="Z693" s="51"/>
      <c r="AA693" s="52"/>
      <c r="AB693" s="53" t="str">
        <f t="shared" ref="AB693:AB756" si="162">IF(W693="EE",IF(OR(AND(OR(Z693=1,Z693=0),X693&gt;0,X693&lt;5),AND(OR(Z693=1,Z693=0),X693&gt;4,X693&lt;16),AND(Z693=2,X693&gt;0,X693&lt;5)),"Simples",IF(OR(AND(OR(Z693=1,Z693=0),X693&gt;15),AND(Z693=2,X693&gt;4,X693&lt;16),AND(Z693&gt;2,X693&gt;0,X693&lt;5)),"Médio",IF(OR(AND(Z693=2,X693&gt;15),AND(Z693&gt;2,X693&gt;4,X693&lt;16),AND(Z693&gt;2,X693&gt;15)),"Complexo",""))), IF(OR(W693="CE",W693="SE"),IF(OR(AND(OR(Z693=1,Z693=0),X693&gt;0,X693&lt;6),AND(OR(Z693=1,Z693=0),X693&gt;5,X693&lt;20),AND(Z693&gt;1,Z693&lt;4,X693&gt;0,X693&lt;6)),"Simples",IF(OR(AND(OR(Z693=1,Z693=0),X693&gt;19),AND(Z693&gt;1,Z693&lt;4,X693&gt;5,X693&lt;20),AND(Z693&gt;3,X693&gt;0,X693&lt;6)),"Médio",IF(OR(AND(Z693&gt;1,Z693&lt;4,X693&gt;19),AND(Z693&gt;3,X693&gt;5,X693&lt;20),AND(Z693&gt;3,X693&gt;19)),"Complexo",""))),""))</f>
        <v/>
      </c>
      <c r="AC693" s="48" t="str">
        <f t="shared" ref="AC693:AC756" si="163">IF(W693="ALI",IF(OR(AND(OR(Z693=1,Z693=0),X693&gt;0,X693&lt;20),AND(OR(Z693=1,Z693=0),X693&gt;19,X693&lt;51),AND(Z693&gt;1,Z693&lt;6,X693&gt;0,X693&lt;20)),"Simples",IF(OR(AND(OR(Z693=1,Z693=0),X693&gt;50),AND(Z693&gt;1,Z693&lt;6,X693&gt;19,X693&lt;51),AND(Z693&gt;5,X693&gt;0,X693&lt;20)),"Médio",IF(OR(AND(Z693&gt;1,Z693&lt;6,X693&gt;50),AND(Z693&gt;5,X693&gt;19,X693&lt;51),AND(Z693&gt;5,X693&gt;50)),"Complexo",""))), IF(W693="AIE",IF(OR(AND(OR(Z693=1, Z693=0),X693&gt;0,X693&lt;20),AND(OR(Z693=1, Z693=0),X693&gt;19,X693&lt;51),AND(Z693&gt;1,Z693&lt;6,X693&gt;0,X693&lt;20)),"Simples",IF(OR(AND(OR(Z693=1, Z693=0),X693&gt;50),AND(Z693&gt;1,Z693&lt;6,X693&gt;19,X693&lt;51),AND(Z693&gt;5,X693&gt;0,X693&lt;20)),"Médio",IF(OR(AND(Z693&gt;1,Z693&lt;6,X693&gt;50),AND(Z693&gt;5,X693&gt;19,X693&lt;51),AND(Z693&gt;5,X693&gt;50)),"Complexo",""))),""))</f>
        <v/>
      </c>
      <c r="AD693" s="54" t="str">
        <f t="shared" ref="AD693:AD756" si="164">IF(AB693="",AC693,IF(AC693="",AB693,""))</f>
        <v/>
      </c>
      <c r="AE693" s="55">
        <f t="shared" ref="AE693:AE756" si="165">IF(AND(OR(W693="EE",W693="CE"),AD693="Simples"),3, IF(AND(OR(W693="EE",W693="CE"),AD693="Médio"),4, IF(AND(OR(W693="EE",W693="CE"),AD693="Complexo"),6, IF(AND(W693="SE",AD693="Simples"),4, IF(AND(W693="SE",AD693="Médio"),5, IF(AND(W693="SE",AD693="Complexo"),7,0))))))</f>
        <v>0</v>
      </c>
      <c r="AF693" s="55">
        <f t="shared" ref="AF693:AF756" si="166">IF(AND(W693="ALI",AC693="Simples"),7, IF(AND(W693="ALI",AC693="Médio"),10, IF(AND(W693="ALI",AC693="Complexo"),15, IF(AND(W693="AIE",AC693="Simples"),5, IF(AND(W693="AIE",AC693="Médio"),7, IF(AND(W693="AIE",AC693="Complexo"),10,0))))))</f>
        <v>0</v>
      </c>
      <c r="AG693" s="58">
        <f t="shared" ref="AG693:AG756" si="167">IF(T693="OK",Q693,( IF(U693&lt;&gt;"Manutenção em interface",IF(U693&lt;&gt;"Desenv., Manutenção e Publicação de Páginas Estáticas",(AE693+AF693)*V693,V693),V693)))</f>
        <v>0</v>
      </c>
      <c r="AH693" s="47"/>
      <c r="AJ693" s="47"/>
      <c r="AL693" s="47"/>
      <c r="AM693" s="47" t="str">
        <f t="shared" ref="AM693:AM756" si="168">IF(AG693=0,"",IF(AG693=Q693,"OK","Divergente"))</f>
        <v/>
      </c>
    </row>
    <row r="694" spans="1:39" s="56" customFormat="1" ht="24.75" customHeight="1">
      <c r="A694" s="44"/>
      <c r="B694" s="45"/>
      <c r="C694" s="46">
        <f>IF(B694&lt;&gt;"",VLOOKUP(B694,'Tipo Projeto'!$A$3:$B$35,2,0),0)</f>
        <v>0</v>
      </c>
      <c r="D694" s="47"/>
      <c r="E694" s="47"/>
      <c r="F694" s="48"/>
      <c r="G694" s="47"/>
      <c r="H694" s="49"/>
      <c r="I694" s="50"/>
      <c r="J694" s="51"/>
      <c r="K694" s="52"/>
      <c r="L694" s="53" t="str">
        <f t="shared" si="156"/>
        <v/>
      </c>
      <c r="M694" s="48" t="str">
        <f t="shared" si="157"/>
        <v/>
      </c>
      <c r="N694" s="54" t="str">
        <f t="shared" si="158"/>
        <v/>
      </c>
      <c r="O694" s="55">
        <f t="shared" si="159"/>
        <v>0</v>
      </c>
      <c r="P694" s="55">
        <f t="shared" si="160"/>
        <v>0</v>
      </c>
      <c r="Q694" s="54">
        <f t="shared" si="161"/>
        <v>0</v>
      </c>
      <c r="R694" s="47"/>
      <c r="T694" s="57"/>
      <c r="U694" s="45"/>
      <c r="V694" s="46">
        <f>IF(U694&lt;&gt;"",VLOOKUP(U694,'Tipo Projeto'!$A$3:$B$35,2,0),0)</f>
        <v>0</v>
      </c>
      <c r="W694" s="47"/>
      <c r="X694" s="49"/>
      <c r="Y694" s="50"/>
      <c r="Z694" s="51"/>
      <c r="AA694" s="52"/>
      <c r="AB694" s="53" t="str">
        <f t="shared" si="162"/>
        <v/>
      </c>
      <c r="AC694" s="48" t="str">
        <f t="shared" si="163"/>
        <v/>
      </c>
      <c r="AD694" s="54" t="str">
        <f t="shared" si="164"/>
        <v/>
      </c>
      <c r="AE694" s="55">
        <f t="shared" si="165"/>
        <v>0</v>
      </c>
      <c r="AF694" s="55">
        <f t="shared" si="166"/>
        <v>0</v>
      </c>
      <c r="AG694" s="58">
        <f t="shared" si="167"/>
        <v>0</v>
      </c>
      <c r="AH694" s="47"/>
      <c r="AJ694" s="47"/>
      <c r="AL694" s="47"/>
      <c r="AM694" s="47" t="str">
        <f t="shared" si="168"/>
        <v/>
      </c>
    </row>
    <row r="695" spans="1:39" s="56" customFormat="1" ht="24.75" customHeight="1">
      <c r="A695" s="44"/>
      <c r="B695" s="45"/>
      <c r="C695" s="46">
        <f>IF(B695&lt;&gt;"",VLOOKUP(B695,'Tipo Projeto'!$A$3:$B$35,2,0),0)</f>
        <v>0</v>
      </c>
      <c r="D695" s="47"/>
      <c r="E695" s="47"/>
      <c r="F695" s="48"/>
      <c r="G695" s="47"/>
      <c r="H695" s="49"/>
      <c r="I695" s="50"/>
      <c r="J695" s="51"/>
      <c r="K695" s="52"/>
      <c r="L695" s="53" t="str">
        <f t="shared" si="156"/>
        <v/>
      </c>
      <c r="M695" s="48" t="str">
        <f t="shared" si="157"/>
        <v/>
      </c>
      <c r="N695" s="54" t="str">
        <f t="shared" si="158"/>
        <v/>
      </c>
      <c r="O695" s="55">
        <f t="shared" si="159"/>
        <v>0</v>
      </c>
      <c r="P695" s="55">
        <f t="shared" si="160"/>
        <v>0</v>
      </c>
      <c r="Q695" s="54">
        <f t="shared" si="161"/>
        <v>0</v>
      </c>
      <c r="R695" s="47"/>
      <c r="T695" s="57"/>
      <c r="U695" s="45"/>
      <c r="V695" s="46">
        <f>IF(U695&lt;&gt;"",VLOOKUP(U695,'Tipo Projeto'!$A$3:$B$35,2,0),0)</f>
        <v>0</v>
      </c>
      <c r="W695" s="47"/>
      <c r="X695" s="49"/>
      <c r="Y695" s="50"/>
      <c r="Z695" s="51"/>
      <c r="AA695" s="52"/>
      <c r="AB695" s="53" t="str">
        <f t="shared" si="162"/>
        <v/>
      </c>
      <c r="AC695" s="48" t="str">
        <f t="shared" si="163"/>
        <v/>
      </c>
      <c r="AD695" s="54" t="str">
        <f t="shared" si="164"/>
        <v/>
      </c>
      <c r="AE695" s="55">
        <f t="shared" si="165"/>
        <v>0</v>
      </c>
      <c r="AF695" s="55">
        <f t="shared" si="166"/>
        <v>0</v>
      </c>
      <c r="AG695" s="58">
        <f t="shared" si="167"/>
        <v>0</v>
      </c>
      <c r="AH695" s="47"/>
      <c r="AJ695" s="47"/>
      <c r="AL695" s="47"/>
      <c r="AM695" s="47" t="str">
        <f t="shared" si="168"/>
        <v/>
      </c>
    </row>
    <row r="696" spans="1:39" s="56" customFormat="1" ht="24.75" customHeight="1">
      <c r="A696" s="44"/>
      <c r="B696" s="45"/>
      <c r="C696" s="46">
        <f>IF(B696&lt;&gt;"",VLOOKUP(B696,'Tipo Projeto'!$A$3:$B$35,2,0),0)</f>
        <v>0</v>
      </c>
      <c r="D696" s="47"/>
      <c r="E696" s="47"/>
      <c r="F696" s="48"/>
      <c r="G696" s="47"/>
      <c r="H696" s="49"/>
      <c r="I696" s="50"/>
      <c r="J696" s="51"/>
      <c r="K696" s="52"/>
      <c r="L696" s="53" t="str">
        <f t="shared" si="156"/>
        <v/>
      </c>
      <c r="M696" s="48" t="str">
        <f t="shared" si="157"/>
        <v/>
      </c>
      <c r="N696" s="54" t="str">
        <f t="shared" si="158"/>
        <v/>
      </c>
      <c r="O696" s="55">
        <f t="shared" si="159"/>
        <v>0</v>
      </c>
      <c r="P696" s="55">
        <f t="shared" si="160"/>
        <v>0</v>
      </c>
      <c r="Q696" s="54">
        <f t="shared" si="161"/>
        <v>0</v>
      </c>
      <c r="R696" s="47"/>
      <c r="T696" s="57"/>
      <c r="U696" s="45"/>
      <c r="V696" s="46">
        <f>IF(U696&lt;&gt;"",VLOOKUP(U696,'Tipo Projeto'!$A$3:$B$35,2,0),0)</f>
        <v>0</v>
      </c>
      <c r="W696" s="47"/>
      <c r="X696" s="49"/>
      <c r="Y696" s="50"/>
      <c r="Z696" s="51"/>
      <c r="AA696" s="52"/>
      <c r="AB696" s="53" t="str">
        <f t="shared" si="162"/>
        <v/>
      </c>
      <c r="AC696" s="48" t="str">
        <f t="shared" si="163"/>
        <v/>
      </c>
      <c r="AD696" s="54" t="str">
        <f t="shared" si="164"/>
        <v/>
      </c>
      <c r="AE696" s="55">
        <f t="shared" si="165"/>
        <v>0</v>
      </c>
      <c r="AF696" s="55">
        <f t="shared" si="166"/>
        <v>0</v>
      </c>
      <c r="AG696" s="58">
        <f t="shared" si="167"/>
        <v>0</v>
      </c>
      <c r="AH696" s="47"/>
      <c r="AJ696" s="47"/>
      <c r="AL696" s="47"/>
      <c r="AM696" s="47" t="str">
        <f t="shared" si="168"/>
        <v/>
      </c>
    </row>
    <row r="697" spans="1:39" s="56" customFormat="1" ht="24.75" customHeight="1">
      <c r="A697" s="44"/>
      <c r="B697" s="45"/>
      <c r="C697" s="46">
        <f>IF(B697&lt;&gt;"",VLOOKUP(B697,'Tipo Projeto'!$A$3:$B$35,2,0),0)</f>
        <v>0</v>
      </c>
      <c r="D697" s="47"/>
      <c r="E697" s="47"/>
      <c r="F697" s="48"/>
      <c r="G697" s="47"/>
      <c r="H697" s="49"/>
      <c r="I697" s="50"/>
      <c r="J697" s="51"/>
      <c r="K697" s="52"/>
      <c r="L697" s="53" t="str">
        <f t="shared" si="156"/>
        <v/>
      </c>
      <c r="M697" s="48" t="str">
        <f t="shared" si="157"/>
        <v/>
      </c>
      <c r="N697" s="54" t="str">
        <f t="shared" si="158"/>
        <v/>
      </c>
      <c r="O697" s="55">
        <f t="shared" si="159"/>
        <v>0</v>
      </c>
      <c r="P697" s="55">
        <f t="shared" si="160"/>
        <v>0</v>
      </c>
      <c r="Q697" s="54">
        <f t="shared" si="161"/>
        <v>0</v>
      </c>
      <c r="R697" s="47"/>
      <c r="T697" s="57"/>
      <c r="U697" s="45"/>
      <c r="V697" s="46">
        <f>IF(U697&lt;&gt;"",VLOOKUP(U697,'Tipo Projeto'!$A$3:$B$35,2,0),0)</f>
        <v>0</v>
      </c>
      <c r="W697" s="47"/>
      <c r="X697" s="49"/>
      <c r="Y697" s="50"/>
      <c r="Z697" s="51"/>
      <c r="AA697" s="52"/>
      <c r="AB697" s="53" t="str">
        <f t="shared" si="162"/>
        <v/>
      </c>
      <c r="AC697" s="48" t="str">
        <f t="shared" si="163"/>
        <v/>
      </c>
      <c r="AD697" s="54" t="str">
        <f t="shared" si="164"/>
        <v/>
      </c>
      <c r="AE697" s="55">
        <f t="shared" si="165"/>
        <v>0</v>
      </c>
      <c r="AF697" s="55">
        <f t="shared" si="166"/>
        <v>0</v>
      </c>
      <c r="AG697" s="58">
        <f t="shared" si="167"/>
        <v>0</v>
      </c>
      <c r="AH697" s="47"/>
      <c r="AJ697" s="47"/>
      <c r="AL697" s="47"/>
      <c r="AM697" s="47" t="str">
        <f t="shared" si="168"/>
        <v/>
      </c>
    </row>
    <row r="698" spans="1:39" s="56" customFormat="1" ht="24.75" customHeight="1">
      <c r="A698" s="44"/>
      <c r="B698" s="45"/>
      <c r="C698" s="46">
        <f>IF(B698&lt;&gt;"",VLOOKUP(B698,'Tipo Projeto'!$A$3:$B$35,2,0),0)</f>
        <v>0</v>
      </c>
      <c r="D698" s="47"/>
      <c r="E698" s="47"/>
      <c r="F698" s="48"/>
      <c r="G698" s="47"/>
      <c r="H698" s="49"/>
      <c r="I698" s="50"/>
      <c r="J698" s="51"/>
      <c r="K698" s="52"/>
      <c r="L698" s="53" t="str">
        <f t="shared" si="156"/>
        <v/>
      </c>
      <c r="M698" s="48" t="str">
        <f t="shared" si="157"/>
        <v/>
      </c>
      <c r="N698" s="54" t="str">
        <f t="shared" si="158"/>
        <v/>
      </c>
      <c r="O698" s="55">
        <f t="shared" si="159"/>
        <v>0</v>
      </c>
      <c r="P698" s="55">
        <f t="shared" si="160"/>
        <v>0</v>
      </c>
      <c r="Q698" s="54">
        <f t="shared" si="161"/>
        <v>0</v>
      </c>
      <c r="R698" s="47"/>
      <c r="T698" s="57"/>
      <c r="U698" s="45"/>
      <c r="V698" s="46">
        <f>IF(U698&lt;&gt;"",VLOOKUP(U698,'Tipo Projeto'!$A$3:$B$35,2,0),0)</f>
        <v>0</v>
      </c>
      <c r="W698" s="47"/>
      <c r="X698" s="49"/>
      <c r="Y698" s="50"/>
      <c r="Z698" s="51"/>
      <c r="AA698" s="52"/>
      <c r="AB698" s="53" t="str">
        <f t="shared" si="162"/>
        <v/>
      </c>
      <c r="AC698" s="48" t="str">
        <f t="shared" si="163"/>
        <v/>
      </c>
      <c r="AD698" s="54" t="str">
        <f t="shared" si="164"/>
        <v/>
      </c>
      <c r="AE698" s="55">
        <f t="shared" si="165"/>
        <v>0</v>
      </c>
      <c r="AF698" s="55">
        <f t="shared" si="166"/>
        <v>0</v>
      </c>
      <c r="AG698" s="58">
        <f t="shared" si="167"/>
        <v>0</v>
      </c>
      <c r="AH698" s="47"/>
      <c r="AJ698" s="47"/>
      <c r="AL698" s="47"/>
      <c r="AM698" s="47" t="str">
        <f t="shared" si="168"/>
        <v/>
      </c>
    </row>
    <row r="699" spans="1:39" s="56" customFormat="1" ht="24.75" customHeight="1">
      <c r="A699" s="44"/>
      <c r="B699" s="45"/>
      <c r="C699" s="46">
        <f>IF(B699&lt;&gt;"",VLOOKUP(B699,'Tipo Projeto'!$A$3:$B$35,2,0),0)</f>
        <v>0</v>
      </c>
      <c r="D699" s="47"/>
      <c r="E699" s="47"/>
      <c r="F699" s="48"/>
      <c r="G699" s="47"/>
      <c r="H699" s="49"/>
      <c r="I699" s="50"/>
      <c r="J699" s="51"/>
      <c r="K699" s="52"/>
      <c r="L699" s="53" t="str">
        <f t="shared" si="156"/>
        <v/>
      </c>
      <c r="M699" s="48" t="str">
        <f t="shared" si="157"/>
        <v/>
      </c>
      <c r="N699" s="54" t="str">
        <f t="shared" si="158"/>
        <v/>
      </c>
      <c r="O699" s="55">
        <f t="shared" si="159"/>
        <v>0</v>
      </c>
      <c r="P699" s="55">
        <f t="shared" si="160"/>
        <v>0</v>
      </c>
      <c r="Q699" s="54">
        <f t="shared" si="161"/>
        <v>0</v>
      </c>
      <c r="R699" s="47"/>
      <c r="T699" s="57"/>
      <c r="U699" s="45"/>
      <c r="V699" s="46">
        <f>IF(U699&lt;&gt;"",VLOOKUP(U699,'Tipo Projeto'!$A$3:$B$35,2,0),0)</f>
        <v>0</v>
      </c>
      <c r="W699" s="47"/>
      <c r="X699" s="49"/>
      <c r="Y699" s="50"/>
      <c r="Z699" s="51"/>
      <c r="AA699" s="52"/>
      <c r="AB699" s="53" t="str">
        <f t="shared" si="162"/>
        <v/>
      </c>
      <c r="AC699" s="48" t="str">
        <f t="shared" si="163"/>
        <v/>
      </c>
      <c r="AD699" s="54" t="str">
        <f t="shared" si="164"/>
        <v/>
      </c>
      <c r="AE699" s="55">
        <f t="shared" si="165"/>
        <v>0</v>
      </c>
      <c r="AF699" s="55">
        <f t="shared" si="166"/>
        <v>0</v>
      </c>
      <c r="AG699" s="58">
        <f t="shared" si="167"/>
        <v>0</v>
      </c>
      <c r="AH699" s="47"/>
      <c r="AJ699" s="47"/>
      <c r="AL699" s="47"/>
      <c r="AM699" s="47" t="str">
        <f t="shared" si="168"/>
        <v/>
      </c>
    </row>
    <row r="700" spans="1:39" s="56" customFormat="1" ht="24.75" customHeight="1">
      <c r="A700" s="44"/>
      <c r="B700" s="45"/>
      <c r="C700" s="46">
        <f>IF(B700&lt;&gt;"",VLOOKUP(B700,'Tipo Projeto'!$A$3:$B$35,2,0),0)</f>
        <v>0</v>
      </c>
      <c r="D700" s="47"/>
      <c r="E700" s="47"/>
      <c r="F700" s="48"/>
      <c r="G700" s="47"/>
      <c r="H700" s="49"/>
      <c r="I700" s="50"/>
      <c r="J700" s="51"/>
      <c r="K700" s="52"/>
      <c r="L700" s="53" t="str">
        <f t="shared" si="156"/>
        <v/>
      </c>
      <c r="M700" s="48" t="str">
        <f t="shared" si="157"/>
        <v/>
      </c>
      <c r="N700" s="54" t="str">
        <f t="shared" si="158"/>
        <v/>
      </c>
      <c r="O700" s="55">
        <f t="shared" si="159"/>
        <v>0</v>
      </c>
      <c r="P700" s="55">
        <f t="shared" si="160"/>
        <v>0</v>
      </c>
      <c r="Q700" s="54">
        <f t="shared" si="161"/>
        <v>0</v>
      </c>
      <c r="R700" s="47"/>
      <c r="T700" s="57"/>
      <c r="U700" s="45"/>
      <c r="V700" s="46">
        <f>IF(U700&lt;&gt;"",VLOOKUP(U700,'Tipo Projeto'!$A$3:$B$35,2,0),0)</f>
        <v>0</v>
      </c>
      <c r="W700" s="47"/>
      <c r="X700" s="49"/>
      <c r="Y700" s="50"/>
      <c r="Z700" s="51"/>
      <c r="AA700" s="52"/>
      <c r="AB700" s="53" t="str">
        <f t="shared" si="162"/>
        <v/>
      </c>
      <c r="AC700" s="48" t="str">
        <f t="shared" si="163"/>
        <v/>
      </c>
      <c r="AD700" s="54" t="str">
        <f t="shared" si="164"/>
        <v/>
      </c>
      <c r="AE700" s="55">
        <f t="shared" si="165"/>
        <v>0</v>
      </c>
      <c r="AF700" s="55">
        <f t="shared" si="166"/>
        <v>0</v>
      </c>
      <c r="AG700" s="58">
        <f t="shared" si="167"/>
        <v>0</v>
      </c>
      <c r="AH700" s="47"/>
      <c r="AJ700" s="47"/>
      <c r="AL700" s="47"/>
      <c r="AM700" s="47" t="str">
        <f t="shared" si="168"/>
        <v/>
      </c>
    </row>
    <row r="701" spans="1:39" s="56" customFormat="1" ht="24.75" customHeight="1">
      <c r="A701" s="44"/>
      <c r="B701" s="45"/>
      <c r="C701" s="46">
        <f>IF(B701&lt;&gt;"",VLOOKUP(B701,'Tipo Projeto'!$A$3:$B$35,2,0),0)</f>
        <v>0</v>
      </c>
      <c r="D701" s="47"/>
      <c r="E701" s="47"/>
      <c r="F701" s="48"/>
      <c r="G701" s="47"/>
      <c r="H701" s="49"/>
      <c r="I701" s="50"/>
      <c r="J701" s="51"/>
      <c r="K701" s="52"/>
      <c r="L701" s="53" t="str">
        <f t="shared" si="156"/>
        <v/>
      </c>
      <c r="M701" s="48" t="str">
        <f t="shared" si="157"/>
        <v/>
      </c>
      <c r="N701" s="54" t="str">
        <f t="shared" si="158"/>
        <v/>
      </c>
      <c r="O701" s="55">
        <f t="shared" si="159"/>
        <v>0</v>
      </c>
      <c r="P701" s="55">
        <f t="shared" si="160"/>
        <v>0</v>
      </c>
      <c r="Q701" s="54">
        <f t="shared" si="161"/>
        <v>0</v>
      </c>
      <c r="R701" s="47"/>
      <c r="T701" s="57"/>
      <c r="U701" s="45"/>
      <c r="V701" s="46">
        <f>IF(U701&lt;&gt;"",VLOOKUP(U701,'Tipo Projeto'!$A$3:$B$35,2,0),0)</f>
        <v>0</v>
      </c>
      <c r="W701" s="47"/>
      <c r="X701" s="49"/>
      <c r="Y701" s="50"/>
      <c r="Z701" s="51"/>
      <c r="AA701" s="52"/>
      <c r="AB701" s="53" t="str">
        <f t="shared" si="162"/>
        <v/>
      </c>
      <c r="AC701" s="48" t="str">
        <f t="shared" si="163"/>
        <v/>
      </c>
      <c r="AD701" s="54" t="str">
        <f t="shared" si="164"/>
        <v/>
      </c>
      <c r="AE701" s="55">
        <f t="shared" si="165"/>
        <v>0</v>
      </c>
      <c r="AF701" s="55">
        <f t="shared" si="166"/>
        <v>0</v>
      </c>
      <c r="AG701" s="58">
        <f t="shared" si="167"/>
        <v>0</v>
      </c>
      <c r="AH701" s="47"/>
      <c r="AJ701" s="47"/>
      <c r="AL701" s="47"/>
      <c r="AM701" s="47" t="str">
        <f t="shared" si="168"/>
        <v/>
      </c>
    </row>
    <row r="702" spans="1:39" s="56" customFormat="1" ht="24.75" customHeight="1">
      <c r="A702" s="44"/>
      <c r="B702" s="45"/>
      <c r="C702" s="46">
        <f>IF(B702&lt;&gt;"",VLOOKUP(B702,'Tipo Projeto'!$A$3:$B$35,2,0),0)</f>
        <v>0</v>
      </c>
      <c r="D702" s="47"/>
      <c r="E702" s="47"/>
      <c r="F702" s="48"/>
      <c r="G702" s="47"/>
      <c r="H702" s="49"/>
      <c r="I702" s="50"/>
      <c r="J702" s="51"/>
      <c r="K702" s="52"/>
      <c r="L702" s="53" t="str">
        <f t="shared" si="156"/>
        <v/>
      </c>
      <c r="M702" s="48" t="str">
        <f t="shared" si="157"/>
        <v/>
      </c>
      <c r="N702" s="54" t="str">
        <f t="shared" si="158"/>
        <v/>
      </c>
      <c r="O702" s="55">
        <f t="shared" si="159"/>
        <v>0</v>
      </c>
      <c r="P702" s="55">
        <f t="shared" si="160"/>
        <v>0</v>
      </c>
      <c r="Q702" s="54">
        <f t="shared" si="161"/>
        <v>0</v>
      </c>
      <c r="R702" s="47"/>
      <c r="T702" s="57"/>
      <c r="U702" s="45"/>
      <c r="V702" s="46">
        <f>IF(U702&lt;&gt;"",VLOOKUP(U702,'Tipo Projeto'!$A$3:$B$35,2,0),0)</f>
        <v>0</v>
      </c>
      <c r="W702" s="47"/>
      <c r="X702" s="49"/>
      <c r="Y702" s="50"/>
      <c r="Z702" s="51"/>
      <c r="AA702" s="52"/>
      <c r="AB702" s="53" t="str">
        <f t="shared" si="162"/>
        <v/>
      </c>
      <c r="AC702" s="48" t="str">
        <f t="shared" si="163"/>
        <v/>
      </c>
      <c r="AD702" s="54" t="str">
        <f t="shared" si="164"/>
        <v/>
      </c>
      <c r="AE702" s="55">
        <f t="shared" si="165"/>
        <v>0</v>
      </c>
      <c r="AF702" s="55">
        <f t="shared" si="166"/>
        <v>0</v>
      </c>
      <c r="AG702" s="58">
        <f t="shared" si="167"/>
        <v>0</v>
      </c>
      <c r="AH702" s="47"/>
      <c r="AJ702" s="47"/>
      <c r="AL702" s="47"/>
      <c r="AM702" s="47" t="str">
        <f t="shared" si="168"/>
        <v/>
      </c>
    </row>
    <row r="703" spans="1:39" s="56" customFormat="1" ht="24.75" customHeight="1">
      <c r="A703" s="44"/>
      <c r="B703" s="45"/>
      <c r="C703" s="46">
        <f>IF(B703&lt;&gt;"",VLOOKUP(B703,'Tipo Projeto'!$A$3:$B$35,2,0),0)</f>
        <v>0</v>
      </c>
      <c r="D703" s="47"/>
      <c r="E703" s="47"/>
      <c r="F703" s="48"/>
      <c r="G703" s="47"/>
      <c r="H703" s="49"/>
      <c r="I703" s="50"/>
      <c r="J703" s="51"/>
      <c r="K703" s="52"/>
      <c r="L703" s="53" t="str">
        <f t="shared" si="156"/>
        <v/>
      </c>
      <c r="M703" s="48" t="str">
        <f t="shared" si="157"/>
        <v/>
      </c>
      <c r="N703" s="54" t="str">
        <f t="shared" si="158"/>
        <v/>
      </c>
      <c r="O703" s="55">
        <f t="shared" si="159"/>
        <v>0</v>
      </c>
      <c r="P703" s="55">
        <f t="shared" si="160"/>
        <v>0</v>
      </c>
      <c r="Q703" s="54">
        <f t="shared" si="161"/>
        <v>0</v>
      </c>
      <c r="R703" s="47"/>
      <c r="T703" s="57"/>
      <c r="U703" s="45"/>
      <c r="V703" s="46">
        <f>IF(U703&lt;&gt;"",VLOOKUP(U703,'Tipo Projeto'!$A$3:$B$35,2,0),0)</f>
        <v>0</v>
      </c>
      <c r="W703" s="47"/>
      <c r="X703" s="49"/>
      <c r="Y703" s="50"/>
      <c r="Z703" s="51"/>
      <c r="AA703" s="52"/>
      <c r="AB703" s="53" t="str">
        <f t="shared" si="162"/>
        <v/>
      </c>
      <c r="AC703" s="48" t="str">
        <f t="shared" si="163"/>
        <v/>
      </c>
      <c r="AD703" s="54" t="str">
        <f t="shared" si="164"/>
        <v/>
      </c>
      <c r="AE703" s="55">
        <f t="shared" si="165"/>
        <v>0</v>
      </c>
      <c r="AF703" s="55">
        <f t="shared" si="166"/>
        <v>0</v>
      </c>
      <c r="AG703" s="58">
        <f t="shared" si="167"/>
        <v>0</v>
      </c>
      <c r="AH703" s="47"/>
      <c r="AJ703" s="47"/>
      <c r="AL703" s="47"/>
      <c r="AM703" s="47" t="str">
        <f t="shared" si="168"/>
        <v/>
      </c>
    </row>
    <row r="704" spans="1:39" s="56" customFormat="1" ht="24.75" customHeight="1">
      <c r="A704" s="44"/>
      <c r="B704" s="45"/>
      <c r="C704" s="46">
        <f>IF(B704&lt;&gt;"",VLOOKUP(B704,'Tipo Projeto'!$A$3:$B$35,2,0),0)</f>
        <v>0</v>
      </c>
      <c r="D704" s="47"/>
      <c r="E704" s="47"/>
      <c r="F704" s="48"/>
      <c r="G704" s="47"/>
      <c r="H704" s="49"/>
      <c r="I704" s="50"/>
      <c r="J704" s="51"/>
      <c r="K704" s="52"/>
      <c r="L704" s="53" t="str">
        <f t="shared" si="156"/>
        <v/>
      </c>
      <c r="M704" s="48" t="str">
        <f t="shared" si="157"/>
        <v/>
      </c>
      <c r="N704" s="54" t="str">
        <f t="shared" si="158"/>
        <v/>
      </c>
      <c r="O704" s="55">
        <f t="shared" si="159"/>
        <v>0</v>
      </c>
      <c r="P704" s="55">
        <f t="shared" si="160"/>
        <v>0</v>
      </c>
      <c r="Q704" s="54">
        <f t="shared" si="161"/>
        <v>0</v>
      </c>
      <c r="R704" s="47"/>
      <c r="T704" s="57"/>
      <c r="U704" s="45"/>
      <c r="V704" s="46">
        <f>IF(U704&lt;&gt;"",VLOOKUP(U704,'Tipo Projeto'!$A$3:$B$35,2,0),0)</f>
        <v>0</v>
      </c>
      <c r="W704" s="47"/>
      <c r="X704" s="49"/>
      <c r="Y704" s="50"/>
      <c r="Z704" s="51"/>
      <c r="AA704" s="52"/>
      <c r="AB704" s="53" t="str">
        <f t="shared" si="162"/>
        <v/>
      </c>
      <c r="AC704" s="48" t="str">
        <f t="shared" si="163"/>
        <v/>
      </c>
      <c r="AD704" s="54" t="str">
        <f t="shared" si="164"/>
        <v/>
      </c>
      <c r="AE704" s="55">
        <f t="shared" si="165"/>
        <v>0</v>
      </c>
      <c r="AF704" s="55">
        <f t="shared" si="166"/>
        <v>0</v>
      </c>
      <c r="AG704" s="58">
        <f t="shared" si="167"/>
        <v>0</v>
      </c>
      <c r="AH704" s="47"/>
      <c r="AJ704" s="47"/>
      <c r="AL704" s="47"/>
      <c r="AM704" s="47" t="str">
        <f t="shared" si="168"/>
        <v/>
      </c>
    </row>
    <row r="705" spans="1:39" s="56" customFormat="1" ht="24.75" customHeight="1">
      <c r="A705" s="44"/>
      <c r="B705" s="45"/>
      <c r="C705" s="46">
        <f>IF(B705&lt;&gt;"",VLOOKUP(B705,'Tipo Projeto'!$A$3:$B$35,2,0),0)</f>
        <v>0</v>
      </c>
      <c r="D705" s="47"/>
      <c r="E705" s="47"/>
      <c r="F705" s="48"/>
      <c r="G705" s="47"/>
      <c r="H705" s="49"/>
      <c r="I705" s="50"/>
      <c r="J705" s="51"/>
      <c r="K705" s="52"/>
      <c r="L705" s="53" t="str">
        <f t="shared" si="156"/>
        <v/>
      </c>
      <c r="M705" s="48" t="str">
        <f t="shared" si="157"/>
        <v/>
      </c>
      <c r="N705" s="54" t="str">
        <f t="shared" si="158"/>
        <v/>
      </c>
      <c r="O705" s="55">
        <f t="shared" si="159"/>
        <v>0</v>
      </c>
      <c r="P705" s="55">
        <f t="shared" si="160"/>
        <v>0</v>
      </c>
      <c r="Q705" s="54">
        <f t="shared" si="161"/>
        <v>0</v>
      </c>
      <c r="R705" s="47"/>
      <c r="T705" s="57"/>
      <c r="U705" s="45"/>
      <c r="V705" s="46">
        <f>IF(U705&lt;&gt;"",VLOOKUP(U705,'Tipo Projeto'!$A$3:$B$35,2,0),0)</f>
        <v>0</v>
      </c>
      <c r="W705" s="47"/>
      <c r="X705" s="49"/>
      <c r="Y705" s="50"/>
      <c r="Z705" s="51"/>
      <c r="AA705" s="52"/>
      <c r="AB705" s="53" t="str">
        <f t="shared" si="162"/>
        <v/>
      </c>
      <c r="AC705" s="48" t="str">
        <f t="shared" si="163"/>
        <v/>
      </c>
      <c r="AD705" s="54" t="str">
        <f t="shared" si="164"/>
        <v/>
      </c>
      <c r="AE705" s="55">
        <f t="shared" si="165"/>
        <v>0</v>
      </c>
      <c r="AF705" s="55">
        <f t="shared" si="166"/>
        <v>0</v>
      </c>
      <c r="AG705" s="58">
        <f t="shared" si="167"/>
        <v>0</v>
      </c>
      <c r="AH705" s="47"/>
      <c r="AJ705" s="47"/>
      <c r="AL705" s="47"/>
      <c r="AM705" s="47" t="str">
        <f t="shared" si="168"/>
        <v/>
      </c>
    </row>
    <row r="706" spans="1:39" s="56" customFormat="1" ht="24.75" customHeight="1">
      <c r="A706" s="44"/>
      <c r="B706" s="45"/>
      <c r="C706" s="46">
        <f>IF(B706&lt;&gt;"",VLOOKUP(B706,'Tipo Projeto'!$A$3:$B$35,2,0),0)</f>
        <v>0</v>
      </c>
      <c r="D706" s="47"/>
      <c r="E706" s="47"/>
      <c r="F706" s="48"/>
      <c r="G706" s="47"/>
      <c r="H706" s="49"/>
      <c r="I706" s="50"/>
      <c r="J706" s="51"/>
      <c r="K706" s="52"/>
      <c r="L706" s="53" t="str">
        <f t="shared" si="156"/>
        <v/>
      </c>
      <c r="M706" s="48" t="str">
        <f t="shared" si="157"/>
        <v/>
      </c>
      <c r="N706" s="54" t="str">
        <f t="shared" si="158"/>
        <v/>
      </c>
      <c r="O706" s="55">
        <f t="shared" si="159"/>
        <v>0</v>
      </c>
      <c r="P706" s="55">
        <f t="shared" si="160"/>
        <v>0</v>
      </c>
      <c r="Q706" s="54">
        <f t="shared" si="161"/>
        <v>0</v>
      </c>
      <c r="R706" s="47"/>
      <c r="T706" s="57"/>
      <c r="U706" s="45"/>
      <c r="V706" s="46">
        <f>IF(U706&lt;&gt;"",VLOOKUP(U706,'Tipo Projeto'!$A$3:$B$35,2,0),0)</f>
        <v>0</v>
      </c>
      <c r="W706" s="47"/>
      <c r="X706" s="49"/>
      <c r="Y706" s="50"/>
      <c r="Z706" s="51"/>
      <c r="AA706" s="52"/>
      <c r="AB706" s="53" t="str">
        <f t="shared" si="162"/>
        <v/>
      </c>
      <c r="AC706" s="48" t="str">
        <f t="shared" si="163"/>
        <v/>
      </c>
      <c r="AD706" s="54" t="str">
        <f t="shared" si="164"/>
        <v/>
      </c>
      <c r="AE706" s="55">
        <f t="shared" si="165"/>
        <v>0</v>
      </c>
      <c r="AF706" s="55">
        <f t="shared" si="166"/>
        <v>0</v>
      </c>
      <c r="AG706" s="58">
        <f t="shared" si="167"/>
        <v>0</v>
      </c>
      <c r="AH706" s="47"/>
      <c r="AJ706" s="47"/>
      <c r="AL706" s="47"/>
      <c r="AM706" s="47" t="str">
        <f t="shared" si="168"/>
        <v/>
      </c>
    </row>
    <row r="707" spans="1:39" s="56" customFormat="1" ht="24.75" customHeight="1">
      <c r="A707" s="44"/>
      <c r="B707" s="45"/>
      <c r="C707" s="46">
        <f>IF(B707&lt;&gt;"",VLOOKUP(B707,'Tipo Projeto'!$A$3:$B$35,2,0),0)</f>
        <v>0</v>
      </c>
      <c r="D707" s="47"/>
      <c r="E707" s="47"/>
      <c r="F707" s="48"/>
      <c r="G707" s="47"/>
      <c r="H707" s="49"/>
      <c r="I707" s="50"/>
      <c r="J707" s="51"/>
      <c r="K707" s="52"/>
      <c r="L707" s="53" t="str">
        <f t="shared" si="156"/>
        <v/>
      </c>
      <c r="M707" s="48" t="str">
        <f t="shared" si="157"/>
        <v/>
      </c>
      <c r="N707" s="54" t="str">
        <f t="shared" si="158"/>
        <v/>
      </c>
      <c r="O707" s="55">
        <f t="shared" si="159"/>
        <v>0</v>
      </c>
      <c r="P707" s="55">
        <f t="shared" si="160"/>
        <v>0</v>
      </c>
      <c r="Q707" s="54">
        <f t="shared" si="161"/>
        <v>0</v>
      </c>
      <c r="R707" s="47"/>
      <c r="T707" s="57"/>
      <c r="U707" s="45"/>
      <c r="V707" s="46">
        <f>IF(U707&lt;&gt;"",VLOOKUP(U707,'Tipo Projeto'!$A$3:$B$35,2,0),0)</f>
        <v>0</v>
      </c>
      <c r="W707" s="47"/>
      <c r="X707" s="49"/>
      <c r="Y707" s="50"/>
      <c r="Z707" s="51"/>
      <c r="AA707" s="52"/>
      <c r="AB707" s="53" t="str">
        <f t="shared" si="162"/>
        <v/>
      </c>
      <c r="AC707" s="48" t="str">
        <f t="shared" si="163"/>
        <v/>
      </c>
      <c r="AD707" s="54" t="str">
        <f t="shared" si="164"/>
        <v/>
      </c>
      <c r="AE707" s="55">
        <f t="shared" si="165"/>
        <v>0</v>
      </c>
      <c r="AF707" s="55">
        <f t="shared" si="166"/>
        <v>0</v>
      </c>
      <c r="AG707" s="58">
        <f t="shared" si="167"/>
        <v>0</v>
      </c>
      <c r="AH707" s="47"/>
      <c r="AJ707" s="47"/>
      <c r="AL707" s="47"/>
      <c r="AM707" s="47" t="str">
        <f t="shared" si="168"/>
        <v/>
      </c>
    </row>
    <row r="708" spans="1:39" s="56" customFormat="1" ht="24.75" customHeight="1">
      <c r="A708" s="44"/>
      <c r="B708" s="45"/>
      <c r="C708" s="46">
        <f>IF(B708&lt;&gt;"",VLOOKUP(B708,'Tipo Projeto'!$A$3:$B$35,2,0),0)</f>
        <v>0</v>
      </c>
      <c r="D708" s="47"/>
      <c r="E708" s="47"/>
      <c r="F708" s="48"/>
      <c r="G708" s="47"/>
      <c r="H708" s="49"/>
      <c r="I708" s="50"/>
      <c r="J708" s="51"/>
      <c r="K708" s="52"/>
      <c r="L708" s="53" t="str">
        <f t="shared" si="156"/>
        <v/>
      </c>
      <c r="M708" s="48" t="str">
        <f t="shared" si="157"/>
        <v/>
      </c>
      <c r="N708" s="54" t="str">
        <f t="shared" si="158"/>
        <v/>
      </c>
      <c r="O708" s="55">
        <f t="shared" si="159"/>
        <v>0</v>
      </c>
      <c r="P708" s="55">
        <f t="shared" si="160"/>
        <v>0</v>
      </c>
      <c r="Q708" s="54">
        <f t="shared" si="161"/>
        <v>0</v>
      </c>
      <c r="R708" s="47"/>
      <c r="T708" s="57"/>
      <c r="U708" s="45"/>
      <c r="V708" s="46">
        <f>IF(U708&lt;&gt;"",VLOOKUP(U708,'Tipo Projeto'!$A$3:$B$35,2,0),0)</f>
        <v>0</v>
      </c>
      <c r="W708" s="47"/>
      <c r="X708" s="49"/>
      <c r="Y708" s="50"/>
      <c r="Z708" s="51"/>
      <c r="AA708" s="52"/>
      <c r="AB708" s="53" t="str">
        <f t="shared" si="162"/>
        <v/>
      </c>
      <c r="AC708" s="48" t="str">
        <f t="shared" si="163"/>
        <v/>
      </c>
      <c r="AD708" s="54" t="str">
        <f t="shared" si="164"/>
        <v/>
      </c>
      <c r="AE708" s="55">
        <f t="shared" si="165"/>
        <v>0</v>
      </c>
      <c r="AF708" s="55">
        <f t="shared" si="166"/>
        <v>0</v>
      </c>
      <c r="AG708" s="58">
        <f t="shared" si="167"/>
        <v>0</v>
      </c>
      <c r="AH708" s="47"/>
      <c r="AJ708" s="47"/>
      <c r="AL708" s="47"/>
      <c r="AM708" s="47" t="str">
        <f t="shared" si="168"/>
        <v/>
      </c>
    </row>
    <row r="709" spans="1:39" s="56" customFormat="1" ht="24.75" customHeight="1">
      <c r="A709" s="44"/>
      <c r="B709" s="45"/>
      <c r="C709" s="46">
        <f>IF(B709&lt;&gt;"",VLOOKUP(B709,'Tipo Projeto'!$A$3:$B$35,2,0),0)</f>
        <v>0</v>
      </c>
      <c r="D709" s="47"/>
      <c r="E709" s="47"/>
      <c r="F709" s="48"/>
      <c r="G709" s="47"/>
      <c r="H709" s="49"/>
      <c r="I709" s="50"/>
      <c r="J709" s="51"/>
      <c r="K709" s="52"/>
      <c r="L709" s="53" t="str">
        <f t="shared" si="156"/>
        <v/>
      </c>
      <c r="M709" s="48" t="str">
        <f t="shared" si="157"/>
        <v/>
      </c>
      <c r="N709" s="54" t="str">
        <f t="shared" si="158"/>
        <v/>
      </c>
      <c r="O709" s="55">
        <f t="shared" si="159"/>
        <v>0</v>
      </c>
      <c r="P709" s="55">
        <f t="shared" si="160"/>
        <v>0</v>
      </c>
      <c r="Q709" s="54">
        <f t="shared" si="161"/>
        <v>0</v>
      </c>
      <c r="R709" s="47"/>
      <c r="T709" s="57"/>
      <c r="U709" s="45"/>
      <c r="V709" s="46">
        <f>IF(U709&lt;&gt;"",VLOOKUP(U709,'Tipo Projeto'!$A$3:$B$35,2,0),0)</f>
        <v>0</v>
      </c>
      <c r="W709" s="47"/>
      <c r="X709" s="49"/>
      <c r="Y709" s="50"/>
      <c r="Z709" s="51"/>
      <c r="AA709" s="52"/>
      <c r="AB709" s="53" t="str">
        <f t="shared" si="162"/>
        <v/>
      </c>
      <c r="AC709" s="48" t="str">
        <f t="shared" si="163"/>
        <v/>
      </c>
      <c r="AD709" s="54" t="str">
        <f t="shared" si="164"/>
        <v/>
      </c>
      <c r="AE709" s="55">
        <f t="shared" si="165"/>
        <v>0</v>
      </c>
      <c r="AF709" s="55">
        <f t="shared" si="166"/>
        <v>0</v>
      </c>
      <c r="AG709" s="58">
        <f t="shared" si="167"/>
        <v>0</v>
      </c>
      <c r="AH709" s="47"/>
      <c r="AJ709" s="47"/>
      <c r="AL709" s="47"/>
      <c r="AM709" s="47" t="str">
        <f t="shared" si="168"/>
        <v/>
      </c>
    </row>
    <row r="710" spans="1:39" s="56" customFormat="1" ht="24.75" customHeight="1">
      <c r="A710" s="44"/>
      <c r="B710" s="45"/>
      <c r="C710" s="46">
        <f>IF(B710&lt;&gt;"",VLOOKUP(B710,'Tipo Projeto'!$A$3:$B$35,2,0),0)</f>
        <v>0</v>
      </c>
      <c r="D710" s="47"/>
      <c r="E710" s="47"/>
      <c r="F710" s="48"/>
      <c r="G710" s="47"/>
      <c r="H710" s="49"/>
      <c r="I710" s="50"/>
      <c r="J710" s="51"/>
      <c r="K710" s="52"/>
      <c r="L710" s="53" t="str">
        <f t="shared" si="156"/>
        <v/>
      </c>
      <c r="M710" s="48" t="str">
        <f t="shared" si="157"/>
        <v/>
      </c>
      <c r="N710" s="54" t="str">
        <f t="shared" si="158"/>
        <v/>
      </c>
      <c r="O710" s="55">
        <f t="shared" si="159"/>
        <v>0</v>
      </c>
      <c r="P710" s="55">
        <f t="shared" si="160"/>
        <v>0</v>
      </c>
      <c r="Q710" s="54">
        <f t="shared" si="161"/>
        <v>0</v>
      </c>
      <c r="R710" s="47"/>
      <c r="T710" s="57"/>
      <c r="U710" s="45"/>
      <c r="V710" s="46">
        <f>IF(U710&lt;&gt;"",VLOOKUP(U710,'Tipo Projeto'!$A$3:$B$35,2,0),0)</f>
        <v>0</v>
      </c>
      <c r="W710" s="47"/>
      <c r="X710" s="49"/>
      <c r="Y710" s="50"/>
      <c r="Z710" s="51"/>
      <c r="AA710" s="52"/>
      <c r="AB710" s="53" t="str">
        <f t="shared" si="162"/>
        <v/>
      </c>
      <c r="AC710" s="48" t="str">
        <f t="shared" si="163"/>
        <v/>
      </c>
      <c r="AD710" s="54" t="str">
        <f t="shared" si="164"/>
        <v/>
      </c>
      <c r="AE710" s="55">
        <f t="shared" si="165"/>
        <v>0</v>
      </c>
      <c r="AF710" s="55">
        <f t="shared" si="166"/>
        <v>0</v>
      </c>
      <c r="AG710" s="58">
        <f t="shared" si="167"/>
        <v>0</v>
      </c>
      <c r="AH710" s="47"/>
      <c r="AJ710" s="47"/>
      <c r="AL710" s="47"/>
      <c r="AM710" s="47" t="str">
        <f t="shared" si="168"/>
        <v/>
      </c>
    </row>
    <row r="711" spans="1:39" s="56" customFormat="1" ht="24.75" customHeight="1">
      <c r="A711" s="44"/>
      <c r="B711" s="45"/>
      <c r="C711" s="46">
        <f>IF(B711&lt;&gt;"",VLOOKUP(B711,'Tipo Projeto'!$A$3:$B$35,2,0),0)</f>
        <v>0</v>
      </c>
      <c r="D711" s="47"/>
      <c r="E711" s="47"/>
      <c r="F711" s="48"/>
      <c r="G711" s="47"/>
      <c r="H711" s="49"/>
      <c r="I711" s="50"/>
      <c r="J711" s="51"/>
      <c r="K711" s="52"/>
      <c r="L711" s="53" t="str">
        <f t="shared" si="156"/>
        <v/>
      </c>
      <c r="M711" s="48" t="str">
        <f t="shared" si="157"/>
        <v/>
      </c>
      <c r="N711" s="54" t="str">
        <f t="shared" si="158"/>
        <v/>
      </c>
      <c r="O711" s="55">
        <f t="shared" si="159"/>
        <v>0</v>
      </c>
      <c r="P711" s="55">
        <f t="shared" si="160"/>
        <v>0</v>
      </c>
      <c r="Q711" s="54">
        <f t="shared" si="161"/>
        <v>0</v>
      </c>
      <c r="R711" s="47"/>
      <c r="T711" s="57"/>
      <c r="U711" s="45"/>
      <c r="V711" s="46">
        <f>IF(U711&lt;&gt;"",VLOOKUP(U711,'Tipo Projeto'!$A$3:$B$35,2,0),0)</f>
        <v>0</v>
      </c>
      <c r="W711" s="47"/>
      <c r="X711" s="49"/>
      <c r="Y711" s="50"/>
      <c r="Z711" s="51"/>
      <c r="AA711" s="52"/>
      <c r="AB711" s="53" t="str">
        <f t="shared" si="162"/>
        <v/>
      </c>
      <c r="AC711" s="48" t="str">
        <f t="shared" si="163"/>
        <v/>
      </c>
      <c r="AD711" s="54" t="str">
        <f t="shared" si="164"/>
        <v/>
      </c>
      <c r="AE711" s="55">
        <f t="shared" si="165"/>
        <v>0</v>
      </c>
      <c r="AF711" s="55">
        <f t="shared" si="166"/>
        <v>0</v>
      </c>
      <c r="AG711" s="58">
        <f t="shared" si="167"/>
        <v>0</v>
      </c>
      <c r="AH711" s="47"/>
      <c r="AJ711" s="47"/>
      <c r="AL711" s="47"/>
      <c r="AM711" s="47" t="str">
        <f t="shared" si="168"/>
        <v/>
      </c>
    </row>
    <row r="712" spans="1:39" s="56" customFormat="1" ht="24.75" customHeight="1">
      <c r="A712" s="44"/>
      <c r="B712" s="45"/>
      <c r="C712" s="46">
        <f>IF(B712&lt;&gt;"",VLOOKUP(B712,'Tipo Projeto'!$A$3:$B$35,2,0),0)</f>
        <v>0</v>
      </c>
      <c r="D712" s="47"/>
      <c r="E712" s="47"/>
      <c r="F712" s="48"/>
      <c r="G712" s="47"/>
      <c r="H712" s="49"/>
      <c r="I712" s="50"/>
      <c r="J712" s="51"/>
      <c r="K712" s="52"/>
      <c r="L712" s="53" t="str">
        <f t="shared" si="156"/>
        <v/>
      </c>
      <c r="M712" s="48" t="str">
        <f t="shared" si="157"/>
        <v/>
      </c>
      <c r="N712" s="54" t="str">
        <f t="shared" si="158"/>
        <v/>
      </c>
      <c r="O712" s="55">
        <f t="shared" si="159"/>
        <v>0</v>
      </c>
      <c r="P712" s="55">
        <f t="shared" si="160"/>
        <v>0</v>
      </c>
      <c r="Q712" s="54">
        <f t="shared" si="161"/>
        <v>0</v>
      </c>
      <c r="R712" s="47"/>
      <c r="T712" s="57"/>
      <c r="U712" s="45"/>
      <c r="V712" s="46">
        <f>IF(U712&lt;&gt;"",VLOOKUP(U712,'Tipo Projeto'!$A$3:$B$35,2,0),0)</f>
        <v>0</v>
      </c>
      <c r="W712" s="47"/>
      <c r="X712" s="49"/>
      <c r="Y712" s="50"/>
      <c r="Z712" s="51"/>
      <c r="AA712" s="52"/>
      <c r="AB712" s="53" t="str">
        <f t="shared" si="162"/>
        <v/>
      </c>
      <c r="AC712" s="48" t="str">
        <f t="shared" si="163"/>
        <v/>
      </c>
      <c r="AD712" s="54" t="str">
        <f t="shared" si="164"/>
        <v/>
      </c>
      <c r="AE712" s="55">
        <f t="shared" si="165"/>
        <v>0</v>
      </c>
      <c r="AF712" s="55">
        <f t="shared" si="166"/>
        <v>0</v>
      </c>
      <c r="AG712" s="58">
        <f t="shared" si="167"/>
        <v>0</v>
      </c>
      <c r="AH712" s="47"/>
      <c r="AJ712" s="47"/>
      <c r="AL712" s="47"/>
      <c r="AM712" s="47" t="str">
        <f t="shared" si="168"/>
        <v/>
      </c>
    </row>
    <row r="713" spans="1:39" s="56" customFormat="1" ht="24.75" customHeight="1">
      <c r="A713" s="44"/>
      <c r="B713" s="45"/>
      <c r="C713" s="46">
        <f>IF(B713&lt;&gt;"",VLOOKUP(B713,'Tipo Projeto'!$A$3:$B$35,2,0),0)</f>
        <v>0</v>
      </c>
      <c r="D713" s="47"/>
      <c r="E713" s="47"/>
      <c r="F713" s="48"/>
      <c r="G713" s="47"/>
      <c r="H713" s="49"/>
      <c r="I713" s="50"/>
      <c r="J713" s="51"/>
      <c r="K713" s="52"/>
      <c r="L713" s="53" t="str">
        <f t="shared" si="156"/>
        <v/>
      </c>
      <c r="M713" s="48" t="str">
        <f t="shared" si="157"/>
        <v/>
      </c>
      <c r="N713" s="54" t="str">
        <f t="shared" si="158"/>
        <v/>
      </c>
      <c r="O713" s="55">
        <f t="shared" si="159"/>
        <v>0</v>
      </c>
      <c r="P713" s="55">
        <f t="shared" si="160"/>
        <v>0</v>
      </c>
      <c r="Q713" s="54">
        <f t="shared" si="161"/>
        <v>0</v>
      </c>
      <c r="R713" s="47"/>
      <c r="T713" s="57"/>
      <c r="U713" s="45"/>
      <c r="V713" s="46">
        <f>IF(U713&lt;&gt;"",VLOOKUP(U713,'Tipo Projeto'!$A$3:$B$35,2,0),0)</f>
        <v>0</v>
      </c>
      <c r="W713" s="47"/>
      <c r="X713" s="49"/>
      <c r="Y713" s="50"/>
      <c r="Z713" s="51"/>
      <c r="AA713" s="52"/>
      <c r="AB713" s="53" t="str">
        <f t="shared" si="162"/>
        <v/>
      </c>
      <c r="AC713" s="48" t="str">
        <f t="shared" si="163"/>
        <v/>
      </c>
      <c r="AD713" s="54" t="str">
        <f t="shared" si="164"/>
        <v/>
      </c>
      <c r="AE713" s="55">
        <f t="shared" si="165"/>
        <v>0</v>
      </c>
      <c r="AF713" s="55">
        <f t="shared" si="166"/>
        <v>0</v>
      </c>
      <c r="AG713" s="58">
        <f t="shared" si="167"/>
        <v>0</v>
      </c>
      <c r="AH713" s="47"/>
      <c r="AJ713" s="47"/>
      <c r="AL713" s="47"/>
      <c r="AM713" s="47" t="str">
        <f t="shared" si="168"/>
        <v/>
      </c>
    </row>
    <row r="714" spans="1:39" s="56" customFormat="1" ht="24.75" customHeight="1">
      <c r="A714" s="44"/>
      <c r="B714" s="45"/>
      <c r="C714" s="46">
        <f>IF(B714&lt;&gt;"",VLOOKUP(B714,'Tipo Projeto'!$A$3:$B$35,2,0),0)</f>
        <v>0</v>
      </c>
      <c r="D714" s="47"/>
      <c r="E714" s="47"/>
      <c r="F714" s="48"/>
      <c r="G714" s="47"/>
      <c r="H714" s="49"/>
      <c r="I714" s="50"/>
      <c r="J714" s="51"/>
      <c r="K714" s="52"/>
      <c r="L714" s="53" t="str">
        <f t="shared" si="156"/>
        <v/>
      </c>
      <c r="M714" s="48" t="str">
        <f t="shared" si="157"/>
        <v/>
      </c>
      <c r="N714" s="54" t="str">
        <f t="shared" si="158"/>
        <v/>
      </c>
      <c r="O714" s="55">
        <f t="shared" si="159"/>
        <v>0</v>
      </c>
      <c r="P714" s="55">
        <f t="shared" si="160"/>
        <v>0</v>
      </c>
      <c r="Q714" s="54">
        <f t="shared" si="161"/>
        <v>0</v>
      </c>
      <c r="R714" s="47"/>
      <c r="T714" s="57"/>
      <c r="U714" s="45"/>
      <c r="V714" s="46">
        <f>IF(U714&lt;&gt;"",VLOOKUP(U714,'Tipo Projeto'!$A$3:$B$35,2,0),0)</f>
        <v>0</v>
      </c>
      <c r="W714" s="47"/>
      <c r="X714" s="49"/>
      <c r="Y714" s="50"/>
      <c r="Z714" s="51"/>
      <c r="AA714" s="52"/>
      <c r="AB714" s="53" t="str">
        <f t="shared" si="162"/>
        <v/>
      </c>
      <c r="AC714" s="48" t="str">
        <f t="shared" si="163"/>
        <v/>
      </c>
      <c r="AD714" s="54" t="str">
        <f t="shared" si="164"/>
        <v/>
      </c>
      <c r="AE714" s="55">
        <f t="shared" si="165"/>
        <v>0</v>
      </c>
      <c r="AF714" s="55">
        <f t="shared" si="166"/>
        <v>0</v>
      </c>
      <c r="AG714" s="58">
        <f t="shared" si="167"/>
        <v>0</v>
      </c>
      <c r="AH714" s="47"/>
      <c r="AJ714" s="47"/>
      <c r="AL714" s="47"/>
      <c r="AM714" s="47" t="str">
        <f t="shared" si="168"/>
        <v/>
      </c>
    </row>
    <row r="715" spans="1:39" s="56" customFormat="1" ht="24.75" customHeight="1">
      <c r="A715" s="44"/>
      <c r="B715" s="45"/>
      <c r="C715" s="46">
        <f>IF(B715&lt;&gt;"",VLOOKUP(B715,'Tipo Projeto'!$A$3:$B$35,2,0),0)</f>
        <v>0</v>
      </c>
      <c r="D715" s="47"/>
      <c r="E715" s="47"/>
      <c r="F715" s="48"/>
      <c r="G715" s="47"/>
      <c r="H715" s="49"/>
      <c r="I715" s="50"/>
      <c r="J715" s="51"/>
      <c r="K715" s="52"/>
      <c r="L715" s="53" t="str">
        <f t="shared" si="156"/>
        <v/>
      </c>
      <c r="M715" s="48" t="str">
        <f t="shared" si="157"/>
        <v/>
      </c>
      <c r="N715" s="54" t="str">
        <f t="shared" si="158"/>
        <v/>
      </c>
      <c r="O715" s="55">
        <f t="shared" si="159"/>
        <v>0</v>
      </c>
      <c r="P715" s="55">
        <f t="shared" si="160"/>
        <v>0</v>
      </c>
      <c r="Q715" s="54">
        <f t="shared" si="161"/>
        <v>0</v>
      </c>
      <c r="R715" s="47"/>
      <c r="T715" s="57"/>
      <c r="U715" s="45"/>
      <c r="V715" s="46">
        <f>IF(U715&lt;&gt;"",VLOOKUP(U715,'Tipo Projeto'!$A$3:$B$35,2,0),0)</f>
        <v>0</v>
      </c>
      <c r="W715" s="47"/>
      <c r="X715" s="49"/>
      <c r="Y715" s="50"/>
      <c r="Z715" s="51"/>
      <c r="AA715" s="52"/>
      <c r="AB715" s="53" t="str">
        <f t="shared" si="162"/>
        <v/>
      </c>
      <c r="AC715" s="48" t="str">
        <f t="shared" si="163"/>
        <v/>
      </c>
      <c r="AD715" s="54" t="str">
        <f t="shared" si="164"/>
        <v/>
      </c>
      <c r="AE715" s="55">
        <f t="shared" si="165"/>
        <v>0</v>
      </c>
      <c r="AF715" s="55">
        <f t="shared" si="166"/>
        <v>0</v>
      </c>
      <c r="AG715" s="58">
        <f t="shared" si="167"/>
        <v>0</v>
      </c>
      <c r="AH715" s="47"/>
      <c r="AJ715" s="47"/>
      <c r="AL715" s="47"/>
      <c r="AM715" s="47" t="str">
        <f t="shared" si="168"/>
        <v/>
      </c>
    </row>
    <row r="716" spans="1:39" s="56" customFormat="1" ht="24.75" customHeight="1">
      <c r="A716" s="44"/>
      <c r="B716" s="45"/>
      <c r="C716" s="46">
        <f>IF(B716&lt;&gt;"",VLOOKUP(B716,'Tipo Projeto'!$A$3:$B$35,2,0),0)</f>
        <v>0</v>
      </c>
      <c r="D716" s="47"/>
      <c r="E716" s="47"/>
      <c r="F716" s="48"/>
      <c r="G716" s="47"/>
      <c r="H716" s="49"/>
      <c r="I716" s="50"/>
      <c r="J716" s="51"/>
      <c r="K716" s="52"/>
      <c r="L716" s="53" t="str">
        <f t="shared" si="156"/>
        <v/>
      </c>
      <c r="M716" s="48" t="str">
        <f t="shared" si="157"/>
        <v/>
      </c>
      <c r="N716" s="54" t="str">
        <f t="shared" si="158"/>
        <v/>
      </c>
      <c r="O716" s="55">
        <f t="shared" si="159"/>
        <v>0</v>
      </c>
      <c r="P716" s="55">
        <f t="shared" si="160"/>
        <v>0</v>
      </c>
      <c r="Q716" s="54">
        <f t="shared" si="161"/>
        <v>0</v>
      </c>
      <c r="R716" s="47"/>
      <c r="T716" s="57"/>
      <c r="U716" s="45"/>
      <c r="V716" s="46">
        <f>IF(U716&lt;&gt;"",VLOOKUP(U716,'Tipo Projeto'!$A$3:$B$35,2,0),0)</f>
        <v>0</v>
      </c>
      <c r="W716" s="47"/>
      <c r="X716" s="49"/>
      <c r="Y716" s="50"/>
      <c r="Z716" s="51"/>
      <c r="AA716" s="52"/>
      <c r="AB716" s="53" t="str">
        <f t="shared" si="162"/>
        <v/>
      </c>
      <c r="AC716" s="48" t="str">
        <f t="shared" si="163"/>
        <v/>
      </c>
      <c r="AD716" s="54" t="str">
        <f t="shared" si="164"/>
        <v/>
      </c>
      <c r="AE716" s="55">
        <f t="shared" si="165"/>
        <v>0</v>
      </c>
      <c r="AF716" s="55">
        <f t="shared" si="166"/>
        <v>0</v>
      </c>
      <c r="AG716" s="58">
        <f t="shared" si="167"/>
        <v>0</v>
      </c>
      <c r="AH716" s="47"/>
      <c r="AJ716" s="47"/>
      <c r="AL716" s="47"/>
      <c r="AM716" s="47" t="str">
        <f t="shared" si="168"/>
        <v/>
      </c>
    </row>
    <row r="717" spans="1:39" s="56" customFormat="1" ht="24.75" customHeight="1">
      <c r="A717" s="44"/>
      <c r="B717" s="45"/>
      <c r="C717" s="46">
        <f>IF(B717&lt;&gt;"",VLOOKUP(B717,'Tipo Projeto'!$A$3:$B$35,2,0),0)</f>
        <v>0</v>
      </c>
      <c r="D717" s="47"/>
      <c r="E717" s="47"/>
      <c r="F717" s="48"/>
      <c r="G717" s="47"/>
      <c r="H717" s="49"/>
      <c r="I717" s="50"/>
      <c r="J717" s="51"/>
      <c r="K717" s="52"/>
      <c r="L717" s="53" t="str">
        <f t="shared" si="156"/>
        <v/>
      </c>
      <c r="M717" s="48" t="str">
        <f t="shared" si="157"/>
        <v/>
      </c>
      <c r="N717" s="54" t="str">
        <f t="shared" si="158"/>
        <v/>
      </c>
      <c r="O717" s="55">
        <f t="shared" si="159"/>
        <v>0</v>
      </c>
      <c r="P717" s="55">
        <f t="shared" si="160"/>
        <v>0</v>
      </c>
      <c r="Q717" s="54">
        <f t="shared" si="161"/>
        <v>0</v>
      </c>
      <c r="R717" s="47"/>
      <c r="T717" s="57"/>
      <c r="U717" s="45"/>
      <c r="V717" s="46">
        <f>IF(U717&lt;&gt;"",VLOOKUP(U717,'Tipo Projeto'!$A$3:$B$35,2,0),0)</f>
        <v>0</v>
      </c>
      <c r="W717" s="47"/>
      <c r="X717" s="49"/>
      <c r="Y717" s="50"/>
      <c r="Z717" s="51"/>
      <c r="AA717" s="52"/>
      <c r="AB717" s="53" t="str">
        <f t="shared" si="162"/>
        <v/>
      </c>
      <c r="AC717" s="48" t="str">
        <f t="shared" si="163"/>
        <v/>
      </c>
      <c r="AD717" s="54" t="str">
        <f t="shared" si="164"/>
        <v/>
      </c>
      <c r="AE717" s="55">
        <f t="shared" si="165"/>
        <v>0</v>
      </c>
      <c r="AF717" s="55">
        <f t="shared" si="166"/>
        <v>0</v>
      </c>
      <c r="AG717" s="58">
        <f t="shared" si="167"/>
        <v>0</v>
      </c>
      <c r="AH717" s="47"/>
      <c r="AJ717" s="47"/>
      <c r="AL717" s="47"/>
      <c r="AM717" s="47" t="str">
        <f t="shared" si="168"/>
        <v/>
      </c>
    </row>
    <row r="718" spans="1:39" s="56" customFormat="1" ht="24.75" customHeight="1">
      <c r="A718" s="44"/>
      <c r="B718" s="45"/>
      <c r="C718" s="46">
        <f>IF(B718&lt;&gt;"",VLOOKUP(B718,'Tipo Projeto'!$A$3:$B$35,2,0),0)</f>
        <v>0</v>
      </c>
      <c r="D718" s="47"/>
      <c r="E718" s="47"/>
      <c r="F718" s="48"/>
      <c r="G718" s="47"/>
      <c r="H718" s="49"/>
      <c r="I718" s="50"/>
      <c r="J718" s="51"/>
      <c r="K718" s="52"/>
      <c r="L718" s="53" t="str">
        <f t="shared" si="156"/>
        <v/>
      </c>
      <c r="M718" s="48" t="str">
        <f t="shared" si="157"/>
        <v/>
      </c>
      <c r="N718" s="54" t="str">
        <f t="shared" si="158"/>
        <v/>
      </c>
      <c r="O718" s="55">
        <f t="shared" si="159"/>
        <v>0</v>
      </c>
      <c r="P718" s="55">
        <f t="shared" si="160"/>
        <v>0</v>
      </c>
      <c r="Q718" s="54">
        <f t="shared" si="161"/>
        <v>0</v>
      </c>
      <c r="R718" s="47"/>
      <c r="T718" s="57"/>
      <c r="U718" s="45"/>
      <c r="V718" s="46">
        <f>IF(U718&lt;&gt;"",VLOOKUP(U718,'Tipo Projeto'!$A$3:$B$35,2,0),0)</f>
        <v>0</v>
      </c>
      <c r="W718" s="47"/>
      <c r="X718" s="49"/>
      <c r="Y718" s="50"/>
      <c r="Z718" s="51"/>
      <c r="AA718" s="52"/>
      <c r="AB718" s="53" t="str">
        <f t="shared" si="162"/>
        <v/>
      </c>
      <c r="AC718" s="48" t="str">
        <f t="shared" si="163"/>
        <v/>
      </c>
      <c r="AD718" s="54" t="str">
        <f t="shared" si="164"/>
        <v/>
      </c>
      <c r="AE718" s="55">
        <f t="shared" si="165"/>
        <v>0</v>
      </c>
      <c r="AF718" s="55">
        <f t="shared" si="166"/>
        <v>0</v>
      </c>
      <c r="AG718" s="58">
        <f t="shared" si="167"/>
        <v>0</v>
      </c>
      <c r="AH718" s="47"/>
      <c r="AJ718" s="47"/>
      <c r="AL718" s="47"/>
      <c r="AM718" s="47" t="str">
        <f t="shared" si="168"/>
        <v/>
      </c>
    </row>
    <row r="719" spans="1:39" s="56" customFormat="1" ht="24.75" customHeight="1">
      <c r="A719" s="44"/>
      <c r="B719" s="45"/>
      <c r="C719" s="46">
        <f>IF(B719&lt;&gt;"",VLOOKUP(B719,'Tipo Projeto'!$A$3:$B$35,2,0),0)</f>
        <v>0</v>
      </c>
      <c r="D719" s="47"/>
      <c r="E719" s="47"/>
      <c r="F719" s="48"/>
      <c r="G719" s="47"/>
      <c r="H719" s="49"/>
      <c r="I719" s="50"/>
      <c r="J719" s="51"/>
      <c r="K719" s="52"/>
      <c r="L719" s="53" t="str">
        <f t="shared" si="156"/>
        <v/>
      </c>
      <c r="M719" s="48" t="str">
        <f t="shared" si="157"/>
        <v/>
      </c>
      <c r="N719" s="54" t="str">
        <f t="shared" si="158"/>
        <v/>
      </c>
      <c r="O719" s="55">
        <f t="shared" si="159"/>
        <v>0</v>
      </c>
      <c r="P719" s="55">
        <f t="shared" si="160"/>
        <v>0</v>
      </c>
      <c r="Q719" s="54">
        <f t="shared" si="161"/>
        <v>0</v>
      </c>
      <c r="R719" s="47"/>
      <c r="T719" s="57"/>
      <c r="U719" s="45"/>
      <c r="V719" s="46">
        <f>IF(U719&lt;&gt;"",VLOOKUP(U719,'Tipo Projeto'!$A$3:$B$35,2,0),0)</f>
        <v>0</v>
      </c>
      <c r="W719" s="47"/>
      <c r="X719" s="49"/>
      <c r="Y719" s="50"/>
      <c r="Z719" s="51"/>
      <c r="AA719" s="52"/>
      <c r="AB719" s="53" t="str">
        <f t="shared" si="162"/>
        <v/>
      </c>
      <c r="AC719" s="48" t="str">
        <f t="shared" si="163"/>
        <v/>
      </c>
      <c r="AD719" s="54" t="str">
        <f t="shared" si="164"/>
        <v/>
      </c>
      <c r="AE719" s="55">
        <f t="shared" si="165"/>
        <v>0</v>
      </c>
      <c r="AF719" s="55">
        <f t="shared" si="166"/>
        <v>0</v>
      </c>
      <c r="AG719" s="58">
        <f t="shared" si="167"/>
        <v>0</v>
      </c>
      <c r="AH719" s="47"/>
      <c r="AJ719" s="47"/>
      <c r="AL719" s="47"/>
      <c r="AM719" s="47" t="str">
        <f t="shared" si="168"/>
        <v/>
      </c>
    </row>
    <row r="720" spans="1:39" s="56" customFormat="1" ht="24.75" customHeight="1">
      <c r="A720" s="44"/>
      <c r="B720" s="45"/>
      <c r="C720" s="46">
        <f>IF(B720&lt;&gt;"",VLOOKUP(B720,'Tipo Projeto'!$A$3:$B$35,2,0),0)</f>
        <v>0</v>
      </c>
      <c r="D720" s="47"/>
      <c r="E720" s="47"/>
      <c r="F720" s="48"/>
      <c r="G720" s="47"/>
      <c r="H720" s="49"/>
      <c r="I720" s="50"/>
      <c r="J720" s="51"/>
      <c r="K720" s="52"/>
      <c r="L720" s="53" t="str">
        <f t="shared" si="156"/>
        <v/>
      </c>
      <c r="M720" s="48" t="str">
        <f t="shared" si="157"/>
        <v/>
      </c>
      <c r="N720" s="54" t="str">
        <f t="shared" si="158"/>
        <v/>
      </c>
      <c r="O720" s="55">
        <f t="shared" si="159"/>
        <v>0</v>
      </c>
      <c r="P720" s="55">
        <f t="shared" si="160"/>
        <v>0</v>
      </c>
      <c r="Q720" s="54">
        <f t="shared" si="161"/>
        <v>0</v>
      </c>
      <c r="R720" s="47"/>
      <c r="T720" s="57"/>
      <c r="U720" s="45"/>
      <c r="V720" s="46">
        <f>IF(U720&lt;&gt;"",VLOOKUP(U720,'Tipo Projeto'!$A$3:$B$35,2,0),0)</f>
        <v>0</v>
      </c>
      <c r="W720" s="47"/>
      <c r="X720" s="49"/>
      <c r="Y720" s="50"/>
      <c r="Z720" s="51"/>
      <c r="AA720" s="52"/>
      <c r="AB720" s="53" t="str">
        <f t="shared" si="162"/>
        <v/>
      </c>
      <c r="AC720" s="48" t="str">
        <f t="shared" si="163"/>
        <v/>
      </c>
      <c r="AD720" s="54" t="str">
        <f t="shared" si="164"/>
        <v/>
      </c>
      <c r="AE720" s="55">
        <f t="shared" si="165"/>
        <v>0</v>
      </c>
      <c r="AF720" s="55">
        <f t="shared" si="166"/>
        <v>0</v>
      </c>
      <c r="AG720" s="58">
        <f t="shared" si="167"/>
        <v>0</v>
      </c>
      <c r="AH720" s="47"/>
      <c r="AJ720" s="47"/>
      <c r="AL720" s="47"/>
      <c r="AM720" s="47" t="str">
        <f t="shared" si="168"/>
        <v/>
      </c>
    </row>
    <row r="721" spans="1:39" s="56" customFormat="1" ht="24.75" customHeight="1">
      <c r="A721" s="44"/>
      <c r="B721" s="45"/>
      <c r="C721" s="46">
        <f>IF(B721&lt;&gt;"",VLOOKUP(B721,'Tipo Projeto'!$A$3:$B$35,2,0),0)</f>
        <v>0</v>
      </c>
      <c r="D721" s="47"/>
      <c r="E721" s="47"/>
      <c r="F721" s="48"/>
      <c r="G721" s="47"/>
      <c r="H721" s="49"/>
      <c r="I721" s="50"/>
      <c r="J721" s="51"/>
      <c r="K721" s="52"/>
      <c r="L721" s="53" t="str">
        <f t="shared" si="156"/>
        <v/>
      </c>
      <c r="M721" s="48" t="str">
        <f t="shared" si="157"/>
        <v/>
      </c>
      <c r="N721" s="54" t="str">
        <f t="shared" si="158"/>
        <v/>
      </c>
      <c r="O721" s="55">
        <f t="shared" si="159"/>
        <v>0</v>
      </c>
      <c r="P721" s="55">
        <f t="shared" si="160"/>
        <v>0</v>
      </c>
      <c r="Q721" s="54">
        <f t="shared" si="161"/>
        <v>0</v>
      </c>
      <c r="R721" s="47"/>
      <c r="T721" s="57"/>
      <c r="U721" s="45"/>
      <c r="V721" s="46">
        <f>IF(U721&lt;&gt;"",VLOOKUP(U721,'Tipo Projeto'!$A$3:$B$35,2,0),0)</f>
        <v>0</v>
      </c>
      <c r="W721" s="47"/>
      <c r="X721" s="49"/>
      <c r="Y721" s="50"/>
      <c r="Z721" s="51"/>
      <c r="AA721" s="52"/>
      <c r="AB721" s="53" t="str">
        <f t="shared" si="162"/>
        <v/>
      </c>
      <c r="AC721" s="48" t="str">
        <f t="shared" si="163"/>
        <v/>
      </c>
      <c r="AD721" s="54" t="str">
        <f t="shared" si="164"/>
        <v/>
      </c>
      <c r="AE721" s="55">
        <f t="shared" si="165"/>
        <v>0</v>
      </c>
      <c r="AF721" s="55">
        <f t="shared" si="166"/>
        <v>0</v>
      </c>
      <c r="AG721" s="58">
        <f t="shared" si="167"/>
        <v>0</v>
      </c>
      <c r="AH721" s="47"/>
      <c r="AJ721" s="47"/>
      <c r="AL721" s="47"/>
      <c r="AM721" s="47" t="str">
        <f t="shared" si="168"/>
        <v/>
      </c>
    </row>
    <row r="722" spans="1:39" s="56" customFormat="1" ht="24.75" customHeight="1">
      <c r="A722" s="44"/>
      <c r="B722" s="45"/>
      <c r="C722" s="46">
        <f>IF(B722&lt;&gt;"",VLOOKUP(B722,'Tipo Projeto'!$A$3:$B$35,2,0),0)</f>
        <v>0</v>
      </c>
      <c r="D722" s="47"/>
      <c r="E722" s="47"/>
      <c r="F722" s="48"/>
      <c r="G722" s="47"/>
      <c r="H722" s="49"/>
      <c r="I722" s="50"/>
      <c r="J722" s="51"/>
      <c r="K722" s="52"/>
      <c r="L722" s="53" t="str">
        <f t="shared" si="156"/>
        <v/>
      </c>
      <c r="M722" s="48" t="str">
        <f t="shared" si="157"/>
        <v/>
      </c>
      <c r="N722" s="54" t="str">
        <f t="shared" si="158"/>
        <v/>
      </c>
      <c r="O722" s="55">
        <f t="shared" si="159"/>
        <v>0</v>
      </c>
      <c r="P722" s="55">
        <f t="shared" si="160"/>
        <v>0</v>
      </c>
      <c r="Q722" s="54">
        <f t="shared" si="161"/>
        <v>0</v>
      </c>
      <c r="R722" s="47"/>
      <c r="T722" s="57"/>
      <c r="U722" s="45"/>
      <c r="V722" s="46">
        <f>IF(U722&lt;&gt;"",VLOOKUP(U722,'Tipo Projeto'!$A$3:$B$35,2,0),0)</f>
        <v>0</v>
      </c>
      <c r="W722" s="47"/>
      <c r="X722" s="49"/>
      <c r="Y722" s="50"/>
      <c r="Z722" s="51"/>
      <c r="AA722" s="52"/>
      <c r="AB722" s="53" t="str">
        <f t="shared" si="162"/>
        <v/>
      </c>
      <c r="AC722" s="48" t="str">
        <f t="shared" si="163"/>
        <v/>
      </c>
      <c r="AD722" s="54" t="str">
        <f t="shared" si="164"/>
        <v/>
      </c>
      <c r="AE722" s="55">
        <f t="shared" si="165"/>
        <v>0</v>
      </c>
      <c r="AF722" s="55">
        <f t="shared" si="166"/>
        <v>0</v>
      </c>
      <c r="AG722" s="58">
        <f t="shared" si="167"/>
        <v>0</v>
      </c>
      <c r="AH722" s="47"/>
      <c r="AJ722" s="47"/>
      <c r="AL722" s="47"/>
      <c r="AM722" s="47" t="str">
        <f t="shared" si="168"/>
        <v/>
      </c>
    </row>
    <row r="723" spans="1:39" s="56" customFormat="1" ht="24.75" customHeight="1">
      <c r="A723" s="44"/>
      <c r="B723" s="45"/>
      <c r="C723" s="46">
        <f>IF(B723&lt;&gt;"",VLOOKUP(B723,'Tipo Projeto'!$A$3:$B$35,2,0),0)</f>
        <v>0</v>
      </c>
      <c r="D723" s="47"/>
      <c r="E723" s="47"/>
      <c r="F723" s="48"/>
      <c r="G723" s="47"/>
      <c r="H723" s="49"/>
      <c r="I723" s="50"/>
      <c r="J723" s="51"/>
      <c r="K723" s="52"/>
      <c r="L723" s="53" t="str">
        <f t="shared" si="156"/>
        <v/>
      </c>
      <c r="M723" s="48" t="str">
        <f t="shared" si="157"/>
        <v/>
      </c>
      <c r="N723" s="54" t="str">
        <f t="shared" si="158"/>
        <v/>
      </c>
      <c r="O723" s="55">
        <f t="shared" si="159"/>
        <v>0</v>
      </c>
      <c r="P723" s="55">
        <f t="shared" si="160"/>
        <v>0</v>
      </c>
      <c r="Q723" s="54">
        <f t="shared" si="161"/>
        <v>0</v>
      </c>
      <c r="R723" s="47"/>
      <c r="T723" s="57"/>
      <c r="U723" s="45"/>
      <c r="V723" s="46">
        <f>IF(U723&lt;&gt;"",VLOOKUP(U723,'Tipo Projeto'!$A$3:$B$35,2,0),0)</f>
        <v>0</v>
      </c>
      <c r="W723" s="47"/>
      <c r="X723" s="49"/>
      <c r="Y723" s="50"/>
      <c r="Z723" s="51"/>
      <c r="AA723" s="52"/>
      <c r="AB723" s="53" t="str">
        <f t="shared" si="162"/>
        <v/>
      </c>
      <c r="AC723" s="48" t="str">
        <f t="shared" si="163"/>
        <v/>
      </c>
      <c r="AD723" s="54" t="str">
        <f t="shared" si="164"/>
        <v/>
      </c>
      <c r="AE723" s="55">
        <f t="shared" si="165"/>
        <v>0</v>
      </c>
      <c r="AF723" s="55">
        <f t="shared" si="166"/>
        <v>0</v>
      </c>
      <c r="AG723" s="58">
        <f t="shared" si="167"/>
        <v>0</v>
      </c>
      <c r="AH723" s="47"/>
      <c r="AJ723" s="47"/>
      <c r="AL723" s="47"/>
      <c r="AM723" s="47" t="str">
        <f t="shared" si="168"/>
        <v/>
      </c>
    </row>
    <row r="724" spans="1:39" s="56" customFormat="1" ht="24.75" customHeight="1">
      <c r="A724" s="44"/>
      <c r="B724" s="45"/>
      <c r="C724" s="46">
        <f>IF(B724&lt;&gt;"",VLOOKUP(B724,'Tipo Projeto'!$A$3:$B$35,2,0),0)</f>
        <v>0</v>
      </c>
      <c r="D724" s="47"/>
      <c r="E724" s="47"/>
      <c r="F724" s="48"/>
      <c r="G724" s="47"/>
      <c r="H724" s="49"/>
      <c r="I724" s="50"/>
      <c r="J724" s="51"/>
      <c r="K724" s="52"/>
      <c r="L724" s="53" t="str">
        <f t="shared" si="156"/>
        <v/>
      </c>
      <c r="M724" s="48" t="str">
        <f t="shared" si="157"/>
        <v/>
      </c>
      <c r="N724" s="54" t="str">
        <f t="shared" si="158"/>
        <v/>
      </c>
      <c r="O724" s="55">
        <f t="shared" si="159"/>
        <v>0</v>
      </c>
      <c r="P724" s="55">
        <f t="shared" si="160"/>
        <v>0</v>
      </c>
      <c r="Q724" s="54">
        <f t="shared" si="161"/>
        <v>0</v>
      </c>
      <c r="R724" s="47"/>
      <c r="T724" s="57"/>
      <c r="U724" s="45"/>
      <c r="V724" s="46">
        <f>IF(U724&lt;&gt;"",VLOOKUP(U724,'Tipo Projeto'!$A$3:$B$35,2,0),0)</f>
        <v>0</v>
      </c>
      <c r="W724" s="47"/>
      <c r="X724" s="49"/>
      <c r="Y724" s="50"/>
      <c r="Z724" s="51"/>
      <c r="AA724" s="52"/>
      <c r="AB724" s="53" t="str">
        <f t="shared" si="162"/>
        <v/>
      </c>
      <c r="AC724" s="48" t="str">
        <f t="shared" si="163"/>
        <v/>
      </c>
      <c r="AD724" s="54" t="str">
        <f t="shared" si="164"/>
        <v/>
      </c>
      <c r="AE724" s="55">
        <f t="shared" si="165"/>
        <v>0</v>
      </c>
      <c r="AF724" s="55">
        <f t="shared" si="166"/>
        <v>0</v>
      </c>
      <c r="AG724" s="58">
        <f t="shared" si="167"/>
        <v>0</v>
      </c>
      <c r="AH724" s="47"/>
      <c r="AJ724" s="47"/>
      <c r="AL724" s="47"/>
      <c r="AM724" s="47" t="str">
        <f t="shared" si="168"/>
        <v/>
      </c>
    </row>
    <row r="725" spans="1:39" s="56" customFormat="1" ht="24.75" customHeight="1">
      <c r="A725" s="44"/>
      <c r="B725" s="45"/>
      <c r="C725" s="46">
        <f>IF(B725&lt;&gt;"",VLOOKUP(B725,'Tipo Projeto'!$A$3:$B$35,2,0),0)</f>
        <v>0</v>
      </c>
      <c r="D725" s="47"/>
      <c r="E725" s="47"/>
      <c r="F725" s="48"/>
      <c r="G725" s="47"/>
      <c r="H725" s="49"/>
      <c r="I725" s="50"/>
      <c r="J725" s="51"/>
      <c r="K725" s="52"/>
      <c r="L725" s="53" t="str">
        <f t="shared" si="156"/>
        <v/>
      </c>
      <c r="M725" s="48" t="str">
        <f t="shared" si="157"/>
        <v/>
      </c>
      <c r="N725" s="54" t="str">
        <f t="shared" si="158"/>
        <v/>
      </c>
      <c r="O725" s="55">
        <f t="shared" si="159"/>
        <v>0</v>
      </c>
      <c r="P725" s="55">
        <f t="shared" si="160"/>
        <v>0</v>
      </c>
      <c r="Q725" s="54">
        <f t="shared" si="161"/>
        <v>0</v>
      </c>
      <c r="R725" s="47"/>
      <c r="T725" s="57"/>
      <c r="U725" s="45"/>
      <c r="V725" s="46">
        <f>IF(U725&lt;&gt;"",VLOOKUP(U725,'Tipo Projeto'!$A$3:$B$35,2,0),0)</f>
        <v>0</v>
      </c>
      <c r="W725" s="47"/>
      <c r="X725" s="49"/>
      <c r="Y725" s="50"/>
      <c r="Z725" s="51"/>
      <c r="AA725" s="52"/>
      <c r="AB725" s="53" t="str">
        <f t="shared" si="162"/>
        <v/>
      </c>
      <c r="AC725" s="48" t="str">
        <f t="shared" si="163"/>
        <v/>
      </c>
      <c r="AD725" s="54" t="str">
        <f t="shared" si="164"/>
        <v/>
      </c>
      <c r="AE725" s="55">
        <f t="shared" si="165"/>
        <v>0</v>
      </c>
      <c r="AF725" s="55">
        <f t="shared" si="166"/>
        <v>0</v>
      </c>
      <c r="AG725" s="58">
        <f t="shared" si="167"/>
        <v>0</v>
      </c>
      <c r="AH725" s="47"/>
      <c r="AJ725" s="47"/>
      <c r="AL725" s="47"/>
      <c r="AM725" s="47" t="str">
        <f t="shared" si="168"/>
        <v/>
      </c>
    </row>
    <row r="726" spans="1:39" s="56" customFormat="1" ht="24.75" customHeight="1">
      <c r="A726" s="44"/>
      <c r="B726" s="45"/>
      <c r="C726" s="46">
        <f>IF(B726&lt;&gt;"",VLOOKUP(B726,'Tipo Projeto'!$A$3:$B$35,2,0),0)</f>
        <v>0</v>
      </c>
      <c r="D726" s="47"/>
      <c r="E726" s="47"/>
      <c r="F726" s="48"/>
      <c r="G726" s="47"/>
      <c r="H726" s="49"/>
      <c r="I726" s="50"/>
      <c r="J726" s="51"/>
      <c r="K726" s="52"/>
      <c r="L726" s="53" t="str">
        <f t="shared" si="156"/>
        <v/>
      </c>
      <c r="M726" s="48" t="str">
        <f t="shared" si="157"/>
        <v/>
      </c>
      <c r="N726" s="54" t="str">
        <f t="shared" si="158"/>
        <v/>
      </c>
      <c r="O726" s="55">
        <f t="shared" si="159"/>
        <v>0</v>
      </c>
      <c r="P726" s="55">
        <f t="shared" si="160"/>
        <v>0</v>
      </c>
      <c r="Q726" s="54">
        <f t="shared" si="161"/>
        <v>0</v>
      </c>
      <c r="R726" s="47"/>
      <c r="T726" s="57"/>
      <c r="U726" s="45"/>
      <c r="V726" s="46">
        <f>IF(U726&lt;&gt;"",VLOOKUP(U726,'Tipo Projeto'!$A$3:$B$35,2,0),0)</f>
        <v>0</v>
      </c>
      <c r="W726" s="47"/>
      <c r="X726" s="49"/>
      <c r="Y726" s="50"/>
      <c r="Z726" s="51"/>
      <c r="AA726" s="52"/>
      <c r="AB726" s="53" t="str">
        <f t="shared" si="162"/>
        <v/>
      </c>
      <c r="AC726" s="48" t="str">
        <f t="shared" si="163"/>
        <v/>
      </c>
      <c r="AD726" s="54" t="str">
        <f t="shared" si="164"/>
        <v/>
      </c>
      <c r="AE726" s="55">
        <f t="shared" si="165"/>
        <v>0</v>
      </c>
      <c r="AF726" s="55">
        <f t="shared" si="166"/>
        <v>0</v>
      </c>
      <c r="AG726" s="58">
        <f t="shared" si="167"/>
        <v>0</v>
      </c>
      <c r="AH726" s="47"/>
      <c r="AJ726" s="47"/>
      <c r="AL726" s="47"/>
      <c r="AM726" s="47" t="str">
        <f t="shared" si="168"/>
        <v/>
      </c>
    </row>
    <row r="727" spans="1:39" s="56" customFormat="1" ht="24.75" customHeight="1">
      <c r="A727" s="44"/>
      <c r="B727" s="45"/>
      <c r="C727" s="46">
        <f>IF(B727&lt;&gt;"",VLOOKUP(B727,'Tipo Projeto'!$A$3:$B$35,2,0),0)</f>
        <v>0</v>
      </c>
      <c r="D727" s="47"/>
      <c r="E727" s="47"/>
      <c r="F727" s="48"/>
      <c r="G727" s="47"/>
      <c r="H727" s="49"/>
      <c r="I727" s="50"/>
      <c r="J727" s="51"/>
      <c r="K727" s="52"/>
      <c r="L727" s="53" t="str">
        <f t="shared" si="156"/>
        <v/>
      </c>
      <c r="M727" s="48" t="str">
        <f t="shared" si="157"/>
        <v/>
      </c>
      <c r="N727" s="54" t="str">
        <f t="shared" si="158"/>
        <v/>
      </c>
      <c r="O727" s="55">
        <f t="shared" si="159"/>
        <v>0</v>
      </c>
      <c r="P727" s="55">
        <f t="shared" si="160"/>
        <v>0</v>
      </c>
      <c r="Q727" s="54">
        <f t="shared" si="161"/>
        <v>0</v>
      </c>
      <c r="R727" s="47"/>
      <c r="T727" s="57"/>
      <c r="U727" s="45"/>
      <c r="V727" s="46">
        <f>IF(U727&lt;&gt;"",VLOOKUP(U727,'Tipo Projeto'!$A$3:$B$35,2,0),0)</f>
        <v>0</v>
      </c>
      <c r="W727" s="47"/>
      <c r="X727" s="49"/>
      <c r="Y727" s="50"/>
      <c r="Z727" s="51"/>
      <c r="AA727" s="52"/>
      <c r="AB727" s="53" t="str">
        <f t="shared" si="162"/>
        <v/>
      </c>
      <c r="AC727" s="48" t="str">
        <f t="shared" si="163"/>
        <v/>
      </c>
      <c r="AD727" s="54" t="str">
        <f t="shared" si="164"/>
        <v/>
      </c>
      <c r="AE727" s="55">
        <f t="shared" si="165"/>
        <v>0</v>
      </c>
      <c r="AF727" s="55">
        <f t="shared" si="166"/>
        <v>0</v>
      </c>
      <c r="AG727" s="58">
        <f t="shared" si="167"/>
        <v>0</v>
      </c>
      <c r="AH727" s="47"/>
      <c r="AJ727" s="47"/>
      <c r="AL727" s="47"/>
      <c r="AM727" s="47" t="str">
        <f t="shared" si="168"/>
        <v/>
      </c>
    </row>
    <row r="728" spans="1:39" s="56" customFormat="1" ht="24.75" customHeight="1">
      <c r="A728" s="44"/>
      <c r="B728" s="45"/>
      <c r="C728" s="46">
        <f>IF(B728&lt;&gt;"",VLOOKUP(B728,'Tipo Projeto'!$A$3:$B$35,2,0),0)</f>
        <v>0</v>
      </c>
      <c r="D728" s="47"/>
      <c r="E728" s="47"/>
      <c r="F728" s="48"/>
      <c r="G728" s="47"/>
      <c r="H728" s="49"/>
      <c r="I728" s="50"/>
      <c r="J728" s="51"/>
      <c r="K728" s="52"/>
      <c r="L728" s="53" t="str">
        <f t="shared" si="156"/>
        <v/>
      </c>
      <c r="M728" s="48" t="str">
        <f t="shared" si="157"/>
        <v/>
      </c>
      <c r="N728" s="54" t="str">
        <f t="shared" si="158"/>
        <v/>
      </c>
      <c r="O728" s="55">
        <f t="shared" si="159"/>
        <v>0</v>
      </c>
      <c r="P728" s="55">
        <f t="shared" si="160"/>
        <v>0</v>
      </c>
      <c r="Q728" s="54">
        <f t="shared" si="161"/>
        <v>0</v>
      </c>
      <c r="R728" s="47"/>
      <c r="T728" s="57"/>
      <c r="U728" s="45"/>
      <c r="V728" s="46">
        <f>IF(U728&lt;&gt;"",VLOOKUP(U728,'Tipo Projeto'!$A$3:$B$35,2,0),0)</f>
        <v>0</v>
      </c>
      <c r="W728" s="47"/>
      <c r="X728" s="49"/>
      <c r="Y728" s="50"/>
      <c r="Z728" s="51"/>
      <c r="AA728" s="52"/>
      <c r="AB728" s="53" t="str">
        <f t="shared" si="162"/>
        <v/>
      </c>
      <c r="AC728" s="48" t="str">
        <f t="shared" si="163"/>
        <v/>
      </c>
      <c r="AD728" s="54" t="str">
        <f t="shared" si="164"/>
        <v/>
      </c>
      <c r="AE728" s="55">
        <f t="shared" si="165"/>
        <v>0</v>
      </c>
      <c r="AF728" s="55">
        <f t="shared" si="166"/>
        <v>0</v>
      </c>
      <c r="AG728" s="58">
        <f t="shared" si="167"/>
        <v>0</v>
      </c>
      <c r="AH728" s="47"/>
      <c r="AJ728" s="47"/>
      <c r="AL728" s="47"/>
      <c r="AM728" s="47" t="str">
        <f t="shared" si="168"/>
        <v/>
      </c>
    </row>
    <row r="729" spans="1:39" s="56" customFormat="1" ht="24.75" customHeight="1">
      <c r="A729" s="44"/>
      <c r="B729" s="45"/>
      <c r="C729" s="46">
        <f>IF(B729&lt;&gt;"",VLOOKUP(B729,'Tipo Projeto'!$A$3:$B$35,2,0),0)</f>
        <v>0</v>
      </c>
      <c r="D729" s="47"/>
      <c r="E729" s="47"/>
      <c r="F729" s="48"/>
      <c r="G729" s="47"/>
      <c r="H729" s="49"/>
      <c r="I729" s="50"/>
      <c r="J729" s="51"/>
      <c r="K729" s="52"/>
      <c r="L729" s="53" t="str">
        <f t="shared" si="156"/>
        <v/>
      </c>
      <c r="M729" s="48" t="str">
        <f t="shared" si="157"/>
        <v/>
      </c>
      <c r="N729" s="54" t="str">
        <f t="shared" si="158"/>
        <v/>
      </c>
      <c r="O729" s="55">
        <f t="shared" si="159"/>
        <v>0</v>
      </c>
      <c r="P729" s="55">
        <f t="shared" si="160"/>
        <v>0</v>
      </c>
      <c r="Q729" s="54">
        <f t="shared" si="161"/>
        <v>0</v>
      </c>
      <c r="R729" s="47"/>
      <c r="T729" s="57"/>
      <c r="U729" s="45"/>
      <c r="V729" s="46">
        <f>IF(U729&lt;&gt;"",VLOOKUP(U729,'Tipo Projeto'!$A$3:$B$35,2,0),0)</f>
        <v>0</v>
      </c>
      <c r="W729" s="47"/>
      <c r="X729" s="49"/>
      <c r="Y729" s="50"/>
      <c r="Z729" s="51"/>
      <c r="AA729" s="52"/>
      <c r="AB729" s="53" t="str">
        <f t="shared" si="162"/>
        <v/>
      </c>
      <c r="AC729" s="48" t="str">
        <f t="shared" si="163"/>
        <v/>
      </c>
      <c r="AD729" s="54" t="str">
        <f t="shared" si="164"/>
        <v/>
      </c>
      <c r="AE729" s="55">
        <f t="shared" si="165"/>
        <v>0</v>
      </c>
      <c r="AF729" s="55">
        <f t="shared" si="166"/>
        <v>0</v>
      </c>
      <c r="AG729" s="58">
        <f t="shared" si="167"/>
        <v>0</v>
      </c>
      <c r="AH729" s="47"/>
      <c r="AJ729" s="47"/>
      <c r="AL729" s="47"/>
      <c r="AM729" s="47" t="str">
        <f t="shared" si="168"/>
        <v/>
      </c>
    </row>
    <row r="730" spans="1:39" s="56" customFormat="1" ht="24.75" customHeight="1">
      <c r="A730" s="44"/>
      <c r="B730" s="45"/>
      <c r="C730" s="46">
        <f>IF(B730&lt;&gt;"",VLOOKUP(B730,'Tipo Projeto'!$A$3:$B$35,2,0),0)</f>
        <v>0</v>
      </c>
      <c r="D730" s="47"/>
      <c r="E730" s="47"/>
      <c r="F730" s="48"/>
      <c r="G730" s="47"/>
      <c r="H730" s="49"/>
      <c r="I730" s="50"/>
      <c r="J730" s="51"/>
      <c r="K730" s="52"/>
      <c r="L730" s="53" t="str">
        <f t="shared" si="156"/>
        <v/>
      </c>
      <c r="M730" s="48" t="str">
        <f t="shared" si="157"/>
        <v/>
      </c>
      <c r="N730" s="54" t="str">
        <f t="shared" si="158"/>
        <v/>
      </c>
      <c r="O730" s="55">
        <f t="shared" si="159"/>
        <v>0</v>
      </c>
      <c r="P730" s="55">
        <f t="shared" si="160"/>
        <v>0</v>
      </c>
      <c r="Q730" s="54">
        <f t="shared" si="161"/>
        <v>0</v>
      </c>
      <c r="R730" s="47"/>
      <c r="T730" s="57"/>
      <c r="U730" s="45"/>
      <c r="V730" s="46">
        <f>IF(U730&lt;&gt;"",VLOOKUP(U730,'Tipo Projeto'!$A$3:$B$35,2,0),0)</f>
        <v>0</v>
      </c>
      <c r="W730" s="47"/>
      <c r="X730" s="49"/>
      <c r="Y730" s="50"/>
      <c r="Z730" s="51"/>
      <c r="AA730" s="52"/>
      <c r="AB730" s="53" t="str">
        <f t="shared" si="162"/>
        <v/>
      </c>
      <c r="AC730" s="48" t="str">
        <f t="shared" si="163"/>
        <v/>
      </c>
      <c r="AD730" s="54" t="str">
        <f t="shared" si="164"/>
        <v/>
      </c>
      <c r="AE730" s="55">
        <f t="shared" si="165"/>
        <v>0</v>
      </c>
      <c r="AF730" s="55">
        <f t="shared" si="166"/>
        <v>0</v>
      </c>
      <c r="AG730" s="58">
        <f t="shared" si="167"/>
        <v>0</v>
      </c>
      <c r="AH730" s="47"/>
      <c r="AJ730" s="47"/>
      <c r="AL730" s="47"/>
      <c r="AM730" s="47" t="str">
        <f t="shared" si="168"/>
        <v/>
      </c>
    </row>
    <row r="731" spans="1:39" s="56" customFormat="1" ht="24.75" customHeight="1">
      <c r="A731" s="44"/>
      <c r="B731" s="45"/>
      <c r="C731" s="46">
        <f>IF(B731&lt;&gt;"",VLOOKUP(B731,'Tipo Projeto'!$A$3:$B$35,2,0),0)</f>
        <v>0</v>
      </c>
      <c r="D731" s="47"/>
      <c r="E731" s="47"/>
      <c r="F731" s="48"/>
      <c r="G731" s="47"/>
      <c r="H731" s="49"/>
      <c r="I731" s="50"/>
      <c r="J731" s="51"/>
      <c r="K731" s="52"/>
      <c r="L731" s="53" t="str">
        <f t="shared" si="156"/>
        <v/>
      </c>
      <c r="M731" s="48" t="str">
        <f t="shared" si="157"/>
        <v/>
      </c>
      <c r="N731" s="54" t="str">
        <f t="shared" si="158"/>
        <v/>
      </c>
      <c r="O731" s="55">
        <f t="shared" si="159"/>
        <v>0</v>
      </c>
      <c r="P731" s="55">
        <f t="shared" si="160"/>
        <v>0</v>
      </c>
      <c r="Q731" s="54">
        <f t="shared" si="161"/>
        <v>0</v>
      </c>
      <c r="R731" s="47"/>
      <c r="T731" s="57"/>
      <c r="U731" s="45"/>
      <c r="V731" s="46">
        <f>IF(U731&lt;&gt;"",VLOOKUP(U731,'Tipo Projeto'!$A$3:$B$35,2,0),0)</f>
        <v>0</v>
      </c>
      <c r="W731" s="47"/>
      <c r="X731" s="49"/>
      <c r="Y731" s="50"/>
      <c r="Z731" s="51"/>
      <c r="AA731" s="52"/>
      <c r="AB731" s="53" t="str">
        <f t="shared" si="162"/>
        <v/>
      </c>
      <c r="AC731" s="48" t="str">
        <f t="shared" si="163"/>
        <v/>
      </c>
      <c r="AD731" s="54" t="str">
        <f t="shared" si="164"/>
        <v/>
      </c>
      <c r="AE731" s="55">
        <f t="shared" si="165"/>
        <v>0</v>
      </c>
      <c r="AF731" s="55">
        <f t="shared" si="166"/>
        <v>0</v>
      </c>
      <c r="AG731" s="58">
        <f t="shared" si="167"/>
        <v>0</v>
      </c>
      <c r="AH731" s="47"/>
      <c r="AJ731" s="47"/>
      <c r="AL731" s="47"/>
      <c r="AM731" s="47" t="str">
        <f t="shared" si="168"/>
        <v/>
      </c>
    </row>
    <row r="732" spans="1:39" s="56" customFormat="1" ht="24.75" customHeight="1">
      <c r="A732" s="44"/>
      <c r="B732" s="45"/>
      <c r="C732" s="46">
        <f>IF(B732&lt;&gt;"",VLOOKUP(B732,'Tipo Projeto'!$A$3:$B$35,2,0),0)</f>
        <v>0</v>
      </c>
      <c r="D732" s="47"/>
      <c r="E732" s="47"/>
      <c r="F732" s="48"/>
      <c r="G732" s="47"/>
      <c r="H732" s="49"/>
      <c r="I732" s="50"/>
      <c r="J732" s="51"/>
      <c r="K732" s="52"/>
      <c r="L732" s="53" t="str">
        <f t="shared" si="156"/>
        <v/>
      </c>
      <c r="M732" s="48" t="str">
        <f t="shared" si="157"/>
        <v/>
      </c>
      <c r="N732" s="54" t="str">
        <f t="shared" si="158"/>
        <v/>
      </c>
      <c r="O732" s="55">
        <f t="shared" si="159"/>
        <v>0</v>
      </c>
      <c r="P732" s="55">
        <f t="shared" si="160"/>
        <v>0</v>
      </c>
      <c r="Q732" s="54">
        <f t="shared" si="161"/>
        <v>0</v>
      </c>
      <c r="R732" s="47"/>
      <c r="T732" s="57"/>
      <c r="U732" s="45"/>
      <c r="V732" s="46">
        <f>IF(U732&lt;&gt;"",VLOOKUP(U732,'Tipo Projeto'!$A$3:$B$35,2,0),0)</f>
        <v>0</v>
      </c>
      <c r="W732" s="47"/>
      <c r="X732" s="49"/>
      <c r="Y732" s="50"/>
      <c r="Z732" s="51"/>
      <c r="AA732" s="52"/>
      <c r="AB732" s="53" t="str">
        <f t="shared" si="162"/>
        <v/>
      </c>
      <c r="AC732" s="48" t="str">
        <f t="shared" si="163"/>
        <v/>
      </c>
      <c r="AD732" s="54" t="str">
        <f t="shared" si="164"/>
        <v/>
      </c>
      <c r="AE732" s="55">
        <f t="shared" si="165"/>
        <v>0</v>
      </c>
      <c r="AF732" s="55">
        <f t="shared" si="166"/>
        <v>0</v>
      </c>
      <c r="AG732" s="58">
        <f t="shared" si="167"/>
        <v>0</v>
      </c>
      <c r="AH732" s="47"/>
      <c r="AJ732" s="47"/>
      <c r="AL732" s="47"/>
      <c r="AM732" s="47" t="str">
        <f t="shared" si="168"/>
        <v/>
      </c>
    </row>
    <row r="733" spans="1:39" s="56" customFormat="1" ht="24.75" customHeight="1">
      <c r="A733" s="44"/>
      <c r="B733" s="45"/>
      <c r="C733" s="46">
        <f>IF(B733&lt;&gt;"",VLOOKUP(B733,'Tipo Projeto'!$A$3:$B$35,2,0),0)</f>
        <v>0</v>
      </c>
      <c r="D733" s="47"/>
      <c r="E733" s="47"/>
      <c r="F733" s="48"/>
      <c r="G733" s="47"/>
      <c r="H733" s="49"/>
      <c r="I733" s="50"/>
      <c r="J733" s="51"/>
      <c r="K733" s="52"/>
      <c r="L733" s="53" t="str">
        <f t="shared" si="156"/>
        <v/>
      </c>
      <c r="M733" s="48" t="str">
        <f t="shared" si="157"/>
        <v/>
      </c>
      <c r="N733" s="54" t="str">
        <f t="shared" si="158"/>
        <v/>
      </c>
      <c r="O733" s="55">
        <f t="shared" si="159"/>
        <v>0</v>
      </c>
      <c r="P733" s="55">
        <f t="shared" si="160"/>
        <v>0</v>
      </c>
      <c r="Q733" s="54">
        <f t="shared" si="161"/>
        <v>0</v>
      </c>
      <c r="R733" s="47"/>
      <c r="T733" s="57"/>
      <c r="U733" s="45"/>
      <c r="V733" s="46">
        <f>IF(U733&lt;&gt;"",VLOOKUP(U733,'Tipo Projeto'!$A$3:$B$35,2,0),0)</f>
        <v>0</v>
      </c>
      <c r="W733" s="47"/>
      <c r="X733" s="49"/>
      <c r="Y733" s="50"/>
      <c r="Z733" s="51"/>
      <c r="AA733" s="52"/>
      <c r="AB733" s="53" t="str">
        <f t="shared" si="162"/>
        <v/>
      </c>
      <c r="AC733" s="48" t="str">
        <f t="shared" si="163"/>
        <v/>
      </c>
      <c r="AD733" s="54" t="str">
        <f t="shared" si="164"/>
        <v/>
      </c>
      <c r="AE733" s="55">
        <f t="shared" si="165"/>
        <v>0</v>
      </c>
      <c r="AF733" s="55">
        <f t="shared" si="166"/>
        <v>0</v>
      </c>
      <c r="AG733" s="58">
        <f t="shared" si="167"/>
        <v>0</v>
      </c>
      <c r="AH733" s="47"/>
      <c r="AJ733" s="47"/>
      <c r="AL733" s="47"/>
      <c r="AM733" s="47" t="str">
        <f t="shared" si="168"/>
        <v/>
      </c>
    </row>
    <row r="734" spans="1:39" s="56" customFormat="1" ht="24.75" customHeight="1">
      <c r="A734" s="44"/>
      <c r="B734" s="45"/>
      <c r="C734" s="46">
        <f>IF(B734&lt;&gt;"",VLOOKUP(B734,'Tipo Projeto'!$A$3:$B$35,2,0),0)</f>
        <v>0</v>
      </c>
      <c r="D734" s="47"/>
      <c r="E734" s="47"/>
      <c r="F734" s="48"/>
      <c r="G734" s="47"/>
      <c r="H734" s="49"/>
      <c r="I734" s="50"/>
      <c r="J734" s="51"/>
      <c r="K734" s="52"/>
      <c r="L734" s="53" t="str">
        <f t="shared" si="156"/>
        <v/>
      </c>
      <c r="M734" s="48" t="str">
        <f t="shared" si="157"/>
        <v/>
      </c>
      <c r="N734" s="54" t="str">
        <f t="shared" si="158"/>
        <v/>
      </c>
      <c r="O734" s="55">
        <f t="shared" si="159"/>
        <v>0</v>
      </c>
      <c r="P734" s="55">
        <f t="shared" si="160"/>
        <v>0</v>
      </c>
      <c r="Q734" s="54">
        <f t="shared" si="161"/>
        <v>0</v>
      </c>
      <c r="R734" s="47"/>
      <c r="T734" s="57"/>
      <c r="U734" s="45"/>
      <c r="V734" s="46">
        <f>IF(U734&lt;&gt;"",VLOOKUP(U734,'Tipo Projeto'!$A$3:$B$35,2,0),0)</f>
        <v>0</v>
      </c>
      <c r="W734" s="47"/>
      <c r="X734" s="49"/>
      <c r="Y734" s="50"/>
      <c r="Z734" s="51"/>
      <c r="AA734" s="52"/>
      <c r="AB734" s="53" t="str">
        <f t="shared" si="162"/>
        <v/>
      </c>
      <c r="AC734" s="48" t="str">
        <f t="shared" si="163"/>
        <v/>
      </c>
      <c r="AD734" s="54" t="str">
        <f t="shared" si="164"/>
        <v/>
      </c>
      <c r="AE734" s="55">
        <f t="shared" si="165"/>
        <v>0</v>
      </c>
      <c r="AF734" s="55">
        <f t="shared" si="166"/>
        <v>0</v>
      </c>
      <c r="AG734" s="58">
        <f t="shared" si="167"/>
        <v>0</v>
      </c>
      <c r="AH734" s="47"/>
      <c r="AJ734" s="47"/>
      <c r="AL734" s="47"/>
      <c r="AM734" s="47" t="str">
        <f t="shared" si="168"/>
        <v/>
      </c>
    </row>
    <row r="735" spans="1:39" s="56" customFormat="1" ht="24.75" customHeight="1">
      <c r="A735" s="44"/>
      <c r="B735" s="45"/>
      <c r="C735" s="46">
        <f>IF(B735&lt;&gt;"",VLOOKUP(B735,'Tipo Projeto'!$A$3:$B$35,2,0),0)</f>
        <v>0</v>
      </c>
      <c r="D735" s="47"/>
      <c r="E735" s="47"/>
      <c r="F735" s="48"/>
      <c r="G735" s="47"/>
      <c r="H735" s="49"/>
      <c r="I735" s="50"/>
      <c r="J735" s="51"/>
      <c r="K735" s="52"/>
      <c r="L735" s="53" t="str">
        <f t="shared" si="156"/>
        <v/>
      </c>
      <c r="M735" s="48" t="str">
        <f t="shared" si="157"/>
        <v/>
      </c>
      <c r="N735" s="54" t="str">
        <f t="shared" si="158"/>
        <v/>
      </c>
      <c r="O735" s="55">
        <f t="shared" si="159"/>
        <v>0</v>
      </c>
      <c r="P735" s="55">
        <f t="shared" si="160"/>
        <v>0</v>
      </c>
      <c r="Q735" s="54">
        <f t="shared" si="161"/>
        <v>0</v>
      </c>
      <c r="R735" s="47"/>
      <c r="T735" s="57"/>
      <c r="U735" s="45"/>
      <c r="V735" s="46">
        <f>IF(U735&lt;&gt;"",VLOOKUP(U735,'Tipo Projeto'!$A$3:$B$35,2,0),0)</f>
        <v>0</v>
      </c>
      <c r="W735" s="47"/>
      <c r="X735" s="49"/>
      <c r="Y735" s="50"/>
      <c r="Z735" s="51"/>
      <c r="AA735" s="52"/>
      <c r="AB735" s="53" t="str">
        <f t="shared" si="162"/>
        <v/>
      </c>
      <c r="AC735" s="48" t="str">
        <f t="shared" si="163"/>
        <v/>
      </c>
      <c r="AD735" s="54" t="str">
        <f t="shared" si="164"/>
        <v/>
      </c>
      <c r="AE735" s="55">
        <f t="shared" si="165"/>
        <v>0</v>
      </c>
      <c r="AF735" s="55">
        <f t="shared" si="166"/>
        <v>0</v>
      </c>
      <c r="AG735" s="58">
        <f t="shared" si="167"/>
        <v>0</v>
      </c>
      <c r="AH735" s="47"/>
      <c r="AJ735" s="47"/>
      <c r="AL735" s="47"/>
      <c r="AM735" s="47" t="str">
        <f t="shared" si="168"/>
        <v/>
      </c>
    </row>
    <row r="736" spans="1:39" s="56" customFormat="1" ht="24.75" customHeight="1">
      <c r="A736" s="44"/>
      <c r="B736" s="45"/>
      <c r="C736" s="46">
        <f>IF(B736&lt;&gt;"",VLOOKUP(B736,'Tipo Projeto'!$A$3:$B$35,2,0),0)</f>
        <v>0</v>
      </c>
      <c r="D736" s="47"/>
      <c r="E736" s="47"/>
      <c r="F736" s="48"/>
      <c r="G736" s="47"/>
      <c r="H736" s="49"/>
      <c r="I736" s="50"/>
      <c r="J736" s="51"/>
      <c r="K736" s="52"/>
      <c r="L736" s="53" t="str">
        <f t="shared" si="156"/>
        <v/>
      </c>
      <c r="M736" s="48" t="str">
        <f t="shared" si="157"/>
        <v/>
      </c>
      <c r="N736" s="54" t="str">
        <f t="shared" si="158"/>
        <v/>
      </c>
      <c r="O736" s="55">
        <f t="shared" si="159"/>
        <v>0</v>
      </c>
      <c r="P736" s="55">
        <f t="shared" si="160"/>
        <v>0</v>
      </c>
      <c r="Q736" s="54">
        <f t="shared" si="161"/>
        <v>0</v>
      </c>
      <c r="R736" s="47"/>
      <c r="T736" s="57"/>
      <c r="U736" s="45"/>
      <c r="V736" s="46">
        <f>IF(U736&lt;&gt;"",VLOOKUP(U736,'Tipo Projeto'!$A$3:$B$35,2,0),0)</f>
        <v>0</v>
      </c>
      <c r="W736" s="47"/>
      <c r="X736" s="49"/>
      <c r="Y736" s="50"/>
      <c r="Z736" s="51"/>
      <c r="AA736" s="52"/>
      <c r="AB736" s="53" t="str">
        <f t="shared" si="162"/>
        <v/>
      </c>
      <c r="AC736" s="48" t="str">
        <f t="shared" si="163"/>
        <v/>
      </c>
      <c r="AD736" s="54" t="str">
        <f t="shared" si="164"/>
        <v/>
      </c>
      <c r="AE736" s="55">
        <f t="shared" si="165"/>
        <v>0</v>
      </c>
      <c r="AF736" s="55">
        <f t="shared" si="166"/>
        <v>0</v>
      </c>
      <c r="AG736" s="58">
        <f t="shared" si="167"/>
        <v>0</v>
      </c>
      <c r="AH736" s="47"/>
      <c r="AJ736" s="47"/>
      <c r="AL736" s="47"/>
      <c r="AM736" s="47" t="str">
        <f t="shared" si="168"/>
        <v/>
      </c>
    </row>
    <row r="737" spans="1:39" s="56" customFormat="1" ht="24.75" customHeight="1">
      <c r="A737" s="44"/>
      <c r="B737" s="45"/>
      <c r="C737" s="46">
        <f>IF(B737&lt;&gt;"",VLOOKUP(B737,'Tipo Projeto'!$A$3:$B$35,2,0),0)</f>
        <v>0</v>
      </c>
      <c r="D737" s="47"/>
      <c r="E737" s="47"/>
      <c r="F737" s="48"/>
      <c r="G737" s="47"/>
      <c r="H737" s="49"/>
      <c r="I737" s="50"/>
      <c r="J737" s="51"/>
      <c r="K737" s="52"/>
      <c r="L737" s="53" t="str">
        <f t="shared" si="156"/>
        <v/>
      </c>
      <c r="M737" s="48" t="str">
        <f t="shared" si="157"/>
        <v/>
      </c>
      <c r="N737" s="54" t="str">
        <f t="shared" si="158"/>
        <v/>
      </c>
      <c r="O737" s="55">
        <f t="shared" si="159"/>
        <v>0</v>
      </c>
      <c r="P737" s="55">
        <f t="shared" si="160"/>
        <v>0</v>
      </c>
      <c r="Q737" s="54">
        <f t="shared" si="161"/>
        <v>0</v>
      </c>
      <c r="R737" s="47"/>
      <c r="T737" s="57"/>
      <c r="U737" s="45"/>
      <c r="V737" s="46">
        <f>IF(U737&lt;&gt;"",VLOOKUP(U737,'Tipo Projeto'!$A$3:$B$35,2,0),0)</f>
        <v>0</v>
      </c>
      <c r="W737" s="47"/>
      <c r="X737" s="49"/>
      <c r="Y737" s="50"/>
      <c r="Z737" s="51"/>
      <c r="AA737" s="52"/>
      <c r="AB737" s="53" t="str">
        <f t="shared" si="162"/>
        <v/>
      </c>
      <c r="AC737" s="48" t="str">
        <f t="shared" si="163"/>
        <v/>
      </c>
      <c r="AD737" s="54" t="str">
        <f t="shared" si="164"/>
        <v/>
      </c>
      <c r="AE737" s="55">
        <f t="shared" si="165"/>
        <v>0</v>
      </c>
      <c r="AF737" s="55">
        <f t="shared" si="166"/>
        <v>0</v>
      </c>
      <c r="AG737" s="58">
        <f t="shared" si="167"/>
        <v>0</v>
      </c>
      <c r="AH737" s="47"/>
      <c r="AJ737" s="47"/>
      <c r="AL737" s="47"/>
      <c r="AM737" s="47" t="str">
        <f t="shared" si="168"/>
        <v/>
      </c>
    </row>
    <row r="738" spans="1:39" s="56" customFormat="1" ht="24.75" customHeight="1">
      <c r="A738" s="44"/>
      <c r="B738" s="45"/>
      <c r="C738" s="46">
        <f>IF(B738&lt;&gt;"",VLOOKUP(B738,'Tipo Projeto'!$A$3:$B$35,2,0),0)</f>
        <v>0</v>
      </c>
      <c r="D738" s="47"/>
      <c r="E738" s="47"/>
      <c r="F738" s="48"/>
      <c r="G738" s="47"/>
      <c r="H738" s="49"/>
      <c r="I738" s="50"/>
      <c r="J738" s="51"/>
      <c r="K738" s="52"/>
      <c r="L738" s="53" t="str">
        <f t="shared" si="156"/>
        <v/>
      </c>
      <c r="M738" s="48" t="str">
        <f t="shared" si="157"/>
        <v/>
      </c>
      <c r="N738" s="54" t="str">
        <f t="shared" si="158"/>
        <v/>
      </c>
      <c r="O738" s="55">
        <f t="shared" si="159"/>
        <v>0</v>
      </c>
      <c r="P738" s="55">
        <f t="shared" si="160"/>
        <v>0</v>
      </c>
      <c r="Q738" s="54">
        <f t="shared" si="161"/>
        <v>0</v>
      </c>
      <c r="R738" s="47"/>
      <c r="T738" s="57"/>
      <c r="U738" s="45"/>
      <c r="V738" s="46">
        <f>IF(U738&lt;&gt;"",VLOOKUP(U738,'Tipo Projeto'!$A$3:$B$35,2,0),0)</f>
        <v>0</v>
      </c>
      <c r="W738" s="47"/>
      <c r="X738" s="49"/>
      <c r="Y738" s="50"/>
      <c r="Z738" s="51"/>
      <c r="AA738" s="52"/>
      <c r="AB738" s="53" t="str">
        <f t="shared" si="162"/>
        <v/>
      </c>
      <c r="AC738" s="48" t="str">
        <f t="shared" si="163"/>
        <v/>
      </c>
      <c r="AD738" s="54" t="str">
        <f t="shared" si="164"/>
        <v/>
      </c>
      <c r="AE738" s="55">
        <f t="shared" si="165"/>
        <v>0</v>
      </c>
      <c r="AF738" s="55">
        <f t="shared" si="166"/>
        <v>0</v>
      </c>
      <c r="AG738" s="58">
        <f t="shared" si="167"/>
        <v>0</v>
      </c>
      <c r="AH738" s="47"/>
      <c r="AJ738" s="47"/>
      <c r="AL738" s="47"/>
      <c r="AM738" s="47" t="str">
        <f t="shared" si="168"/>
        <v/>
      </c>
    </row>
    <row r="739" spans="1:39" s="56" customFormat="1" ht="24.75" customHeight="1">
      <c r="A739" s="44"/>
      <c r="B739" s="45"/>
      <c r="C739" s="46">
        <f>IF(B739&lt;&gt;"",VLOOKUP(B739,'Tipo Projeto'!$A$3:$B$35,2,0),0)</f>
        <v>0</v>
      </c>
      <c r="D739" s="47"/>
      <c r="E739" s="47"/>
      <c r="F739" s="48"/>
      <c r="G739" s="47"/>
      <c r="H739" s="49"/>
      <c r="I739" s="50"/>
      <c r="J739" s="51"/>
      <c r="K739" s="52"/>
      <c r="L739" s="53" t="str">
        <f t="shared" si="156"/>
        <v/>
      </c>
      <c r="M739" s="48" t="str">
        <f t="shared" si="157"/>
        <v/>
      </c>
      <c r="N739" s="54" t="str">
        <f t="shared" si="158"/>
        <v/>
      </c>
      <c r="O739" s="55">
        <f t="shared" si="159"/>
        <v>0</v>
      </c>
      <c r="P739" s="55">
        <f t="shared" si="160"/>
        <v>0</v>
      </c>
      <c r="Q739" s="54">
        <f t="shared" si="161"/>
        <v>0</v>
      </c>
      <c r="R739" s="47"/>
      <c r="T739" s="57"/>
      <c r="U739" s="45"/>
      <c r="V739" s="46">
        <f>IF(U739&lt;&gt;"",VLOOKUP(U739,'Tipo Projeto'!$A$3:$B$35,2,0),0)</f>
        <v>0</v>
      </c>
      <c r="W739" s="47"/>
      <c r="X739" s="49"/>
      <c r="Y739" s="50"/>
      <c r="Z739" s="51"/>
      <c r="AA739" s="52"/>
      <c r="AB739" s="53" t="str">
        <f t="shared" si="162"/>
        <v/>
      </c>
      <c r="AC739" s="48" t="str">
        <f t="shared" si="163"/>
        <v/>
      </c>
      <c r="AD739" s="54" t="str">
        <f t="shared" si="164"/>
        <v/>
      </c>
      <c r="AE739" s="55">
        <f t="shared" si="165"/>
        <v>0</v>
      </c>
      <c r="AF739" s="55">
        <f t="shared" si="166"/>
        <v>0</v>
      </c>
      <c r="AG739" s="58">
        <f t="shared" si="167"/>
        <v>0</v>
      </c>
      <c r="AH739" s="47"/>
      <c r="AJ739" s="47"/>
      <c r="AL739" s="47"/>
      <c r="AM739" s="47" t="str">
        <f t="shared" si="168"/>
        <v/>
      </c>
    </row>
    <row r="740" spans="1:39" s="56" customFormat="1" ht="24.75" customHeight="1">
      <c r="A740" s="44"/>
      <c r="B740" s="45"/>
      <c r="C740" s="46">
        <f>IF(B740&lt;&gt;"",VLOOKUP(B740,'Tipo Projeto'!$A$3:$B$35,2,0),0)</f>
        <v>0</v>
      </c>
      <c r="D740" s="47"/>
      <c r="E740" s="47"/>
      <c r="F740" s="48"/>
      <c r="G740" s="47"/>
      <c r="H740" s="49"/>
      <c r="I740" s="50"/>
      <c r="J740" s="51"/>
      <c r="K740" s="52"/>
      <c r="L740" s="53" t="str">
        <f t="shared" si="156"/>
        <v/>
      </c>
      <c r="M740" s="48" t="str">
        <f t="shared" si="157"/>
        <v/>
      </c>
      <c r="N740" s="54" t="str">
        <f t="shared" si="158"/>
        <v/>
      </c>
      <c r="O740" s="55">
        <f t="shared" si="159"/>
        <v>0</v>
      </c>
      <c r="P740" s="55">
        <f t="shared" si="160"/>
        <v>0</v>
      </c>
      <c r="Q740" s="54">
        <f t="shared" si="161"/>
        <v>0</v>
      </c>
      <c r="R740" s="47"/>
      <c r="T740" s="57"/>
      <c r="U740" s="45"/>
      <c r="V740" s="46">
        <f>IF(U740&lt;&gt;"",VLOOKUP(U740,'Tipo Projeto'!$A$3:$B$35,2,0),0)</f>
        <v>0</v>
      </c>
      <c r="W740" s="47"/>
      <c r="X740" s="49"/>
      <c r="Y740" s="50"/>
      <c r="Z740" s="51"/>
      <c r="AA740" s="52"/>
      <c r="AB740" s="53" t="str">
        <f t="shared" si="162"/>
        <v/>
      </c>
      <c r="AC740" s="48" t="str">
        <f t="shared" si="163"/>
        <v/>
      </c>
      <c r="AD740" s="54" t="str">
        <f t="shared" si="164"/>
        <v/>
      </c>
      <c r="AE740" s="55">
        <f t="shared" si="165"/>
        <v>0</v>
      </c>
      <c r="AF740" s="55">
        <f t="shared" si="166"/>
        <v>0</v>
      </c>
      <c r="AG740" s="58">
        <f t="shared" si="167"/>
        <v>0</v>
      </c>
      <c r="AH740" s="47"/>
      <c r="AJ740" s="47"/>
      <c r="AL740" s="47"/>
      <c r="AM740" s="47" t="str">
        <f t="shared" si="168"/>
        <v/>
      </c>
    </row>
    <row r="741" spans="1:39" s="56" customFormat="1" ht="24.75" customHeight="1">
      <c r="A741" s="44"/>
      <c r="B741" s="45"/>
      <c r="C741" s="46">
        <f>IF(B741&lt;&gt;"",VLOOKUP(B741,'Tipo Projeto'!$A$3:$B$35,2,0),0)</f>
        <v>0</v>
      </c>
      <c r="D741" s="47"/>
      <c r="E741" s="47"/>
      <c r="F741" s="48"/>
      <c r="G741" s="47"/>
      <c r="H741" s="49"/>
      <c r="I741" s="50"/>
      <c r="J741" s="51"/>
      <c r="K741" s="52"/>
      <c r="L741" s="53" t="str">
        <f t="shared" si="156"/>
        <v/>
      </c>
      <c r="M741" s="48" t="str">
        <f t="shared" si="157"/>
        <v/>
      </c>
      <c r="N741" s="54" t="str">
        <f t="shared" si="158"/>
        <v/>
      </c>
      <c r="O741" s="55">
        <f t="shared" si="159"/>
        <v>0</v>
      </c>
      <c r="P741" s="55">
        <f t="shared" si="160"/>
        <v>0</v>
      </c>
      <c r="Q741" s="54">
        <f t="shared" si="161"/>
        <v>0</v>
      </c>
      <c r="R741" s="47"/>
      <c r="T741" s="57"/>
      <c r="U741" s="45"/>
      <c r="V741" s="46">
        <f>IF(U741&lt;&gt;"",VLOOKUP(U741,'Tipo Projeto'!$A$3:$B$35,2,0),0)</f>
        <v>0</v>
      </c>
      <c r="W741" s="47"/>
      <c r="X741" s="49"/>
      <c r="Y741" s="50"/>
      <c r="Z741" s="51"/>
      <c r="AA741" s="52"/>
      <c r="AB741" s="53" t="str">
        <f t="shared" si="162"/>
        <v/>
      </c>
      <c r="AC741" s="48" t="str">
        <f t="shared" si="163"/>
        <v/>
      </c>
      <c r="AD741" s="54" t="str">
        <f t="shared" si="164"/>
        <v/>
      </c>
      <c r="AE741" s="55">
        <f t="shared" si="165"/>
        <v>0</v>
      </c>
      <c r="AF741" s="55">
        <f t="shared" si="166"/>
        <v>0</v>
      </c>
      <c r="AG741" s="58">
        <f t="shared" si="167"/>
        <v>0</v>
      </c>
      <c r="AH741" s="47"/>
      <c r="AJ741" s="47"/>
      <c r="AL741" s="47"/>
      <c r="AM741" s="47" t="str">
        <f t="shared" si="168"/>
        <v/>
      </c>
    </row>
    <row r="742" spans="1:39" s="56" customFormat="1" ht="24.75" customHeight="1">
      <c r="A742" s="44"/>
      <c r="B742" s="45"/>
      <c r="C742" s="46">
        <f>IF(B742&lt;&gt;"",VLOOKUP(B742,'Tipo Projeto'!$A$3:$B$35,2,0),0)</f>
        <v>0</v>
      </c>
      <c r="D742" s="47"/>
      <c r="E742" s="47"/>
      <c r="F742" s="48"/>
      <c r="G742" s="47"/>
      <c r="H742" s="49"/>
      <c r="I742" s="50"/>
      <c r="J742" s="51"/>
      <c r="K742" s="52"/>
      <c r="L742" s="53" t="str">
        <f t="shared" si="156"/>
        <v/>
      </c>
      <c r="M742" s="48" t="str">
        <f t="shared" si="157"/>
        <v/>
      </c>
      <c r="N742" s="54" t="str">
        <f t="shared" si="158"/>
        <v/>
      </c>
      <c r="O742" s="55">
        <f t="shared" si="159"/>
        <v>0</v>
      </c>
      <c r="P742" s="55">
        <f t="shared" si="160"/>
        <v>0</v>
      </c>
      <c r="Q742" s="54">
        <f t="shared" si="161"/>
        <v>0</v>
      </c>
      <c r="R742" s="47"/>
      <c r="T742" s="57"/>
      <c r="U742" s="45"/>
      <c r="V742" s="46">
        <f>IF(U742&lt;&gt;"",VLOOKUP(U742,'Tipo Projeto'!$A$3:$B$35,2,0),0)</f>
        <v>0</v>
      </c>
      <c r="W742" s="47"/>
      <c r="X742" s="49"/>
      <c r="Y742" s="50"/>
      <c r="Z742" s="51"/>
      <c r="AA742" s="52"/>
      <c r="AB742" s="53" t="str">
        <f t="shared" si="162"/>
        <v/>
      </c>
      <c r="AC742" s="48" t="str">
        <f t="shared" si="163"/>
        <v/>
      </c>
      <c r="AD742" s="54" t="str">
        <f t="shared" si="164"/>
        <v/>
      </c>
      <c r="AE742" s="55">
        <f t="shared" si="165"/>
        <v>0</v>
      </c>
      <c r="AF742" s="55">
        <f t="shared" si="166"/>
        <v>0</v>
      </c>
      <c r="AG742" s="58">
        <f t="shared" si="167"/>
        <v>0</v>
      </c>
      <c r="AH742" s="47"/>
      <c r="AJ742" s="47"/>
      <c r="AL742" s="47"/>
      <c r="AM742" s="47" t="str">
        <f t="shared" si="168"/>
        <v/>
      </c>
    </row>
    <row r="743" spans="1:39" s="56" customFormat="1" ht="24.75" customHeight="1">
      <c r="A743" s="44"/>
      <c r="B743" s="45"/>
      <c r="C743" s="46">
        <f>IF(B743&lt;&gt;"",VLOOKUP(B743,'Tipo Projeto'!$A$3:$B$35,2,0),0)</f>
        <v>0</v>
      </c>
      <c r="D743" s="47"/>
      <c r="E743" s="47"/>
      <c r="F743" s="48"/>
      <c r="G743" s="47"/>
      <c r="H743" s="49"/>
      <c r="I743" s="50"/>
      <c r="J743" s="51"/>
      <c r="K743" s="52"/>
      <c r="L743" s="53" t="str">
        <f t="shared" si="156"/>
        <v/>
      </c>
      <c r="M743" s="48" t="str">
        <f t="shared" si="157"/>
        <v/>
      </c>
      <c r="N743" s="54" t="str">
        <f t="shared" si="158"/>
        <v/>
      </c>
      <c r="O743" s="55">
        <f t="shared" si="159"/>
        <v>0</v>
      </c>
      <c r="P743" s="55">
        <f t="shared" si="160"/>
        <v>0</v>
      </c>
      <c r="Q743" s="54">
        <f t="shared" si="161"/>
        <v>0</v>
      </c>
      <c r="R743" s="47"/>
      <c r="T743" s="57"/>
      <c r="U743" s="45"/>
      <c r="V743" s="46">
        <f>IF(U743&lt;&gt;"",VLOOKUP(U743,'Tipo Projeto'!$A$3:$B$35,2,0),0)</f>
        <v>0</v>
      </c>
      <c r="W743" s="47"/>
      <c r="X743" s="49"/>
      <c r="Y743" s="50"/>
      <c r="Z743" s="51"/>
      <c r="AA743" s="52"/>
      <c r="AB743" s="53" t="str">
        <f t="shared" si="162"/>
        <v/>
      </c>
      <c r="AC743" s="48" t="str">
        <f t="shared" si="163"/>
        <v/>
      </c>
      <c r="AD743" s="54" t="str">
        <f t="shared" si="164"/>
        <v/>
      </c>
      <c r="AE743" s="55">
        <f t="shared" si="165"/>
        <v>0</v>
      </c>
      <c r="AF743" s="55">
        <f t="shared" si="166"/>
        <v>0</v>
      </c>
      <c r="AG743" s="58">
        <f t="shared" si="167"/>
        <v>0</v>
      </c>
      <c r="AH743" s="47"/>
      <c r="AJ743" s="47"/>
      <c r="AL743" s="47"/>
      <c r="AM743" s="47" t="str">
        <f t="shared" si="168"/>
        <v/>
      </c>
    </row>
    <row r="744" spans="1:39" s="56" customFormat="1" ht="24.75" customHeight="1">
      <c r="A744" s="44"/>
      <c r="B744" s="45"/>
      <c r="C744" s="46">
        <f>IF(B744&lt;&gt;"",VLOOKUP(B744,'Tipo Projeto'!$A$3:$B$35,2,0),0)</f>
        <v>0</v>
      </c>
      <c r="D744" s="47"/>
      <c r="E744" s="47"/>
      <c r="F744" s="48"/>
      <c r="G744" s="47"/>
      <c r="H744" s="49"/>
      <c r="I744" s="50"/>
      <c r="J744" s="51"/>
      <c r="K744" s="52"/>
      <c r="L744" s="53" t="str">
        <f t="shared" si="156"/>
        <v/>
      </c>
      <c r="M744" s="48" t="str">
        <f t="shared" si="157"/>
        <v/>
      </c>
      <c r="N744" s="54" t="str">
        <f t="shared" si="158"/>
        <v/>
      </c>
      <c r="O744" s="55">
        <f t="shared" si="159"/>
        <v>0</v>
      </c>
      <c r="P744" s="55">
        <f t="shared" si="160"/>
        <v>0</v>
      </c>
      <c r="Q744" s="54">
        <f t="shared" si="161"/>
        <v>0</v>
      </c>
      <c r="R744" s="47"/>
      <c r="T744" s="57"/>
      <c r="U744" s="45"/>
      <c r="V744" s="46">
        <f>IF(U744&lt;&gt;"",VLOOKUP(U744,'Tipo Projeto'!$A$3:$B$35,2,0),0)</f>
        <v>0</v>
      </c>
      <c r="W744" s="47"/>
      <c r="X744" s="49"/>
      <c r="Y744" s="50"/>
      <c r="Z744" s="51"/>
      <c r="AA744" s="52"/>
      <c r="AB744" s="53" t="str">
        <f t="shared" si="162"/>
        <v/>
      </c>
      <c r="AC744" s="48" t="str">
        <f t="shared" si="163"/>
        <v/>
      </c>
      <c r="AD744" s="54" t="str">
        <f t="shared" si="164"/>
        <v/>
      </c>
      <c r="AE744" s="55">
        <f t="shared" si="165"/>
        <v>0</v>
      </c>
      <c r="AF744" s="55">
        <f t="shared" si="166"/>
        <v>0</v>
      </c>
      <c r="AG744" s="58">
        <f t="shared" si="167"/>
        <v>0</v>
      </c>
      <c r="AH744" s="47"/>
      <c r="AJ744" s="47"/>
      <c r="AL744" s="47"/>
      <c r="AM744" s="47" t="str">
        <f t="shared" si="168"/>
        <v/>
      </c>
    </row>
    <row r="745" spans="1:39" s="56" customFormat="1" ht="24.75" customHeight="1">
      <c r="A745" s="44"/>
      <c r="B745" s="45"/>
      <c r="C745" s="46">
        <f>IF(B745&lt;&gt;"",VLOOKUP(B745,'Tipo Projeto'!$A$3:$B$35,2,0),0)</f>
        <v>0</v>
      </c>
      <c r="D745" s="47"/>
      <c r="E745" s="47"/>
      <c r="F745" s="48"/>
      <c r="G745" s="47"/>
      <c r="H745" s="49"/>
      <c r="I745" s="50"/>
      <c r="J745" s="51"/>
      <c r="K745" s="52"/>
      <c r="L745" s="53" t="str">
        <f t="shared" si="156"/>
        <v/>
      </c>
      <c r="M745" s="48" t="str">
        <f t="shared" si="157"/>
        <v/>
      </c>
      <c r="N745" s="54" t="str">
        <f t="shared" si="158"/>
        <v/>
      </c>
      <c r="O745" s="55">
        <f t="shared" si="159"/>
        <v>0</v>
      </c>
      <c r="P745" s="55">
        <f t="shared" si="160"/>
        <v>0</v>
      </c>
      <c r="Q745" s="54">
        <f t="shared" si="161"/>
        <v>0</v>
      </c>
      <c r="R745" s="47"/>
      <c r="T745" s="57"/>
      <c r="U745" s="45"/>
      <c r="V745" s="46">
        <f>IF(U745&lt;&gt;"",VLOOKUP(U745,'Tipo Projeto'!$A$3:$B$35,2,0),0)</f>
        <v>0</v>
      </c>
      <c r="W745" s="47"/>
      <c r="X745" s="49"/>
      <c r="Y745" s="50"/>
      <c r="Z745" s="51"/>
      <c r="AA745" s="52"/>
      <c r="AB745" s="53" t="str">
        <f t="shared" si="162"/>
        <v/>
      </c>
      <c r="AC745" s="48" t="str">
        <f t="shared" si="163"/>
        <v/>
      </c>
      <c r="AD745" s="54" t="str">
        <f t="shared" si="164"/>
        <v/>
      </c>
      <c r="AE745" s="55">
        <f t="shared" si="165"/>
        <v>0</v>
      </c>
      <c r="AF745" s="55">
        <f t="shared" si="166"/>
        <v>0</v>
      </c>
      <c r="AG745" s="58">
        <f t="shared" si="167"/>
        <v>0</v>
      </c>
      <c r="AH745" s="47"/>
      <c r="AJ745" s="47"/>
      <c r="AL745" s="47"/>
      <c r="AM745" s="47" t="str">
        <f t="shared" si="168"/>
        <v/>
      </c>
    </row>
    <row r="746" spans="1:39" s="56" customFormat="1" ht="24.75" customHeight="1">
      <c r="A746" s="44"/>
      <c r="B746" s="45"/>
      <c r="C746" s="46">
        <f>IF(B746&lt;&gt;"",VLOOKUP(B746,'Tipo Projeto'!$A$3:$B$35,2,0),0)</f>
        <v>0</v>
      </c>
      <c r="D746" s="47"/>
      <c r="E746" s="47"/>
      <c r="F746" s="48"/>
      <c r="G746" s="47"/>
      <c r="H746" s="49"/>
      <c r="I746" s="50"/>
      <c r="J746" s="51"/>
      <c r="K746" s="52"/>
      <c r="L746" s="53" t="str">
        <f t="shared" si="156"/>
        <v/>
      </c>
      <c r="M746" s="48" t="str">
        <f t="shared" si="157"/>
        <v/>
      </c>
      <c r="N746" s="54" t="str">
        <f t="shared" si="158"/>
        <v/>
      </c>
      <c r="O746" s="55">
        <f t="shared" si="159"/>
        <v>0</v>
      </c>
      <c r="P746" s="55">
        <f t="shared" si="160"/>
        <v>0</v>
      </c>
      <c r="Q746" s="54">
        <f t="shared" si="161"/>
        <v>0</v>
      </c>
      <c r="R746" s="47"/>
      <c r="T746" s="57"/>
      <c r="U746" s="45"/>
      <c r="V746" s="46">
        <f>IF(U746&lt;&gt;"",VLOOKUP(U746,'Tipo Projeto'!$A$3:$B$35,2,0),0)</f>
        <v>0</v>
      </c>
      <c r="W746" s="47"/>
      <c r="X746" s="49"/>
      <c r="Y746" s="50"/>
      <c r="Z746" s="51"/>
      <c r="AA746" s="52"/>
      <c r="AB746" s="53" t="str">
        <f t="shared" si="162"/>
        <v/>
      </c>
      <c r="AC746" s="48" t="str">
        <f t="shared" si="163"/>
        <v/>
      </c>
      <c r="AD746" s="54" t="str">
        <f t="shared" si="164"/>
        <v/>
      </c>
      <c r="AE746" s="55">
        <f t="shared" si="165"/>
        <v>0</v>
      </c>
      <c r="AF746" s="55">
        <f t="shared" si="166"/>
        <v>0</v>
      </c>
      <c r="AG746" s="58">
        <f t="shared" si="167"/>
        <v>0</v>
      </c>
      <c r="AH746" s="47"/>
      <c r="AJ746" s="47"/>
      <c r="AL746" s="47"/>
      <c r="AM746" s="47" t="str">
        <f t="shared" si="168"/>
        <v/>
      </c>
    </row>
    <row r="747" spans="1:39" s="56" customFormat="1" ht="24.75" customHeight="1">
      <c r="A747" s="44"/>
      <c r="B747" s="45"/>
      <c r="C747" s="46">
        <f>IF(B747&lt;&gt;"",VLOOKUP(B747,'Tipo Projeto'!$A$3:$B$35,2,0),0)</f>
        <v>0</v>
      </c>
      <c r="D747" s="47"/>
      <c r="E747" s="47"/>
      <c r="F747" s="48"/>
      <c r="G747" s="47"/>
      <c r="H747" s="49"/>
      <c r="I747" s="50"/>
      <c r="J747" s="51"/>
      <c r="K747" s="52"/>
      <c r="L747" s="53" t="str">
        <f t="shared" si="156"/>
        <v/>
      </c>
      <c r="M747" s="48" t="str">
        <f t="shared" si="157"/>
        <v/>
      </c>
      <c r="N747" s="54" t="str">
        <f t="shared" si="158"/>
        <v/>
      </c>
      <c r="O747" s="55">
        <f t="shared" si="159"/>
        <v>0</v>
      </c>
      <c r="P747" s="55">
        <f t="shared" si="160"/>
        <v>0</v>
      </c>
      <c r="Q747" s="54">
        <f t="shared" si="161"/>
        <v>0</v>
      </c>
      <c r="R747" s="47"/>
      <c r="T747" s="57"/>
      <c r="U747" s="45"/>
      <c r="V747" s="46">
        <f>IF(U747&lt;&gt;"",VLOOKUP(U747,'Tipo Projeto'!$A$3:$B$35,2,0),0)</f>
        <v>0</v>
      </c>
      <c r="W747" s="47"/>
      <c r="X747" s="49"/>
      <c r="Y747" s="50"/>
      <c r="Z747" s="51"/>
      <c r="AA747" s="52"/>
      <c r="AB747" s="53" t="str">
        <f t="shared" si="162"/>
        <v/>
      </c>
      <c r="AC747" s="48" t="str">
        <f t="shared" si="163"/>
        <v/>
      </c>
      <c r="AD747" s="54" t="str">
        <f t="shared" si="164"/>
        <v/>
      </c>
      <c r="AE747" s="55">
        <f t="shared" si="165"/>
        <v>0</v>
      </c>
      <c r="AF747" s="55">
        <f t="shared" si="166"/>
        <v>0</v>
      </c>
      <c r="AG747" s="58">
        <f t="shared" si="167"/>
        <v>0</v>
      </c>
      <c r="AH747" s="47"/>
      <c r="AJ747" s="47"/>
      <c r="AL747" s="47"/>
      <c r="AM747" s="47" t="str">
        <f t="shared" si="168"/>
        <v/>
      </c>
    </row>
    <row r="748" spans="1:39" s="56" customFormat="1" ht="24.75" customHeight="1">
      <c r="A748" s="44"/>
      <c r="B748" s="45"/>
      <c r="C748" s="46">
        <f>IF(B748&lt;&gt;"",VLOOKUP(B748,'Tipo Projeto'!$A$3:$B$35,2,0),0)</f>
        <v>0</v>
      </c>
      <c r="D748" s="47"/>
      <c r="E748" s="47"/>
      <c r="F748" s="48"/>
      <c r="G748" s="47"/>
      <c r="H748" s="49"/>
      <c r="I748" s="50"/>
      <c r="J748" s="51"/>
      <c r="K748" s="52"/>
      <c r="L748" s="53" t="str">
        <f t="shared" si="156"/>
        <v/>
      </c>
      <c r="M748" s="48" t="str">
        <f t="shared" si="157"/>
        <v/>
      </c>
      <c r="N748" s="54" t="str">
        <f t="shared" si="158"/>
        <v/>
      </c>
      <c r="O748" s="55">
        <f t="shared" si="159"/>
        <v>0</v>
      </c>
      <c r="P748" s="55">
        <f t="shared" si="160"/>
        <v>0</v>
      </c>
      <c r="Q748" s="54">
        <f t="shared" si="161"/>
        <v>0</v>
      </c>
      <c r="R748" s="47"/>
      <c r="T748" s="57"/>
      <c r="U748" s="45"/>
      <c r="V748" s="46">
        <f>IF(U748&lt;&gt;"",VLOOKUP(U748,'Tipo Projeto'!$A$3:$B$35,2,0),0)</f>
        <v>0</v>
      </c>
      <c r="W748" s="47"/>
      <c r="X748" s="49"/>
      <c r="Y748" s="50"/>
      <c r="Z748" s="51"/>
      <c r="AA748" s="52"/>
      <c r="AB748" s="53" t="str">
        <f t="shared" si="162"/>
        <v/>
      </c>
      <c r="AC748" s="48" t="str">
        <f t="shared" si="163"/>
        <v/>
      </c>
      <c r="AD748" s="54" t="str">
        <f t="shared" si="164"/>
        <v/>
      </c>
      <c r="AE748" s="55">
        <f t="shared" si="165"/>
        <v>0</v>
      </c>
      <c r="AF748" s="55">
        <f t="shared" si="166"/>
        <v>0</v>
      </c>
      <c r="AG748" s="58">
        <f t="shared" si="167"/>
        <v>0</v>
      </c>
      <c r="AH748" s="47"/>
      <c r="AJ748" s="47"/>
      <c r="AL748" s="47"/>
      <c r="AM748" s="47" t="str">
        <f t="shared" si="168"/>
        <v/>
      </c>
    </row>
    <row r="749" spans="1:39" s="56" customFormat="1" ht="24.75" customHeight="1">
      <c r="A749" s="44"/>
      <c r="B749" s="45"/>
      <c r="C749" s="46">
        <f>IF(B749&lt;&gt;"",VLOOKUP(B749,'Tipo Projeto'!$A$3:$B$35,2,0),0)</f>
        <v>0</v>
      </c>
      <c r="D749" s="47"/>
      <c r="E749" s="47"/>
      <c r="F749" s="48"/>
      <c r="G749" s="47"/>
      <c r="H749" s="49"/>
      <c r="I749" s="50"/>
      <c r="J749" s="51"/>
      <c r="K749" s="52"/>
      <c r="L749" s="53" t="str">
        <f t="shared" si="156"/>
        <v/>
      </c>
      <c r="M749" s="48" t="str">
        <f t="shared" si="157"/>
        <v/>
      </c>
      <c r="N749" s="54" t="str">
        <f t="shared" si="158"/>
        <v/>
      </c>
      <c r="O749" s="55">
        <f t="shared" si="159"/>
        <v>0</v>
      </c>
      <c r="P749" s="55">
        <f t="shared" si="160"/>
        <v>0</v>
      </c>
      <c r="Q749" s="54">
        <f t="shared" si="161"/>
        <v>0</v>
      </c>
      <c r="R749" s="47"/>
      <c r="T749" s="57"/>
      <c r="U749" s="45"/>
      <c r="V749" s="46">
        <f>IF(U749&lt;&gt;"",VLOOKUP(U749,'Tipo Projeto'!$A$3:$B$35,2,0),0)</f>
        <v>0</v>
      </c>
      <c r="W749" s="47"/>
      <c r="X749" s="49"/>
      <c r="Y749" s="50"/>
      <c r="Z749" s="51"/>
      <c r="AA749" s="52"/>
      <c r="AB749" s="53" t="str">
        <f t="shared" si="162"/>
        <v/>
      </c>
      <c r="AC749" s="48" t="str">
        <f t="shared" si="163"/>
        <v/>
      </c>
      <c r="AD749" s="54" t="str">
        <f t="shared" si="164"/>
        <v/>
      </c>
      <c r="AE749" s="55">
        <f t="shared" si="165"/>
        <v>0</v>
      </c>
      <c r="AF749" s="55">
        <f t="shared" si="166"/>
        <v>0</v>
      </c>
      <c r="AG749" s="58">
        <f t="shared" si="167"/>
        <v>0</v>
      </c>
      <c r="AH749" s="47"/>
      <c r="AJ749" s="47"/>
      <c r="AL749" s="47"/>
      <c r="AM749" s="47" t="str">
        <f t="shared" si="168"/>
        <v/>
      </c>
    </row>
    <row r="750" spans="1:39" s="56" customFormat="1" ht="24.75" customHeight="1">
      <c r="A750" s="44"/>
      <c r="B750" s="45"/>
      <c r="C750" s="46">
        <f>IF(B750&lt;&gt;"",VLOOKUP(B750,'Tipo Projeto'!$A$3:$B$35,2,0),0)</f>
        <v>0</v>
      </c>
      <c r="D750" s="47"/>
      <c r="E750" s="47"/>
      <c r="F750" s="48"/>
      <c r="G750" s="47"/>
      <c r="H750" s="49"/>
      <c r="I750" s="50"/>
      <c r="J750" s="51"/>
      <c r="K750" s="52"/>
      <c r="L750" s="53" t="str">
        <f t="shared" si="156"/>
        <v/>
      </c>
      <c r="M750" s="48" t="str">
        <f t="shared" si="157"/>
        <v/>
      </c>
      <c r="N750" s="54" t="str">
        <f t="shared" si="158"/>
        <v/>
      </c>
      <c r="O750" s="55">
        <f t="shared" si="159"/>
        <v>0</v>
      </c>
      <c r="P750" s="55">
        <f t="shared" si="160"/>
        <v>0</v>
      </c>
      <c r="Q750" s="54">
        <f t="shared" si="161"/>
        <v>0</v>
      </c>
      <c r="R750" s="47"/>
      <c r="T750" s="57"/>
      <c r="U750" s="45"/>
      <c r="V750" s="46">
        <f>IF(U750&lt;&gt;"",VLOOKUP(U750,'Tipo Projeto'!$A$3:$B$35,2,0),0)</f>
        <v>0</v>
      </c>
      <c r="W750" s="47"/>
      <c r="X750" s="49"/>
      <c r="Y750" s="50"/>
      <c r="Z750" s="51"/>
      <c r="AA750" s="52"/>
      <c r="AB750" s="53" t="str">
        <f t="shared" si="162"/>
        <v/>
      </c>
      <c r="AC750" s="48" t="str">
        <f t="shared" si="163"/>
        <v/>
      </c>
      <c r="AD750" s="54" t="str">
        <f t="shared" si="164"/>
        <v/>
      </c>
      <c r="AE750" s="55">
        <f t="shared" si="165"/>
        <v>0</v>
      </c>
      <c r="AF750" s="55">
        <f t="shared" si="166"/>
        <v>0</v>
      </c>
      <c r="AG750" s="58">
        <f t="shared" si="167"/>
        <v>0</v>
      </c>
      <c r="AH750" s="47"/>
      <c r="AJ750" s="47"/>
      <c r="AL750" s="47"/>
      <c r="AM750" s="47" t="str">
        <f t="shared" si="168"/>
        <v/>
      </c>
    </row>
    <row r="751" spans="1:39" s="56" customFormat="1" ht="24.75" customHeight="1">
      <c r="A751" s="44"/>
      <c r="B751" s="45"/>
      <c r="C751" s="46">
        <f>IF(B751&lt;&gt;"",VLOOKUP(B751,'Tipo Projeto'!$A$3:$B$35,2,0),0)</f>
        <v>0</v>
      </c>
      <c r="D751" s="47"/>
      <c r="E751" s="47"/>
      <c r="F751" s="48"/>
      <c r="G751" s="47"/>
      <c r="H751" s="49"/>
      <c r="I751" s="50"/>
      <c r="J751" s="51"/>
      <c r="K751" s="52"/>
      <c r="L751" s="53" t="str">
        <f t="shared" si="156"/>
        <v/>
      </c>
      <c r="M751" s="48" t="str">
        <f t="shared" si="157"/>
        <v/>
      </c>
      <c r="N751" s="54" t="str">
        <f t="shared" si="158"/>
        <v/>
      </c>
      <c r="O751" s="55">
        <f t="shared" si="159"/>
        <v>0</v>
      </c>
      <c r="P751" s="55">
        <f t="shared" si="160"/>
        <v>0</v>
      </c>
      <c r="Q751" s="54">
        <f t="shared" si="161"/>
        <v>0</v>
      </c>
      <c r="R751" s="47"/>
      <c r="T751" s="57"/>
      <c r="U751" s="45"/>
      <c r="V751" s="46">
        <f>IF(U751&lt;&gt;"",VLOOKUP(U751,'Tipo Projeto'!$A$3:$B$35,2,0),0)</f>
        <v>0</v>
      </c>
      <c r="W751" s="47"/>
      <c r="X751" s="49"/>
      <c r="Y751" s="50"/>
      <c r="Z751" s="51"/>
      <c r="AA751" s="52"/>
      <c r="AB751" s="53" t="str">
        <f t="shared" si="162"/>
        <v/>
      </c>
      <c r="AC751" s="48" t="str">
        <f t="shared" si="163"/>
        <v/>
      </c>
      <c r="AD751" s="54" t="str">
        <f t="shared" si="164"/>
        <v/>
      </c>
      <c r="AE751" s="55">
        <f t="shared" si="165"/>
        <v>0</v>
      </c>
      <c r="AF751" s="55">
        <f t="shared" si="166"/>
        <v>0</v>
      </c>
      <c r="AG751" s="58">
        <f t="shared" si="167"/>
        <v>0</v>
      </c>
      <c r="AH751" s="47"/>
      <c r="AJ751" s="47"/>
      <c r="AL751" s="47"/>
      <c r="AM751" s="47" t="str">
        <f t="shared" si="168"/>
        <v/>
      </c>
    </row>
    <row r="752" spans="1:39" s="56" customFormat="1" ht="24.75" customHeight="1">
      <c r="A752" s="44"/>
      <c r="B752" s="45"/>
      <c r="C752" s="46">
        <f>IF(B752&lt;&gt;"",VLOOKUP(B752,'Tipo Projeto'!$A$3:$B$35,2,0),0)</f>
        <v>0</v>
      </c>
      <c r="D752" s="47"/>
      <c r="E752" s="47"/>
      <c r="F752" s="48"/>
      <c r="G752" s="47"/>
      <c r="H752" s="49"/>
      <c r="I752" s="50"/>
      <c r="J752" s="51"/>
      <c r="K752" s="52"/>
      <c r="L752" s="53" t="str">
        <f t="shared" si="156"/>
        <v/>
      </c>
      <c r="M752" s="48" t="str">
        <f t="shared" si="157"/>
        <v/>
      </c>
      <c r="N752" s="54" t="str">
        <f t="shared" si="158"/>
        <v/>
      </c>
      <c r="O752" s="55">
        <f t="shared" si="159"/>
        <v>0</v>
      </c>
      <c r="P752" s="55">
        <f t="shared" si="160"/>
        <v>0</v>
      </c>
      <c r="Q752" s="54">
        <f t="shared" si="161"/>
        <v>0</v>
      </c>
      <c r="R752" s="47"/>
      <c r="T752" s="57"/>
      <c r="U752" s="45"/>
      <c r="V752" s="46">
        <f>IF(U752&lt;&gt;"",VLOOKUP(U752,'Tipo Projeto'!$A$3:$B$35,2,0),0)</f>
        <v>0</v>
      </c>
      <c r="W752" s="47"/>
      <c r="X752" s="49"/>
      <c r="Y752" s="50"/>
      <c r="Z752" s="51"/>
      <c r="AA752" s="52"/>
      <c r="AB752" s="53" t="str">
        <f t="shared" si="162"/>
        <v/>
      </c>
      <c r="AC752" s="48" t="str">
        <f t="shared" si="163"/>
        <v/>
      </c>
      <c r="AD752" s="54" t="str">
        <f t="shared" si="164"/>
        <v/>
      </c>
      <c r="AE752" s="55">
        <f t="shared" si="165"/>
        <v>0</v>
      </c>
      <c r="AF752" s="55">
        <f t="shared" si="166"/>
        <v>0</v>
      </c>
      <c r="AG752" s="58">
        <f t="shared" si="167"/>
        <v>0</v>
      </c>
      <c r="AH752" s="47"/>
      <c r="AJ752" s="47"/>
      <c r="AL752" s="47"/>
      <c r="AM752" s="47" t="str">
        <f t="shared" si="168"/>
        <v/>
      </c>
    </row>
    <row r="753" spans="1:39" s="56" customFormat="1" ht="24.75" customHeight="1">
      <c r="A753" s="44"/>
      <c r="B753" s="45"/>
      <c r="C753" s="46">
        <f>IF(B753&lt;&gt;"",VLOOKUP(B753,'Tipo Projeto'!$A$3:$B$35,2,0),0)</f>
        <v>0</v>
      </c>
      <c r="D753" s="47"/>
      <c r="E753" s="47"/>
      <c r="F753" s="48"/>
      <c r="G753" s="47"/>
      <c r="H753" s="49"/>
      <c r="I753" s="50"/>
      <c r="J753" s="51"/>
      <c r="K753" s="52"/>
      <c r="L753" s="53" t="str">
        <f t="shared" si="156"/>
        <v/>
      </c>
      <c r="M753" s="48" t="str">
        <f t="shared" si="157"/>
        <v/>
      </c>
      <c r="N753" s="54" t="str">
        <f t="shared" si="158"/>
        <v/>
      </c>
      <c r="O753" s="55">
        <f t="shared" si="159"/>
        <v>0</v>
      </c>
      <c r="P753" s="55">
        <f t="shared" si="160"/>
        <v>0</v>
      </c>
      <c r="Q753" s="54">
        <f t="shared" si="161"/>
        <v>0</v>
      </c>
      <c r="R753" s="47"/>
      <c r="T753" s="57"/>
      <c r="U753" s="45"/>
      <c r="V753" s="46">
        <f>IF(U753&lt;&gt;"",VLOOKUP(U753,'Tipo Projeto'!$A$3:$B$35,2,0),0)</f>
        <v>0</v>
      </c>
      <c r="W753" s="47"/>
      <c r="X753" s="49"/>
      <c r="Y753" s="50"/>
      <c r="Z753" s="51"/>
      <c r="AA753" s="52"/>
      <c r="AB753" s="53" t="str">
        <f t="shared" si="162"/>
        <v/>
      </c>
      <c r="AC753" s="48" t="str">
        <f t="shared" si="163"/>
        <v/>
      </c>
      <c r="AD753" s="54" t="str">
        <f t="shared" si="164"/>
        <v/>
      </c>
      <c r="AE753" s="55">
        <f t="shared" si="165"/>
        <v>0</v>
      </c>
      <c r="AF753" s="55">
        <f t="shared" si="166"/>
        <v>0</v>
      </c>
      <c r="AG753" s="58">
        <f t="shared" si="167"/>
        <v>0</v>
      </c>
      <c r="AH753" s="47"/>
      <c r="AJ753" s="47"/>
      <c r="AL753" s="47"/>
      <c r="AM753" s="47" t="str">
        <f t="shared" si="168"/>
        <v/>
      </c>
    </row>
    <row r="754" spans="1:39" s="56" customFormat="1" ht="24.75" customHeight="1">
      <c r="A754" s="44"/>
      <c r="B754" s="45"/>
      <c r="C754" s="46">
        <f>IF(B754&lt;&gt;"",VLOOKUP(B754,'Tipo Projeto'!$A$3:$B$35,2,0),0)</f>
        <v>0</v>
      </c>
      <c r="D754" s="47"/>
      <c r="E754" s="47"/>
      <c r="F754" s="48"/>
      <c r="G754" s="47"/>
      <c r="H754" s="49"/>
      <c r="I754" s="50"/>
      <c r="J754" s="51"/>
      <c r="K754" s="52"/>
      <c r="L754" s="53" t="str">
        <f t="shared" si="156"/>
        <v/>
      </c>
      <c r="M754" s="48" t="str">
        <f t="shared" si="157"/>
        <v/>
      </c>
      <c r="N754" s="54" t="str">
        <f t="shared" si="158"/>
        <v/>
      </c>
      <c r="O754" s="55">
        <f t="shared" si="159"/>
        <v>0</v>
      </c>
      <c r="P754" s="55">
        <f t="shared" si="160"/>
        <v>0</v>
      </c>
      <c r="Q754" s="54">
        <f t="shared" si="161"/>
        <v>0</v>
      </c>
      <c r="R754" s="47"/>
      <c r="T754" s="57"/>
      <c r="U754" s="45"/>
      <c r="V754" s="46">
        <f>IF(U754&lt;&gt;"",VLOOKUP(U754,'Tipo Projeto'!$A$3:$B$35,2,0),0)</f>
        <v>0</v>
      </c>
      <c r="W754" s="47"/>
      <c r="X754" s="49"/>
      <c r="Y754" s="50"/>
      <c r="Z754" s="51"/>
      <c r="AA754" s="52"/>
      <c r="AB754" s="53" t="str">
        <f t="shared" si="162"/>
        <v/>
      </c>
      <c r="AC754" s="48" t="str">
        <f t="shared" si="163"/>
        <v/>
      </c>
      <c r="AD754" s="54" t="str">
        <f t="shared" si="164"/>
        <v/>
      </c>
      <c r="AE754" s="55">
        <f t="shared" si="165"/>
        <v>0</v>
      </c>
      <c r="AF754" s="55">
        <f t="shared" si="166"/>
        <v>0</v>
      </c>
      <c r="AG754" s="58">
        <f t="shared" si="167"/>
        <v>0</v>
      </c>
      <c r="AH754" s="47"/>
      <c r="AJ754" s="47"/>
      <c r="AL754" s="47"/>
      <c r="AM754" s="47" t="str">
        <f t="shared" si="168"/>
        <v/>
      </c>
    </row>
    <row r="755" spans="1:39" s="56" customFormat="1" ht="24.75" customHeight="1">
      <c r="A755" s="44"/>
      <c r="B755" s="45"/>
      <c r="C755" s="46">
        <f>IF(B755&lt;&gt;"",VLOOKUP(B755,'Tipo Projeto'!$A$3:$B$35,2,0),0)</f>
        <v>0</v>
      </c>
      <c r="D755" s="47"/>
      <c r="E755" s="47"/>
      <c r="F755" s="48"/>
      <c r="G755" s="47"/>
      <c r="H755" s="49"/>
      <c r="I755" s="50"/>
      <c r="J755" s="51"/>
      <c r="K755" s="52"/>
      <c r="L755" s="53" t="str">
        <f t="shared" si="156"/>
        <v/>
      </c>
      <c r="M755" s="48" t="str">
        <f t="shared" si="157"/>
        <v/>
      </c>
      <c r="N755" s="54" t="str">
        <f t="shared" si="158"/>
        <v/>
      </c>
      <c r="O755" s="55">
        <f t="shared" si="159"/>
        <v>0</v>
      </c>
      <c r="P755" s="55">
        <f t="shared" si="160"/>
        <v>0</v>
      </c>
      <c r="Q755" s="54">
        <f t="shared" si="161"/>
        <v>0</v>
      </c>
      <c r="R755" s="47"/>
      <c r="T755" s="57"/>
      <c r="U755" s="45"/>
      <c r="V755" s="46">
        <f>IF(U755&lt;&gt;"",VLOOKUP(U755,'Tipo Projeto'!$A$3:$B$35,2,0),0)</f>
        <v>0</v>
      </c>
      <c r="W755" s="47"/>
      <c r="X755" s="49"/>
      <c r="Y755" s="50"/>
      <c r="Z755" s="51"/>
      <c r="AA755" s="52"/>
      <c r="AB755" s="53" t="str">
        <f t="shared" si="162"/>
        <v/>
      </c>
      <c r="AC755" s="48" t="str">
        <f t="shared" si="163"/>
        <v/>
      </c>
      <c r="AD755" s="54" t="str">
        <f t="shared" si="164"/>
        <v/>
      </c>
      <c r="AE755" s="55">
        <f t="shared" si="165"/>
        <v>0</v>
      </c>
      <c r="AF755" s="55">
        <f t="shared" si="166"/>
        <v>0</v>
      </c>
      <c r="AG755" s="58">
        <f t="shared" si="167"/>
        <v>0</v>
      </c>
      <c r="AH755" s="47"/>
      <c r="AJ755" s="47"/>
      <c r="AL755" s="47"/>
      <c r="AM755" s="47" t="str">
        <f t="shared" si="168"/>
        <v/>
      </c>
    </row>
    <row r="756" spans="1:39" s="56" customFormat="1" ht="24.75" customHeight="1">
      <c r="A756" s="44"/>
      <c r="B756" s="45"/>
      <c r="C756" s="46">
        <f>IF(B756&lt;&gt;"",VLOOKUP(B756,'Tipo Projeto'!$A$3:$B$35,2,0),0)</f>
        <v>0</v>
      </c>
      <c r="D756" s="47"/>
      <c r="E756" s="47"/>
      <c r="F756" s="48"/>
      <c r="G756" s="47"/>
      <c r="H756" s="49"/>
      <c r="I756" s="50"/>
      <c r="J756" s="51"/>
      <c r="K756" s="52"/>
      <c r="L756" s="53" t="str">
        <f t="shared" si="156"/>
        <v/>
      </c>
      <c r="M756" s="48" t="str">
        <f t="shared" si="157"/>
        <v/>
      </c>
      <c r="N756" s="54" t="str">
        <f t="shared" si="158"/>
        <v/>
      </c>
      <c r="O756" s="55">
        <f t="shared" si="159"/>
        <v>0</v>
      </c>
      <c r="P756" s="55">
        <f t="shared" si="160"/>
        <v>0</v>
      </c>
      <c r="Q756" s="54">
        <f t="shared" si="161"/>
        <v>0</v>
      </c>
      <c r="R756" s="47"/>
      <c r="T756" s="57"/>
      <c r="U756" s="45"/>
      <c r="V756" s="46">
        <f>IF(U756&lt;&gt;"",VLOOKUP(U756,'Tipo Projeto'!$A$3:$B$35,2,0),0)</f>
        <v>0</v>
      </c>
      <c r="W756" s="47"/>
      <c r="X756" s="49"/>
      <c r="Y756" s="50"/>
      <c r="Z756" s="51"/>
      <c r="AA756" s="52"/>
      <c r="AB756" s="53" t="str">
        <f t="shared" si="162"/>
        <v/>
      </c>
      <c r="AC756" s="48" t="str">
        <f t="shared" si="163"/>
        <v/>
      </c>
      <c r="AD756" s="54" t="str">
        <f t="shared" si="164"/>
        <v/>
      </c>
      <c r="AE756" s="55">
        <f t="shared" si="165"/>
        <v>0</v>
      </c>
      <c r="AF756" s="55">
        <f t="shared" si="166"/>
        <v>0</v>
      </c>
      <c r="AG756" s="58">
        <f t="shared" si="167"/>
        <v>0</v>
      </c>
      <c r="AH756" s="47"/>
      <c r="AJ756" s="47"/>
      <c r="AL756" s="47"/>
      <c r="AM756" s="47" t="str">
        <f t="shared" si="168"/>
        <v/>
      </c>
    </row>
    <row r="757" spans="1:39" s="56" customFormat="1" ht="24.75" customHeight="1">
      <c r="A757" s="44"/>
      <c r="B757" s="45"/>
      <c r="C757" s="46">
        <f>IF(B757&lt;&gt;"",VLOOKUP(B757,'Tipo Projeto'!$A$3:$B$35,2,0),0)</f>
        <v>0</v>
      </c>
      <c r="D757" s="47"/>
      <c r="E757" s="47"/>
      <c r="F757" s="48"/>
      <c r="G757" s="47"/>
      <c r="H757" s="49"/>
      <c r="I757" s="50"/>
      <c r="J757" s="51"/>
      <c r="K757" s="52"/>
      <c r="L757" s="53" t="str">
        <f t="shared" ref="L757:L820" si="169">IF(G757="EE",IF(OR(AND(OR(J757=1,J757=0),H757&gt;0,H757&lt;5),AND(OR(J757=1,J757=0),H757&gt;4,H757&lt;16),AND(J757=2,H757&gt;0,H757&lt;5)),"Simples",IF(OR(AND(OR(J757=1,J757=0),H757&gt;15),AND(J757=2,H757&gt;4,H757&lt;16),AND(J757&gt;2,H757&gt;0,H757&lt;5)),"Médio",IF(OR(AND(J757=2,H757&gt;15),AND(J757&gt;2,H757&gt;4,H757&lt;16),AND(J757&gt;2,H757&gt;15)),"Complexo",""))), IF(OR(G757="CE",G757="SE"),IF(OR(AND(OR(J757=1,J757=0),H757&gt;0,H757&lt;6),AND(OR(J757=1,J757=0),H757&gt;5,H757&lt;20),AND(J757&gt;1,J757&lt;4,H757&gt;0,H757&lt;6)),"Simples",IF(OR(AND(OR(J757=1,J757=0),H757&gt;19),AND(J757&gt;1,J757&lt;4,H757&gt;5,H757&lt;20),AND(J757&gt;3,H757&gt;0,H757&lt;6)),"Médio",IF(OR(AND(J757&gt;1,J757&lt;4,H757&gt;19),AND(J757&gt;3,H757&gt;5,H757&lt;20),AND(J757&gt;3,H757&gt;19)),"Complexo",""))),""))</f>
        <v/>
      </c>
      <c r="M757" s="48" t="str">
        <f t="shared" ref="M757:M820" si="170">IF(G757="ALI",IF(OR(AND(OR(J757=1,J757=0),H757&gt;0,H757&lt;20),AND(OR(J757=1,J757=0),H757&gt;19,H757&lt;51),AND(J757&gt;1,J757&lt;6,H757&gt;0,H757&lt;20)),"Simples",IF(OR(AND(OR(J757=1,J757=0),H757&gt;50),AND(J757&gt;1,J757&lt;6,H757&gt;19,H757&lt;51),AND(J757&gt;5,H757&gt;0,H757&lt;20)),"Médio",IF(OR(AND(J757&gt;1,J757&lt;6,H757&gt;50),AND(J757&gt;5,H757&gt;19,H757&lt;51),AND(J757&gt;5,H757&gt;50)),"Complexo",""))), IF(G757="AIE",IF(OR(AND(OR(J757=1, J757=0),H757&gt;0,H757&lt;20),AND(OR(J757=1, J757=0),H757&gt;19,H757&lt;51),AND(J757&gt;1,J757&lt;6,H757&gt;0,H757&lt;20)),"Simples",IF(OR(AND(OR(J757=1, J757=0),H757&gt;50),AND(J757&gt;1,J757&lt;6,H757&gt;19,H757&lt;51),AND(J757&gt;5,H757&gt;0,H757&lt;20)),"Médio",IF(OR(AND(J757&gt;1,J757&lt;6,H757&gt;50),AND(J757&gt;5,H757&gt;19,H757&lt;51),AND(J757&gt;5,H757&gt;50)),"Complexo",""))),""))</f>
        <v/>
      </c>
      <c r="N757" s="54" t="str">
        <f t="shared" ref="N757:N820" si="171">IF(L757="",M757,IF(M757="",L757,""))</f>
        <v/>
      </c>
      <c r="O757" s="55">
        <f t="shared" ref="O757:O820" si="172">IF(AND(OR(G757="EE",G757="CE"),N757="Simples"),3, IF(AND(OR(G757="EE",G757="CE"),N757="Médio"),4, IF(AND(OR(G757="EE",G757="CE"),N757="Complexo"),6, IF(AND(G757="SE",N757="Simples"),4, IF(AND(G757="SE",N757="Médio"),5, IF(AND(G757="SE",N757="Complexo"),7,0))))))</f>
        <v>0</v>
      </c>
      <c r="P757" s="55">
        <f t="shared" ref="P757:P820" si="173">IF(AND(G757="ALI",M757="Simples"),7, IF(AND(G757="ALI",M757="Médio"),10, IF(AND(G757="ALI",M757="Complexo"),15, IF(AND(G757="AIE",M757="Simples"),5, IF(AND(G757="AIE",M757="Médio"),7, IF(AND(G757="AIE",M757="Complexo"),10,0))))))</f>
        <v>0</v>
      </c>
      <c r="Q757" s="54">
        <f t="shared" ref="Q757:Q820" si="174">IF(B757&lt;&gt;"Manutenção em interface",IF(B757&lt;&gt;"Desenv., Manutenção e Publicação de Páginas Estáticas",(O757+P757)*C757,C757),C757)</f>
        <v>0</v>
      </c>
      <c r="R757" s="47"/>
      <c r="T757" s="57"/>
      <c r="U757" s="45"/>
      <c r="V757" s="46">
        <f>IF(U757&lt;&gt;"",VLOOKUP(U757,'Tipo Projeto'!$A$3:$B$35,2,0),0)</f>
        <v>0</v>
      </c>
      <c r="W757" s="47"/>
      <c r="X757" s="49"/>
      <c r="Y757" s="50"/>
      <c r="Z757" s="51"/>
      <c r="AA757" s="52"/>
      <c r="AB757" s="53" t="str">
        <f t="shared" ref="AB757:AB820" si="175">IF(W757="EE",IF(OR(AND(OR(Z757=1,Z757=0),X757&gt;0,X757&lt;5),AND(OR(Z757=1,Z757=0),X757&gt;4,X757&lt;16),AND(Z757=2,X757&gt;0,X757&lt;5)),"Simples",IF(OR(AND(OR(Z757=1,Z757=0),X757&gt;15),AND(Z757=2,X757&gt;4,X757&lt;16),AND(Z757&gt;2,X757&gt;0,X757&lt;5)),"Médio",IF(OR(AND(Z757=2,X757&gt;15),AND(Z757&gt;2,X757&gt;4,X757&lt;16),AND(Z757&gt;2,X757&gt;15)),"Complexo",""))), IF(OR(W757="CE",W757="SE"),IF(OR(AND(OR(Z757=1,Z757=0),X757&gt;0,X757&lt;6),AND(OR(Z757=1,Z757=0),X757&gt;5,X757&lt;20),AND(Z757&gt;1,Z757&lt;4,X757&gt;0,X757&lt;6)),"Simples",IF(OR(AND(OR(Z757=1,Z757=0),X757&gt;19),AND(Z757&gt;1,Z757&lt;4,X757&gt;5,X757&lt;20),AND(Z757&gt;3,X757&gt;0,X757&lt;6)),"Médio",IF(OR(AND(Z757&gt;1,Z757&lt;4,X757&gt;19),AND(Z757&gt;3,X757&gt;5,X757&lt;20),AND(Z757&gt;3,X757&gt;19)),"Complexo",""))),""))</f>
        <v/>
      </c>
      <c r="AC757" s="48" t="str">
        <f t="shared" ref="AC757:AC820" si="176">IF(W757="ALI",IF(OR(AND(OR(Z757=1,Z757=0),X757&gt;0,X757&lt;20),AND(OR(Z757=1,Z757=0),X757&gt;19,X757&lt;51),AND(Z757&gt;1,Z757&lt;6,X757&gt;0,X757&lt;20)),"Simples",IF(OR(AND(OR(Z757=1,Z757=0),X757&gt;50),AND(Z757&gt;1,Z757&lt;6,X757&gt;19,X757&lt;51),AND(Z757&gt;5,X757&gt;0,X757&lt;20)),"Médio",IF(OR(AND(Z757&gt;1,Z757&lt;6,X757&gt;50),AND(Z757&gt;5,X757&gt;19,X757&lt;51),AND(Z757&gt;5,X757&gt;50)),"Complexo",""))), IF(W757="AIE",IF(OR(AND(OR(Z757=1, Z757=0),X757&gt;0,X757&lt;20),AND(OR(Z757=1, Z757=0),X757&gt;19,X757&lt;51),AND(Z757&gt;1,Z757&lt;6,X757&gt;0,X757&lt;20)),"Simples",IF(OR(AND(OR(Z757=1, Z757=0),X757&gt;50),AND(Z757&gt;1,Z757&lt;6,X757&gt;19,X757&lt;51),AND(Z757&gt;5,X757&gt;0,X757&lt;20)),"Médio",IF(OR(AND(Z757&gt;1,Z757&lt;6,X757&gt;50),AND(Z757&gt;5,X757&gt;19,X757&lt;51),AND(Z757&gt;5,X757&gt;50)),"Complexo",""))),""))</f>
        <v/>
      </c>
      <c r="AD757" s="54" t="str">
        <f t="shared" ref="AD757:AD820" si="177">IF(AB757="",AC757,IF(AC757="",AB757,""))</f>
        <v/>
      </c>
      <c r="AE757" s="55">
        <f t="shared" ref="AE757:AE820" si="178">IF(AND(OR(W757="EE",W757="CE"),AD757="Simples"),3, IF(AND(OR(W757="EE",W757="CE"),AD757="Médio"),4, IF(AND(OR(W757="EE",W757="CE"),AD757="Complexo"),6, IF(AND(W757="SE",AD757="Simples"),4, IF(AND(W757="SE",AD757="Médio"),5, IF(AND(W757="SE",AD757="Complexo"),7,0))))))</f>
        <v>0</v>
      </c>
      <c r="AF757" s="55">
        <f t="shared" ref="AF757:AF820" si="179">IF(AND(W757="ALI",AC757="Simples"),7, IF(AND(W757="ALI",AC757="Médio"),10, IF(AND(W757="ALI",AC757="Complexo"),15, IF(AND(W757="AIE",AC757="Simples"),5, IF(AND(W757="AIE",AC757="Médio"),7, IF(AND(W757="AIE",AC757="Complexo"),10,0))))))</f>
        <v>0</v>
      </c>
      <c r="AG757" s="58">
        <f t="shared" ref="AG757:AG820" si="180">IF(T757="OK",Q757,( IF(U757&lt;&gt;"Manutenção em interface",IF(U757&lt;&gt;"Desenv., Manutenção e Publicação de Páginas Estáticas",(AE757+AF757)*V757,V757),V757)))</f>
        <v>0</v>
      </c>
      <c r="AH757" s="47"/>
      <c r="AJ757" s="47"/>
      <c r="AL757" s="47"/>
      <c r="AM757" s="47" t="str">
        <f t="shared" ref="AM757:AM820" si="181">IF(AG757=0,"",IF(AG757=Q757,"OK","Divergente"))</f>
        <v/>
      </c>
    </row>
    <row r="758" spans="1:39" s="56" customFormat="1" ht="24.75" customHeight="1">
      <c r="A758" s="44"/>
      <c r="B758" s="45"/>
      <c r="C758" s="46">
        <f>IF(B758&lt;&gt;"",VLOOKUP(B758,'Tipo Projeto'!$A$3:$B$35,2,0),0)</f>
        <v>0</v>
      </c>
      <c r="D758" s="47"/>
      <c r="E758" s="47"/>
      <c r="F758" s="48"/>
      <c r="G758" s="47"/>
      <c r="H758" s="49"/>
      <c r="I758" s="50"/>
      <c r="J758" s="51"/>
      <c r="K758" s="52"/>
      <c r="L758" s="53" t="str">
        <f t="shared" si="169"/>
        <v/>
      </c>
      <c r="M758" s="48" t="str">
        <f t="shared" si="170"/>
        <v/>
      </c>
      <c r="N758" s="54" t="str">
        <f t="shared" si="171"/>
        <v/>
      </c>
      <c r="O758" s="55">
        <f t="shared" si="172"/>
        <v>0</v>
      </c>
      <c r="P758" s="55">
        <f t="shared" si="173"/>
        <v>0</v>
      </c>
      <c r="Q758" s="54">
        <f t="shared" si="174"/>
        <v>0</v>
      </c>
      <c r="R758" s="47"/>
      <c r="T758" s="57"/>
      <c r="U758" s="45"/>
      <c r="V758" s="46">
        <f>IF(U758&lt;&gt;"",VLOOKUP(U758,'Tipo Projeto'!$A$3:$B$35,2,0),0)</f>
        <v>0</v>
      </c>
      <c r="W758" s="47"/>
      <c r="X758" s="49"/>
      <c r="Y758" s="50"/>
      <c r="Z758" s="51"/>
      <c r="AA758" s="52"/>
      <c r="AB758" s="53" t="str">
        <f t="shared" si="175"/>
        <v/>
      </c>
      <c r="AC758" s="48" t="str">
        <f t="shared" si="176"/>
        <v/>
      </c>
      <c r="AD758" s="54" t="str">
        <f t="shared" si="177"/>
        <v/>
      </c>
      <c r="AE758" s="55">
        <f t="shared" si="178"/>
        <v>0</v>
      </c>
      <c r="AF758" s="55">
        <f t="shared" si="179"/>
        <v>0</v>
      </c>
      <c r="AG758" s="58">
        <f t="shared" si="180"/>
        <v>0</v>
      </c>
      <c r="AH758" s="47"/>
      <c r="AJ758" s="47"/>
      <c r="AL758" s="47"/>
      <c r="AM758" s="47" t="str">
        <f t="shared" si="181"/>
        <v/>
      </c>
    </row>
    <row r="759" spans="1:39" s="56" customFormat="1" ht="24.75" customHeight="1">
      <c r="A759" s="44"/>
      <c r="B759" s="45"/>
      <c r="C759" s="46">
        <f>IF(B759&lt;&gt;"",VLOOKUP(B759,'Tipo Projeto'!$A$3:$B$35,2,0),0)</f>
        <v>0</v>
      </c>
      <c r="D759" s="47"/>
      <c r="E759" s="47"/>
      <c r="F759" s="48"/>
      <c r="G759" s="47"/>
      <c r="H759" s="49"/>
      <c r="I759" s="50"/>
      <c r="J759" s="51"/>
      <c r="K759" s="52"/>
      <c r="L759" s="53" t="str">
        <f t="shared" si="169"/>
        <v/>
      </c>
      <c r="M759" s="48" t="str">
        <f t="shared" si="170"/>
        <v/>
      </c>
      <c r="N759" s="54" t="str">
        <f t="shared" si="171"/>
        <v/>
      </c>
      <c r="O759" s="55">
        <f t="shared" si="172"/>
        <v>0</v>
      </c>
      <c r="P759" s="55">
        <f t="shared" si="173"/>
        <v>0</v>
      </c>
      <c r="Q759" s="54">
        <f t="shared" si="174"/>
        <v>0</v>
      </c>
      <c r="R759" s="47"/>
      <c r="T759" s="57"/>
      <c r="U759" s="45"/>
      <c r="V759" s="46">
        <f>IF(U759&lt;&gt;"",VLOOKUP(U759,'Tipo Projeto'!$A$3:$B$35,2,0),0)</f>
        <v>0</v>
      </c>
      <c r="W759" s="47"/>
      <c r="X759" s="49"/>
      <c r="Y759" s="50"/>
      <c r="Z759" s="51"/>
      <c r="AA759" s="52"/>
      <c r="AB759" s="53" t="str">
        <f t="shared" si="175"/>
        <v/>
      </c>
      <c r="AC759" s="48" t="str">
        <f t="shared" si="176"/>
        <v/>
      </c>
      <c r="AD759" s="54" t="str">
        <f t="shared" si="177"/>
        <v/>
      </c>
      <c r="AE759" s="55">
        <f t="shared" si="178"/>
        <v>0</v>
      </c>
      <c r="AF759" s="55">
        <f t="shared" si="179"/>
        <v>0</v>
      </c>
      <c r="AG759" s="58">
        <f t="shared" si="180"/>
        <v>0</v>
      </c>
      <c r="AH759" s="47"/>
      <c r="AJ759" s="47"/>
      <c r="AL759" s="47"/>
      <c r="AM759" s="47" t="str">
        <f t="shared" si="181"/>
        <v/>
      </c>
    </row>
    <row r="760" spans="1:39" s="56" customFormat="1" ht="24.75" customHeight="1">
      <c r="A760" s="44"/>
      <c r="B760" s="45"/>
      <c r="C760" s="46">
        <f>IF(B760&lt;&gt;"",VLOOKUP(B760,'Tipo Projeto'!$A$3:$B$35,2,0),0)</f>
        <v>0</v>
      </c>
      <c r="D760" s="47"/>
      <c r="E760" s="47"/>
      <c r="F760" s="48"/>
      <c r="G760" s="47"/>
      <c r="H760" s="49"/>
      <c r="I760" s="50"/>
      <c r="J760" s="51"/>
      <c r="K760" s="52"/>
      <c r="L760" s="53" t="str">
        <f t="shared" si="169"/>
        <v/>
      </c>
      <c r="M760" s="48" t="str">
        <f t="shared" si="170"/>
        <v/>
      </c>
      <c r="N760" s="54" t="str">
        <f t="shared" si="171"/>
        <v/>
      </c>
      <c r="O760" s="55">
        <f t="shared" si="172"/>
        <v>0</v>
      </c>
      <c r="P760" s="55">
        <f t="shared" si="173"/>
        <v>0</v>
      </c>
      <c r="Q760" s="54">
        <f t="shared" si="174"/>
        <v>0</v>
      </c>
      <c r="R760" s="47"/>
      <c r="T760" s="57"/>
      <c r="U760" s="45"/>
      <c r="V760" s="46">
        <f>IF(U760&lt;&gt;"",VLOOKUP(U760,'Tipo Projeto'!$A$3:$B$35,2,0),0)</f>
        <v>0</v>
      </c>
      <c r="W760" s="47"/>
      <c r="X760" s="49"/>
      <c r="Y760" s="50"/>
      <c r="Z760" s="51"/>
      <c r="AA760" s="52"/>
      <c r="AB760" s="53" t="str">
        <f t="shared" si="175"/>
        <v/>
      </c>
      <c r="AC760" s="48" t="str">
        <f t="shared" si="176"/>
        <v/>
      </c>
      <c r="AD760" s="54" t="str">
        <f t="shared" si="177"/>
        <v/>
      </c>
      <c r="AE760" s="55">
        <f t="shared" si="178"/>
        <v>0</v>
      </c>
      <c r="AF760" s="55">
        <f t="shared" si="179"/>
        <v>0</v>
      </c>
      <c r="AG760" s="58">
        <f t="shared" si="180"/>
        <v>0</v>
      </c>
      <c r="AH760" s="47"/>
      <c r="AJ760" s="47"/>
      <c r="AL760" s="47"/>
      <c r="AM760" s="47" t="str">
        <f t="shared" si="181"/>
        <v/>
      </c>
    </row>
    <row r="761" spans="1:39" s="56" customFormat="1" ht="24.75" customHeight="1">
      <c r="A761" s="44"/>
      <c r="B761" s="45"/>
      <c r="C761" s="46">
        <f>IF(B761&lt;&gt;"",VLOOKUP(B761,'Tipo Projeto'!$A$3:$B$35,2,0),0)</f>
        <v>0</v>
      </c>
      <c r="D761" s="47"/>
      <c r="E761" s="47"/>
      <c r="F761" s="48"/>
      <c r="G761" s="47"/>
      <c r="H761" s="49"/>
      <c r="I761" s="50"/>
      <c r="J761" s="51"/>
      <c r="K761" s="52"/>
      <c r="L761" s="53" t="str">
        <f t="shared" si="169"/>
        <v/>
      </c>
      <c r="M761" s="48" t="str">
        <f t="shared" si="170"/>
        <v/>
      </c>
      <c r="N761" s="54" t="str">
        <f t="shared" si="171"/>
        <v/>
      </c>
      <c r="O761" s="55">
        <f t="shared" si="172"/>
        <v>0</v>
      </c>
      <c r="P761" s="55">
        <f t="shared" si="173"/>
        <v>0</v>
      </c>
      <c r="Q761" s="54">
        <f t="shared" si="174"/>
        <v>0</v>
      </c>
      <c r="R761" s="47"/>
      <c r="T761" s="57"/>
      <c r="U761" s="45"/>
      <c r="V761" s="46">
        <f>IF(U761&lt;&gt;"",VLOOKUP(U761,'Tipo Projeto'!$A$3:$B$35,2,0),0)</f>
        <v>0</v>
      </c>
      <c r="W761" s="47"/>
      <c r="X761" s="49"/>
      <c r="Y761" s="50"/>
      <c r="Z761" s="51"/>
      <c r="AA761" s="52"/>
      <c r="AB761" s="53" t="str">
        <f t="shared" si="175"/>
        <v/>
      </c>
      <c r="AC761" s="48" t="str">
        <f t="shared" si="176"/>
        <v/>
      </c>
      <c r="AD761" s="54" t="str">
        <f t="shared" si="177"/>
        <v/>
      </c>
      <c r="AE761" s="55">
        <f t="shared" si="178"/>
        <v>0</v>
      </c>
      <c r="AF761" s="55">
        <f t="shared" si="179"/>
        <v>0</v>
      </c>
      <c r="AG761" s="58">
        <f t="shared" si="180"/>
        <v>0</v>
      </c>
      <c r="AH761" s="47"/>
      <c r="AJ761" s="47"/>
      <c r="AL761" s="47"/>
      <c r="AM761" s="47" t="str">
        <f t="shared" si="181"/>
        <v/>
      </c>
    </row>
    <row r="762" spans="1:39" s="56" customFormat="1" ht="24.75" customHeight="1">
      <c r="A762" s="44"/>
      <c r="B762" s="45"/>
      <c r="C762" s="46">
        <f>IF(B762&lt;&gt;"",VLOOKUP(B762,'Tipo Projeto'!$A$3:$B$35,2,0),0)</f>
        <v>0</v>
      </c>
      <c r="D762" s="47"/>
      <c r="E762" s="47"/>
      <c r="F762" s="48"/>
      <c r="G762" s="47"/>
      <c r="H762" s="49"/>
      <c r="I762" s="50"/>
      <c r="J762" s="51"/>
      <c r="K762" s="52"/>
      <c r="L762" s="53" t="str">
        <f t="shared" si="169"/>
        <v/>
      </c>
      <c r="M762" s="48" t="str">
        <f t="shared" si="170"/>
        <v/>
      </c>
      <c r="N762" s="54" t="str">
        <f t="shared" si="171"/>
        <v/>
      </c>
      <c r="O762" s="55">
        <f t="shared" si="172"/>
        <v>0</v>
      </c>
      <c r="P762" s="55">
        <f t="shared" si="173"/>
        <v>0</v>
      </c>
      <c r="Q762" s="54">
        <f t="shared" si="174"/>
        <v>0</v>
      </c>
      <c r="R762" s="47"/>
      <c r="T762" s="57"/>
      <c r="U762" s="45"/>
      <c r="V762" s="46">
        <f>IF(U762&lt;&gt;"",VLOOKUP(U762,'Tipo Projeto'!$A$3:$B$35,2,0),0)</f>
        <v>0</v>
      </c>
      <c r="W762" s="47"/>
      <c r="X762" s="49"/>
      <c r="Y762" s="50"/>
      <c r="Z762" s="51"/>
      <c r="AA762" s="52"/>
      <c r="AB762" s="53" t="str">
        <f t="shared" si="175"/>
        <v/>
      </c>
      <c r="AC762" s="48" t="str">
        <f t="shared" si="176"/>
        <v/>
      </c>
      <c r="AD762" s="54" t="str">
        <f t="shared" si="177"/>
        <v/>
      </c>
      <c r="AE762" s="55">
        <f t="shared" si="178"/>
        <v>0</v>
      </c>
      <c r="AF762" s="55">
        <f t="shared" si="179"/>
        <v>0</v>
      </c>
      <c r="AG762" s="58">
        <f t="shared" si="180"/>
        <v>0</v>
      </c>
      <c r="AH762" s="47"/>
      <c r="AJ762" s="47"/>
      <c r="AL762" s="47"/>
      <c r="AM762" s="47" t="str">
        <f t="shared" si="181"/>
        <v/>
      </c>
    </row>
    <row r="763" spans="1:39" s="56" customFormat="1" ht="24.75" customHeight="1">
      <c r="A763" s="44"/>
      <c r="B763" s="45"/>
      <c r="C763" s="46">
        <f>IF(B763&lt;&gt;"",VLOOKUP(B763,'Tipo Projeto'!$A$3:$B$35,2,0),0)</f>
        <v>0</v>
      </c>
      <c r="D763" s="47"/>
      <c r="E763" s="47"/>
      <c r="F763" s="48"/>
      <c r="G763" s="47"/>
      <c r="H763" s="49"/>
      <c r="I763" s="50"/>
      <c r="J763" s="51"/>
      <c r="K763" s="52"/>
      <c r="L763" s="53" t="str">
        <f t="shared" si="169"/>
        <v/>
      </c>
      <c r="M763" s="48" t="str">
        <f t="shared" si="170"/>
        <v/>
      </c>
      <c r="N763" s="54" t="str">
        <f t="shared" si="171"/>
        <v/>
      </c>
      <c r="O763" s="55">
        <f t="shared" si="172"/>
        <v>0</v>
      </c>
      <c r="P763" s="55">
        <f t="shared" si="173"/>
        <v>0</v>
      </c>
      <c r="Q763" s="54">
        <f t="shared" si="174"/>
        <v>0</v>
      </c>
      <c r="R763" s="47"/>
      <c r="T763" s="57"/>
      <c r="U763" s="45"/>
      <c r="V763" s="46">
        <f>IF(U763&lt;&gt;"",VLOOKUP(U763,'Tipo Projeto'!$A$3:$B$35,2,0),0)</f>
        <v>0</v>
      </c>
      <c r="W763" s="47"/>
      <c r="X763" s="49"/>
      <c r="Y763" s="50"/>
      <c r="Z763" s="51"/>
      <c r="AA763" s="52"/>
      <c r="AB763" s="53" t="str">
        <f t="shared" si="175"/>
        <v/>
      </c>
      <c r="AC763" s="48" t="str">
        <f t="shared" si="176"/>
        <v/>
      </c>
      <c r="AD763" s="54" t="str">
        <f t="shared" si="177"/>
        <v/>
      </c>
      <c r="AE763" s="55">
        <f t="shared" si="178"/>
        <v>0</v>
      </c>
      <c r="AF763" s="55">
        <f t="shared" si="179"/>
        <v>0</v>
      </c>
      <c r="AG763" s="58">
        <f t="shared" si="180"/>
        <v>0</v>
      </c>
      <c r="AH763" s="47"/>
      <c r="AJ763" s="47"/>
      <c r="AL763" s="47"/>
      <c r="AM763" s="47" t="str">
        <f t="shared" si="181"/>
        <v/>
      </c>
    </row>
    <row r="764" spans="1:39" s="56" customFormat="1" ht="24.75" customHeight="1">
      <c r="A764" s="44"/>
      <c r="B764" s="45"/>
      <c r="C764" s="46">
        <f>IF(B764&lt;&gt;"",VLOOKUP(B764,'Tipo Projeto'!$A$3:$B$35,2,0),0)</f>
        <v>0</v>
      </c>
      <c r="D764" s="47"/>
      <c r="E764" s="47"/>
      <c r="F764" s="48"/>
      <c r="G764" s="47"/>
      <c r="H764" s="49"/>
      <c r="I764" s="50"/>
      <c r="J764" s="51"/>
      <c r="K764" s="52"/>
      <c r="L764" s="53" t="str">
        <f t="shared" si="169"/>
        <v/>
      </c>
      <c r="M764" s="48" t="str">
        <f t="shared" si="170"/>
        <v/>
      </c>
      <c r="N764" s="54" t="str">
        <f t="shared" si="171"/>
        <v/>
      </c>
      <c r="O764" s="55">
        <f t="shared" si="172"/>
        <v>0</v>
      </c>
      <c r="P764" s="55">
        <f t="shared" si="173"/>
        <v>0</v>
      </c>
      <c r="Q764" s="54">
        <f t="shared" si="174"/>
        <v>0</v>
      </c>
      <c r="R764" s="47"/>
      <c r="T764" s="57"/>
      <c r="U764" s="45"/>
      <c r="V764" s="46">
        <f>IF(U764&lt;&gt;"",VLOOKUP(U764,'Tipo Projeto'!$A$3:$B$35,2,0),0)</f>
        <v>0</v>
      </c>
      <c r="W764" s="47"/>
      <c r="X764" s="49"/>
      <c r="Y764" s="50"/>
      <c r="Z764" s="51"/>
      <c r="AA764" s="52"/>
      <c r="AB764" s="53" t="str">
        <f t="shared" si="175"/>
        <v/>
      </c>
      <c r="AC764" s="48" t="str">
        <f t="shared" si="176"/>
        <v/>
      </c>
      <c r="AD764" s="54" t="str">
        <f t="shared" si="177"/>
        <v/>
      </c>
      <c r="AE764" s="55">
        <f t="shared" si="178"/>
        <v>0</v>
      </c>
      <c r="AF764" s="55">
        <f t="shared" si="179"/>
        <v>0</v>
      </c>
      <c r="AG764" s="58">
        <f t="shared" si="180"/>
        <v>0</v>
      </c>
      <c r="AH764" s="47"/>
      <c r="AJ764" s="47"/>
      <c r="AL764" s="47"/>
      <c r="AM764" s="47" t="str">
        <f t="shared" si="181"/>
        <v/>
      </c>
    </row>
    <row r="765" spans="1:39" s="56" customFormat="1" ht="24.75" customHeight="1">
      <c r="A765" s="44"/>
      <c r="B765" s="45"/>
      <c r="C765" s="46">
        <f>IF(B765&lt;&gt;"",VLOOKUP(B765,'Tipo Projeto'!$A$3:$B$35,2,0),0)</f>
        <v>0</v>
      </c>
      <c r="D765" s="47"/>
      <c r="E765" s="47"/>
      <c r="F765" s="48"/>
      <c r="G765" s="47"/>
      <c r="H765" s="49"/>
      <c r="I765" s="50"/>
      <c r="J765" s="51"/>
      <c r="K765" s="52"/>
      <c r="L765" s="53" t="str">
        <f t="shared" si="169"/>
        <v/>
      </c>
      <c r="M765" s="48" t="str">
        <f t="shared" si="170"/>
        <v/>
      </c>
      <c r="N765" s="54" t="str">
        <f t="shared" si="171"/>
        <v/>
      </c>
      <c r="O765" s="55">
        <f t="shared" si="172"/>
        <v>0</v>
      </c>
      <c r="P765" s="55">
        <f t="shared" si="173"/>
        <v>0</v>
      </c>
      <c r="Q765" s="54">
        <f t="shared" si="174"/>
        <v>0</v>
      </c>
      <c r="R765" s="47"/>
      <c r="T765" s="57"/>
      <c r="U765" s="45"/>
      <c r="V765" s="46">
        <f>IF(U765&lt;&gt;"",VLOOKUP(U765,'Tipo Projeto'!$A$3:$B$35,2,0),0)</f>
        <v>0</v>
      </c>
      <c r="W765" s="47"/>
      <c r="X765" s="49"/>
      <c r="Y765" s="50"/>
      <c r="Z765" s="51"/>
      <c r="AA765" s="52"/>
      <c r="AB765" s="53" t="str">
        <f t="shared" si="175"/>
        <v/>
      </c>
      <c r="AC765" s="48" t="str">
        <f t="shared" si="176"/>
        <v/>
      </c>
      <c r="AD765" s="54" t="str">
        <f t="shared" si="177"/>
        <v/>
      </c>
      <c r="AE765" s="55">
        <f t="shared" si="178"/>
        <v>0</v>
      </c>
      <c r="AF765" s="55">
        <f t="shared" si="179"/>
        <v>0</v>
      </c>
      <c r="AG765" s="58">
        <f t="shared" si="180"/>
        <v>0</v>
      </c>
      <c r="AH765" s="47"/>
      <c r="AJ765" s="47"/>
      <c r="AL765" s="47"/>
      <c r="AM765" s="47" t="str">
        <f t="shared" si="181"/>
        <v/>
      </c>
    </row>
    <row r="766" spans="1:39" s="56" customFormat="1" ht="24.75" customHeight="1">
      <c r="A766" s="44"/>
      <c r="B766" s="45"/>
      <c r="C766" s="46">
        <f>IF(B766&lt;&gt;"",VLOOKUP(B766,'Tipo Projeto'!$A$3:$B$35,2,0),0)</f>
        <v>0</v>
      </c>
      <c r="D766" s="47"/>
      <c r="E766" s="47"/>
      <c r="F766" s="48"/>
      <c r="G766" s="47"/>
      <c r="H766" s="49"/>
      <c r="I766" s="50"/>
      <c r="J766" s="51"/>
      <c r="K766" s="52"/>
      <c r="L766" s="53" t="str">
        <f t="shared" si="169"/>
        <v/>
      </c>
      <c r="M766" s="48" t="str">
        <f t="shared" si="170"/>
        <v/>
      </c>
      <c r="N766" s="54" t="str">
        <f t="shared" si="171"/>
        <v/>
      </c>
      <c r="O766" s="55">
        <f t="shared" si="172"/>
        <v>0</v>
      </c>
      <c r="P766" s="55">
        <f t="shared" si="173"/>
        <v>0</v>
      </c>
      <c r="Q766" s="54">
        <f t="shared" si="174"/>
        <v>0</v>
      </c>
      <c r="R766" s="47"/>
      <c r="T766" s="57"/>
      <c r="U766" s="45"/>
      <c r="V766" s="46">
        <f>IF(U766&lt;&gt;"",VLOOKUP(U766,'Tipo Projeto'!$A$3:$B$35,2,0),0)</f>
        <v>0</v>
      </c>
      <c r="W766" s="47"/>
      <c r="X766" s="49"/>
      <c r="Y766" s="50"/>
      <c r="Z766" s="51"/>
      <c r="AA766" s="52"/>
      <c r="AB766" s="53" t="str">
        <f t="shared" si="175"/>
        <v/>
      </c>
      <c r="AC766" s="48" t="str">
        <f t="shared" si="176"/>
        <v/>
      </c>
      <c r="AD766" s="54" t="str">
        <f t="shared" si="177"/>
        <v/>
      </c>
      <c r="AE766" s="55">
        <f t="shared" si="178"/>
        <v>0</v>
      </c>
      <c r="AF766" s="55">
        <f t="shared" si="179"/>
        <v>0</v>
      </c>
      <c r="AG766" s="58">
        <f t="shared" si="180"/>
        <v>0</v>
      </c>
      <c r="AH766" s="47"/>
      <c r="AJ766" s="47"/>
      <c r="AL766" s="47"/>
      <c r="AM766" s="47" t="str">
        <f t="shared" si="181"/>
        <v/>
      </c>
    </row>
    <row r="767" spans="1:39" s="56" customFormat="1" ht="24.75" customHeight="1">
      <c r="A767" s="44"/>
      <c r="B767" s="45"/>
      <c r="C767" s="46">
        <f>IF(B767&lt;&gt;"",VLOOKUP(B767,'Tipo Projeto'!$A$3:$B$35,2,0),0)</f>
        <v>0</v>
      </c>
      <c r="D767" s="47"/>
      <c r="E767" s="47"/>
      <c r="F767" s="48"/>
      <c r="G767" s="47"/>
      <c r="H767" s="49"/>
      <c r="I767" s="50"/>
      <c r="J767" s="51"/>
      <c r="K767" s="52"/>
      <c r="L767" s="53" t="str">
        <f t="shared" si="169"/>
        <v/>
      </c>
      <c r="M767" s="48" t="str">
        <f t="shared" si="170"/>
        <v/>
      </c>
      <c r="N767" s="54" t="str">
        <f t="shared" si="171"/>
        <v/>
      </c>
      <c r="O767" s="55">
        <f t="shared" si="172"/>
        <v>0</v>
      </c>
      <c r="P767" s="55">
        <f t="shared" si="173"/>
        <v>0</v>
      </c>
      <c r="Q767" s="54">
        <f t="shared" si="174"/>
        <v>0</v>
      </c>
      <c r="R767" s="47"/>
      <c r="T767" s="57"/>
      <c r="U767" s="45"/>
      <c r="V767" s="46">
        <f>IF(U767&lt;&gt;"",VLOOKUP(U767,'Tipo Projeto'!$A$3:$B$35,2,0),0)</f>
        <v>0</v>
      </c>
      <c r="W767" s="47"/>
      <c r="X767" s="49"/>
      <c r="Y767" s="50"/>
      <c r="Z767" s="51"/>
      <c r="AA767" s="52"/>
      <c r="AB767" s="53" t="str">
        <f t="shared" si="175"/>
        <v/>
      </c>
      <c r="AC767" s="48" t="str">
        <f t="shared" si="176"/>
        <v/>
      </c>
      <c r="AD767" s="54" t="str">
        <f t="shared" si="177"/>
        <v/>
      </c>
      <c r="AE767" s="55">
        <f t="shared" si="178"/>
        <v>0</v>
      </c>
      <c r="AF767" s="55">
        <f t="shared" si="179"/>
        <v>0</v>
      </c>
      <c r="AG767" s="58">
        <f t="shared" si="180"/>
        <v>0</v>
      </c>
      <c r="AH767" s="47"/>
      <c r="AJ767" s="47"/>
      <c r="AL767" s="47"/>
      <c r="AM767" s="47" t="str">
        <f t="shared" si="181"/>
        <v/>
      </c>
    </row>
    <row r="768" spans="1:39" s="56" customFormat="1" ht="24.75" customHeight="1">
      <c r="A768" s="44"/>
      <c r="B768" s="45"/>
      <c r="C768" s="46">
        <f>IF(B768&lt;&gt;"",VLOOKUP(B768,'Tipo Projeto'!$A$3:$B$35,2,0),0)</f>
        <v>0</v>
      </c>
      <c r="D768" s="47"/>
      <c r="E768" s="47"/>
      <c r="F768" s="48"/>
      <c r="G768" s="47"/>
      <c r="H768" s="49"/>
      <c r="I768" s="50"/>
      <c r="J768" s="51"/>
      <c r="K768" s="52"/>
      <c r="L768" s="53" t="str">
        <f t="shared" si="169"/>
        <v/>
      </c>
      <c r="M768" s="48" t="str">
        <f t="shared" si="170"/>
        <v/>
      </c>
      <c r="N768" s="54" t="str">
        <f t="shared" si="171"/>
        <v/>
      </c>
      <c r="O768" s="55">
        <f t="shared" si="172"/>
        <v>0</v>
      </c>
      <c r="P768" s="55">
        <f t="shared" si="173"/>
        <v>0</v>
      </c>
      <c r="Q768" s="54">
        <f t="shared" si="174"/>
        <v>0</v>
      </c>
      <c r="R768" s="47"/>
      <c r="T768" s="57"/>
      <c r="U768" s="45"/>
      <c r="V768" s="46">
        <f>IF(U768&lt;&gt;"",VLOOKUP(U768,'Tipo Projeto'!$A$3:$B$35,2,0),0)</f>
        <v>0</v>
      </c>
      <c r="W768" s="47"/>
      <c r="X768" s="49"/>
      <c r="Y768" s="50"/>
      <c r="Z768" s="51"/>
      <c r="AA768" s="52"/>
      <c r="AB768" s="53" t="str">
        <f t="shared" si="175"/>
        <v/>
      </c>
      <c r="AC768" s="48" t="str">
        <f t="shared" si="176"/>
        <v/>
      </c>
      <c r="AD768" s="54" t="str">
        <f t="shared" si="177"/>
        <v/>
      </c>
      <c r="AE768" s="55">
        <f t="shared" si="178"/>
        <v>0</v>
      </c>
      <c r="AF768" s="55">
        <f t="shared" si="179"/>
        <v>0</v>
      </c>
      <c r="AG768" s="58">
        <f t="shared" si="180"/>
        <v>0</v>
      </c>
      <c r="AH768" s="47"/>
      <c r="AJ768" s="47"/>
      <c r="AL768" s="47"/>
      <c r="AM768" s="47" t="str">
        <f t="shared" si="181"/>
        <v/>
      </c>
    </row>
    <row r="769" spans="1:39" s="56" customFormat="1" ht="24.75" customHeight="1">
      <c r="A769" s="44"/>
      <c r="B769" s="45"/>
      <c r="C769" s="46">
        <f>IF(B769&lt;&gt;"",VLOOKUP(B769,'Tipo Projeto'!$A$3:$B$35,2,0),0)</f>
        <v>0</v>
      </c>
      <c r="D769" s="47"/>
      <c r="E769" s="47"/>
      <c r="F769" s="48"/>
      <c r="G769" s="47"/>
      <c r="H769" s="49"/>
      <c r="I769" s="50"/>
      <c r="J769" s="51"/>
      <c r="K769" s="52"/>
      <c r="L769" s="53" t="str">
        <f t="shared" si="169"/>
        <v/>
      </c>
      <c r="M769" s="48" t="str">
        <f t="shared" si="170"/>
        <v/>
      </c>
      <c r="N769" s="54" t="str">
        <f t="shared" si="171"/>
        <v/>
      </c>
      <c r="O769" s="55">
        <f t="shared" si="172"/>
        <v>0</v>
      </c>
      <c r="P769" s="55">
        <f t="shared" si="173"/>
        <v>0</v>
      </c>
      <c r="Q769" s="54">
        <f t="shared" si="174"/>
        <v>0</v>
      </c>
      <c r="R769" s="47"/>
      <c r="T769" s="57"/>
      <c r="U769" s="45"/>
      <c r="V769" s="46">
        <f>IF(U769&lt;&gt;"",VLOOKUP(U769,'Tipo Projeto'!$A$3:$B$35,2,0),0)</f>
        <v>0</v>
      </c>
      <c r="W769" s="47"/>
      <c r="X769" s="49"/>
      <c r="Y769" s="50"/>
      <c r="Z769" s="51"/>
      <c r="AA769" s="52"/>
      <c r="AB769" s="53" t="str">
        <f t="shared" si="175"/>
        <v/>
      </c>
      <c r="AC769" s="48" t="str">
        <f t="shared" si="176"/>
        <v/>
      </c>
      <c r="AD769" s="54" t="str">
        <f t="shared" si="177"/>
        <v/>
      </c>
      <c r="AE769" s="55">
        <f t="shared" si="178"/>
        <v>0</v>
      </c>
      <c r="AF769" s="55">
        <f t="shared" si="179"/>
        <v>0</v>
      </c>
      <c r="AG769" s="58">
        <f t="shared" si="180"/>
        <v>0</v>
      </c>
      <c r="AH769" s="47"/>
      <c r="AJ769" s="47"/>
      <c r="AL769" s="47"/>
      <c r="AM769" s="47" t="str">
        <f t="shared" si="181"/>
        <v/>
      </c>
    </row>
    <row r="770" spans="1:39" s="56" customFormat="1" ht="24.75" customHeight="1">
      <c r="A770" s="44"/>
      <c r="B770" s="45"/>
      <c r="C770" s="46">
        <f>IF(B770&lt;&gt;"",VLOOKUP(B770,'Tipo Projeto'!$A$3:$B$35,2,0),0)</f>
        <v>0</v>
      </c>
      <c r="D770" s="47"/>
      <c r="E770" s="47"/>
      <c r="F770" s="48"/>
      <c r="G770" s="47"/>
      <c r="H770" s="49"/>
      <c r="I770" s="50"/>
      <c r="J770" s="51"/>
      <c r="K770" s="52"/>
      <c r="L770" s="53" t="str">
        <f t="shared" si="169"/>
        <v/>
      </c>
      <c r="M770" s="48" t="str">
        <f t="shared" si="170"/>
        <v/>
      </c>
      <c r="N770" s="54" t="str">
        <f t="shared" si="171"/>
        <v/>
      </c>
      <c r="O770" s="55">
        <f t="shared" si="172"/>
        <v>0</v>
      </c>
      <c r="P770" s="55">
        <f t="shared" si="173"/>
        <v>0</v>
      </c>
      <c r="Q770" s="54">
        <f t="shared" si="174"/>
        <v>0</v>
      </c>
      <c r="R770" s="47"/>
      <c r="T770" s="57"/>
      <c r="U770" s="45"/>
      <c r="V770" s="46">
        <f>IF(U770&lt;&gt;"",VLOOKUP(U770,'Tipo Projeto'!$A$3:$B$35,2,0),0)</f>
        <v>0</v>
      </c>
      <c r="W770" s="47"/>
      <c r="X770" s="49"/>
      <c r="Y770" s="50"/>
      <c r="Z770" s="51"/>
      <c r="AA770" s="52"/>
      <c r="AB770" s="53" t="str">
        <f t="shared" si="175"/>
        <v/>
      </c>
      <c r="AC770" s="48" t="str">
        <f t="shared" si="176"/>
        <v/>
      </c>
      <c r="AD770" s="54" t="str">
        <f t="shared" si="177"/>
        <v/>
      </c>
      <c r="AE770" s="55">
        <f t="shared" si="178"/>
        <v>0</v>
      </c>
      <c r="AF770" s="55">
        <f t="shared" si="179"/>
        <v>0</v>
      </c>
      <c r="AG770" s="58">
        <f t="shared" si="180"/>
        <v>0</v>
      </c>
      <c r="AH770" s="47"/>
      <c r="AJ770" s="47"/>
      <c r="AL770" s="47"/>
      <c r="AM770" s="47" t="str">
        <f t="shared" si="181"/>
        <v/>
      </c>
    </row>
    <row r="771" spans="1:39" s="56" customFormat="1" ht="24.75" customHeight="1">
      <c r="A771" s="44"/>
      <c r="B771" s="45"/>
      <c r="C771" s="46">
        <f>IF(B771&lt;&gt;"",VLOOKUP(B771,'Tipo Projeto'!$A$3:$B$35,2,0),0)</f>
        <v>0</v>
      </c>
      <c r="D771" s="47"/>
      <c r="E771" s="47"/>
      <c r="F771" s="48"/>
      <c r="G771" s="47"/>
      <c r="H771" s="49"/>
      <c r="I771" s="50"/>
      <c r="J771" s="51"/>
      <c r="K771" s="52"/>
      <c r="L771" s="53" t="str">
        <f t="shared" si="169"/>
        <v/>
      </c>
      <c r="M771" s="48" t="str">
        <f t="shared" si="170"/>
        <v/>
      </c>
      <c r="N771" s="54" t="str">
        <f t="shared" si="171"/>
        <v/>
      </c>
      <c r="O771" s="55">
        <f t="shared" si="172"/>
        <v>0</v>
      </c>
      <c r="P771" s="55">
        <f t="shared" si="173"/>
        <v>0</v>
      </c>
      <c r="Q771" s="54">
        <f t="shared" si="174"/>
        <v>0</v>
      </c>
      <c r="R771" s="47"/>
      <c r="T771" s="57"/>
      <c r="U771" s="45"/>
      <c r="V771" s="46">
        <f>IF(U771&lt;&gt;"",VLOOKUP(U771,'Tipo Projeto'!$A$3:$B$35,2,0),0)</f>
        <v>0</v>
      </c>
      <c r="W771" s="47"/>
      <c r="X771" s="49"/>
      <c r="Y771" s="50"/>
      <c r="Z771" s="51"/>
      <c r="AA771" s="52"/>
      <c r="AB771" s="53" t="str">
        <f t="shared" si="175"/>
        <v/>
      </c>
      <c r="AC771" s="48" t="str">
        <f t="shared" si="176"/>
        <v/>
      </c>
      <c r="AD771" s="54" t="str">
        <f t="shared" si="177"/>
        <v/>
      </c>
      <c r="AE771" s="55">
        <f t="shared" si="178"/>
        <v>0</v>
      </c>
      <c r="AF771" s="55">
        <f t="shared" si="179"/>
        <v>0</v>
      </c>
      <c r="AG771" s="58">
        <f t="shared" si="180"/>
        <v>0</v>
      </c>
      <c r="AH771" s="47"/>
      <c r="AJ771" s="47"/>
      <c r="AL771" s="47"/>
      <c r="AM771" s="47" t="str">
        <f t="shared" si="181"/>
        <v/>
      </c>
    </row>
    <row r="772" spans="1:39" s="56" customFormat="1" ht="24.75" customHeight="1">
      <c r="A772" s="44"/>
      <c r="B772" s="45"/>
      <c r="C772" s="46">
        <f>IF(B772&lt;&gt;"",VLOOKUP(B772,'Tipo Projeto'!$A$3:$B$35,2,0),0)</f>
        <v>0</v>
      </c>
      <c r="D772" s="47"/>
      <c r="E772" s="47"/>
      <c r="F772" s="48"/>
      <c r="G772" s="47"/>
      <c r="H772" s="49"/>
      <c r="I772" s="50"/>
      <c r="J772" s="51"/>
      <c r="K772" s="52"/>
      <c r="L772" s="53" t="str">
        <f t="shared" si="169"/>
        <v/>
      </c>
      <c r="M772" s="48" t="str">
        <f t="shared" si="170"/>
        <v/>
      </c>
      <c r="N772" s="54" t="str">
        <f t="shared" si="171"/>
        <v/>
      </c>
      <c r="O772" s="55">
        <f t="shared" si="172"/>
        <v>0</v>
      </c>
      <c r="P772" s="55">
        <f t="shared" si="173"/>
        <v>0</v>
      </c>
      <c r="Q772" s="54">
        <f t="shared" si="174"/>
        <v>0</v>
      </c>
      <c r="R772" s="47"/>
      <c r="T772" s="57"/>
      <c r="U772" s="45"/>
      <c r="V772" s="46">
        <f>IF(U772&lt;&gt;"",VLOOKUP(U772,'Tipo Projeto'!$A$3:$B$35,2,0),0)</f>
        <v>0</v>
      </c>
      <c r="W772" s="47"/>
      <c r="X772" s="49"/>
      <c r="Y772" s="50"/>
      <c r="Z772" s="51"/>
      <c r="AA772" s="52"/>
      <c r="AB772" s="53" t="str">
        <f t="shared" si="175"/>
        <v/>
      </c>
      <c r="AC772" s="48" t="str">
        <f t="shared" si="176"/>
        <v/>
      </c>
      <c r="AD772" s="54" t="str">
        <f t="shared" si="177"/>
        <v/>
      </c>
      <c r="AE772" s="55">
        <f t="shared" si="178"/>
        <v>0</v>
      </c>
      <c r="AF772" s="55">
        <f t="shared" si="179"/>
        <v>0</v>
      </c>
      <c r="AG772" s="58">
        <f t="shared" si="180"/>
        <v>0</v>
      </c>
      <c r="AH772" s="47"/>
      <c r="AJ772" s="47"/>
      <c r="AL772" s="47"/>
      <c r="AM772" s="47" t="str">
        <f t="shared" si="181"/>
        <v/>
      </c>
    </row>
    <row r="773" spans="1:39" s="56" customFormat="1" ht="24.75" customHeight="1">
      <c r="A773" s="44"/>
      <c r="B773" s="45"/>
      <c r="C773" s="46">
        <f>IF(B773&lt;&gt;"",VLOOKUP(B773,'Tipo Projeto'!$A$3:$B$35,2,0),0)</f>
        <v>0</v>
      </c>
      <c r="D773" s="47"/>
      <c r="E773" s="47"/>
      <c r="F773" s="48"/>
      <c r="G773" s="47"/>
      <c r="H773" s="49"/>
      <c r="I773" s="50"/>
      <c r="J773" s="51"/>
      <c r="K773" s="52"/>
      <c r="L773" s="53" t="str">
        <f t="shared" si="169"/>
        <v/>
      </c>
      <c r="M773" s="48" t="str">
        <f t="shared" si="170"/>
        <v/>
      </c>
      <c r="N773" s="54" t="str">
        <f t="shared" si="171"/>
        <v/>
      </c>
      <c r="O773" s="55">
        <f t="shared" si="172"/>
        <v>0</v>
      </c>
      <c r="P773" s="55">
        <f t="shared" si="173"/>
        <v>0</v>
      </c>
      <c r="Q773" s="54">
        <f t="shared" si="174"/>
        <v>0</v>
      </c>
      <c r="R773" s="47"/>
      <c r="T773" s="57"/>
      <c r="U773" s="45"/>
      <c r="V773" s="46">
        <f>IF(U773&lt;&gt;"",VLOOKUP(U773,'Tipo Projeto'!$A$3:$B$35,2,0),0)</f>
        <v>0</v>
      </c>
      <c r="W773" s="47"/>
      <c r="X773" s="49"/>
      <c r="Y773" s="50"/>
      <c r="Z773" s="51"/>
      <c r="AA773" s="52"/>
      <c r="AB773" s="53" t="str">
        <f t="shared" si="175"/>
        <v/>
      </c>
      <c r="AC773" s="48" t="str">
        <f t="shared" si="176"/>
        <v/>
      </c>
      <c r="AD773" s="54" t="str">
        <f t="shared" si="177"/>
        <v/>
      </c>
      <c r="AE773" s="55">
        <f t="shared" si="178"/>
        <v>0</v>
      </c>
      <c r="AF773" s="55">
        <f t="shared" si="179"/>
        <v>0</v>
      </c>
      <c r="AG773" s="58">
        <f t="shared" si="180"/>
        <v>0</v>
      </c>
      <c r="AH773" s="47"/>
      <c r="AJ773" s="47"/>
      <c r="AL773" s="47"/>
      <c r="AM773" s="47" t="str">
        <f t="shared" si="181"/>
        <v/>
      </c>
    </row>
    <row r="774" spans="1:39" s="56" customFormat="1" ht="24.75" customHeight="1">
      <c r="A774" s="44"/>
      <c r="B774" s="45"/>
      <c r="C774" s="46">
        <f>IF(B774&lt;&gt;"",VLOOKUP(B774,'Tipo Projeto'!$A$3:$B$35,2,0),0)</f>
        <v>0</v>
      </c>
      <c r="D774" s="47"/>
      <c r="E774" s="47"/>
      <c r="F774" s="48"/>
      <c r="G774" s="47"/>
      <c r="H774" s="49"/>
      <c r="I774" s="50"/>
      <c r="J774" s="51"/>
      <c r="K774" s="52"/>
      <c r="L774" s="53" t="str">
        <f t="shared" si="169"/>
        <v/>
      </c>
      <c r="M774" s="48" t="str">
        <f t="shared" si="170"/>
        <v/>
      </c>
      <c r="N774" s="54" t="str">
        <f t="shared" si="171"/>
        <v/>
      </c>
      <c r="O774" s="55">
        <f t="shared" si="172"/>
        <v>0</v>
      </c>
      <c r="P774" s="55">
        <f t="shared" si="173"/>
        <v>0</v>
      </c>
      <c r="Q774" s="54">
        <f t="shared" si="174"/>
        <v>0</v>
      </c>
      <c r="R774" s="47"/>
      <c r="T774" s="57"/>
      <c r="U774" s="45"/>
      <c r="V774" s="46">
        <f>IF(U774&lt;&gt;"",VLOOKUP(U774,'Tipo Projeto'!$A$3:$B$35,2,0),0)</f>
        <v>0</v>
      </c>
      <c r="W774" s="47"/>
      <c r="X774" s="49"/>
      <c r="Y774" s="50"/>
      <c r="Z774" s="51"/>
      <c r="AA774" s="52"/>
      <c r="AB774" s="53" t="str">
        <f t="shared" si="175"/>
        <v/>
      </c>
      <c r="AC774" s="48" t="str">
        <f t="shared" si="176"/>
        <v/>
      </c>
      <c r="AD774" s="54" t="str">
        <f t="shared" si="177"/>
        <v/>
      </c>
      <c r="AE774" s="55">
        <f t="shared" si="178"/>
        <v>0</v>
      </c>
      <c r="AF774" s="55">
        <f t="shared" si="179"/>
        <v>0</v>
      </c>
      <c r="AG774" s="58">
        <f t="shared" si="180"/>
        <v>0</v>
      </c>
      <c r="AH774" s="47"/>
      <c r="AJ774" s="47"/>
      <c r="AL774" s="47"/>
      <c r="AM774" s="47" t="str">
        <f t="shared" si="181"/>
        <v/>
      </c>
    </row>
    <row r="775" spans="1:39" s="56" customFormat="1" ht="24.75" customHeight="1">
      <c r="A775" s="44"/>
      <c r="B775" s="45"/>
      <c r="C775" s="46">
        <f>IF(B775&lt;&gt;"",VLOOKUP(B775,'Tipo Projeto'!$A$3:$B$35,2,0),0)</f>
        <v>0</v>
      </c>
      <c r="D775" s="47"/>
      <c r="E775" s="47"/>
      <c r="F775" s="48"/>
      <c r="G775" s="47"/>
      <c r="H775" s="49"/>
      <c r="I775" s="50"/>
      <c r="J775" s="51"/>
      <c r="K775" s="52"/>
      <c r="L775" s="53" t="str">
        <f t="shared" si="169"/>
        <v/>
      </c>
      <c r="M775" s="48" t="str">
        <f t="shared" si="170"/>
        <v/>
      </c>
      <c r="N775" s="54" t="str">
        <f t="shared" si="171"/>
        <v/>
      </c>
      <c r="O775" s="55">
        <f t="shared" si="172"/>
        <v>0</v>
      </c>
      <c r="P775" s="55">
        <f t="shared" si="173"/>
        <v>0</v>
      </c>
      <c r="Q775" s="54">
        <f t="shared" si="174"/>
        <v>0</v>
      </c>
      <c r="R775" s="47"/>
      <c r="T775" s="57"/>
      <c r="U775" s="45"/>
      <c r="V775" s="46">
        <f>IF(U775&lt;&gt;"",VLOOKUP(U775,'Tipo Projeto'!$A$3:$B$35,2,0),0)</f>
        <v>0</v>
      </c>
      <c r="W775" s="47"/>
      <c r="X775" s="49"/>
      <c r="Y775" s="50"/>
      <c r="Z775" s="51"/>
      <c r="AA775" s="52"/>
      <c r="AB775" s="53" t="str">
        <f t="shared" si="175"/>
        <v/>
      </c>
      <c r="AC775" s="48" t="str">
        <f t="shared" si="176"/>
        <v/>
      </c>
      <c r="AD775" s="54" t="str">
        <f t="shared" si="177"/>
        <v/>
      </c>
      <c r="AE775" s="55">
        <f t="shared" si="178"/>
        <v>0</v>
      </c>
      <c r="AF775" s="55">
        <f t="shared" si="179"/>
        <v>0</v>
      </c>
      <c r="AG775" s="58">
        <f t="shared" si="180"/>
        <v>0</v>
      </c>
      <c r="AH775" s="47"/>
      <c r="AJ775" s="47"/>
      <c r="AL775" s="47"/>
      <c r="AM775" s="47" t="str">
        <f t="shared" si="181"/>
        <v/>
      </c>
    </row>
    <row r="776" spans="1:39" s="56" customFormat="1" ht="24.75" customHeight="1">
      <c r="A776" s="44"/>
      <c r="B776" s="45"/>
      <c r="C776" s="46">
        <f>IF(B776&lt;&gt;"",VLOOKUP(B776,'Tipo Projeto'!$A$3:$B$35,2,0),0)</f>
        <v>0</v>
      </c>
      <c r="D776" s="47"/>
      <c r="E776" s="47"/>
      <c r="F776" s="48"/>
      <c r="G776" s="47"/>
      <c r="H776" s="49"/>
      <c r="I776" s="50"/>
      <c r="J776" s="51"/>
      <c r="K776" s="52"/>
      <c r="L776" s="53" t="str">
        <f t="shared" si="169"/>
        <v/>
      </c>
      <c r="M776" s="48" t="str">
        <f t="shared" si="170"/>
        <v/>
      </c>
      <c r="N776" s="54" t="str">
        <f t="shared" si="171"/>
        <v/>
      </c>
      <c r="O776" s="55">
        <f t="shared" si="172"/>
        <v>0</v>
      </c>
      <c r="P776" s="55">
        <f t="shared" si="173"/>
        <v>0</v>
      </c>
      <c r="Q776" s="54">
        <f t="shared" si="174"/>
        <v>0</v>
      </c>
      <c r="R776" s="47"/>
      <c r="T776" s="57"/>
      <c r="U776" s="45"/>
      <c r="V776" s="46">
        <f>IF(U776&lt;&gt;"",VLOOKUP(U776,'Tipo Projeto'!$A$3:$B$35,2,0),0)</f>
        <v>0</v>
      </c>
      <c r="W776" s="47"/>
      <c r="X776" s="49"/>
      <c r="Y776" s="50"/>
      <c r="Z776" s="51"/>
      <c r="AA776" s="52"/>
      <c r="AB776" s="53" t="str">
        <f t="shared" si="175"/>
        <v/>
      </c>
      <c r="AC776" s="48" t="str">
        <f t="shared" si="176"/>
        <v/>
      </c>
      <c r="AD776" s="54" t="str">
        <f t="shared" si="177"/>
        <v/>
      </c>
      <c r="AE776" s="55">
        <f t="shared" si="178"/>
        <v>0</v>
      </c>
      <c r="AF776" s="55">
        <f t="shared" si="179"/>
        <v>0</v>
      </c>
      <c r="AG776" s="58">
        <f t="shared" si="180"/>
        <v>0</v>
      </c>
      <c r="AH776" s="47"/>
      <c r="AJ776" s="47"/>
      <c r="AL776" s="47"/>
      <c r="AM776" s="47" t="str">
        <f t="shared" si="181"/>
        <v/>
      </c>
    </row>
    <row r="777" spans="1:39" s="56" customFormat="1" ht="24.75" customHeight="1">
      <c r="A777" s="44"/>
      <c r="B777" s="45"/>
      <c r="C777" s="46">
        <f>IF(B777&lt;&gt;"",VLOOKUP(B777,'Tipo Projeto'!$A$3:$B$35,2,0),0)</f>
        <v>0</v>
      </c>
      <c r="D777" s="47"/>
      <c r="E777" s="47"/>
      <c r="F777" s="48"/>
      <c r="G777" s="47"/>
      <c r="H777" s="49"/>
      <c r="I777" s="50"/>
      <c r="J777" s="51"/>
      <c r="K777" s="52"/>
      <c r="L777" s="53" t="str">
        <f t="shared" si="169"/>
        <v/>
      </c>
      <c r="M777" s="48" t="str">
        <f t="shared" si="170"/>
        <v/>
      </c>
      <c r="N777" s="54" t="str">
        <f t="shared" si="171"/>
        <v/>
      </c>
      <c r="O777" s="55">
        <f t="shared" si="172"/>
        <v>0</v>
      </c>
      <c r="P777" s="55">
        <f t="shared" si="173"/>
        <v>0</v>
      </c>
      <c r="Q777" s="54">
        <f t="shared" si="174"/>
        <v>0</v>
      </c>
      <c r="R777" s="47"/>
      <c r="T777" s="57"/>
      <c r="U777" s="45"/>
      <c r="V777" s="46">
        <f>IF(U777&lt;&gt;"",VLOOKUP(U777,'Tipo Projeto'!$A$3:$B$35,2,0),0)</f>
        <v>0</v>
      </c>
      <c r="W777" s="47"/>
      <c r="X777" s="49"/>
      <c r="Y777" s="50"/>
      <c r="Z777" s="51"/>
      <c r="AA777" s="52"/>
      <c r="AB777" s="53" t="str">
        <f t="shared" si="175"/>
        <v/>
      </c>
      <c r="AC777" s="48" t="str">
        <f t="shared" si="176"/>
        <v/>
      </c>
      <c r="AD777" s="54" t="str">
        <f t="shared" si="177"/>
        <v/>
      </c>
      <c r="AE777" s="55">
        <f t="shared" si="178"/>
        <v>0</v>
      </c>
      <c r="AF777" s="55">
        <f t="shared" si="179"/>
        <v>0</v>
      </c>
      <c r="AG777" s="58">
        <f t="shared" si="180"/>
        <v>0</v>
      </c>
      <c r="AH777" s="47"/>
      <c r="AJ777" s="47"/>
      <c r="AL777" s="47"/>
      <c r="AM777" s="47" t="str">
        <f t="shared" si="181"/>
        <v/>
      </c>
    </row>
    <row r="778" spans="1:39" s="56" customFormat="1" ht="24.75" customHeight="1">
      <c r="A778" s="44"/>
      <c r="B778" s="45"/>
      <c r="C778" s="46">
        <f>IF(B778&lt;&gt;"",VLOOKUP(B778,'Tipo Projeto'!$A$3:$B$35,2,0),0)</f>
        <v>0</v>
      </c>
      <c r="D778" s="47"/>
      <c r="E778" s="47"/>
      <c r="F778" s="48"/>
      <c r="G778" s="47"/>
      <c r="H778" s="49"/>
      <c r="I778" s="50"/>
      <c r="J778" s="51"/>
      <c r="K778" s="52"/>
      <c r="L778" s="53" t="str">
        <f t="shared" si="169"/>
        <v/>
      </c>
      <c r="M778" s="48" t="str">
        <f t="shared" si="170"/>
        <v/>
      </c>
      <c r="N778" s="54" t="str">
        <f t="shared" si="171"/>
        <v/>
      </c>
      <c r="O778" s="55">
        <f t="shared" si="172"/>
        <v>0</v>
      </c>
      <c r="P778" s="55">
        <f t="shared" si="173"/>
        <v>0</v>
      </c>
      <c r="Q778" s="54">
        <f t="shared" si="174"/>
        <v>0</v>
      </c>
      <c r="R778" s="47"/>
      <c r="T778" s="57"/>
      <c r="U778" s="45"/>
      <c r="V778" s="46">
        <f>IF(U778&lt;&gt;"",VLOOKUP(U778,'Tipo Projeto'!$A$3:$B$35,2,0),0)</f>
        <v>0</v>
      </c>
      <c r="W778" s="47"/>
      <c r="X778" s="49"/>
      <c r="Y778" s="50"/>
      <c r="Z778" s="51"/>
      <c r="AA778" s="52"/>
      <c r="AB778" s="53" t="str">
        <f t="shared" si="175"/>
        <v/>
      </c>
      <c r="AC778" s="48" t="str">
        <f t="shared" si="176"/>
        <v/>
      </c>
      <c r="AD778" s="54" t="str">
        <f t="shared" si="177"/>
        <v/>
      </c>
      <c r="AE778" s="55">
        <f t="shared" si="178"/>
        <v>0</v>
      </c>
      <c r="AF778" s="55">
        <f t="shared" si="179"/>
        <v>0</v>
      </c>
      <c r="AG778" s="58">
        <f t="shared" si="180"/>
        <v>0</v>
      </c>
      <c r="AH778" s="47"/>
      <c r="AJ778" s="47"/>
      <c r="AL778" s="47"/>
      <c r="AM778" s="47" t="str">
        <f t="shared" si="181"/>
        <v/>
      </c>
    </row>
    <row r="779" spans="1:39" s="56" customFormat="1" ht="24.75" customHeight="1">
      <c r="A779" s="44"/>
      <c r="B779" s="45"/>
      <c r="C779" s="46">
        <f>IF(B779&lt;&gt;"",VLOOKUP(B779,'Tipo Projeto'!$A$3:$B$35,2,0),0)</f>
        <v>0</v>
      </c>
      <c r="D779" s="47"/>
      <c r="E779" s="47"/>
      <c r="F779" s="48"/>
      <c r="G779" s="47"/>
      <c r="H779" s="49"/>
      <c r="I779" s="50"/>
      <c r="J779" s="51"/>
      <c r="K779" s="52"/>
      <c r="L779" s="53" t="str">
        <f t="shared" si="169"/>
        <v/>
      </c>
      <c r="M779" s="48" t="str">
        <f t="shared" si="170"/>
        <v/>
      </c>
      <c r="N779" s="54" t="str">
        <f t="shared" si="171"/>
        <v/>
      </c>
      <c r="O779" s="55">
        <f t="shared" si="172"/>
        <v>0</v>
      </c>
      <c r="P779" s="55">
        <f t="shared" si="173"/>
        <v>0</v>
      </c>
      <c r="Q779" s="54">
        <f t="shared" si="174"/>
        <v>0</v>
      </c>
      <c r="R779" s="47"/>
      <c r="T779" s="57"/>
      <c r="U779" s="45"/>
      <c r="V779" s="46">
        <f>IF(U779&lt;&gt;"",VLOOKUP(U779,'Tipo Projeto'!$A$3:$B$35,2,0),0)</f>
        <v>0</v>
      </c>
      <c r="W779" s="47"/>
      <c r="X779" s="49"/>
      <c r="Y779" s="50"/>
      <c r="Z779" s="51"/>
      <c r="AA779" s="52"/>
      <c r="AB779" s="53" t="str">
        <f t="shared" si="175"/>
        <v/>
      </c>
      <c r="AC779" s="48" t="str">
        <f t="shared" si="176"/>
        <v/>
      </c>
      <c r="AD779" s="54" t="str">
        <f t="shared" si="177"/>
        <v/>
      </c>
      <c r="AE779" s="55">
        <f t="shared" si="178"/>
        <v>0</v>
      </c>
      <c r="AF779" s="55">
        <f t="shared" si="179"/>
        <v>0</v>
      </c>
      <c r="AG779" s="58">
        <f t="shared" si="180"/>
        <v>0</v>
      </c>
      <c r="AH779" s="47"/>
      <c r="AJ779" s="47"/>
      <c r="AL779" s="47"/>
      <c r="AM779" s="47" t="str">
        <f t="shared" si="181"/>
        <v/>
      </c>
    </row>
    <row r="780" spans="1:39" s="56" customFormat="1" ht="24.75" customHeight="1">
      <c r="A780" s="44"/>
      <c r="B780" s="45"/>
      <c r="C780" s="46">
        <f>IF(B780&lt;&gt;"",VLOOKUP(B780,'Tipo Projeto'!$A$3:$B$35,2,0),0)</f>
        <v>0</v>
      </c>
      <c r="D780" s="47"/>
      <c r="E780" s="47"/>
      <c r="F780" s="48"/>
      <c r="G780" s="47"/>
      <c r="H780" s="49"/>
      <c r="I780" s="50"/>
      <c r="J780" s="51"/>
      <c r="K780" s="52"/>
      <c r="L780" s="53" t="str">
        <f t="shared" si="169"/>
        <v/>
      </c>
      <c r="M780" s="48" t="str">
        <f t="shared" si="170"/>
        <v/>
      </c>
      <c r="N780" s="54" t="str">
        <f t="shared" si="171"/>
        <v/>
      </c>
      <c r="O780" s="55">
        <f t="shared" si="172"/>
        <v>0</v>
      </c>
      <c r="P780" s="55">
        <f t="shared" si="173"/>
        <v>0</v>
      </c>
      <c r="Q780" s="54">
        <f t="shared" si="174"/>
        <v>0</v>
      </c>
      <c r="R780" s="47"/>
      <c r="T780" s="57"/>
      <c r="U780" s="45"/>
      <c r="V780" s="46">
        <f>IF(U780&lt;&gt;"",VLOOKUP(U780,'Tipo Projeto'!$A$3:$B$35,2,0),0)</f>
        <v>0</v>
      </c>
      <c r="W780" s="47"/>
      <c r="X780" s="49"/>
      <c r="Y780" s="50"/>
      <c r="Z780" s="51"/>
      <c r="AA780" s="52"/>
      <c r="AB780" s="53" t="str">
        <f t="shared" si="175"/>
        <v/>
      </c>
      <c r="AC780" s="48" t="str">
        <f t="shared" si="176"/>
        <v/>
      </c>
      <c r="AD780" s="54" t="str">
        <f t="shared" si="177"/>
        <v/>
      </c>
      <c r="AE780" s="55">
        <f t="shared" si="178"/>
        <v>0</v>
      </c>
      <c r="AF780" s="55">
        <f t="shared" si="179"/>
        <v>0</v>
      </c>
      <c r="AG780" s="58">
        <f t="shared" si="180"/>
        <v>0</v>
      </c>
      <c r="AH780" s="47"/>
      <c r="AJ780" s="47"/>
      <c r="AL780" s="47"/>
      <c r="AM780" s="47" t="str">
        <f t="shared" si="181"/>
        <v/>
      </c>
    </row>
    <row r="781" spans="1:39" s="56" customFormat="1" ht="24.75" customHeight="1">
      <c r="A781" s="44"/>
      <c r="B781" s="45"/>
      <c r="C781" s="46">
        <f>IF(B781&lt;&gt;"",VLOOKUP(B781,'Tipo Projeto'!$A$3:$B$35,2,0),0)</f>
        <v>0</v>
      </c>
      <c r="D781" s="47"/>
      <c r="E781" s="47"/>
      <c r="F781" s="48"/>
      <c r="G781" s="47"/>
      <c r="H781" s="49"/>
      <c r="I781" s="50"/>
      <c r="J781" s="51"/>
      <c r="K781" s="52"/>
      <c r="L781" s="53" t="str">
        <f t="shared" si="169"/>
        <v/>
      </c>
      <c r="M781" s="48" t="str">
        <f t="shared" si="170"/>
        <v/>
      </c>
      <c r="N781" s="54" t="str">
        <f t="shared" si="171"/>
        <v/>
      </c>
      <c r="O781" s="55">
        <f t="shared" si="172"/>
        <v>0</v>
      </c>
      <c r="P781" s="55">
        <f t="shared" si="173"/>
        <v>0</v>
      </c>
      <c r="Q781" s="54">
        <f t="shared" si="174"/>
        <v>0</v>
      </c>
      <c r="R781" s="47"/>
      <c r="T781" s="57"/>
      <c r="U781" s="45"/>
      <c r="V781" s="46">
        <f>IF(U781&lt;&gt;"",VLOOKUP(U781,'Tipo Projeto'!$A$3:$B$35,2,0),0)</f>
        <v>0</v>
      </c>
      <c r="W781" s="47"/>
      <c r="X781" s="49"/>
      <c r="Y781" s="50"/>
      <c r="Z781" s="51"/>
      <c r="AA781" s="52"/>
      <c r="AB781" s="53" t="str">
        <f t="shared" si="175"/>
        <v/>
      </c>
      <c r="AC781" s="48" t="str">
        <f t="shared" si="176"/>
        <v/>
      </c>
      <c r="AD781" s="54" t="str">
        <f t="shared" si="177"/>
        <v/>
      </c>
      <c r="AE781" s="55">
        <f t="shared" si="178"/>
        <v>0</v>
      </c>
      <c r="AF781" s="55">
        <f t="shared" si="179"/>
        <v>0</v>
      </c>
      <c r="AG781" s="58">
        <f t="shared" si="180"/>
        <v>0</v>
      </c>
      <c r="AH781" s="47"/>
      <c r="AJ781" s="47"/>
      <c r="AL781" s="47"/>
      <c r="AM781" s="47" t="str">
        <f t="shared" si="181"/>
        <v/>
      </c>
    </row>
    <row r="782" spans="1:39" s="56" customFormat="1" ht="24.75" customHeight="1">
      <c r="A782" s="44"/>
      <c r="B782" s="45"/>
      <c r="C782" s="46">
        <f>IF(B782&lt;&gt;"",VLOOKUP(B782,'Tipo Projeto'!$A$3:$B$35,2,0),0)</f>
        <v>0</v>
      </c>
      <c r="D782" s="47"/>
      <c r="E782" s="47"/>
      <c r="F782" s="48"/>
      <c r="G782" s="47"/>
      <c r="H782" s="49"/>
      <c r="I782" s="50"/>
      <c r="J782" s="51"/>
      <c r="K782" s="52"/>
      <c r="L782" s="53" t="str">
        <f t="shared" si="169"/>
        <v/>
      </c>
      <c r="M782" s="48" t="str">
        <f t="shared" si="170"/>
        <v/>
      </c>
      <c r="N782" s="54" t="str">
        <f t="shared" si="171"/>
        <v/>
      </c>
      <c r="O782" s="55">
        <f t="shared" si="172"/>
        <v>0</v>
      </c>
      <c r="P782" s="55">
        <f t="shared" si="173"/>
        <v>0</v>
      </c>
      <c r="Q782" s="54">
        <f t="shared" si="174"/>
        <v>0</v>
      </c>
      <c r="R782" s="47"/>
      <c r="T782" s="57"/>
      <c r="U782" s="45"/>
      <c r="V782" s="46">
        <f>IF(U782&lt;&gt;"",VLOOKUP(U782,'Tipo Projeto'!$A$3:$B$35,2,0),0)</f>
        <v>0</v>
      </c>
      <c r="W782" s="47"/>
      <c r="X782" s="49"/>
      <c r="Y782" s="50"/>
      <c r="Z782" s="51"/>
      <c r="AA782" s="52"/>
      <c r="AB782" s="53" t="str">
        <f t="shared" si="175"/>
        <v/>
      </c>
      <c r="AC782" s="48" t="str">
        <f t="shared" si="176"/>
        <v/>
      </c>
      <c r="AD782" s="54" t="str">
        <f t="shared" si="177"/>
        <v/>
      </c>
      <c r="AE782" s="55">
        <f t="shared" si="178"/>
        <v>0</v>
      </c>
      <c r="AF782" s="55">
        <f t="shared" si="179"/>
        <v>0</v>
      </c>
      <c r="AG782" s="58">
        <f t="shared" si="180"/>
        <v>0</v>
      </c>
      <c r="AH782" s="47"/>
      <c r="AJ782" s="47"/>
      <c r="AL782" s="47"/>
      <c r="AM782" s="47" t="str">
        <f t="shared" si="181"/>
        <v/>
      </c>
    </row>
    <row r="783" spans="1:39" s="56" customFormat="1" ht="24.75" customHeight="1">
      <c r="A783" s="44"/>
      <c r="B783" s="45"/>
      <c r="C783" s="46">
        <f>IF(B783&lt;&gt;"",VLOOKUP(B783,'Tipo Projeto'!$A$3:$B$35,2,0),0)</f>
        <v>0</v>
      </c>
      <c r="D783" s="47"/>
      <c r="E783" s="47"/>
      <c r="F783" s="48"/>
      <c r="G783" s="47"/>
      <c r="H783" s="49"/>
      <c r="I783" s="50"/>
      <c r="J783" s="51"/>
      <c r="K783" s="52"/>
      <c r="L783" s="53" t="str">
        <f t="shared" si="169"/>
        <v/>
      </c>
      <c r="M783" s="48" t="str">
        <f t="shared" si="170"/>
        <v/>
      </c>
      <c r="N783" s="54" t="str">
        <f t="shared" si="171"/>
        <v/>
      </c>
      <c r="O783" s="55">
        <f t="shared" si="172"/>
        <v>0</v>
      </c>
      <c r="P783" s="55">
        <f t="shared" si="173"/>
        <v>0</v>
      </c>
      <c r="Q783" s="54">
        <f t="shared" si="174"/>
        <v>0</v>
      </c>
      <c r="R783" s="47"/>
      <c r="T783" s="57"/>
      <c r="U783" s="45"/>
      <c r="V783" s="46">
        <f>IF(U783&lt;&gt;"",VLOOKUP(U783,'Tipo Projeto'!$A$3:$B$35,2,0),0)</f>
        <v>0</v>
      </c>
      <c r="W783" s="47"/>
      <c r="X783" s="49"/>
      <c r="Y783" s="50"/>
      <c r="Z783" s="51"/>
      <c r="AA783" s="52"/>
      <c r="AB783" s="53" t="str">
        <f t="shared" si="175"/>
        <v/>
      </c>
      <c r="AC783" s="48" t="str">
        <f t="shared" si="176"/>
        <v/>
      </c>
      <c r="AD783" s="54" t="str">
        <f t="shared" si="177"/>
        <v/>
      </c>
      <c r="AE783" s="55">
        <f t="shared" si="178"/>
        <v>0</v>
      </c>
      <c r="AF783" s="55">
        <f t="shared" si="179"/>
        <v>0</v>
      </c>
      <c r="AG783" s="58">
        <f t="shared" si="180"/>
        <v>0</v>
      </c>
      <c r="AH783" s="47"/>
      <c r="AJ783" s="47"/>
      <c r="AL783" s="47"/>
      <c r="AM783" s="47" t="str">
        <f t="shared" si="181"/>
        <v/>
      </c>
    </row>
    <row r="784" spans="1:39" s="56" customFormat="1" ht="24.75" customHeight="1">
      <c r="A784" s="44"/>
      <c r="B784" s="45"/>
      <c r="C784" s="46">
        <f>IF(B784&lt;&gt;"",VLOOKUP(B784,'Tipo Projeto'!$A$3:$B$35,2,0),0)</f>
        <v>0</v>
      </c>
      <c r="D784" s="47"/>
      <c r="E784" s="47"/>
      <c r="F784" s="48"/>
      <c r="G784" s="47"/>
      <c r="H784" s="49"/>
      <c r="I784" s="50"/>
      <c r="J784" s="51"/>
      <c r="K784" s="52"/>
      <c r="L784" s="53" t="str">
        <f t="shared" si="169"/>
        <v/>
      </c>
      <c r="M784" s="48" t="str">
        <f t="shared" si="170"/>
        <v/>
      </c>
      <c r="N784" s="54" t="str">
        <f t="shared" si="171"/>
        <v/>
      </c>
      <c r="O784" s="55">
        <f t="shared" si="172"/>
        <v>0</v>
      </c>
      <c r="P784" s="55">
        <f t="shared" si="173"/>
        <v>0</v>
      </c>
      <c r="Q784" s="54">
        <f t="shared" si="174"/>
        <v>0</v>
      </c>
      <c r="R784" s="47"/>
      <c r="T784" s="57"/>
      <c r="U784" s="45"/>
      <c r="V784" s="46">
        <f>IF(U784&lt;&gt;"",VLOOKUP(U784,'Tipo Projeto'!$A$3:$B$35,2,0),0)</f>
        <v>0</v>
      </c>
      <c r="W784" s="47"/>
      <c r="X784" s="49"/>
      <c r="Y784" s="50"/>
      <c r="Z784" s="51"/>
      <c r="AA784" s="52"/>
      <c r="AB784" s="53" t="str">
        <f t="shared" si="175"/>
        <v/>
      </c>
      <c r="AC784" s="48" t="str">
        <f t="shared" si="176"/>
        <v/>
      </c>
      <c r="AD784" s="54" t="str">
        <f t="shared" si="177"/>
        <v/>
      </c>
      <c r="AE784" s="55">
        <f t="shared" si="178"/>
        <v>0</v>
      </c>
      <c r="AF784" s="55">
        <f t="shared" si="179"/>
        <v>0</v>
      </c>
      <c r="AG784" s="58">
        <f t="shared" si="180"/>
        <v>0</v>
      </c>
      <c r="AH784" s="47"/>
      <c r="AJ784" s="47"/>
      <c r="AL784" s="47"/>
      <c r="AM784" s="47" t="str">
        <f t="shared" si="181"/>
        <v/>
      </c>
    </row>
    <row r="785" spans="1:39" s="56" customFormat="1" ht="24.75" customHeight="1">
      <c r="A785" s="44"/>
      <c r="B785" s="45"/>
      <c r="C785" s="46">
        <f>IF(B785&lt;&gt;"",VLOOKUP(B785,'Tipo Projeto'!$A$3:$B$35,2,0),0)</f>
        <v>0</v>
      </c>
      <c r="D785" s="47"/>
      <c r="E785" s="47"/>
      <c r="F785" s="48"/>
      <c r="G785" s="47"/>
      <c r="H785" s="49"/>
      <c r="I785" s="50"/>
      <c r="J785" s="51"/>
      <c r="K785" s="52"/>
      <c r="L785" s="53" t="str">
        <f t="shared" si="169"/>
        <v/>
      </c>
      <c r="M785" s="48" t="str">
        <f t="shared" si="170"/>
        <v/>
      </c>
      <c r="N785" s="54" t="str">
        <f t="shared" si="171"/>
        <v/>
      </c>
      <c r="O785" s="55">
        <f t="shared" si="172"/>
        <v>0</v>
      </c>
      <c r="P785" s="55">
        <f t="shared" si="173"/>
        <v>0</v>
      </c>
      <c r="Q785" s="54">
        <f t="shared" si="174"/>
        <v>0</v>
      </c>
      <c r="R785" s="47"/>
      <c r="T785" s="57"/>
      <c r="U785" s="45"/>
      <c r="V785" s="46">
        <f>IF(U785&lt;&gt;"",VLOOKUP(U785,'Tipo Projeto'!$A$3:$B$35,2,0),0)</f>
        <v>0</v>
      </c>
      <c r="W785" s="47"/>
      <c r="X785" s="49"/>
      <c r="Y785" s="50"/>
      <c r="Z785" s="51"/>
      <c r="AA785" s="52"/>
      <c r="AB785" s="53" t="str">
        <f t="shared" si="175"/>
        <v/>
      </c>
      <c r="AC785" s="48" t="str">
        <f t="shared" si="176"/>
        <v/>
      </c>
      <c r="AD785" s="54" t="str">
        <f t="shared" si="177"/>
        <v/>
      </c>
      <c r="AE785" s="55">
        <f t="shared" si="178"/>
        <v>0</v>
      </c>
      <c r="AF785" s="55">
        <f t="shared" si="179"/>
        <v>0</v>
      </c>
      <c r="AG785" s="58">
        <f t="shared" si="180"/>
        <v>0</v>
      </c>
      <c r="AH785" s="47"/>
      <c r="AJ785" s="47"/>
      <c r="AL785" s="47"/>
      <c r="AM785" s="47" t="str">
        <f t="shared" si="181"/>
        <v/>
      </c>
    </row>
    <row r="786" spans="1:39" s="56" customFormat="1" ht="24.75" customHeight="1">
      <c r="A786" s="44"/>
      <c r="B786" s="45"/>
      <c r="C786" s="46">
        <f>IF(B786&lt;&gt;"",VLOOKUP(B786,'Tipo Projeto'!$A$3:$B$35,2,0),0)</f>
        <v>0</v>
      </c>
      <c r="D786" s="47"/>
      <c r="E786" s="47"/>
      <c r="F786" s="48"/>
      <c r="G786" s="47"/>
      <c r="H786" s="49"/>
      <c r="I786" s="50"/>
      <c r="J786" s="51"/>
      <c r="K786" s="52"/>
      <c r="L786" s="53" t="str">
        <f t="shared" si="169"/>
        <v/>
      </c>
      <c r="M786" s="48" t="str">
        <f t="shared" si="170"/>
        <v/>
      </c>
      <c r="N786" s="54" t="str">
        <f t="shared" si="171"/>
        <v/>
      </c>
      <c r="O786" s="55">
        <f t="shared" si="172"/>
        <v>0</v>
      </c>
      <c r="P786" s="55">
        <f t="shared" si="173"/>
        <v>0</v>
      </c>
      <c r="Q786" s="54">
        <f t="shared" si="174"/>
        <v>0</v>
      </c>
      <c r="R786" s="47"/>
      <c r="T786" s="57"/>
      <c r="U786" s="45"/>
      <c r="V786" s="46">
        <f>IF(U786&lt;&gt;"",VLOOKUP(U786,'Tipo Projeto'!$A$3:$B$35,2,0),0)</f>
        <v>0</v>
      </c>
      <c r="W786" s="47"/>
      <c r="X786" s="49"/>
      <c r="Y786" s="50"/>
      <c r="Z786" s="51"/>
      <c r="AA786" s="52"/>
      <c r="AB786" s="53" t="str">
        <f t="shared" si="175"/>
        <v/>
      </c>
      <c r="AC786" s="48" t="str">
        <f t="shared" si="176"/>
        <v/>
      </c>
      <c r="AD786" s="54" t="str">
        <f t="shared" si="177"/>
        <v/>
      </c>
      <c r="AE786" s="55">
        <f t="shared" si="178"/>
        <v>0</v>
      </c>
      <c r="AF786" s="55">
        <f t="shared" si="179"/>
        <v>0</v>
      </c>
      <c r="AG786" s="58">
        <f t="shared" si="180"/>
        <v>0</v>
      </c>
      <c r="AH786" s="47"/>
      <c r="AJ786" s="47"/>
      <c r="AL786" s="47"/>
      <c r="AM786" s="47" t="str">
        <f t="shared" si="181"/>
        <v/>
      </c>
    </row>
    <row r="787" spans="1:39" s="56" customFormat="1" ht="24.75" customHeight="1">
      <c r="A787" s="44"/>
      <c r="B787" s="45"/>
      <c r="C787" s="46">
        <f>IF(B787&lt;&gt;"",VLOOKUP(B787,'Tipo Projeto'!$A$3:$B$35,2,0),0)</f>
        <v>0</v>
      </c>
      <c r="D787" s="47"/>
      <c r="E787" s="47"/>
      <c r="F787" s="48"/>
      <c r="G787" s="47"/>
      <c r="H787" s="49"/>
      <c r="I787" s="50"/>
      <c r="J787" s="51"/>
      <c r="K787" s="52"/>
      <c r="L787" s="53" t="str">
        <f t="shared" si="169"/>
        <v/>
      </c>
      <c r="M787" s="48" t="str">
        <f t="shared" si="170"/>
        <v/>
      </c>
      <c r="N787" s="54" t="str">
        <f t="shared" si="171"/>
        <v/>
      </c>
      <c r="O787" s="55">
        <f t="shared" si="172"/>
        <v>0</v>
      </c>
      <c r="P787" s="55">
        <f t="shared" si="173"/>
        <v>0</v>
      </c>
      <c r="Q787" s="54">
        <f t="shared" si="174"/>
        <v>0</v>
      </c>
      <c r="R787" s="47"/>
      <c r="T787" s="57"/>
      <c r="U787" s="45"/>
      <c r="V787" s="46">
        <f>IF(U787&lt;&gt;"",VLOOKUP(U787,'Tipo Projeto'!$A$3:$B$35,2,0),0)</f>
        <v>0</v>
      </c>
      <c r="W787" s="47"/>
      <c r="X787" s="49"/>
      <c r="Y787" s="50"/>
      <c r="Z787" s="51"/>
      <c r="AA787" s="52"/>
      <c r="AB787" s="53" t="str">
        <f t="shared" si="175"/>
        <v/>
      </c>
      <c r="AC787" s="48" t="str">
        <f t="shared" si="176"/>
        <v/>
      </c>
      <c r="AD787" s="54" t="str">
        <f t="shared" si="177"/>
        <v/>
      </c>
      <c r="AE787" s="55">
        <f t="shared" si="178"/>
        <v>0</v>
      </c>
      <c r="AF787" s="55">
        <f t="shared" si="179"/>
        <v>0</v>
      </c>
      <c r="AG787" s="58">
        <f t="shared" si="180"/>
        <v>0</v>
      </c>
      <c r="AH787" s="47"/>
      <c r="AJ787" s="47"/>
      <c r="AL787" s="47"/>
      <c r="AM787" s="47" t="str">
        <f t="shared" si="181"/>
        <v/>
      </c>
    </row>
    <row r="788" spans="1:39" s="56" customFormat="1" ht="24.75" customHeight="1">
      <c r="A788" s="44"/>
      <c r="B788" s="45"/>
      <c r="C788" s="46">
        <f>IF(B788&lt;&gt;"",VLOOKUP(B788,'Tipo Projeto'!$A$3:$B$35,2,0),0)</f>
        <v>0</v>
      </c>
      <c r="D788" s="47"/>
      <c r="E788" s="47"/>
      <c r="F788" s="48"/>
      <c r="G788" s="47"/>
      <c r="H788" s="49"/>
      <c r="I788" s="50"/>
      <c r="J788" s="51"/>
      <c r="K788" s="52"/>
      <c r="L788" s="53" t="str">
        <f t="shared" si="169"/>
        <v/>
      </c>
      <c r="M788" s="48" t="str">
        <f t="shared" si="170"/>
        <v/>
      </c>
      <c r="N788" s="54" t="str">
        <f t="shared" si="171"/>
        <v/>
      </c>
      <c r="O788" s="55">
        <f t="shared" si="172"/>
        <v>0</v>
      </c>
      <c r="P788" s="55">
        <f t="shared" si="173"/>
        <v>0</v>
      </c>
      <c r="Q788" s="54">
        <f t="shared" si="174"/>
        <v>0</v>
      </c>
      <c r="R788" s="47"/>
      <c r="T788" s="57"/>
      <c r="U788" s="45"/>
      <c r="V788" s="46">
        <f>IF(U788&lt;&gt;"",VLOOKUP(U788,'Tipo Projeto'!$A$3:$B$35,2,0),0)</f>
        <v>0</v>
      </c>
      <c r="W788" s="47"/>
      <c r="X788" s="49"/>
      <c r="Y788" s="50"/>
      <c r="Z788" s="51"/>
      <c r="AA788" s="52"/>
      <c r="AB788" s="53" t="str">
        <f t="shared" si="175"/>
        <v/>
      </c>
      <c r="AC788" s="48" t="str">
        <f t="shared" si="176"/>
        <v/>
      </c>
      <c r="AD788" s="54" t="str">
        <f t="shared" si="177"/>
        <v/>
      </c>
      <c r="AE788" s="55">
        <f t="shared" si="178"/>
        <v>0</v>
      </c>
      <c r="AF788" s="55">
        <f t="shared" si="179"/>
        <v>0</v>
      </c>
      <c r="AG788" s="58">
        <f t="shared" si="180"/>
        <v>0</v>
      </c>
      <c r="AH788" s="47"/>
      <c r="AJ788" s="47"/>
      <c r="AL788" s="47"/>
      <c r="AM788" s="47" t="str">
        <f t="shared" si="181"/>
        <v/>
      </c>
    </row>
    <row r="789" spans="1:39" s="56" customFormat="1" ht="24.75" customHeight="1">
      <c r="A789" s="44"/>
      <c r="B789" s="45"/>
      <c r="C789" s="46">
        <f>IF(B789&lt;&gt;"",VLOOKUP(B789,'Tipo Projeto'!$A$3:$B$35,2,0),0)</f>
        <v>0</v>
      </c>
      <c r="D789" s="47"/>
      <c r="E789" s="47"/>
      <c r="F789" s="48"/>
      <c r="G789" s="47"/>
      <c r="H789" s="49"/>
      <c r="I789" s="50"/>
      <c r="J789" s="51"/>
      <c r="K789" s="52"/>
      <c r="L789" s="53" t="str">
        <f t="shared" si="169"/>
        <v/>
      </c>
      <c r="M789" s="48" t="str">
        <f t="shared" si="170"/>
        <v/>
      </c>
      <c r="N789" s="54" t="str">
        <f t="shared" si="171"/>
        <v/>
      </c>
      <c r="O789" s="55">
        <f t="shared" si="172"/>
        <v>0</v>
      </c>
      <c r="P789" s="55">
        <f t="shared" si="173"/>
        <v>0</v>
      </c>
      <c r="Q789" s="54">
        <f t="shared" si="174"/>
        <v>0</v>
      </c>
      <c r="R789" s="47"/>
      <c r="T789" s="57"/>
      <c r="U789" s="45"/>
      <c r="V789" s="46">
        <f>IF(U789&lt;&gt;"",VLOOKUP(U789,'Tipo Projeto'!$A$3:$B$35,2,0),0)</f>
        <v>0</v>
      </c>
      <c r="W789" s="47"/>
      <c r="X789" s="49"/>
      <c r="Y789" s="50"/>
      <c r="Z789" s="51"/>
      <c r="AA789" s="52"/>
      <c r="AB789" s="53" t="str">
        <f t="shared" si="175"/>
        <v/>
      </c>
      <c r="AC789" s="48" t="str">
        <f t="shared" si="176"/>
        <v/>
      </c>
      <c r="AD789" s="54" t="str">
        <f t="shared" si="177"/>
        <v/>
      </c>
      <c r="AE789" s="55">
        <f t="shared" si="178"/>
        <v>0</v>
      </c>
      <c r="AF789" s="55">
        <f t="shared" si="179"/>
        <v>0</v>
      </c>
      <c r="AG789" s="58">
        <f t="shared" si="180"/>
        <v>0</v>
      </c>
      <c r="AH789" s="47"/>
      <c r="AJ789" s="47"/>
      <c r="AL789" s="47"/>
      <c r="AM789" s="47" t="str">
        <f t="shared" si="181"/>
        <v/>
      </c>
    </row>
    <row r="790" spans="1:39" s="56" customFormat="1" ht="24.75" customHeight="1">
      <c r="A790" s="44"/>
      <c r="B790" s="45"/>
      <c r="C790" s="46">
        <f>IF(B790&lt;&gt;"",VLOOKUP(B790,'Tipo Projeto'!$A$3:$B$35,2,0),0)</f>
        <v>0</v>
      </c>
      <c r="D790" s="47"/>
      <c r="E790" s="47"/>
      <c r="F790" s="48"/>
      <c r="G790" s="47"/>
      <c r="H790" s="49"/>
      <c r="I790" s="50"/>
      <c r="J790" s="51"/>
      <c r="K790" s="52"/>
      <c r="L790" s="53" t="str">
        <f t="shared" si="169"/>
        <v/>
      </c>
      <c r="M790" s="48" t="str">
        <f t="shared" si="170"/>
        <v/>
      </c>
      <c r="N790" s="54" t="str">
        <f t="shared" si="171"/>
        <v/>
      </c>
      <c r="O790" s="55">
        <f t="shared" si="172"/>
        <v>0</v>
      </c>
      <c r="P790" s="55">
        <f t="shared" si="173"/>
        <v>0</v>
      </c>
      <c r="Q790" s="54">
        <f t="shared" si="174"/>
        <v>0</v>
      </c>
      <c r="R790" s="47"/>
      <c r="T790" s="57"/>
      <c r="U790" s="45"/>
      <c r="V790" s="46">
        <f>IF(U790&lt;&gt;"",VLOOKUP(U790,'Tipo Projeto'!$A$3:$B$35,2,0),0)</f>
        <v>0</v>
      </c>
      <c r="W790" s="47"/>
      <c r="X790" s="49"/>
      <c r="Y790" s="50"/>
      <c r="Z790" s="51"/>
      <c r="AA790" s="52"/>
      <c r="AB790" s="53" t="str">
        <f t="shared" si="175"/>
        <v/>
      </c>
      <c r="AC790" s="48" t="str">
        <f t="shared" si="176"/>
        <v/>
      </c>
      <c r="AD790" s="54" t="str">
        <f t="shared" si="177"/>
        <v/>
      </c>
      <c r="AE790" s="55">
        <f t="shared" si="178"/>
        <v>0</v>
      </c>
      <c r="AF790" s="55">
        <f t="shared" si="179"/>
        <v>0</v>
      </c>
      <c r="AG790" s="58">
        <f t="shared" si="180"/>
        <v>0</v>
      </c>
      <c r="AH790" s="47"/>
      <c r="AJ790" s="47"/>
      <c r="AL790" s="47"/>
      <c r="AM790" s="47" t="str">
        <f t="shared" si="181"/>
        <v/>
      </c>
    </row>
    <row r="791" spans="1:39" s="56" customFormat="1" ht="24.75" customHeight="1">
      <c r="A791" s="44"/>
      <c r="B791" s="45"/>
      <c r="C791" s="46">
        <f>IF(B791&lt;&gt;"",VLOOKUP(B791,'Tipo Projeto'!$A$3:$B$35,2,0),0)</f>
        <v>0</v>
      </c>
      <c r="D791" s="47"/>
      <c r="E791" s="47"/>
      <c r="F791" s="48"/>
      <c r="G791" s="47"/>
      <c r="H791" s="49"/>
      <c r="I791" s="50"/>
      <c r="J791" s="51"/>
      <c r="K791" s="52"/>
      <c r="L791" s="53" t="str">
        <f t="shared" si="169"/>
        <v/>
      </c>
      <c r="M791" s="48" t="str">
        <f t="shared" si="170"/>
        <v/>
      </c>
      <c r="N791" s="54" t="str">
        <f t="shared" si="171"/>
        <v/>
      </c>
      <c r="O791" s="55">
        <f t="shared" si="172"/>
        <v>0</v>
      </c>
      <c r="P791" s="55">
        <f t="shared" si="173"/>
        <v>0</v>
      </c>
      <c r="Q791" s="54">
        <f t="shared" si="174"/>
        <v>0</v>
      </c>
      <c r="R791" s="47"/>
      <c r="T791" s="57"/>
      <c r="U791" s="45"/>
      <c r="V791" s="46">
        <f>IF(U791&lt;&gt;"",VLOOKUP(U791,'Tipo Projeto'!$A$3:$B$35,2,0),0)</f>
        <v>0</v>
      </c>
      <c r="W791" s="47"/>
      <c r="X791" s="49"/>
      <c r="Y791" s="50"/>
      <c r="Z791" s="51"/>
      <c r="AA791" s="52"/>
      <c r="AB791" s="53" t="str">
        <f t="shared" si="175"/>
        <v/>
      </c>
      <c r="AC791" s="48" t="str">
        <f t="shared" si="176"/>
        <v/>
      </c>
      <c r="AD791" s="54" t="str">
        <f t="shared" si="177"/>
        <v/>
      </c>
      <c r="AE791" s="55">
        <f t="shared" si="178"/>
        <v>0</v>
      </c>
      <c r="AF791" s="55">
        <f t="shared" si="179"/>
        <v>0</v>
      </c>
      <c r="AG791" s="58">
        <f t="shared" si="180"/>
        <v>0</v>
      </c>
      <c r="AH791" s="47"/>
      <c r="AJ791" s="47"/>
      <c r="AL791" s="47"/>
      <c r="AM791" s="47" t="str">
        <f t="shared" si="181"/>
        <v/>
      </c>
    </row>
    <row r="792" spans="1:39" s="56" customFormat="1" ht="24.75" customHeight="1">
      <c r="A792" s="44"/>
      <c r="B792" s="45"/>
      <c r="C792" s="46">
        <f>IF(B792&lt;&gt;"",VLOOKUP(B792,'Tipo Projeto'!$A$3:$B$35,2,0),0)</f>
        <v>0</v>
      </c>
      <c r="D792" s="47"/>
      <c r="E792" s="47"/>
      <c r="F792" s="48"/>
      <c r="G792" s="47"/>
      <c r="H792" s="49"/>
      <c r="I792" s="50"/>
      <c r="J792" s="51"/>
      <c r="K792" s="52"/>
      <c r="L792" s="53" t="str">
        <f t="shared" si="169"/>
        <v/>
      </c>
      <c r="M792" s="48" t="str">
        <f t="shared" si="170"/>
        <v/>
      </c>
      <c r="N792" s="54" t="str">
        <f t="shared" si="171"/>
        <v/>
      </c>
      <c r="O792" s="55">
        <f t="shared" si="172"/>
        <v>0</v>
      </c>
      <c r="P792" s="55">
        <f t="shared" si="173"/>
        <v>0</v>
      </c>
      <c r="Q792" s="54">
        <f t="shared" si="174"/>
        <v>0</v>
      </c>
      <c r="R792" s="47"/>
      <c r="T792" s="57"/>
      <c r="U792" s="45"/>
      <c r="V792" s="46">
        <f>IF(U792&lt;&gt;"",VLOOKUP(U792,'Tipo Projeto'!$A$3:$B$35,2,0),0)</f>
        <v>0</v>
      </c>
      <c r="W792" s="47"/>
      <c r="X792" s="49"/>
      <c r="Y792" s="50"/>
      <c r="Z792" s="51"/>
      <c r="AA792" s="52"/>
      <c r="AB792" s="53" t="str">
        <f t="shared" si="175"/>
        <v/>
      </c>
      <c r="AC792" s="48" t="str">
        <f t="shared" si="176"/>
        <v/>
      </c>
      <c r="AD792" s="54" t="str">
        <f t="shared" si="177"/>
        <v/>
      </c>
      <c r="AE792" s="55">
        <f t="shared" si="178"/>
        <v>0</v>
      </c>
      <c r="AF792" s="55">
        <f t="shared" si="179"/>
        <v>0</v>
      </c>
      <c r="AG792" s="58">
        <f t="shared" si="180"/>
        <v>0</v>
      </c>
      <c r="AH792" s="47"/>
      <c r="AJ792" s="47"/>
      <c r="AL792" s="47"/>
      <c r="AM792" s="47" t="str">
        <f t="shared" si="181"/>
        <v/>
      </c>
    </row>
    <row r="793" spans="1:39" s="56" customFormat="1" ht="24.75" customHeight="1">
      <c r="A793" s="44"/>
      <c r="B793" s="45"/>
      <c r="C793" s="46">
        <f>IF(B793&lt;&gt;"",VLOOKUP(B793,'Tipo Projeto'!$A$3:$B$35,2,0),0)</f>
        <v>0</v>
      </c>
      <c r="D793" s="47"/>
      <c r="E793" s="47"/>
      <c r="F793" s="48"/>
      <c r="G793" s="47"/>
      <c r="H793" s="49"/>
      <c r="I793" s="50"/>
      <c r="J793" s="51"/>
      <c r="K793" s="52"/>
      <c r="L793" s="53" t="str">
        <f t="shared" si="169"/>
        <v/>
      </c>
      <c r="M793" s="48" t="str">
        <f t="shared" si="170"/>
        <v/>
      </c>
      <c r="N793" s="54" t="str">
        <f t="shared" si="171"/>
        <v/>
      </c>
      <c r="O793" s="55">
        <f t="shared" si="172"/>
        <v>0</v>
      </c>
      <c r="P793" s="55">
        <f t="shared" si="173"/>
        <v>0</v>
      </c>
      <c r="Q793" s="54">
        <f t="shared" si="174"/>
        <v>0</v>
      </c>
      <c r="R793" s="47"/>
      <c r="T793" s="57"/>
      <c r="U793" s="45"/>
      <c r="V793" s="46">
        <f>IF(U793&lt;&gt;"",VLOOKUP(U793,'Tipo Projeto'!$A$3:$B$35,2,0),0)</f>
        <v>0</v>
      </c>
      <c r="W793" s="47"/>
      <c r="X793" s="49"/>
      <c r="Y793" s="50"/>
      <c r="Z793" s="51"/>
      <c r="AA793" s="52"/>
      <c r="AB793" s="53" t="str">
        <f t="shared" si="175"/>
        <v/>
      </c>
      <c r="AC793" s="48" t="str">
        <f t="shared" si="176"/>
        <v/>
      </c>
      <c r="AD793" s="54" t="str">
        <f t="shared" si="177"/>
        <v/>
      </c>
      <c r="AE793" s="55">
        <f t="shared" si="178"/>
        <v>0</v>
      </c>
      <c r="AF793" s="55">
        <f t="shared" si="179"/>
        <v>0</v>
      </c>
      <c r="AG793" s="58">
        <f t="shared" si="180"/>
        <v>0</v>
      </c>
      <c r="AH793" s="47"/>
      <c r="AJ793" s="47"/>
      <c r="AL793" s="47"/>
      <c r="AM793" s="47" t="str">
        <f t="shared" si="181"/>
        <v/>
      </c>
    </row>
    <row r="794" spans="1:39" s="56" customFormat="1" ht="24.75" customHeight="1">
      <c r="A794" s="44"/>
      <c r="B794" s="45"/>
      <c r="C794" s="46">
        <f>IF(B794&lt;&gt;"",VLOOKUP(B794,'Tipo Projeto'!$A$3:$B$35,2,0),0)</f>
        <v>0</v>
      </c>
      <c r="D794" s="47"/>
      <c r="E794" s="47"/>
      <c r="F794" s="48"/>
      <c r="G794" s="47"/>
      <c r="H794" s="49"/>
      <c r="I794" s="50"/>
      <c r="J794" s="51"/>
      <c r="K794" s="52"/>
      <c r="L794" s="53" t="str">
        <f t="shared" si="169"/>
        <v/>
      </c>
      <c r="M794" s="48" t="str">
        <f t="shared" si="170"/>
        <v/>
      </c>
      <c r="N794" s="54" t="str">
        <f t="shared" si="171"/>
        <v/>
      </c>
      <c r="O794" s="55">
        <f t="shared" si="172"/>
        <v>0</v>
      </c>
      <c r="P794" s="55">
        <f t="shared" si="173"/>
        <v>0</v>
      </c>
      <c r="Q794" s="54">
        <f t="shared" si="174"/>
        <v>0</v>
      </c>
      <c r="R794" s="47"/>
      <c r="T794" s="57"/>
      <c r="U794" s="45"/>
      <c r="V794" s="46">
        <f>IF(U794&lt;&gt;"",VLOOKUP(U794,'Tipo Projeto'!$A$3:$B$35,2,0),0)</f>
        <v>0</v>
      </c>
      <c r="W794" s="47"/>
      <c r="X794" s="49"/>
      <c r="Y794" s="50"/>
      <c r="Z794" s="51"/>
      <c r="AA794" s="52"/>
      <c r="AB794" s="53" t="str">
        <f t="shared" si="175"/>
        <v/>
      </c>
      <c r="AC794" s="48" t="str">
        <f t="shared" si="176"/>
        <v/>
      </c>
      <c r="AD794" s="54" t="str">
        <f t="shared" si="177"/>
        <v/>
      </c>
      <c r="AE794" s="55">
        <f t="shared" si="178"/>
        <v>0</v>
      </c>
      <c r="AF794" s="55">
        <f t="shared" si="179"/>
        <v>0</v>
      </c>
      <c r="AG794" s="58">
        <f t="shared" si="180"/>
        <v>0</v>
      </c>
      <c r="AH794" s="47"/>
      <c r="AJ794" s="47"/>
      <c r="AL794" s="47"/>
      <c r="AM794" s="47" t="str">
        <f t="shared" si="181"/>
        <v/>
      </c>
    </row>
    <row r="795" spans="1:39" s="56" customFormat="1" ht="24.75" customHeight="1">
      <c r="A795" s="44"/>
      <c r="B795" s="45"/>
      <c r="C795" s="46">
        <f>IF(B795&lt;&gt;"",VLOOKUP(B795,'Tipo Projeto'!$A$3:$B$35,2,0),0)</f>
        <v>0</v>
      </c>
      <c r="D795" s="47"/>
      <c r="E795" s="47"/>
      <c r="F795" s="48"/>
      <c r="G795" s="47"/>
      <c r="H795" s="49"/>
      <c r="I795" s="50"/>
      <c r="J795" s="51"/>
      <c r="K795" s="52"/>
      <c r="L795" s="53" t="str">
        <f t="shared" si="169"/>
        <v/>
      </c>
      <c r="M795" s="48" t="str">
        <f t="shared" si="170"/>
        <v/>
      </c>
      <c r="N795" s="54" t="str">
        <f t="shared" si="171"/>
        <v/>
      </c>
      <c r="O795" s="55">
        <f t="shared" si="172"/>
        <v>0</v>
      </c>
      <c r="P795" s="55">
        <f t="shared" si="173"/>
        <v>0</v>
      </c>
      <c r="Q795" s="54">
        <f t="shared" si="174"/>
        <v>0</v>
      </c>
      <c r="R795" s="47"/>
      <c r="T795" s="57"/>
      <c r="U795" s="45"/>
      <c r="V795" s="46">
        <f>IF(U795&lt;&gt;"",VLOOKUP(U795,'Tipo Projeto'!$A$3:$B$35,2,0),0)</f>
        <v>0</v>
      </c>
      <c r="W795" s="47"/>
      <c r="X795" s="49"/>
      <c r="Y795" s="50"/>
      <c r="Z795" s="51"/>
      <c r="AA795" s="52"/>
      <c r="AB795" s="53" t="str">
        <f t="shared" si="175"/>
        <v/>
      </c>
      <c r="AC795" s="48" t="str">
        <f t="shared" si="176"/>
        <v/>
      </c>
      <c r="AD795" s="54" t="str">
        <f t="shared" si="177"/>
        <v/>
      </c>
      <c r="AE795" s="55">
        <f t="shared" si="178"/>
        <v>0</v>
      </c>
      <c r="AF795" s="55">
        <f t="shared" si="179"/>
        <v>0</v>
      </c>
      <c r="AG795" s="58">
        <f t="shared" si="180"/>
        <v>0</v>
      </c>
      <c r="AH795" s="47"/>
      <c r="AJ795" s="47"/>
      <c r="AL795" s="47"/>
      <c r="AM795" s="47" t="str">
        <f t="shared" si="181"/>
        <v/>
      </c>
    </row>
    <row r="796" spans="1:39" s="56" customFormat="1" ht="24.75" customHeight="1">
      <c r="A796" s="44"/>
      <c r="B796" s="45"/>
      <c r="C796" s="46">
        <f>IF(B796&lt;&gt;"",VLOOKUP(B796,'Tipo Projeto'!$A$3:$B$35,2,0),0)</f>
        <v>0</v>
      </c>
      <c r="D796" s="47"/>
      <c r="E796" s="47"/>
      <c r="F796" s="48"/>
      <c r="G796" s="47"/>
      <c r="H796" s="49"/>
      <c r="I796" s="50"/>
      <c r="J796" s="51"/>
      <c r="K796" s="52"/>
      <c r="L796" s="53" t="str">
        <f t="shared" si="169"/>
        <v/>
      </c>
      <c r="M796" s="48" t="str">
        <f t="shared" si="170"/>
        <v/>
      </c>
      <c r="N796" s="54" t="str">
        <f t="shared" si="171"/>
        <v/>
      </c>
      <c r="O796" s="55">
        <f t="shared" si="172"/>
        <v>0</v>
      </c>
      <c r="P796" s="55">
        <f t="shared" si="173"/>
        <v>0</v>
      </c>
      <c r="Q796" s="54">
        <f t="shared" si="174"/>
        <v>0</v>
      </c>
      <c r="R796" s="47"/>
      <c r="T796" s="57"/>
      <c r="U796" s="45"/>
      <c r="V796" s="46">
        <f>IF(U796&lt;&gt;"",VLOOKUP(U796,'Tipo Projeto'!$A$3:$B$35,2,0),0)</f>
        <v>0</v>
      </c>
      <c r="W796" s="47"/>
      <c r="X796" s="49"/>
      <c r="Y796" s="50"/>
      <c r="Z796" s="51"/>
      <c r="AA796" s="52"/>
      <c r="AB796" s="53" t="str">
        <f t="shared" si="175"/>
        <v/>
      </c>
      <c r="AC796" s="48" t="str">
        <f t="shared" si="176"/>
        <v/>
      </c>
      <c r="AD796" s="54" t="str">
        <f t="shared" si="177"/>
        <v/>
      </c>
      <c r="AE796" s="55">
        <f t="shared" si="178"/>
        <v>0</v>
      </c>
      <c r="AF796" s="55">
        <f t="shared" si="179"/>
        <v>0</v>
      </c>
      <c r="AG796" s="58">
        <f t="shared" si="180"/>
        <v>0</v>
      </c>
      <c r="AH796" s="47"/>
      <c r="AJ796" s="47"/>
      <c r="AL796" s="47"/>
      <c r="AM796" s="47" t="str">
        <f t="shared" si="181"/>
        <v/>
      </c>
    </row>
    <row r="797" spans="1:39" s="56" customFormat="1" ht="24.75" customHeight="1">
      <c r="A797" s="44"/>
      <c r="B797" s="45"/>
      <c r="C797" s="46">
        <f>IF(B797&lt;&gt;"",VLOOKUP(B797,'Tipo Projeto'!$A$3:$B$35,2,0),0)</f>
        <v>0</v>
      </c>
      <c r="D797" s="47"/>
      <c r="E797" s="47"/>
      <c r="F797" s="48"/>
      <c r="G797" s="47"/>
      <c r="H797" s="49"/>
      <c r="I797" s="50"/>
      <c r="J797" s="51"/>
      <c r="K797" s="52"/>
      <c r="L797" s="53" t="str">
        <f t="shared" si="169"/>
        <v/>
      </c>
      <c r="M797" s="48" t="str">
        <f t="shared" si="170"/>
        <v/>
      </c>
      <c r="N797" s="54" t="str">
        <f t="shared" si="171"/>
        <v/>
      </c>
      <c r="O797" s="55">
        <f t="shared" si="172"/>
        <v>0</v>
      </c>
      <c r="P797" s="55">
        <f t="shared" si="173"/>
        <v>0</v>
      </c>
      <c r="Q797" s="54">
        <f t="shared" si="174"/>
        <v>0</v>
      </c>
      <c r="R797" s="47"/>
      <c r="T797" s="57"/>
      <c r="U797" s="45"/>
      <c r="V797" s="46">
        <f>IF(U797&lt;&gt;"",VLOOKUP(U797,'Tipo Projeto'!$A$3:$B$35,2,0),0)</f>
        <v>0</v>
      </c>
      <c r="W797" s="47"/>
      <c r="X797" s="49"/>
      <c r="Y797" s="50"/>
      <c r="Z797" s="51"/>
      <c r="AA797" s="52"/>
      <c r="AB797" s="53" t="str">
        <f t="shared" si="175"/>
        <v/>
      </c>
      <c r="AC797" s="48" t="str">
        <f t="shared" si="176"/>
        <v/>
      </c>
      <c r="AD797" s="54" t="str">
        <f t="shared" si="177"/>
        <v/>
      </c>
      <c r="AE797" s="55">
        <f t="shared" si="178"/>
        <v>0</v>
      </c>
      <c r="AF797" s="55">
        <f t="shared" si="179"/>
        <v>0</v>
      </c>
      <c r="AG797" s="58">
        <f t="shared" si="180"/>
        <v>0</v>
      </c>
      <c r="AH797" s="47"/>
      <c r="AJ797" s="47"/>
      <c r="AL797" s="47"/>
      <c r="AM797" s="47" t="str">
        <f t="shared" si="181"/>
        <v/>
      </c>
    </row>
    <row r="798" spans="1:39" s="56" customFormat="1" ht="24.75" customHeight="1">
      <c r="A798" s="44"/>
      <c r="B798" s="45"/>
      <c r="C798" s="46">
        <f>IF(B798&lt;&gt;"",VLOOKUP(B798,'Tipo Projeto'!$A$3:$B$35,2,0),0)</f>
        <v>0</v>
      </c>
      <c r="D798" s="47"/>
      <c r="E798" s="47"/>
      <c r="F798" s="48"/>
      <c r="G798" s="47"/>
      <c r="H798" s="49"/>
      <c r="I798" s="50"/>
      <c r="J798" s="51"/>
      <c r="K798" s="52"/>
      <c r="L798" s="53" t="str">
        <f t="shared" si="169"/>
        <v/>
      </c>
      <c r="M798" s="48" t="str">
        <f t="shared" si="170"/>
        <v/>
      </c>
      <c r="N798" s="54" t="str">
        <f t="shared" si="171"/>
        <v/>
      </c>
      <c r="O798" s="55">
        <f t="shared" si="172"/>
        <v>0</v>
      </c>
      <c r="P798" s="55">
        <f t="shared" si="173"/>
        <v>0</v>
      </c>
      <c r="Q798" s="54">
        <f t="shared" si="174"/>
        <v>0</v>
      </c>
      <c r="R798" s="47"/>
      <c r="T798" s="57"/>
      <c r="U798" s="45"/>
      <c r="V798" s="46">
        <f>IF(U798&lt;&gt;"",VLOOKUP(U798,'Tipo Projeto'!$A$3:$B$35,2,0),0)</f>
        <v>0</v>
      </c>
      <c r="W798" s="47"/>
      <c r="X798" s="49"/>
      <c r="Y798" s="50"/>
      <c r="Z798" s="51"/>
      <c r="AA798" s="52"/>
      <c r="AB798" s="53" t="str">
        <f t="shared" si="175"/>
        <v/>
      </c>
      <c r="AC798" s="48" t="str">
        <f t="shared" si="176"/>
        <v/>
      </c>
      <c r="AD798" s="54" t="str">
        <f t="shared" si="177"/>
        <v/>
      </c>
      <c r="AE798" s="55">
        <f t="shared" si="178"/>
        <v>0</v>
      </c>
      <c r="AF798" s="55">
        <f t="shared" si="179"/>
        <v>0</v>
      </c>
      <c r="AG798" s="58">
        <f t="shared" si="180"/>
        <v>0</v>
      </c>
      <c r="AH798" s="47"/>
      <c r="AJ798" s="47"/>
      <c r="AL798" s="47"/>
      <c r="AM798" s="47" t="str">
        <f t="shared" si="181"/>
        <v/>
      </c>
    </row>
    <row r="799" spans="1:39" s="56" customFormat="1" ht="24.75" customHeight="1">
      <c r="A799" s="44"/>
      <c r="B799" s="45"/>
      <c r="C799" s="46">
        <f>IF(B799&lt;&gt;"",VLOOKUP(B799,'Tipo Projeto'!$A$3:$B$35,2,0),0)</f>
        <v>0</v>
      </c>
      <c r="D799" s="47"/>
      <c r="E799" s="47"/>
      <c r="F799" s="48"/>
      <c r="G799" s="47"/>
      <c r="H799" s="49"/>
      <c r="I799" s="50"/>
      <c r="J799" s="51"/>
      <c r="K799" s="52"/>
      <c r="L799" s="53" t="str">
        <f t="shared" si="169"/>
        <v/>
      </c>
      <c r="M799" s="48" t="str">
        <f t="shared" si="170"/>
        <v/>
      </c>
      <c r="N799" s="54" t="str">
        <f t="shared" si="171"/>
        <v/>
      </c>
      <c r="O799" s="55">
        <f t="shared" si="172"/>
        <v>0</v>
      </c>
      <c r="P799" s="55">
        <f t="shared" si="173"/>
        <v>0</v>
      </c>
      <c r="Q799" s="54">
        <f t="shared" si="174"/>
        <v>0</v>
      </c>
      <c r="R799" s="47"/>
      <c r="T799" s="57"/>
      <c r="U799" s="45"/>
      <c r="V799" s="46">
        <f>IF(U799&lt;&gt;"",VLOOKUP(U799,'Tipo Projeto'!$A$3:$B$35,2,0),0)</f>
        <v>0</v>
      </c>
      <c r="W799" s="47"/>
      <c r="X799" s="49"/>
      <c r="Y799" s="50"/>
      <c r="Z799" s="51"/>
      <c r="AA799" s="52"/>
      <c r="AB799" s="53" t="str">
        <f t="shared" si="175"/>
        <v/>
      </c>
      <c r="AC799" s="48" t="str">
        <f t="shared" si="176"/>
        <v/>
      </c>
      <c r="AD799" s="54" t="str">
        <f t="shared" si="177"/>
        <v/>
      </c>
      <c r="AE799" s="55">
        <f t="shared" si="178"/>
        <v>0</v>
      </c>
      <c r="AF799" s="55">
        <f t="shared" si="179"/>
        <v>0</v>
      </c>
      <c r="AG799" s="58">
        <f t="shared" si="180"/>
        <v>0</v>
      </c>
      <c r="AH799" s="47"/>
      <c r="AJ799" s="47"/>
      <c r="AL799" s="47"/>
      <c r="AM799" s="47" t="str">
        <f t="shared" si="181"/>
        <v/>
      </c>
    </row>
    <row r="800" spans="1:39" s="56" customFormat="1" ht="24.75" customHeight="1">
      <c r="A800" s="44"/>
      <c r="B800" s="45"/>
      <c r="C800" s="46">
        <f>IF(B800&lt;&gt;"",VLOOKUP(B800,'Tipo Projeto'!$A$3:$B$35,2,0),0)</f>
        <v>0</v>
      </c>
      <c r="D800" s="47"/>
      <c r="E800" s="47"/>
      <c r="F800" s="48"/>
      <c r="G800" s="47"/>
      <c r="H800" s="49"/>
      <c r="I800" s="50"/>
      <c r="J800" s="51"/>
      <c r="K800" s="52"/>
      <c r="L800" s="53" t="str">
        <f t="shared" si="169"/>
        <v/>
      </c>
      <c r="M800" s="48" t="str">
        <f t="shared" si="170"/>
        <v/>
      </c>
      <c r="N800" s="54" t="str">
        <f t="shared" si="171"/>
        <v/>
      </c>
      <c r="O800" s="55">
        <f t="shared" si="172"/>
        <v>0</v>
      </c>
      <c r="P800" s="55">
        <f t="shared" si="173"/>
        <v>0</v>
      </c>
      <c r="Q800" s="54">
        <f t="shared" si="174"/>
        <v>0</v>
      </c>
      <c r="R800" s="47"/>
      <c r="T800" s="57"/>
      <c r="U800" s="45"/>
      <c r="V800" s="46">
        <f>IF(U800&lt;&gt;"",VLOOKUP(U800,'Tipo Projeto'!$A$3:$B$35,2,0),0)</f>
        <v>0</v>
      </c>
      <c r="W800" s="47"/>
      <c r="X800" s="49"/>
      <c r="Y800" s="50"/>
      <c r="Z800" s="51"/>
      <c r="AA800" s="52"/>
      <c r="AB800" s="53" t="str">
        <f t="shared" si="175"/>
        <v/>
      </c>
      <c r="AC800" s="48" t="str">
        <f t="shared" si="176"/>
        <v/>
      </c>
      <c r="AD800" s="54" t="str">
        <f t="shared" si="177"/>
        <v/>
      </c>
      <c r="AE800" s="55">
        <f t="shared" si="178"/>
        <v>0</v>
      </c>
      <c r="AF800" s="55">
        <f t="shared" si="179"/>
        <v>0</v>
      </c>
      <c r="AG800" s="58">
        <f t="shared" si="180"/>
        <v>0</v>
      </c>
      <c r="AH800" s="47"/>
      <c r="AJ800" s="47"/>
      <c r="AL800" s="47"/>
      <c r="AM800" s="47" t="str">
        <f t="shared" si="181"/>
        <v/>
      </c>
    </row>
    <row r="801" spans="1:39" s="56" customFormat="1" ht="24.75" customHeight="1">
      <c r="A801" s="44"/>
      <c r="B801" s="45"/>
      <c r="C801" s="46">
        <f>IF(B801&lt;&gt;"",VLOOKUP(B801,'Tipo Projeto'!$A$3:$B$35,2,0),0)</f>
        <v>0</v>
      </c>
      <c r="D801" s="47"/>
      <c r="E801" s="47"/>
      <c r="F801" s="48"/>
      <c r="G801" s="47"/>
      <c r="H801" s="49"/>
      <c r="I801" s="50"/>
      <c r="J801" s="51"/>
      <c r="K801" s="52"/>
      <c r="L801" s="53" t="str">
        <f t="shared" si="169"/>
        <v/>
      </c>
      <c r="M801" s="48" t="str">
        <f t="shared" si="170"/>
        <v/>
      </c>
      <c r="N801" s="54" t="str">
        <f t="shared" si="171"/>
        <v/>
      </c>
      <c r="O801" s="55">
        <f t="shared" si="172"/>
        <v>0</v>
      </c>
      <c r="P801" s="55">
        <f t="shared" si="173"/>
        <v>0</v>
      </c>
      <c r="Q801" s="54">
        <f t="shared" si="174"/>
        <v>0</v>
      </c>
      <c r="R801" s="47"/>
      <c r="T801" s="57"/>
      <c r="U801" s="45"/>
      <c r="V801" s="46">
        <f>IF(U801&lt;&gt;"",VLOOKUP(U801,'Tipo Projeto'!$A$3:$B$35,2,0),0)</f>
        <v>0</v>
      </c>
      <c r="W801" s="47"/>
      <c r="X801" s="49"/>
      <c r="Y801" s="50"/>
      <c r="Z801" s="51"/>
      <c r="AA801" s="52"/>
      <c r="AB801" s="53" t="str">
        <f t="shared" si="175"/>
        <v/>
      </c>
      <c r="AC801" s="48" t="str">
        <f t="shared" si="176"/>
        <v/>
      </c>
      <c r="AD801" s="54" t="str">
        <f t="shared" si="177"/>
        <v/>
      </c>
      <c r="AE801" s="55">
        <f t="shared" si="178"/>
        <v>0</v>
      </c>
      <c r="AF801" s="55">
        <f t="shared" si="179"/>
        <v>0</v>
      </c>
      <c r="AG801" s="58">
        <f t="shared" si="180"/>
        <v>0</v>
      </c>
      <c r="AH801" s="47"/>
      <c r="AJ801" s="47"/>
      <c r="AL801" s="47"/>
      <c r="AM801" s="47" t="str">
        <f t="shared" si="181"/>
        <v/>
      </c>
    </row>
    <row r="802" spans="1:39" s="56" customFormat="1" ht="24.75" customHeight="1">
      <c r="A802" s="44"/>
      <c r="B802" s="45"/>
      <c r="C802" s="46">
        <f>IF(B802&lt;&gt;"",VLOOKUP(B802,'Tipo Projeto'!$A$3:$B$35,2,0),0)</f>
        <v>0</v>
      </c>
      <c r="D802" s="47"/>
      <c r="E802" s="47"/>
      <c r="F802" s="48"/>
      <c r="G802" s="47"/>
      <c r="H802" s="49"/>
      <c r="I802" s="50"/>
      <c r="J802" s="51"/>
      <c r="K802" s="52"/>
      <c r="L802" s="53" t="str">
        <f t="shared" si="169"/>
        <v/>
      </c>
      <c r="M802" s="48" t="str">
        <f t="shared" si="170"/>
        <v/>
      </c>
      <c r="N802" s="54" t="str">
        <f t="shared" si="171"/>
        <v/>
      </c>
      <c r="O802" s="55">
        <f t="shared" si="172"/>
        <v>0</v>
      </c>
      <c r="P802" s="55">
        <f t="shared" si="173"/>
        <v>0</v>
      </c>
      <c r="Q802" s="54">
        <f t="shared" si="174"/>
        <v>0</v>
      </c>
      <c r="R802" s="47"/>
      <c r="T802" s="57"/>
      <c r="U802" s="45"/>
      <c r="V802" s="46">
        <f>IF(U802&lt;&gt;"",VLOOKUP(U802,'Tipo Projeto'!$A$3:$B$35,2,0),0)</f>
        <v>0</v>
      </c>
      <c r="W802" s="47"/>
      <c r="X802" s="49"/>
      <c r="Y802" s="50"/>
      <c r="Z802" s="51"/>
      <c r="AA802" s="52"/>
      <c r="AB802" s="53" t="str">
        <f t="shared" si="175"/>
        <v/>
      </c>
      <c r="AC802" s="48" t="str">
        <f t="shared" si="176"/>
        <v/>
      </c>
      <c r="AD802" s="54" t="str">
        <f t="shared" si="177"/>
        <v/>
      </c>
      <c r="AE802" s="55">
        <f t="shared" si="178"/>
        <v>0</v>
      </c>
      <c r="AF802" s="55">
        <f t="shared" si="179"/>
        <v>0</v>
      </c>
      <c r="AG802" s="58">
        <f t="shared" si="180"/>
        <v>0</v>
      </c>
      <c r="AH802" s="47"/>
      <c r="AJ802" s="47"/>
      <c r="AL802" s="47"/>
      <c r="AM802" s="47" t="str">
        <f t="shared" si="181"/>
        <v/>
      </c>
    </row>
    <row r="803" spans="1:39" s="56" customFormat="1" ht="24.75" customHeight="1">
      <c r="A803" s="44"/>
      <c r="B803" s="45"/>
      <c r="C803" s="46">
        <f>IF(B803&lt;&gt;"",VLOOKUP(B803,'Tipo Projeto'!$A$3:$B$35,2,0),0)</f>
        <v>0</v>
      </c>
      <c r="D803" s="47"/>
      <c r="E803" s="47"/>
      <c r="F803" s="48"/>
      <c r="G803" s="47"/>
      <c r="H803" s="49"/>
      <c r="I803" s="50"/>
      <c r="J803" s="51"/>
      <c r="K803" s="52"/>
      <c r="L803" s="53" t="str">
        <f t="shared" si="169"/>
        <v/>
      </c>
      <c r="M803" s="48" t="str">
        <f t="shared" si="170"/>
        <v/>
      </c>
      <c r="N803" s="54" t="str">
        <f t="shared" si="171"/>
        <v/>
      </c>
      <c r="O803" s="55">
        <f t="shared" si="172"/>
        <v>0</v>
      </c>
      <c r="P803" s="55">
        <f t="shared" si="173"/>
        <v>0</v>
      </c>
      <c r="Q803" s="54">
        <f t="shared" si="174"/>
        <v>0</v>
      </c>
      <c r="R803" s="47"/>
      <c r="T803" s="57"/>
      <c r="U803" s="45"/>
      <c r="V803" s="46">
        <f>IF(U803&lt;&gt;"",VLOOKUP(U803,'Tipo Projeto'!$A$3:$B$35,2,0),0)</f>
        <v>0</v>
      </c>
      <c r="W803" s="47"/>
      <c r="X803" s="49"/>
      <c r="Y803" s="50"/>
      <c r="Z803" s="51"/>
      <c r="AA803" s="52"/>
      <c r="AB803" s="53" t="str">
        <f t="shared" si="175"/>
        <v/>
      </c>
      <c r="AC803" s="48" t="str">
        <f t="shared" si="176"/>
        <v/>
      </c>
      <c r="AD803" s="54" t="str">
        <f t="shared" si="177"/>
        <v/>
      </c>
      <c r="AE803" s="55">
        <f t="shared" si="178"/>
        <v>0</v>
      </c>
      <c r="AF803" s="55">
        <f t="shared" si="179"/>
        <v>0</v>
      </c>
      <c r="AG803" s="58">
        <f t="shared" si="180"/>
        <v>0</v>
      </c>
      <c r="AH803" s="47"/>
      <c r="AJ803" s="47"/>
      <c r="AL803" s="47"/>
      <c r="AM803" s="47" t="str">
        <f t="shared" si="181"/>
        <v/>
      </c>
    </row>
    <row r="804" spans="1:39" s="56" customFormat="1" ht="24.75" customHeight="1">
      <c r="A804" s="44"/>
      <c r="B804" s="45"/>
      <c r="C804" s="46">
        <f>IF(B804&lt;&gt;"",VLOOKUP(B804,'Tipo Projeto'!$A$3:$B$35,2,0),0)</f>
        <v>0</v>
      </c>
      <c r="D804" s="47"/>
      <c r="E804" s="47"/>
      <c r="F804" s="48"/>
      <c r="G804" s="47"/>
      <c r="H804" s="49"/>
      <c r="I804" s="50"/>
      <c r="J804" s="51"/>
      <c r="K804" s="52"/>
      <c r="L804" s="53" t="str">
        <f t="shared" si="169"/>
        <v/>
      </c>
      <c r="M804" s="48" t="str">
        <f t="shared" si="170"/>
        <v/>
      </c>
      <c r="N804" s="54" t="str">
        <f t="shared" si="171"/>
        <v/>
      </c>
      <c r="O804" s="55">
        <f t="shared" si="172"/>
        <v>0</v>
      </c>
      <c r="P804" s="55">
        <f t="shared" si="173"/>
        <v>0</v>
      </c>
      <c r="Q804" s="54">
        <f t="shared" si="174"/>
        <v>0</v>
      </c>
      <c r="R804" s="47"/>
      <c r="T804" s="57"/>
      <c r="U804" s="45"/>
      <c r="V804" s="46">
        <f>IF(U804&lt;&gt;"",VLOOKUP(U804,'Tipo Projeto'!$A$3:$B$35,2,0),0)</f>
        <v>0</v>
      </c>
      <c r="W804" s="47"/>
      <c r="X804" s="49"/>
      <c r="Y804" s="50"/>
      <c r="Z804" s="51"/>
      <c r="AA804" s="52"/>
      <c r="AB804" s="53" t="str">
        <f t="shared" si="175"/>
        <v/>
      </c>
      <c r="AC804" s="48" t="str">
        <f t="shared" si="176"/>
        <v/>
      </c>
      <c r="AD804" s="54" t="str">
        <f t="shared" si="177"/>
        <v/>
      </c>
      <c r="AE804" s="55">
        <f t="shared" si="178"/>
        <v>0</v>
      </c>
      <c r="AF804" s="55">
        <f t="shared" si="179"/>
        <v>0</v>
      </c>
      <c r="AG804" s="58">
        <f t="shared" si="180"/>
        <v>0</v>
      </c>
      <c r="AH804" s="47"/>
      <c r="AJ804" s="47"/>
      <c r="AL804" s="47"/>
      <c r="AM804" s="47" t="str">
        <f t="shared" si="181"/>
        <v/>
      </c>
    </row>
    <row r="805" spans="1:39" s="56" customFormat="1" ht="24.75" customHeight="1">
      <c r="A805" s="44"/>
      <c r="B805" s="45"/>
      <c r="C805" s="46">
        <f>IF(B805&lt;&gt;"",VLOOKUP(B805,'Tipo Projeto'!$A$3:$B$35,2,0),0)</f>
        <v>0</v>
      </c>
      <c r="D805" s="47"/>
      <c r="E805" s="47"/>
      <c r="F805" s="48"/>
      <c r="G805" s="47"/>
      <c r="H805" s="49"/>
      <c r="I805" s="50"/>
      <c r="J805" s="51"/>
      <c r="K805" s="52"/>
      <c r="L805" s="53" t="str">
        <f t="shared" si="169"/>
        <v/>
      </c>
      <c r="M805" s="48" t="str">
        <f t="shared" si="170"/>
        <v/>
      </c>
      <c r="N805" s="54" t="str">
        <f t="shared" si="171"/>
        <v/>
      </c>
      <c r="O805" s="55">
        <f t="shared" si="172"/>
        <v>0</v>
      </c>
      <c r="P805" s="55">
        <f t="shared" si="173"/>
        <v>0</v>
      </c>
      <c r="Q805" s="54">
        <f t="shared" si="174"/>
        <v>0</v>
      </c>
      <c r="R805" s="47"/>
      <c r="T805" s="57"/>
      <c r="U805" s="45"/>
      <c r="V805" s="46">
        <f>IF(U805&lt;&gt;"",VLOOKUP(U805,'Tipo Projeto'!$A$3:$B$35,2,0),0)</f>
        <v>0</v>
      </c>
      <c r="W805" s="47"/>
      <c r="X805" s="49"/>
      <c r="Y805" s="50"/>
      <c r="Z805" s="51"/>
      <c r="AA805" s="52"/>
      <c r="AB805" s="53" t="str">
        <f t="shared" si="175"/>
        <v/>
      </c>
      <c r="AC805" s="48" t="str">
        <f t="shared" si="176"/>
        <v/>
      </c>
      <c r="AD805" s="54" t="str">
        <f t="shared" si="177"/>
        <v/>
      </c>
      <c r="AE805" s="55">
        <f t="shared" si="178"/>
        <v>0</v>
      </c>
      <c r="AF805" s="55">
        <f t="shared" si="179"/>
        <v>0</v>
      </c>
      <c r="AG805" s="58">
        <f t="shared" si="180"/>
        <v>0</v>
      </c>
      <c r="AH805" s="47"/>
      <c r="AJ805" s="47"/>
      <c r="AL805" s="47"/>
      <c r="AM805" s="47" t="str">
        <f t="shared" si="181"/>
        <v/>
      </c>
    </row>
    <row r="806" spans="1:39" s="56" customFormat="1" ht="24.75" customHeight="1">
      <c r="A806" s="44"/>
      <c r="B806" s="45"/>
      <c r="C806" s="46">
        <f>IF(B806&lt;&gt;"",VLOOKUP(B806,'Tipo Projeto'!$A$3:$B$35,2,0),0)</f>
        <v>0</v>
      </c>
      <c r="D806" s="47"/>
      <c r="E806" s="47"/>
      <c r="F806" s="48"/>
      <c r="G806" s="47"/>
      <c r="H806" s="49"/>
      <c r="I806" s="50"/>
      <c r="J806" s="51"/>
      <c r="K806" s="52"/>
      <c r="L806" s="53" t="str">
        <f t="shared" si="169"/>
        <v/>
      </c>
      <c r="M806" s="48" t="str">
        <f t="shared" si="170"/>
        <v/>
      </c>
      <c r="N806" s="54" t="str">
        <f t="shared" si="171"/>
        <v/>
      </c>
      <c r="O806" s="55">
        <f t="shared" si="172"/>
        <v>0</v>
      </c>
      <c r="P806" s="55">
        <f t="shared" si="173"/>
        <v>0</v>
      </c>
      <c r="Q806" s="54">
        <f t="shared" si="174"/>
        <v>0</v>
      </c>
      <c r="R806" s="47"/>
      <c r="T806" s="57"/>
      <c r="U806" s="45"/>
      <c r="V806" s="46">
        <f>IF(U806&lt;&gt;"",VLOOKUP(U806,'Tipo Projeto'!$A$3:$B$35,2,0),0)</f>
        <v>0</v>
      </c>
      <c r="W806" s="47"/>
      <c r="X806" s="49"/>
      <c r="Y806" s="50"/>
      <c r="Z806" s="51"/>
      <c r="AA806" s="52"/>
      <c r="AB806" s="53" t="str">
        <f t="shared" si="175"/>
        <v/>
      </c>
      <c r="AC806" s="48" t="str">
        <f t="shared" si="176"/>
        <v/>
      </c>
      <c r="AD806" s="54" t="str">
        <f t="shared" si="177"/>
        <v/>
      </c>
      <c r="AE806" s="55">
        <f t="shared" si="178"/>
        <v>0</v>
      </c>
      <c r="AF806" s="55">
        <f t="shared" si="179"/>
        <v>0</v>
      </c>
      <c r="AG806" s="58">
        <f t="shared" si="180"/>
        <v>0</v>
      </c>
      <c r="AH806" s="47"/>
      <c r="AJ806" s="47"/>
      <c r="AL806" s="47"/>
      <c r="AM806" s="47" t="str">
        <f t="shared" si="181"/>
        <v/>
      </c>
    </row>
    <row r="807" spans="1:39" s="56" customFormat="1" ht="24.75" customHeight="1">
      <c r="A807" s="44"/>
      <c r="B807" s="45"/>
      <c r="C807" s="46">
        <f>IF(B807&lt;&gt;"",VLOOKUP(B807,'Tipo Projeto'!$A$3:$B$35,2,0),0)</f>
        <v>0</v>
      </c>
      <c r="D807" s="47"/>
      <c r="E807" s="47"/>
      <c r="F807" s="48"/>
      <c r="G807" s="47"/>
      <c r="H807" s="49"/>
      <c r="I807" s="50"/>
      <c r="J807" s="51"/>
      <c r="K807" s="52"/>
      <c r="L807" s="53" t="str">
        <f t="shared" si="169"/>
        <v/>
      </c>
      <c r="M807" s="48" t="str">
        <f t="shared" si="170"/>
        <v/>
      </c>
      <c r="N807" s="54" t="str">
        <f t="shared" si="171"/>
        <v/>
      </c>
      <c r="O807" s="55">
        <f t="shared" si="172"/>
        <v>0</v>
      </c>
      <c r="P807" s="55">
        <f t="shared" si="173"/>
        <v>0</v>
      </c>
      <c r="Q807" s="54">
        <f t="shared" si="174"/>
        <v>0</v>
      </c>
      <c r="R807" s="47"/>
      <c r="T807" s="57"/>
      <c r="U807" s="45"/>
      <c r="V807" s="46">
        <f>IF(U807&lt;&gt;"",VLOOKUP(U807,'Tipo Projeto'!$A$3:$B$35,2,0),0)</f>
        <v>0</v>
      </c>
      <c r="W807" s="47"/>
      <c r="X807" s="49"/>
      <c r="Y807" s="50"/>
      <c r="Z807" s="51"/>
      <c r="AA807" s="52"/>
      <c r="AB807" s="53" t="str">
        <f t="shared" si="175"/>
        <v/>
      </c>
      <c r="AC807" s="48" t="str">
        <f t="shared" si="176"/>
        <v/>
      </c>
      <c r="AD807" s="54" t="str">
        <f t="shared" si="177"/>
        <v/>
      </c>
      <c r="AE807" s="55">
        <f t="shared" si="178"/>
        <v>0</v>
      </c>
      <c r="AF807" s="55">
        <f t="shared" si="179"/>
        <v>0</v>
      </c>
      <c r="AG807" s="58">
        <f t="shared" si="180"/>
        <v>0</v>
      </c>
      <c r="AH807" s="47"/>
      <c r="AJ807" s="47"/>
      <c r="AL807" s="47"/>
      <c r="AM807" s="47" t="str">
        <f t="shared" si="181"/>
        <v/>
      </c>
    </row>
    <row r="808" spans="1:39" s="56" customFormat="1" ht="24.75" customHeight="1">
      <c r="A808" s="44"/>
      <c r="B808" s="45"/>
      <c r="C808" s="46">
        <f>IF(B808&lt;&gt;"",VLOOKUP(B808,'Tipo Projeto'!$A$3:$B$35,2,0),0)</f>
        <v>0</v>
      </c>
      <c r="D808" s="47"/>
      <c r="E808" s="47"/>
      <c r="F808" s="48"/>
      <c r="G808" s="47"/>
      <c r="H808" s="49"/>
      <c r="I808" s="50"/>
      <c r="J808" s="51"/>
      <c r="K808" s="52"/>
      <c r="L808" s="53" t="str">
        <f t="shared" si="169"/>
        <v/>
      </c>
      <c r="M808" s="48" t="str">
        <f t="shared" si="170"/>
        <v/>
      </c>
      <c r="N808" s="54" t="str">
        <f t="shared" si="171"/>
        <v/>
      </c>
      <c r="O808" s="55">
        <f t="shared" si="172"/>
        <v>0</v>
      </c>
      <c r="P808" s="55">
        <f t="shared" si="173"/>
        <v>0</v>
      </c>
      <c r="Q808" s="54">
        <f t="shared" si="174"/>
        <v>0</v>
      </c>
      <c r="R808" s="47"/>
      <c r="T808" s="57"/>
      <c r="U808" s="45"/>
      <c r="V808" s="46">
        <f>IF(U808&lt;&gt;"",VLOOKUP(U808,'Tipo Projeto'!$A$3:$B$35,2,0),0)</f>
        <v>0</v>
      </c>
      <c r="W808" s="47"/>
      <c r="X808" s="49"/>
      <c r="Y808" s="50"/>
      <c r="Z808" s="51"/>
      <c r="AA808" s="52"/>
      <c r="AB808" s="53" t="str">
        <f t="shared" si="175"/>
        <v/>
      </c>
      <c r="AC808" s="48" t="str">
        <f t="shared" si="176"/>
        <v/>
      </c>
      <c r="AD808" s="54" t="str">
        <f t="shared" si="177"/>
        <v/>
      </c>
      <c r="AE808" s="55">
        <f t="shared" si="178"/>
        <v>0</v>
      </c>
      <c r="AF808" s="55">
        <f t="shared" si="179"/>
        <v>0</v>
      </c>
      <c r="AG808" s="58">
        <f t="shared" si="180"/>
        <v>0</v>
      </c>
      <c r="AH808" s="47"/>
      <c r="AJ808" s="47"/>
      <c r="AL808" s="47"/>
      <c r="AM808" s="47" t="str">
        <f t="shared" si="181"/>
        <v/>
      </c>
    </row>
    <row r="809" spans="1:39" s="56" customFormat="1" ht="24.75" customHeight="1">
      <c r="A809" s="44"/>
      <c r="B809" s="45"/>
      <c r="C809" s="46">
        <f>IF(B809&lt;&gt;"",VLOOKUP(B809,'Tipo Projeto'!$A$3:$B$35,2,0),0)</f>
        <v>0</v>
      </c>
      <c r="D809" s="47"/>
      <c r="E809" s="47"/>
      <c r="F809" s="48"/>
      <c r="G809" s="47"/>
      <c r="H809" s="49"/>
      <c r="I809" s="50"/>
      <c r="J809" s="51"/>
      <c r="K809" s="52"/>
      <c r="L809" s="53" t="str">
        <f t="shared" si="169"/>
        <v/>
      </c>
      <c r="M809" s="48" t="str">
        <f t="shared" si="170"/>
        <v/>
      </c>
      <c r="N809" s="54" t="str">
        <f t="shared" si="171"/>
        <v/>
      </c>
      <c r="O809" s="55">
        <f t="shared" si="172"/>
        <v>0</v>
      </c>
      <c r="P809" s="55">
        <f t="shared" si="173"/>
        <v>0</v>
      </c>
      <c r="Q809" s="54">
        <f t="shared" si="174"/>
        <v>0</v>
      </c>
      <c r="R809" s="47"/>
      <c r="T809" s="57"/>
      <c r="U809" s="45"/>
      <c r="V809" s="46">
        <f>IF(U809&lt;&gt;"",VLOOKUP(U809,'Tipo Projeto'!$A$3:$B$35,2,0),0)</f>
        <v>0</v>
      </c>
      <c r="W809" s="47"/>
      <c r="X809" s="49"/>
      <c r="Y809" s="50"/>
      <c r="Z809" s="51"/>
      <c r="AA809" s="52"/>
      <c r="AB809" s="53" t="str">
        <f t="shared" si="175"/>
        <v/>
      </c>
      <c r="AC809" s="48" t="str">
        <f t="shared" si="176"/>
        <v/>
      </c>
      <c r="AD809" s="54" t="str">
        <f t="shared" si="177"/>
        <v/>
      </c>
      <c r="AE809" s="55">
        <f t="shared" si="178"/>
        <v>0</v>
      </c>
      <c r="AF809" s="55">
        <f t="shared" si="179"/>
        <v>0</v>
      </c>
      <c r="AG809" s="58">
        <f t="shared" si="180"/>
        <v>0</v>
      </c>
      <c r="AH809" s="47"/>
      <c r="AJ809" s="47"/>
      <c r="AL809" s="47"/>
      <c r="AM809" s="47" t="str">
        <f t="shared" si="181"/>
        <v/>
      </c>
    </row>
    <row r="810" spans="1:39" s="56" customFormat="1" ht="24.75" customHeight="1">
      <c r="A810" s="44"/>
      <c r="B810" s="45"/>
      <c r="C810" s="46">
        <f>IF(B810&lt;&gt;"",VLOOKUP(B810,'Tipo Projeto'!$A$3:$B$35,2,0),0)</f>
        <v>0</v>
      </c>
      <c r="D810" s="47"/>
      <c r="E810" s="47"/>
      <c r="F810" s="48"/>
      <c r="G810" s="47"/>
      <c r="H810" s="49"/>
      <c r="I810" s="50"/>
      <c r="J810" s="51"/>
      <c r="K810" s="52"/>
      <c r="L810" s="53" t="str">
        <f t="shared" si="169"/>
        <v/>
      </c>
      <c r="M810" s="48" t="str">
        <f t="shared" si="170"/>
        <v/>
      </c>
      <c r="N810" s="54" t="str">
        <f t="shared" si="171"/>
        <v/>
      </c>
      <c r="O810" s="55">
        <f t="shared" si="172"/>
        <v>0</v>
      </c>
      <c r="P810" s="55">
        <f t="shared" si="173"/>
        <v>0</v>
      </c>
      <c r="Q810" s="54">
        <f t="shared" si="174"/>
        <v>0</v>
      </c>
      <c r="R810" s="47"/>
      <c r="T810" s="57"/>
      <c r="U810" s="45"/>
      <c r="V810" s="46">
        <f>IF(U810&lt;&gt;"",VLOOKUP(U810,'Tipo Projeto'!$A$3:$B$35,2,0),0)</f>
        <v>0</v>
      </c>
      <c r="W810" s="47"/>
      <c r="X810" s="49"/>
      <c r="Y810" s="50"/>
      <c r="Z810" s="51"/>
      <c r="AA810" s="52"/>
      <c r="AB810" s="53" t="str">
        <f t="shared" si="175"/>
        <v/>
      </c>
      <c r="AC810" s="48" t="str">
        <f t="shared" si="176"/>
        <v/>
      </c>
      <c r="AD810" s="54" t="str">
        <f t="shared" si="177"/>
        <v/>
      </c>
      <c r="AE810" s="55">
        <f t="shared" si="178"/>
        <v>0</v>
      </c>
      <c r="AF810" s="55">
        <f t="shared" si="179"/>
        <v>0</v>
      </c>
      <c r="AG810" s="58">
        <f t="shared" si="180"/>
        <v>0</v>
      </c>
      <c r="AH810" s="47"/>
      <c r="AJ810" s="47"/>
      <c r="AL810" s="47"/>
      <c r="AM810" s="47" t="str">
        <f t="shared" si="181"/>
        <v/>
      </c>
    </row>
    <row r="811" spans="1:39" s="56" customFormat="1" ht="24.75" customHeight="1">
      <c r="A811" s="44"/>
      <c r="B811" s="45"/>
      <c r="C811" s="46">
        <f>IF(B811&lt;&gt;"",VLOOKUP(B811,'Tipo Projeto'!$A$3:$B$35,2,0),0)</f>
        <v>0</v>
      </c>
      <c r="D811" s="47"/>
      <c r="E811" s="47"/>
      <c r="F811" s="48"/>
      <c r="G811" s="47"/>
      <c r="H811" s="49"/>
      <c r="I811" s="50"/>
      <c r="J811" s="51"/>
      <c r="K811" s="52"/>
      <c r="L811" s="53" t="str">
        <f t="shared" si="169"/>
        <v/>
      </c>
      <c r="M811" s="48" t="str">
        <f t="shared" si="170"/>
        <v/>
      </c>
      <c r="N811" s="54" t="str">
        <f t="shared" si="171"/>
        <v/>
      </c>
      <c r="O811" s="55">
        <f t="shared" si="172"/>
        <v>0</v>
      </c>
      <c r="P811" s="55">
        <f t="shared" si="173"/>
        <v>0</v>
      </c>
      <c r="Q811" s="54">
        <f t="shared" si="174"/>
        <v>0</v>
      </c>
      <c r="R811" s="47"/>
      <c r="T811" s="57"/>
      <c r="U811" s="45"/>
      <c r="V811" s="46">
        <f>IF(U811&lt;&gt;"",VLOOKUP(U811,'Tipo Projeto'!$A$3:$B$35,2,0),0)</f>
        <v>0</v>
      </c>
      <c r="W811" s="47"/>
      <c r="X811" s="49"/>
      <c r="Y811" s="50"/>
      <c r="Z811" s="51"/>
      <c r="AA811" s="52"/>
      <c r="AB811" s="53" t="str">
        <f t="shared" si="175"/>
        <v/>
      </c>
      <c r="AC811" s="48" t="str">
        <f t="shared" si="176"/>
        <v/>
      </c>
      <c r="AD811" s="54" t="str">
        <f t="shared" si="177"/>
        <v/>
      </c>
      <c r="AE811" s="55">
        <f t="shared" si="178"/>
        <v>0</v>
      </c>
      <c r="AF811" s="55">
        <f t="shared" si="179"/>
        <v>0</v>
      </c>
      <c r="AG811" s="58">
        <f t="shared" si="180"/>
        <v>0</v>
      </c>
      <c r="AH811" s="47"/>
      <c r="AJ811" s="47"/>
      <c r="AL811" s="47"/>
      <c r="AM811" s="47" t="str">
        <f t="shared" si="181"/>
        <v/>
      </c>
    </row>
    <row r="812" spans="1:39" s="56" customFormat="1" ht="24.75" customHeight="1">
      <c r="A812" s="44"/>
      <c r="B812" s="45"/>
      <c r="C812" s="46">
        <f>IF(B812&lt;&gt;"",VLOOKUP(B812,'Tipo Projeto'!$A$3:$B$35,2,0),0)</f>
        <v>0</v>
      </c>
      <c r="D812" s="47"/>
      <c r="E812" s="47"/>
      <c r="F812" s="48"/>
      <c r="G812" s="47"/>
      <c r="H812" s="49"/>
      <c r="I812" s="50"/>
      <c r="J812" s="51"/>
      <c r="K812" s="52"/>
      <c r="L812" s="53" t="str">
        <f t="shared" si="169"/>
        <v/>
      </c>
      <c r="M812" s="48" t="str">
        <f t="shared" si="170"/>
        <v/>
      </c>
      <c r="N812" s="54" t="str">
        <f t="shared" si="171"/>
        <v/>
      </c>
      <c r="O812" s="55">
        <f t="shared" si="172"/>
        <v>0</v>
      </c>
      <c r="P812" s="55">
        <f t="shared" si="173"/>
        <v>0</v>
      </c>
      <c r="Q812" s="54">
        <f t="shared" si="174"/>
        <v>0</v>
      </c>
      <c r="R812" s="47"/>
      <c r="T812" s="57"/>
      <c r="U812" s="45"/>
      <c r="V812" s="46">
        <f>IF(U812&lt;&gt;"",VLOOKUP(U812,'Tipo Projeto'!$A$3:$B$35,2,0),0)</f>
        <v>0</v>
      </c>
      <c r="W812" s="47"/>
      <c r="X812" s="49"/>
      <c r="Y812" s="50"/>
      <c r="Z812" s="51"/>
      <c r="AA812" s="52"/>
      <c r="AB812" s="53" t="str">
        <f t="shared" si="175"/>
        <v/>
      </c>
      <c r="AC812" s="48" t="str">
        <f t="shared" si="176"/>
        <v/>
      </c>
      <c r="AD812" s="54" t="str">
        <f t="shared" si="177"/>
        <v/>
      </c>
      <c r="AE812" s="55">
        <f t="shared" si="178"/>
        <v>0</v>
      </c>
      <c r="AF812" s="55">
        <f t="shared" si="179"/>
        <v>0</v>
      </c>
      <c r="AG812" s="58">
        <f t="shared" si="180"/>
        <v>0</v>
      </c>
      <c r="AH812" s="47"/>
      <c r="AJ812" s="47"/>
      <c r="AL812" s="47"/>
      <c r="AM812" s="47" t="str">
        <f t="shared" si="181"/>
        <v/>
      </c>
    </row>
    <row r="813" spans="1:39" s="56" customFormat="1" ht="24.75" customHeight="1">
      <c r="A813" s="44"/>
      <c r="B813" s="45"/>
      <c r="C813" s="46">
        <f>IF(B813&lt;&gt;"",VLOOKUP(B813,'Tipo Projeto'!$A$3:$B$35,2,0),0)</f>
        <v>0</v>
      </c>
      <c r="D813" s="47"/>
      <c r="E813" s="47"/>
      <c r="F813" s="48"/>
      <c r="G813" s="47"/>
      <c r="H813" s="49"/>
      <c r="I813" s="50"/>
      <c r="J813" s="51"/>
      <c r="K813" s="52"/>
      <c r="L813" s="53" t="str">
        <f t="shared" si="169"/>
        <v/>
      </c>
      <c r="M813" s="48" t="str">
        <f t="shared" si="170"/>
        <v/>
      </c>
      <c r="N813" s="54" t="str">
        <f t="shared" si="171"/>
        <v/>
      </c>
      <c r="O813" s="55">
        <f t="shared" si="172"/>
        <v>0</v>
      </c>
      <c r="P813" s="55">
        <f t="shared" si="173"/>
        <v>0</v>
      </c>
      <c r="Q813" s="54">
        <f t="shared" si="174"/>
        <v>0</v>
      </c>
      <c r="R813" s="47"/>
      <c r="T813" s="57"/>
      <c r="U813" s="45"/>
      <c r="V813" s="46">
        <f>IF(U813&lt;&gt;"",VLOOKUP(U813,'Tipo Projeto'!$A$3:$B$35,2,0),0)</f>
        <v>0</v>
      </c>
      <c r="W813" s="47"/>
      <c r="X813" s="49"/>
      <c r="Y813" s="50"/>
      <c r="Z813" s="51"/>
      <c r="AA813" s="52"/>
      <c r="AB813" s="53" t="str">
        <f t="shared" si="175"/>
        <v/>
      </c>
      <c r="AC813" s="48" t="str">
        <f t="shared" si="176"/>
        <v/>
      </c>
      <c r="AD813" s="54" t="str">
        <f t="shared" si="177"/>
        <v/>
      </c>
      <c r="AE813" s="55">
        <f t="shared" si="178"/>
        <v>0</v>
      </c>
      <c r="AF813" s="55">
        <f t="shared" si="179"/>
        <v>0</v>
      </c>
      <c r="AG813" s="58">
        <f t="shared" si="180"/>
        <v>0</v>
      </c>
      <c r="AH813" s="47"/>
      <c r="AJ813" s="47"/>
      <c r="AL813" s="47"/>
      <c r="AM813" s="47" t="str">
        <f t="shared" si="181"/>
        <v/>
      </c>
    </row>
    <row r="814" spans="1:39" s="56" customFormat="1" ht="24.75" customHeight="1">
      <c r="A814" s="44"/>
      <c r="B814" s="45"/>
      <c r="C814" s="46">
        <f>IF(B814&lt;&gt;"",VLOOKUP(B814,'Tipo Projeto'!$A$3:$B$35,2,0),0)</f>
        <v>0</v>
      </c>
      <c r="D814" s="47"/>
      <c r="E814" s="47"/>
      <c r="F814" s="48"/>
      <c r="G814" s="47"/>
      <c r="H814" s="49"/>
      <c r="I814" s="50"/>
      <c r="J814" s="51"/>
      <c r="K814" s="52"/>
      <c r="L814" s="53" t="str">
        <f t="shared" si="169"/>
        <v/>
      </c>
      <c r="M814" s="48" t="str">
        <f t="shared" si="170"/>
        <v/>
      </c>
      <c r="N814" s="54" t="str">
        <f t="shared" si="171"/>
        <v/>
      </c>
      <c r="O814" s="55">
        <f t="shared" si="172"/>
        <v>0</v>
      </c>
      <c r="P814" s="55">
        <f t="shared" si="173"/>
        <v>0</v>
      </c>
      <c r="Q814" s="54">
        <f t="shared" si="174"/>
        <v>0</v>
      </c>
      <c r="R814" s="47"/>
      <c r="T814" s="57"/>
      <c r="U814" s="45"/>
      <c r="V814" s="46">
        <f>IF(U814&lt;&gt;"",VLOOKUP(U814,'Tipo Projeto'!$A$3:$B$35,2,0),0)</f>
        <v>0</v>
      </c>
      <c r="W814" s="47"/>
      <c r="X814" s="49"/>
      <c r="Y814" s="50"/>
      <c r="Z814" s="51"/>
      <c r="AA814" s="52"/>
      <c r="AB814" s="53" t="str">
        <f t="shared" si="175"/>
        <v/>
      </c>
      <c r="AC814" s="48" t="str">
        <f t="shared" si="176"/>
        <v/>
      </c>
      <c r="AD814" s="54" t="str">
        <f t="shared" si="177"/>
        <v/>
      </c>
      <c r="AE814" s="55">
        <f t="shared" si="178"/>
        <v>0</v>
      </c>
      <c r="AF814" s="55">
        <f t="shared" si="179"/>
        <v>0</v>
      </c>
      <c r="AG814" s="58">
        <f t="shared" si="180"/>
        <v>0</v>
      </c>
      <c r="AH814" s="47"/>
      <c r="AJ814" s="47"/>
      <c r="AL814" s="47"/>
      <c r="AM814" s="47" t="str">
        <f t="shared" si="181"/>
        <v/>
      </c>
    </row>
    <row r="815" spans="1:39" s="56" customFormat="1" ht="24.75" customHeight="1">
      <c r="A815" s="44"/>
      <c r="B815" s="45"/>
      <c r="C815" s="46">
        <f>IF(B815&lt;&gt;"",VLOOKUP(B815,'Tipo Projeto'!$A$3:$B$35,2,0),0)</f>
        <v>0</v>
      </c>
      <c r="D815" s="47"/>
      <c r="E815" s="47"/>
      <c r="F815" s="48"/>
      <c r="G815" s="47"/>
      <c r="H815" s="49"/>
      <c r="I815" s="50"/>
      <c r="J815" s="51"/>
      <c r="K815" s="52"/>
      <c r="L815" s="53" t="str">
        <f t="shared" si="169"/>
        <v/>
      </c>
      <c r="M815" s="48" t="str">
        <f t="shared" si="170"/>
        <v/>
      </c>
      <c r="N815" s="54" t="str">
        <f t="shared" si="171"/>
        <v/>
      </c>
      <c r="O815" s="55">
        <f t="shared" si="172"/>
        <v>0</v>
      </c>
      <c r="P815" s="55">
        <f t="shared" si="173"/>
        <v>0</v>
      </c>
      <c r="Q815" s="54">
        <f t="shared" si="174"/>
        <v>0</v>
      </c>
      <c r="R815" s="47"/>
      <c r="T815" s="57"/>
      <c r="U815" s="45"/>
      <c r="V815" s="46">
        <f>IF(U815&lt;&gt;"",VLOOKUP(U815,'Tipo Projeto'!$A$3:$B$35,2,0),0)</f>
        <v>0</v>
      </c>
      <c r="W815" s="47"/>
      <c r="X815" s="49"/>
      <c r="Y815" s="50"/>
      <c r="Z815" s="51"/>
      <c r="AA815" s="52"/>
      <c r="AB815" s="53" t="str">
        <f t="shared" si="175"/>
        <v/>
      </c>
      <c r="AC815" s="48" t="str">
        <f t="shared" si="176"/>
        <v/>
      </c>
      <c r="AD815" s="54" t="str">
        <f t="shared" si="177"/>
        <v/>
      </c>
      <c r="AE815" s="55">
        <f t="shared" si="178"/>
        <v>0</v>
      </c>
      <c r="AF815" s="55">
        <f t="shared" si="179"/>
        <v>0</v>
      </c>
      <c r="AG815" s="58">
        <f t="shared" si="180"/>
        <v>0</v>
      </c>
      <c r="AH815" s="47"/>
      <c r="AJ815" s="47"/>
      <c r="AL815" s="47"/>
      <c r="AM815" s="47" t="str">
        <f t="shared" si="181"/>
        <v/>
      </c>
    </row>
    <row r="816" spans="1:39" s="56" customFormat="1" ht="24.75" customHeight="1">
      <c r="A816" s="44"/>
      <c r="B816" s="45"/>
      <c r="C816" s="46">
        <f>IF(B816&lt;&gt;"",VLOOKUP(B816,'Tipo Projeto'!$A$3:$B$35,2,0),0)</f>
        <v>0</v>
      </c>
      <c r="D816" s="47"/>
      <c r="E816" s="47"/>
      <c r="F816" s="48"/>
      <c r="G816" s="47"/>
      <c r="H816" s="49"/>
      <c r="I816" s="50"/>
      <c r="J816" s="51"/>
      <c r="K816" s="52"/>
      <c r="L816" s="53" t="str">
        <f t="shared" si="169"/>
        <v/>
      </c>
      <c r="M816" s="48" t="str">
        <f t="shared" si="170"/>
        <v/>
      </c>
      <c r="N816" s="54" t="str">
        <f t="shared" si="171"/>
        <v/>
      </c>
      <c r="O816" s="55">
        <f t="shared" si="172"/>
        <v>0</v>
      </c>
      <c r="P816" s="55">
        <f t="shared" si="173"/>
        <v>0</v>
      </c>
      <c r="Q816" s="54">
        <f t="shared" si="174"/>
        <v>0</v>
      </c>
      <c r="R816" s="47"/>
      <c r="T816" s="57"/>
      <c r="U816" s="45"/>
      <c r="V816" s="46">
        <f>IF(U816&lt;&gt;"",VLOOKUP(U816,'Tipo Projeto'!$A$3:$B$35,2,0),0)</f>
        <v>0</v>
      </c>
      <c r="W816" s="47"/>
      <c r="X816" s="49"/>
      <c r="Y816" s="50"/>
      <c r="Z816" s="51"/>
      <c r="AA816" s="52"/>
      <c r="AB816" s="53" t="str">
        <f t="shared" si="175"/>
        <v/>
      </c>
      <c r="AC816" s="48" t="str">
        <f t="shared" si="176"/>
        <v/>
      </c>
      <c r="AD816" s="54" t="str">
        <f t="shared" si="177"/>
        <v/>
      </c>
      <c r="AE816" s="55">
        <f t="shared" si="178"/>
        <v>0</v>
      </c>
      <c r="AF816" s="55">
        <f t="shared" si="179"/>
        <v>0</v>
      </c>
      <c r="AG816" s="58">
        <f t="shared" si="180"/>
        <v>0</v>
      </c>
      <c r="AH816" s="47"/>
      <c r="AJ816" s="47"/>
      <c r="AL816" s="47"/>
      <c r="AM816" s="47" t="str">
        <f t="shared" si="181"/>
        <v/>
      </c>
    </row>
    <row r="817" spans="1:39" s="56" customFormat="1" ht="24.75" customHeight="1">
      <c r="A817" s="44"/>
      <c r="B817" s="45"/>
      <c r="C817" s="46">
        <f>IF(B817&lt;&gt;"",VLOOKUP(B817,'Tipo Projeto'!$A$3:$B$35,2,0),0)</f>
        <v>0</v>
      </c>
      <c r="D817" s="47"/>
      <c r="E817" s="47"/>
      <c r="F817" s="48"/>
      <c r="G817" s="47"/>
      <c r="H817" s="49"/>
      <c r="I817" s="50"/>
      <c r="J817" s="51"/>
      <c r="K817" s="52"/>
      <c r="L817" s="53" t="str">
        <f t="shared" si="169"/>
        <v/>
      </c>
      <c r="M817" s="48" t="str">
        <f t="shared" si="170"/>
        <v/>
      </c>
      <c r="N817" s="54" t="str">
        <f t="shared" si="171"/>
        <v/>
      </c>
      <c r="O817" s="55">
        <f t="shared" si="172"/>
        <v>0</v>
      </c>
      <c r="P817" s="55">
        <f t="shared" si="173"/>
        <v>0</v>
      </c>
      <c r="Q817" s="54">
        <f t="shared" si="174"/>
        <v>0</v>
      </c>
      <c r="R817" s="47"/>
      <c r="T817" s="57"/>
      <c r="U817" s="45"/>
      <c r="V817" s="46">
        <f>IF(U817&lt;&gt;"",VLOOKUP(U817,'Tipo Projeto'!$A$3:$B$35,2,0),0)</f>
        <v>0</v>
      </c>
      <c r="W817" s="47"/>
      <c r="X817" s="49"/>
      <c r="Y817" s="50"/>
      <c r="Z817" s="51"/>
      <c r="AA817" s="52"/>
      <c r="AB817" s="53" t="str">
        <f t="shared" si="175"/>
        <v/>
      </c>
      <c r="AC817" s="48" t="str">
        <f t="shared" si="176"/>
        <v/>
      </c>
      <c r="AD817" s="54" t="str">
        <f t="shared" si="177"/>
        <v/>
      </c>
      <c r="AE817" s="55">
        <f t="shared" si="178"/>
        <v>0</v>
      </c>
      <c r="AF817" s="55">
        <f t="shared" si="179"/>
        <v>0</v>
      </c>
      <c r="AG817" s="58">
        <f t="shared" si="180"/>
        <v>0</v>
      </c>
      <c r="AH817" s="47"/>
      <c r="AJ817" s="47"/>
      <c r="AL817" s="47"/>
      <c r="AM817" s="47" t="str">
        <f t="shared" si="181"/>
        <v/>
      </c>
    </row>
    <row r="818" spans="1:39" s="56" customFormat="1" ht="24.75" customHeight="1">
      <c r="A818" s="44"/>
      <c r="B818" s="45"/>
      <c r="C818" s="46">
        <f>IF(B818&lt;&gt;"",VLOOKUP(B818,'Tipo Projeto'!$A$3:$B$35,2,0),0)</f>
        <v>0</v>
      </c>
      <c r="D818" s="47"/>
      <c r="E818" s="47"/>
      <c r="F818" s="48"/>
      <c r="G818" s="47"/>
      <c r="H818" s="49"/>
      <c r="I818" s="50"/>
      <c r="J818" s="51"/>
      <c r="K818" s="52"/>
      <c r="L818" s="53" t="str">
        <f t="shared" si="169"/>
        <v/>
      </c>
      <c r="M818" s="48" t="str">
        <f t="shared" si="170"/>
        <v/>
      </c>
      <c r="N818" s="54" t="str">
        <f t="shared" si="171"/>
        <v/>
      </c>
      <c r="O818" s="55">
        <f t="shared" si="172"/>
        <v>0</v>
      </c>
      <c r="P818" s="55">
        <f t="shared" si="173"/>
        <v>0</v>
      </c>
      <c r="Q818" s="54">
        <f t="shared" si="174"/>
        <v>0</v>
      </c>
      <c r="R818" s="47"/>
      <c r="T818" s="57"/>
      <c r="U818" s="45"/>
      <c r="V818" s="46">
        <f>IF(U818&lt;&gt;"",VLOOKUP(U818,'Tipo Projeto'!$A$3:$B$35,2,0),0)</f>
        <v>0</v>
      </c>
      <c r="W818" s="47"/>
      <c r="X818" s="49"/>
      <c r="Y818" s="50"/>
      <c r="Z818" s="51"/>
      <c r="AA818" s="52"/>
      <c r="AB818" s="53" t="str">
        <f t="shared" si="175"/>
        <v/>
      </c>
      <c r="AC818" s="48" t="str">
        <f t="shared" si="176"/>
        <v/>
      </c>
      <c r="AD818" s="54" t="str">
        <f t="shared" si="177"/>
        <v/>
      </c>
      <c r="AE818" s="55">
        <f t="shared" si="178"/>
        <v>0</v>
      </c>
      <c r="AF818" s="55">
        <f t="shared" si="179"/>
        <v>0</v>
      </c>
      <c r="AG818" s="58">
        <f t="shared" si="180"/>
        <v>0</v>
      </c>
      <c r="AH818" s="47"/>
      <c r="AJ818" s="47"/>
      <c r="AL818" s="47"/>
      <c r="AM818" s="47" t="str">
        <f t="shared" si="181"/>
        <v/>
      </c>
    </row>
    <row r="819" spans="1:39" s="56" customFormat="1" ht="24.75" customHeight="1">
      <c r="A819" s="44"/>
      <c r="B819" s="45"/>
      <c r="C819" s="46">
        <f>IF(B819&lt;&gt;"",VLOOKUP(B819,'Tipo Projeto'!$A$3:$B$35,2,0),0)</f>
        <v>0</v>
      </c>
      <c r="D819" s="47"/>
      <c r="E819" s="47"/>
      <c r="F819" s="48"/>
      <c r="G819" s="47"/>
      <c r="H819" s="49"/>
      <c r="I819" s="50"/>
      <c r="J819" s="51"/>
      <c r="K819" s="52"/>
      <c r="L819" s="53" t="str">
        <f t="shared" si="169"/>
        <v/>
      </c>
      <c r="M819" s="48" t="str">
        <f t="shared" si="170"/>
        <v/>
      </c>
      <c r="N819" s="54" t="str">
        <f t="shared" si="171"/>
        <v/>
      </c>
      <c r="O819" s="55">
        <f t="shared" si="172"/>
        <v>0</v>
      </c>
      <c r="P819" s="55">
        <f t="shared" si="173"/>
        <v>0</v>
      </c>
      <c r="Q819" s="54">
        <f t="shared" si="174"/>
        <v>0</v>
      </c>
      <c r="R819" s="47"/>
      <c r="T819" s="57"/>
      <c r="U819" s="45"/>
      <c r="V819" s="46">
        <f>IF(U819&lt;&gt;"",VLOOKUP(U819,'Tipo Projeto'!$A$3:$B$35,2,0),0)</f>
        <v>0</v>
      </c>
      <c r="W819" s="47"/>
      <c r="X819" s="49"/>
      <c r="Y819" s="50"/>
      <c r="Z819" s="51"/>
      <c r="AA819" s="52"/>
      <c r="AB819" s="53" t="str">
        <f t="shared" si="175"/>
        <v/>
      </c>
      <c r="AC819" s="48" t="str">
        <f t="shared" si="176"/>
        <v/>
      </c>
      <c r="AD819" s="54" t="str">
        <f t="shared" si="177"/>
        <v/>
      </c>
      <c r="AE819" s="55">
        <f t="shared" si="178"/>
        <v>0</v>
      </c>
      <c r="AF819" s="55">
        <f t="shared" si="179"/>
        <v>0</v>
      </c>
      <c r="AG819" s="58">
        <f t="shared" si="180"/>
        <v>0</v>
      </c>
      <c r="AH819" s="47"/>
      <c r="AJ819" s="47"/>
      <c r="AL819" s="47"/>
      <c r="AM819" s="47" t="str">
        <f t="shared" si="181"/>
        <v/>
      </c>
    </row>
    <row r="820" spans="1:39" s="56" customFormat="1" ht="24.75" customHeight="1">
      <c r="A820" s="44"/>
      <c r="B820" s="45"/>
      <c r="C820" s="46">
        <f>IF(B820&lt;&gt;"",VLOOKUP(B820,'Tipo Projeto'!$A$3:$B$35,2,0),0)</f>
        <v>0</v>
      </c>
      <c r="D820" s="47"/>
      <c r="E820" s="47"/>
      <c r="F820" s="48"/>
      <c r="G820" s="47"/>
      <c r="H820" s="49"/>
      <c r="I820" s="50"/>
      <c r="J820" s="51"/>
      <c r="K820" s="52"/>
      <c r="L820" s="53" t="str">
        <f t="shared" si="169"/>
        <v/>
      </c>
      <c r="M820" s="48" t="str">
        <f t="shared" si="170"/>
        <v/>
      </c>
      <c r="N820" s="54" t="str">
        <f t="shared" si="171"/>
        <v/>
      </c>
      <c r="O820" s="55">
        <f t="shared" si="172"/>
        <v>0</v>
      </c>
      <c r="P820" s="55">
        <f t="shared" si="173"/>
        <v>0</v>
      </c>
      <c r="Q820" s="54">
        <f t="shared" si="174"/>
        <v>0</v>
      </c>
      <c r="R820" s="47"/>
      <c r="T820" s="57"/>
      <c r="U820" s="45"/>
      <c r="V820" s="46">
        <f>IF(U820&lt;&gt;"",VLOOKUP(U820,'Tipo Projeto'!$A$3:$B$35,2,0),0)</f>
        <v>0</v>
      </c>
      <c r="W820" s="47"/>
      <c r="X820" s="49"/>
      <c r="Y820" s="50"/>
      <c r="Z820" s="51"/>
      <c r="AA820" s="52"/>
      <c r="AB820" s="53" t="str">
        <f t="shared" si="175"/>
        <v/>
      </c>
      <c r="AC820" s="48" t="str">
        <f t="shared" si="176"/>
        <v/>
      </c>
      <c r="AD820" s="54" t="str">
        <f t="shared" si="177"/>
        <v/>
      </c>
      <c r="AE820" s="55">
        <f t="shared" si="178"/>
        <v>0</v>
      </c>
      <c r="AF820" s="55">
        <f t="shared" si="179"/>
        <v>0</v>
      </c>
      <c r="AG820" s="58">
        <f t="shared" si="180"/>
        <v>0</v>
      </c>
      <c r="AH820" s="47"/>
      <c r="AJ820" s="47"/>
      <c r="AL820" s="47"/>
      <c r="AM820" s="47" t="str">
        <f t="shared" si="181"/>
        <v/>
      </c>
    </row>
    <row r="821" spans="1:39" s="56" customFormat="1" ht="24.75" customHeight="1">
      <c r="A821" s="44"/>
      <c r="B821" s="45"/>
      <c r="C821" s="46">
        <f>IF(B821&lt;&gt;"",VLOOKUP(B821,'Tipo Projeto'!$A$3:$B$35,2,0),0)</f>
        <v>0</v>
      </c>
      <c r="D821" s="47"/>
      <c r="E821" s="47"/>
      <c r="F821" s="48"/>
      <c r="G821" s="47"/>
      <c r="H821" s="49"/>
      <c r="I821" s="50"/>
      <c r="J821" s="51"/>
      <c r="K821" s="52"/>
      <c r="L821" s="53" t="str">
        <f t="shared" ref="L821:L884" si="182">IF(G821="EE",IF(OR(AND(OR(J821=1,J821=0),H821&gt;0,H821&lt;5),AND(OR(J821=1,J821=0),H821&gt;4,H821&lt;16),AND(J821=2,H821&gt;0,H821&lt;5)),"Simples",IF(OR(AND(OR(J821=1,J821=0),H821&gt;15),AND(J821=2,H821&gt;4,H821&lt;16),AND(J821&gt;2,H821&gt;0,H821&lt;5)),"Médio",IF(OR(AND(J821=2,H821&gt;15),AND(J821&gt;2,H821&gt;4,H821&lt;16),AND(J821&gt;2,H821&gt;15)),"Complexo",""))), IF(OR(G821="CE",G821="SE"),IF(OR(AND(OR(J821=1,J821=0),H821&gt;0,H821&lt;6),AND(OR(J821=1,J821=0),H821&gt;5,H821&lt;20),AND(J821&gt;1,J821&lt;4,H821&gt;0,H821&lt;6)),"Simples",IF(OR(AND(OR(J821=1,J821=0),H821&gt;19),AND(J821&gt;1,J821&lt;4,H821&gt;5,H821&lt;20),AND(J821&gt;3,H821&gt;0,H821&lt;6)),"Médio",IF(OR(AND(J821&gt;1,J821&lt;4,H821&gt;19),AND(J821&gt;3,H821&gt;5,H821&lt;20),AND(J821&gt;3,H821&gt;19)),"Complexo",""))),""))</f>
        <v/>
      </c>
      <c r="M821" s="48" t="str">
        <f t="shared" ref="M821:M884" si="183">IF(G821="ALI",IF(OR(AND(OR(J821=1,J821=0),H821&gt;0,H821&lt;20),AND(OR(J821=1,J821=0),H821&gt;19,H821&lt;51),AND(J821&gt;1,J821&lt;6,H821&gt;0,H821&lt;20)),"Simples",IF(OR(AND(OR(J821=1,J821=0),H821&gt;50),AND(J821&gt;1,J821&lt;6,H821&gt;19,H821&lt;51),AND(J821&gt;5,H821&gt;0,H821&lt;20)),"Médio",IF(OR(AND(J821&gt;1,J821&lt;6,H821&gt;50),AND(J821&gt;5,H821&gt;19,H821&lt;51),AND(J821&gt;5,H821&gt;50)),"Complexo",""))), IF(G821="AIE",IF(OR(AND(OR(J821=1, J821=0),H821&gt;0,H821&lt;20),AND(OR(J821=1, J821=0),H821&gt;19,H821&lt;51),AND(J821&gt;1,J821&lt;6,H821&gt;0,H821&lt;20)),"Simples",IF(OR(AND(OR(J821=1, J821=0),H821&gt;50),AND(J821&gt;1,J821&lt;6,H821&gt;19,H821&lt;51),AND(J821&gt;5,H821&gt;0,H821&lt;20)),"Médio",IF(OR(AND(J821&gt;1,J821&lt;6,H821&gt;50),AND(J821&gt;5,H821&gt;19,H821&lt;51),AND(J821&gt;5,H821&gt;50)),"Complexo",""))),""))</f>
        <v/>
      </c>
      <c r="N821" s="54" t="str">
        <f t="shared" ref="N821:N884" si="184">IF(L821="",M821,IF(M821="",L821,""))</f>
        <v/>
      </c>
      <c r="O821" s="55">
        <f t="shared" ref="O821:O884" si="185">IF(AND(OR(G821="EE",G821="CE"),N821="Simples"),3, IF(AND(OR(G821="EE",G821="CE"),N821="Médio"),4, IF(AND(OR(G821="EE",G821="CE"),N821="Complexo"),6, IF(AND(G821="SE",N821="Simples"),4, IF(AND(G821="SE",N821="Médio"),5, IF(AND(G821="SE",N821="Complexo"),7,0))))))</f>
        <v>0</v>
      </c>
      <c r="P821" s="55">
        <f t="shared" ref="P821:P884" si="186">IF(AND(G821="ALI",M821="Simples"),7, IF(AND(G821="ALI",M821="Médio"),10, IF(AND(G821="ALI",M821="Complexo"),15, IF(AND(G821="AIE",M821="Simples"),5, IF(AND(G821="AIE",M821="Médio"),7, IF(AND(G821="AIE",M821="Complexo"),10,0))))))</f>
        <v>0</v>
      </c>
      <c r="Q821" s="54">
        <f t="shared" ref="Q821:Q884" si="187">IF(B821&lt;&gt;"Manutenção em interface",IF(B821&lt;&gt;"Desenv., Manutenção e Publicação de Páginas Estáticas",(O821+P821)*C821,C821),C821)</f>
        <v>0</v>
      </c>
      <c r="R821" s="47"/>
      <c r="T821" s="57"/>
      <c r="U821" s="45"/>
      <c r="V821" s="46">
        <f>IF(U821&lt;&gt;"",VLOOKUP(U821,'Tipo Projeto'!$A$3:$B$35,2,0),0)</f>
        <v>0</v>
      </c>
      <c r="W821" s="47"/>
      <c r="X821" s="49"/>
      <c r="Y821" s="50"/>
      <c r="Z821" s="51"/>
      <c r="AA821" s="52"/>
      <c r="AB821" s="53" t="str">
        <f t="shared" ref="AB821:AB884" si="188">IF(W821="EE",IF(OR(AND(OR(Z821=1,Z821=0),X821&gt;0,X821&lt;5),AND(OR(Z821=1,Z821=0),X821&gt;4,X821&lt;16),AND(Z821=2,X821&gt;0,X821&lt;5)),"Simples",IF(OR(AND(OR(Z821=1,Z821=0),X821&gt;15),AND(Z821=2,X821&gt;4,X821&lt;16),AND(Z821&gt;2,X821&gt;0,X821&lt;5)),"Médio",IF(OR(AND(Z821=2,X821&gt;15),AND(Z821&gt;2,X821&gt;4,X821&lt;16),AND(Z821&gt;2,X821&gt;15)),"Complexo",""))), IF(OR(W821="CE",W821="SE"),IF(OR(AND(OR(Z821=1,Z821=0),X821&gt;0,X821&lt;6),AND(OR(Z821=1,Z821=0),X821&gt;5,X821&lt;20),AND(Z821&gt;1,Z821&lt;4,X821&gt;0,X821&lt;6)),"Simples",IF(OR(AND(OR(Z821=1,Z821=0),X821&gt;19),AND(Z821&gt;1,Z821&lt;4,X821&gt;5,X821&lt;20),AND(Z821&gt;3,X821&gt;0,X821&lt;6)),"Médio",IF(OR(AND(Z821&gt;1,Z821&lt;4,X821&gt;19),AND(Z821&gt;3,X821&gt;5,X821&lt;20),AND(Z821&gt;3,X821&gt;19)),"Complexo",""))),""))</f>
        <v/>
      </c>
      <c r="AC821" s="48" t="str">
        <f t="shared" ref="AC821:AC884" si="189">IF(W821="ALI",IF(OR(AND(OR(Z821=1,Z821=0),X821&gt;0,X821&lt;20),AND(OR(Z821=1,Z821=0),X821&gt;19,X821&lt;51),AND(Z821&gt;1,Z821&lt;6,X821&gt;0,X821&lt;20)),"Simples",IF(OR(AND(OR(Z821=1,Z821=0),X821&gt;50),AND(Z821&gt;1,Z821&lt;6,X821&gt;19,X821&lt;51),AND(Z821&gt;5,X821&gt;0,X821&lt;20)),"Médio",IF(OR(AND(Z821&gt;1,Z821&lt;6,X821&gt;50),AND(Z821&gt;5,X821&gt;19,X821&lt;51),AND(Z821&gt;5,X821&gt;50)),"Complexo",""))), IF(W821="AIE",IF(OR(AND(OR(Z821=1, Z821=0),X821&gt;0,X821&lt;20),AND(OR(Z821=1, Z821=0),X821&gt;19,X821&lt;51),AND(Z821&gt;1,Z821&lt;6,X821&gt;0,X821&lt;20)),"Simples",IF(OR(AND(OR(Z821=1, Z821=0),X821&gt;50),AND(Z821&gt;1,Z821&lt;6,X821&gt;19,X821&lt;51),AND(Z821&gt;5,X821&gt;0,X821&lt;20)),"Médio",IF(OR(AND(Z821&gt;1,Z821&lt;6,X821&gt;50),AND(Z821&gt;5,X821&gt;19,X821&lt;51),AND(Z821&gt;5,X821&gt;50)),"Complexo",""))),""))</f>
        <v/>
      </c>
      <c r="AD821" s="54" t="str">
        <f t="shared" ref="AD821:AD884" si="190">IF(AB821="",AC821,IF(AC821="",AB821,""))</f>
        <v/>
      </c>
      <c r="AE821" s="55">
        <f t="shared" ref="AE821:AE884" si="191">IF(AND(OR(W821="EE",W821="CE"),AD821="Simples"),3, IF(AND(OR(W821="EE",W821="CE"),AD821="Médio"),4, IF(AND(OR(W821="EE",W821="CE"),AD821="Complexo"),6, IF(AND(W821="SE",AD821="Simples"),4, IF(AND(W821="SE",AD821="Médio"),5, IF(AND(W821="SE",AD821="Complexo"),7,0))))))</f>
        <v>0</v>
      </c>
      <c r="AF821" s="55">
        <f t="shared" ref="AF821:AF884" si="192">IF(AND(W821="ALI",AC821="Simples"),7, IF(AND(W821="ALI",AC821="Médio"),10, IF(AND(W821="ALI",AC821="Complexo"),15, IF(AND(W821="AIE",AC821="Simples"),5, IF(AND(W821="AIE",AC821="Médio"),7, IF(AND(W821="AIE",AC821="Complexo"),10,0))))))</f>
        <v>0</v>
      </c>
      <c r="AG821" s="58">
        <f t="shared" ref="AG821:AG884" si="193">IF(T821="OK",Q821,( IF(U821&lt;&gt;"Manutenção em interface",IF(U821&lt;&gt;"Desenv., Manutenção e Publicação de Páginas Estáticas",(AE821+AF821)*V821,V821),V821)))</f>
        <v>0</v>
      </c>
      <c r="AH821" s="47"/>
      <c r="AJ821" s="47"/>
      <c r="AL821" s="47"/>
      <c r="AM821" s="47" t="str">
        <f t="shared" ref="AM821:AM884" si="194">IF(AG821=0,"",IF(AG821=Q821,"OK","Divergente"))</f>
        <v/>
      </c>
    </row>
    <row r="822" spans="1:39" s="56" customFormat="1" ht="24.75" customHeight="1">
      <c r="A822" s="44"/>
      <c r="B822" s="45"/>
      <c r="C822" s="46">
        <f>IF(B822&lt;&gt;"",VLOOKUP(B822,'Tipo Projeto'!$A$3:$B$35,2,0),0)</f>
        <v>0</v>
      </c>
      <c r="D822" s="47"/>
      <c r="E822" s="47"/>
      <c r="F822" s="48"/>
      <c r="G822" s="47"/>
      <c r="H822" s="49"/>
      <c r="I822" s="50"/>
      <c r="J822" s="51"/>
      <c r="K822" s="52"/>
      <c r="L822" s="53" t="str">
        <f t="shared" si="182"/>
        <v/>
      </c>
      <c r="M822" s="48" t="str">
        <f t="shared" si="183"/>
        <v/>
      </c>
      <c r="N822" s="54" t="str">
        <f t="shared" si="184"/>
        <v/>
      </c>
      <c r="O822" s="55">
        <f t="shared" si="185"/>
        <v>0</v>
      </c>
      <c r="P822" s="55">
        <f t="shared" si="186"/>
        <v>0</v>
      </c>
      <c r="Q822" s="54">
        <f t="shared" si="187"/>
        <v>0</v>
      </c>
      <c r="R822" s="47"/>
      <c r="T822" s="57"/>
      <c r="U822" s="45"/>
      <c r="V822" s="46">
        <f>IF(U822&lt;&gt;"",VLOOKUP(U822,'Tipo Projeto'!$A$3:$B$35,2,0),0)</f>
        <v>0</v>
      </c>
      <c r="W822" s="47"/>
      <c r="X822" s="49"/>
      <c r="Y822" s="50"/>
      <c r="Z822" s="51"/>
      <c r="AA822" s="52"/>
      <c r="AB822" s="53" t="str">
        <f t="shared" si="188"/>
        <v/>
      </c>
      <c r="AC822" s="48" t="str">
        <f t="shared" si="189"/>
        <v/>
      </c>
      <c r="AD822" s="54" t="str">
        <f t="shared" si="190"/>
        <v/>
      </c>
      <c r="AE822" s="55">
        <f t="shared" si="191"/>
        <v>0</v>
      </c>
      <c r="AF822" s="55">
        <f t="shared" si="192"/>
        <v>0</v>
      </c>
      <c r="AG822" s="58">
        <f t="shared" si="193"/>
        <v>0</v>
      </c>
      <c r="AH822" s="47"/>
      <c r="AJ822" s="47"/>
      <c r="AL822" s="47"/>
      <c r="AM822" s="47" t="str">
        <f t="shared" si="194"/>
        <v/>
      </c>
    </row>
    <row r="823" spans="1:39" s="56" customFormat="1" ht="24.75" customHeight="1">
      <c r="A823" s="44"/>
      <c r="B823" s="45"/>
      <c r="C823" s="46">
        <f>IF(B823&lt;&gt;"",VLOOKUP(B823,'Tipo Projeto'!$A$3:$B$35,2,0),0)</f>
        <v>0</v>
      </c>
      <c r="D823" s="47"/>
      <c r="E823" s="47"/>
      <c r="F823" s="48"/>
      <c r="G823" s="47"/>
      <c r="H823" s="49"/>
      <c r="I823" s="50"/>
      <c r="J823" s="51"/>
      <c r="K823" s="52"/>
      <c r="L823" s="53" t="str">
        <f t="shared" si="182"/>
        <v/>
      </c>
      <c r="M823" s="48" t="str">
        <f t="shared" si="183"/>
        <v/>
      </c>
      <c r="N823" s="54" t="str">
        <f t="shared" si="184"/>
        <v/>
      </c>
      <c r="O823" s="55">
        <f t="shared" si="185"/>
        <v>0</v>
      </c>
      <c r="P823" s="55">
        <f t="shared" si="186"/>
        <v>0</v>
      </c>
      <c r="Q823" s="54">
        <f t="shared" si="187"/>
        <v>0</v>
      </c>
      <c r="R823" s="47"/>
      <c r="T823" s="57"/>
      <c r="U823" s="45"/>
      <c r="V823" s="46">
        <f>IF(U823&lt;&gt;"",VLOOKUP(U823,'Tipo Projeto'!$A$3:$B$35,2,0),0)</f>
        <v>0</v>
      </c>
      <c r="W823" s="47"/>
      <c r="X823" s="49"/>
      <c r="Y823" s="50"/>
      <c r="Z823" s="51"/>
      <c r="AA823" s="52"/>
      <c r="AB823" s="53" t="str">
        <f t="shared" si="188"/>
        <v/>
      </c>
      <c r="AC823" s="48" t="str">
        <f t="shared" si="189"/>
        <v/>
      </c>
      <c r="AD823" s="54" t="str">
        <f t="shared" si="190"/>
        <v/>
      </c>
      <c r="AE823" s="55">
        <f t="shared" si="191"/>
        <v>0</v>
      </c>
      <c r="AF823" s="55">
        <f t="shared" si="192"/>
        <v>0</v>
      </c>
      <c r="AG823" s="58">
        <f t="shared" si="193"/>
        <v>0</v>
      </c>
      <c r="AH823" s="47"/>
      <c r="AJ823" s="47"/>
      <c r="AL823" s="47"/>
      <c r="AM823" s="47" t="str">
        <f t="shared" si="194"/>
        <v/>
      </c>
    </row>
    <row r="824" spans="1:39" s="56" customFormat="1" ht="24.75" customHeight="1">
      <c r="A824" s="44"/>
      <c r="B824" s="45"/>
      <c r="C824" s="46">
        <f>IF(B824&lt;&gt;"",VLOOKUP(B824,'Tipo Projeto'!$A$3:$B$35,2,0),0)</f>
        <v>0</v>
      </c>
      <c r="D824" s="47"/>
      <c r="E824" s="47"/>
      <c r="F824" s="48"/>
      <c r="G824" s="47"/>
      <c r="H824" s="49"/>
      <c r="I824" s="50"/>
      <c r="J824" s="51"/>
      <c r="K824" s="52"/>
      <c r="L824" s="53" t="str">
        <f t="shared" si="182"/>
        <v/>
      </c>
      <c r="M824" s="48" t="str">
        <f t="shared" si="183"/>
        <v/>
      </c>
      <c r="N824" s="54" t="str">
        <f t="shared" si="184"/>
        <v/>
      </c>
      <c r="O824" s="55">
        <f t="shared" si="185"/>
        <v>0</v>
      </c>
      <c r="P824" s="55">
        <f t="shared" si="186"/>
        <v>0</v>
      </c>
      <c r="Q824" s="54">
        <f t="shared" si="187"/>
        <v>0</v>
      </c>
      <c r="R824" s="47"/>
      <c r="T824" s="57"/>
      <c r="U824" s="45"/>
      <c r="V824" s="46">
        <f>IF(U824&lt;&gt;"",VLOOKUP(U824,'Tipo Projeto'!$A$3:$B$35,2,0),0)</f>
        <v>0</v>
      </c>
      <c r="W824" s="47"/>
      <c r="X824" s="49"/>
      <c r="Y824" s="50"/>
      <c r="Z824" s="51"/>
      <c r="AA824" s="52"/>
      <c r="AB824" s="53" t="str">
        <f t="shared" si="188"/>
        <v/>
      </c>
      <c r="AC824" s="48" t="str">
        <f t="shared" si="189"/>
        <v/>
      </c>
      <c r="AD824" s="54" t="str">
        <f t="shared" si="190"/>
        <v/>
      </c>
      <c r="AE824" s="55">
        <f t="shared" si="191"/>
        <v>0</v>
      </c>
      <c r="AF824" s="55">
        <f t="shared" si="192"/>
        <v>0</v>
      </c>
      <c r="AG824" s="58">
        <f t="shared" si="193"/>
        <v>0</v>
      </c>
      <c r="AH824" s="47"/>
      <c r="AJ824" s="47"/>
      <c r="AL824" s="47"/>
      <c r="AM824" s="47" t="str">
        <f t="shared" si="194"/>
        <v/>
      </c>
    </row>
    <row r="825" spans="1:39" s="56" customFormat="1" ht="24.75" customHeight="1">
      <c r="A825" s="44"/>
      <c r="B825" s="45"/>
      <c r="C825" s="46">
        <f>IF(B825&lt;&gt;"",VLOOKUP(B825,'Tipo Projeto'!$A$3:$B$35,2,0),0)</f>
        <v>0</v>
      </c>
      <c r="D825" s="47"/>
      <c r="E825" s="47"/>
      <c r="F825" s="48"/>
      <c r="G825" s="47"/>
      <c r="H825" s="49"/>
      <c r="I825" s="50"/>
      <c r="J825" s="51"/>
      <c r="K825" s="52"/>
      <c r="L825" s="53" t="str">
        <f t="shared" si="182"/>
        <v/>
      </c>
      <c r="M825" s="48" t="str">
        <f t="shared" si="183"/>
        <v/>
      </c>
      <c r="N825" s="54" t="str">
        <f t="shared" si="184"/>
        <v/>
      </c>
      <c r="O825" s="55">
        <f t="shared" si="185"/>
        <v>0</v>
      </c>
      <c r="P825" s="55">
        <f t="shared" si="186"/>
        <v>0</v>
      </c>
      <c r="Q825" s="54">
        <f t="shared" si="187"/>
        <v>0</v>
      </c>
      <c r="R825" s="47"/>
      <c r="T825" s="57"/>
      <c r="U825" s="45"/>
      <c r="V825" s="46">
        <f>IF(U825&lt;&gt;"",VLOOKUP(U825,'Tipo Projeto'!$A$3:$B$35,2,0),0)</f>
        <v>0</v>
      </c>
      <c r="W825" s="47"/>
      <c r="X825" s="49"/>
      <c r="Y825" s="50"/>
      <c r="Z825" s="51"/>
      <c r="AA825" s="52"/>
      <c r="AB825" s="53" t="str">
        <f t="shared" si="188"/>
        <v/>
      </c>
      <c r="AC825" s="48" t="str">
        <f t="shared" si="189"/>
        <v/>
      </c>
      <c r="AD825" s="54" t="str">
        <f t="shared" si="190"/>
        <v/>
      </c>
      <c r="AE825" s="55">
        <f t="shared" si="191"/>
        <v>0</v>
      </c>
      <c r="AF825" s="55">
        <f t="shared" si="192"/>
        <v>0</v>
      </c>
      <c r="AG825" s="58">
        <f t="shared" si="193"/>
        <v>0</v>
      </c>
      <c r="AH825" s="47"/>
      <c r="AJ825" s="47"/>
      <c r="AL825" s="47"/>
      <c r="AM825" s="47" t="str">
        <f t="shared" si="194"/>
        <v/>
      </c>
    </row>
    <row r="826" spans="1:39" s="56" customFormat="1" ht="24.75" customHeight="1">
      <c r="A826" s="44"/>
      <c r="B826" s="45"/>
      <c r="C826" s="46">
        <f>IF(B826&lt;&gt;"",VLOOKUP(B826,'Tipo Projeto'!$A$3:$B$35,2,0),0)</f>
        <v>0</v>
      </c>
      <c r="D826" s="47"/>
      <c r="E826" s="47"/>
      <c r="F826" s="48"/>
      <c r="G826" s="47"/>
      <c r="H826" s="49"/>
      <c r="I826" s="50"/>
      <c r="J826" s="51"/>
      <c r="K826" s="52"/>
      <c r="L826" s="53" t="str">
        <f t="shared" si="182"/>
        <v/>
      </c>
      <c r="M826" s="48" t="str">
        <f t="shared" si="183"/>
        <v/>
      </c>
      <c r="N826" s="54" t="str">
        <f t="shared" si="184"/>
        <v/>
      </c>
      <c r="O826" s="55">
        <f t="shared" si="185"/>
        <v>0</v>
      </c>
      <c r="P826" s="55">
        <f t="shared" si="186"/>
        <v>0</v>
      </c>
      <c r="Q826" s="54">
        <f t="shared" si="187"/>
        <v>0</v>
      </c>
      <c r="R826" s="47"/>
      <c r="T826" s="57"/>
      <c r="U826" s="45"/>
      <c r="V826" s="46">
        <f>IF(U826&lt;&gt;"",VLOOKUP(U826,'Tipo Projeto'!$A$3:$B$35,2,0),0)</f>
        <v>0</v>
      </c>
      <c r="W826" s="47"/>
      <c r="X826" s="49"/>
      <c r="Y826" s="50"/>
      <c r="Z826" s="51"/>
      <c r="AA826" s="52"/>
      <c r="AB826" s="53" t="str">
        <f t="shared" si="188"/>
        <v/>
      </c>
      <c r="AC826" s="48" t="str">
        <f t="shared" si="189"/>
        <v/>
      </c>
      <c r="AD826" s="54" t="str">
        <f t="shared" si="190"/>
        <v/>
      </c>
      <c r="AE826" s="55">
        <f t="shared" si="191"/>
        <v>0</v>
      </c>
      <c r="AF826" s="55">
        <f t="shared" si="192"/>
        <v>0</v>
      </c>
      <c r="AG826" s="58">
        <f t="shared" si="193"/>
        <v>0</v>
      </c>
      <c r="AH826" s="47"/>
      <c r="AJ826" s="47"/>
      <c r="AL826" s="47"/>
      <c r="AM826" s="47" t="str">
        <f t="shared" si="194"/>
        <v/>
      </c>
    </row>
    <row r="827" spans="1:39" s="56" customFormat="1" ht="24.75" customHeight="1">
      <c r="A827" s="44"/>
      <c r="B827" s="45"/>
      <c r="C827" s="46">
        <f>IF(B827&lt;&gt;"",VLOOKUP(B827,'Tipo Projeto'!$A$3:$B$35,2,0),0)</f>
        <v>0</v>
      </c>
      <c r="D827" s="47"/>
      <c r="E827" s="47"/>
      <c r="F827" s="48"/>
      <c r="G827" s="47"/>
      <c r="H827" s="49"/>
      <c r="I827" s="50"/>
      <c r="J827" s="51"/>
      <c r="K827" s="52"/>
      <c r="L827" s="53" t="str">
        <f t="shared" si="182"/>
        <v/>
      </c>
      <c r="M827" s="48" t="str">
        <f t="shared" si="183"/>
        <v/>
      </c>
      <c r="N827" s="54" t="str">
        <f t="shared" si="184"/>
        <v/>
      </c>
      <c r="O827" s="55">
        <f t="shared" si="185"/>
        <v>0</v>
      </c>
      <c r="P827" s="55">
        <f t="shared" si="186"/>
        <v>0</v>
      </c>
      <c r="Q827" s="54">
        <f t="shared" si="187"/>
        <v>0</v>
      </c>
      <c r="R827" s="47"/>
      <c r="T827" s="57"/>
      <c r="U827" s="45"/>
      <c r="V827" s="46">
        <f>IF(U827&lt;&gt;"",VLOOKUP(U827,'Tipo Projeto'!$A$3:$B$35,2,0),0)</f>
        <v>0</v>
      </c>
      <c r="W827" s="47"/>
      <c r="X827" s="49"/>
      <c r="Y827" s="50"/>
      <c r="Z827" s="51"/>
      <c r="AA827" s="52"/>
      <c r="AB827" s="53" t="str">
        <f t="shared" si="188"/>
        <v/>
      </c>
      <c r="AC827" s="48" t="str">
        <f t="shared" si="189"/>
        <v/>
      </c>
      <c r="AD827" s="54" t="str">
        <f t="shared" si="190"/>
        <v/>
      </c>
      <c r="AE827" s="55">
        <f t="shared" si="191"/>
        <v>0</v>
      </c>
      <c r="AF827" s="55">
        <f t="shared" si="192"/>
        <v>0</v>
      </c>
      <c r="AG827" s="58">
        <f t="shared" si="193"/>
        <v>0</v>
      </c>
      <c r="AH827" s="47"/>
      <c r="AJ827" s="47"/>
      <c r="AL827" s="47"/>
      <c r="AM827" s="47" t="str">
        <f t="shared" si="194"/>
        <v/>
      </c>
    </row>
    <row r="828" spans="1:39" s="56" customFormat="1" ht="24.75" customHeight="1">
      <c r="A828" s="44"/>
      <c r="B828" s="45"/>
      <c r="C828" s="46">
        <f>IF(B828&lt;&gt;"",VLOOKUP(B828,'Tipo Projeto'!$A$3:$B$35,2,0),0)</f>
        <v>0</v>
      </c>
      <c r="D828" s="47"/>
      <c r="E828" s="47"/>
      <c r="F828" s="48"/>
      <c r="G828" s="47"/>
      <c r="H828" s="49"/>
      <c r="I828" s="50"/>
      <c r="J828" s="51"/>
      <c r="K828" s="52"/>
      <c r="L828" s="53" t="str">
        <f t="shared" si="182"/>
        <v/>
      </c>
      <c r="M828" s="48" t="str">
        <f t="shared" si="183"/>
        <v/>
      </c>
      <c r="N828" s="54" t="str">
        <f t="shared" si="184"/>
        <v/>
      </c>
      <c r="O828" s="55">
        <f t="shared" si="185"/>
        <v>0</v>
      </c>
      <c r="P828" s="55">
        <f t="shared" si="186"/>
        <v>0</v>
      </c>
      <c r="Q828" s="54">
        <f t="shared" si="187"/>
        <v>0</v>
      </c>
      <c r="R828" s="47"/>
      <c r="T828" s="57"/>
      <c r="U828" s="45"/>
      <c r="V828" s="46">
        <f>IF(U828&lt;&gt;"",VLOOKUP(U828,'Tipo Projeto'!$A$3:$B$35,2,0),0)</f>
        <v>0</v>
      </c>
      <c r="W828" s="47"/>
      <c r="X828" s="49"/>
      <c r="Y828" s="50"/>
      <c r="Z828" s="51"/>
      <c r="AA828" s="52"/>
      <c r="AB828" s="53" t="str">
        <f t="shared" si="188"/>
        <v/>
      </c>
      <c r="AC828" s="48" t="str">
        <f t="shared" si="189"/>
        <v/>
      </c>
      <c r="AD828" s="54" t="str">
        <f t="shared" si="190"/>
        <v/>
      </c>
      <c r="AE828" s="55">
        <f t="shared" si="191"/>
        <v>0</v>
      </c>
      <c r="AF828" s="55">
        <f t="shared" si="192"/>
        <v>0</v>
      </c>
      <c r="AG828" s="58">
        <f t="shared" si="193"/>
        <v>0</v>
      </c>
      <c r="AH828" s="47"/>
      <c r="AJ828" s="47"/>
      <c r="AL828" s="47"/>
      <c r="AM828" s="47" t="str">
        <f t="shared" si="194"/>
        <v/>
      </c>
    </row>
    <row r="829" spans="1:39" s="56" customFormat="1" ht="24.75" customHeight="1">
      <c r="A829" s="44"/>
      <c r="B829" s="45"/>
      <c r="C829" s="46">
        <f>IF(B829&lt;&gt;"",VLOOKUP(B829,'Tipo Projeto'!$A$3:$B$35,2,0),0)</f>
        <v>0</v>
      </c>
      <c r="D829" s="47"/>
      <c r="E829" s="47"/>
      <c r="F829" s="48"/>
      <c r="G829" s="47"/>
      <c r="H829" s="49"/>
      <c r="I829" s="50"/>
      <c r="J829" s="51"/>
      <c r="K829" s="52"/>
      <c r="L829" s="53" t="str">
        <f t="shared" si="182"/>
        <v/>
      </c>
      <c r="M829" s="48" t="str">
        <f t="shared" si="183"/>
        <v/>
      </c>
      <c r="N829" s="54" t="str">
        <f t="shared" si="184"/>
        <v/>
      </c>
      <c r="O829" s="55">
        <f t="shared" si="185"/>
        <v>0</v>
      </c>
      <c r="P829" s="55">
        <f t="shared" si="186"/>
        <v>0</v>
      </c>
      <c r="Q829" s="54">
        <f t="shared" si="187"/>
        <v>0</v>
      </c>
      <c r="R829" s="47"/>
      <c r="T829" s="57"/>
      <c r="U829" s="45"/>
      <c r="V829" s="46">
        <f>IF(U829&lt;&gt;"",VLOOKUP(U829,'Tipo Projeto'!$A$3:$B$35,2,0),0)</f>
        <v>0</v>
      </c>
      <c r="W829" s="47"/>
      <c r="X829" s="49"/>
      <c r="Y829" s="50"/>
      <c r="Z829" s="51"/>
      <c r="AA829" s="52"/>
      <c r="AB829" s="53" t="str">
        <f t="shared" si="188"/>
        <v/>
      </c>
      <c r="AC829" s="48" t="str">
        <f t="shared" si="189"/>
        <v/>
      </c>
      <c r="AD829" s="54" t="str">
        <f t="shared" si="190"/>
        <v/>
      </c>
      <c r="AE829" s="55">
        <f t="shared" si="191"/>
        <v>0</v>
      </c>
      <c r="AF829" s="55">
        <f t="shared" si="192"/>
        <v>0</v>
      </c>
      <c r="AG829" s="58">
        <f t="shared" si="193"/>
        <v>0</v>
      </c>
      <c r="AH829" s="47"/>
      <c r="AJ829" s="47"/>
      <c r="AL829" s="47"/>
      <c r="AM829" s="47" t="str">
        <f t="shared" si="194"/>
        <v/>
      </c>
    </row>
    <row r="830" spans="1:39" s="56" customFormat="1" ht="24.75" customHeight="1">
      <c r="A830" s="44"/>
      <c r="B830" s="45"/>
      <c r="C830" s="46">
        <f>IF(B830&lt;&gt;"",VLOOKUP(B830,'Tipo Projeto'!$A$3:$B$35,2,0),0)</f>
        <v>0</v>
      </c>
      <c r="D830" s="47"/>
      <c r="E830" s="47"/>
      <c r="F830" s="48"/>
      <c r="G830" s="47"/>
      <c r="H830" s="49"/>
      <c r="I830" s="50"/>
      <c r="J830" s="51"/>
      <c r="K830" s="52"/>
      <c r="L830" s="53" t="str">
        <f t="shared" si="182"/>
        <v/>
      </c>
      <c r="M830" s="48" t="str">
        <f t="shared" si="183"/>
        <v/>
      </c>
      <c r="N830" s="54" t="str">
        <f t="shared" si="184"/>
        <v/>
      </c>
      <c r="O830" s="55">
        <f t="shared" si="185"/>
        <v>0</v>
      </c>
      <c r="P830" s="55">
        <f t="shared" si="186"/>
        <v>0</v>
      </c>
      <c r="Q830" s="54">
        <f t="shared" si="187"/>
        <v>0</v>
      </c>
      <c r="R830" s="47"/>
      <c r="T830" s="57"/>
      <c r="U830" s="45"/>
      <c r="V830" s="46">
        <f>IF(U830&lt;&gt;"",VLOOKUP(U830,'Tipo Projeto'!$A$3:$B$35,2,0),0)</f>
        <v>0</v>
      </c>
      <c r="W830" s="47"/>
      <c r="X830" s="49"/>
      <c r="Y830" s="50"/>
      <c r="Z830" s="51"/>
      <c r="AA830" s="52"/>
      <c r="AB830" s="53" t="str">
        <f t="shared" si="188"/>
        <v/>
      </c>
      <c r="AC830" s="48" t="str">
        <f t="shared" si="189"/>
        <v/>
      </c>
      <c r="AD830" s="54" t="str">
        <f t="shared" si="190"/>
        <v/>
      </c>
      <c r="AE830" s="55">
        <f t="shared" si="191"/>
        <v>0</v>
      </c>
      <c r="AF830" s="55">
        <f t="shared" si="192"/>
        <v>0</v>
      </c>
      <c r="AG830" s="58">
        <f t="shared" si="193"/>
        <v>0</v>
      </c>
      <c r="AH830" s="47"/>
      <c r="AJ830" s="47"/>
      <c r="AL830" s="47"/>
      <c r="AM830" s="47" t="str">
        <f t="shared" si="194"/>
        <v/>
      </c>
    </row>
    <row r="831" spans="1:39" s="56" customFormat="1" ht="24.75" customHeight="1">
      <c r="A831" s="44"/>
      <c r="B831" s="45"/>
      <c r="C831" s="46">
        <f>IF(B831&lt;&gt;"",VLOOKUP(B831,'Tipo Projeto'!$A$3:$B$35,2,0),0)</f>
        <v>0</v>
      </c>
      <c r="D831" s="47"/>
      <c r="E831" s="47"/>
      <c r="F831" s="48"/>
      <c r="G831" s="47"/>
      <c r="H831" s="49"/>
      <c r="I831" s="50"/>
      <c r="J831" s="51"/>
      <c r="K831" s="52"/>
      <c r="L831" s="53" t="str">
        <f t="shared" si="182"/>
        <v/>
      </c>
      <c r="M831" s="48" t="str">
        <f t="shared" si="183"/>
        <v/>
      </c>
      <c r="N831" s="54" t="str">
        <f t="shared" si="184"/>
        <v/>
      </c>
      <c r="O831" s="55">
        <f t="shared" si="185"/>
        <v>0</v>
      </c>
      <c r="P831" s="55">
        <f t="shared" si="186"/>
        <v>0</v>
      </c>
      <c r="Q831" s="54">
        <f t="shared" si="187"/>
        <v>0</v>
      </c>
      <c r="R831" s="47"/>
      <c r="T831" s="57"/>
      <c r="U831" s="45"/>
      <c r="V831" s="46">
        <f>IF(U831&lt;&gt;"",VLOOKUP(U831,'Tipo Projeto'!$A$3:$B$35,2,0),0)</f>
        <v>0</v>
      </c>
      <c r="W831" s="47"/>
      <c r="X831" s="49"/>
      <c r="Y831" s="50"/>
      <c r="Z831" s="51"/>
      <c r="AA831" s="52"/>
      <c r="AB831" s="53" t="str">
        <f t="shared" si="188"/>
        <v/>
      </c>
      <c r="AC831" s="48" t="str">
        <f t="shared" si="189"/>
        <v/>
      </c>
      <c r="AD831" s="54" t="str">
        <f t="shared" si="190"/>
        <v/>
      </c>
      <c r="AE831" s="55">
        <f t="shared" si="191"/>
        <v>0</v>
      </c>
      <c r="AF831" s="55">
        <f t="shared" si="192"/>
        <v>0</v>
      </c>
      <c r="AG831" s="58">
        <f t="shared" si="193"/>
        <v>0</v>
      </c>
      <c r="AH831" s="47"/>
      <c r="AJ831" s="47"/>
      <c r="AL831" s="47"/>
      <c r="AM831" s="47" t="str">
        <f t="shared" si="194"/>
        <v/>
      </c>
    </row>
    <row r="832" spans="1:39" s="56" customFormat="1" ht="24.75" customHeight="1">
      <c r="A832" s="44"/>
      <c r="B832" s="45"/>
      <c r="C832" s="46">
        <f>IF(B832&lt;&gt;"",VLOOKUP(B832,'Tipo Projeto'!$A$3:$B$35,2,0),0)</f>
        <v>0</v>
      </c>
      <c r="D832" s="47"/>
      <c r="E832" s="47"/>
      <c r="F832" s="48"/>
      <c r="G832" s="47"/>
      <c r="H832" s="49"/>
      <c r="I832" s="50"/>
      <c r="J832" s="51"/>
      <c r="K832" s="52"/>
      <c r="L832" s="53" t="str">
        <f t="shared" si="182"/>
        <v/>
      </c>
      <c r="M832" s="48" t="str">
        <f t="shared" si="183"/>
        <v/>
      </c>
      <c r="N832" s="54" t="str">
        <f t="shared" si="184"/>
        <v/>
      </c>
      <c r="O832" s="55">
        <f t="shared" si="185"/>
        <v>0</v>
      </c>
      <c r="P832" s="55">
        <f t="shared" si="186"/>
        <v>0</v>
      </c>
      <c r="Q832" s="54">
        <f t="shared" si="187"/>
        <v>0</v>
      </c>
      <c r="R832" s="47"/>
      <c r="T832" s="57"/>
      <c r="U832" s="45"/>
      <c r="V832" s="46">
        <f>IF(U832&lt;&gt;"",VLOOKUP(U832,'Tipo Projeto'!$A$3:$B$35,2,0),0)</f>
        <v>0</v>
      </c>
      <c r="W832" s="47"/>
      <c r="X832" s="49"/>
      <c r="Y832" s="50"/>
      <c r="Z832" s="51"/>
      <c r="AA832" s="52"/>
      <c r="AB832" s="53" t="str">
        <f t="shared" si="188"/>
        <v/>
      </c>
      <c r="AC832" s="48" t="str">
        <f t="shared" si="189"/>
        <v/>
      </c>
      <c r="AD832" s="54" t="str">
        <f t="shared" si="190"/>
        <v/>
      </c>
      <c r="AE832" s="55">
        <f t="shared" si="191"/>
        <v>0</v>
      </c>
      <c r="AF832" s="55">
        <f t="shared" si="192"/>
        <v>0</v>
      </c>
      <c r="AG832" s="58">
        <f t="shared" si="193"/>
        <v>0</v>
      </c>
      <c r="AH832" s="47"/>
      <c r="AJ832" s="47"/>
      <c r="AL832" s="47"/>
      <c r="AM832" s="47" t="str">
        <f t="shared" si="194"/>
        <v/>
      </c>
    </row>
    <row r="833" spans="1:39" s="56" customFormat="1" ht="24.75" customHeight="1">
      <c r="A833" s="44"/>
      <c r="B833" s="45"/>
      <c r="C833" s="46">
        <f>IF(B833&lt;&gt;"",VLOOKUP(B833,'Tipo Projeto'!$A$3:$B$35,2,0),0)</f>
        <v>0</v>
      </c>
      <c r="D833" s="47"/>
      <c r="E833" s="47"/>
      <c r="F833" s="48"/>
      <c r="G833" s="47"/>
      <c r="H833" s="49"/>
      <c r="I833" s="50"/>
      <c r="J833" s="51"/>
      <c r="K833" s="52"/>
      <c r="L833" s="53" t="str">
        <f t="shared" si="182"/>
        <v/>
      </c>
      <c r="M833" s="48" t="str">
        <f t="shared" si="183"/>
        <v/>
      </c>
      <c r="N833" s="54" t="str">
        <f t="shared" si="184"/>
        <v/>
      </c>
      <c r="O833" s="55">
        <f t="shared" si="185"/>
        <v>0</v>
      </c>
      <c r="P833" s="55">
        <f t="shared" si="186"/>
        <v>0</v>
      </c>
      <c r="Q833" s="54">
        <f t="shared" si="187"/>
        <v>0</v>
      </c>
      <c r="R833" s="47"/>
      <c r="T833" s="57"/>
      <c r="U833" s="45"/>
      <c r="V833" s="46">
        <f>IF(U833&lt;&gt;"",VLOOKUP(U833,'Tipo Projeto'!$A$3:$B$35,2,0),0)</f>
        <v>0</v>
      </c>
      <c r="W833" s="47"/>
      <c r="X833" s="49"/>
      <c r="Y833" s="50"/>
      <c r="Z833" s="51"/>
      <c r="AA833" s="52"/>
      <c r="AB833" s="53" t="str">
        <f t="shared" si="188"/>
        <v/>
      </c>
      <c r="AC833" s="48" t="str">
        <f t="shared" si="189"/>
        <v/>
      </c>
      <c r="AD833" s="54" t="str">
        <f t="shared" si="190"/>
        <v/>
      </c>
      <c r="AE833" s="55">
        <f t="shared" si="191"/>
        <v>0</v>
      </c>
      <c r="AF833" s="55">
        <f t="shared" si="192"/>
        <v>0</v>
      </c>
      <c r="AG833" s="58">
        <f t="shared" si="193"/>
        <v>0</v>
      </c>
      <c r="AH833" s="47"/>
      <c r="AJ833" s="47"/>
      <c r="AL833" s="47"/>
      <c r="AM833" s="47" t="str">
        <f t="shared" si="194"/>
        <v/>
      </c>
    </row>
    <row r="834" spans="1:39" s="56" customFormat="1" ht="24.75" customHeight="1">
      <c r="A834" s="44"/>
      <c r="B834" s="45"/>
      <c r="C834" s="46">
        <f>IF(B834&lt;&gt;"",VLOOKUP(B834,'Tipo Projeto'!$A$3:$B$35,2,0),0)</f>
        <v>0</v>
      </c>
      <c r="D834" s="47"/>
      <c r="E834" s="47"/>
      <c r="F834" s="48"/>
      <c r="G834" s="47"/>
      <c r="H834" s="49"/>
      <c r="I834" s="50"/>
      <c r="J834" s="51"/>
      <c r="K834" s="52"/>
      <c r="L834" s="53" t="str">
        <f t="shared" si="182"/>
        <v/>
      </c>
      <c r="M834" s="48" t="str">
        <f t="shared" si="183"/>
        <v/>
      </c>
      <c r="N834" s="54" t="str">
        <f t="shared" si="184"/>
        <v/>
      </c>
      <c r="O834" s="55">
        <f t="shared" si="185"/>
        <v>0</v>
      </c>
      <c r="P834" s="55">
        <f t="shared" si="186"/>
        <v>0</v>
      </c>
      <c r="Q834" s="54">
        <f t="shared" si="187"/>
        <v>0</v>
      </c>
      <c r="R834" s="47"/>
      <c r="T834" s="57"/>
      <c r="U834" s="45"/>
      <c r="V834" s="46">
        <f>IF(U834&lt;&gt;"",VLOOKUP(U834,'Tipo Projeto'!$A$3:$B$35,2,0),0)</f>
        <v>0</v>
      </c>
      <c r="W834" s="47"/>
      <c r="X834" s="49"/>
      <c r="Y834" s="50"/>
      <c r="Z834" s="51"/>
      <c r="AA834" s="52"/>
      <c r="AB834" s="53" t="str">
        <f t="shared" si="188"/>
        <v/>
      </c>
      <c r="AC834" s="48" t="str">
        <f t="shared" si="189"/>
        <v/>
      </c>
      <c r="AD834" s="54" t="str">
        <f t="shared" si="190"/>
        <v/>
      </c>
      <c r="AE834" s="55">
        <f t="shared" si="191"/>
        <v>0</v>
      </c>
      <c r="AF834" s="55">
        <f t="shared" si="192"/>
        <v>0</v>
      </c>
      <c r="AG834" s="58">
        <f t="shared" si="193"/>
        <v>0</v>
      </c>
      <c r="AH834" s="47"/>
      <c r="AJ834" s="47"/>
      <c r="AL834" s="47"/>
      <c r="AM834" s="47" t="str">
        <f t="shared" si="194"/>
        <v/>
      </c>
    </row>
    <row r="835" spans="1:39" s="56" customFormat="1" ht="24.75" customHeight="1">
      <c r="A835" s="44"/>
      <c r="B835" s="45"/>
      <c r="C835" s="46">
        <f>IF(B835&lt;&gt;"",VLOOKUP(B835,'Tipo Projeto'!$A$3:$B$35,2,0),0)</f>
        <v>0</v>
      </c>
      <c r="D835" s="47"/>
      <c r="E835" s="47"/>
      <c r="F835" s="48"/>
      <c r="G835" s="47"/>
      <c r="H835" s="49"/>
      <c r="I835" s="50"/>
      <c r="J835" s="51"/>
      <c r="K835" s="52"/>
      <c r="L835" s="53" t="str">
        <f t="shared" si="182"/>
        <v/>
      </c>
      <c r="M835" s="48" t="str">
        <f t="shared" si="183"/>
        <v/>
      </c>
      <c r="N835" s="54" t="str">
        <f t="shared" si="184"/>
        <v/>
      </c>
      <c r="O835" s="55">
        <f t="shared" si="185"/>
        <v>0</v>
      </c>
      <c r="P835" s="55">
        <f t="shared" si="186"/>
        <v>0</v>
      </c>
      <c r="Q835" s="54">
        <f t="shared" si="187"/>
        <v>0</v>
      </c>
      <c r="R835" s="47"/>
      <c r="T835" s="57"/>
      <c r="U835" s="45"/>
      <c r="V835" s="46">
        <f>IF(U835&lt;&gt;"",VLOOKUP(U835,'Tipo Projeto'!$A$3:$B$35,2,0),0)</f>
        <v>0</v>
      </c>
      <c r="W835" s="47"/>
      <c r="X835" s="49"/>
      <c r="Y835" s="50"/>
      <c r="Z835" s="51"/>
      <c r="AA835" s="52"/>
      <c r="AB835" s="53" t="str">
        <f t="shared" si="188"/>
        <v/>
      </c>
      <c r="AC835" s="48" t="str">
        <f t="shared" si="189"/>
        <v/>
      </c>
      <c r="AD835" s="54" t="str">
        <f t="shared" si="190"/>
        <v/>
      </c>
      <c r="AE835" s="55">
        <f t="shared" si="191"/>
        <v>0</v>
      </c>
      <c r="AF835" s="55">
        <f t="shared" si="192"/>
        <v>0</v>
      </c>
      <c r="AG835" s="58">
        <f t="shared" si="193"/>
        <v>0</v>
      </c>
      <c r="AH835" s="47"/>
      <c r="AJ835" s="47"/>
      <c r="AL835" s="47"/>
      <c r="AM835" s="47" t="str">
        <f t="shared" si="194"/>
        <v/>
      </c>
    </row>
    <row r="836" spans="1:39" s="56" customFormat="1" ht="24.75" customHeight="1">
      <c r="A836" s="44"/>
      <c r="B836" s="45"/>
      <c r="C836" s="46">
        <f>IF(B836&lt;&gt;"",VLOOKUP(B836,'Tipo Projeto'!$A$3:$B$35,2,0),0)</f>
        <v>0</v>
      </c>
      <c r="D836" s="47"/>
      <c r="E836" s="47"/>
      <c r="F836" s="48"/>
      <c r="G836" s="47"/>
      <c r="H836" s="49"/>
      <c r="I836" s="50"/>
      <c r="J836" s="51"/>
      <c r="K836" s="52"/>
      <c r="L836" s="53" t="str">
        <f t="shared" si="182"/>
        <v/>
      </c>
      <c r="M836" s="48" t="str">
        <f t="shared" si="183"/>
        <v/>
      </c>
      <c r="N836" s="54" t="str">
        <f t="shared" si="184"/>
        <v/>
      </c>
      <c r="O836" s="55">
        <f t="shared" si="185"/>
        <v>0</v>
      </c>
      <c r="P836" s="55">
        <f t="shared" si="186"/>
        <v>0</v>
      </c>
      <c r="Q836" s="54">
        <f t="shared" si="187"/>
        <v>0</v>
      </c>
      <c r="R836" s="47"/>
      <c r="T836" s="57"/>
      <c r="U836" s="45"/>
      <c r="V836" s="46">
        <f>IF(U836&lt;&gt;"",VLOOKUP(U836,'Tipo Projeto'!$A$3:$B$35,2,0),0)</f>
        <v>0</v>
      </c>
      <c r="W836" s="47"/>
      <c r="X836" s="49"/>
      <c r="Y836" s="50"/>
      <c r="Z836" s="51"/>
      <c r="AA836" s="52"/>
      <c r="AB836" s="53" t="str">
        <f t="shared" si="188"/>
        <v/>
      </c>
      <c r="AC836" s="48" t="str">
        <f t="shared" si="189"/>
        <v/>
      </c>
      <c r="AD836" s="54" t="str">
        <f t="shared" si="190"/>
        <v/>
      </c>
      <c r="AE836" s="55">
        <f t="shared" si="191"/>
        <v>0</v>
      </c>
      <c r="AF836" s="55">
        <f t="shared" si="192"/>
        <v>0</v>
      </c>
      <c r="AG836" s="58">
        <f t="shared" si="193"/>
        <v>0</v>
      </c>
      <c r="AH836" s="47"/>
      <c r="AJ836" s="47"/>
      <c r="AL836" s="47"/>
      <c r="AM836" s="47" t="str">
        <f t="shared" si="194"/>
        <v/>
      </c>
    </row>
    <row r="837" spans="1:39" s="56" customFormat="1" ht="24.75" customHeight="1">
      <c r="A837" s="44"/>
      <c r="B837" s="45"/>
      <c r="C837" s="46">
        <f>IF(B837&lt;&gt;"",VLOOKUP(B837,'Tipo Projeto'!$A$3:$B$35,2,0),0)</f>
        <v>0</v>
      </c>
      <c r="D837" s="47"/>
      <c r="E837" s="47"/>
      <c r="F837" s="48"/>
      <c r="G837" s="47"/>
      <c r="H837" s="49"/>
      <c r="I837" s="50"/>
      <c r="J837" s="51"/>
      <c r="K837" s="52"/>
      <c r="L837" s="53" t="str">
        <f t="shared" si="182"/>
        <v/>
      </c>
      <c r="M837" s="48" t="str">
        <f t="shared" si="183"/>
        <v/>
      </c>
      <c r="N837" s="54" t="str">
        <f t="shared" si="184"/>
        <v/>
      </c>
      <c r="O837" s="55">
        <f t="shared" si="185"/>
        <v>0</v>
      </c>
      <c r="P837" s="55">
        <f t="shared" si="186"/>
        <v>0</v>
      </c>
      <c r="Q837" s="54">
        <f t="shared" si="187"/>
        <v>0</v>
      </c>
      <c r="R837" s="47"/>
      <c r="T837" s="57"/>
      <c r="U837" s="45"/>
      <c r="V837" s="46">
        <f>IF(U837&lt;&gt;"",VLOOKUP(U837,'Tipo Projeto'!$A$3:$B$35,2,0),0)</f>
        <v>0</v>
      </c>
      <c r="W837" s="47"/>
      <c r="X837" s="49"/>
      <c r="Y837" s="50"/>
      <c r="Z837" s="51"/>
      <c r="AA837" s="52"/>
      <c r="AB837" s="53" t="str">
        <f t="shared" si="188"/>
        <v/>
      </c>
      <c r="AC837" s="48" t="str">
        <f t="shared" si="189"/>
        <v/>
      </c>
      <c r="AD837" s="54" t="str">
        <f t="shared" si="190"/>
        <v/>
      </c>
      <c r="AE837" s="55">
        <f t="shared" si="191"/>
        <v>0</v>
      </c>
      <c r="AF837" s="55">
        <f t="shared" si="192"/>
        <v>0</v>
      </c>
      <c r="AG837" s="58">
        <f t="shared" si="193"/>
        <v>0</v>
      </c>
      <c r="AH837" s="47"/>
      <c r="AJ837" s="47"/>
      <c r="AL837" s="47"/>
      <c r="AM837" s="47" t="str">
        <f t="shared" si="194"/>
        <v/>
      </c>
    </row>
    <row r="838" spans="1:39" s="56" customFormat="1" ht="24.75" customHeight="1">
      <c r="A838" s="44"/>
      <c r="B838" s="45"/>
      <c r="C838" s="46">
        <f>IF(B838&lt;&gt;"",VLOOKUP(B838,'Tipo Projeto'!$A$3:$B$35,2,0),0)</f>
        <v>0</v>
      </c>
      <c r="D838" s="47"/>
      <c r="E838" s="47"/>
      <c r="F838" s="48"/>
      <c r="G838" s="47"/>
      <c r="H838" s="49"/>
      <c r="I838" s="50"/>
      <c r="J838" s="51"/>
      <c r="K838" s="52"/>
      <c r="L838" s="53" t="str">
        <f t="shared" si="182"/>
        <v/>
      </c>
      <c r="M838" s="48" t="str">
        <f t="shared" si="183"/>
        <v/>
      </c>
      <c r="N838" s="54" t="str">
        <f t="shared" si="184"/>
        <v/>
      </c>
      <c r="O838" s="55">
        <f t="shared" si="185"/>
        <v>0</v>
      </c>
      <c r="P838" s="55">
        <f t="shared" si="186"/>
        <v>0</v>
      </c>
      <c r="Q838" s="54">
        <f t="shared" si="187"/>
        <v>0</v>
      </c>
      <c r="R838" s="47"/>
      <c r="T838" s="57"/>
      <c r="U838" s="45"/>
      <c r="V838" s="46">
        <f>IF(U838&lt;&gt;"",VLOOKUP(U838,'Tipo Projeto'!$A$3:$B$35,2,0),0)</f>
        <v>0</v>
      </c>
      <c r="W838" s="47"/>
      <c r="X838" s="49"/>
      <c r="Y838" s="50"/>
      <c r="Z838" s="51"/>
      <c r="AA838" s="52"/>
      <c r="AB838" s="53" t="str">
        <f t="shared" si="188"/>
        <v/>
      </c>
      <c r="AC838" s="48" t="str">
        <f t="shared" si="189"/>
        <v/>
      </c>
      <c r="AD838" s="54" t="str">
        <f t="shared" si="190"/>
        <v/>
      </c>
      <c r="AE838" s="55">
        <f t="shared" si="191"/>
        <v>0</v>
      </c>
      <c r="AF838" s="55">
        <f t="shared" si="192"/>
        <v>0</v>
      </c>
      <c r="AG838" s="58">
        <f t="shared" si="193"/>
        <v>0</v>
      </c>
      <c r="AH838" s="47"/>
      <c r="AJ838" s="47"/>
      <c r="AL838" s="47"/>
      <c r="AM838" s="47" t="str">
        <f t="shared" si="194"/>
        <v/>
      </c>
    </row>
    <row r="839" spans="1:39" s="56" customFormat="1" ht="24.75" customHeight="1">
      <c r="A839" s="44"/>
      <c r="B839" s="45"/>
      <c r="C839" s="46">
        <f>IF(B839&lt;&gt;"",VLOOKUP(B839,'Tipo Projeto'!$A$3:$B$35,2,0),0)</f>
        <v>0</v>
      </c>
      <c r="D839" s="47"/>
      <c r="E839" s="47"/>
      <c r="F839" s="48"/>
      <c r="G839" s="47"/>
      <c r="H839" s="49"/>
      <c r="I839" s="50"/>
      <c r="J839" s="51"/>
      <c r="K839" s="52"/>
      <c r="L839" s="53" t="str">
        <f t="shared" si="182"/>
        <v/>
      </c>
      <c r="M839" s="48" t="str">
        <f t="shared" si="183"/>
        <v/>
      </c>
      <c r="N839" s="54" t="str">
        <f t="shared" si="184"/>
        <v/>
      </c>
      <c r="O839" s="55">
        <f t="shared" si="185"/>
        <v>0</v>
      </c>
      <c r="P839" s="55">
        <f t="shared" si="186"/>
        <v>0</v>
      </c>
      <c r="Q839" s="54">
        <f t="shared" si="187"/>
        <v>0</v>
      </c>
      <c r="R839" s="47"/>
      <c r="T839" s="57"/>
      <c r="U839" s="45"/>
      <c r="V839" s="46">
        <f>IF(U839&lt;&gt;"",VLOOKUP(U839,'Tipo Projeto'!$A$3:$B$35,2,0),0)</f>
        <v>0</v>
      </c>
      <c r="W839" s="47"/>
      <c r="X839" s="49"/>
      <c r="Y839" s="50"/>
      <c r="Z839" s="51"/>
      <c r="AA839" s="52"/>
      <c r="AB839" s="53" t="str">
        <f t="shared" si="188"/>
        <v/>
      </c>
      <c r="AC839" s="48" t="str">
        <f t="shared" si="189"/>
        <v/>
      </c>
      <c r="AD839" s="54" t="str">
        <f t="shared" si="190"/>
        <v/>
      </c>
      <c r="AE839" s="55">
        <f t="shared" si="191"/>
        <v>0</v>
      </c>
      <c r="AF839" s="55">
        <f t="shared" si="192"/>
        <v>0</v>
      </c>
      <c r="AG839" s="58">
        <f t="shared" si="193"/>
        <v>0</v>
      </c>
      <c r="AH839" s="47"/>
      <c r="AJ839" s="47"/>
      <c r="AL839" s="47"/>
      <c r="AM839" s="47" t="str">
        <f t="shared" si="194"/>
        <v/>
      </c>
    </row>
    <row r="840" spans="1:39" s="56" customFormat="1" ht="24.75" customHeight="1">
      <c r="A840" s="44"/>
      <c r="B840" s="45"/>
      <c r="C840" s="46">
        <f>IF(B840&lt;&gt;"",VLOOKUP(B840,'Tipo Projeto'!$A$3:$B$35,2,0),0)</f>
        <v>0</v>
      </c>
      <c r="D840" s="47"/>
      <c r="E840" s="47"/>
      <c r="F840" s="48"/>
      <c r="G840" s="47"/>
      <c r="H840" s="49"/>
      <c r="I840" s="50"/>
      <c r="J840" s="51"/>
      <c r="K840" s="52"/>
      <c r="L840" s="53" t="str">
        <f t="shared" si="182"/>
        <v/>
      </c>
      <c r="M840" s="48" t="str">
        <f t="shared" si="183"/>
        <v/>
      </c>
      <c r="N840" s="54" t="str">
        <f t="shared" si="184"/>
        <v/>
      </c>
      <c r="O840" s="55">
        <f t="shared" si="185"/>
        <v>0</v>
      </c>
      <c r="P840" s="55">
        <f t="shared" si="186"/>
        <v>0</v>
      </c>
      <c r="Q840" s="54">
        <f t="shared" si="187"/>
        <v>0</v>
      </c>
      <c r="R840" s="47"/>
      <c r="T840" s="57"/>
      <c r="U840" s="45"/>
      <c r="V840" s="46">
        <f>IF(U840&lt;&gt;"",VLOOKUP(U840,'Tipo Projeto'!$A$3:$B$35,2,0),0)</f>
        <v>0</v>
      </c>
      <c r="W840" s="47"/>
      <c r="X840" s="49"/>
      <c r="Y840" s="50"/>
      <c r="Z840" s="51"/>
      <c r="AA840" s="52"/>
      <c r="AB840" s="53" t="str">
        <f t="shared" si="188"/>
        <v/>
      </c>
      <c r="AC840" s="48" t="str">
        <f t="shared" si="189"/>
        <v/>
      </c>
      <c r="AD840" s="54" t="str">
        <f t="shared" si="190"/>
        <v/>
      </c>
      <c r="AE840" s="55">
        <f t="shared" si="191"/>
        <v>0</v>
      </c>
      <c r="AF840" s="55">
        <f t="shared" si="192"/>
        <v>0</v>
      </c>
      <c r="AG840" s="58">
        <f t="shared" si="193"/>
        <v>0</v>
      </c>
      <c r="AH840" s="47"/>
      <c r="AJ840" s="47"/>
      <c r="AL840" s="47"/>
      <c r="AM840" s="47" t="str">
        <f t="shared" si="194"/>
        <v/>
      </c>
    </row>
    <row r="841" spans="1:39" s="56" customFormat="1" ht="24.75" customHeight="1">
      <c r="A841" s="44"/>
      <c r="B841" s="45"/>
      <c r="C841" s="46">
        <f>IF(B841&lt;&gt;"",VLOOKUP(B841,'Tipo Projeto'!$A$3:$B$35,2,0),0)</f>
        <v>0</v>
      </c>
      <c r="D841" s="47"/>
      <c r="E841" s="47"/>
      <c r="F841" s="48"/>
      <c r="G841" s="47"/>
      <c r="H841" s="49"/>
      <c r="I841" s="50"/>
      <c r="J841" s="51"/>
      <c r="K841" s="52"/>
      <c r="L841" s="53" t="str">
        <f t="shared" si="182"/>
        <v/>
      </c>
      <c r="M841" s="48" t="str">
        <f t="shared" si="183"/>
        <v/>
      </c>
      <c r="N841" s="54" t="str">
        <f t="shared" si="184"/>
        <v/>
      </c>
      <c r="O841" s="55">
        <f t="shared" si="185"/>
        <v>0</v>
      </c>
      <c r="P841" s="55">
        <f t="shared" si="186"/>
        <v>0</v>
      </c>
      <c r="Q841" s="54">
        <f t="shared" si="187"/>
        <v>0</v>
      </c>
      <c r="R841" s="47"/>
      <c r="T841" s="57"/>
      <c r="U841" s="45"/>
      <c r="V841" s="46">
        <f>IF(U841&lt;&gt;"",VLOOKUP(U841,'Tipo Projeto'!$A$3:$B$35,2,0),0)</f>
        <v>0</v>
      </c>
      <c r="W841" s="47"/>
      <c r="X841" s="49"/>
      <c r="Y841" s="50"/>
      <c r="Z841" s="51"/>
      <c r="AA841" s="52"/>
      <c r="AB841" s="53" t="str">
        <f t="shared" si="188"/>
        <v/>
      </c>
      <c r="AC841" s="48" t="str">
        <f t="shared" si="189"/>
        <v/>
      </c>
      <c r="AD841" s="54" t="str">
        <f t="shared" si="190"/>
        <v/>
      </c>
      <c r="AE841" s="55">
        <f t="shared" si="191"/>
        <v>0</v>
      </c>
      <c r="AF841" s="55">
        <f t="shared" si="192"/>
        <v>0</v>
      </c>
      <c r="AG841" s="58">
        <f t="shared" si="193"/>
        <v>0</v>
      </c>
      <c r="AH841" s="47"/>
      <c r="AJ841" s="47"/>
      <c r="AL841" s="47"/>
      <c r="AM841" s="47" t="str">
        <f t="shared" si="194"/>
        <v/>
      </c>
    </row>
    <row r="842" spans="1:39" s="56" customFormat="1" ht="24.75" customHeight="1">
      <c r="A842" s="44"/>
      <c r="B842" s="45"/>
      <c r="C842" s="46">
        <f>IF(B842&lt;&gt;"",VLOOKUP(B842,'Tipo Projeto'!$A$3:$B$35,2,0),0)</f>
        <v>0</v>
      </c>
      <c r="D842" s="47"/>
      <c r="E842" s="47"/>
      <c r="F842" s="48"/>
      <c r="G842" s="47"/>
      <c r="H842" s="49"/>
      <c r="I842" s="50"/>
      <c r="J842" s="51"/>
      <c r="K842" s="52"/>
      <c r="L842" s="53" t="str">
        <f t="shared" si="182"/>
        <v/>
      </c>
      <c r="M842" s="48" t="str">
        <f t="shared" si="183"/>
        <v/>
      </c>
      <c r="N842" s="54" t="str">
        <f t="shared" si="184"/>
        <v/>
      </c>
      <c r="O842" s="55">
        <f t="shared" si="185"/>
        <v>0</v>
      </c>
      <c r="P842" s="55">
        <f t="shared" si="186"/>
        <v>0</v>
      </c>
      <c r="Q842" s="54">
        <f t="shared" si="187"/>
        <v>0</v>
      </c>
      <c r="R842" s="47"/>
      <c r="T842" s="57"/>
      <c r="U842" s="45"/>
      <c r="V842" s="46">
        <f>IF(U842&lt;&gt;"",VLOOKUP(U842,'Tipo Projeto'!$A$3:$B$35,2,0),0)</f>
        <v>0</v>
      </c>
      <c r="W842" s="47"/>
      <c r="X842" s="49"/>
      <c r="Y842" s="50"/>
      <c r="Z842" s="51"/>
      <c r="AA842" s="52"/>
      <c r="AB842" s="53" t="str">
        <f t="shared" si="188"/>
        <v/>
      </c>
      <c r="AC842" s="48" t="str">
        <f t="shared" si="189"/>
        <v/>
      </c>
      <c r="AD842" s="54" t="str">
        <f t="shared" si="190"/>
        <v/>
      </c>
      <c r="AE842" s="55">
        <f t="shared" si="191"/>
        <v>0</v>
      </c>
      <c r="AF842" s="55">
        <f t="shared" si="192"/>
        <v>0</v>
      </c>
      <c r="AG842" s="58">
        <f t="shared" si="193"/>
        <v>0</v>
      </c>
      <c r="AH842" s="47"/>
      <c r="AJ842" s="47"/>
      <c r="AL842" s="47"/>
      <c r="AM842" s="47" t="str">
        <f t="shared" si="194"/>
        <v/>
      </c>
    </row>
    <row r="843" spans="1:39" s="56" customFormat="1" ht="24.75" customHeight="1">
      <c r="A843" s="44"/>
      <c r="B843" s="45"/>
      <c r="C843" s="46">
        <f>IF(B843&lt;&gt;"",VLOOKUP(B843,'Tipo Projeto'!$A$3:$B$35,2,0),0)</f>
        <v>0</v>
      </c>
      <c r="D843" s="47"/>
      <c r="E843" s="47"/>
      <c r="F843" s="48"/>
      <c r="G843" s="47"/>
      <c r="H843" s="49"/>
      <c r="I843" s="50"/>
      <c r="J843" s="51"/>
      <c r="K843" s="52"/>
      <c r="L843" s="53" t="str">
        <f t="shared" si="182"/>
        <v/>
      </c>
      <c r="M843" s="48" t="str">
        <f t="shared" si="183"/>
        <v/>
      </c>
      <c r="N843" s="54" t="str">
        <f t="shared" si="184"/>
        <v/>
      </c>
      <c r="O843" s="55">
        <f t="shared" si="185"/>
        <v>0</v>
      </c>
      <c r="P843" s="55">
        <f t="shared" si="186"/>
        <v>0</v>
      </c>
      <c r="Q843" s="54">
        <f t="shared" si="187"/>
        <v>0</v>
      </c>
      <c r="R843" s="47"/>
      <c r="T843" s="57"/>
      <c r="U843" s="45"/>
      <c r="V843" s="46">
        <f>IF(U843&lt;&gt;"",VLOOKUP(U843,'Tipo Projeto'!$A$3:$B$35,2,0),0)</f>
        <v>0</v>
      </c>
      <c r="W843" s="47"/>
      <c r="X843" s="49"/>
      <c r="Y843" s="50"/>
      <c r="Z843" s="51"/>
      <c r="AA843" s="52"/>
      <c r="AB843" s="53" t="str">
        <f t="shared" si="188"/>
        <v/>
      </c>
      <c r="AC843" s="48" t="str">
        <f t="shared" si="189"/>
        <v/>
      </c>
      <c r="AD843" s="54" t="str">
        <f t="shared" si="190"/>
        <v/>
      </c>
      <c r="AE843" s="55">
        <f t="shared" si="191"/>
        <v>0</v>
      </c>
      <c r="AF843" s="55">
        <f t="shared" si="192"/>
        <v>0</v>
      </c>
      <c r="AG843" s="58">
        <f t="shared" si="193"/>
        <v>0</v>
      </c>
      <c r="AH843" s="47"/>
      <c r="AJ843" s="47"/>
      <c r="AL843" s="47"/>
      <c r="AM843" s="47" t="str">
        <f t="shared" si="194"/>
        <v/>
      </c>
    </row>
    <row r="844" spans="1:39" s="56" customFormat="1" ht="24.75" customHeight="1">
      <c r="A844" s="44"/>
      <c r="B844" s="45"/>
      <c r="C844" s="46">
        <f>IF(B844&lt;&gt;"",VLOOKUP(B844,'Tipo Projeto'!$A$3:$B$35,2,0),0)</f>
        <v>0</v>
      </c>
      <c r="D844" s="47"/>
      <c r="E844" s="47"/>
      <c r="F844" s="48"/>
      <c r="G844" s="47"/>
      <c r="H844" s="49"/>
      <c r="I844" s="50"/>
      <c r="J844" s="51"/>
      <c r="K844" s="52"/>
      <c r="L844" s="53" t="str">
        <f t="shared" si="182"/>
        <v/>
      </c>
      <c r="M844" s="48" t="str">
        <f t="shared" si="183"/>
        <v/>
      </c>
      <c r="N844" s="54" t="str">
        <f t="shared" si="184"/>
        <v/>
      </c>
      <c r="O844" s="55">
        <f t="shared" si="185"/>
        <v>0</v>
      </c>
      <c r="P844" s="55">
        <f t="shared" si="186"/>
        <v>0</v>
      </c>
      <c r="Q844" s="54">
        <f t="shared" si="187"/>
        <v>0</v>
      </c>
      <c r="R844" s="47"/>
      <c r="T844" s="57"/>
      <c r="U844" s="45"/>
      <c r="V844" s="46">
        <f>IF(U844&lt;&gt;"",VLOOKUP(U844,'Tipo Projeto'!$A$3:$B$35,2,0),0)</f>
        <v>0</v>
      </c>
      <c r="W844" s="47"/>
      <c r="X844" s="49"/>
      <c r="Y844" s="50"/>
      <c r="Z844" s="51"/>
      <c r="AA844" s="52"/>
      <c r="AB844" s="53" t="str">
        <f t="shared" si="188"/>
        <v/>
      </c>
      <c r="AC844" s="48" t="str">
        <f t="shared" si="189"/>
        <v/>
      </c>
      <c r="AD844" s="54" t="str">
        <f t="shared" si="190"/>
        <v/>
      </c>
      <c r="AE844" s="55">
        <f t="shared" si="191"/>
        <v>0</v>
      </c>
      <c r="AF844" s="55">
        <f t="shared" si="192"/>
        <v>0</v>
      </c>
      <c r="AG844" s="58">
        <f t="shared" si="193"/>
        <v>0</v>
      </c>
      <c r="AH844" s="47"/>
      <c r="AJ844" s="47"/>
      <c r="AL844" s="47"/>
      <c r="AM844" s="47" t="str">
        <f t="shared" si="194"/>
        <v/>
      </c>
    </row>
    <row r="845" spans="1:39" s="56" customFormat="1" ht="24.75" customHeight="1">
      <c r="A845" s="44"/>
      <c r="B845" s="45"/>
      <c r="C845" s="46">
        <f>IF(B845&lt;&gt;"",VLOOKUP(B845,'Tipo Projeto'!$A$3:$B$35,2,0),0)</f>
        <v>0</v>
      </c>
      <c r="D845" s="47"/>
      <c r="E845" s="47"/>
      <c r="F845" s="48"/>
      <c r="G845" s="47"/>
      <c r="H845" s="49"/>
      <c r="I845" s="50"/>
      <c r="J845" s="51"/>
      <c r="K845" s="52"/>
      <c r="L845" s="53" t="str">
        <f t="shared" si="182"/>
        <v/>
      </c>
      <c r="M845" s="48" t="str">
        <f t="shared" si="183"/>
        <v/>
      </c>
      <c r="N845" s="54" t="str">
        <f t="shared" si="184"/>
        <v/>
      </c>
      <c r="O845" s="55">
        <f t="shared" si="185"/>
        <v>0</v>
      </c>
      <c r="P845" s="55">
        <f t="shared" si="186"/>
        <v>0</v>
      </c>
      <c r="Q845" s="54">
        <f t="shared" si="187"/>
        <v>0</v>
      </c>
      <c r="R845" s="47"/>
      <c r="T845" s="57"/>
      <c r="U845" s="45"/>
      <c r="V845" s="46">
        <f>IF(U845&lt;&gt;"",VLOOKUP(U845,'Tipo Projeto'!$A$3:$B$35,2,0),0)</f>
        <v>0</v>
      </c>
      <c r="W845" s="47"/>
      <c r="X845" s="49"/>
      <c r="Y845" s="50"/>
      <c r="Z845" s="51"/>
      <c r="AA845" s="52"/>
      <c r="AB845" s="53" t="str">
        <f t="shared" si="188"/>
        <v/>
      </c>
      <c r="AC845" s="48" t="str">
        <f t="shared" si="189"/>
        <v/>
      </c>
      <c r="AD845" s="54" t="str">
        <f t="shared" si="190"/>
        <v/>
      </c>
      <c r="AE845" s="55">
        <f t="shared" si="191"/>
        <v>0</v>
      </c>
      <c r="AF845" s="55">
        <f t="shared" si="192"/>
        <v>0</v>
      </c>
      <c r="AG845" s="58">
        <f t="shared" si="193"/>
        <v>0</v>
      </c>
      <c r="AH845" s="47"/>
      <c r="AJ845" s="47"/>
      <c r="AL845" s="47"/>
      <c r="AM845" s="47" t="str">
        <f t="shared" si="194"/>
        <v/>
      </c>
    </row>
    <row r="846" spans="1:39" s="56" customFormat="1" ht="24.75" customHeight="1">
      <c r="A846" s="44"/>
      <c r="B846" s="45"/>
      <c r="C846" s="46">
        <f>IF(B846&lt;&gt;"",VLOOKUP(B846,'Tipo Projeto'!$A$3:$B$35,2,0),0)</f>
        <v>0</v>
      </c>
      <c r="D846" s="47"/>
      <c r="E846" s="47"/>
      <c r="F846" s="48"/>
      <c r="G846" s="47"/>
      <c r="H846" s="49"/>
      <c r="I846" s="50"/>
      <c r="J846" s="51"/>
      <c r="K846" s="52"/>
      <c r="L846" s="53" t="str">
        <f t="shared" si="182"/>
        <v/>
      </c>
      <c r="M846" s="48" t="str">
        <f t="shared" si="183"/>
        <v/>
      </c>
      <c r="N846" s="54" t="str">
        <f t="shared" si="184"/>
        <v/>
      </c>
      <c r="O846" s="55">
        <f t="shared" si="185"/>
        <v>0</v>
      </c>
      <c r="P846" s="55">
        <f t="shared" si="186"/>
        <v>0</v>
      </c>
      <c r="Q846" s="54">
        <f t="shared" si="187"/>
        <v>0</v>
      </c>
      <c r="R846" s="47"/>
      <c r="T846" s="57"/>
      <c r="U846" s="45"/>
      <c r="V846" s="46">
        <f>IF(U846&lt;&gt;"",VLOOKUP(U846,'Tipo Projeto'!$A$3:$B$35,2,0),0)</f>
        <v>0</v>
      </c>
      <c r="W846" s="47"/>
      <c r="X846" s="49"/>
      <c r="Y846" s="50"/>
      <c r="Z846" s="51"/>
      <c r="AA846" s="52"/>
      <c r="AB846" s="53" t="str">
        <f t="shared" si="188"/>
        <v/>
      </c>
      <c r="AC846" s="48" t="str">
        <f t="shared" si="189"/>
        <v/>
      </c>
      <c r="AD846" s="54" t="str">
        <f t="shared" si="190"/>
        <v/>
      </c>
      <c r="AE846" s="55">
        <f t="shared" si="191"/>
        <v>0</v>
      </c>
      <c r="AF846" s="55">
        <f t="shared" si="192"/>
        <v>0</v>
      </c>
      <c r="AG846" s="58">
        <f t="shared" si="193"/>
        <v>0</v>
      </c>
      <c r="AH846" s="47"/>
      <c r="AJ846" s="47"/>
      <c r="AL846" s="47"/>
      <c r="AM846" s="47" t="str">
        <f t="shared" si="194"/>
        <v/>
      </c>
    </row>
    <row r="847" spans="1:39" s="56" customFormat="1" ht="24.75" customHeight="1">
      <c r="A847" s="44"/>
      <c r="B847" s="45"/>
      <c r="C847" s="46">
        <f>IF(B847&lt;&gt;"",VLOOKUP(B847,'Tipo Projeto'!$A$3:$B$35,2,0),0)</f>
        <v>0</v>
      </c>
      <c r="D847" s="47"/>
      <c r="E847" s="47"/>
      <c r="F847" s="48"/>
      <c r="G847" s="47"/>
      <c r="H847" s="49"/>
      <c r="I847" s="50"/>
      <c r="J847" s="51"/>
      <c r="K847" s="52"/>
      <c r="L847" s="53" t="str">
        <f t="shared" si="182"/>
        <v/>
      </c>
      <c r="M847" s="48" t="str">
        <f t="shared" si="183"/>
        <v/>
      </c>
      <c r="N847" s="54" t="str">
        <f t="shared" si="184"/>
        <v/>
      </c>
      <c r="O847" s="55">
        <f t="shared" si="185"/>
        <v>0</v>
      </c>
      <c r="P847" s="55">
        <f t="shared" si="186"/>
        <v>0</v>
      </c>
      <c r="Q847" s="54">
        <f t="shared" si="187"/>
        <v>0</v>
      </c>
      <c r="R847" s="47"/>
      <c r="T847" s="57"/>
      <c r="U847" s="45"/>
      <c r="V847" s="46">
        <f>IF(U847&lt;&gt;"",VLOOKUP(U847,'Tipo Projeto'!$A$3:$B$35,2,0),0)</f>
        <v>0</v>
      </c>
      <c r="W847" s="47"/>
      <c r="X847" s="49"/>
      <c r="Y847" s="50"/>
      <c r="Z847" s="51"/>
      <c r="AA847" s="52"/>
      <c r="AB847" s="53" t="str">
        <f t="shared" si="188"/>
        <v/>
      </c>
      <c r="AC847" s="48" t="str">
        <f t="shared" si="189"/>
        <v/>
      </c>
      <c r="AD847" s="54" t="str">
        <f t="shared" si="190"/>
        <v/>
      </c>
      <c r="AE847" s="55">
        <f t="shared" si="191"/>
        <v>0</v>
      </c>
      <c r="AF847" s="55">
        <f t="shared" si="192"/>
        <v>0</v>
      </c>
      <c r="AG847" s="58">
        <f t="shared" si="193"/>
        <v>0</v>
      </c>
      <c r="AH847" s="47"/>
      <c r="AJ847" s="47"/>
      <c r="AL847" s="47"/>
      <c r="AM847" s="47" t="str">
        <f t="shared" si="194"/>
        <v/>
      </c>
    </row>
    <row r="848" spans="1:39" s="56" customFormat="1" ht="24.75" customHeight="1">
      <c r="A848" s="44"/>
      <c r="B848" s="45"/>
      <c r="C848" s="46">
        <f>IF(B848&lt;&gt;"",VLOOKUP(B848,'Tipo Projeto'!$A$3:$B$35,2,0),0)</f>
        <v>0</v>
      </c>
      <c r="D848" s="47"/>
      <c r="E848" s="47"/>
      <c r="F848" s="48"/>
      <c r="G848" s="47"/>
      <c r="H848" s="49"/>
      <c r="I848" s="50"/>
      <c r="J848" s="51"/>
      <c r="K848" s="52"/>
      <c r="L848" s="53" t="str">
        <f t="shared" si="182"/>
        <v/>
      </c>
      <c r="M848" s="48" t="str">
        <f t="shared" si="183"/>
        <v/>
      </c>
      <c r="N848" s="54" t="str">
        <f t="shared" si="184"/>
        <v/>
      </c>
      <c r="O848" s="55">
        <f t="shared" si="185"/>
        <v>0</v>
      </c>
      <c r="P848" s="55">
        <f t="shared" si="186"/>
        <v>0</v>
      </c>
      <c r="Q848" s="54">
        <f t="shared" si="187"/>
        <v>0</v>
      </c>
      <c r="R848" s="47"/>
      <c r="T848" s="57"/>
      <c r="U848" s="45"/>
      <c r="V848" s="46">
        <f>IF(U848&lt;&gt;"",VLOOKUP(U848,'Tipo Projeto'!$A$3:$B$35,2,0),0)</f>
        <v>0</v>
      </c>
      <c r="W848" s="47"/>
      <c r="X848" s="49"/>
      <c r="Y848" s="50"/>
      <c r="Z848" s="51"/>
      <c r="AA848" s="52"/>
      <c r="AB848" s="53" t="str">
        <f t="shared" si="188"/>
        <v/>
      </c>
      <c r="AC848" s="48" t="str">
        <f t="shared" si="189"/>
        <v/>
      </c>
      <c r="AD848" s="54" t="str">
        <f t="shared" si="190"/>
        <v/>
      </c>
      <c r="AE848" s="55">
        <f t="shared" si="191"/>
        <v>0</v>
      </c>
      <c r="AF848" s="55">
        <f t="shared" si="192"/>
        <v>0</v>
      </c>
      <c r="AG848" s="58">
        <f t="shared" si="193"/>
        <v>0</v>
      </c>
      <c r="AH848" s="47"/>
      <c r="AJ848" s="47"/>
      <c r="AL848" s="47"/>
      <c r="AM848" s="47" t="str">
        <f t="shared" si="194"/>
        <v/>
      </c>
    </row>
    <row r="849" spans="1:39" s="56" customFormat="1" ht="24.75" customHeight="1">
      <c r="A849" s="44"/>
      <c r="B849" s="45"/>
      <c r="C849" s="46">
        <f>IF(B849&lt;&gt;"",VLOOKUP(B849,'Tipo Projeto'!$A$3:$B$35,2,0),0)</f>
        <v>0</v>
      </c>
      <c r="D849" s="47"/>
      <c r="E849" s="47"/>
      <c r="F849" s="48"/>
      <c r="G849" s="47"/>
      <c r="H849" s="49"/>
      <c r="I849" s="50"/>
      <c r="J849" s="51"/>
      <c r="K849" s="52"/>
      <c r="L849" s="53" t="str">
        <f t="shared" si="182"/>
        <v/>
      </c>
      <c r="M849" s="48" t="str">
        <f t="shared" si="183"/>
        <v/>
      </c>
      <c r="N849" s="54" t="str">
        <f t="shared" si="184"/>
        <v/>
      </c>
      <c r="O849" s="55">
        <f t="shared" si="185"/>
        <v>0</v>
      </c>
      <c r="P849" s="55">
        <f t="shared" si="186"/>
        <v>0</v>
      </c>
      <c r="Q849" s="54">
        <f t="shared" si="187"/>
        <v>0</v>
      </c>
      <c r="R849" s="47"/>
      <c r="T849" s="57"/>
      <c r="U849" s="45"/>
      <c r="V849" s="46">
        <f>IF(U849&lt;&gt;"",VLOOKUP(U849,'Tipo Projeto'!$A$3:$B$35,2,0),0)</f>
        <v>0</v>
      </c>
      <c r="W849" s="47"/>
      <c r="X849" s="49"/>
      <c r="Y849" s="50"/>
      <c r="Z849" s="51"/>
      <c r="AA849" s="52"/>
      <c r="AB849" s="53" t="str">
        <f t="shared" si="188"/>
        <v/>
      </c>
      <c r="AC849" s="48" t="str">
        <f t="shared" si="189"/>
        <v/>
      </c>
      <c r="AD849" s="54" t="str">
        <f t="shared" si="190"/>
        <v/>
      </c>
      <c r="AE849" s="55">
        <f t="shared" si="191"/>
        <v>0</v>
      </c>
      <c r="AF849" s="55">
        <f t="shared" si="192"/>
        <v>0</v>
      </c>
      <c r="AG849" s="58">
        <f t="shared" si="193"/>
        <v>0</v>
      </c>
      <c r="AH849" s="47"/>
      <c r="AJ849" s="47"/>
      <c r="AL849" s="47"/>
      <c r="AM849" s="47" t="str">
        <f t="shared" si="194"/>
        <v/>
      </c>
    </row>
    <row r="850" spans="1:39" s="56" customFormat="1" ht="24.75" customHeight="1">
      <c r="A850" s="44"/>
      <c r="B850" s="45"/>
      <c r="C850" s="46">
        <f>IF(B850&lt;&gt;"",VLOOKUP(B850,'Tipo Projeto'!$A$3:$B$35,2,0),0)</f>
        <v>0</v>
      </c>
      <c r="D850" s="47"/>
      <c r="E850" s="47"/>
      <c r="F850" s="48"/>
      <c r="G850" s="47"/>
      <c r="H850" s="49"/>
      <c r="I850" s="50"/>
      <c r="J850" s="51"/>
      <c r="K850" s="52"/>
      <c r="L850" s="53" t="str">
        <f t="shared" si="182"/>
        <v/>
      </c>
      <c r="M850" s="48" t="str">
        <f t="shared" si="183"/>
        <v/>
      </c>
      <c r="N850" s="54" t="str">
        <f t="shared" si="184"/>
        <v/>
      </c>
      <c r="O850" s="55">
        <f t="shared" si="185"/>
        <v>0</v>
      </c>
      <c r="P850" s="55">
        <f t="shared" si="186"/>
        <v>0</v>
      </c>
      <c r="Q850" s="54">
        <f t="shared" si="187"/>
        <v>0</v>
      </c>
      <c r="R850" s="47"/>
      <c r="T850" s="57"/>
      <c r="U850" s="45"/>
      <c r="V850" s="46">
        <f>IF(U850&lt;&gt;"",VLOOKUP(U850,'Tipo Projeto'!$A$3:$B$35,2,0),0)</f>
        <v>0</v>
      </c>
      <c r="W850" s="47"/>
      <c r="X850" s="49"/>
      <c r="Y850" s="50"/>
      <c r="Z850" s="51"/>
      <c r="AA850" s="52"/>
      <c r="AB850" s="53" t="str">
        <f t="shared" si="188"/>
        <v/>
      </c>
      <c r="AC850" s="48" t="str">
        <f t="shared" si="189"/>
        <v/>
      </c>
      <c r="AD850" s="54" t="str">
        <f t="shared" si="190"/>
        <v/>
      </c>
      <c r="AE850" s="55">
        <f t="shared" si="191"/>
        <v>0</v>
      </c>
      <c r="AF850" s="55">
        <f t="shared" si="192"/>
        <v>0</v>
      </c>
      <c r="AG850" s="58">
        <f t="shared" si="193"/>
        <v>0</v>
      </c>
      <c r="AH850" s="47"/>
      <c r="AJ850" s="47"/>
      <c r="AL850" s="47"/>
      <c r="AM850" s="47" t="str">
        <f t="shared" si="194"/>
        <v/>
      </c>
    </row>
    <row r="851" spans="1:39" s="56" customFormat="1" ht="24.75" customHeight="1">
      <c r="A851" s="44"/>
      <c r="B851" s="45"/>
      <c r="C851" s="46">
        <f>IF(B851&lt;&gt;"",VLOOKUP(B851,'Tipo Projeto'!$A$3:$B$35,2,0),0)</f>
        <v>0</v>
      </c>
      <c r="D851" s="47"/>
      <c r="E851" s="47"/>
      <c r="F851" s="48"/>
      <c r="G851" s="47"/>
      <c r="H851" s="49"/>
      <c r="I851" s="50"/>
      <c r="J851" s="51"/>
      <c r="K851" s="52"/>
      <c r="L851" s="53" t="str">
        <f t="shared" si="182"/>
        <v/>
      </c>
      <c r="M851" s="48" t="str">
        <f t="shared" si="183"/>
        <v/>
      </c>
      <c r="N851" s="54" t="str">
        <f t="shared" si="184"/>
        <v/>
      </c>
      <c r="O851" s="55">
        <f t="shared" si="185"/>
        <v>0</v>
      </c>
      <c r="P851" s="55">
        <f t="shared" si="186"/>
        <v>0</v>
      </c>
      <c r="Q851" s="54">
        <f t="shared" si="187"/>
        <v>0</v>
      </c>
      <c r="R851" s="47"/>
      <c r="T851" s="57"/>
      <c r="U851" s="45"/>
      <c r="V851" s="46">
        <f>IF(U851&lt;&gt;"",VLOOKUP(U851,'Tipo Projeto'!$A$3:$B$35,2,0),0)</f>
        <v>0</v>
      </c>
      <c r="W851" s="47"/>
      <c r="X851" s="49"/>
      <c r="Y851" s="50"/>
      <c r="Z851" s="51"/>
      <c r="AA851" s="52"/>
      <c r="AB851" s="53" t="str">
        <f t="shared" si="188"/>
        <v/>
      </c>
      <c r="AC851" s="48" t="str">
        <f t="shared" si="189"/>
        <v/>
      </c>
      <c r="AD851" s="54" t="str">
        <f t="shared" si="190"/>
        <v/>
      </c>
      <c r="AE851" s="55">
        <f t="shared" si="191"/>
        <v>0</v>
      </c>
      <c r="AF851" s="55">
        <f t="shared" si="192"/>
        <v>0</v>
      </c>
      <c r="AG851" s="58">
        <f t="shared" si="193"/>
        <v>0</v>
      </c>
      <c r="AH851" s="47"/>
      <c r="AJ851" s="47"/>
      <c r="AL851" s="47"/>
      <c r="AM851" s="47" t="str">
        <f t="shared" si="194"/>
        <v/>
      </c>
    </row>
    <row r="852" spans="1:39" s="56" customFormat="1" ht="24.75" customHeight="1">
      <c r="A852" s="44"/>
      <c r="B852" s="45"/>
      <c r="C852" s="46">
        <f>IF(B852&lt;&gt;"",VLOOKUP(B852,'Tipo Projeto'!$A$3:$B$35,2,0),0)</f>
        <v>0</v>
      </c>
      <c r="D852" s="47"/>
      <c r="E852" s="47"/>
      <c r="F852" s="48"/>
      <c r="G852" s="47"/>
      <c r="H852" s="49"/>
      <c r="I852" s="50"/>
      <c r="J852" s="51"/>
      <c r="K852" s="52"/>
      <c r="L852" s="53" t="str">
        <f t="shared" si="182"/>
        <v/>
      </c>
      <c r="M852" s="48" t="str">
        <f t="shared" si="183"/>
        <v/>
      </c>
      <c r="N852" s="54" t="str">
        <f t="shared" si="184"/>
        <v/>
      </c>
      <c r="O852" s="55">
        <f t="shared" si="185"/>
        <v>0</v>
      </c>
      <c r="P852" s="55">
        <f t="shared" si="186"/>
        <v>0</v>
      </c>
      <c r="Q852" s="54">
        <f t="shared" si="187"/>
        <v>0</v>
      </c>
      <c r="R852" s="47"/>
      <c r="T852" s="57"/>
      <c r="U852" s="45"/>
      <c r="V852" s="46">
        <f>IF(U852&lt;&gt;"",VLOOKUP(U852,'Tipo Projeto'!$A$3:$B$35,2,0),0)</f>
        <v>0</v>
      </c>
      <c r="W852" s="47"/>
      <c r="X852" s="49"/>
      <c r="Y852" s="50"/>
      <c r="Z852" s="51"/>
      <c r="AA852" s="52"/>
      <c r="AB852" s="53" t="str">
        <f t="shared" si="188"/>
        <v/>
      </c>
      <c r="AC852" s="48" t="str">
        <f t="shared" si="189"/>
        <v/>
      </c>
      <c r="AD852" s="54" t="str">
        <f t="shared" si="190"/>
        <v/>
      </c>
      <c r="AE852" s="55">
        <f t="shared" si="191"/>
        <v>0</v>
      </c>
      <c r="AF852" s="55">
        <f t="shared" si="192"/>
        <v>0</v>
      </c>
      <c r="AG852" s="58">
        <f t="shared" si="193"/>
        <v>0</v>
      </c>
      <c r="AH852" s="47"/>
      <c r="AJ852" s="47"/>
      <c r="AL852" s="47"/>
      <c r="AM852" s="47" t="str">
        <f t="shared" si="194"/>
        <v/>
      </c>
    </row>
    <row r="853" spans="1:39" s="56" customFormat="1" ht="24.75" customHeight="1">
      <c r="A853" s="44"/>
      <c r="B853" s="45"/>
      <c r="C853" s="46">
        <f>IF(B853&lt;&gt;"",VLOOKUP(B853,'Tipo Projeto'!$A$3:$B$35,2,0),0)</f>
        <v>0</v>
      </c>
      <c r="D853" s="47"/>
      <c r="E853" s="47"/>
      <c r="F853" s="48"/>
      <c r="G853" s="47"/>
      <c r="H853" s="49"/>
      <c r="I853" s="50"/>
      <c r="J853" s="51"/>
      <c r="K853" s="52"/>
      <c r="L853" s="53" t="str">
        <f t="shared" si="182"/>
        <v/>
      </c>
      <c r="M853" s="48" t="str">
        <f t="shared" si="183"/>
        <v/>
      </c>
      <c r="N853" s="54" t="str">
        <f t="shared" si="184"/>
        <v/>
      </c>
      <c r="O853" s="55">
        <f t="shared" si="185"/>
        <v>0</v>
      </c>
      <c r="P853" s="55">
        <f t="shared" si="186"/>
        <v>0</v>
      </c>
      <c r="Q853" s="54">
        <f t="shared" si="187"/>
        <v>0</v>
      </c>
      <c r="R853" s="47"/>
      <c r="T853" s="57"/>
      <c r="U853" s="45"/>
      <c r="V853" s="46">
        <f>IF(U853&lt;&gt;"",VLOOKUP(U853,'Tipo Projeto'!$A$3:$B$35,2,0),0)</f>
        <v>0</v>
      </c>
      <c r="W853" s="47"/>
      <c r="X853" s="49"/>
      <c r="Y853" s="50"/>
      <c r="Z853" s="51"/>
      <c r="AA853" s="52"/>
      <c r="AB853" s="53" t="str">
        <f t="shared" si="188"/>
        <v/>
      </c>
      <c r="AC853" s="48" t="str">
        <f t="shared" si="189"/>
        <v/>
      </c>
      <c r="AD853" s="54" t="str">
        <f t="shared" si="190"/>
        <v/>
      </c>
      <c r="AE853" s="55">
        <f t="shared" si="191"/>
        <v>0</v>
      </c>
      <c r="AF853" s="55">
        <f t="shared" si="192"/>
        <v>0</v>
      </c>
      <c r="AG853" s="58">
        <f t="shared" si="193"/>
        <v>0</v>
      </c>
      <c r="AH853" s="47"/>
      <c r="AJ853" s="47"/>
      <c r="AL853" s="47"/>
      <c r="AM853" s="47" t="str">
        <f t="shared" si="194"/>
        <v/>
      </c>
    </row>
    <row r="854" spans="1:39" s="56" customFormat="1" ht="24.75" customHeight="1">
      <c r="A854" s="44"/>
      <c r="B854" s="45"/>
      <c r="C854" s="46">
        <f>IF(B854&lt;&gt;"",VLOOKUP(B854,'Tipo Projeto'!$A$3:$B$35,2,0),0)</f>
        <v>0</v>
      </c>
      <c r="D854" s="47"/>
      <c r="E854" s="47"/>
      <c r="F854" s="48"/>
      <c r="G854" s="47"/>
      <c r="H854" s="49"/>
      <c r="I854" s="50"/>
      <c r="J854" s="51"/>
      <c r="K854" s="52"/>
      <c r="L854" s="53" t="str">
        <f t="shared" si="182"/>
        <v/>
      </c>
      <c r="M854" s="48" t="str">
        <f t="shared" si="183"/>
        <v/>
      </c>
      <c r="N854" s="54" t="str">
        <f t="shared" si="184"/>
        <v/>
      </c>
      <c r="O854" s="55">
        <f t="shared" si="185"/>
        <v>0</v>
      </c>
      <c r="P854" s="55">
        <f t="shared" si="186"/>
        <v>0</v>
      </c>
      <c r="Q854" s="54">
        <f t="shared" si="187"/>
        <v>0</v>
      </c>
      <c r="R854" s="47"/>
      <c r="T854" s="57"/>
      <c r="U854" s="45"/>
      <c r="V854" s="46">
        <f>IF(U854&lt;&gt;"",VLOOKUP(U854,'Tipo Projeto'!$A$3:$B$35,2,0),0)</f>
        <v>0</v>
      </c>
      <c r="W854" s="47"/>
      <c r="X854" s="49"/>
      <c r="Y854" s="50"/>
      <c r="Z854" s="51"/>
      <c r="AA854" s="52"/>
      <c r="AB854" s="53" t="str">
        <f t="shared" si="188"/>
        <v/>
      </c>
      <c r="AC854" s="48" t="str">
        <f t="shared" si="189"/>
        <v/>
      </c>
      <c r="AD854" s="54" t="str">
        <f t="shared" si="190"/>
        <v/>
      </c>
      <c r="AE854" s="55">
        <f t="shared" si="191"/>
        <v>0</v>
      </c>
      <c r="AF854" s="55">
        <f t="shared" si="192"/>
        <v>0</v>
      </c>
      <c r="AG854" s="58">
        <f t="shared" si="193"/>
        <v>0</v>
      </c>
      <c r="AH854" s="47"/>
      <c r="AJ854" s="47"/>
      <c r="AL854" s="47"/>
      <c r="AM854" s="47" t="str">
        <f t="shared" si="194"/>
        <v/>
      </c>
    </row>
    <row r="855" spans="1:39" s="56" customFormat="1" ht="24.75" customHeight="1">
      <c r="A855" s="44"/>
      <c r="B855" s="45"/>
      <c r="C855" s="46">
        <f>IF(B855&lt;&gt;"",VLOOKUP(B855,'Tipo Projeto'!$A$3:$B$35,2,0),0)</f>
        <v>0</v>
      </c>
      <c r="D855" s="47"/>
      <c r="E855" s="47"/>
      <c r="F855" s="48"/>
      <c r="G855" s="47"/>
      <c r="H855" s="49"/>
      <c r="I855" s="50"/>
      <c r="J855" s="51"/>
      <c r="K855" s="52"/>
      <c r="L855" s="53" t="str">
        <f t="shared" si="182"/>
        <v/>
      </c>
      <c r="M855" s="48" t="str">
        <f t="shared" si="183"/>
        <v/>
      </c>
      <c r="N855" s="54" t="str">
        <f t="shared" si="184"/>
        <v/>
      </c>
      <c r="O855" s="55">
        <f t="shared" si="185"/>
        <v>0</v>
      </c>
      <c r="P855" s="55">
        <f t="shared" si="186"/>
        <v>0</v>
      </c>
      <c r="Q855" s="54">
        <f t="shared" si="187"/>
        <v>0</v>
      </c>
      <c r="R855" s="47"/>
      <c r="T855" s="57"/>
      <c r="U855" s="45"/>
      <c r="V855" s="46">
        <f>IF(U855&lt;&gt;"",VLOOKUP(U855,'Tipo Projeto'!$A$3:$B$35,2,0),0)</f>
        <v>0</v>
      </c>
      <c r="W855" s="47"/>
      <c r="X855" s="49"/>
      <c r="Y855" s="50"/>
      <c r="Z855" s="51"/>
      <c r="AA855" s="52"/>
      <c r="AB855" s="53" t="str">
        <f t="shared" si="188"/>
        <v/>
      </c>
      <c r="AC855" s="48" t="str">
        <f t="shared" si="189"/>
        <v/>
      </c>
      <c r="AD855" s="54" t="str">
        <f t="shared" si="190"/>
        <v/>
      </c>
      <c r="AE855" s="55">
        <f t="shared" si="191"/>
        <v>0</v>
      </c>
      <c r="AF855" s="55">
        <f t="shared" si="192"/>
        <v>0</v>
      </c>
      <c r="AG855" s="58">
        <f t="shared" si="193"/>
        <v>0</v>
      </c>
      <c r="AH855" s="47"/>
      <c r="AJ855" s="47"/>
      <c r="AL855" s="47"/>
      <c r="AM855" s="47" t="str">
        <f t="shared" si="194"/>
        <v/>
      </c>
    </row>
    <row r="856" spans="1:39" s="56" customFormat="1" ht="24.75" customHeight="1">
      <c r="A856" s="44"/>
      <c r="B856" s="45"/>
      <c r="C856" s="46">
        <f>IF(B856&lt;&gt;"",VLOOKUP(B856,'Tipo Projeto'!$A$3:$B$35,2,0),0)</f>
        <v>0</v>
      </c>
      <c r="D856" s="47"/>
      <c r="E856" s="47"/>
      <c r="F856" s="48"/>
      <c r="G856" s="47"/>
      <c r="H856" s="49"/>
      <c r="I856" s="50"/>
      <c r="J856" s="51"/>
      <c r="K856" s="52"/>
      <c r="L856" s="53" t="str">
        <f t="shared" si="182"/>
        <v/>
      </c>
      <c r="M856" s="48" t="str">
        <f t="shared" si="183"/>
        <v/>
      </c>
      <c r="N856" s="54" t="str">
        <f t="shared" si="184"/>
        <v/>
      </c>
      <c r="O856" s="55">
        <f t="shared" si="185"/>
        <v>0</v>
      </c>
      <c r="P856" s="55">
        <f t="shared" si="186"/>
        <v>0</v>
      </c>
      <c r="Q856" s="54">
        <f t="shared" si="187"/>
        <v>0</v>
      </c>
      <c r="R856" s="47"/>
      <c r="T856" s="57"/>
      <c r="U856" s="45"/>
      <c r="V856" s="46">
        <f>IF(U856&lt;&gt;"",VLOOKUP(U856,'Tipo Projeto'!$A$3:$B$35,2,0),0)</f>
        <v>0</v>
      </c>
      <c r="W856" s="47"/>
      <c r="X856" s="49"/>
      <c r="Y856" s="50"/>
      <c r="Z856" s="51"/>
      <c r="AA856" s="52"/>
      <c r="AB856" s="53" t="str">
        <f t="shared" si="188"/>
        <v/>
      </c>
      <c r="AC856" s="48" t="str">
        <f t="shared" si="189"/>
        <v/>
      </c>
      <c r="AD856" s="54" t="str">
        <f t="shared" si="190"/>
        <v/>
      </c>
      <c r="AE856" s="55">
        <f t="shared" si="191"/>
        <v>0</v>
      </c>
      <c r="AF856" s="55">
        <f t="shared" si="192"/>
        <v>0</v>
      </c>
      <c r="AG856" s="58">
        <f t="shared" si="193"/>
        <v>0</v>
      </c>
      <c r="AH856" s="47"/>
      <c r="AJ856" s="47"/>
      <c r="AL856" s="47"/>
      <c r="AM856" s="47" t="str">
        <f t="shared" si="194"/>
        <v/>
      </c>
    </row>
    <row r="857" spans="1:39" s="56" customFormat="1" ht="24.75" customHeight="1">
      <c r="A857" s="44"/>
      <c r="B857" s="45"/>
      <c r="C857" s="46">
        <f>IF(B857&lt;&gt;"",VLOOKUP(B857,'Tipo Projeto'!$A$3:$B$35,2,0),0)</f>
        <v>0</v>
      </c>
      <c r="D857" s="47"/>
      <c r="E857" s="47"/>
      <c r="F857" s="48"/>
      <c r="G857" s="47"/>
      <c r="H857" s="49"/>
      <c r="I857" s="50"/>
      <c r="J857" s="51"/>
      <c r="K857" s="52"/>
      <c r="L857" s="53" t="str">
        <f t="shared" si="182"/>
        <v/>
      </c>
      <c r="M857" s="48" t="str">
        <f t="shared" si="183"/>
        <v/>
      </c>
      <c r="N857" s="54" t="str">
        <f t="shared" si="184"/>
        <v/>
      </c>
      <c r="O857" s="55">
        <f t="shared" si="185"/>
        <v>0</v>
      </c>
      <c r="P857" s="55">
        <f t="shared" si="186"/>
        <v>0</v>
      </c>
      <c r="Q857" s="54">
        <f t="shared" si="187"/>
        <v>0</v>
      </c>
      <c r="R857" s="47"/>
      <c r="T857" s="57"/>
      <c r="U857" s="45"/>
      <c r="V857" s="46">
        <f>IF(U857&lt;&gt;"",VLOOKUP(U857,'Tipo Projeto'!$A$3:$B$35,2,0),0)</f>
        <v>0</v>
      </c>
      <c r="W857" s="47"/>
      <c r="X857" s="49"/>
      <c r="Y857" s="50"/>
      <c r="Z857" s="51"/>
      <c r="AA857" s="52"/>
      <c r="AB857" s="53" t="str">
        <f t="shared" si="188"/>
        <v/>
      </c>
      <c r="AC857" s="48" t="str">
        <f t="shared" si="189"/>
        <v/>
      </c>
      <c r="AD857" s="54" t="str">
        <f t="shared" si="190"/>
        <v/>
      </c>
      <c r="AE857" s="55">
        <f t="shared" si="191"/>
        <v>0</v>
      </c>
      <c r="AF857" s="55">
        <f t="shared" si="192"/>
        <v>0</v>
      </c>
      <c r="AG857" s="58">
        <f t="shared" si="193"/>
        <v>0</v>
      </c>
      <c r="AH857" s="47"/>
      <c r="AJ857" s="47"/>
      <c r="AL857" s="47"/>
      <c r="AM857" s="47" t="str">
        <f t="shared" si="194"/>
        <v/>
      </c>
    </row>
    <row r="858" spans="1:39" s="56" customFormat="1" ht="24.75" customHeight="1">
      <c r="A858" s="44"/>
      <c r="B858" s="45"/>
      <c r="C858" s="46">
        <f>IF(B858&lt;&gt;"",VLOOKUP(B858,'Tipo Projeto'!$A$3:$B$35,2,0),0)</f>
        <v>0</v>
      </c>
      <c r="D858" s="47"/>
      <c r="E858" s="47"/>
      <c r="F858" s="48"/>
      <c r="G858" s="47"/>
      <c r="H858" s="49"/>
      <c r="I858" s="50"/>
      <c r="J858" s="51"/>
      <c r="K858" s="52"/>
      <c r="L858" s="53" t="str">
        <f t="shared" si="182"/>
        <v/>
      </c>
      <c r="M858" s="48" t="str">
        <f t="shared" si="183"/>
        <v/>
      </c>
      <c r="N858" s="54" t="str">
        <f t="shared" si="184"/>
        <v/>
      </c>
      <c r="O858" s="55">
        <f t="shared" si="185"/>
        <v>0</v>
      </c>
      <c r="P858" s="55">
        <f t="shared" si="186"/>
        <v>0</v>
      </c>
      <c r="Q858" s="54">
        <f t="shared" si="187"/>
        <v>0</v>
      </c>
      <c r="R858" s="47"/>
      <c r="T858" s="57"/>
      <c r="U858" s="45"/>
      <c r="V858" s="46">
        <f>IF(U858&lt;&gt;"",VLOOKUP(U858,'Tipo Projeto'!$A$3:$B$35,2,0),0)</f>
        <v>0</v>
      </c>
      <c r="W858" s="47"/>
      <c r="X858" s="49"/>
      <c r="Y858" s="50"/>
      <c r="Z858" s="51"/>
      <c r="AA858" s="52"/>
      <c r="AB858" s="53" t="str">
        <f t="shared" si="188"/>
        <v/>
      </c>
      <c r="AC858" s="48" t="str">
        <f t="shared" si="189"/>
        <v/>
      </c>
      <c r="AD858" s="54" t="str">
        <f t="shared" si="190"/>
        <v/>
      </c>
      <c r="AE858" s="55">
        <f t="shared" si="191"/>
        <v>0</v>
      </c>
      <c r="AF858" s="55">
        <f t="shared" si="192"/>
        <v>0</v>
      </c>
      <c r="AG858" s="58">
        <f t="shared" si="193"/>
        <v>0</v>
      </c>
      <c r="AH858" s="47"/>
      <c r="AJ858" s="47"/>
      <c r="AL858" s="47"/>
      <c r="AM858" s="47" t="str">
        <f t="shared" si="194"/>
        <v/>
      </c>
    </row>
    <row r="859" spans="1:39" s="56" customFormat="1" ht="24.75" customHeight="1">
      <c r="A859" s="44"/>
      <c r="B859" s="45"/>
      <c r="C859" s="46">
        <f>IF(B859&lt;&gt;"",VLOOKUP(B859,'Tipo Projeto'!$A$3:$B$35,2,0),0)</f>
        <v>0</v>
      </c>
      <c r="D859" s="47"/>
      <c r="E859" s="47"/>
      <c r="F859" s="48"/>
      <c r="G859" s="47"/>
      <c r="H859" s="49"/>
      <c r="I859" s="50"/>
      <c r="J859" s="51"/>
      <c r="K859" s="52"/>
      <c r="L859" s="53" t="str">
        <f t="shared" si="182"/>
        <v/>
      </c>
      <c r="M859" s="48" t="str">
        <f t="shared" si="183"/>
        <v/>
      </c>
      <c r="N859" s="54" t="str">
        <f t="shared" si="184"/>
        <v/>
      </c>
      <c r="O859" s="55">
        <f t="shared" si="185"/>
        <v>0</v>
      </c>
      <c r="P859" s="55">
        <f t="shared" si="186"/>
        <v>0</v>
      </c>
      <c r="Q859" s="54">
        <f t="shared" si="187"/>
        <v>0</v>
      </c>
      <c r="R859" s="47"/>
      <c r="T859" s="57"/>
      <c r="U859" s="45"/>
      <c r="V859" s="46">
        <f>IF(U859&lt;&gt;"",VLOOKUP(U859,'Tipo Projeto'!$A$3:$B$35,2,0),0)</f>
        <v>0</v>
      </c>
      <c r="W859" s="47"/>
      <c r="X859" s="49"/>
      <c r="Y859" s="50"/>
      <c r="Z859" s="51"/>
      <c r="AA859" s="52"/>
      <c r="AB859" s="53" t="str">
        <f t="shared" si="188"/>
        <v/>
      </c>
      <c r="AC859" s="48" t="str">
        <f t="shared" si="189"/>
        <v/>
      </c>
      <c r="AD859" s="54" t="str">
        <f t="shared" si="190"/>
        <v/>
      </c>
      <c r="AE859" s="55">
        <f t="shared" si="191"/>
        <v>0</v>
      </c>
      <c r="AF859" s="55">
        <f t="shared" si="192"/>
        <v>0</v>
      </c>
      <c r="AG859" s="58">
        <f t="shared" si="193"/>
        <v>0</v>
      </c>
      <c r="AH859" s="47"/>
      <c r="AJ859" s="47"/>
      <c r="AL859" s="47"/>
      <c r="AM859" s="47" t="str">
        <f t="shared" si="194"/>
        <v/>
      </c>
    </row>
    <row r="860" spans="1:39" s="56" customFormat="1" ht="24.75" customHeight="1">
      <c r="A860" s="44"/>
      <c r="B860" s="45"/>
      <c r="C860" s="46">
        <f>IF(B860&lt;&gt;"",VLOOKUP(B860,'Tipo Projeto'!$A$3:$B$35,2,0),0)</f>
        <v>0</v>
      </c>
      <c r="D860" s="47"/>
      <c r="E860" s="47"/>
      <c r="F860" s="48"/>
      <c r="G860" s="47"/>
      <c r="H860" s="49"/>
      <c r="I860" s="50"/>
      <c r="J860" s="51"/>
      <c r="K860" s="52"/>
      <c r="L860" s="53" t="str">
        <f t="shared" si="182"/>
        <v/>
      </c>
      <c r="M860" s="48" t="str">
        <f t="shared" si="183"/>
        <v/>
      </c>
      <c r="N860" s="54" t="str">
        <f t="shared" si="184"/>
        <v/>
      </c>
      <c r="O860" s="55">
        <f t="shared" si="185"/>
        <v>0</v>
      </c>
      <c r="P860" s="55">
        <f t="shared" si="186"/>
        <v>0</v>
      </c>
      <c r="Q860" s="54">
        <f t="shared" si="187"/>
        <v>0</v>
      </c>
      <c r="R860" s="47"/>
      <c r="T860" s="57"/>
      <c r="U860" s="45"/>
      <c r="V860" s="46">
        <f>IF(U860&lt;&gt;"",VLOOKUP(U860,'Tipo Projeto'!$A$3:$B$35,2,0),0)</f>
        <v>0</v>
      </c>
      <c r="W860" s="47"/>
      <c r="X860" s="49"/>
      <c r="Y860" s="50"/>
      <c r="Z860" s="51"/>
      <c r="AA860" s="52"/>
      <c r="AB860" s="53" t="str">
        <f t="shared" si="188"/>
        <v/>
      </c>
      <c r="AC860" s="48" t="str">
        <f t="shared" si="189"/>
        <v/>
      </c>
      <c r="AD860" s="54" t="str">
        <f t="shared" si="190"/>
        <v/>
      </c>
      <c r="AE860" s="55">
        <f t="shared" si="191"/>
        <v>0</v>
      </c>
      <c r="AF860" s="55">
        <f t="shared" si="192"/>
        <v>0</v>
      </c>
      <c r="AG860" s="58">
        <f t="shared" si="193"/>
        <v>0</v>
      </c>
      <c r="AH860" s="47"/>
      <c r="AJ860" s="47"/>
      <c r="AL860" s="47"/>
      <c r="AM860" s="47" t="str">
        <f t="shared" si="194"/>
        <v/>
      </c>
    </row>
    <row r="861" spans="1:39" s="56" customFormat="1" ht="24.75" customHeight="1">
      <c r="A861" s="44"/>
      <c r="B861" s="45"/>
      <c r="C861" s="46">
        <f>IF(B861&lt;&gt;"",VLOOKUP(B861,'Tipo Projeto'!$A$3:$B$35,2,0),0)</f>
        <v>0</v>
      </c>
      <c r="D861" s="47"/>
      <c r="E861" s="47"/>
      <c r="F861" s="48"/>
      <c r="G861" s="47"/>
      <c r="H861" s="49"/>
      <c r="I861" s="50"/>
      <c r="J861" s="51"/>
      <c r="K861" s="52"/>
      <c r="L861" s="53" t="str">
        <f t="shared" si="182"/>
        <v/>
      </c>
      <c r="M861" s="48" t="str">
        <f t="shared" si="183"/>
        <v/>
      </c>
      <c r="N861" s="54" t="str">
        <f t="shared" si="184"/>
        <v/>
      </c>
      <c r="O861" s="55">
        <f t="shared" si="185"/>
        <v>0</v>
      </c>
      <c r="P861" s="55">
        <f t="shared" si="186"/>
        <v>0</v>
      </c>
      <c r="Q861" s="54">
        <f t="shared" si="187"/>
        <v>0</v>
      </c>
      <c r="R861" s="47"/>
      <c r="T861" s="57"/>
      <c r="U861" s="45"/>
      <c r="V861" s="46">
        <f>IF(U861&lt;&gt;"",VLOOKUP(U861,'Tipo Projeto'!$A$3:$B$35,2,0),0)</f>
        <v>0</v>
      </c>
      <c r="W861" s="47"/>
      <c r="X861" s="49"/>
      <c r="Y861" s="50"/>
      <c r="Z861" s="51"/>
      <c r="AA861" s="52"/>
      <c r="AB861" s="53" t="str">
        <f t="shared" si="188"/>
        <v/>
      </c>
      <c r="AC861" s="48" t="str">
        <f t="shared" si="189"/>
        <v/>
      </c>
      <c r="AD861" s="54" t="str">
        <f t="shared" si="190"/>
        <v/>
      </c>
      <c r="AE861" s="55">
        <f t="shared" si="191"/>
        <v>0</v>
      </c>
      <c r="AF861" s="55">
        <f t="shared" si="192"/>
        <v>0</v>
      </c>
      <c r="AG861" s="58">
        <f t="shared" si="193"/>
        <v>0</v>
      </c>
      <c r="AH861" s="47"/>
      <c r="AJ861" s="47"/>
      <c r="AL861" s="47"/>
      <c r="AM861" s="47" t="str">
        <f t="shared" si="194"/>
        <v/>
      </c>
    </row>
    <row r="862" spans="1:39" s="56" customFormat="1" ht="24.75" customHeight="1">
      <c r="A862" s="44"/>
      <c r="B862" s="45"/>
      <c r="C862" s="46">
        <f>IF(B862&lt;&gt;"",VLOOKUP(B862,'Tipo Projeto'!$A$3:$B$35,2,0),0)</f>
        <v>0</v>
      </c>
      <c r="D862" s="47"/>
      <c r="E862" s="47"/>
      <c r="F862" s="48"/>
      <c r="G862" s="47"/>
      <c r="H862" s="49"/>
      <c r="I862" s="50"/>
      <c r="J862" s="51"/>
      <c r="K862" s="52"/>
      <c r="L862" s="53" t="str">
        <f t="shared" si="182"/>
        <v/>
      </c>
      <c r="M862" s="48" t="str">
        <f t="shared" si="183"/>
        <v/>
      </c>
      <c r="N862" s="54" t="str">
        <f t="shared" si="184"/>
        <v/>
      </c>
      <c r="O862" s="55">
        <f t="shared" si="185"/>
        <v>0</v>
      </c>
      <c r="P862" s="55">
        <f t="shared" si="186"/>
        <v>0</v>
      </c>
      <c r="Q862" s="54">
        <f t="shared" si="187"/>
        <v>0</v>
      </c>
      <c r="R862" s="47"/>
      <c r="T862" s="57"/>
      <c r="U862" s="45"/>
      <c r="V862" s="46">
        <f>IF(U862&lt;&gt;"",VLOOKUP(U862,'Tipo Projeto'!$A$3:$B$35,2,0),0)</f>
        <v>0</v>
      </c>
      <c r="W862" s="47"/>
      <c r="X862" s="49"/>
      <c r="Y862" s="50"/>
      <c r="Z862" s="51"/>
      <c r="AA862" s="52"/>
      <c r="AB862" s="53" t="str">
        <f t="shared" si="188"/>
        <v/>
      </c>
      <c r="AC862" s="48" t="str">
        <f t="shared" si="189"/>
        <v/>
      </c>
      <c r="AD862" s="54" t="str">
        <f t="shared" si="190"/>
        <v/>
      </c>
      <c r="AE862" s="55">
        <f t="shared" si="191"/>
        <v>0</v>
      </c>
      <c r="AF862" s="55">
        <f t="shared" si="192"/>
        <v>0</v>
      </c>
      <c r="AG862" s="58">
        <f t="shared" si="193"/>
        <v>0</v>
      </c>
      <c r="AH862" s="47"/>
      <c r="AJ862" s="47"/>
      <c r="AL862" s="47"/>
      <c r="AM862" s="47" t="str">
        <f t="shared" si="194"/>
        <v/>
      </c>
    </row>
    <row r="863" spans="1:39" s="56" customFormat="1" ht="24.75" customHeight="1">
      <c r="A863" s="44"/>
      <c r="B863" s="45"/>
      <c r="C863" s="46">
        <f>IF(B863&lt;&gt;"",VLOOKUP(B863,'Tipo Projeto'!$A$3:$B$35,2,0),0)</f>
        <v>0</v>
      </c>
      <c r="D863" s="47"/>
      <c r="E863" s="47"/>
      <c r="F863" s="48"/>
      <c r="G863" s="47"/>
      <c r="H863" s="49"/>
      <c r="I863" s="50"/>
      <c r="J863" s="51"/>
      <c r="K863" s="52"/>
      <c r="L863" s="53" t="str">
        <f t="shared" si="182"/>
        <v/>
      </c>
      <c r="M863" s="48" t="str">
        <f t="shared" si="183"/>
        <v/>
      </c>
      <c r="N863" s="54" t="str">
        <f t="shared" si="184"/>
        <v/>
      </c>
      <c r="O863" s="55">
        <f t="shared" si="185"/>
        <v>0</v>
      </c>
      <c r="P863" s="55">
        <f t="shared" si="186"/>
        <v>0</v>
      </c>
      <c r="Q863" s="54">
        <f t="shared" si="187"/>
        <v>0</v>
      </c>
      <c r="R863" s="47"/>
      <c r="T863" s="57"/>
      <c r="U863" s="45"/>
      <c r="V863" s="46">
        <f>IF(U863&lt;&gt;"",VLOOKUP(U863,'Tipo Projeto'!$A$3:$B$35,2,0),0)</f>
        <v>0</v>
      </c>
      <c r="W863" s="47"/>
      <c r="X863" s="49"/>
      <c r="Y863" s="50"/>
      <c r="Z863" s="51"/>
      <c r="AA863" s="52"/>
      <c r="AB863" s="53" t="str">
        <f t="shared" si="188"/>
        <v/>
      </c>
      <c r="AC863" s="48" t="str">
        <f t="shared" si="189"/>
        <v/>
      </c>
      <c r="AD863" s="54" t="str">
        <f t="shared" si="190"/>
        <v/>
      </c>
      <c r="AE863" s="55">
        <f t="shared" si="191"/>
        <v>0</v>
      </c>
      <c r="AF863" s="55">
        <f t="shared" si="192"/>
        <v>0</v>
      </c>
      <c r="AG863" s="58">
        <f t="shared" si="193"/>
        <v>0</v>
      </c>
      <c r="AH863" s="47"/>
      <c r="AJ863" s="47"/>
      <c r="AL863" s="47"/>
      <c r="AM863" s="47" t="str">
        <f t="shared" si="194"/>
        <v/>
      </c>
    </row>
    <row r="864" spans="1:39" s="56" customFormat="1" ht="24.75" customHeight="1">
      <c r="A864" s="44"/>
      <c r="B864" s="45"/>
      <c r="C864" s="46">
        <f>IF(B864&lt;&gt;"",VLOOKUP(B864,'Tipo Projeto'!$A$3:$B$35,2,0),0)</f>
        <v>0</v>
      </c>
      <c r="D864" s="47"/>
      <c r="E864" s="47"/>
      <c r="F864" s="48"/>
      <c r="G864" s="47"/>
      <c r="H864" s="49"/>
      <c r="I864" s="50"/>
      <c r="J864" s="51"/>
      <c r="K864" s="52"/>
      <c r="L864" s="53" t="str">
        <f t="shared" si="182"/>
        <v/>
      </c>
      <c r="M864" s="48" t="str">
        <f t="shared" si="183"/>
        <v/>
      </c>
      <c r="N864" s="54" t="str">
        <f t="shared" si="184"/>
        <v/>
      </c>
      <c r="O864" s="55">
        <f t="shared" si="185"/>
        <v>0</v>
      </c>
      <c r="P864" s="55">
        <f t="shared" si="186"/>
        <v>0</v>
      </c>
      <c r="Q864" s="54">
        <f t="shared" si="187"/>
        <v>0</v>
      </c>
      <c r="R864" s="47"/>
      <c r="T864" s="57"/>
      <c r="U864" s="45"/>
      <c r="V864" s="46">
        <f>IF(U864&lt;&gt;"",VLOOKUP(U864,'Tipo Projeto'!$A$3:$B$35,2,0),0)</f>
        <v>0</v>
      </c>
      <c r="W864" s="47"/>
      <c r="X864" s="49"/>
      <c r="Y864" s="50"/>
      <c r="Z864" s="51"/>
      <c r="AA864" s="52"/>
      <c r="AB864" s="53" t="str">
        <f t="shared" si="188"/>
        <v/>
      </c>
      <c r="AC864" s="48" t="str">
        <f t="shared" si="189"/>
        <v/>
      </c>
      <c r="AD864" s="54" t="str">
        <f t="shared" si="190"/>
        <v/>
      </c>
      <c r="AE864" s="55">
        <f t="shared" si="191"/>
        <v>0</v>
      </c>
      <c r="AF864" s="55">
        <f t="shared" si="192"/>
        <v>0</v>
      </c>
      <c r="AG864" s="58">
        <f t="shared" si="193"/>
        <v>0</v>
      </c>
      <c r="AH864" s="47"/>
      <c r="AJ864" s="47"/>
      <c r="AL864" s="47"/>
      <c r="AM864" s="47" t="str">
        <f t="shared" si="194"/>
        <v/>
      </c>
    </row>
    <row r="865" spans="1:39" s="56" customFormat="1" ht="24.75" customHeight="1">
      <c r="A865" s="44"/>
      <c r="B865" s="45"/>
      <c r="C865" s="46">
        <f>IF(B865&lt;&gt;"",VLOOKUP(B865,'Tipo Projeto'!$A$3:$B$35,2,0),0)</f>
        <v>0</v>
      </c>
      <c r="D865" s="47"/>
      <c r="E865" s="47"/>
      <c r="F865" s="48"/>
      <c r="G865" s="47"/>
      <c r="H865" s="49"/>
      <c r="I865" s="50"/>
      <c r="J865" s="51"/>
      <c r="K865" s="52"/>
      <c r="L865" s="53" t="str">
        <f t="shared" si="182"/>
        <v/>
      </c>
      <c r="M865" s="48" t="str">
        <f t="shared" si="183"/>
        <v/>
      </c>
      <c r="N865" s="54" t="str">
        <f t="shared" si="184"/>
        <v/>
      </c>
      <c r="O865" s="55">
        <f t="shared" si="185"/>
        <v>0</v>
      </c>
      <c r="P865" s="55">
        <f t="shared" si="186"/>
        <v>0</v>
      </c>
      <c r="Q865" s="54">
        <f t="shared" si="187"/>
        <v>0</v>
      </c>
      <c r="R865" s="47"/>
      <c r="T865" s="57"/>
      <c r="U865" s="45"/>
      <c r="V865" s="46">
        <f>IF(U865&lt;&gt;"",VLOOKUP(U865,'Tipo Projeto'!$A$3:$B$35,2,0),0)</f>
        <v>0</v>
      </c>
      <c r="W865" s="47"/>
      <c r="X865" s="49"/>
      <c r="Y865" s="50"/>
      <c r="Z865" s="51"/>
      <c r="AA865" s="52"/>
      <c r="AB865" s="53" t="str">
        <f t="shared" si="188"/>
        <v/>
      </c>
      <c r="AC865" s="48" t="str">
        <f t="shared" si="189"/>
        <v/>
      </c>
      <c r="AD865" s="54" t="str">
        <f t="shared" si="190"/>
        <v/>
      </c>
      <c r="AE865" s="55">
        <f t="shared" si="191"/>
        <v>0</v>
      </c>
      <c r="AF865" s="55">
        <f t="shared" si="192"/>
        <v>0</v>
      </c>
      <c r="AG865" s="58">
        <f t="shared" si="193"/>
        <v>0</v>
      </c>
      <c r="AH865" s="47"/>
      <c r="AJ865" s="47"/>
      <c r="AL865" s="47"/>
      <c r="AM865" s="47" t="str">
        <f t="shared" si="194"/>
        <v/>
      </c>
    </row>
    <row r="866" spans="1:39" s="56" customFormat="1" ht="24.75" customHeight="1">
      <c r="A866" s="44"/>
      <c r="B866" s="45"/>
      <c r="C866" s="46">
        <f>IF(B866&lt;&gt;"",VLOOKUP(B866,'Tipo Projeto'!$A$3:$B$35,2,0),0)</f>
        <v>0</v>
      </c>
      <c r="D866" s="47"/>
      <c r="E866" s="47"/>
      <c r="F866" s="48"/>
      <c r="G866" s="47"/>
      <c r="H866" s="49"/>
      <c r="I866" s="50"/>
      <c r="J866" s="51"/>
      <c r="K866" s="52"/>
      <c r="L866" s="53" t="str">
        <f t="shared" si="182"/>
        <v/>
      </c>
      <c r="M866" s="48" t="str">
        <f t="shared" si="183"/>
        <v/>
      </c>
      <c r="N866" s="54" t="str">
        <f t="shared" si="184"/>
        <v/>
      </c>
      <c r="O866" s="55">
        <f t="shared" si="185"/>
        <v>0</v>
      </c>
      <c r="P866" s="55">
        <f t="shared" si="186"/>
        <v>0</v>
      </c>
      <c r="Q866" s="54">
        <f t="shared" si="187"/>
        <v>0</v>
      </c>
      <c r="R866" s="47"/>
      <c r="T866" s="57"/>
      <c r="U866" s="45"/>
      <c r="V866" s="46">
        <f>IF(U866&lt;&gt;"",VLOOKUP(U866,'Tipo Projeto'!$A$3:$B$35,2,0),0)</f>
        <v>0</v>
      </c>
      <c r="W866" s="47"/>
      <c r="X866" s="49"/>
      <c r="Y866" s="50"/>
      <c r="Z866" s="51"/>
      <c r="AA866" s="52"/>
      <c r="AB866" s="53" t="str">
        <f t="shared" si="188"/>
        <v/>
      </c>
      <c r="AC866" s="48" t="str">
        <f t="shared" si="189"/>
        <v/>
      </c>
      <c r="AD866" s="54" t="str">
        <f t="shared" si="190"/>
        <v/>
      </c>
      <c r="AE866" s="55">
        <f t="shared" si="191"/>
        <v>0</v>
      </c>
      <c r="AF866" s="55">
        <f t="shared" si="192"/>
        <v>0</v>
      </c>
      <c r="AG866" s="58">
        <f t="shared" si="193"/>
        <v>0</v>
      </c>
      <c r="AH866" s="47"/>
      <c r="AJ866" s="47"/>
      <c r="AL866" s="47"/>
      <c r="AM866" s="47" t="str">
        <f t="shared" si="194"/>
        <v/>
      </c>
    </row>
    <row r="867" spans="1:39" s="56" customFormat="1" ht="24.75" customHeight="1">
      <c r="A867" s="44"/>
      <c r="B867" s="45"/>
      <c r="C867" s="46">
        <f>IF(B867&lt;&gt;"",VLOOKUP(B867,'Tipo Projeto'!$A$3:$B$35,2,0),0)</f>
        <v>0</v>
      </c>
      <c r="D867" s="47"/>
      <c r="E867" s="47"/>
      <c r="F867" s="48"/>
      <c r="G867" s="47"/>
      <c r="H867" s="49"/>
      <c r="I867" s="50"/>
      <c r="J867" s="51"/>
      <c r="K867" s="52"/>
      <c r="L867" s="53" t="str">
        <f t="shared" si="182"/>
        <v/>
      </c>
      <c r="M867" s="48" t="str">
        <f t="shared" si="183"/>
        <v/>
      </c>
      <c r="N867" s="54" t="str">
        <f t="shared" si="184"/>
        <v/>
      </c>
      <c r="O867" s="55">
        <f t="shared" si="185"/>
        <v>0</v>
      </c>
      <c r="P867" s="55">
        <f t="shared" si="186"/>
        <v>0</v>
      </c>
      <c r="Q867" s="54">
        <f t="shared" si="187"/>
        <v>0</v>
      </c>
      <c r="R867" s="47"/>
      <c r="T867" s="57"/>
      <c r="U867" s="45"/>
      <c r="V867" s="46">
        <f>IF(U867&lt;&gt;"",VLOOKUP(U867,'Tipo Projeto'!$A$3:$B$35,2,0),0)</f>
        <v>0</v>
      </c>
      <c r="W867" s="47"/>
      <c r="X867" s="49"/>
      <c r="Y867" s="50"/>
      <c r="Z867" s="51"/>
      <c r="AA867" s="52"/>
      <c r="AB867" s="53" t="str">
        <f t="shared" si="188"/>
        <v/>
      </c>
      <c r="AC867" s="48" t="str">
        <f t="shared" si="189"/>
        <v/>
      </c>
      <c r="AD867" s="54" t="str">
        <f t="shared" si="190"/>
        <v/>
      </c>
      <c r="AE867" s="55">
        <f t="shared" si="191"/>
        <v>0</v>
      </c>
      <c r="AF867" s="55">
        <f t="shared" si="192"/>
        <v>0</v>
      </c>
      <c r="AG867" s="58">
        <f t="shared" si="193"/>
        <v>0</v>
      </c>
      <c r="AH867" s="47"/>
      <c r="AJ867" s="47"/>
      <c r="AL867" s="47"/>
      <c r="AM867" s="47" t="str">
        <f t="shared" si="194"/>
        <v/>
      </c>
    </row>
    <row r="868" spans="1:39" s="56" customFormat="1" ht="24.75" customHeight="1">
      <c r="A868" s="44"/>
      <c r="B868" s="45"/>
      <c r="C868" s="46">
        <f>IF(B868&lt;&gt;"",VLOOKUP(B868,'Tipo Projeto'!$A$3:$B$35,2,0),0)</f>
        <v>0</v>
      </c>
      <c r="D868" s="47"/>
      <c r="E868" s="47"/>
      <c r="F868" s="48"/>
      <c r="G868" s="47"/>
      <c r="H868" s="49"/>
      <c r="I868" s="50"/>
      <c r="J868" s="51"/>
      <c r="K868" s="52"/>
      <c r="L868" s="53" t="str">
        <f t="shared" si="182"/>
        <v/>
      </c>
      <c r="M868" s="48" t="str">
        <f t="shared" si="183"/>
        <v/>
      </c>
      <c r="N868" s="54" t="str">
        <f t="shared" si="184"/>
        <v/>
      </c>
      <c r="O868" s="55">
        <f t="shared" si="185"/>
        <v>0</v>
      </c>
      <c r="P868" s="55">
        <f t="shared" si="186"/>
        <v>0</v>
      </c>
      <c r="Q868" s="54">
        <f t="shared" si="187"/>
        <v>0</v>
      </c>
      <c r="R868" s="47"/>
      <c r="T868" s="57"/>
      <c r="U868" s="45"/>
      <c r="V868" s="46">
        <f>IF(U868&lt;&gt;"",VLOOKUP(U868,'Tipo Projeto'!$A$3:$B$35,2,0),0)</f>
        <v>0</v>
      </c>
      <c r="W868" s="47"/>
      <c r="X868" s="49"/>
      <c r="Y868" s="50"/>
      <c r="Z868" s="51"/>
      <c r="AA868" s="52"/>
      <c r="AB868" s="53" t="str">
        <f t="shared" si="188"/>
        <v/>
      </c>
      <c r="AC868" s="48" t="str">
        <f t="shared" si="189"/>
        <v/>
      </c>
      <c r="AD868" s="54" t="str">
        <f t="shared" si="190"/>
        <v/>
      </c>
      <c r="AE868" s="55">
        <f t="shared" si="191"/>
        <v>0</v>
      </c>
      <c r="AF868" s="55">
        <f t="shared" si="192"/>
        <v>0</v>
      </c>
      <c r="AG868" s="58">
        <f t="shared" si="193"/>
        <v>0</v>
      </c>
      <c r="AH868" s="47"/>
      <c r="AJ868" s="47"/>
      <c r="AL868" s="47"/>
      <c r="AM868" s="47" t="str">
        <f t="shared" si="194"/>
        <v/>
      </c>
    </row>
    <row r="869" spans="1:39" s="56" customFormat="1" ht="24.75" customHeight="1">
      <c r="A869" s="44"/>
      <c r="B869" s="45"/>
      <c r="C869" s="46">
        <f>IF(B869&lt;&gt;"",VLOOKUP(B869,'Tipo Projeto'!$A$3:$B$35,2,0),0)</f>
        <v>0</v>
      </c>
      <c r="D869" s="47"/>
      <c r="E869" s="47"/>
      <c r="F869" s="48"/>
      <c r="G869" s="47"/>
      <c r="H869" s="49"/>
      <c r="I869" s="50"/>
      <c r="J869" s="51"/>
      <c r="K869" s="52"/>
      <c r="L869" s="53" t="str">
        <f t="shared" si="182"/>
        <v/>
      </c>
      <c r="M869" s="48" t="str">
        <f t="shared" si="183"/>
        <v/>
      </c>
      <c r="N869" s="54" t="str">
        <f t="shared" si="184"/>
        <v/>
      </c>
      <c r="O869" s="55">
        <f t="shared" si="185"/>
        <v>0</v>
      </c>
      <c r="P869" s="55">
        <f t="shared" si="186"/>
        <v>0</v>
      </c>
      <c r="Q869" s="54">
        <f t="shared" si="187"/>
        <v>0</v>
      </c>
      <c r="R869" s="47"/>
      <c r="T869" s="57"/>
      <c r="U869" s="45"/>
      <c r="V869" s="46">
        <f>IF(U869&lt;&gt;"",VLOOKUP(U869,'Tipo Projeto'!$A$3:$B$35,2,0),0)</f>
        <v>0</v>
      </c>
      <c r="W869" s="47"/>
      <c r="X869" s="49"/>
      <c r="Y869" s="50"/>
      <c r="Z869" s="51"/>
      <c r="AA869" s="52"/>
      <c r="AB869" s="53" t="str">
        <f t="shared" si="188"/>
        <v/>
      </c>
      <c r="AC869" s="48" t="str">
        <f t="shared" si="189"/>
        <v/>
      </c>
      <c r="AD869" s="54" t="str">
        <f t="shared" si="190"/>
        <v/>
      </c>
      <c r="AE869" s="55">
        <f t="shared" si="191"/>
        <v>0</v>
      </c>
      <c r="AF869" s="55">
        <f t="shared" si="192"/>
        <v>0</v>
      </c>
      <c r="AG869" s="58">
        <f t="shared" si="193"/>
        <v>0</v>
      </c>
      <c r="AH869" s="47"/>
      <c r="AJ869" s="47"/>
      <c r="AL869" s="47"/>
      <c r="AM869" s="47" t="str">
        <f t="shared" si="194"/>
        <v/>
      </c>
    </row>
    <row r="870" spans="1:39" s="56" customFormat="1" ht="24.75" customHeight="1">
      <c r="A870" s="44"/>
      <c r="B870" s="45"/>
      <c r="C870" s="46">
        <f>IF(B870&lt;&gt;"",VLOOKUP(B870,'Tipo Projeto'!$A$3:$B$35,2,0),0)</f>
        <v>0</v>
      </c>
      <c r="D870" s="47"/>
      <c r="E870" s="47"/>
      <c r="F870" s="48"/>
      <c r="G870" s="47"/>
      <c r="H870" s="49"/>
      <c r="I870" s="50"/>
      <c r="J870" s="51"/>
      <c r="K870" s="52"/>
      <c r="L870" s="53" t="str">
        <f t="shared" si="182"/>
        <v/>
      </c>
      <c r="M870" s="48" t="str">
        <f t="shared" si="183"/>
        <v/>
      </c>
      <c r="N870" s="54" t="str">
        <f t="shared" si="184"/>
        <v/>
      </c>
      <c r="O870" s="55">
        <f t="shared" si="185"/>
        <v>0</v>
      </c>
      <c r="P870" s="55">
        <f t="shared" si="186"/>
        <v>0</v>
      </c>
      <c r="Q870" s="54">
        <f t="shared" si="187"/>
        <v>0</v>
      </c>
      <c r="R870" s="47"/>
      <c r="T870" s="57"/>
      <c r="U870" s="45"/>
      <c r="V870" s="46">
        <f>IF(U870&lt;&gt;"",VLOOKUP(U870,'Tipo Projeto'!$A$3:$B$35,2,0),0)</f>
        <v>0</v>
      </c>
      <c r="W870" s="47"/>
      <c r="X870" s="49"/>
      <c r="Y870" s="50"/>
      <c r="Z870" s="51"/>
      <c r="AA870" s="52"/>
      <c r="AB870" s="53" t="str">
        <f t="shared" si="188"/>
        <v/>
      </c>
      <c r="AC870" s="48" t="str">
        <f t="shared" si="189"/>
        <v/>
      </c>
      <c r="AD870" s="54" t="str">
        <f t="shared" si="190"/>
        <v/>
      </c>
      <c r="AE870" s="55">
        <f t="shared" si="191"/>
        <v>0</v>
      </c>
      <c r="AF870" s="55">
        <f t="shared" si="192"/>
        <v>0</v>
      </c>
      <c r="AG870" s="58">
        <f t="shared" si="193"/>
        <v>0</v>
      </c>
      <c r="AH870" s="47"/>
      <c r="AJ870" s="47"/>
      <c r="AL870" s="47"/>
      <c r="AM870" s="47" t="str">
        <f t="shared" si="194"/>
        <v/>
      </c>
    </row>
    <row r="871" spans="1:39" s="56" customFormat="1" ht="24.75" customHeight="1">
      <c r="A871" s="44"/>
      <c r="B871" s="45"/>
      <c r="C871" s="46">
        <f>IF(B871&lt;&gt;"",VLOOKUP(B871,'Tipo Projeto'!$A$3:$B$35,2,0),0)</f>
        <v>0</v>
      </c>
      <c r="D871" s="47"/>
      <c r="E871" s="47"/>
      <c r="F871" s="48"/>
      <c r="G871" s="47"/>
      <c r="H871" s="49"/>
      <c r="I871" s="50"/>
      <c r="J871" s="51"/>
      <c r="K871" s="52"/>
      <c r="L871" s="53" t="str">
        <f t="shared" si="182"/>
        <v/>
      </c>
      <c r="M871" s="48" t="str">
        <f t="shared" si="183"/>
        <v/>
      </c>
      <c r="N871" s="54" t="str">
        <f t="shared" si="184"/>
        <v/>
      </c>
      <c r="O871" s="55">
        <f t="shared" si="185"/>
        <v>0</v>
      </c>
      <c r="P871" s="55">
        <f t="shared" si="186"/>
        <v>0</v>
      </c>
      <c r="Q871" s="54">
        <f t="shared" si="187"/>
        <v>0</v>
      </c>
      <c r="R871" s="47"/>
      <c r="T871" s="57"/>
      <c r="U871" s="45"/>
      <c r="V871" s="46">
        <f>IF(U871&lt;&gt;"",VLOOKUP(U871,'Tipo Projeto'!$A$3:$B$35,2,0),0)</f>
        <v>0</v>
      </c>
      <c r="W871" s="47"/>
      <c r="X871" s="49"/>
      <c r="Y871" s="50"/>
      <c r="Z871" s="51"/>
      <c r="AA871" s="52"/>
      <c r="AB871" s="53" t="str">
        <f t="shared" si="188"/>
        <v/>
      </c>
      <c r="AC871" s="48" t="str">
        <f t="shared" si="189"/>
        <v/>
      </c>
      <c r="AD871" s="54" t="str">
        <f t="shared" si="190"/>
        <v/>
      </c>
      <c r="AE871" s="55">
        <f t="shared" si="191"/>
        <v>0</v>
      </c>
      <c r="AF871" s="55">
        <f t="shared" si="192"/>
        <v>0</v>
      </c>
      <c r="AG871" s="58">
        <f t="shared" si="193"/>
        <v>0</v>
      </c>
      <c r="AH871" s="47"/>
      <c r="AJ871" s="47"/>
      <c r="AL871" s="47"/>
      <c r="AM871" s="47" t="str">
        <f t="shared" si="194"/>
        <v/>
      </c>
    </row>
    <row r="872" spans="1:39" s="56" customFormat="1" ht="24.75" customHeight="1">
      <c r="A872" s="44"/>
      <c r="B872" s="45"/>
      <c r="C872" s="46">
        <f>IF(B872&lt;&gt;"",VLOOKUP(B872,'Tipo Projeto'!$A$3:$B$35,2,0),0)</f>
        <v>0</v>
      </c>
      <c r="D872" s="47"/>
      <c r="E872" s="47"/>
      <c r="F872" s="48"/>
      <c r="G872" s="47"/>
      <c r="H872" s="49"/>
      <c r="I872" s="50"/>
      <c r="J872" s="51"/>
      <c r="K872" s="52"/>
      <c r="L872" s="53" t="str">
        <f t="shared" si="182"/>
        <v/>
      </c>
      <c r="M872" s="48" t="str">
        <f t="shared" si="183"/>
        <v/>
      </c>
      <c r="N872" s="54" t="str">
        <f t="shared" si="184"/>
        <v/>
      </c>
      <c r="O872" s="55">
        <f t="shared" si="185"/>
        <v>0</v>
      </c>
      <c r="P872" s="55">
        <f t="shared" si="186"/>
        <v>0</v>
      </c>
      <c r="Q872" s="54">
        <f t="shared" si="187"/>
        <v>0</v>
      </c>
      <c r="R872" s="47"/>
      <c r="T872" s="57"/>
      <c r="U872" s="45"/>
      <c r="V872" s="46">
        <f>IF(U872&lt;&gt;"",VLOOKUP(U872,'Tipo Projeto'!$A$3:$B$35,2,0),0)</f>
        <v>0</v>
      </c>
      <c r="W872" s="47"/>
      <c r="X872" s="49"/>
      <c r="Y872" s="50"/>
      <c r="Z872" s="51"/>
      <c r="AA872" s="52"/>
      <c r="AB872" s="53" t="str">
        <f t="shared" si="188"/>
        <v/>
      </c>
      <c r="AC872" s="48" t="str">
        <f t="shared" si="189"/>
        <v/>
      </c>
      <c r="AD872" s="54" t="str">
        <f t="shared" si="190"/>
        <v/>
      </c>
      <c r="AE872" s="55">
        <f t="shared" si="191"/>
        <v>0</v>
      </c>
      <c r="AF872" s="55">
        <f t="shared" si="192"/>
        <v>0</v>
      </c>
      <c r="AG872" s="58">
        <f t="shared" si="193"/>
        <v>0</v>
      </c>
      <c r="AH872" s="47"/>
      <c r="AJ872" s="47"/>
      <c r="AL872" s="47"/>
      <c r="AM872" s="47" t="str">
        <f t="shared" si="194"/>
        <v/>
      </c>
    </row>
    <row r="873" spans="1:39" s="56" customFormat="1" ht="24.75" customHeight="1">
      <c r="A873" s="44"/>
      <c r="B873" s="45"/>
      <c r="C873" s="46">
        <f>IF(B873&lt;&gt;"",VLOOKUP(B873,'Tipo Projeto'!$A$3:$B$35,2,0),0)</f>
        <v>0</v>
      </c>
      <c r="D873" s="47"/>
      <c r="E873" s="47"/>
      <c r="F873" s="48"/>
      <c r="G873" s="47"/>
      <c r="H873" s="49"/>
      <c r="I873" s="50"/>
      <c r="J873" s="51"/>
      <c r="K873" s="52"/>
      <c r="L873" s="53" t="str">
        <f t="shared" si="182"/>
        <v/>
      </c>
      <c r="M873" s="48" t="str">
        <f t="shared" si="183"/>
        <v/>
      </c>
      <c r="N873" s="54" t="str">
        <f t="shared" si="184"/>
        <v/>
      </c>
      <c r="O873" s="55">
        <f t="shared" si="185"/>
        <v>0</v>
      </c>
      <c r="P873" s="55">
        <f t="shared" si="186"/>
        <v>0</v>
      </c>
      <c r="Q873" s="54">
        <f t="shared" si="187"/>
        <v>0</v>
      </c>
      <c r="R873" s="47"/>
      <c r="T873" s="57"/>
      <c r="U873" s="45"/>
      <c r="V873" s="46">
        <f>IF(U873&lt;&gt;"",VLOOKUP(U873,'Tipo Projeto'!$A$3:$B$35,2,0),0)</f>
        <v>0</v>
      </c>
      <c r="W873" s="47"/>
      <c r="X873" s="49"/>
      <c r="Y873" s="50"/>
      <c r="Z873" s="51"/>
      <c r="AA873" s="52"/>
      <c r="AB873" s="53" t="str">
        <f t="shared" si="188"/>
        <v/>
      </c>
      <c r="AC873" s="48" t="str">
        <f t="shared" si="189"/>
        <v/>
      </c>
      <c r="AD873" s="54" t="str">
        <f t="shared" si="190"/>
        <v/>
      </c>
      <c r="AE873" s="55">
        <f t="shared" si="191"/>
        <v>0</v>
      </c>
      <c r="AF873" s="55">
        <f t="shared" si="192"/>
        <v>0</v>
      </c>
      <c r="AG873" s="58">
        <f t="shared" si="193"/>
        <v>0</v>
      </c>
      <c r="AH873" s="47"/>
      <c r="AJ873" s="47"/>
      <c r="AL873" s="47"/>
      <c r="AM873" s="47" t="str">
        <f t="shared" si="194"/>
        <v/>
      </c>
    </row>
    <row r="874" spans="1:39" s="56" customFormat="1" ht="24.75" customHeight="1">
      <c r="A874" s="44"/>
      <c r="B874" s="45"/>
      <c r="C874" s="46">
        <f>IF(B874&lt;&gt;"",VLOOKUP(B874,'Tipo Projeto'!$A$3:$B$35,2,0),0)</f>
        <v>0</v>
      </c>
      <c r="D874" s="47"/>
      <c r="E874" s="47"/>
      <c r="F874" s="48"/>
      <c r="G874" s="47"/>
      <c r="H874" s="49"/>
      <c r="I874" s="50"/>
      <c r="J874" s="51"/>
      <c r="K874" s="52"/>
      <c r="L874" s="53" t="str">
        <f t="shared" si="182"/>
        <v/>
      </c>
      <c r="M874" s="48" t="str">
        <f t="shared" si="183"/>
        <v/>
      </c>
      <c r="N874" s="54" t="str">
        <f t="shared" si="184"/>
        <v/>
      </c>
      <c r="O874" s="55">
        <f t="shared" si="185"/>
        <v>0</v>
      </c>
      <c r="P874" s="55">
        <f t="shared" si="186"/>
        <v>0</v>
      </c>
      <c r="Q874" s="54">
        <f t="shared" si="187"/>
        <v>0</v>
      </c>
      <c r="R874" s="47"/>
      <c r="T874" s="57"/>
      <c r="U874" s="45"/>
      <c r="V874" s="46">
        <f>IF(U874&lt;&gt;"",VLOOKUP(U874,'Tipo Projeto'!$A$3:$B$35,2,0),0)</f>
        <v>0</v>
      </c>
      <c r="W874" s="47"/>
      <c r="X874" s="49"/>
      <c r="Y874" s="50"/>
      <c r="Z874" s="51"/>
      <c r="AA874" s="52"/>
      <c r="AB874" s="53" t="str">
        <f t="shared" si="188"/>
        <v/>
      </c>
      <c r="AC874" s="48" t="str">
        <f t="shared" si="189"/>
        <v/>
      </c>
      <c r="AD874" s="54" t="str">
        <f t="shared" si="190"/>
        <v/>
      </c>
      <c r="AE874" s="55">
        <f t="shared" si="191"/>
        <v>0</v>
      </c>
      <c r="AF874" s="55">
        <f t="shared" si="192"/>
        <v>0</v>
      </c>
      <c r="AG874" s="58">
        <f t="shared" si="193"/>
        <v>0</v>
      </c>
      <c r="AH874" s="47"/>
      <c r="AJ874" s="47"/>
      <c r="AL874" s="47"/>
      <c r="AM874" s="47" t="str">
        <f t="shared" si="194"/>
        <v/>
      </c>
    </row>
    <row r="875" spans="1:39" s="56" customFormat="1" ht="24.75" customHeight="1">
      <c r="A875" s="44"/>
      <c r="B875" s="45"/>
      <c r="C875" s="46">
        <f>IF(B875&lt;&gt;"",VLOOKUP(B875,'Tipo Projeto'!$A$3:$B$35,2,0),0)</f>
        <v>0</v>
      </c>
      <c r="D875" s="47"/>
      <c r="E875" s="47"/>
      <c r="F875" s="48"/>
      <c r="G875" s="47"/>
      <c r="H875" s="49"/>
      <c r="I875" s="50"/>
      <c r="J875" s="51"/>
      <c r="K875" s="52"/>
      <c r="L875" s="53" t="str">
        <f t="shared" si="182"/>
        <v/>
      </c>
      <c r="M875" s="48" t="str">
        <f t="shared" si="183"/>
        <v/>
      </c>
      <c r="N875" s="54" t="str">
        <f t="shared" si="184"/>
        <v/>
      </c>
      <c r="O875" s="55">
        <f t="shared" si="185"/>
        <v>0</v>
      </c>
      <c r="P875" s="55">
        <f t="shared" si="186"/>
        <v>0</v>
      </c>
      <c r="Q875" s="54">
        <f t="shared" si="187"/>
        <v>0</v>
      </c>
      <c r="R875" s="47"/>
      <c r="T875" s="57"/>
      <c r="U875" s="45"/>
      <c r="V875" s="46">
        <f>IF(U875&lt;&gt;"",VLOOKUP(U875,'Tipo Projeto'!$A$3:$B$35,2,0),0)</f>
        <v>0</v>
      </c>
      <c r="W875" s="47"/>
      <c r="X875" s="49"/>
      <c r="Y875" s="50"/>
      <c r="Z875" s="51"/>
      <c r="AA875" s="52"/>
      <c r="AB875" s="53" t="str">
        <f t="shared" si="188"/>
        <v/>
      </c>
      <c r="AC875" s="48" t="str">
        <f t="shared" si="189"/>
        <v/>
      </c>
      <c r="AD875" s="54" t="str">
        <f t="shared" si="190"/>
        <v/>
      </c>
      <c r="AE875" s="55">
        <f t="shared" si="191"/>
        <v>0</v>
      </c>
      <c r="AF875" s="55">
        <f t="shared" si="192"/>
        <v>0</v>
      </c>
      <c r="AG875" s="58">
        <f t="shared" si="193"/>
        <v>0</v>
      </c>
      <c r="AH875" s="47"/>
      <c r="AJ875" s="47"/>
      <c r="AL875" s="47"/>
      <c r="AM875" s="47" t="str">
        <f t="shared" si="194"/>
        <v/>
      </c>
    </row>
    <row r="876" spans="1:39" s="56" customFormat="1" ht="24.75" customHeight="1">
      <c r="A876" s="44"/>
      <c r="B876" s="45"/>
      <c r="C876" s="46">
        <f>IF(B876&lt;&gt;"",VLOOKUP(B876,'Tipo Projeto'!$A$3:$B$35,2,0),0)</f>
        <v>0</v>
      </c>
      <c r="D876" s="47"/>
      <c r="E876" s="47"/>
      <c r="F876" s="48"/>
      <c r="G876" s="47"/>
      <c r="H876" s="49"/>
      <c r="I876" s="50"/>
      <c r="J876" s="51"/>
      <c r="K876" s="52"/>
      <c r="L876" s="53" t="str">
        <f t="shared" si="182"/>
        <v/>
      </c>
      <c r="M876" s="48" t="str">
        <f t="shared" si="183"/>
        <v/>
      </c>
      <c r="N876" s="54" t="str">
        <f t="shared" si="184"/>
        <v/>
      </c>
      <c r="O876" s="55">
        <f t="shared" si="185"/>
        <v>0</v>
      </c>
      <c r="P876" s="55">
        <f t="shared" si="186"/>
        <v>0</v>
      </c>
      <c r="Q876" s="54">
        <f t="shared" si="187"/>
        <v>0</v>
      </c>
      <c r="R876" s="47"/>
      <c r="T876" s="57"/>
      <c r="U876" s="45"/>
      <c r="V876" s="46">
        <f>IF(U876&lt;&gt;"",VLOOKUP(U876,'Tipo Projeto'!$A$3:$B$35,2,0),0)</f>
        <v>0</v>
      </c>
      <c r="W876" s="47"/>
      <c r="X876" s="49"/>
      <c r="Y876" s="50"/>
      <c r="Z876" s="51"/>
      <c r="AA876" s="52"/>
      <c r="AB876" s="53" t="str">
        <f t="shared" si="188"/>
        <v/>
      </c>
      <c r="AC876" s="48" t="str">
        <f t="shared" si="189"/>
        <v/>
      </c>
      <c r="AD876" s="54" t="str">
        <f t="shared" si="190"/>
        <v/>
      </c>
      <c r="AE876" s="55">
        <f t="shared" si="191"/>
        <v>0</v>
      </c>
      <c r="AF876" s="55">
        <f t="shared" si="192"/>
        <v>0</v>
      </c>
      <c r="AG876" s="58">
        <f t="shared" si="193"/>
        <v>0</v>
      </c>
      <c r="AH876" s="47"/>
      <c r="AJ876" s="47"/>
      <c r="AL876" s="47"/>
      <c r="AM876" s="47" t="str">
        <f t="shared" si="194"/>
        <v/>
      </c>
    </row>
    <row r="877" spans="1:39" s="56" customFormat="1" ht="24.75" customHeight="1">
      <c r="A877" s="44"/>
      <c r="B877" s="45"/>
      <c r="C877" s="46">
        <f>IF(B877&lt;&gt;"",VLOOKUP(B877,'Tipo Projeto'!$A$3:$B$35,2,0),0)</f>
        <v>0</v>
      </c>
      <c r="D877" s="47"/>
      <c r="E877" s="47"/>
      <c r="F877" s="48"/>
      <c r="G877" s="47"/>
      <c r="H877" s="49"/>
      <c r="I877" s="50"/>
      <c r="J877" s="51"/>
      <c r="K877" s="52"/>
      <c r="L877" s="53" t="str">
        <f t="shared" si="182"/>
        <v/>
      </c>
      <c r="M877" s="48" t="str">
        <f t="shared" si="183"/>
        <v/>
      </c>
      <c r="N877" s="54" t="str">
        <f t="shared" si="184"/>
        <v/>
      </c>
      <c r="O877" s="55">
        <f t="shared" si="185"/>
        <v>0</v>
      </c>
      <c r="P877" s="55">
        <f t="shared" si="186"/>
        <v>0</v>
      </c>
      <c r="Q877" s="54">
        <f t="shared" si="187"/>
        <v>0</v>
      </c>
      <c r="R877" s="47"/>
      <c r="T877" s="57"/>
      <c r="U877" s="45"/>
      <c r="V877" s="46">
        <f>IF(U877&lt;&gt;"",VLOOKUP(U877,'Tipo Projeto'!$A$3:$B$35,2,0),0)</f>
        <v>0</v>
      </c>
      <c r="W877" s="47"/>
      <c r="X877" s="49"/>
      <c r="Y877" s="50"/>
      <c r="Z877" s="51"/>
      <c r="AA877" s="52"/>
      <c r="AB877" s="53" t="str">
        <f t="shared" si="188"/>
        <v/>
      </c>
      <c r="AC877" s="48" t="str">
        <f t="shared" si="189"/>
        <v/>
      </c>
      <c r="AD877" s="54" t="str">
        <f t="shared" si="190"/>
        <v/>
      </c>
      <c r="AE877" s="55">
        <f t="shared" si="191"/>
        <v>0</v>
      </c>
      <c r="AF877" s="55">
        <f t="shared" si="192"/>
        <v>0</v>
      </c>
      <c r="AG877" s="58">
        <f t="shared" si="193"/>
        <v>0</v>
      </c>
      <c r="AH877" s="47"/>
      <c r="AJ877" s="47"/>
      <c r="AL877" s="47"/>
      <c r="AM877" s="47" t="str">
        <f t="shared" si="194"/>
        <v/>
      </c>
    </row>
    <row r="878" spans="1:39" s="56" customFormat="1" ht="24.75" customHeight="1">
      <c r="A878" s="44"/>
      <c r="B878" s="45"/>
      <c r="C878" s="46">
        <f>IF(B878&lt;&gt;"",VLOOKUP(B878,'Tipo Projeto'!$A$3:$B$35,2,0),0)</f>
        <v>0</v>
      </c>
      <c r="D878" s="47"/>
      <c r="E878" s="47"/>
      <c r="F878" s="48"/>
      <c r="G878" s="47"/>
      <c r="H878" s="49"/>
      <c r="I878" s="50"/>
      <c r="J878" s="51"/>
      <c r="K878" s="52"/>
      <c r="L878" s="53" t="str">
        <f t="shared" si="182"/>
        <v/>
      </c>
      <c r="M878" s="48" t="str">
        <f t="shared" si="183"/>
        <v/>
      </c>
      <c r="N878" s="54" t="str">
        <f t="shared" si="184"/>
        <v/>
      </c>
      <c r="O878" s="55">
        <f t="shared" si="185"/>
        <v>0</v>
      </c>
      <c r="P878" s="55">
        <f t="shared" si="186"/>
        <v>0</v>
      </c>
      <c r="Q878" s="54">
        <f t="shared" si="187"/>
        <v>0</v>
      </c>
      <c r="R878" s="47"/>
      <c r="T878" s="57"/>
      <c r="U878" s="45"/>
      <c r="V878" s="46">
        <f>IF(U878&lt;&gt;"",VLOOKUP(U878,'Tipo Projeto'!$A$3:$B$35,2,0),0)</f>
        <v>0</v>
      </c>
      <c r="W878" s="47"/>
      <c r="X878" s="49"/>
      <c r="Y878" s="50"/>
      <c r="Z878" s="51"/>
      <c r="AA878" s="52"/>
      <c r="AB878" s="53" t="str">
        <f t="shared" si="188"/>
        <v/>
      </c>
      <c r="AC878" s="48" t="str">
        <f t="shared" si="189"/>
        <v/>
      </c>
      <c r="AD878" s="54" t="str">
        <f t="shared" si="190"/>
        <v/>
      </c>
      <c r="AE878" s="55">
        <f t="shared" si="191"/>
        <v>0</v>
      </c>
      <c r="AF878" s="55">
        <f t="shared" si="192"/>
        <v>0</v>
      </c>
      <c r="AG878" s="58">
        <f t="shared" si="193"/>
        <v>0</v>
      </c>
      <c r="AH878" s="47"/>
      <c r="AJ878" s="47"/>
      <c r="AL878" s="47"/>
      <c r="AM878" s="47" t="str">
        <f t="shared" si="194"/>
        <v/>
      </c>
    </row>
    <row r="879" spans="1:39" s="56" customFormat="1" ht="24.75" customHeight="1">
      <c r="A879" s="44"/>
      <c r="B879" s="45"/>
      <c r="C879" s="46">
        <f>IF(B879&lt;&gt;"",VLOOKUP(B879,'Tipo Projeto'!$A$3:$B$35,2,0),0)</f>
        <v>0</v>
      </c>
      <c r="D879" s="47"/>
      <c r="E879" s="47"/>
      <c r="F879" s="48"/>
      <c r="G879" s="47"/>
      <c r="H879" s="49"/>
      <c r="I879" s="50"/>
      <c r="J879" s="51"/>
      <c r="K879" s="52"/>
      <c r="L879" s="53" t="str">
        <f t="shared" si="182"/>
        <v/>
      </c>
      <c r="M879" s="48" t="str">
        <f t="shared" si="183"/>
        <v/>
      </c>
      <c r="N879" s="54" t="str">
        <f t="shared" si="184"/>
        <v/>
      </c>
      <c r="O879" s="55">
        <f t="shared" si="185"/>
        <v>0</v>
      </c>
      <c r="P879" s="55">
        <f t="shared" si="186"/>
        <v>0</v>
      </c>
      <c r="Q879" s="54">
        <f t="shared" si="187"/>
        <v>0</v>
      </c>
      <c r="R879" s="47"/>
      <c r="T879" s="57"/>
      <c r="U879" s="45"/>
      <c r="V879" s="46">
        <f>IF(U879&lt;&gt;"",VLOOKUP(U879,'Tipo Projeto'!$A$3:$B$35,2,0),0)</f>
        <v>0</v>
      </c>
      <c r="W879" s="47"/>
      <c r="X879" s="49"/>
      <c r="Y879" s="50"/>
      <c r="Z879" s="51"/>
      <c r="AA879" s="52"/>
      <c r="AB879" s="53" t="str">
        <f t="shared" si="188"/>
        <v/>
      </c>
      <c r="AC879" s="48" t="str">
        <f t="shared" si="189"/>
        <v/>
      </c>
      <c r="AD879" s="54" t="str">
        <f t="shared" si="190"/>
        <v/>
      </c>
      <c r="AE879" s="55">
        <f t="shared" si="191"/>
        <v>0</v>
      </c>
      <c r="AF879" s="55">
        <f t="shared" si="192"/>
        <v>0</v>
      </c>
      <c r="AG879" s="58">
        <f t="shared" si="193"/>
        <v>0</v>
      </c>
      <c r="AH879" s="47"/>
      <c r="AJ879" s="47"/>
      <c r="AL879" s="47"/>
      <c r="AM879" s="47" t="str">
        <f t="shared" si="194"/>
        <v/>
      </c>
    </row>
    <row r="880" spans="1:39" s="56" customFormat="1" ht="24.75" customHeight="1">
      <c r="A880" s="44"/>
      <c r="B880" s="45"/>
      <c r="C880" s="46">
        <f>IF(B880&lt;&gt;"",VLOOKUP(B880,'Tipo Projeto'!$A$3:$B$35,2,0),0)</f>
        <v>0</v>
      </c>
      <c r="D880" s="47"/>
      <c r="E880" s="47"/>
      <c r="F880" s="48"/>
      <c r="G880" s="47"/>
      <c r="H880" s="49"/>
      <c r="I880" s="50"/>
      <c r="J880" s="51"/>
      <c r="K880" s="52"/>
      <c r="L880" s="53" t="str">
        <f t="shared" si="182"/>
        <v/>
      </c>
      <c r="M880" s="48" t="str">
        <f t="shared" si="183"/>
        <v/>
      </c>
      <c r="N880" s="54" t="str">
        <f t="shared" si="184"/>
        <v/>
      </c>
      <c r="O880" s="55">
        <f t="shared" si="185"/>
        <v>0</v>
      </c>
      <c r="P880" s="55">
        <f t="shared" si="186"/>
        <v>0</v>
      </c>
      <c r="Q880" s="54">
        <f t="shared" si="187"/>
        <v>0</v>
      </c>
      <c r="R880" s="47"/>
      <c r="T880" s="57"/>
      <c r="U880" s="45"/>
      <c r="V880" s="46">
        <f>IF(U880&lt;&gt;"",VLOOKUP(U880,'Tipo Projeto'!$A$3:$B$35,2,0),0)</f>
        <v>0</v>
      </c>
      <c r="W880" s="47"/>
      <c r="X880" s="49"/>
      <c r="Y880" s="50"/>
      <c r="Z880" s="51"/>
      <c r="AA880" s="52"/>
      <c r="AB880" s="53" t="str">
        <f t="shared" si="188"/>
        <v/>
      </c>
      <c r="AC880" s="48" t="str">
        <f t="shared" si="189"/>
        <v/>
      </c>
      <c r="AD880" s="54" t="str">
        <f t="shared" si="190"/>
        <v/>
      </c>
      <c r="AE880" s="55">
        <f t="shared" si="191"/>
        <v>0</v>
      </c>
      <c r="AF880" s="55">
        <f t="shared" si="192"/>
        <v>0</v>
      </c>
      <c r="AG880" s="58">
        <f t="shared" si="193"/>
        <v>0</v>
      </c>
      <c r="AH880" s="47"/>
      <c r="AJ880" s="47"/>
      <c r="AL880" s="47"/>
      <c r="AM880" s="47" t="str">
        <f t="shared" si="194"/>
        <v/>
      </c>
    </row>
    <row r="881" spans="1:39" s="56" customFormat="1" ht="24.75" customHeight="1">
      <c r="A881" s="44"/>
      <c r="B881" s="45"/>
      <c r="C881" s="46">
        <f>IF(B881&lt;&gt;"",VLOOKUP(B881,'Tipo Projeto'!$A$3:$B$35,2,0),0)</f>
        <v>0</v>
      </c>
      <c r="D881" s="47"/>
      <c r="E881" s="47"/>
      <c r="F881" s="48"/>
      <c r="G881" s="47"/>
      <c r="H881" s="49"/>
      <c r="I881" s="50"/>
      <c r="J881" s="51"/>
      <c r="K881" s="52"/>
      <c r="L881" s="53" t="str">
        <f t="shared" si="182"/>
        <v/>
      </c>
      <c r="M881" s="48" t="str">
        <f t="shared" si="183"/>
        <v/>
      </c>
      <c r="N881" s="54" t="str">
        <f t="shared" si="184"/>
        <v/>
      </c>
      <c r="O881" s="55">
        <f t="shared" si="185"/>
        <v>0</v>
      </c>
      <c r="P881" s="55">
        <f t="shared" si="186"/>
        <v>0</v>
      </c>
      <c r="Q881" s="54">
        <f t="shared" si="187"/>
        <v>0</v>
      </c>
      <c r="R881" s="47"/>
      <c r="T881" s="57"/>
      <c r="U881" s="45"/>
      <c r="V881" s="46">
        <f>IF(U881&lt;&gt;"",VLOOKUP(U881,'Tipo Projeto'!$A$3:$B$35,2,0),0)</f>
        <v>0</v>
      </c>
      <c r="W881" s="47"/>
      <c r="X881" s="49"/>
      <c r="Y881" s="50"/>
      <c r="Z881" s="51"/>
      <c r="AA881" s="52"/>
      <c r="AB881" s="53" t="str">
        <f t="shared" si="188"/>
        <v/>
      </c>
      <c r="AC881" s="48" t="str">
        <f t="shared" si="189"/>
        <v/>
      </c>
      <c r="AD881" s="54" t="str">
        <f t="shared" si="190"/>
        <v/>
      </c>
      <c r="AE881" s="55">
        <f t="shared" si="191"/>
        <v>0</v>
      </c>
      <c r="AF881" s="55">
        <f t="shared" si="192"/>
        <v>0</v>
      </c>
      <c r="AG881" s="58">
        <f t="shared" si="193"/>
        <v>0</v>
      </c>
      <c r="AH881" s="47"/>
      <c r="AJ881" s="47"/>
      <c r="AL881" s="47"/>
      <c r="AM881" s="47" t="str">
        <f t="shared" si="194"/>
        <v/>
      </c>
    </row>
    <row r="882" spans="1:39" s="56" customFormat="1" ht="24.75" customHeight="1">
      <c r="A882" s="44"/>
      <c r="B882" s="45"/>
      <c r="C882" s="46">
        <f>IF(B882&lt;&gt;"",VLOOKUP(B882,'Tipo Projeto'!$A$3:$B$35,2,0),0)</f>
        <v>0</v>
      </c>
      <c r="D882" s="47"/>
      <c r="E882" s="47"/>
      <c r="F882" s="48"/>
      <c r="G882" s="47"/>
      <c r="H882" s="49"/>
      <c r="I882" s="50"/>
      <c r="J882" s="51"/>
      <c r="K882" s="52"/>
      <c r="L882" s="53" t="str">
        <f t="shared" si="182"/>
        <v/>
      </c>
      <c r="M882" s="48" t="str">
        <f t="shared" si="183"/>
        <v/>
      </c>
      <c r="N882" s="54" t="str">
        <f t="shared" si="184"/>
        <v/>
      </c>
      <c r="O882" s="55">
        <f t="shared" si="185"/>
        <v>0</v>
      </c>
      <c r="P882" s="55">
        <f t="shared" si="186"/>
        <v>0</v>
      </c>
      <c r="Q882" s="54">
        <f t="shared" si="187"/>
        <v>0</v>
      </c>
      <c r="R882" s="47"/>
      <c r="T882" s="57"/>
      <c r="U882" s="45"/>
      <c r="V882" s="46">
        <f>IF(U882&lt;&gt;"",VLOOKUP(U882,'Tipo Projeto'!$A$3:$B$35,2,0),0)</f>
        <v>0</v>
      </c>
      <c r="W882" s="47"/>
      <c r="X882" s="49"/>
      <c r="Y882" s="50"/>
      <c r="Z882" s="51"/>
      <c r="AA882" s="52"/>
      <c r="AB882" s="53" t="str">
        <f t="shared" si="188"/>
        <v/>
      </c>
      <c r="AC882" s="48" t="str">
        <f t="shared" si="189"/>
        <v/>
      </c>
      <c r="AD882" s="54" t="str">
        <f t="shared" si="190"/>
        <v/>
      </c>
      <c r="AE882" s="55">
        <f t="shared" si="191"/>
        <v>0</v>
      </c>
      <c r="AF882" s="55">
        <f t="shared" si="192"/>
        <v>0</v>
      </c>
      <c r="AG882" s="58">
        <f t="shared" si="193"/>
        <v>0</v>
      </c>
      <c r="AH882" s="47"/>
      <c r="AJ882" s="47"/>
      <c r="AL882" s="47"/>
      <c r="AM882" s="47" t="str">
        <f t="shared" si="194"/>
        <v/>
      </c>
    </row>
    <row r="883" spans="1:39" s="56" customFormat="1" ht="24.75" customHeight="1">
      <c r="A883" s="44"/>
      <c r="B883" s="45"/>
      <c r="C883" s="46">
        <f>IF(B883&lt;&gt;"",VLOOKUP(B883,'Tipo Projeto'!$A$3:$B$35,2,0),0)</f>
        <v>0</v>
      </c>
      <c r="D883" s="47"/>
      <c r="E883" s="47"/>
      <c r="F883" s="48"/>
      <c r="G883" s="47"/>
      <c r="H883" s="49"/>
      <c r="I883" s="50"/>
      <c r="J883" s="51"/>
      <c r="K883" s="52"/>
      <c r="L883" s="53" t="str">
        <f t="shared" si="182"/>
        <v/>
      </c>
      <c r="M883" s="48" t="str">
        <f t="shared" si="183"/>
        <v/>
      </c>
      <c r="N883" s="54" t="str">
        <f t="shared" si="184"/>
        <v/>
      </c>
      <c r="O883" s="55">
        <f t="shared" si="185"/>
        <v>0</v>
      </c>
      <c r="P883" s="55">
        <f t="shared" si="186"/>
        <v>0</v>
      </c>
      <c r="Q883" s="54">
        <f t="shared" si="187"/>
        <v>0</v>
      </c>
      <c r="R883" s="47"/>
      <c r="T883" s="57"/>
      <c r="U883" s="45"/>
      <c r="V883" s="46">
        <f>IF(U883&lt;&gt;"",VLOOKUP(U883,'Tipo Projeto'!$A$3:$B$35,2,0),0)</f>
        <v>0</v>
      </c>
      <c r="W883" s="47"/>
      <c r="X883" s="49"/>
      <c r="Y883" s="50"/>
      <c r="Z883" s="51"/>
      <c r="AA883" s="52"/>
      <c r="AB883" s="53" t="str">
        <f t="shared" si="188"/>
        <v/>
      </c>
      <c r="AC883" s="48" t="str">
        <f t="shared" si="189"/>
        <v/>
      </c>
      <c r="AD883" s="54" t="str">
        <f t="shared" si="190"/>
        <v/>
      </c>
      <c r="AE883" s="55">
        <f t="shared" si="191"/>
        <v>0</v>
      </c>
      <c r="AF883" s="55">
        <f t="shared" si="192"/>
        <v>0</v>
      </c>
      <c r="AG883" s="58">
        <f t="shared" si="193"/>
        <v>0</v>
      </c>
      <c r="AH883" s="47"/>
      <c r="AJ883" s="47"/>
      <c r="AL883" s="47"/>
      <c r="AM883" s="47" t="str">
        <f t="shared" si="194"/>
        <v/>
      </c>
    </row>
    <row r="884" spans="1:39" s="56" customFormat="1" ht="24.75" customHeight="1">
      <c r="A884" s="44"/>
      <c r="B884" s="45"/>
      <c r="C884" s="46">
        <f>IF(B884&lt;&gt;"",VLOOKUP(B884,'Tipo Projeto'!$A$3:$B$35,2,0),0)</f>
        <v>0</v>
      </c>
      <c r="D884" s="47"/>
      <c r="E884" s="47"/>
      <c r="F884" s="48"/>
      <c r="G884" s="47"/>
      <c r="H884" s="49"/>
      <c r="I884" s="50"/>
      <c r="J884" s="51"/>
      <c r="K884" s="52"/>
      <c r="L884" s="53" t="str">
        <f t="shared" si="182"/>
        <v/>
      </c>
      <c r="M884" s="48" t="str">
        <f t="shared" si="183"/>
        <v/>
      </c>
      <c r="N884" s="54" t="str">
        <f t="shared" si="184"/>
        <v/>
      </c>
      <c r="O884" s="55">
        <f t="shared" si="185"/>
        <v>0</v>
      </c>
      <c r="P884" s="55">
        <f t="shared" si="186"/>
        <v>0</v>
      </c>
      <c r="Q884" s="54">
        <f t="shared" si="187"/>
        <v>0</v>
      </c>
      <c r="R884" s="47"/>
      <c r="T884" s="57"/>
      <c r="U884" s="45"/>
      <c r="V884" s="46">
        <f>IF(U884&lt;&gt;"",VLOOKUP(U884,'Tipo Projeto'!$A$3:$B$35,2,0),0)</f>
        <v>0</v>
      </c>
      <c r="W884" s="47"/>
      <c r="X884" s="49"/>
      <c r="Y884" s="50"/>
      <c r="Z884" s="51"/>
      <c r="AA884" s="52"/>
      <c r="AB884" s="53" t="str">
        <f t="shared" si="188"/>
        <v/>
      </c>
      <c r="AC884" s="48" t="str">
        <f t="shared" si="189"/>
        <v/>
      </c>
      <c r="AD884" s="54" t="str">
        <f t="shared" si="190"/>
        <v/>
      </c>
      <c r="AE884" s="55">
        <f t="shared" si="191"/>
        <v>0</v>
      </c>
      <c r="AF884" s="55">
        <f t="shared" si="192"/>
        <v>0</v>
      </c>
      <c r="AG884" s="58">
        <f t="shared" si="193"/>
        <v>0</v>
      </c>
      <c r="AH884" s="47"/>
      <c r="AJ884" s="47"/>
      <c r="AL884" s="47"/>
      <c r="AM884" s="47" t="str">
        <f t="shared" si="194"/>
        <v/>
      </c>
    </row>
    <row r="885" spans="1:39" s="56" customFormat="1" ht="24.75" customHeight="1">
      <c r="A885" s="44"/>
      <c r="B885" s="45"/>
      <c r="C885" s="46">
        <f>IF(B885&lt;&gt;"",VLOOKUP(B885,'Tipo Projeto'!$A$3:$B$35,2,0),0)</f>
        <v>0</v>
      </c>
      <c r="D885" s="47"/>
      <c r="E885" s="47"/>
      <c r="F885" s="48"/>
      <c r="G885" s="47"/>
      <c r="H885" s="49"/>
      <c r="I885" s="50"/>
      <c r="J885" s="51"/>
      <c r="K885" s="52"/>
      <c r="L885" s="53" t="str">
        <f t="shared" ref="L885:L948" si="195">IF(G885="EE",IF(OR(AND(OR(J885=1,J885=0),H885&gt;0,H885&lt;5),AND(OR(J885=1,J885=0),H885&gt;4,H885&lt;16),AND(J885=2,H885&gt;0,H885&lt;5)),"Simples",IF(OR(AND(OR(J885=1,J885=0),H885&gt;15),AND(J885=2,H885&gt;4,H885&lt;16),AND(J885&gt;2,H885&gt;0,H885&lt;5)),"Médio",IF(OR(AND(J885=2,H885&gt;15),AND(J885&gt;2,H885&gt;4,H885&lt;16),AND(J885&gt;2,H885&gt;15)),"Complexo",""))), IF(OR(G885="CE",G885="SE"),IF(OR(AND(OR(J885=1,J885=0),H885&gt;0,H885&lt;6),AND(OR(J885=1,J885=0),H885&gt;5,H885&lt;20),AND(J885&gt;1,J885&lt;4,H885&gt;0,H885&lt;6)),"Simples",IF(OR(AND(OR(J885=1,J885=0),H885&gt;19),AND(J885&gt;1,J885&lt;4,H885&gt;5,H885&lt;20),AND(J885&gt;3,H885&gt;0,H885&lt;6)),"Médio",IF(OR(AND(J885&gt;1,J885&lt;4,H885&gt;19),AND(J885&gt;3,H885&gt;5,H885&lt;20),AND(J885&gt;3,H885&gt;19)),"Complexo",""))),""))</f>
        <v/>
      </c>
      <c r="M885" s="48" t="str">
        <f t="shared" ref="M885:M948" si="196">IF(G885="ALI",IF(OR(AND(OR(J885=1,J885=0),H885&gt;0,H885&lt;20),AND(OR(J885=1,J885=0),H885&gt;19,H885&lt;51),AND(J885&gt;1,J885&lt;6,H885&gt;0,H885&lt;20)),"Simples",IF(OR(AND(OR(J885=1,J885=0),H885&gt;50),AND(J885&gt;1,J885&lt;6,H885&gt;19,H885&lt;51),AND(J885&gt;5,H885&gt;0,H885&lt;20)),"Médio",IF(OR(AND(J885&gt;1,J885&lt;6,H885&gt;50),AND(J885&gt;5,H885&gt;19,H885&lt;51),AND(J885&gt;5,H885&gt;50)),"Complexo",""))), IF(G885="AIE",IF(OR(AND(OR(J885=1, J885=0),H885&gt;0,H885&lt;20),AND(OR(J885=1, J885=0),H885&gt;19,H885&lt;51),AND(J885&gt;1,J885&lt;6,H885&gt;0,H885&lt;20)),"Simples",IF(OR(AND(OR(J885=1, J885=0),H885&gt;50),AND(J885&gt;1,J885&lt;6,H885&gt;19,H885&lt;51),AND(J885&gt;5,H885&gt;0,H885&lt;20)),"Médio",IF(OR(AND(J885&gt;1,J885&lt;6,H885&gt;50),AND(J885&gt;5,H885&gt;19,H885&lt;51),AND(J885&gt;5,H885&gt;50)),"Complexo",""))),""))</f>
        <v/>
      </c>
      <c r="N885" s="54" t="str">
        <f t="shared" ref="N885:N948" si="197">IF(L885="",M885,IF(M885="",L885,""))</f>
        <v/>
      </c>
      <c r="O885" s="55">
        <f t="shared" ref="O885:O948" si="198">IF(AND(OR(G885="EE",G885="CE"),N885="Simples"),3, IF(AND(OR(G885="EE",G885="CE"),N885="Médio"),4, IF(AND(OR(G885="EE",G885="CE"),N885="Complexo"),6, IF(AND(G885="SE",N885="Simples"),4, IF(AND(G885="SE",N885="Médio"),5, IF(AND(G885="SE",N885="Complexo"),7,0))))))</f>
        <v>0</v>
      </c>
      <c r="P885" s="55">
        <f t="shared" ref="P885:P948" si="199">IF(AND(G885="ALI",M885="Simples"),7, IF(AND(G885="ALI",M885="Médio"),10, IF(AND(G885="ALI",M885="Complexo"),15, IF(AND(G885="AIE",M885="Simples"),5, IF(AND(G885="AIE",M885="Médio"),7, IF(AND(G885="AIE",M885="Complexo"),10,0))))))</f>
        <v>0</v>
      </c>
      <c r="Q885" s="54">
        <f t="shared" ref="Q885:Q948" si="200">IF(B885&lt;&gt;"Manutenção em interface",IF(B885&lt;&gt;"Desenv., Manutenção e Publicação de Páginas Estáticas",(O885+P885)*C885,C885),C885)</f>
        <v>0</v>
      </c>
      <c r="R885" s="47"/>
      <c r="T885" s="57"/>
      <c r="U885" s="45"/>
      <c r="V885" s="46">
        <f>IF(U885&lt;&gt;"",VLOOKUP(U885,'Tipo Projeto'!$A$3:$B$35,2,0),0)</f>
        <v>0</v>
      </c>
      <c r="W885" s="47"/>
      <c r="X885" s="49"/>
      <c r="Y885" s="50"/>
      <c r="Z885" s="51"/>
      <c r="AA885" s="52"/>
      <c r="AB885" s="53" t="str">
        <f t="shared" ref="AB885:AB948" si="201">IF(W885="EE",IF(OR(AND(OR(Z885=1,Z885=0),X885&gt;0,X885&lt;5),AND(OR(Z885=1,Z885=0),X885&gt;4,X885&lt;16),AND(Z885=2,X885&gt;0,X885&lt;5)),"Simples",IF(OR(AND(OR(Z885=1,Z885=0),X885&gt;15),AND(Z885=2,X885&gt;4,X885&lt;16),AND(Z885&gt;2,X885&gt;0,X885&lt;5)),"Médio",IF(OR(AND(Z885=2,X885&gt;15),AND(Z885&gt;2,X885&gt;4,X885&lt;16),AND(Z885&gt;2,X885&gt;15)),"Complexo",""))), IF(OR(W885="CE",W885="SE"),IF(OR(AND(OR(Z885=1,Z885=0),X885&gt;0,X885&lt;6),AND(OR(Z885=1,Z885=0),X885&gt;5,X885&lt;20),AND(Z885&gt;1,Z885&lt;4,X885&gt;0,X885&lt;6)),"Simples",IF(OR(AND(OR(Z885=1,Z885=0),X885&gt;19),AND(Z885&gt;1,Z885&lt;4,X885&gt;5,X885&lt;20),AND(Z885&gt;3,X885&gt;0,X885&lt;6)),"Médio",IF(OR(AND(Z885&gt;1,Z885&lt;4,X885&gt;19),AND(Z885&gt;3,X885&gt;5,X885&lt;20),AND(Z885&gt;3,X885&gt;19)),"Complexo",""))),""))</f>
        <v/>
      </c>
      <c r="AC885" s="48" t="str">
        <f t="shared" ref="AC885:AC948" si="202">IF(W885="ALI",IF(OR(AND(OR(Z885=1,Z885=0),X885&gt;0,X885&lt;20),AND(OR(Z885=1,Z885=0),X885&gt;19,X885&lt;51),AND(Z885&gt;1,Z885&lt;6,X885&gt;0,X885&lt;20)),"Simples",IF(OR(AND(OR(Z885=1,Z885=0),X885&gt;50),AND(Z885&gt;1,Z885&lt;6,X885&gt;19,X885&lt;51),AND(Z885&gt;5,X885&gt;0,X885&lt;20)),"Médio",IF(OR(AND(Z885&gt;1,Z885&lt;6,X885&gt;50),AND(Z885&gt;5,X885&gt;19,X885&lt;51),AND(Z885&gt;5,X885&gt;50)),"Complexo",""))), IF(W885="AIE",IF(OR(AND(OR(Z885=1, Z885=0),X885&gt;0,X885&lt;20),AND(OR(Z885=1, Z885=0),X885&gt;19,X885&lt;51),AND(Z885&gt;1,Z885&lt;6,X885&gt;0,X885&lt;20)),"Simples",IF(OR(AND(OR(Z885=1, Z885=0),X885&gt;50),AND(Z885&gt;1,Z885&lt;6,X885&gt;19,X885&lt;51),AND(Z885&gt;5,X885&gt;0,X885&lt;20)),"Médio",IF(OR(AND(Z885&gt;1,Z885&lt;6,X885&gt;50),AND(Z885&gt;5,X885&gt;19,X885&lt;51),AND(Z885&gt;5,X885&gt;50)),"Complexo",""))),""))</f>
        <v/>
      </c>
      <c r="AD885" s="54" t="str">
        <f t="shared" ref="AD885:AD948" si="203">IF(AB885="",AC885,IF(AC885="",AB885,""))</f>
        <v/>
      </c>
      <c r="AE885" s="55">
        <f t="shared" ref="AE885:AE948" si="204">IF(AND(OR(W885="EE",W885="CE"),AD885="Simples"),3, IF(AND(OR(W885="EE",W885="CE"),AD885="Médio"),4, IF(AND(OR(W885="EE",W885="CE"),AD885="Complexo"),6, IF(AND(W885="SE",AD885="Simples"),4, IF(AND(W885="SE",AD885="Médio"),5, IF(AND(W885="SE",AD885="Complexo"),7,0))))))</f>
        <v>0</v>
      </c>
      <c r="AF885" s="55">
        <f t="shared" ref="AF885:AF948" si="205">IF(AND(W885="ALI",AC885="Simples"),7, IF(AND(W885="ALI",AC885="Médio"),10, IF(AND(W885="ALI",AC885="Complexo"),15, IF(AND(W885="AIE",AC885="Simples"),5, IF(AND(W885="AIE",AC885="Médio"),7, IF(AND(W885="AIE",AC885="Complexo"),10,0))))))</f>
        <v>0</v>
      </c>
      <c r="AG885" s="58">
        <f t="shared" ref="AG885:AG948" si="206">IF(T885="OK",Q885,( IF(U885&lt;&gt;"Manutenção em interface",IF(U885&lt;&gt;"Desenv., Manutenção e Publicação de Páginas Estáticas",(AE885+AF885)*V885,V885),V885)))</f>
        <v>0</v>
      </c>
      <c r="AH885" s="47"/>
      <c r="AJ885" s="47"/>
      <c r="AL885" s="47"/>
      <c r="AM885" s="47" t="str">
        <f t="shared" ref="AM885:AM948" si="207">IF(AG885=0,"",IF(AG885=Q885,"OK","Divergente"))</f>
        <v/>
      </c>
    </row>
    <row r="886" spans="1:39" s="56" customFormat="1" ht="24.75" customHeight="1">
      <c r="A886" s="44"/>
      <c r="B886" s="45"/>
      <c r="C886" s="46">
        <f>IF(B886&lt;&gt;"",VLOOKUP(B886,'Tipo Projeto'!$A$3:$B$35,2,0),0)</f>
        <v>0</v>
      </c>
      <c r="D886" s="47"/>
      <c r="E886" s="47"/>
      <c r="F886" s="48"/>
      <c r="G886" s="47"/>
      <c r="H886" s="49"/>
      <c r="I886" s="50"/>
      <c r="J886" s="51"/>
      <c r="K886" s="52"/>
      <c r="L886" s="53" t="str">
        <f t="shared" si="195"/>
        <v/>
      </c>
      <c r="M886" s="48" t="str">
        <f t="shared" si="196"/>
        <v/>
      </c>
      <c r="N886" s="54" t="str">
        <f t="shared" si="197"/>
        <v/>
      </c>
      <c r="O886" s="55">
        <f t="shared" si="198"/>
        <v>0</v>
      </c>
      <c r="P886" s="55">
        <f t="shared" si="199"/>
        <v>0</v>
      </c>
      <c r="Q886" s="54">
        <f t="shared" si="200"/>
        <v>0</v>
      </c>
      <c r="R886" s="47"/>
      <c r="T886" s="57"/>
      <c r="U886" s="45"/>
      <c r="V886" s="46">
        <f>IF(U886&lt;&gt;"",VLOOKUP(U886,'Tipo Projeto'!$A$3:$B$35,2,0),0)</f>
        <v>0</v>
      </c>
      <c r="W886" s="47"/>
      <c r="X886" s="49"/>
      <c r="Y886" s="50"/>
      <c r="Z886" s="51"/>
      <c r="AA886" s="52"/>
      <c r="AB886" s="53" t="str">
        <f t="shared" si="201"/>
        <v/>
      </c>
      <c r="AC886" s="48" t="str">
        <f t="shared" si="202"/>
        <v/>
      </c>
      <c r="AD886" s="54" t="str">
        <f t="shared" si="203"/>
        <v/>
      </c>
      <c r="AE886" s="55">
        <f t="shared" si="204"/>
        <v>0</v>
      </c>
      <c r="AF886" s="55">
        <f t="shared" si="205"/>
        <v>0</v>
      </c>
      <c r="AG886" s="58">
        <f t="shared" si="206"/>
        <v>0</v>
      </c>
      <c r="AH886" s="47"/>
      <c r="AJ886" s="47"/>
      <c r="AL886" s="47"/>
      <c r="AM886" s="47" t="str">
        <f t="shared" si="207"/>
        <v/>
      </c>
    </row>
    <row r="887" spans="1:39" s="56" customFormat="1" ht="24.75" customHeight="1">
      <c r="A887" s="44"/>
      <c r="B887" s="45"/>
      <c r="C887" s="46">
        <f>IF(B887&lt;&gt;"",VLOOKUP(B887,'Tipo Projeto'!$A$3:$B$35,2,0),0)</f>
        <v>0</v>
      </c>
      <c r="D887" s="47"/>
      <c r="E887" s="47"/>
      <c r="F887" s="48"/>
      <c r="G887" s="47"/>
      <c r="H887" s="49"/>
      <c r="I887" s="50"/>
      <c r="J887" s="51"/>
      <c r="K887" s="52"/>
      <c r="L887" s="53" t="str">
        <f t="shared" si="195"/>
        <v/>
      </c>
      <c r="M887" s="48" t="str">
        <f t="shared" si="196"/>
        <v/>
      </c>
      <c r="N887" s="54" t="str">
        <f t="shared" si="197"/>
        <v/>
      </c>
      <c r="O887" s="55">
        <f t="shared" si="198"/>
        <v>0</v>
      </c>
      <c r="P887" s="55">
        <f t="shared" si="199"/>
        <v>0</v>
      </c>
      <c r="Q887" s="54">
        <f t="shared" si="200"/>
        <v>0</v>
      </c>
      <c r="R887" s="47"/>
      <c r="T887" s="57"/>
      <c r="U887" s="45"/>
      <c r="V887" s="46">
        <f>IF(U887&lt;&gt;"",VLOOKUP(U887,'Tipo Projeto'!$A$3:$B$35,2,0),0)</f>
        <v>0</v>
      </c>
      <c r="W887" s="47"/>
      <c r="X887" s="49"/>
      <c r="Y887" s="50"/>
      <c r="Z887" s="51"/>
      <c r="AA887" s="52"/>
      <c r="AB887" s="53" t="str">
        <f t="shared" si="201"/>
        <v/>
      </c>
      <c r="AC887" s="48" t="str">
        <f t="shared" si="202"/>
        <v/>
      </c>
      <c r="AD887" s="54" t="str">
        <f t="shared" si="203"/>
        <v/>
      </c>
      <c r="AE887" s="55">
        <f t="shared" si="204"/>
        <v>0</v>
      </c>
      <c r="AF887" s="55">
        <f t="shared" si="205"/>
        <v>0</v>
      </c>
      <c r="AG887" s="58">
        <f t="shared" si="206"/>
        <v>0</v>
      </c>
      <c r="AH887" s="47"/>
      <c r="AJ887" s="47"/>
      <c r="AL887" s="47"/>
      <c r="AM887" s="47" t="str">
        <f t="shared" si="207"/>
        <v/>
      </c>
    </row>
    <row r="888" spans="1:39" s="56" customFormat="1" ht="24.75" customHeight="1">
      <c r="A888" s="44"/>
      <c r="B888" s="45"/>
      <c r="C888" s="46">
        <f>IF(B888&lt;&gt;"",VLOOKUP(B888,'Tipo Projeto'!$A$3:$B$35,2,0),0)</f>
        <v>0</v>
      </c>
      <c r="D888" s="47"/>
      <c r="E888" s="47"/>
      <c r="F888" s="48"/>
      <c r="G888" s="47"/>
      <c r="H888" s="49"/>
      <c r="I888" s="50"/>
      <c r="J888" s="51"/>
      <c r="K888" s="52"/>
      <c r="L888" s="53" t="str">
        <f t="shared" si="195"/>
        <v/>
      </c>
      <c r="M888" s="48" t="str">
        <f t="shared" si="196"/>
        <v/>
      </c>
      <c r="N888" s="54" t="str">
        <f t="shared" si="197"/>
        <v/>
      </c>
      <c r="O888" s="55">
        <f t="shared" si="198"/>
        <v>0</v>
      </c>
      <c r="P888" s="55">
        <f t="shared" si="199"/>
        <v>0</v>
      </c>
      <c r="Q888" s="54">
        <f t="shared" si="200"/>
        <v>0</v>
      </c>
      <c r="R888" s="47"/>
      <c r="T888" s="57"/>
      <c r="U888" s="45"/>
      <c r="V888" s="46">
        <f>IF(U888&lt;&gt;"",VLOOKUP(U888,'Tipo Projeto'!$A$3:$B$35,2,0),0)</f>
        <v>0</v>
      </c>
      <c r="W888" s="47"/>
      <c r="X888" s="49"/>
      <c r="Y888" s="50"/>
      <c r="Z888" s="51"/>
      <c r="AA888" s="52"/>
      <c r="AB888" s="53" t="str">
        <f t="shared" si="201"/>
        <v/>
      </c>
      <c r="AC888" s="48" t="str">
        <f t="shared" si="202"/>
        <v/>
      </c>
      <c r="AD888" s="54" t="str">
        <f t="shared" si="203"/>
        <v/>
      </c>
      <c r="AE888" s="55">
        <f t="shared" si="204"/>
        <v>0</v>
      </c>
      <c r="AF888" s="55">
        <f t="shared" si="205"/>
        <v>0</v>
      </c>
      <c r="AG888" s="58">
        <f t="shared" si="206"/>
        <v>0</v>
      </c>
      <c r="AH888" s="47"/>
      <c r="AJ888" s="47"/>
      <c r="AL888" s="47"/>
      <c r="AM888" s="47" t="str">
        <f t="shared" si="207"/>
        <v/>
      </c>
    </row>
    <row r="889" spans="1:39" s="56" customFormat="1" ht="24.75" customHeight="1">
      <c r="A889" s="44"/>
      <c r="B889" s="45"/>
      <c r="C889" s="46">
        <f>IF(B889&lt;&gt;"",VLOOKUP(B889,'Tipo Projeto'!$A$3:$B$35,2,0),0)</f>
        <v>0</v>
      </c>
      <c r="D889" s="47"/>
      <c r="E889" s="47"/>
      <c r="F889" s="48"/>
      <c r="G889" s="47"/>
      <c r="H889" s="49"/>
      <c r="I889" s="50"/>
      <c r="J889" s="51"/>
      <c r="K889" s="52"/>
      <c r="L889" s="53" t="str">
        <f t="shared" si="195"/>
        <v/>
      </c>
      <c r="M889" s="48" t="str">
        <f t="shared" si="196"/>
        <v/>
      </c>
      <c r="N889" s="54" t="str">
        <f t="shared" si="197"/>
        <v/>
      </c>
      <c r="O889" s="55">
        <f t="shared" si="198"/>
        <v>0</v>
      </c>
      <c r="P889" s="55">
        <f t="shared" si="199"/>
        <v>0</v>
      </c>
      <c r="Q889" s="54">
        <f t="shared" si="200"/>
        <v>0</v>
      </c>
      <c r="R889" s="47"/>
      <c r="T889" s="57"/>
      <c r="U889" s="45"/>
      <c r="V889" s="46">
        <f>IF(U889&lt;&gt;"",VLOOKUP(U889,'Tipo Projeto'!$A$3:$B$35,2,0),0)</f>
        <v>0</v>
      </c>
      <c r="W889" s="47"/>
      <c r="X889" s="49"/>
      <c r="Y889" s="50"/>
      <c r="Z889" s="51"/>
      <c r="AA889" s="52"/>
      <c r="AB889" s="53" t="str">
        <f t="shared" si="201"/>
        <v/>
      </c>
      <c r="AC889" s="48" t="str">
        <f t="shared" si="202"/>
        <v/>
      </c>
      <c r="AD889" s="54" t="str">
        <f t="shared" si="203"/>
        <v/>
      </c>
      <c r="AE889" s="55">
        <f t="shared" si="204"/>
        <v>0</v>
      </c>
      <c r="AF889" s="55">
        <f t="shared" si="205"/>
        <v>0</v>
      </c>
      <c r="AG889" s="58">
        <f t="shared" si="206"/>
        <v>0</v>
      </c>
      <c r="AH889" s="47"/>
      <c r="AJ889" s="47"/>
      <c r="AL889" s="47"/>
      <c r="AM889" s="47" t="str">
        <f t="shared" si="207"/>
        <v/>
      </c>
    </row>
    <row r="890" spans="1:39" s="56" customFormat="1" ht="24.75" customHeight="1">
      <c r="A890" s="44"/>
      <c r="B890" s="45"/>
      <c r="C890" s="46">
        <f>IF(B890&lt;&gt;"",VLOOKUP(B890,'Tipo Projeto'!$A$3:$B$35,2,0),0)</f>
        <v>0</v>
      </c>
      <c r="D890" s="47"/>
      <c r="E890" s="47"/>
      <c r="F890" s="48"/>
      <c r="G890" s="47"/>
      <c r="H890" s="49"/>
      <c r="I890" s="50"/>
      <c r="J890" s="51"/>
      <c r="K890" s="52"/>
      <c r="L890" s="53" t="str">
        <f t="shared" si="195"/>
        <v/>
      </c>
      <c r="M890" s="48" t="str">
        <f t="shared" si="196"/>
        <v/>
      </c>
      <c r="N890" s="54" t="str">
        <f t="shared" si="197"/>
        <v/>
      </c>
      <c r="O890" s="55">
        <f t="shared" si="198"/>
        <v>0</v>
      </c>
      <c r="P890" s="55">
        <f t="shared" si="199"/>
        <v>0</v>
      </c>
      <c r="Q890" s="54">
        <f t="shared" si="200"/>
        <v>0</v>
      </c>
      <c r="R890" s="47"/>
      <c r="T890" s="57"/>
      <c r="U890" s="45"/>
      <c r="V890" s="46">
        <f>IF(U890&lt;&gt;"",VLOOKUP(U890,'Tipo Projeto'!$A$3:$B$35,2,0),0)</f>
        <v>0</v>
      </c>
      <c r="W890" s="47"/>
      <c r="X890" s="49"/>
      <c r="Y890" s="50"/>
      <c r="Z890" s="51"/>
      <c r="AA890" s="52"/>
      <c r="AB890" s="53" t="str">
        <f t="shared" si="201"/>
        <v/>
      </c>
      <c r="AC890" s="48" t="str">
        <f t="shared" si="202"/>
        <v/>
      </c>
      <c r="AD890" s="54" t="str">
        <f t="shared" si="203"/>
        <v/>
      </c>
      <c r="AE890" s="55">
        <f t="shared" si="204"/>
        <v>0</v>
      </c>
      <c r="AF890" s="55">
        <f t="shared" si="205"/>
        <v>0</v>
      </c>
      <c r="AG890" s="58">
        <f t="shared" si="206"/>
        <v>0</v>
      </c>
      <c r="AH890" s="47"/>
      <c r="AJ890" s="47"/>
      <c r="AL890" s="47"/>
      <c r="AM890" s="47" t="str">
        <f t="shared" si="207"/>
        <v/>
      </c>
    </row>
    <row r="891" spans="1:39" s="56" customFormat="1" ht="24.75" customHeight="1">
      <c r="A891" s="44"/>
      <c r="B891" s="45"/>
      <c r="C891" s="46">
        <f>IF(B891&lt;&gt;"",VLOOKUP(B891,'Tipo Projeto'!$A$3:$B$35,2,0),0)</f>
        <v>0</v>
      </c>
      <c r="D891" s="47"/>
      <c r="E891" s="47"/>
      <c r="F891" s="48"/>
      <c r="G891" s="47"/>
      <c r="H891" s="49"/>
      <c r="I891" s="50"/>
      <c r="J891" s="51"/>
      <c r="K891" s="52"/>
      <c r="L891" s="53" t="str">
        <f t="shared" si="195"/>
        <v/>
      </c>
      <c r="M891" s="48" t="str">
        <f t="shared" si="196"/>
        <v/>
      </c>
      <c r="N891" s="54" t="str">
        <f t="shared" si="197"/>
        <v/>
      </c>
      <c r="O891" s="55">
        <f t="shared" si="198"/>
        <v>0</v>
      </c>
      <c r="P891" s="55">
        <f t="shared" si="199"/>
        <v>0</v>
      </c>
      <c r="Q891" s="54">
        <f t="shared" si="200"/>
        <v>0</v>
      </c>
      <c r="R891" s="47"/>
      <c r="T891" s="57"/>
      <c r="U891" s="45"/>
      <c r="V891" s="46">
        <f>IF(U891&lt;&gt;"",VLOOKUP(U891,'Tipo Projeto'!$A$3:$B$35,2,0),0)</f>
        <v>0</v>
      </c>
      <c r="W891" s="47"/>
      <c r="X891" s="49"/>
      <c r="Y891" s="50"/>
      <c r="Z891" s="51"/>
      <c r="AA891" s="52"/>
      <c r="AB891" s="53" t="str">
        <f t="shared" si="201"/>
        <v/>
      </c>
      <c r="AC891" s="48" t="str">
        <f t="shared" si="202"/>
        <v/>
      </c>
      <c r="AD891" s="54" t="str">
        <f t="shared" si="203"/>
        <v/>
      </c>
      <c r="AE891" s="55">
        <f t="shared" si="204"/>
        <v>0</v>
      </c>
      <c r="AF891" s="55">
        <f t="shared" si="205"/>
        <v>0</v>
      </c>
      <c r="AG891" s="58">
        <f t="shared" si="206"/>
        <v>0</v>
      </c>
      <c r="AH891" s="47"/>
      <c r="AJ891" s="47"/>
      <c r="AL891" s="47"/>
      <c r="AM891" s="47" t="str">
        <f t="shared" si="207"/>
        <v/>
      </c>
    </row>
    <row r="892" spans="1:39" s="56" customFormat="1" ht="24.75" customHeight="1">
      <c r="A892" s="44"/>
      <c r="B892" s="45"/>
      <c r="C892" s="46">
        <f>IF(B892&lt;&gt;"",VLOOKUP(B892,'Tipo Projeto'!$A$3:$B$35,2,0),0)</f>
        <v>0</v>
      </c>
      <c r="D892" s="47"/>
      <c r="E892" s="47"/>
      <c r="F892" s="48"/>
      <c r="G892" s="47"/>
      <c r="H892" s="49"/>
      <c r="I892" s="50"/>
      <c r="J892" s="51"/>
      <c r="K892" s="52"/>
      <c r="L892" s="53" t="str">
        <f t="shared" si="195"/>
        <v/>
      </c>
      <c r="M892" s="48" t="str">
        <f t="shared" si="196"/>
        <v/>
      </c>
      <c r="N892" s="54" t="str">
        <f t="shared" si="197"/>
        <v/>
      </c>
      <c r="O892" s="55">
        <f t="shared" si="198"/>
        <v>0</v>
      </c>
      <c r="P892" s="55">
        <f t="shared" si="199"/>
        <v>0</v>
      </c>
      <c r="Q892" s="54">
        <f t="shared" si="200"/>
        <v>0</v>
      </c>
      <c r="R892" s="47"/>
      <c r="T892" s="57"/>
      <c r="U892" s="45"/>
      <c r="V892" s="46">
        <f>IF(U892&lt;&gt;"",VLOOKUP(U892,'Tipo Projeto'!$A$3:$B$35,2,0),0)</f>
        <v>0</v>
      </c>
      <c r="W892" s="47"/>
      <c r="X892" s="49"/>
      <c r="Y892" s="50"/>
      <c r="Z892" s="51"/>
      <c r="AA892" s="52"/>
      <c r="AB892" s="53" t="str">
        <f t="shared" si="201"/>
        <v/>
      </c>
      <c r="AC892" s="48" t="str">
        <f t="shared" si="202"/>
        <v/>
      </c>
      <c r="AD892" s="54" t="str">
        <f t="shared" si="203"/>
        <v/>
      </c>
      <c r="AE892" s="55">
        <f t="shared" si="204"/>
        <v>0</v>
      </c>
      <c r="AF892" s="55">
        <f t="shared" si="205"/>
        <v>0</v>
      </c>
      <c r="AG892" s="58">
        <f t="shared" si="206"/>
        <v>0</v>
      </c>
      <c r="AH892" s="47"/>
      <c r="AJ892" s="47"/>
      <c r="AL892" s="47"/>
      <c r="AM892" s="47" t="str">
        <f t="shared" si="207"/>
        <v/>
      </c>
    </row>
    <row r="893" spans="1:39" s="56" customFormat="1" ht="24.75" customHeight="1">
      <c r="A893" s="44"/>
      <c r="B893" s="45"/>
      <c r="C893" s="46">
        <f>IF(B893&lt;&gt;"",VLOOKUP(B893,'Tipo Projeto'!$A$3:$B$35,2,0),0)</f>
        <v>0</v>
      </c>
      <c r="D893" s="47"/>
      <c r="E893" s="47"/>
      <c r="F893" s="48"/>
      <c r="G893" s="47"/>
      <c r="H893" s="49"/>
      <c r="I893" s="50"/>
      <c r="J893" s="51"/>
      <c r="K893" s="52"/>
      <c r="L893" s="53" t="str">
        <f t="shared" si="195"/>
        <v/>
      </c>
      <c r="M893" s="48" t="str">
        <f t="shared" si="196"/>
        <v/>
      </c>
      <c r="N893" s="54" t="str">
        <f t="shared" si="197"/>
        <v/>
      </c>
      <c r="O893" s="55">
        <f t="shared" si="198"/>
        <v>0</v>
      </c>
      <c r="P893" s="55">
        <f t="shared" si="199"/>
        <v>0</v>
      </c>
      <c r="Q893" s="54">
        <f t="shared" si="200"/>
        <v>0</v>
      </c>
      <c r="R893" s="47"/>
      <c r="T893" s="57"/>
      <c r="U893" s="45"/>
      <c r="V893" s="46">
        <f>IF(U893&lt;&gt;"",VLOOKUP(U893,'Tipo Projeto'!$A$3:$B$35,2,0),0)</f>
        <v>0</v>
      </c>
      <c r="W893" s="47"/>
      <c r="X893" s="49"/>
      <c r="Y893" s="50"/>
      <c r="Z893" s="51"/>
      <c r="AA893" s="52"/>
      <c r="AB893" s="53" t="str">
        <f t="shared" si="201"/>
        <v/>
      </c>
      <c r="AC893" s="48" t="str">
        <f t="shared" si="202"/>
        <v/>
      </c>
      <c r="AD893" s="54" t="str">
        <f t="shared" si="203"/>
        <v/>
      </c>
      <c r="AE893" s="55">
        <f t="shared" si="204"/>
        <v>0</v>
      </c>
      <c r="AF893" s="55">
        <f t="shared" si="205"/>
        <v>0</v>
      </c>
      <c r="AG893" s="58">
        <f t="shared" si="206"/>
        <v>0</v>
      </c>
      <c r="AH893" s="47"/>
      <c r="AJ893" s="47"/>
      <c r="AL893" s="47"/>
      <c r="AM893" s="47" t="str">
        <f t="shared" si="207"/>
        <v/>
      </c>
    </row>
    <row r="894" spans="1:39" s="56" customFormat="1" ht="24.75" customHeight="1">
      <c r="A894" s="44"/>
      <c r="B894" s="45"/>
      <c r="C894" s="46">
        <f>IF(B894&lt;&gt;"",VLOOKUP(B894,'Tipo Projeto'!$A$3:$B$35,2,0),0)</f>
        <v>0</v>
      </c>
      <c r="D894" s="47"/>
      <c r="E894" s="47"/>
      <c r="F894" s="48"/>
      <c r="G894" s="47"/>
      <c r="H894" s="49"/>
      <c r="I894" s="50"/>
      <c r="J894" s="51"/>
      <c r="K894" s="52"/>
      <c r="L894" s="53" t="str">
        <f t="shared" si="195"/>
        <v/>
      </c>
      <c r="M894" s="48" t="str">
        <f t="shared" si="196"/>
        <v/>
      </c>
      <c r="N894" s="54" t="str">
        <f t="shared" si="197"/>
        <v/>
      </c>
      <c r="O894" s="55">
        <f t="shared" si="198"/>
        <v>0</v>
      </c>
      <c r="P894" s="55">
        <f t="shared" si="199"/>
        <v>0</v>
      </c>
      <c r="Q894" s="54">
        <f t="shared" si="200"/>
        <v>0</v>
      </c>
      <c r="R894" s="47"/>
      <c r="T894" s="57"/>
      <c r="U894" s="45"/>
      <c r="V894" s="46">
        <f>IF(U894&lt;&gt;"",VLOOKUP(U894,'Tipo Projeto'!$A$3:$B$35,2,0),0)</f>
        <v>0</v>
      </c>
      <c r="W894" s="47"/>
      <c r="X894" s="49"/>
      <c r="Y894" s="50"/>
      <c r="Z894" s="51"/>
      <c r="AA894" s="52"/>
      <c r="AB894" s="53" t="str">
        <f t="shared" si="201"/>
        <v/>
      </c>
      <c r="AC894" s="48" t="str">
        <f t="shared" si="202"/>
        <v/>
      </c>
      <c r="AD894" s="54" t="str">
        <f t="shared" si="203"/>
        <v/>
      </c>
      <c r="AE894" s="55">
        <f t="shared" si="204"/>
        <v>0</v>
      </c>
      <c r="AF894" s="55">
        <f t="shared" si="205"/>
        <v>0</v>
      </c>
      <c r="AG894" s="58">
        <f t="shared" si="206"/>
        <v>0</v>
      </c>
      <c r="AH894" s="47"/>
      <c r="AJ894" s="47"/>
      <c r="AL894" s="47"/>
      <c r="AM894" s="47" t="str">
        <f t="shared" si="207"/>
        <v/>
      </c>
    </row>
    <row r="895" spans="1:39" s="56" customFormat="1" ht="24.75" customHeight="1">
      <c r="A895" s="44"/>
      <c r="B895" s="45"/>
      <c r="C895" s="46">
        <f>IF(B895&lt;&gt;"",VLOOKUP(B895,'Tipo Projeto'!$A$3:$B$35,2,0),0)</f>
        <v>0</v>
      </c>
      <c r="D895" s="47"/>
      <c r="E895" s="47"/>
      <c r="F895" s="48"/>
      <c r="G895" s="47"/>
      <c r="H895" s="49"/>
      <c r="I895" s="50"/>
      <c r="J895" s="51"/>
      <c r="K895" s="52"/>
      <c r="L895" s="53" t="str">
        <f t="shared" si="195"/>
        <v/>
      </c>
      <c r="M895" s="48" t="str">
        <f t="shared" si="196"/>
        <v/>
      </c>
      <c r="N895" s="54" t="str">
        <f t="shared" si="197"/>
        <v/>
      </c>
      <c r="O895" s="55">
        <f t="shared" si="198"/>
        <v>0</v>
      </c>
      <c r="P895" s="55">
        <f t="shared" si="199"/>
        <v>0</v>
      </c>
      <c r="Q895" s="54">
        <f t="shared" si="200"/>
        <v>0</v>
      </c>
      <c r="R895" s="47"/>
      <c r="T895" s="57"/>
      <c r="U895" s="45"/>
      <c r="V895" s="46">
        <f>IF(U895&lt;&gt;"",VLOOKUP(U895,'Tipo Projeto'!$A$3:$B$35,2,0),0)</f>
        <v>0</v>
      </c>
      <c r="W895" s="47"/>
      <c r="X895" s="49"/>
      <c r="Y895" s="50"/>
      <c r="Z895" s="51"/>
      <c r="AA895" s="52"/>
      <c r="AB895" s="53" t="str">
        <f t="shared" si="201"/>
        <v/>
      </c>
      <c r="AC895" s="48" t="str">
        <f t="shared" si="202"/>
        <v/>
      </c>
      <c r="AD895" s="54" t="str">
        <f t="shared" si="203"/>
        <v/>
      </c>
      <c r="AE895" s="55">
        <f t="shared" si="204"/>
        <v>0</v>
      </c>
      <c r="AF895" s="55">
        <f t="shared" si="205"/>
        <v>0</v>
      </c>
      <c r="AG895" s="58">
        <f t="shared" si="206"/>
        <v>0</v>
      </c>
      <c r="AH895" s="47"/>
      <c r="AJ895" s="47"/>
      <c r="AL895" s="47"/>
      <c r="AM895" s="47" t="str">
        <f t="shared" si="207"/>
        <v/>
      </c>
    </row>
    <row r="896" spans="1:39" s="56" customFormat="1" ht="24.75" customHeight="1">
      <c r="A896" s="44"/>
      <c r="B896" s="45"/>
      <c r="C896" s="46">
        <f>IF(B896&lt;&gt;"",VLOOKUP(B896,'Tipo Projeto'!$A$3:$B$35,2,0),0)</f>
        <v>0</v>
      </c>
      <c r="D896" s="47"/>
      <c r="E896" s="47"/>
      <c r="F896" s="48"/>
      <c r="G896" s="47"/>
      <c r="H896" s="49"/>
      <c r="I896" s="50"/>
      <c r="J896" s="51"/>
      <c r="K896" s="52"/>
      <c r="L896" s="53" t="str">
        <f t="shared" si="195"/>
        <v/>
      </c>
      <c r="M896" s="48" t="str">
        <f t="shared" si="196"/>
        <v/>
      </c>
      <c r="N896" s="54" t="str">
        <f t="shared" si="197"/>
        <v/>
      </c>
      <c r="O896" s="55">
        <f t="shared" si="198"/>
        <v>0</v>
      </c>
      <c r="P896" s="55">
        <f t="shared" si="199"/>
        <v>0</v>
      </c>
      <c r="Q896" s="54">
        <f t="shared" si="200"/>
        <v>0</v>
      </c>
      <c r="R896" s="47"/>
      <c r="T896" s="57"/>
      <c r="U896" s="45"/>
      <c r="V896" s="46">
        <f>IF(U896&lt;&gt;"",VLOOKUP(U896,'Tipo Projeto'!$A$3:$B$35,2,0),0)</f>
        <v>0</v>
      </c>
      <c r="W896" s="47"/>
      <c r="X896" s="49"/>
      <c r="Y896" s="50"/>
      <c r="Z896" s="51"/>
      <c r="AA896" s="52"/>
      <c r="AB896" s="53" t="str">
        <f t="shared" si="201"/>
        <v/>
      </c>
      <c r="AC896" s="48" t="str">
        <f t="shared" si="202"/>
        <v/>
      </c>
      <c r="AD896" s="54" t="str">
        <f t="shared" si="203"/>
        <v/>
      </c>
      <c r="AE896" s="55">
        <f t="shared" si="204"/>
        <v>0</v>
      </c>
      <c r="AF896" s="55">
        <f t="shared" si="205"/>
        <v>0</v>
      </c>
      <c r="AG896" s="58">
        <f t="shared" si="206"/>
        <v>0</v>
      </c>
      <c r="AH896" s="47"/>
      <c r="AJ896" s="47"/>
      <c r="AL896" s="47"/>
      <c r="AM896" s="47" t="str">
        <f t="shared" si="207"/>
        <v/>
      </c>
    </row>
    <row r="897" spans="1:39" s="56" customFormat="1" ht="24.75" customHeight="1">
      <c r="A897" s="44"/>
      <c r="B897" s="45"/>
      <c r="C897" s="46">
        <f>IF(B897&lt;&gt;"",VLOOKUP(B897,'Tipo Projeto'!$A$3:$B$35,2,0),0)</f>
        <v>0</v>
      </c>
      <c r="D897" s="47"/>
      <c r="E897" s="47"/>
      <c r="F897" s="48"/>
      <c r="G897" s="47"/>
      <c r="H897" s="49"/>
      <c r="I897" s="50"/>
      <c r="J897" s="51"/>
      <c r="K897" s="52"/>
      <c r="L897" s="53" t="str">
        <f t="shared" si="195"/>
        <v/>
      </c>
      <c r="M897" s="48" t="str">
        <f t="shared" si="196"/>
        <v/>
      </c>
      <c r="N897" s="54" t="str">
        <f t="shared" si="197"/>
        <v/>
      </c>
      <c r="O897" s="55">
        <f t="shared" si="198"/>
        <v>0</v>
      </c>
      <c r="P897" s="55">
        <f t="shared" si="199"/>
        <v>0</v>
      </c>
      <c r="Q897" s="54">
        <f t="shared" si="200"/>
        <v>0</v>
      </c>
      <c r="R897" s="47"/>
      <c r="T897" s="57"/>
      <c r="U897" s="45"/>
      <c r="V897" s="46">
        <f>IF(U897&lt;&gt;"",VLOOKUP(U897,'Tipo Projeto'!$A$3:$B$35,2,0),0)</f>
        <v>0</v>
      </c>
      <c r="W897" s="47"/>
      <c r="X897" s="49"/>
      <c r="Y897" s="50"/>
      <c r="Z897" s="51"/>
      <c r="AA897" s="52"/>
      <c r="AB897" s="53" t="str">
        <f t="shared" si="201"/>
        <v/>
      </c>
      <c r="AC897" s="48" t="str">
        <f t="shared" si="202"/>
        <v/>
      </c>
      <c r="AD897" s="54" t="str">
        <f t="shared" si="203"/>
        <v/>
      </c>
      <c r="AE897" s="55">
        <f t="shared" si="204"/>
        <v>0</v>
      </c>
      <c r="AF897" s="55">
        <f t="shared" si="205"/>
        <v>0</v>
      </c>
      <c r="AG897" s="58">
        <f t="shared" si="206"/>
        <v>0</v>
      </c>
      <c r="AH897" s="47"/>
      <c r="AJ897" s="47"/>
      <c r="AL897" s="47"/>
      <c r="AM897" s="47" t="str">
        <f t="shared" si="207"/>
        <v/>
      </c>
    </row>
    <row r="898" spans="1:39" s="56" customFormat="1" ht="24.75" customHeight="1">
      <c r="A898" s="44"/>
      <c r="B898" s="45"/>
      <c r="C898" s="46">
        <f>IF(B898&lt;&gt;"",VLOOKUP(B898,'Tipo Projeto'!$A$3:$B$35,2,0),0)</f>
        <v>0</v>
      </c>
      <c r="D898" s="47"/>
      <c r="E898" s="47"/>
      <c r="F898" s="48"/>
      <c r="G898" s="47"/>
      <c r="H898" s="49"/>
      <c r="I898" s="50"/>
      <c r="J898" s="51"/>
      <c r="K898" s="52"/>
      <c r="L898" s="53" t="str">
        <f t="shared" si="195"/>
        <v/>
      </c>
      <c r="M898" s="48" t="str">
        <f t="shared" si="196"/>
        <v/>
      </c>
      <c r="N898" s="54" t="str">
        <f t="shared" si="197"/>
        <v/>
      </c>
      <c r="O898" s="55">
        <f t="shared" si="198"/>
        <v>0</v>
      </c>
      <c r="P898" s="55">
        <f t="shared" si="199"/>
        <v>0</v>
      </c>
      <c r="Q898" s="54">
        <f t="shared" si="200"/>
        <v>0</v>
      </c>
      <c r="R898" s="47"/>
      <c r="T898" s="57"/>
      <c r="U898" s="45"/>
      <c r="V898" s="46">
        <f>IF(U898&lt;&gt;"",VLOOKUP(U898,'Tipo Projeto'!$A$3:$B$35,2,0),0)</f>
        <v>0</v>
      </c>
      <c r="W898" s="47"/>
      <c r="X898" s="49"/>
      <c r="Y898" s="50"/>
      <c r="Z898" s="51"/>
      <c r="AA898" s="52"/>
      <c r="AB898" s="53" t="str">
        <f t="shared" si="201"/>
        <v/>
      </c>
      <c r="AC898" s="48" t="str">
        <f t="shared" si="202"/>
        <v/>
      </c>
      <c r="AD898" s="54" t="str">
        <f t="shared" si="203"/>
        <v/>
      </c>
      <c r="AE898" s="55">
        <f t="shared" si="204"/>
        <v>0</v>
      </c>
      <c r="AF898" s="55">
        <f t="shared" si="205"/>
        <v>0</v>
      </c>
      <c r="AG898" s="58">
        <f t="shared" si="206"/>
        <v>0</v>
      </c>
      <c r="AH898" s="47"/>
      <c r="AJ898" s="47"/>
      <c r="AL898" s="47"/>
      <c r="AM898" s="47" t="str">
        <f t="shared" si="207"/>
        <v/>
      </c>
    </row>
    <row r="899" spans="1:39" s="56" customFormat="1" ht="24.75" customHeight="1">
      <c r="A899" s="44"/>
      <c r="B899" s="45"/>
      <c r="C899" s="46">
        <f>IF(B899&lt;&gt;"",VLOOKUP(B899,'Tipo Projeto'!$A$3:$B$35,2,0),0)</f>
        <v>0</v>
      </c>
      <c r="D899" s="47"/>
      <c r="E899" s="47"/>
      <c r="F899" s="48"/>
      <c r="G899" s="47"/>
      <c r="H899" s="49"/>
      <c r="I899" s="50"/>
      <c r="J899" s="51"/>
      <c r="K899" s="52"/>
      <c r="L899" s="53" t="str">
        <f t="shared" si="195"/>
        <v/>
      </c>
      <c r="M899" s="48" t="str">
        <f t="shared" si="196"/>
        <v/>
      </c>
      <c r="N899" s="54" t="str">
        <f t="shared" si="197"/>
        <v/>
      </c>
      <c r="O899" s="55">
        <f t="shared" si="198"/>
        <v>0</v>
      </c>
      <c r="P899" s="55">
        <f t="shared" si="199"/>
        <v>0</v>
      </c>
      <c r="Q899" s="54">
        <f t="shared" si="200"/>
        <v>0</v>
      </c>
      <c r="R899" s="47"/>
      <c r="T899" s="57"/>
      <c r="U899" s="45"/>
      <c r="V899" s="46">
        <f>IF(U899&lt;&gt;"",VLOOKUP(U899,'Tipo Projeto'!$A$3:$B$35,2,0),0)</f>
        <v>0</v>
      </c>
      <c r="W899" s="47"/>
      <c r="X899" s="49"/>
      <c r="Y899" s="50"/>
      <c r="Z899" s="51"/>
      <c r="AA899" s="52"/>
      <c r="AB899" s="53" t="str">
        <f t="shared" si="201"/>
        <v/>
      </c>
      <c r="AC899" s="48" t="str">
        <f t="shared" si="202"/>
        <v/>
      </c>
      <c r="AD899" s="54" t="str">
        <f t="shared" si="203"/>
        <v/>
      </c>
      <c r="AE899" s="55">
        <f t="shared" si="204"/>
        <v>0</v>
      </c>
      <c r="AF899" s="55">
        <f t="shared" si="205"/>
        <v>0</v>
      </c>
      <c r="AG899" s="58">
        <f t="shared" si="206"/>
        <v>0</v>
      </c>
      <c r="AH899" s="47"/>
      <c r="AJ899" s="47"/>
      <c r="AL899" s="47"/>
      <c r="AM899" s="47" t="str">
        <f t="shared" si="207"/>
        <v/>
      </c>
    </row>
    <row r="900" spans="1:39" s="56" customFormat="1" ht="24.75" customHeight="1">
      <c r="A900" s="44"/>
      <c r="B900" s="45"/>
      <c r="C900" s="46">
        <f>IF(B900&lt;&gt;"",VLOOKUP(B900,'Tipo Projeto'!$A$3:$B$35,2,0),0)</f>
        <v>0</v>
      </c>
      <c r="D900" s="47"/>
      <c r="E900" s="47"/>
      <c r="F900" s="48"/>
      <c r="G900" s="47"/>
      <c r="H900" s="49"/>
      <c r="I900" s="50"/>
      <c r="J900" s="51"/>
      <c r="K900" s="52"/>
      <c r="L900" s="53" t="str">
        <f t="shared" si="195"/>
        <v/>
      </c>
      <c r="M900" s="48" t="str">
        <f t="shared" si="196"/>
        <v/>
      </c>
      <c r="N900" s="54" t="str">
        <f t="shared" si="197"/>
        <v/>
      </c>
      <c r="O900" s="55">
        <f t="shared" si="198"/>
        <v>0</v>
      </c>
      <c r="P900" s="55">
        <f t="shared" si="199"/>
        <v>0</v>
      </c>
      <c r="Q900" s="54">
        <f t="shared" si="200"/>
        <v>0</v>
      </c>
      <c r="R900" s="47"/>
      <c r="T900" s="57"/>
      <c r="U900" s="45"/>
      <c r="V900" s="46">
        <f>IF(U900&lt;&gt;"",VLOOKUP(U900,'Tipo Projeto'!$A$3:$B$35,2,0),0)</f>
        <v>0</v>
      </c>
      <c r="W900" s="47"/>
      <c r="X900" s="49"/>
      <c r="Y900" s="50"/>
      <c r="Z900" s="51"/>
      <c r="AA900" s="52"/>
      <c r="AB900" s="53" t="str">
        <f t="shared" si="201"/>
        <v/>
      </c>
      <c r="AC900" s="48" t="str">
        <f t="shared" si="202"/>
        <v/>
      </c>
      <c r="AD900" s="54" t="str">
        <f t="shared" si="203"/>
        <v/>
      </c>
      <c r="AE900" s="55">
        <f t="shared" si="204"/>
        <v>0</v>
      </c>
      <c r="AF900" s="55">
        <f t="shared" si="205"/>
        <v>0</v>
      </c>
      <c r="AG900" s="58">
        <f t="shared" si="206"/>
        <v>0</v>
      </c>
      <c r="AH900" s="47"/>
      <c r="AJ900" s="47"/>
      <c r="AL900" s="47"/>
      <c r="AM900" s="47" t="str">
        <f t="shared" si="207"/>
        <v/>
      </c>
    </row>
    <row r="901" spans="1:39" s="56" customFormat="1" ht="24.75" customHeight="1">
      <c r="A901" s="44"/>
      <c r="B901" s="45"/>
      <c r="C901" s="46">
        <f>IF(B901&lt;&gt;"",VLOOKUP(B901,'Tipo Projeto'!$A$3:$B$35,2,0),0)</f>
        <v>0</v>
      </c>
      <c r="D901" s="47"/>
      <c r="E901" s="47"/>
      <c r="F901" s="48"/>
      <c r="G901" s="47"/>
      <c r="H901" s="49"/>
      <c r="I901" s="50"/>
      <c r="J901" s="51"/>
      <c r="K901" s="52"/>
      <c r="L901" s="53" t="str">
        <f t="shared" si="195"/>
        <v/>
      </c>
      <c r="M901" s="48" t="str">
        <f t="shared" si="196"/>
        <v/>
      </c>
      <c r="N901" s="54" t="str">
        <f t="shared" si="197"/>
        <v/>
      </c>
      <c r="O901" s="55">
        <f t="shared" si="198"/>
        <v>0</v>
      </c>
      <c r="P901" s="55">
        <f t="shared" si="199"/>
        <v>0</v>
      </c>
      <c r="Q901" s="54">
        <f t="shared" si="200"/>
        <v>0</v>
      </c>
      <c r="R901" s="47"/>
      <c r="T901" s="57"/>
      <c r="U901" s="45"/>
      <c r="V901" s="46">
        <f>IF(U901&lt;&gt;"",VLOOKUP(U901,'Tipo Projeto'!$A$3:$B$35,2,0),0)</f>
        <v>0</v>
      </c>
      <c r="W901" s="47"/>
      <c r="X901" s="49"/>
      <c r="Y901" s="50"/>
      <c r="Z901" s="51"/>
      <c r="AA901" s="52"/>
      <c r="AB901" s="53" t="str">
        <f t="shared" si="201"/>
        <v/>
      </c>
      <c r="AC901" s="48" t="str">
        <f t="shared" si="202"/>
        <v/>
      </c>
      <c r="AD901" s="54" t="str">
        <f t="shared" si="203"/>
        <v/>
      </c>
      <c r="AE901" s="55">
        <f t="shared" si="204"/>
        <v>0</v>
      </c>
      <c r="AF901" s="55">
        <f t="shared" si="205"/>
        <v>0</v>
      </c>
      <c r="AG901" s="58">
        <f t="shared" si="206"/>
        <v>0</v>
      </c>
      <c r="AH901" s="47"/>
      <c r="AJ901" s="47"/>
      <c r="AL901" s="47"/>
      <c r="AM901" s="47" t="str">
        <f t="shared" si="207"/>
        <v/>
      </c>
    </row>
    <row r="902" spans="1:39" s="56" customFormat="1" ht="24.75" customHeight="1">
      <c r="A902" s="44"/>
      <c r="B902" s="45"/>
      <c r="C902" s="46">
        <f>IF(B902&lt;&gt;"",VLOOKUP(B902,'Tipo Projeto'!$A$3:$B$35,2,0),0)</f>
        <v>0</v>
      </c>
      <c r="D902" s="47"/>
      <c r="E902" s="47"/>
      <c r="F902" s="48"/>
      <c r="G902" s="47"/>
      <c r="H902" s="49"/>
      <c r="I902" s="50"/>
      <c r="J902" s="51"/>
      <c r="K902" s="52"/>
      <c r="L902" s="53" t="str">
        <f t="shared" si="195"/>
        <v/>
      </c>
      <c r="M902" s="48" t="str">
        <f t="shared" si="196"/>
        <v/>
      </c>
      <c r="N902" s="54" t="str">
        <f t="shared" si="197"/>
        <v/>
      </c>
      <c r="O902" s="55">
        <f t="shared" si="198"/>
        <v>0</v>
      </c>
      <c r="P902" s="55">
        <f t="shared" si="199"/>
        <v>0</v>
      </c>
      <c r="Q902" s="54">
        <f t="shared" si="200"/>
        <v>0</v>
      </c>
      <c r="R902" s="47"/>
      <c r="T902" s="57"/>
      <c r="U902" s="45"/>
      <c r="V902" s="46">
        <f>IF(U902&lt;&gt;"",VLOOKUP(U902,'Tipo Projeto'!$A$3:$B$35,2,0),0)</f>
        <v>0</v>
      </c>
      <c r="W902" s="47"/>
      <c r="X902" s="49"/>
      <c r="Y902" s="50"/>
      <c r="Z902" s="51"/>
      <c r="AA902" s="52"/>
      <c r="AB902" s="53" t="str">
        <f t="shared" si="201"/>
        <v/>
      </c>
      <c r="AC902" s="48" t="str">
        <f t="shared" si="202"/>
        <v/>
      </c>
      <c r="AD902" s="54" t="str">
        <f t="shared" si="203"/>
        <v/>
      </c>
      <c r="AE902" s="55">
        <f t="shared" si="204"/>
        <v>0</v>
      </c>
      <c r="AF902" s="55">
        <f t="shared" si="205"/>
        <v>0</v>
      </c>
      <c r="AG902" s="58">
        <f t="shared" si="206"/>
        <v>0</v>
      </c>
      <c r="AH902" s="47"/>
      <c r="AJ902" s="47"/>
      <c r="AL902" s="47"/>
      <c r="AM902" s="47" t="str">
        <f t="shared" si="207"/>
        <v/>
      </c>
    </row>
    <row r="903" spans="1:39" s="56" customFormat="1" ht="24.75" customHeight="1">
      <c r="A903" s="44"/>
      <c r="B903" s="45"/>
      <c r="C903" s="46">
        <f>IF(B903&lt;&gt;"",VLOOKUP(B903,'Tipo Projeto'!$A$3:$B$35,2,0),0)</f>
        <v>0</v>
      </c>
      <c r="D903" s="47"/>
      <c r="E903" s="47"/>
      <c r="F903" s="48"/>
      <c r="G903" s="47"/>
      <c r="H903" s="49"/>
      <c r="I903" s="50"/>
      <c r="J903" s="51"/>
      <c r="K903" s="52"/>
      <c r="L903" s="53" t="str">
        <f t="shared" si="195"/>
        <v/>
      </c>
      <c r="M903" s="48" t="str">
        <f t="shared" si="196"/>
        <v/>
      </c>
      <c r="N903" s="54" t="str">
        <f t="shared" si="197"/>
        <v/>
      </c>
      <c r="O903" s="55">
        <f t="shared" si="198"/>
        <v>0</v>
      </c>
      <c r="P903" s="55">
        <f t="shared" si="199"/>
        <v>0</v>
      </c>
      <c r="Q903" s="54">
        <f t="shared" si="200"/>
        <v>0</v>
      </c>
      <c r="R903" s="47"/>
      <c r="T903" s="57"/>
      <c r="U903" s="45"/>
      <c r="V903" s="46">
        <f>IF(U903&lt;&gt;"",VLOOKUP(U903,'Tipo Projeto'!$A$3:$B$35,2,0),0)</f>
        <v>0</v>
      </c>
      <c r="W903" s="47"/>
      <c r="X903" s="49"/>
      <c r="Y903" s="50"/>
      <c r="Z903" s="51"/>
      <c r="AA903" s="52"/>
      <c r="AB903" s="53" t="str">
        <f t="shared" si="201"/>
        <v/>
      </c>
      <c r="AC903" s="48" t="str">
        <f t="shared" si="202"/>
        <v/>
      </c>
      <c r="AD903" s="54" t="str">
        <f t="shared" si="203"/>
        <v/>
      </c>
      <c r="AE903" s="55">
        <f t="shared" si="204"/>
        <v>0</v>
      </c>
      <c r="AF903" s="55">
        <f t="shared" si="205"/>
        <v>0</v>
      </c>
      <c r="AG903" s="58">
        <f t="shared" si="206"/>
        <v>0</v>
      </c>
      <c r="AH903" s="47"/>
      <c r="AJ903" s="47"/>
      <c r="AL903" s="47"/>
      <c r="AM903" s="47" t="str">
        <f t="shared" si="207"/>
        <v/>
      </c>
    </row>
    <row r="904" spans="1:39" s="56" customFormat="1" ht="24.75" customHeight="1">
      <c r="A904" s="44"/>
      <c r="B904" s="45"/>
      <c r="C904" s="46">
        <f>IF(B904&lt;&gt;"",VLOOKUP(B904,'Tipo Projeto'!$A$3:$B$35,2,0),0)</f>
        <v>0</v>
      </c>
      <c r="D904" s="47"/>
      <c r="E904" s="47"/>
      <c r="F904" s="48"/>
      <c r="G904" s="47"/>
      <c r="H904" s="49"/>
      <c r="I904" s="50"/>
      <c r="J904" s="51"/>
      <c r="K904" s="52"/>
      <c r="L904" s="53" t="str">
        <f t="shared" si="195"/>
        <v/>
      </c>
      <c r="M904" s="48" t="str">
        <f t="shared" si="196"/>
        <v/>
      </c>
      <c r="N904" s="54" t="str">
        <f t="shared" si="197"/>
        <v/>
      </c>
      <c r="O904" s="55">
        <f t="shared" si="198"/>
        <v>0</v>
      </c>
      <c r="P904" s="55">
        <f t="shared" si="199"/>
        <v>0</v>
      </c>
      <c r="Q904" s="54">
        <f t="shared" si="200"/>
        <v>0</v>
      </c>
      <c r="R904" s="47"/>
      <c r="T904" s="57"/>
      <c r="U904" s="45"/>
      <c r="V904" s="46">
        <f>IF(U904&lt;&gt;"",VLOOKUP(U904,'Tipo Projeto'!$A$3:$B$35,2,0),0)</f>
        <v>0</v>
      </c>
      <c r="W904" s="47"/>
      <c r="X904" s="49"/>
      <c r="Y904" s="50"/>
      <c r="Z904" s="51"/>
      <c r="AA904" s="52"/>
      <c r="AB904" s="53" t="str">
        <f t="shared" si="201"/>
        <v/>
      </c>
      <c r="AC904" s="48" t="str">
        <f t="shared" si="202"/>
        <v/>
      </c>
      <c r="AD904" s="54" t="str">
        <f t="shared" si="203"/>
        <v/>
      </c>
      <c r="AE904" s="55">
        <f t="shared" si="204"/>
        <v>0</v>
      </c>
      <c r="AF904" s="55">
        <f t="shared" si="205"/>
        <v>0</v>
      </c>
      <c r="AG904" s="58">
        <f t="shared" si="206"/>
        <v>0</v>
      </c>
      <c r="AH904" s="47"/>
      <c r="AJ904" s="47"/>
      <c r="AL904" s="47"/>
      <c r="AM904" s="47" t="str">
        <f t="shared" si="207"/>
        <v/>
      </c>
    </row>
    <row r="905" spans="1:39" s="56" customFormat="1" ht="24.75" customHeight="1">
      <c r="A905" s="44"/>
      <c r="B905" s="45"/>
      <c r="C905" s="46">
        <f>IF(B905&lt;&gt;"",VLOOKUP(B905,'Tipo Projeto'!$A$3:$B$35,2,0),0)</f>
        <v>0</v>
      </c>
      <c r="D905" s="47"/>
      <c r="E905" s="47"/>
      <c r="F905" s="48"/>
      <c r="G905" s="47"/>
      <c r="H905" s="49"/>
      <c r="I905" s="50"/>
      <c r="J905" s="51"/>
      <c r="K905" s="52"/>
      <c r="L905" s="53" t="str">
        <f t="shared" si="195"/>
        <v/>
      </c>
      <c r="M905" s="48" t="str">
        <f t="shared" si="196"/>
        <v/>
      </c>
      <c r="N905" s="54" t="str">
        <f t="shared" si="197"/>
        <v/>
      </c>
      <c r="O905" s="55">
        <f t="shared" si="198"/>
        <v>0</v>
      </c>
      <c r="P905" s="55">
        <f t="shared" si="199"/>
        <v>0</v>
      </c>
      <c r="Q905" s="54">
        <f t="shared" si="200"/>
        <v>0</v>
      </c>
      <c r="R905" s="47"/>
      <c r="T905" s="57"/>
      <c r="U905" s="45"/>
      <c r="V905" s="46">
        <f>IF(U905&lt;&gt;"",VLOOKUP(U905,'Tipo Projeto'!$A$3:$B$35,2,0),0)</f>
        <v>0</v>
      </c>
      <c r="W905" s="47"/>
      <c r="X905" s="49"/>
      <c r="Y905" s="50"/>
      <c r="Z905" s="51"/>
      <c r="AA905" s="52"/>
      <c r="AB905" s="53" t="str">
        <f t="shared" si="201"/>
        <v/>
      </c>
      <c r="AC905" s="48" t="str">
        <f t="shared" si="202"/>
        <v/>
      </c>
      <c r="AD905" s="54" t="str">
        <f t="shared" si="203"/>
        <v/>
      </c>
      <c r="AE905" s="55">
        <f t="shared" si="204"/>
        <v>0</v>
      </c>
      <c r="AF905" s="55">
        <f t="shared" si="205"/>
        <v>0</v>
      </c>
      <c r="AG905" s="58">
        <f t="shared" si="206"/>
        <v>0</v>
      </c>
      <c r="AH905" s="47"/>
      <c r="AJ905" s="47"/>
      <c r="AL905" s="47"/>
      <c r="AM905" s="47" t="str">
        <f t="shared" si="207"/>
        <v/>
      </c>
    </row>
    <row r="906" spans="1:39" s="56" customFormat="1" ht="24.75" customHeight="1">
      <c r="A906" s="44"/>
      <c r="B906" s="45"/>
      <c r="C906" s="46">
        <f>IF(B906&lt;&gt;"",VLOOKUP(B906,'Tipo Projeto'!$A$3:$B$35,2,0),0)</f>
        <v>0</v>
      </c>
      <c r="D906" s="47"/>
      <c r="E906" s="47"/>
      <c r="F906" s="48"/>
      <c r="G906" s="47"/>
      <c r="H906" s="49"/>
      <c r="I906" s="50"/>
      <c r="J906" s="51"/>
      <c r="K906" s="52"/>
      <c r="L906" s="53" t="str">
        <f t="shared" si="195"/>
        <v/>
      </c>
      <c r="M906" s="48" t="str">
        <f t="shared" si="196"/>
        <v/>
      </c>
      <c r="N906" s="54" t="str">
        <f t="shared" si="197"/>
        <v/>
      </c>
      <c r="O906" s="55">
        <f t="shared" si="198"/>
        <v>0</v>
      </c>
      <c r="P906" s="55">
        <f t="shared" si="199"/>
        <v>0</v>
      </c>
      <c r="Q906" s="54">
        <f t="shared" si="200"/>
        <v>0</v>
      </c>
      <c r="R906" s="47"/>
      <c r="T906" s="57"/>
      <c r="U906" s="45"/>
      <c r="V906" s="46">
        <f>IF(U906&lt;&gt;"",VLOOKUP(U906,'Tipo Projeto'!$A$3:$B$35,2,0),0)</f>
        <v>0</v>
      </c>
      <c r="W906" s="47"/>
      <c r="X906" s="49"/>
      <c r="Y906" s="50"/>
      <c r="Z906" s="51"/>
      <c r="AA906" s="52"/>
      <c r="AB906" s="53" t="str">
        <f t="shared" si="201"/>
        <v/>
      </c>
      <c r="AC906" s="48" t="str">
        <f t="shared" si="202"/>
        <v/>
      </c>
      <c r="AD906" s="54" t="str">
        <f t="shared" si="203"/>
        <v/>
      </c>
      <c r="AE906" s="55">
        <f t="shared" si="204"/>
        <v>0</v>
      </c>
      <c r="AF906" s="55">
        <f t="shared" si="205"/>
        <v>0</v>
      </c>
      <c r="AG906" s="58">
        <f t="shared" si="206"/>
        <v>0</v>
      </c>
      <c r="AH906" s="47"/>
      <c r="AJ906" s="47"/>
      <c r="AL906" s="47"/>
      <c r="AM906" s="47" t="str">
        <f t="shared" si="207"/>
        <v/>
      </c>
    </row>
    <row r="907" spans="1:39" s="56" customFormat="1" ht="24.75" customHeight="1">
      <c r="A907" s="44"/>
      <c r="B907" s="45"/>
      <c r="C907" s="46">
        <f>IF(B907&lt;&gt;"",VLOOKUP(B907,'Tipo Projeto'!$A$3:$B$35,2,0),0)</f>
        <v>0</v>
      </c>
      <c r="D907" s="47"/>
      <c r="E907" s="47"/>
      <c r="F907" s="48"/>
      <c r="G907" s="47"/>
      <c r="H907" s="49"/>
      <c r="I907" s="50"/>
      <c r="J907" s="51"/>
      <c r="K907" s="52"/>
      <c r="L907" s="53" t="str">
        <f t="shared" si="195"/>
        <v/>
      </c>
      <c r="M907" s="48" t="str">
        <f t="shared" si="196"/>
        <v/>
      </c>
      <c r="N907" s="54" t="str">
        <f t="shared" si="197"/>
        <v/>
      </c>
      <c r="O907" s="55">
        <f t="shared" si="198"/>
        <v>0</v>
      </c>
      <c r="P907" s="55">
        <f t="shared" si="199"/>
        <v>0</v>
      </c>
      <c r="Q907" s="54">
        <f t="shared" si="200"/>
        <v>0</v>
      </c>
      <c r="R907" s="47"/>
      <c r="T907" s="57"/>
      <c r="U907" s="45"/>
      <c r="V907" s="46">
        <f>IF(U907&lt;&gt;"",VLOOKUP(U907,'Tipo Projeto'!$A$3:$B$35,2,0),0)</f>
        <v>0</v>
      </c>
      <c r="W907" s="47"/>
      <c r="X907" s="49"/>
      <c r="Y907" s="50"/>
      <c r="Z907" s="51"/>
      <c r="AA907" s="52"/>
      <c r="AB907" s="53" t="str">
        <f t="shared" si="201"/>
        <v/>
      </c>
      <c r="AC907" s="48" t="str">
        <f t="shared" si="202"/>
        <v/>
      </c>
      <c r="AD907" s="54" t="str">
        <f t="shared" si="203"/>
        <v/>
      </c>
      <c r="AE907" s="55">
        <f t="shared" si="204"/>
        <v>0</v>
      </c>
      <c r="AF907" s="55">
        <f t="shared" si="205"/>
        <v>0</v>
      </c>
      <c r="AG907" s="58">
        <f t="shared" si="206"/>
        <v>0</v>
      </c>
      <c r="AH907" s="47"/>
      <c r="AJ907" s="47"/>
      <c r="AL907" s="47"/>
      <c r="AM907" s="47" t="str">
        <f t="shared" si="207"/>
        <v/>
      </c>
    </row>
    <row r="908" spans="1:39" s="56" customFormat="1" ht="24.75" customHeight="1">
      <c r="A908" s="44"/>
      <c r="B908" s="45"/>
      <c r="C908" s="46">
        <f>IF(B908&lt;&gt;"",VLOOKUP(B908,'Tipo Projeto'!$A$3:$B$35,2,0),0)</f>
        <v>0</v>
      </c>
      <c r="D908" s="47"/>
      <c r="E908" s="47"/>
      <c r="F908" s="48"/>
      <c r="G908" s="47"/>
      <c r="H908" s="49"/>
      <c r="I908" s="50"/>
      <c r="J908" s="51"/>
      <c r="K908" s="52"/>
      <c r="L908" s="53" t="str">
        <f t="shared" si="195"/>
        <v/>
      </c>
      <c r="M908" s="48" t="str">
        <f t="shared" si="196"/>
        <v/>
      </c>
      <c r="N908" s="54" t="str">
        <f t="shared" si="197"/>
        <v/>
      </c>
      <c r="O908" s="55">
        <f t="shared" si="198"/>
        <v>0</v>
      </c>
      <c r="P908" s="55">
        <f t="shared" si="199"/>
        <v>0</v>
      </c>
      <c r="Q908" s="54">
        <f t="shared" si="200"/>
        <v>0</v>
      </c>
      <c r="R908" s="47"/>
      <c r="T908" s="57"/>
      <c r="U908" s="45"/>
      <c r="V908" s="46">
        <f>IF(U908&lt;&gt;"",VLOOKUP(U908,'Tipo Projeto'!$A$3:$B$35,2,0),0)</f>
        <v>0</v>
      </c>
      <c r="W908" s="47"/>
      <c r="X908" s="49"/>
      <c r="Y908" s="50"/>
      <c r="Z908" s="51"/>
      <c r="AA908" s="52"/>
      <c r="AB908" s="53" t="str">
        <f t="shared" si="201"/>
        <v/>
      </c>
      <c r="AC908" s="48" t="str">
        <f t="shared" si="202"/>
        <v/>
      </c>
      <c r="AD908" s="54" t="str">
        <f t="shared" si="203"/>
        <v/>
      </c>
      <c r="AE908" s="55">
        <f t="shared" si="204"/>
        <v>0</v>
      </c>
      <c r="AF908" s="55">
        <f t="shared" si="205"/>
        <v>0</v>
      </c>
      <c r="AG908" s="58">
        <f t="shared" si="206"/>
        <v>0</v>
      </c>
      <c r="AH908" s="47"/>
      <c r="AJ908" s="47"/>
      <c r="AL908" s="47"/>
      <c r="AM908" s="47" t="str">
        <f t="shared" si="207"/>
        <v/>
      </c>
    </row>
    <row r="909" spans="1:39" s="56" customFormat="1" ht="24.75" customHeight="1">
      <c r="A909" s="44"/>
      <c r="B909" s="45"/>
      <c r="C909" s="46">
        <f>IF(B909&lt;&gt;"",VLOOKUP(B909,'Tipo Projeto'!$A$3:$B$35,2,0),0)</f>
        <v>0</v>
      </c>
      <c r="D909" s="47"/>
      <c r="E909" s="47"/>
      <c r="F909" s="48"/>
      <c r="G909" s="47"/>
      <c r="H909" s="49"/>
      <c r="I909" s="50"/>
      <c r="J909" s="51"/>
      <c r="K909" s="52"/>
      <c r="L909" s="53" t="str">
        <f t="shared" si="195"/>
        <v/>
      </c>
      <c r="M909" s="48" t="str">
        <f t="shared" si="196"/>
        <v/>
      </c>
      <c r="N909" s="54" t="str">
        <f t="shared" si="197"/>
        <v/>
      </c>
      <c r="O909" s="55">
        <f t="shared" si="198"/>
        <v>0</v>
      </c>
      <c r="P909" s="55">
        <f t="shared" si="199"/>
        <v>0</v>
      </c>
      <c r="Q909" s="54">
        <f t="shared" si="200"/>
        <v>0</v>
      </c>
      <c r="R909" s="47"/>
      <c r="T909" s="57"/>
      <c r="U909" s="45"/>
      <c r="V909" s="46">
        <f>IF(U909&lt;&gt;"",VLOOKUP(U909,'Tipo Projeto'!$A$3:$B$35,2,0),0)</f>
        <v>0</v>
      </c>
      <c r="W909" s="47"/>
      <c r="X909" s="49"/>
      <c r="Y909" s="50"/>
      <c r="Z909" s="51"/>
      <c r="AA909" s="52"/>
      <c r="AB909" s="53" t="str">
        <f t="shared" si="201"/>
        <v/>
      </c>
      <c r="AC909" s="48" t="str">
        <f t="shared" si="202"/>
        <v/>
      </c>
      <c r="AD909" s="54" t="str">
        <f t="shared" si="203"/>
        <v/>
      </c>
      <c r="AE909" s="55">
        <f t="shared" si="204"/>
        <v>0</v>
      </c>
      <c r="AF909" s="55">
        <f t="shared" si="205"/>
        <v>0</v>
      </c>
      <c r="AG909" s="58">
        <f t="shared" si="206"/>
        <v>0</v>
      </c>
      <c r="AH909" s="47"/>
      <c r="AJ909" s="47"/>
      <c r="AL909" s="47"/>
      <c r="AM909" s="47" t="str">
        <f t="shared" si="207"/>
        <v/>
      </c>
    </row>
    <row r="910" spans="1:39" s="56" customFormat="1" ht="24.75" customHeight="1">
      <c r="A910" s="44"/>
      <c r="B910" s="45"/>
      <c r="C910" s="46">
        <f>IF(B910&lt;&gt;"",VLOOKUP(B910,'Tipo Projeto'!$A$3:$B$35,2,0),0)</f>
        <v>0</v>
      </c>
      <c r="D910" s="47"/>
      <c r="E910" s="47"/>
      <c r="F910" s="48"/>
      <c r="G910" s="47"/>
      <c r="H910" s="49"/>
      <c r="I910" s="50"/>
      <c r="J910" s="51"/>
      <c r="K910" s="52"/>
      <c r="L910" s="53" t="str">
        <f t="shared" si="195"/>
        <v/>
      </c>
      <c r="M910" s="48" t="str">
        <f t="shared" si="196"/>
        <v/>
      </c>
      <c r="N910" s="54" t="str">
        <f t="shared" si="197"/>
        <v/>
      </c>
      <c r="O910" s="55">
        <f t="shared" si="198"/>
        <v>0</v>
      </c>
      <c r="P910" s="55">
        <f t="shared" si="199"/>
        <v>0</v>
      </c>
      <c r="Q910" s="54">
        <f t="shared" si="200"/>
        <v>0</v>
      </c>
      <c r="R910" s="47"/>
      <c r="T910" s="57"/>
      <c r="U910" s="45"/>
      <c r="V910" s="46">
        <f>IF(U910&lt;&gt;"",VLOOKUP(U910,'Tipo Projeto'!$A$3:$B$35,2,0),0)</f>
        <v>0</v>
      </c>
      <c r="W910" s="47"/>
      <c r="X910" s="49"/>
      <c r="Y910" s="50"/>
      <c r="Z910" s="51"/>
      <c r="AA910" s="52"/>
      <c r="AB910" s="53" t="str">
        <f t="shared" si="201"/>
        <v/>
      </c>
      <c r="AC910" s="48" t="str">
        <f t="shared" si="202"/>
        <v/>
      </c>
      <c r="AD910" s="54" t="str">
        <f t="shared" si="203"/>
        <v/>
      </c>
      <c r="AE910" s="55">
        <f t="shared" si="204"/>
        <v>0</v>
      </c>
      <c r="AF910" s="55">
        <f t="shared" si="205"/>
        <v>0</v>
      </c>
      <c r="AG910" s="58">
        <f t="shared" si="206"/>
        <v>0</v>
      </c>
      <c r="AH910" s="47"/>
      <c r="AJ910" s="47"/>
      <c r="AL910" s="47"/>
      <c r="AM910" s="47" t="str">
        <f t="shared" si="207"/>
        <v/>
      </c>
    </row>
    <row r="911" spans="1:39" s="56" customFormat="1" ht="24.75" customHeight="1">
      <c r="A911" s="44"/>
      <c r="B911" s="45"/>
      <c r="C911" s="46">
        <f>IF(B911&lt;&gt;"",VLOOKUP(B911,'Tipo Projeto'!$A$3:$B$35,2,0),0)</f>
        <v>0</v>
      </c>
      <c r="D911" s="47"/>
      <c r="E911" s="47"/>
      <c r="F911" s="48"/>
      <c r="G911" s="47"/>
      <c r="H911" s="49"/>
      <c r="I911" s="50"/>
      <c r="J911" s="51"/>
      <c r="K911" s="52"/>
      <c r="L911" s="53" t="str">
        <f t="shared" si="195"/>
        <v/>
      </c>
      <c r="M911" s="48" t="str">
        <f t="shared" si="196"/>
        <v/>
      </c>
      <c r="N911" s="54" t="str">
        <f t="shared" si="197"/>
        <v/>
      </c>
      <c r="O911" s="55">
        <f t="shared" si="198"/>
        <v>0</v>
      </c>
      <c r="P911" s="55">
        <f t="shared" si="199"/>
        <v>0</v>
      </c>
      <c r="Q911" s="54">
        <f t="shared" si="200"/>
        <v>0</v>
      </c>
      <c r="R911" s="47"/>
      <c r="T911" s="57"/>
      <c r="U911" s="45"/>
      <c r="V911" s="46">
        <f>IF(U911&lt;&gt;"",VLOOKUP(U911,'Tipo Projeto'!$A$3:$B$35,2,0),0)</f>
        <v>0</v>
      </c>
      <c r="W911" s="47"/>
      <c r="X911" s="49"/>
      <c r="Y911" s="50"/>
      <c r="Z911" s="51"/>
      <c r="AA911" s="52"/>
      <c r="AB911" s="53" t="str">
        <f t="shared" si="201"/>
        <v/>
      </c>
      <c r="AC911" s="48" t="str">
        <f t="shared" si="202"/>
        <v/>
      </c>
      <c r="AD911" s="54" t="str">
        <f t="shared" si="203"/>
        <v/>
      </c>
      <c r="AE911" s="55">
        <f t="shared" si="204"/>
        <v>0</v>
      </c>
      <c r="AF911" s="55">
        <f t="shared" si="205"/>
        <v>0</v>
      </c>
      <c r="AG911" s="58">
        <f t="shared" si="206"/>
        <v>0</v>
      </c>
      <c r="AH911" s="47"/>
      <c r="AJ911" s="47"/>
      <c r="AL911" s="47"/>
      <c r="AM911" s="47" t="str">
        <f t="shared" si="207"/>
        <v/>
      </c>
    </row>
    <row r="912" spans="1:39" s="56" customFormat="1" ht="24.75" customHeight="1">
      <c r="A912" s="44"/>
      <c r="B912" s="45"/>
      <c r="C912" s="46">
        <f>IF(B912&lt;&gt;"",VLOOKUP(B912,'Tipo Projeto'!$A$3:$B$35,2,0),0)</f>
        <v>0</v>
      </c>
      <c r="D912" s="47"/>
      <c r="E912" s="47"/>
      <c r="F912" s="48"/>
      <c r="G912" s="47"/>
      <c r="H912" s="49"/>
      <c r="I912" s="50"/>
      <c r="J912" s="51"/>
      <c r="K912" s="52"/>
      <c r="L912" s="53" t="str">
        <f t="shared" si="195"/>
        <v/>
      </c>
      <c r="M912" s="48" t="str">
        <f t="shared" si="196"/>
        <v/>
      </c>
      <c r="N912" s="54" t="str">
        <f t="shared" si="197"/>
        <v/>
      </c>
      <c r="O912" s="55">
        <f t="shared" si="198"/>
        <v>0</v>
      </c>
      <c r="P912" s="55">
        <f t="shared" si="199"/>
        <v>0</v>
      </c>
      <c r="Q912" s="54">
        <f t="shared" si="200"/>
        <v>0</v>
      </c>
      <c r="R912" s="47"/>
      <c r="T912" s="57"/>
      <c r="U912" s="45"/>
      <c r="V912" s="46">
        <f>IF(U912&lt;&gt;"",VLOOKUP(U912,'Tipo Projeto'!$A$3:$B$35,2,0),0)</f>
        <v>0</v>
      </c>
      <c r="W912" s="47"/>
      <c r="X912" s="49"/>
      <c r="Y912" s="50"/>
      <c r="Z912" s="51"/>
      <c r="AA912" s="52"/>
      <c r="AB912" s="53" t="str">
        <f t="shared" si="201"/>
        <v/>
      </c>
      <c r="AC912" s="48" t="str">
        <f t="shared" si="202"/>
        <v/>
      </c>
      <c r="AD912" s="54" t="str">
        <f t="shared" si="203"/>
        <v/>
      </c>
      <c r="AE912" s="55">
        <f t="shared" si="204"/>
        <v>0</v>
      </c>
      <c r="AF912" s="55">
        <f t="shared" si="205"/>
        <v>0</v>
      </c>
      <c r="AG912" s="58">
        <f t="shared" si="206"/>
        <v>0</v>
      </c>
      <c r="AH912" s="47"/>
      <c r="AJ912" s="47"/>
      <c r="AL912" s="47"/>
      <c r="AM912" s="47" t="str">
        <f t="shared" si="207"/>
        <v/>
      </c>
    </row>
    <row r="913" spans="1:39" s="56" customFormat="1" ht="24.75" customHeight="1">
      <c r="A913" s="44"/>
      <c r="B913" s="45"/>
      <c r="C913" s="46">
        <f>IF(B913&lt;&gt;"",VLOOKUP(B913,'Tipo Projeto'!$A$3:$B$35,2,0),0)</f>
        <v>0</v>
      </c>
      <c r="D913" s="47"/>
      <c r="E913" s="47"/>
      <c r="F913" s="48"/>
      <c r="G913" s="47"/>
      <c r="H913" s="49"/>
      <c r="I913" s="50"/>
      <c r="J913" s="51"/>
      <c r="K913" s="52"/>
      <c r="L913" s="53" t="str">
        <f t="shared" si="195"/>
        <v/>
      </c>
      <c r="M913" s="48" t="str">
        <f t="shared" si="196"/>
        <v/>
      </c>
      <c r="N913" s="54" t="str">
        <f t="shared" si="197"/>
        <v/>
      </c>
      <c r="O913" s="55">
        <f t="shared" si="198"/>
        <v>0</v>
      </c>
      <c r="P913" s="55">
        <f t="shared" si="199"/>
        <v>0</v>
      </c>
      <c r="Q913" s="54">
        <f t="shared" si="200"/>
        <v>0</v>
      </c>
      <c r="R913" s="47"/>
      <c r="T913" s="57"/>
      <c r="U913" s="45"/>
      <c r="V913" s="46">
        <f>IF(U913&lt;&gt;"",VLOOKUP(U913,'Tipo Projeto'!$A$3:$B$35,2,0),0)</f>
        <v>0</v>
      </c>
      <c r="W913" s="47"/>
      <c r="X913" s="49"/>
      <c r="Y913" s="50"/>
      <c r="Z913" s="51"/>
      <c r="AA913" s="52"/>
      <c r="AB913" s="53" t="str">
        <f t="shared" si="201"/>
        <v/>
      </c>
      <c r="AC913" s="48" t="str">
        <f t="shared" si="202"/>
        <v/>
      </c>
      <c r="AD913" s="54" t="str">
        <f t="shared" si="203"/>
        <v/>
      </c>
      <c r="AE913" s="55">
        <f t="shared" si="204"/>
        <v>0</v>
      </c>
      <c r="AF913" s="55">
        <f t="shared" si="205"/>
        <v>0</v>
      </c>
      <c r="AG913" s="58">
        <f t="shared" si="206"/>
        <v>0</v>
      </c>
      <c r="AH913" s="47"/>
      <c r="AJ913" s="47"/>
      <c r="AL913" s="47"/>
      <c r="AM913" s="47" t="str">
        <f t="shared" si="207"/>
        <v/>
      </c>
    </row>
    <row r="914" spans="1:39" s="56" customFormat="1" ht="24.75" customHeight="1">
      <c r="A914" s="44"/>
      <c r="B914" s="45"/>
      <c r="C914" s="46">
        <f>IF(B914&lt;&gt;"",VLOOKUP(B914,'Tipo Projeto'!$A$3:$B$35,2,0),0)</f>
        <v>0</v>
      </c>
      <c r="D914" s="47"/>
      <c r="E914" s="47"/>
      <c r="F914" s="48"/>
      <c r="G914" s="47"/>
      <c r="H914" s="49"/>
      <c r="I914" s="50"/>
      <c r="J914" s="51"/>
      <c r="K914" s="52"/>
      <c r="L914" s="53" t="str">
        <f t="shared" si="195"/>
        <v/>
      </c>
      <c r="M914" s="48" t="str">
        <f t="shared" si="196"/>
        <v/>
      </c>
      <c r="N914" s="54" t="str">
        <f t="shared" si="197"/>
        <v/>
      </c>
      <c r="O914" s="55">
        <f t="shared" si="198"/>
        <v>0</v>
      </c>
      <c r="P914" s="55">
        <f t="shared" si="199"/>
        <v>0</v>
      </c>
      <c r="Q914" s="54">
        <f t="shared" si="200"/>
        <v>0</v>
      </c>
      <c r="R914" s="47"/>
      <c r="T914" s="57"/>
      <c r="U914" s="45"/>
      <c r="V914" s="46">
        <f>IF(U914&lt;&gt;"",VLOOKUP(U914,'Tipo Projeto'!$A$3:$B$35,2,0),0)</f>
        <v>0</v>
      </c>
      <c r="W914" s="47"/>
      <c r="X914" s="49"/>
      <c r="Y914" s="50"/>
      <c r="Z914" s="51"/>
      <c r="AA914" s="52"/>
      <c r="AB914" s="53" t="str">
        <f t="shared" si="201"/>
        <v/>
      </c>
      <c r="AC914" s="48" t="str">
        <f t="shared" si="202"/>
        <v/>
      </c>
      <c r="AD914" s="54" t="str">
        <f t="shared" si="203"/>
        <v/>
      </c>
      <c r="AE914" s="55">
        <f t="shared" si="204"/>
        <v>0</v>
      </c>
      <c r="AF914" s="55">
        <f t="shared" si="205"/>
        <v>0</v>
      </c>
      <c r="AG914" s="58">
        <f t="shared" si="206"/>
        <v>0</v>
      </c>
      <c r="AH914" s="47"/>
      <c r="AJ914" s="47"/>
      <c r="AL914" s="47"/>
      <c r="AM914" s="47" t="str">
        <f t="shared" si="207"/>
        <v/>
      </c>
    </row>
    <row r="915" spans="1:39" s="56" customFormat="1" ht="24.75" customHeight="1">
      <c r="A915" s="44"/>
      <c r="B915" s="45"/>
      <c r="C915" s="46">
        <f>IF(B915&lt;&gt;"",VLOOKUP(B915,'Tipo Projeto'!$A$3:$B$35,2,0),0)</f>
        <v>0</v>
      </c>
      <c r="D915" s="47"/>
      <c r="E915" s="47"/>
      <c r="F915" s="48"/>
      <c r="G915" s="47"/>
      <c r="H915" s="49"/>
      <c r="I915" s="50"/>
      <c r="J915" s="51"/>
      <c r="K915" s="52"/>
      <c r="L915" s="53" t="str">
        <f t="shared" si="195"/>
        <v/>
      </c>
      <c r="M915" s="48" t="str">
        <f t="shared" si="196"/>
        <v/>
      </c>
      <c r="N915" s="54" t="str">
        <f t="shared" si="197"/>
        <v/>
      </c>
      <c r="O915" s="55">
        <f t="shared" si="198"/>
        <v>0</v>
      </c>
      <c r="P915" s="55">
        <f t="shared" si="199"/>
        <v>0</v>
      </c>
      <c r="Q915" s="54">
        <f t="shared" si="200"/>
        <v>0</v>
      </c>
      <c r="R915" s="47"/>
      <c r="T915" s="57"/>
      <c r="U915" s="45"/>
      <c r="V915" s="46">
        <f>IF(U915&lt;&gt;"",VLOOKUP(U915,'Tipo Projeto'!$A$3:$B$35,2,0),0)</f>
        <v>0</v>
      </c>
      <c r="W915" s="47"/>
      <c r="X915" s="49"/>
      <c r="Y915" s="50"/>
      <c r="Z915" s="51"/>
      <c r="AA915" s="52"/>
      <c r="AB915" s="53" t="str">
        <f t="shared" si="201"/>
        <v/>
      </c>
      <c r="AC915" s="48" t="str">
        <f t="shared" si="202"/>
        <v/>
      </c>
      <c r="AD915" s="54" t="str">
        <f t="shared" si="203"/>
        <v/>
      </c>
      <c r="AE915" s="55">
        <f t="shared" si="204"/>
        <v>0</v>
      </c>
      <c r="AF915" s="55">
        <f t="shared" si="205"/>
        <v>0</v>
      </c>
      <c r="AG915" s="58">
        <f t="shared" si="206"/>
        <v>0</v>
      </c>
      <c r="AH915" s="47"/>
      <c r="AJ915" s="47"/>
      <c r="AL915" s="47"/>
      <c r="AM915" s="47" t="str">
        <f t="shared" si="207"/>
        <v/>
      </c>
    </row>
    <row r="916" spans="1:39" s="56" customFormat="1" ht="24.75" customHeight="1">
      <c r="A916" s="44"/>
      <c r="B916" s="45"/>
      <c r="C916" s="46">
        <f>IF(B916&lt;&gt;"",VLOOKUP(B916,'Tipo Projeto'!$A$3:$B$35,2,0),0)</f>
        <v>0</v>
      </c>
      <c r="D916" s="47"/>
      <c r="E916" s="47"/>
      <c r="F916" s="48"/>
      <c r="G916" s="47"/>
      <c r="H916" s="49"/>
      <c r="I916" s="50"/>
      <c r="J916" s="51"/>
      <c r="K916" s="52"/>
      <c r="L916" s="53" t="str">
        <f t="shared" si="195"/>
        <v/>
      </c>
      <c r="M916" s="48" t="str">
        <f t="shared" si="196"/>
        <v/>
      </c>
      <c r="N916" s="54" t="str">
        <f t="shared" si="197"/>
        <v/>
      </c>
      <c r="O916" s="55">
        <f t="shared" si="198"/>
        <v>0</v>
      </c>
      <c r="P916" s="55">
        <f t="shared" si="199"/>
        <v>0</v>
      </c>
      <c r="Q916" s="54">
        <f t="shared" si="200"/>
        <v>0</v>
      </c>
      <c r="R916" s="47"/>
      <c r="T916" s="57"/>
      <c r="U916" s="45"/>
      <c r="V916" s="46">
        <f>IF(U916&lt;&gt;"",VLOOKUP(U916,'Tipo Projeto'!$A$3:$B$35,2,0),0)</f>
        <v>0</v>
      </c>
      <c r="W916" s="47"/>
      <c r="X916" s="49"/>
      <c r="Y916" s="50"/>
      <c r="Z916" s="51"/>
      <c r="AA916" s="52"/>
      <c r="AB916" s="53" t="str">
        <f t="shared" si="201"/>
        <v/>
      </c>
      <c r="AC916" s="48" t="str">
        <f t="shared" si="202"/>
        <v/>
      </c>
      <c r="AD916" s="54" t="str">
        <f t="shared" si="203"/>
        <v/>
      </c>
      <c r="AE916" s="55">
        <f t="shared" si="204"/>
        <v>0</v>
      </c>
      <c r="AF916" s="55">
        <f t="shared" si="205"/>
        <v>0</v>
      </c>
      <c r="AG916" s="58">
        <f t="shared" si="206"/>
        <v>0</v>
      </c>
      <c r="AH916" s="47"/>
      <c r="AJ916" s="47"/>
      <c r="AL916" s="47"/>
      <c r="AM916" s="47" t="str">
        <f t="shared" si="207"/>
        <v/>
      </c>
    </row>
    <row r="917" spans="1:39" s="56" customFormat="1" ht="24.75" customHeight="1">
      <c r="A917" s="44"/>
      <c r="B917" s="45"/>
      <c r="C917" s="46">
        <f>IF(B917&lt;&gt;"",VLOOKUP(B917,'Tipo Projeto'!$A$3:$B$35,2,0),0)</f>
        <v>0</v>
      </c>
      <c r="D917" s="47"/>
      <c r="E917" s="47"/>
      <c r="F917" s="48"/>
      <c r="G917" s="47"/>
      <c r="H917" s="49"/>
      <c r="I917" s="50"/>
      <c r="J917" s="51"/>
      <c r="K917" s="52"/>
      <c r="L917" s="53" t="str">
        <f t="shared" si="195"/>
        <v/>
      </c>
      <c r="M917" s="48" t="str">
        <f t="shared" si="196"/>
        <v/>
      </c>
      <c r="N917" s="54" t="str">
        <f t="shared" si="197"/>
        <v/>
      </c>
      <c r="O917" s="55">
        <f t="shared" si="198"/>
        <v>0</v>
      </c>
      <c r="P917" s="55">
        <f t="shared" si="199"/>
        <v>0</v>
      </c>
      <c r="Q917" s="54">
        <f t="shared" si="200"/>
        <v>0</v>
      </c>
      <c r="R917" s="47"/>
      <c r="T917" s="57"/>
      <c r="U917" s="45"/>
      <c r="V917" s="46">
        <f>IF(U917&lt;&gt;"",VLOOKUP(U917,'Tipo Projeto'!$A$3:$B$35,2,0),0)</f>
        <v>0</v>
      </c>
      <c r="W917" s="47"/>
      <c r="X917" s="49"/>
      <c r="Y917" s="50"/>
      <c r="Z917" s="51"/>
      <c r="AA917" s="52"/>
      <c r="AB917" s="53" t="str">
        <f t="shared" si="201"/>
        <v/>
      </c>
      <c r="AC917" s="48" t="str">
        <f t="shared" si="202"/>
        <v/>
      </c>
      <c r="AD917" s="54" t="str">
        <f t="shared" si="203"/>
        <v/>
      </c>
      <c r="AE917" s="55">
        <f t="shared" si="204"/>
        <v>0</v>
      </c>
      <c r="AF917" s="55">
        <f t="shared" si="205"/>
        <v>0</v>
      </c>
      <c r="AG917" s="58">
        <f t="shared" si="206"/>
        <v>0</v>
      </c>
      <c r="AH917" s="47"/>
      <c r="AJ917" s="47"/>
      <c r="AL917" s="47"/>
      <c r="AM917" s="47" t="str">
        <f t="shared" si="207"/>
        <v/>
      </c>
    </row>
    <row r="918" spans="1:39" s="56" customFormat="1" ht="24.75" customHeight="1">
      <c r="A918" s="44"/>
      <c r="B918" s="45"/>
      <c r="C918" s="46">
        <f>IF(B918&lt;&gt;"",VLOOKUP(B918,'Tipo Projeto'!$A$3:$B$35,2,0),0)</f>
        <v>0</v>
      </c>
      <c r="D918" s="47"/>
      <c r="E918" s="47"/>
      <c r="F918" s="48"/>
      <c r="G918" s="47"/>
      <c r="H918" s="49"/>
      <c r="I918" s="50"/>
      <c r="J918" s="51"/>
      <c r="K918" s="52"/>
      <c r="L918" s="53" t="str">
        <f t="shared" si="195"/>
        <v/>
      </c>
      <c r="M918" s="48" t="str">
        <f t="shared" si="196"/>
        <v/>
      </c>
      <c r="N918" s="54" t="str">
        <f t="shared" si="197"/>
        <v/>
      </c>
      <c r="O918" s="55">
        <f t="shared" si="198"/>
        <v>0</v>
      </c>
      <c r="P918" s="55">
        <f t="shared" si="199"/>
        <v>0</v>
      </c>
      <c r="Q918" s="54">
        <f t="shared" si="200"/>
        <v>0</v>
      </c>
      <c r="R918" s="47"/>
      <c r="T918" s="57"/>
      <c r="U918" s="45"/>
      <c r="V918" s="46">
        <f>IF(U918&lt;&gt;"",VLOOKUP(U918,'Tipo Projeto'!$A$3:$B$35,2,0),0)</f>
        <v>0</v>
      </c>
      <c r="W918" s="47"/>
      <c r="X918" s="49"/>
      <c r="Y918" s="50"/>
      <c r="Z918" s="51"/>
      <c r="AA918" s="52"/>
      <c r="AB918" s="53" t="str">
        <f t="shared" si="201"/>
        <v/>
      </c>
      <c r="AC918" s="48" t="str">
        <f t="shared" si="202"/>
        <v/>
      </c>
      <c r="AD918" s="54" t="str">
        <f t="shared" si="203"/>
        <v/>
      </c>
      <c r="AE918" s="55">
        <f t="shared" si="204"/>
        <v>0</v>
      </c>
      <c r="AF918" s="55">
        <f t="shared" si="205"/>
        <v>0</v>
      </c>
      <c r="AG918" s="58">
        <f t="shared" si="206"/>
        <v>0</v>
      </c>
      <c r="AH918" s="47"/>
      <c r="AJ918" s="47"/>
      <c r="AL918" s="47"/>
      <c r="AM918" s="47" t="str">
        <f t="shared" si="207"/>
        <v/>
      </c>
    </row>
    <row r="919" spans="1:39" s="56" customFormat="1" ht="24.75" customHeight="1">
      <c r="A919" s="44"/>
      <c r="B919" s="45"/>
      <c r="C919" s="46">
        <f>IF(B919&lt;&gt;"",VLOOKUP(B919,'Tipo Projeto'!$A$3:$B$35,2,0),0)</f>
        <v>0</v>
      </c>
      <c r="D919" s="47"/>
      <c r="E919" s="47"/>
      <c r="F919" s="48"/>
      <c r="G919" s="47"/>
      <c r="H919" s="49"/>
      <c r="I919" s="50"/>
      <c r="J919" s="51"/>
      <c r="K919" s="52"/>
      <c r="L919" s="53" t="str">
        <f t="shared" si="195"/>
        <v/>
      </c>
      <c r="M919" s="48" t="str">
        <f t="shared" si="196"/>
        <v/>
      </c>
      <c r="N919" s="54" t="str">
        <f t="shared" si="197"/>
        <v/>
      </c>
      <c r="O919" s="55">
        <f t="shared" si="198"/>
        <v>0</v>
      </c>
      <c r="P919" s="55">
        <f t="shared" si="199"/>
        <v>0</v>
      </c>
      <c r="Q919" s="54">
        <f t="shared" si="200"/>
        <v>0</v>
      </c>
      <c r="R919" s="47"/>
      <c r="T919" s="57"/>
      <c r="U919" s="45"/>
      <c r="V919" s="46">
        <f>IF(U919&lt;&gt;"",VLOOKUP(U919,'Tipo Projeto'!$A$3:$B$35,2,0),0)</f>
        <v>0</v>
      </c>
      <c r="W919" s="47"/>
      <c r="X919" s="49"/>
      <c r="Y919" s="50"/>
      <c r="Z919" s="51"/>
      <c r="AA919" s="52"/>
      <c r="AB919" s="53" t="str">
        <f t="shared" si="201"/>
        <v/>
      </c>
      <c r="AC919" s="48" t="str">
        <f t="shared" si="202"/>
        <v/>
      </c>
      <c r="AD919" s="54" t="str">
        <f t="shared" si="203"/>
        <v/>
      </c>
      <c r="AE919" s="55">
        <f t="shared" si="204"/>
        <v>0</v>
      </c>
      <c r="AF919" s="55">
        <f t="shared" si="205"/>
        <v>0</v>
      </c>
      <c r="AG919" s="58">
        <f t="shared" si="206"/>
        <v>0</v>
      </c>
      <c r="AH919" s="47"/>
      <c r="AJ919" s="47"/>
      <c r="AL919" s="47"/>
      <c r="AM919" s="47" t="str">
        <f t="shared" si="207"/>
        <v/>
      </c>
    </row>
    <row r="920" spans="1:39" s="56" customFormat="1" ht="24.75" customHeight="1">
      <c r="A920" s="44"/>
      <c r="B920" s="45"/>
      <c r="C920" s="46">
        <f>IF(B920&lt;&gt;"",VLOOKUP(B920,'Tipo Projeto'!$A$3:$B$35,2,0),0)</f>
        <v>0</v>
      </c>
      <c r="D920" s="47"/>
      <c r="E920" s="47"/>
      <c r="F920" s="48"/>
      <c r="G920" s="47"/>
      <c r="H920" s="49"/>
      <c r="I920" s="50"/>
      <c r="J920" s="51"/>
      <c r="K920" s="52"/>
      <c r="L920" s="53" t="str">
        <f t="shared" si="195"/>
        <v/>
      </c>
      <c r="M920" s="48" t="str">
        <f t="shared" si="196"/>
        <v/>
      </c>
      <c r="N920" s="54" t="str">
        <f t="shared" si="197"/>
        <v/>
      </c>
      <c r="O920" s="55">
        <f t="shared" si="198"/>
        <v>0</v>
      </c>
      <c r="P920" s="55">
        <f t="shared" si="199"/>
        <v>0</v>
      </c>
      <c r="Q920" s="54">
        <f t="shared" si="200"/>
        <v>0</v>
      </c>
      <c r="R920" s="47"/>
      <c r="T920" s="57"/>
      <c r="U920" s="45"/>
      <c r="V920" s="46">
        <f>IF(U920&lt;&gt;"",VLOOKUP(U920,'Tipo Projeto'!$A$3:$B$35,2,0),0)</f>
        <v>0</v>
      </c>
      <c r="W920" s="47"/>
      <c r="X920" s="49"/>
      <c r="Y920" s="50"/>
      <c r="Z920" s="51"/>
      <c r="AA920" s="52"/>
      <c r="AB920" s="53" t="str">
        <f t="shared" si="201"/>
        <v/>
      </c>
      <c r="AC920" s="48" t="str">
        <f t="shared" si="202"/>
        <v/>
      </c>
      <c r="AD920" s="54" t="str">
        <f t="shared" si="203"/>
        <v/>
      </c>
      <c r="AE920" s="55">
        <f t="shared" si="204"/>
        <v>0</v>
      </c>
      <c r="AF920" s="55">
        <f t="shared" si="205"/>
        <v>0</v>
      </c>
      <c r="AG920" s="58">
        <f t="shared" si="206"/>
        <v>0</v>
      </c>
      <c r="AH920" s="47"/>
      <c r="AJ920" s="47"/>
      <c r="AL920" s="47"/>
      <c r="AM920" s="47" t="str">
        <f t="shared" si="207"/>
        <v/>
      </c>
    </row>
    <row r="921" spans="1:39" s="56" customFormat="1" ht="24.75" customHeight="1">
      <c r="A921" s="44"/>
      <c r="B921" s="45"/>
      <c r="C921" s="46">
        <f>IF(B921&lt;&gt;"",VLOOKUP(B921,'Tipo Projeto'!$A$3:$B$35,2,0),0)</f>
        <v>0</v>
      </c>
      <c r="D921" s="47"/>
      <c r="E921" s="47"/>
      <c r="F921" s="48"/>
      <c r="G921" s="47"/>
      <c r="H921" s="49"/>
      <c r="I921" s="50"/>
      <c r="J921" s="51"/>
      <c r="K921" s="52"/>
      <c r="L921" s="53" t="str">
        <f t="shared" si="195"/>
        <v/>
      </c>
      <c r="M921" s="48" t="str">
        <f t="shared" si="196"/>
        <v/>
      </c>
      <c r="N921" s="54" t="str">
        <f t="shared" si="197"/>
        <v/>
      </c>
      <c r="O921" s="55">
        <f t="shared" si="198"/>
        <v>0</v>
      </c>
      <c r="P921" s="55">
        <f t="shared" si="199"/>
        <v>0</v>
      </c>
      <c r="Q921" s="54">
        <f t="shared" si="200"/>
        <v>0</v>
      </c>
      <c r="R921" s="47"/>
      <c r="T921" s="57"/>
      <c r="U921" s="45"/>
      <c r="V921" s="46">
        <f>IF(U921&lt;&gt;"",VLOOKUP(U921,'Tipo Projeto'!$A$3:$B$35,2,0),0)</f>
        <v>0</v>
      </c>
      <c r="W921" s="47"/>
      <c r="X921" s="49"/>
      <c r="Y921" s="50"/>
      <c r="Z921" s="51"/>
      <c r="AA921" s="52"/>
      <c r="AB921" s="53" t="str">
        <f t="shared" si="201"/>
        <v/>
      </c>
      <c r="AC921" s="48" t="str">
        <f t="shared" si="202"/>
        <v/>
      </c>
      <c r="AD921" s="54" t="str">
        <f t="shared" si="203"/>
        <v/>
      </c>
      <c r="AE921" s="55">
        <f t="shared" si="204"/>
        <v>0</v>
      </c>
      <c r="AF921" s="55">
        <f t="shared" si="205"/>
        <v>0</v>
      </c>
      <c r="AG921" s="58">
        <f t="shared" si="206"/>
        <v>0</v>
      </c>
      <c r="AH921" s="47"/>
      <c r="AJ921" s="47"/>
      <c r="AL921" s="47"/>
      <c r="AM921" s="47" t="str">
        <f t="shared" si="207"/>
        <v/>
      </c>
    </row>
    <row r="922" spans="1:39" s="56" customFormat="1" ht="24.75" customHeight="1">
      <c r="A922" s="44"/>
      <c r="B922" s="45"/>
      <c r="C922" s="46">
        <f>IF(B922&lt;&gt;"",VLOOKUP(B922,'Tipo Projeto'!$A$3:$B$35,2,0),0)</f>
        <v>0</v>
      </c>
      <c r="D922" s="47"/>
      <c r="E922" s="47"/>
      <c r="F922" s="48"/>
      <c r="G922" s="47"/>
      <c r="H922" s="49"/>
      <c r="I922" s="50"/>
      <c r="J922" s="51"/>
      <c r="K922" s="52"/>
      <c r="L922" s="53" t="str">
        <f t="shared" si="195"/>
        <v/>
      </c>
      <c r="M922" s="48" t="str">
        <f t="shared" si="196"/>
        <v/>
      </c>
      <c r="N922" s="54" t="str">
        <f t="shared" si="197"/>
        <v/>
      </c>
      <c r="O922" s="55">
        <f t="shared" si="198"/>
        <v>0</v>
      </c>
      <c r="P922" s="55">
        <f t="shared" si="199"/>
        <v>0</v>
      </c>
      <c r="Q922" s="54">
        <f t="shared" si="200"/>
        <v>0</v>
      </c>
      <c r="R922" s="47"/>
      <c r="T922" s="57"/>
      <c r="U922" s="45"/>
      <c r="V922" s="46">
        <f>IF(U922&lt;&gt;"",VLOOKUP(U922,'Tipo Projeto'!$A$3:$B$35,2,0),0)</f>
        <v>0</v>
      </c>
      <c r="W922" s="47"/>
      <c r="X922" s="49"/>
      <c r="Y922" s="50"/>
      <c r="Z922" s="51"/>
      <c r="AA922" s="52"/>
      <c r="AB922" s="53" t="str">
        <f t="shared" si="201"/>
        <v/>
      </c>
      <c r="AC922" s="48" t="str">
        <f t="shared" si="202"/>
        <v/>
      </c>
      <c r="AD922" s="54" t="str">
        <f t="shared" si="203"/>
        <v/>
      </c>
      <c r="AE922" s="55">
        <f t="shared" si="204"/>
        <v>0</v>
      </c>
      <c r="AF922" s="55">
        <f t="shared" si="205"/>
        <v>0</v>
      </c>
      <c r="AG922" s="58">
        <f t="shared" si="206"/>
        <v>0</v>
      </c>
      <c r="AH922" s="47"/>
      <c r="AJ922" s="47"/>
      <c r="AL922" s="47"/>
      <c r="AM922" s="47" t="str">
        <f t="shared" si="207"/>
        <v/>
      </c>
    </row>
    <row r="923" spans="1:39" s="56" customFormat="1" ht="24.75" customHeight="1">
      <c r="A923" s="44"/>
      <c r="B923" s="45"/>
      <c r="C923" s="46">
        <f>IF(B923&lt;&gt;"",VLOOKUP(B923,'Tipo Projeto'!$A$3:$B$35,2,0),0)</f>
        <v>0</v>
      </c>
      <c r="D923" s="47"/>
      <c r="E923" s="47"/>
      <c r="F923" s="48"/>
      <c r="G923" s="47"/>
      <c r="H923" s="49"/>
      <c r="I923" s="50"/>
      <c r="J923" s="51"/>
      <c r="K923" s="52"/>
      <c r="L923" s="53" t="str">
        <f t="shared" si="195"/>
        <v/>
      </c>
      <c r="M923" s="48" t="str">
        <f t="shared" si="196"/>
        <v/>
      </c>
      <c r="N923" s="54" t="str">
        <f t="shared" si="197"/>
        <v/>
      </c>
      <c r="O923" s="55">
        <f t="shared" si="198"/>
        <v>0</v>
      </c>
      <c r="P923" s="55">
        <f t="shared" si="199"/>
        <v>0</v>
      </c>
      <c r="Q923" s="54">
        <f t="shared" si="200"/>
        <v>0</v>
      </c>
      <c r="R923" s="47"/>
      <c r="T923" s="57"/>
      <c r="U923" s="45"/>
      <c r="V923" s="46">
        <f>IF(U923&lt;&gt;"",VLOOKUP(U923,'Tipo Projeto'!$A$3:$B$35,2,0),0)</f>
        <v>0</v>
      </c>
      <c r="W923" s="47"/>
      <c r="X923" s="49"/>
      <c r="Y923" s="50"/>
      <c r="Z923" s="51"/>
      <c r="AA923" s="52"/>
      <c r="AB923" s="53" t="str">
        <f t="shared" si="201"/>
        <v/>
      </c>
      <c r="AC923" s="48" t="str">
        <f t="shared" si="202"/>
        <v/>
      </c>
      <c r="AD923" s="54" t="str">
        <f t="shared" si="203"/>
        <v/>
      </c>
      <c r="AE923" s="55">
        <f t="shared" si="204"/>
        <v>0</v>
      </c>
      <c r="AF923" s="55">
        <f t="shared" si="205"/>
        <v>0</v>
      </c>
      <c r="AG923" s="58">
        <f t="shared" si="206"/>
        <v>0</v>
      </c>
      <c r="AH923" s="47"/>
      <c r="AJ923" s="47"/>
      <c r="AL923" s="47"/>
      <c r="AM923" s="47" t="str">
        <f t="shared" si="207"/>
        <v/>
      </c>
    </row>
    <row r="924" spans="1:39" s="56" customFormat="1" ht="24.75" customHeight="1">
      <c r="A924" s="44"/>
      <c r="B924" s="45"/>
      <c r="C924" s="46">
        <f>IF(B924&lt;&gt;"",VLOOKUP(B924,'Tipo Projeto'!$A$3:$B$35,2,0),0)</f>
        <v>0</v>
      </c>
      <c r="D924" s="47"/>
      <c r="E924" s="47"/>
      <c r="F924" s="48"/>
      <c r="G924" s="47"/>
      <c r="H924" s="49"/>
      <c r="I924" s="50"/>
      <c r="J924" s="51"/>
      <c r="K924" s="52"/>
      <c r="L924" s="53" t="str">
        <f t="shared" si="195"/>
        <v/>
      </c>
      <c r="M924" s="48" t="str">
        <f t="shared" si="196"/>
        <v/>
      </c>
      <c r="N924" s="54" t="str">
        <f t="shared" si="197"/>
        <v/>
      </c>
      <c r="O924" s="55">
        <f t="shared" si="198"/>
        <v>0</v>
      </c>
      <c r="P924" s="55">
        <f t="shared" si="199"/>
        <v>0</v>
      </c>
      <c r="Q924" s="54">
        <f t="shared" si="200"/>
        <v>0</v>
      </c>
      <c r="R924" s="47"/>
      <c r="T924" s="57"/>
      <c r="U924" s="45"/>
      <c r="V924" s="46">
        <f>IF(U924&lt;&gt;"",VLOOKUP(U924,'Tipo Projeto'!$A$3:$B$35,2,0),0)</f>
        <v>0</v>
      </c>
      <c r="W924" s="47"/>
      <c r="X924" s="49"/>
      <c r="Y924" s="50"/>
      <c r="Z924" s="51"/>
      <c r="AA924" s="52"/>
      <c r="AB924" s="53" t="str">
        <f t="shared" si="201"/>
        <v/>
      </c>
      <c r="AC924" s="48" t="str">
        <f t="shared" si="202"/>
        <v/>
      </c>
      <c r="AD924" s="54" t="str">
        <f t="shared" si="203"/>
        <v/>
      </c>
      <c r="AE924" s="55">
        <f t="shared" si="204"/>
        <v>0</v>
      </c>
      <c r="AF924" s="55">
        <f t="shared" si="205"/>
        <v>0</v>
      </c>
      <c r="AG924" s="58">
        <f t="shared" si="206"/>
        <v>0</v>
      </c>
      <c r="AH924" s="47"/>
      <c r="AJ924" s="47"/>
      <c r="AL924" s="47"/>
      <c r="AM924" s="47" t="str">
        <f t="shared" si="207"/>
        <v/>
      </c>
    </row>
    <row r="925" spans="1:39" s="56" customFormat="1" ht="24.75" customHeight="1">
      <c r="A925" s="44"/>
      <c r="B925" s="45"/>
      <c r="C925" s="46">
        <f>IF(B925&lt;&gt;"",VLOOKUP(B925,'Tipo Projeto'!$A$3:$B$35,2,0),0)</f>
        <v>0</v>
      </c>
      <c r="D925" s="47"/>
      <c r="E925" s="47"/>
      <c r="F925" s="48"/>
      <c r="G925" s="47"/>
      <c r="H925" s="49"/>
      <c r="I925" s="50"/>
      <c r="J925" s="51"/>
      <c r="K925" s="52"/>
      <c r="L925" s="53" t="str">
        <f t="shared" si="195"/>
        <v/>
      </c>
      <c r="M925" s="48" t="str">
        <f t="shared" si="196"/>
        <v/>
      </c>
      <c r="N925" s="54" t="str">
        <f t="shared" si="197"/>
        <v/>
      </c>
      <c r="O925" s="55">
        <f t="shared" si="198"/>
        <v>0</v>
      </c>
      <c r="P925" s="55">
        <f t="shared" si="199"/>
        <v>0</v>
      </c>
      <c r="Q925" s="54">
        <f t="shared" si="200"/>
        <v>0</v>
      </c>
      <c r="R925" s="47"/>
      <c r="T925" s="57"/>
      <c r="U925" s="45"/>
      <c r="V925" s="46">
        <f>IF(U925&lt;&gt;"",VLOOKUP(U925,'Tipo Projeto'!$A$3:$B$35,2,0),0)</f>
        <v>0</v>
      </c>
      <c r="W925" s="47"/>
      <c r="X925" s="49"/>
      <c r="Y925" s="50"/>
      <c r="Z925" s="51"/>
      <c r="AA925" s="52"/>
      <c r="AB925" s="53" t="str">
        <f t="shared" si="201"/>
        <v/>
      </c>
      <c r="AC925" s="48" t="str">
        <f t="shared" si="202"/>
        <v/>
      </c>
      <c r="AD925" s="54" t="str">
        <f t="shared" si="203"/>
        <v/>
      </c>
      <c r="AE925" s="55">
        <f t="shared" si="204"/>
        <v>0</v>
      </c>
      <c r="AF925" s="55">
        <f t="shared" si="205"/>
        <v>0</v>
      </c>
      <c r="AG925" s="58">
        <f t="shared" si="206"/>
        <v>0</v>
      </c>
      <c r="AH925" s="47"/>
      <c r="AJ925" s="47"/>
      <c r="AL925" s="47"/>
      <c r="AM925" s="47" t="str">
        <f t="shared" si="207"/>
        <v/>
      </c>
    </row>
    <row r="926" spans="1:39" s="56" customFormat="1" ht="24.75" customHeight="1">
      <c r="A926" s="44"/>
      <c r="B926" s="45"/>
      <c r="C926" s="46">
        <f>IF(B926&lt;&gt;"",VLOOKUP(B926,'Tipo Projeto'!$A$3:$B$35,2,0),0)</f>
        <v>0</v>
      </c>
      <c r="D926" s="47"/>
      <c r="E926" s="47"/>
      <c r="F926" s="48"/>
      <c r="G926" s="47"/>
      <c r="H926" s="49"/>
      <c r="I926" s="50"/>
      <c r="J926" s="51"/>
      <c r="K926" s="52"/>
      <c r="L926" s="53" t="str">
        <f t="shared" si="195"/>
        <v/>
      </c>
      <c r="M926" s="48" t="str">
        <f t="shared" si="196"/>
        <v/>
      </c>
      <c r="N926" s="54" t="str">
        <f t="shared" si="197"/>
        <v/>
      </c>
      <c r="O926" s="55">
        <f t="shared" si="198"/>
        <v>0</v>
      </c>
      <c r="P926" s="55">
        <f t="shared" si="199"/>
        <v>0</v>
      </c>
      <c r="Q926" s="54">
        <f t="shared" si="200"/>
        <v>0</v>
      </c>
      <c r="R926" s="47"/>
      <c r="T926" s="57"/>
      <c r="U926" s="45"/>
      <c r="V926" s="46">
        <f>IF(U926&lt;&gt;"",VLOOKUP(U926,'Tipo Projeto'!$A$3:$B$35,2,0),0)</f>
        <v>0</v>
      </c>
      <c r="W926" s="47"/>
      <c r="X926" s="49"/>
      <c r="Y926" s="50"/>
      <c r="Z926" s="51"/>
      <c r="AA926" s="52"/>
      <c r="AB926" s="53" t="str">
        <f t="shared" si="201"/>
        <v/>
      </c>
      <c r="AC926" s="48" t="str">
        <f t="shared" si="202"/>
        <v/>
      </c>
      <c r="AD926" s="54" t="str">
        <f t="shared" si="203"/>
        <v/>
      </c>
      <c r="AE926" s="55">
        <f t="shared" si="204"/>
        <v>0</v>
      </c>
      <c r="AF926" s="55">
        <f t="shared" si="205"/>
        <v>0</v>
      </c>
      <c r="AG926" s="58">
        <f t="shared" si="206"/>
        <v>0</v>
      </c>
      <c r="AH926" s="47"/>
      <c r="AJ926" s="47"/>
      <c r="AL926" s="47"/>
      <c r="AM926" s="47" t="str">
        <f t="shared" si="207"/>
        <v/>
      </c>
    </row>
    <row r="927" spans="1:39" s="56" customFormat="1" ht="24.75" customHeight="1">
      <c r="A927" s="44"/>
      <c r="B927" s="45"/>
      <c r="C927" s="46">
        <f>IF(B927&lt;&gt;"",VLOOKUP(B927,'Tipo Projeto'!$A$3:$B$35,2,0),0)</f>
        <v>0</v>
      </c>
      <c r="D927" s="47"/>
      <c r="E927" s="47"/>
      <c r="F927" s="48"/>
      <c r="G927" s="47"/>
      <c r="H927" s="49"/>
      <c r="I927" s="50"/>
      <c r="J927" s="51"/>
      <c r="K927" s="52"/>
      <c r="L927" s="53" t="str">
        <f t="shared" si="195"/>
        <v/>
      </c>
      <c r="M927" s="48" t="str">
        <f t="shared" si="196"/>
        <v/>
      </c>
      <c r="N927" s="54" t="str">
        <f t="shared" si="197"/>
        <v/>
      </c>
      <c r="O927" s="55">
        <f t="shared" si="198"/>
        <v>0</v>
      </c>
      <c r="P927" s="55">
        <f t="shared" si="199"/>
        <v>0</v>
      </c>
      <c r="Q927" s="54">
        <f t="shared" si="200"/>
        <v>0</v>
      </c>
      <c r="R927" s="47"/>
      <c r="T927" s="57"/>
      <c r="U927" s="45"/>
      <c r="V927" s="46">
        <f>IF(U927&lt;&gt;"",VLOOKUP(U927,'Tipo Projeto'!$A$3:$B$35,2,0),0)</f>
        <v>0</v>
      </c>
      <c r="W927" s="47"/>
      <c r="X927" s="49"/>
      <c r="Y927" s="50"/>
      <c r="Z927" s="51"/>
      <c r="AA927" s="52"/>
      <c r="AB927" s="53" t="str">
        <f t="shared" si="201"/>
        <v/>
      </c>
      <c r="AC927" s="48" t="str">
        <f t="shared" si="202"/>
        <v/>
      </c>
      <c r="AD927" s="54" t="str">
        <f t="shared" si="203"/>
        <v/>
      </c>
      <c r="AE927" s="55">
        <f t="shared" si="204"/>
        <v>0</v>
      </c>
      <c r="AF927" s="55">
        <f t="shared" si="205"/>
        <v>0</v>
      </c>
      <c r="AG927" s="58">
        <f t="shared" si="206"/>
        <v>0</v>
      </c>
      <c r="AH927" s="47"/>
      <c r="AJ927" s="47"/>
      <c r="AL927" s="47"/>
      <c r="AM927" s="47" t="str">
        <f t="shared" si="207"/>
        <v/>
      </c>
    </row>
    <row r="928" spans="1:39" s="56" customFormat="1" ht="24.75" customHeight="1">
      <c r="A928" s="44"/>
      <c r="B928" s="45"/>
      <c r="C928" s="46">
        <f>IF(B928&lt;&gt;"",VLOOKUP(B928,'Tipo Projeto'!$A$3:$B$35,2,0),0)</f>
        <v>0</v>
      </c>
      <c r="D928" s="47"/>
      <c r="E928" s="47"/>
      <c r="F928" s="48"/>
      <c r="G928" s="47"/>
      <c r="H928" s="49"/>
      <c r="I928" s="50"/>
      <c r="J928" s="51"/>
      <c r="K928" s="52"/>
      <c r="L928" s="53" t="str">
        <f t="shared" si="195"/>
        <v/>
      </c>
      <c r="M928" s="48" t="str">
        <f t="shared" si="196"/>
        <v/>
      </c>
      <c r="N928" s="54" t="str">
        <f t="shared" si="197"/>
        <v/>
      </c>
      <c r="O928" s="55">
        <f t="shared" si="198"/>
        <v>0</v>
      </c>
      <c r="P928" s="55">
        <f t="shared" si="199"/>
        <v>0</v>
      </c>
      <c r="Q928" s="54">
        <f t="shared" si="200"/>
        <v>0</v>
      </c>
      <c r="R928" s="47"/>
      <c r="T928" s="57"/>
      <c r="U928" s="45"/>
      <c r="V928" s="46">
        <f>IF(U928&lt;&gt;"",VLOOKUP(U928,'Tipo Projeto'!$A$3:$B$35,2,0),0)</f>
        <v>0</v>
      </c>
      <c r="W928" s="47"/>
      <c r="X928" s="49"/>
      <c r="Y928" s="50"/>
      <c r="Z928" s="51"/>
      <c r="AA928" s="52"/>
      <c r="AB928" s="53" t="str">
        <f t="shared" si="201"/>
        <v/>
      </c>
      <c r="AC928" s="48" t="str">
        <f t="shared" si="202"/>
        <v/>
      </c>
      <c r="AD928" s="54" t="str">
        <f t="shared" si="203"/>
        <v/>
      </c>
      <c r="AE928" s="55">
        <f t="shared" si="204"/>
        <v>0</v>
      </c>
      <c r="AF928" s="55">
        <f t="shared" si="205"/>
        <v>0</v>
      </c>
      <c r="AG928" s="58">
        <f t="shared" si="206"/>
        <v>0</v>
      </c>
      <c r="AH928" s="47"/>
      <c r="AJ928" s="47"/>
      <c r="AL928" s="47"/>
      <c r="AM928" s="47" t="str">
        <f t="shared" si="207"/>
        <v/>
      </c>
    </row>
    <row r="929" spans="1:39" s="56" customFormat="1" ht="24.75" customHeight="1">
      <c r="A929" s="44"/>
      <c r="B929" s="45"/>
      <c r="C929" s="46">
        <f>IF(B929&lt;&gt;"",VLOOKUP(B929,'Tipo Projeto'!$A$3:$B$35,2,0),0)</f>
        <v>0</v>
      </c>
      <c r="D929" s="47"/>
      <c r="E929" s="47"/>
      <c r="F929" s="48"/>
      <c r="G929" s="47"/>
      <c r="H929" s="49"/>
      <c r="I929" s="50"/>
      <c r="J929" s="51"/>
      <c r="K929" s="52"/>
      <c r="L929" s="53" t="str">
        <f t="shared" si="195"/>
        <v/>
      </c>
      <c r="M929" s="48" t="str">
        <f t="shared" si="196"/>
        <v/>
      </c>
      <c r="N929" s="54" t="str">
        <f t="shared" si="197"/>
        <v/>
      </c>
      <c r="O929" s="55">
        <f t="shared" si="198"/>
        <v>0</v>
      </c>
      <c r="P929" s="55">
        <f t="shared" si="199"/>
        <v>0</v>
      </c>
      <c r="Q929" s="54">
        <f t="shared" si="200"/>
        <v>0</v>
      </c>
      <c r="R929" s="47"/>
      <c r="T929" s="57"/>
      <c r="U929" s="45"/>
      <c r="V929" s="46">
        <f>IF(U929&lt;&gt;"",VLOOKUP(U929,'Tipo Projeto'!$A$3:$B$35,2,0),0)</f>
        <v>0</v>
      </c>
      <c r="W929" s="47"/>
      <c r="X929" s="49"/>
      <c r="Y929" s="50"/>
      <c r="Z929" s="51"/>
      <c r="AA929" s="52"/>
      <c r="AB929" s="53" t="str">
        <f t="shared" si="201"/>
        <v/>
      </c>
      <c r="AC929" s="48" t="str">
        <f t="shared" si="202"/>
        <v/>
      </c>
      <c r="AD929" s="54" t="str">
        <f t="shared" si="203"/>
        <v/>
      </c>
      <c r="AE929" s="55">
        <f t="shared" si="204"/>
        <v>0</v>
      </c>
      <c r="AF929" s="55">
        <f t="shared" si="205"/>
        <v>0</v>
      </c>
      <c r="AG929" s="58">
        <f t="shared" si="206"/>
        <v>0</v>
      </c>
      <c r="AH929" s="47"/>
      <c r="AJ929" s="47"/>
      <c r="AL929" s="47"/>
      <c r="AM929" s="47" t="str">
        <f t="shared" si="207"/>
        <v/>
      </c>
    </row>
    <row r="930" spans="1:39" s="56" customFormat="1" ht="24.75" customHeight="1">
      <c r="A930" s="44"/>
      <c r="B930" s="45"/>
      <c r="C930" s="46">
        <f>IF(B930&lt;&gt;"",VLOOKUP(B930,'Tipo Projeto'!$A$3:$B$35,2,0),0)</f>
        <v>0</v>
      </c>
      <c r="D930" s="47"/>
      <c r="E930" s="47"/>
      <c r="F930" s="48"/>
      <c r="G930" s="47"/>
      <c r="H930" s="49"/>
      <c r="I930" s="50"/>
      <c r="J930" s="51"/>
      <c r="K930" s="52"/>
      <c r="L930" s="53" t="str">
        <f t="shared" si="195"/>
        <v/>
      </c>
      <c r="M930" s="48" t="str">
        <f t="shared" si="196"/>
        <v/>
      </c>
      <c r="N930" s="54" t="str">
        <f t="shared" si="197"/>
        <v/>
      </c>
      <c r="O930" s="55">
        <f t="shared" si="198"/>
        <v>0</v>
      </c>
      <c r="P930" s="55">
        <f t="shared" si="199"/>
        <v>0</v>
      </c>
      <c r="Q930" s="54">
        <f t="shared" si="200"/>
        <v>0</v>
      </c>
      <c r="R930" s="47"/>
      <c r="T930" s="57"/>
      <c r="U930" s="45"/>
      <c r="V930" s="46">
        <f>IF(U930&lt;&gt;"",VLOOKUP(U930,'Tipo Projeto'!$A$3:$B$35,2,0),0)</f>
        <v>0</v>
      </c>
      <c r="W930" s="47"/>
      <c r="X930" s="49"/>
      <c r="Y930" s="50"/>
      <c r="Z930" s="51"/>
      <c r="AA930" s="52"/>
      <c r="AB930" s="53" t="str">
        <f t="shared" si="201"/>
        <v/>
      </c>
      <c r="AC930" s="48" t="str">
        <f t="shared" si="202"/>
        <v/>
      </c>
      <c r="AD930" s="54" t="str">
        <f t="shared" si="203"/>
        <v/>
      </c>
      <c r="AE930" s="55">
        <f t="shared" si="204"/>
        <v>0</v>
      </c>
      <c r="AF930" s="55">
        <f t="shared" si="205"/>
        <v>0</v>
      </c>
      <c r="AG930" s="58">
        <f t="shared" si="206"/>
        <v>0</v>
      </c>
      <c r="AH930" s="47"/>
      <c r="AJ930" s="47"/>
      <c r="AL930" s="47"/>
      <c r="AM930" s="47" t="str">
        <f t="shared" si="207"/>
        <v/>
      </c>
    </row>
    <row r="931" spans="1:39" s="56" customFormat="1" ht="24.75" customHeight="1">
      <c r="A931" s="44"/>
      <c r="B931" s="45"/>
      <c r="C931" s="46">
        <f>IF(B931&lt;&gt;"",VLOOKUP(B931,'Tipo Projeto'!$A$3:$B$35,2,0),0)</f>
        <v>0</v>
      </c>
      <c r="D931" s="47"/>
      <c r="E931" s="47"/>
      <c r="F931" s="48"/>
      <c r="G931" s="47"/>
      <c r="H931" s="49"/>
      <c r="I931" s="50"/>
      <c r="J931" s="51"/>
      <c r="K931" s="52"/>
      <c r="L931" s="53" t="str">
        <f t="shared" si="195"/>
        <v/>
      </c>
      <c r="M931" s="48" t="str">
        <f t="shared" si="196"/>
        <v/>
      </c>
      <c r="N931" s="54" t="str">
        <f t="shared" si="197"/>
        <v/>
      </c>
      <c r="O931" s="55">
        <f t="shared" si="198"/>
        <v>0</v>
      </c>
      <c r="P931" s="55">
        <f t="shared" si="199"/>
        <v>0</v>
      </c>
      <c r="Q931" s="54">
        <f t="shared" si="200"/>
        <v>0</v>
      </c>
      <c r="R931" s="47"/>
      <c r="T931" s="57"/>
      <c r="U931" s="45"/>
      <c r="V931" s="46">
        <f>IF(U931&lt;&gt;"",VLOOKUP(U931,'Tipo Projeto'!$A$3:$B$35,2,0),0)</f>
        <v>0</v>
      </c>
      <c r="W931" s="47"/>
      <c r="X931" s="49"/>
      <c r="Y931" s="50"/>
      <c r="Z931" s="51"/>
      <c r="AA931" s="52"/>
      <c r="AB931" s="53" t="str">
        <f t="shared" si="201"/>
        <v/>
      </c>
      <c r="AC931" s="48" t="str">
        <f t="shared" si="202"/>
        <v/>
      </c>
      <c r="AD931" s="54" t="str">
        <f t="shared" si="203"/>
        <v/>
      </c>
      <c r="AE931" s="55">
        <f t="shared" si="204"/>
        <v>0</v>
      </c>
      <c r="AF931" s="55">
        <f t="shared" si="205"/>
        <v>0</v>
      </c>
      <c r="AG931" s="58">
        <f t="shared" si="206"/>
        <v>0</v>
      </c>
      <c r="AH931" s="47"/>
      <c r="AJ931" s="47"/>
      <c r="AL931" s="47"/>
      <c r="AM931" s="47" t="str">
        <f t="shared" si="207"/>
        <v/>
      </c>
    </row>
    <row r="932" spans="1:39" s="56" customFormat="1" ht="24.75" customHeight="1">
      <c r="A932" s="44"/>
      <c r="B932" s="45"/>
      <c r="C932" s="46">
        <f>IF(B932&lt;&gt;"",VLOOKUP(B932,'Tipo Projeto'!$A$3:$B$35,2,0),0)</f>
        <v>0</v>
      </c>
      <c r="D932" s="47"/>
      <c r="E932" s="47"/>
      <c r="F932" s="48"/>
      <c r="G932" s="47"/>
      <c r="H932" s="49"/>
      <c r="I932" s="50"/>
      <c r="J932" s="51"/>
      <c r="K932" s="52"/>
      <c r="L932" s="53" t="str">
        <f t="shared" si="195"/>
        <v/>
      </c>
      <c r="M932" s="48" t="str">
        <f t="shared" si="196"/>
        <v/>
      </c>
      <c r="N932" s="54" t="str">
        <f t="shared" si="197"/>
        <v/>
      </c>
      <c r="O932" s="55">
        <f t="shared" si="198"/>
        <v>0</v>
      </c>
      <c r="P932" s="55">
        <f t="shared" si="199"/>
        <v>0</v>
      </c>
      <c r="Q932" s="54">
        <f t="shared" si="200"/>
        <v>0</v>
      </c>
      <c r="R932" s="47"/>
      <c r="T932" s="57"/>
      <c r="U932" s="45"/>
      <c r="V932" s="46">
        <f>IF(U932&lt;&gt;"",VLOOKUP(U932,'Tipo Projeto'!$A$3:$B$35,2,0),0)</f>
        <v>0</v>
      </c>
      <c r="W932" s="47"/>
      <c r="X932" s="49"/>
      <c r="Y932" s="50"/>
      <c r="Z932" s="51"/>
      <c r="AA932" s="52"/>
      <c r="AB932" s="53" t="str">
        <f t="shared" si="201"/>
        <v/>
      </c>
      <c r="AC932" s="48" t="str">
        <f t="shared" si="202"/>
        <v/>
      </c>
      <c r="AD932" s="54" t="str">
        <f t="shared" si="203"/>
        <v/>
      </c>
      <c r="AE932" s="55">
        <f t="shared" si="204"/>
        <v>0</v>
      </c>
      <c r="AF932" s="55">
        <f t="shared" si="205"/>
        <v>0</v>
      </c>
      <c r="AG932" s="58">
        <f t="shared" si="206"/>
        <v>0</v>
      </c>
      <c r="AH932" s="47"/>
      <c r="AJ932" s="47"/>
      <c r="AL932" s="47"/>
      <c r="AM932" s="47" t="str">
        <f t="shared" si="207"/>
        <v/>
      </c>
    </row>
    <row r="933" spans="1:39" s="56" customFormat="1" ht="24.75" customHeight="1">
      <c r="A933" s="44"/>
      <c r="B933" s="45"/>
      <c r="C933" s="46">
        <f>IF(B933&lt;&gt;"",VLOOKUP(B933,'Tipo Projeto'!$A$3:$B$35,2,0),0)</f>
        <v>0</v>
      </c>
      <c r="D933" s="47"/>
      <c r="E933" s="47"/>
      <c r="F933" s="48"/>
      <c r="G933" s="47"/>
      <c r="H933" s="49"/>
      <c r="I933" s="50"/>
      <c r="J933" s="51"/>
      <c r="K933" s="52"/>
      <c r="L933" s="53" t="str">
        <f t="shared" si="195"/>
        <v/>
      </c>
      <c r="M933" s="48" t="str">
        <f t="shared" si="196"/>
        <v/>
      </c>
      <c r="N933" s="54" t="str">
        <f t="shared" si="197"/>
        <v/>
      </c>
      <c r="O933" s="55">
        <f t="shared" si="198"/>
        <v>0</v>
      </c>
      <c r="P933" s="55">
        <f t="shared" si="199"/>
        <v>0</v>
      </c>
      <c r="Q933" s="54">
        <f t="shared" si="200"/>
        <v>0</v>
      </c>
      <c r="R933" s="47"/>
      <c r="T933" s="57"/>
      <c r="U933" s="45"/>
      <c r="V933" s="46">
        <f>IF(U933&lt;&gt;"",VLOOKUP(U933,'Tipo Projeto'!$A$3:$B$35,2,0),0)</f>
        <v>0</v>
      </c>
      <c r="W933" s="47"/>
      <c r="X933" s="49"/>
      <c r="Y933" s="50"/>
      <c r="Z933" s="51"/>
      <c r="AA933" s="52"/>
      <c r="AB933" s="53" t="str">
        <f t="shared" si="201"/>
        <v/>
      </c>
      <c r="AC933" s="48" t="str">
        <f t="shared" si="202"/>
        <v/>
      </c>
      <c r="AD933" s="54" t="str">
        <f t="shared" si="203"/>
        <v/>
      </c>
      <c r="AE933" s="55">
        <f t="shared" si="204"/>
        <v>0</v>
      </c>
      <c r="AF933" s="55">
        <f t="shared" si="205"/>
        <v>0</v>
      </c>
      <c r="AG933" s="58">
        <f t="shared" si="206"/>
        <v>0</v>
      </c>
      <c r="AH933" s="47"/>
      <c r="AJ933" s="47"/>
      <c r="AL933" s="47"/>
      <c r="AM933" s="47" t="str">
        <f t="shared" si="207"/>
        <v/>
      </c>
    </row>
    <row r="934" spans="1:39" s="56" customFormat="1" ht="24.75" customHeight="1">
      <c r="A934" s="44"/>
      <c r="B934" s="45"/>
      <c r="C934" s="46">
        <f>IF(B934&lt;&gt;"",VLOOKUP(B934,'Tipo Projeto'!$A$3:$B$35,2,0),0)</f>
        <v>0</v>
      </c>
      <c r="D934" s="47"/>
      <c r="E934" s="47"/>
      <c r="F934" s="48"/>
      <c r="G934" s="47"/>
      <c r="H934" s="49"/>
      <c r="I934" s="50"/>
      <c r="J934" s="51"/>
      <c r="K934" s="52"/>
      <c r="L934" s="53" t="str">
        <f t="shared" si="195"/>
        <v/>
      </c>
      <c r="M934" s="48" t="str">
        <f t="shared" si="196"/>
        <v/>
      </c>
      <c r="N934" s="54" t="str">
        <f t="shared" si="197"/>
        <v/>
      </c>
      <c r="O934" s="55">
        <f t="shared" si="198"/>
        <v>0</v>
      </c>
      <c r="P934" s="55">
        <f t="shared" si="199"/>
        <v>0</v>
      </c>
      <c r="Q934" s="54">
        <f t="shared" si="200"/>
        <v>0</v>
      </c>
      <c r="R934" s="47"/>
      <c r="T934" s="57"/>
      <c r="U934" s="45"/>
      <c r="V934" s="46">
        <f>IF(U934&lt;&gt;"",VLOOKUP(U934,'Tipo Projeto'!$A$3:$B$35,2,0),0)</f>
        <v>0</v>
      </c>
      <c r="W934" s="47"/>
      <c r="X934" s="49"/>
      <c r="Y934" s="50"/>
      <c r="Z934" s="51"/>
      <c r="AA934" s="52"/>
      <c r="AB934" s="53" t="str">
        <f t="shared" si="201"/>
        <v/>
      </c>
      <c r="AC934" s="48" t="str">
        <f t="shared" si="202"/>
        <v/>
      </c>
      <c r="AD934" s="54" t="str">
        <f t="shared" si="203"/>
        <v/>
      </c>
      <c r="AE934" s="55">
        <f t="shared" si="204"/>
        <v>0</v>
      </c>
      <c r="AF934" s="55">
        <f t="shared" si="205"/>
        <v>0</v>
      </c>
      <c r="AG934" s="58">
        <f t="shared" si="206"/>
        <v>0</v>
      </c>
      <c r="AH934" s="47"/>
      <c r="AJ934" s="47"/>
      <c r="AL934" s="47"/>
      <c r="AM934" s="47" t="str">
        <f t="shared" si="207"/>
        <v/>
      </c>
    </row>
    <row r="935" spans="1:39" s="56" customFormat="1" ht="24.75" customHeight="1">
      <c r="A935" s="44"/>
      <c r="B935" s="45"/>
      <c r="C935" s="46">
        <f>IF(B935&lt;&gt;"",VLOOKUP(B935,'Tipo Projeto'!$A$3:$B$35,2,0),0)</f>
        <v>0</v>
      </c>
      <c r="D935" s="47"/>
      <c r="E935" s="47"/>
      <c r="F935" s="48"/>
      <c r="G935" s="47"/>
      <c r="H935" s="49"/>
      <c r="I935" s="50"/>
      <c r="J935" s="51"/>
      <c r="K935" s="52"/>
      <c r="L935" s="53" t="str">
        <f t="shared" si="195"/>
        <v/>
      </c>
      <c r="M935" s="48" t="str">
        <f t="shared" si="196"/>
        <v/>
      </c>
      <c r="N935" s="54" t="str">
        <f t="shared" si="197"/>
        <v/>
      </c>
      <c r="O935" s="55">
        <f t="shared" si="198"/>
        <v>0</v>
      </c>
      <c r="P935" s="55">
        <f t="shared" si="199"/>
        <v>0</v>
      </c>
      <c r="Q935" s="54">
        <f t="shared" si="200"/>
        <v>0</v>
      </c>
      <c r="R935" s="47"/>
      <c r="T935" s="57"/>
      <c r="U935" s="45"/>
      <c r="V935" s="46">
        <f>IF(U935&lt;&gt;"",VLOOKUP(U935,'Tipo Projeto'!$A$3:$B$35,2,0),0)</f>
        <v>0</v>
      </c>
      <c r="W935" s="47"/>
      <c r="X935" s="49"/>
      <c r="Y935" s="50"/>
      <c r="Z935" s="51"/>
      <c r="AA935" s="52"/>
      <c r="AB935" s="53" t="str">
        <f t="shared" si="201"/>
        <v/>
      </c>
      <c r="AC935" s="48" t="str">
        <f t="shared" si="202"/>
        <v/>
      </c>
      <c r="AD935" s="54" t="str">
        <f t="shared" si="203"/>
        <v/>
      </c>
      <c r="AE935" s="55">
        <f t="shared" si="204"/>
        <v>0</v>
      </c>
      <c r="AF935" s="55">
        <f t="shared" si="205"/>
        <v>0</v>
      </c>
      <c r="AG935" s="58">
        <f t="shared" si="206"/>
        <v>0</v>
      </c>
      <c r="AH935" s="47"/>
      <c r="AJ935" s="47"/>
      <c r="AL935" s="47"/>
      <c r="AM935" s="47" t="str">
        <f t="shared" si="207"/>
        <v/>
      </c>
    </row>
    <row r="936" spans="1:39" s="56" customFormat="1" ht="24.75" customHeight="1">
      <c r="A936" s="44"/>
      <c r="B936" s="45"/>
      <c r="C936" s="46">
        <f>IF(B936&lt;&gt;"",VLOOKUP(B936,'Tipo Projeto'!$A$3:$B$35,2,0),0)</f>
        <v>0</v>
      </c>
      <c r="D936" s="47"/>
      <c r="E936" s="47"/>
      <c r="F936" s="48"/>
      <c r="G936" s="47"/>
      <c r="H936" s="49"/>
      <c r="I936" s="50"/>
      <c r="J936" s="51"/>
      <c r="K936" s="52"/>
      <c r="L936" s="53" t="str">
        <f t="shared" si="195"/>
        <v/>
      </c>
      <c r="M936" s="48" t="str">
        <f t="shared" si="196"/>
        <v/>
      </c>
      <c r="N936" s="54" t="str">
        <f t="shared" si="197"/>
        <v/>
      </c>
      <c r="O936" s="55">
        <f t="shared" si="198"/>
        <v>0</v>
      </c>
      <c r="P936" s="55">
        <f t="shared" si="199"/>
        <v>0</v>
      </c>
      <c r="Q936" s="54">
        <f t="shared" si="200"/>
        <v>0</v>
      </c>
      <c r="R936" s="47"/>
      <c r="T936" s="57"/>
      <c r="U936" s="45"/>
      <c r="V936" s="46">
        <f>IF(U936&lt;&gt;"",VLOOKUP(U936,'Tipo Projeto'!$A$3:$B$35,2,0),0)</f>
        <v>0</v>
      </c>
      <c r="W936" s="47"/>
      <c r="X936" s="49"/>
      <c r="Y936" s="50"/>
      <c r="Z936" s="51"/>
      <c r="AA936" s="52"/>
      <c r="AB936" s="53" t="str">
        <f t="shared" si="201"/>
        <v/>
      </c>
      <c r="AC936" s="48" t="str">
        <f t="shared" si="202"/>
        <v/>
      </c>
      <c r="AD936" s="54" t="str">
        <f t="shared" si="203"/>
        <v/>
      </c>
      <c r="AE936" s="55">
        <f t="shared" si="204"/>
        <v>0</v>
      </c>
      <c r="AF936" s="55">
        <f t="shared" si="205"/>
        <v>0</v>
      </c>
      <c r="AG936" s="58">
        <f t="shared" si="206"/>
        <v>0</v>
      </c>
      <c r="AH936" s="47"/>
      <c r="AJ936" s="47"/>
      <c r="AL936" s="47"/>
      <c r="AM936" s="47" t="str">
        <f t="shared" si="207"/>
        <v/>
      </c>
    </row>
    <row r="937" spans="1:39" s="56" customFormat="1" ht="24.75" customHeight="1">
      <c r="A937" s="44"/>
      <c r="B937" s="45"/>
      <c r="C937" s="46">
        <f>IF(B937&lt;&gt;"",VLOOKUP(B937,'Tipo Projeto'!$A$3:$B$35,2,0),0)</f>
        <v>0</v>
      </c>
      <c r="D937" s="47"/>
      <c r="E937" s="47"/>
      <c r="F937" s="48"/>
      <c r="G937" s="47"/>
      <c r="H937" s="49"/>
      <c r="I937" s="50"/>
      <c r="J937" s="51"/>
      <c r="K937" s="52"/>
      <c r="L937" s="53" t="str">
        <f t="shared" si="195"/>
        <v/>
      </c>
      <c r="M937" s="48" t="str">
        <f t="shared" si="196"/>
        <v/>
      </c>
      <c r="N937" s="54" t="str">
        <f t="shared" si="197"/>
        <v/>
      </c>
      <c r="O937" s="55">
        <f t="shared" si="198"/>
        <v>0</v>
      </c>
      <c r="P937" s="55">
        <f t="shared" si="199"/>
        <v>0</v>
      </c>
      <c r="Q937" s="54">
        <f t="shared" si="200"/>
        <v>0</v>
      </c>
      <c r="R937" s="47"/>
      <c r="T937" s="57"/>
      <c r="U937" s="45"/>
      <c r="V937" s="46">
        <f>IF(U937&lt;&gt;"",VLOOKUP(U937,'Tipo Projeto'!$A$3:$B$35,2,0),0)</f>
        <v>0</v>
      </c>
      <c r="W937" s="47"/>
      <c r="X937" s="49"/>
      <c r="Y937" s="50"/>
      <c r="Z937" s="51"/>
      <c r="AA937" s="52"/>
      <c r="AB937" s="53" t="str">
        <f t="shared" si="201"/>
        <v/>
      </c>
      <c r="AC937" s="48" t="str">
        <f t="shared" si="202"/>
        <v/>
      </c>
      <c r="AD937" s="54" t="str">
        <f t="shared" si="203"/>
        <v/>
      </c>
      <c r="AE937" s="55">
        <f t="shared" si="204"/>
        <v>0</v>
      </c>
      <c r="AF937" s="55">
        <f t="shared" si="205"/>
        <v>0</v>
      </c>
      <c r="AG937" s="58">
        <f t="shared" si="206"/>
        <v>0</v>
      </c>
      <c r="AH937" s="47"/>
      <c r="AJ937" s="47"/>
      <c r="AL937" s="47"/>
      <c r="AM937" s="47" t="str">
        <f t="shared" si="207"/>
        <v/>
      </c>
    </row>
    <row r="938" spans="1:39" s="56" customFormat="1" ht="24.75" customHeight="1">
      <c r="A938" s="44"/>
      <c r="B938" s="45"/>
      <c r="C938" s="46">
        <f>IF(B938&lt;&gt;"",VLOOKUP(B938,'Tipo Projeto'!$A$3:$B$35,2,0),0)</f>
        <v>0</v>
      </c>
      <c r="D938" s="47"/>
      <c r="E938" s="47"/>
      <c r="F938" s="48"/>
      <c r="G938" s="47"/>
      <c r="H938" s="49"/>
      <c r="I938" s="50"/>
      <c r="J938" s="51"/>
      <c r="K938" s="52"/>
      <c r="L938" s="53" t="str">
        <f t="shared" si="195"/>
        <v/>
      </c>
      <c r="M938" s="48" t="str">
        <f t="shared" si="196"/>
        <v/>
      </c>
      <c r="N938" s="54" t="str">
        <f t="shared" si="197"/>
        <v/>
      </c>
      <c r="O938" s="55">
        <f t="shared" si="198"/>
        <v>0</v>
      </c>
      <c r="P938" s="55">
        <f t="shared" si="199"/>
        <v>0</v>
      </c>
      <c r="Q938" s="54">
        <f t="shared" si="200"/>
        <v>0</v>
      </c>
      <c r="R938" s="47"/>
      <c r="T938" s="57"/>
      <c r="U938" s="45"/>
      <c r="V938" s="46">
        <f>IF(U938&lt;&gt;"",VLOOKUP(U938,'Tipo Projeto'!$A$3:$B$35,2,0),0)</f>
        <v>0</v>
      </c>
      <c r="W938" s="47"/>
      <c r="X938" s="49"/>
      <c r="Y938" s="50"/>
      <c r="Z938" s="51"/>
      <c r="AA938" s="52"/>
      <c r="AB938" s="53" t="str">
        <f t="shared" si="201"/>
        <v/>
      </c>
      <c r="AC938" s="48" t="str">
        <f t="shared" si="202"/>
        <v/>
      </c>
      <c r="AD938" s="54" t="str">
        <f t="shared" si="203"/>
        <v/>
      </c>
      <c r="AE938" s="55">
        <f t="shared" si="204"/>
        <v>0</v>
      </c>
      <c r="AF938" s="55">
        <f t="shared" si="205"/>
        <v>0</v>
      </c>
      <c r="AG938" s="58">
        <f t="shared" si="206"/>
        <v>0</v>
      </c>
      <c r="AH938" s="47"/>
      <c r="AJ938" s="47"/>
      <c r="AL938" s="47"/>
      <c r="AM938" s="47" t="str">
        <f t="shared" si="207"/>
        <v/>
      </c>
    </row>
    <row r="939" spans="1:39" s="56" customFormat="1" ht="24.75" customHeight="1">
      <c r="A939" s="44"/>
      <c r="B939" s="45"/>
      <c r="C939" s="46">
        <f>IF(B939&lt;&gt;"",VLOOKUP(B939,'Tipo Projeto'!$A$3:$B$35,2,0),0)</f>
        <v>0</v>
      </c>
      <c r="D939" s="47"/>
      <c r="E939" s="47"/>
      <c r="F939" s="48"/>
      <c r="G939" s="47"/>
      <c r="H939" s="49"/>
      <c r="I939" s="50"/>
      <c r="J939" s="51"/>
      <c r="K939" s="52"/>
      <c r="L939" s="53" t="str">
        <f t="shared" si="195"/>
        <v/>
      </c>
      <c r="M939" s="48" t="str">
        <f t="shared" si="196"/>
        <v/>
      </c>
      <c r="N939" s="54" t="str">
        <f t="shared" si="197"/>
        <v/>
      </c>
      <c r="O939" s="55">
        <f t="shared" si="198"/>
        <v>0</v>
      </c>
      <c r="P939" s="55">
        <f t="shared" si="199"/>
        <v>0</v>
      </c>
      <c r="Q939" s="54">
        <f t="shared" si="200"/>
        <v>0</v>
      </c>
      <c r="R939" s="47"/>
      <c r="T939" s="57"/>
      <c r="U939" s="45"/>
      <c r="V939" s="46">
        <f>IF(U939&lt;&gt;"",VLOOKUP(U939,'Tipo Projeto'!$A$3:$B$35,2,0),0)</f>
        <v>0</v>
      </c>
      <c r="W939" s="47"/>
      <c r="X939" s="49"/>
      <c r="Y939" s="50"/>
      <c r="Z939" s="51"/>
      <c r="AA939" s="52"/>
      <c r="AB939" s="53" t="str">
        <f t="shared" si="201"/>
        <v/>
      </c>
      <c r="AC939" s="48" t="str">
        <f t="shared" si="202"/>
        <v/>
      </c>
      <c r="AD939" s="54" t="str">
        <f t="shared" si="203"/>
        <v/>
      </c>
      <c r="AE939" s="55">
        <f t="shared" si="204"/>
        <v>0</v>
      </c>
      <c r="AF939" s="55">
        <f t="shared" si="205"/>
        <v>0</v>
      </c>
      <c r="AG939" s="58">
        <f t="shared" si="206"/>
        <v>0</v>
      </c>
      <c r="AH939" s="47"/>
      <c r="AJ939" s="47"/>
      <c r="AL939" s="47"/>
      <c r="AM939" s="47" t="str">
        <f t="shared" si="207"/>
        <v/>
      </c>
    </row>
    <row r="940" spans="1:39" s="56" customFormat="1" ht="24.75" customHeight="1">
      <c r="A940" s="44"/>
      <c r="B940" s="45"/>
      <c r="C940" s="46">
        <f>IF(B940&lt;&gt;"",VLOOKUP(B940,'Tipo Projeto'!$A$3:$B$35,2,0),0)</f>
        <v>0</v>
      </c>
      <c r="D940" s="47"/>
      <c r="E940" s="47"/>
      <c r="F940" s="48"/>
      <c r="G940" s="47"/>
      <c r="H940" s="49"/>
      <c r="I940" s="50"/>
      <c r="J940" s="51"/>
      <c r="K940" s="52"/>
      <c r="L940" s="53" t="str">
        <f t="shared" si="195"/>
        <v/>
      </c>
      <c r="M940" s="48" t="str">
        <f t="shared" si="196"/>
        <v/>
      </c>
      <c r="N940" s="54" t="str">
        <f t="shared" si="197"/>
        <v/>
      </c>
      <c r="O940" s="55">
        <f t="shared" si="198"/>
        <v>0</v>
      </c>
      <c r="P940" s="55">
        <f t="shared" si="199"/>
        <v>0</v>
      </c>
      <c r="Q940" s="54">
        <f t="shared" si="200"/>
        <v>0</v>
      </c>
      <c r="R940" s="47"/>
      <c r="T940" s="57"/>
      <c r="U940" s="45"/>
      <c r="V940" s="46">
        <f>IF(U940&lt;&gt;"",VLOOKUP(U940,'Tipo Projeto'!$A$3:$B$35,2,0),0)</f>
        <v>0</v>
      </c>
      <c r="W940" s="47"/>
      <c r="X940" s="49"/>
      <c r="Y940" s="50"/>
      <c r="Z940" s="51"/>
      <c r="AA940" s="52"/>
      <c r="AB940" s="53" t="str">
        <f t="shared" si="201"/>
        <v/>
      </c>
      <c r="AC940" s="48" t="str">
        <f t="shared" si="202"/>
        <v/>
      </c>
      <c r="AD940" s="54" t="str">
        <f t="shared" si="203"/>
        <v/>
      </c>
      <c r="AE940" s="55">
        <f t="shared" si="204"/>
        <v>0</v>
      </c>
      <c r="AF940" s="55">
        <f t="shared" si="205"/>
        <v>0</v>
      </c>
      <c r="AG940" s="58">
        <f t="shared" si="206"/>
        <v>0</v>
      </c>
      <c r="AH940" s="47"/>
      <c r="AJ940" s="47"/>
      <c r="AL940" s="47"/>
      <c r="AM940" s="47" t="str">
        <f t="shared" si="207"/>
        <v/>
      </c>
    </row>
    <row r="941" spans="1:39" s="56" customFormat="1" ht="24.75" customHeight="1">
      <c r="A941" s="44"/>
      <c r="B941" s="45"/>
      <c r="C941" s="46">
        <f>IF(B941&lt;&gt;"",VLOOKUP(B941,'Tipo Projeto'!$A$3:$B$35,2,0),0)</f>
        <v>0</v>
      </c>
      <c r="D941" s="47"/>
      <c r="E941" s="47"/>
      <c r="F941" s="48"/>
      <c r="G941" s="47"/>
      <c r="H941" s="49"/>
      <c r="I941" s="50"/>
      <c r="J941" s="51"/>
      <c r="K941" s="52"/>
      <c r="L941" s="53" t="str">
        <f t="shared" si="195"/>
        <v/>
      </c>
      <c r="M941" s="48" t="str">
        <f t="shared" si="196"/>
        <v/>
      </c>
      <c r="N941" s="54" t="str">
        <f t="shared" si="197"/>
        <v/>
      </c>
      <c r="O941" s="55">
        <f t="shared" si="198"/>
        <v>0</v>
      </c>
      <c r="P941" s="55">
        <f t="shared" si="199"/>
        <v>0</v>
      </c>
      <c r="Q941" s="54">
        <f t="shared" si="200"/>
        <v>0</v>
      </c>
      <c r="R941" s="47"/>
      <c r="T941" s="57"/>
      <c r="U941" s="45"/>
      <c r="V941" s="46">
        <f>IF(U941&lt;&gt;"",VLOOKUP(U941,'Tipo Projeto'!$A$3:$B$35,2,0),0)</f>
        <v>0</v>
      </c>
      <c r="W941" s="47"/>
      <c r="X941" s="49"/>
      <c r="Y941" s="50"/>
      <c r="Z941" s="51"/>
      <c r="AA941" s="52"/>
      <c r="AB941" s="53" t="str">
        <f t="shared" si="201"/>
        <v/>
      </c>
      <c r="AC941" s="48" t="str">
        <f t="shared" si="202"/>
        <v/>
      </c>
      <c r="AD941" s="54" t="str">
        <f t="shared" si="203"/>
        <v/>
      </c>
      <c r="AE941" s="55">
        <f t="shared" si="204"/>
        <v>0</v>
      </c>
      <c r="AF941" s="55">
        <f t="shared" si="205"/>
        <v>0</v>
      </c>
      <c r="AG941" s="58">
        <f t="shared" si="206"/>
        <v>0</v>
      </c>
      <c r="AH941" s="47"/>
      <c r="AJ941" s="47"/>
      <c r="AL941" s="47"/>
      <c r="AM941" s="47" t="str">
        <f t="shared" si="207"/>
        <v/>
      </c>
    </row>
    <row r="942" spans="1:39" s="56" customFormat="1" ht="24.75" customHeight="1">
      <c r="A942" s="44"/>
      <c r="B942" s="45"/>
      <c r="C942" s="46">
        <f>IF(B942&lt;&gt;"",VLOOKUP(B942,'Tipo Projeto'!$A$3:$B$35,2,0),0)</f>
        <v>0</v>
      </c>
      <c r="D942" s="47"/>
      <c r="E942" s="47"/>
      <c r="F942" s="48"/>
      <c r="G942" s="47"/>
      <c r="H942" s="49"/>
      <c r="I942" s="50"/>
      <c r="J942" s="51"/>
      <c r="K942" s="52"/>
      <c r="L942" s="53" t="str">
        <f t="shared" si="195"/>
        <v/>
      </c>
      <c r="M942" s="48" t="str">
        <f t="shared" si="196"/>
        <v/>
      </c>
      <c r="N942" s="54" t="str">
        <f t="shared" si="197"/>
        <v/>
      </c>
      <c r="O942" s="55">
        <f t="shared" si="198"/>
        <v>0</v>
      </c>
      <c r="P942" s="55">
        <f t="shared" si="199"/>
        <v>0</v>
      </c>
      <c r="Q942" s="54">
        <f t="shared" si="200"/>
        <v>0</v>
      </c>
      <c r="R942" s="47"/>
      <c r="T942" s="57"/>
      <c r="U942" s="45"/>
      <c r="V942" s="46">
        <f>IF(U942&lt;&gt;"",VLOOKUP(U942,'Tipo Projeto'!$A$3:$B$35,2,0),0)</f>
        <v>0</v>
      </c>
      <c r="W942" s="47"/>
      <c r="X942" s="49"/>
      <c r="Y942" s="50"/>
      <c r="Z942" s="51"/>
      <c r="AA942" s="52"/>
      <c r="AB942" s="53" t="str">
        <f t="shared" si="201"/>
        <v/>
      </c>
      <c r="AC942" s="48" t="str">
        <f t="shared" si="202"/>
        <v/>
      </c>
      <c r="AD942" s="54" t="str">
        <f t="shared" si="203"/>
        <v/>
      </c>
      <c r="AE942" s="55">
        <f t="shared" si="204"/>
        <v>0</v>
      </c>
      <c r="AF942" s="55">
        <f t="shared" si="205"/>
        <v>0</v>
      </c>
      <c r="AG942" s="58">
        <f t="shared" si="206"/>
        <v>0</v>
      </c>
      <c r="AH942" s="47"/>
      <c r="AJ942" s="47"/>
      <c r="AL942" s="47"/>
      <c r="AM942" s="47" t="str">
        <f t="shared" si="207"/>
        <v/>
      </c>
    </row>
    <row r="943" spans="1:39" s="56" customFormat="1" ht="24.75" customHeight="1">
      <c r="A943" s="44"/>
      <c r="B943" s="45"/>
      <c r="C943" s="46">
        <f>IF(B943&lt;&gt;"",VLOOKUP(B943,'Tipo Projeto'!$A$3:$B$35,2,0),0)</f>
        <v>0</v>
      </c>
      <c r="D943" s="47"/>
      <c r="E943" s="47"/>
      <c r="F943" s="48"/>
      <c r="G943" s="47"/>
      <c r="H943" s="49"/>
      <c r="I943" s="50"/>
      <c r="J943" s="51"/>
      <c r="K943" s="52"/>
      <c r="L943" s="53" t="str">
        <f t="shared" si="195"/>
        <v/>
      </c>
      <c r="M943" s="48" t="str">
        <f t="shared" si="196"/>
        <v/>
      </c>
      <c r="N943" s="54" t="str">
        <f t="shared" si="197"/>
        <v/>
      </c>
      <c r="O943" s="55">
        <f t="shared" si="198"/>
        <v>0</v>
      </c>
      <c r="P943" s="55">
        <f t="shared" si="199"/>
        <v>0</v>
      </c>
      <c r="Q943" s="54">
        <f t="shared" si="200"/>
        <v>0</v>
      </c>
      <c r="R943" s="47"/>
      <c r="T943" s="57"/>
      <c r="U943" s="45"/>
      <c r="V943" s="46">
        <f>IF(U943&lt;&gt;"",VLOOKUP(U943,'Tipo Projeto'!$A$3:$B$35,2,0),0)</f>
        <v>0</v>
      </c>
      <c r="W943" s="47"/>
      <c r="X943" s="49"/>
      <c r="Y943" s="50"/>
      <c r="Z943" s="51"/>
      <c r="AA943" s="52"/>
      <c r="AB943" s="53" t="str">
        <f t="shared" si="201"/>
        <v/>
      </c>
      <c r="AC943" s="48" t="str">
        <f t="shared" si="202"/>
        <v/>
      </c>
      <c r="AD943" s="54" t="str">
        <f t="shared" si="203"/>
        <v/>
      </c>
      <c r="AE943" s="55">
        <f t="shared" si="204"/>
        <v>0</v>
      </c>
      <c r="AF943" s="55">
        <f t="shared" si="205"/>
        <v>0</v>
      </c>
      <c r="AG943" s="58">
        <f t="shared" si="206"/>
        <v>0</v>
      </c>
      <c r="AH943" s="47"/>
      <c r="AJ943" s="47"/>
      <c r="AL943" s="47"/>
      <c r="AM943" s="47" t="str">
        <f t="shared" si="207"/>
        <v/>
      </c>
    </row>
    <row r="944" spans="1:39" s="56" customFormat="1" ht="24.75" customHeight="1">
      <c r="A944" s="44"/>
      <c r="B944" s="45"/>
      <c r="C944" s="46">
        <f>IF(B944&lt;&gt;"",VLOOKUP(B944,'Tipo Projeto'!$A$3:$B$35,2,0),0)</f>
        <v>0</v>
      </c>
      <c r="D944" s="47"/>
      <c r="E944" s="47"/>
      <c r="F944" s="48"/>
      <c r="G944" s="47"/>
      <c r="H944" s="49"/>
      <c r="I944" s="50"/>
      <c r="J944" s="51"/>
      <c r="K944" s="52"/>
      <c r="L944" s="53" t="str">
        <f t="shared" si="195"/>
        <v/>
      </c>
      <c r="M944" s="48" t="str">
        <f t="shared" si="196"/>
        <v/>
      </c>
      <c r="N944" s="54" t="str">
        <f t="shared" si="197"/>
        <v/>
      </c>
      <c r="O944" s="55">
        <f t="shared" si="198"/>
        <v>0</v>
      </c>
      <c r="P944" s="55">
        <f t="shared" si="199"/>
        <v>0</v>
      </c>
      <c r="Q944" s="54">
        <f t="shared" si="200"/>
        <v>0</v>
      </c>
      <c r="R944" s="47"/>
      <c r="T944" s="57"/>
      <c r="U944" s="45"/>
      <c r="V944" s="46">
        <f>IF(U944&lt;&gt;"",VLOOKUP(U944,'Tipo Projeto'!$A$3:$B$35,2,0),0)</f>
        <v>0</v>
      </c>
      <c r="W944" s="47"/>
      <c r="X944" s="49"/>
      <c r="Y944" s="50"/>
      <c r="Z944" s="51"/>
      <c r="AA944" s="52"/>
      <c r="AB944" s="53" t="str">
        <f t="shared" si="201"/>
        <v/>
      </c>
      <c r="AC944" s="48" t="str">
        <f t="shared" si="202"/>
        <v/>
      </c>
      <c r="AD944" s="54" t="str">
        <f t="shared" si="203"/>
        <v/>
      </c>
      <c r="AE944" s="55">
        <f t="shared" si="204"/>
        <v>0</v>
      </c>
      <c r="AF944" s="55">
        <f t="shared" si="205"/>
        <v>0</v>
      </c>
      <c r="AG944" s="58">
        <f t="shared" si="206"/>
        <v>0</v>
      </c>
      <c r="AH944" s="47"/>
      <c r="AJ944" s="47"/>
      <c r="AL944" s="47"/>
      <c r="AM944" s="47" t="str">
        <f t="shared" si="207"/>
        <v/>
      </c>
    </row>
    <row r="945" spans="1:39" s="56" customFormat="1" ht="24.75" customHeight="1">
      <c r="A945" s="44"/>
      <c r="B945" s="45"/>
      <c r="C945" s="46">
        <f>IF(B945&lt;&gt;"",VLOOKUP(B945,'Tipo Projeto'!$A$3:$B$35,2,0),0)</f>
        <v>0</v>
      </c>
      <c r="D945" s="47"/>
      <c r="E945" s="47"/>
      <c r="F945" s="48"/>
      <c r="G945" s="47"/>
      <c r="H945" s="49"/>
      <c r="I945" s="50"/>
      <c r="J945" s="51"/>
      <c r="K945" s="52"/>
      <c r="L945" s="53" t="str">
        <f t="shared" si="195"/>
        <v/>
      </c>
      <c r="M945" s="48" t="str">
        <f t="shared" si="196"/>
        <v/>
      </c>
      <c r="N945" s="54" t="str">
        <f t="shared" si="197"/>
        <v/>
      </c>
      <c r="O945" s="55">
        <f t="shared" si="198"/>
        <v>0</v>
      </c>
      <c r="P945" s="55">
        <f t="shared" si="199"/>
        <v>0</v>
      </c>
      <c r="Q945" s="54">
        <f t="shared" si="200"/>
        <v>0</v>
      </c>
      <c r="R945" s="47"/>
      <c r="T945" s="57"/>
      <c r="U945" s="45"/>
      <c r="V945" s="46">
        <f>IF(U945&lt;&gt;"",VLOOKUP(U945,'Tipo Projeto'!$A$3:$B$35,2,0),0)</f>
        <v>0</v>
      </c>
      <c r="W945" s="47"/>
      <c r="X945" s="49"/>
      <c r="Y945" s="50"/>
      <c r="Z945" s="51"/>
      <c r="AA945" s="52"/>
      <c r="AB945" s="53" t="str">
        <f t="shared" si="201"/>
        <v/>
      </c>
      <c r="AC945" s="48" t="str">
        <f t="shared" si="202"/>
        <v/>
      </c>
      <c r="AD945" s="54" t="str">
        <f t="shared" si="203"/>
        <v/>
      </c>
      <c r="AE945" s="55">
        <f t="shared" si="204"/>
        <v>0</v>
      </c>
      <c r="AF945" s="55">
        <f t="shared" si="205"/>
        <v>0</v>
      </c>
      <c r="AG945" s="58">
        <f t="shared" si="206"/>
        <v>0</v>
      </c>
      <c r="AH945" s="47"/>
      <c r="AJ945" s="47"/>
      <c r="AL945" s="47"/>
      <c r="AM945" s="47" t="str">
        <f t="shared" si="207"/>
        <v/>
      </c>
    </row>
    <row r="946" spans="1:39" s="56" customFormat="1" ht="24.75" customHeight="1">
      <c r="A946" s="44"/>
      <c r="B946" s="45"/>
      <c r="C946" s="46">
        <f>IF(B946&lt;&gt;"",VLOOKUP(B946,'Tipo Projeto'!$A$3:$B$35,2,0),0)</f>
        <v>0</v>
      </c>
      <c r="D946" s="47"/>
      <c r="E946" s="47"/>
      <c r="F946" s="48"/>
      <c r="G946" s="47"/>
      <c r="H946" s="49"/>
      <c r="I946" s="50"/>
      <c r="J946" s="51"/>
      <c r="K946" s="52"/>
      <c r="L946" s="53" t="str">
        <f t="shared" si="195"/>
        <v/>
      </c>
      <c r="M946" s="48" t="str">
        <f t="shared" si="196"/>
        <v/>
      </c>
      <c r="N946" s="54" t="str">
        <f t="shared" si="197"/>
        <v/>
      </c>
      <c r="O946" s="55">
        <f t="shared" si="198"/>
        <v>0</v>
      </c>
      <c r="P946" s="55">
        <f t="shared" si="199"/>
        <v>0</v>
      </c>
      <c r="Q946" s="54">
        <f t="shared" si="200"/>
        <v>0</v>
      </c>
      <c r="R946" s="47"/>
      <c r="T946" s="57"/>
      <c r="U946" s="45"/>
      <c r="V946" s="46">
        <f>IF(U946&lt;&gt;"",VLOOKUP(U946,'Tipo Projeto'!$A$3:$B$35,2,0),0)</f>
        <v>0</v>
      </c>
      <c r="W946" s="47"/>
      <c r="X946" s="49"/>
      <c r="Y946" s="50"/>
      <c r="Z946" s="51"/>
      <c r="AA946" s="52"/>
      <c r="AB946" s="53" t="str">
        <f t="shared" si="201"/>
        <v/>
      </c>
      <c r="AC946" s="48" t="str">
        <f t="shared" si="202"/>
        <v/>
      </c>
      <c r="AD946" s="54" t="str">
        <f t="shared" si="203"/>
        <v/>
      </c>
      <c r="AE946" s="55">
        <f t="shared" si="204"/>
        <v>0</v>
      </c>
      <c r="AF946" s="55">
        <f t="shared" si="205"/>
        <v>0</v>
      </c>
      <c r="AG946" s="58">
        <f t="shared" si="206"/>
        <v>0</v>
      </c>
      <c r="AH946" s="47"/>
      <c r="AJ946" s="47"/>
      <c r="AL946" s="47"/>
      <c r="AM946" s="47" t="str">
        <f t="shared" si="207"/>
        <v/>
      </c>
    </row>
    <row r="947" spans="1:39" s="56" customFormat="1" ht="24.75" customHeight="1">
      <c r="A947" s="44"/>
      <c r="B947" s="45"/>
      <c r="C947" s="46">
        <f>IF(B947&lt;&gt;"",VLOOKUP(B947,'Tipo Projeto'!$A$3:$B$35,2,0),0)</f>
        <v>0</v>
      </c>
      <c r="D947" s="47"/>
      <c r="E947" s="47"/>
      <c r="F947" s="48"/>
      <c r="G947" s="47"/>
      <c r="H947" s="49"/>
      <c r="I947" s="50"/>
      <c r="J947" s="51"/>
      <c r="K947" s="52"/>
      <c r="L947" s="53" t="str">
        <f t="shared" si="195"/>
        <v/>
      </c>
      <c r="M947" s="48" t="str">
        <f t="shared" si="196"/>
        <v/>
      </c>
      <c r="N947" s="54" t="str">
        <f t="shared" si="197"/>
        <v/>
      </c>
      <c r="O947" s="55">
        <f t="shared" si="198"/>
        <v>0</v>
      </c>
      <c r="P947" s="55">
        <f t="shared" si="199"/>
        <v>0</v>
      </c>
      <c r="Q947" s="54">
        <f t="shared" si="200"/>
        <v>0</v>
      </c>
      <c r="R947" s="47"/>
      <c r="T947" s="57"/>
      <c r="U947" s="45"/>
      <c r="V947" s="46">
        <f>IF(U947&lt;&gt;"",VLOOKUP(U947,'Tipo Projeto'!$A$3:$B$35,2,0),0)</f>
        <v>0</v>
      </c>
      <c r="W947" s="47"/>
      <c r="X947" s="49"/>
      <c r="Y947" s="50"/>
      <c r="Z947" s="51"/>
      <c r="AA947" s="52"/>
      <c r="AB947" s="53" t="str">
        <f t="shared" si="201"/>
        <v/>
      </c>
      <c r="AC947" s="48" t="str">
        <f t="shared" si="202"/>
        <v/>
      </c>
      <c r="AD947" s="54" t="str">
        <f t="shared" si="203"/>
        <v/>
      </c>
      <c r="AE947" s="55">
        <f t="shared" si="204"/>
        <v>0</v>
      </c>
      <c r="AF947" s="55">
        <f t="shared" si="205"/>
        <v>0</v>
      </c>
      <c r="AG947" s="58">
        <f t="shared" si="206"/>
        <v>0</v>
      </c>
      <c r="AH947" s="47"/>
      <c r="AJ947" s="47"/>
      <c r="AL947" s="47"/>
      <c r="AM947" s="47" t="str">
        <f t="shared" si="207"/>
        <v/>
      </c>
    </row>
    <row r="948" spans="1:39" s="56" customFormat="1" ht="24.75" customHeight="1">
      <c r="A948" s="44"/>
      <c r="B948" s="45"/>
      <c r="C948" s="46">
        <f>IF(B948&lt;&gt;"",VLOOKUP(B948,'Tipo Projeto'!$A$3:$B$35,2,0),0)</f>
        <v>0</v>
      </c>
      <c r="D948" s="47"/>
      <c r="E948" s="47"/>
      <c r="F948" s="48"/>
      <c r="G948" s="47"/>
      <c r="H948" s="49"/>
      <c r="I948" s="50"/>
      <c r="J948" s="51"/>
      <c r="K948" s="52"/>
      <c r="L948" s="53" t="str">
        <f t="shared" si="195"/>
        <v/>
      </c>
      <c r="M948" s="48" t="str">
        <f t="shared" si="196"/>
        <v/>
      </c>
      <c r="N948" s="54" t="str">
        <f t="shared" si="197"/>
        <v/>
      </c>
      <c r="O948" s="55">
        <f t="shared" si="198"/>
        <v>0</v>
      </c>
      <c r="P948" s="55">
        <f t="shared" si="199"/>
        <v>0</v>
      </c>
      <c r="Q948" s="54">
        <f t="shared" si="200"/>
        <v>0</v>
      </c>
      <c r="R948" s="47"/>
      <c r="T948" s="57"/>
      <c r="U948" s="45"/>
      <c r="V948" s="46">
        <f>IF(U948&lt;&gt;"",VLOOKUP(U948,'Tipo Projeto'!$A$3:$B$35,2,0),0)</f>
        <v>0</v>
      </c>
      <c r="W948" s="47"/>
      <c r="X948" s="49"/>
      <c r="Y948" s="50"/>
      <c r="Z948" s="51"/>
      <c r="AA948" s="52"/>
      <c r="AB948" s="53" t="str">
        <f t="shared" si="201"/>
        <v/>
      </c>
      <c r="AC948" s="48" t="str">
        <f t="shared" si="202"/>
        <v/>
      </c>
      <c r="AD948" s="54" t="str">
        <f t="shared" si="203"/>
        <v/>
      </c>
      <c r="AE948" s="55">
        <f t="shared" si="204"/>
        <v>0</v>
      </c>
      <c r="AF948" s="55">
        <f t="shared" si="205"/>
        <v>0</v>
      </c>
      <c r="AG948" s="58">
        <f t="shared" si="206"/>
        <v>0</v>
      </c>
      <c r="AH948" s="47"/>
      <c r="AJ948" s="47"/>
      <c r="AL948" s="47"/>
      <c r="AM948" s="47" t="str">
        <f t="shared" si="207"/>
        <v/>
      </c>
    </row>
    <row r="949" spans="1:39" s="56" customFormat="1" ht="24.75" customHeight="1">
      <c r="A949" s="44"/>
      <c r="B949" s="45"/>
      <c r="C949" s="46">
        <f>IF(B949&lt;&gt;"",VLOOKUP(B949,'Tipo Projeto'!$A$3:$B$35,2,0),0)</f>
        <v>0</v>
      </c>
      <c r="D949" s="47"/>
      <c r="E949" s="47"/>
      <c r="F949" s="48"/>
      <c r="G949" s="47"/>
      <c r="H949" s="49"/>
      <c r="I949" s="50"/>
      <c r="J949" s="51"/>
      <c r="K949" s="52"/>
      <c r="L949" s="53" t="str">
        <f t="shared" ref="L949:L1012" si="208">IF(G949="EE",IF(OR(AND(OR(J949=1,J949=0),H949&gt;0,H949&lt;5),AND(OR(J949=1,J949=0),H949&gt;4,H949&lt;16),AND(J949=2,H949&gt;0,H949&lt;5)),"Simples",IF(OR(AND(OR(J949=1,J949=0),H949&gt;15),AND(J949=2,H949&gt;4,H949&lt;16),AND(J949&gt;2,H949&gt;0,H949&lt;5)),"Médio",IF(OR(AND(J949=2,H949&gt;15),AND(J949&gt;2,H949&gt;4,H949&lt;16),AND(J949&gt;2,H949&gt;15)),"Complexo",""))), IF(OR(G949="CE",G949="SE"),IF(OR(AND(OR(J949=1,J949=0),H949&gt;0,H949&lt;6),AND(OR(J949=1,J949=0),H949&gt;5,H949&lt;20),AND(J949&gt;1,J949&lt;4,H949&gt;0,H949&lt;6)),"Simples",IF(OR(AND(OR(J949=1,J949=0),H949&gt;19),AND(J949&gt;1,J949&lt;4,H949&gt;5,H949&lt;20),AND(J949&gt;3,H949&gt;0,H949&lt;6)),"Médio",IF(OR(AND(J949&gt;1,J949&lt;4,H949&gt;19),AND(J949&gt;3,H949&gt;5,H949&lt;20),AND(J949&gt;3,H949&gt;19)),"Complexo",""))),""))</f>
        <v/>
      </c>
      <c r="M949" s="48" t="str">
        <f t="shared" ref="M949:M1012" si="209">IF(G949="ALI",IF(OR(AND(OR(J949=1,J949=0),H949&gt;0,H949&lt;20),AND(OR(J949=1,J949=0),H949&gt;19,H949&lt;51),AND(J949&gt;1,J949&lt;6,H949&gt;0,H949&lt;20)),"Simples",IF(OR(AND(OR(J949=1,J949=0),H949&gt;50),AND(J949&gt;1,J949&lt;6,H949&gt;19,H949&lt;51),AND(J949&gt;5,H949&gt;0,H949&lt;20)),"Médio",IF(OR(AND(J949&gt;1,J949&lt;6,H949&gt;50),AND(J949&gt;5,H949&gt;19,H949&lt;51),AND(J949&gt;5,H949&gt;50)),"Complexo",""))), IF(G949="AIE",IF(OR(AND(OR(J949=1, J949=0),H949&gt;0,H949&lt;20),AND(OR(J949=1, J949=0),H949&gt;19,H949&lt;51),AND(J949&gt;1,J949&lt;6,H949&gt;0,H949&lt;20)),"Simples",IF(OR(AND(OR(J949=1, J949=0),H949&gt;50),AND(J949&gt;1,J949&lt;6,H949&gt;19,H949&lt;51),AND(J949&gt;5,H949&gt;0,H949&lt;20)),"Médio",IF(OR(AND(J949&gt;1,J949&lt;6,H949&gt;50),AND(J949&gt;5,H949&gt;19,H949&lt;51),AND(J949&gt;5,H949&gt;50)),"Complexo",""))),""))</f>
        <v/>
      </c>
      <c r="N949" s="54" t="str">
        <f t="shared" ref="N949:N1012" si="210">IF(L949="",M949,IF(M949="",L949,""))</f>
        <v/>
      </c>
      <c r="O949" s="55">
        <f t="shared" ref="O949:O1012" si="211">IF(AND(OR(G949="EE",G949="CE"),N949="Simples"),3, IF(AND(OR(G949="EE",G949="CE"),N949="Médio"),4, IF(AND(OR(G949="EE",G949="CE"),N949="Complexo"),6, IF(AND(G949="SE",N949="Simples"),4, IF(AND(G949="SE",N949="Médio"),5, IF(AND(G949="SE",N949="Complexo"),7,0))))))</f>
        <v>0</v>
      </c>
      <c r="P949" s="55">
        <f t="shared" ref="P949:P1012" si="212">IF(AND(G949="ALI",M949="Simples"),7, IF(AND(G949="ALI",M949="Médio"),10, IF(AND(G949="ALI",M949="Complexo"),15, IF(AND(G949="AIE",M949="Simples"),5, IF(AND(G949="AIE",M949="Médio"),7, IF(AND(G949="AIE",M949="Complexo"),10,0))))))</f>
        <v>0</v>
      </c>
      <c r="Q949" s="54">
        <f t="shared" ref="Q949:Q1012" si="213">IF(B949&lt;&gt;"Manutenção em interface",IF(B949&lt;&gt;"Desenv., Manutenção e Publicação de Páginas Estáticas",(O949+P949)*C949,C949),C949)</f>
        <v>0</v>
      </c>
      <c r="R949" s="47"/>
      <c r="T949" s="57"/>
      <c r="U949" s="45"/>
      <c r="V949" s="46">
        <f>IF(U949&lt;&gt;"",VLOOKUP(U949,'Tipo Projeto'!$A$3:$B$35,2,0),0)</f>
        <v>0</v>
      </c>
      <c r="W949" s="47"/>
      <c r="X949" s="49"/>
      <c r="Y949" s="50"/>
      <c r="Z949" s="51"/>
      <c r="AA949" s="52"/>
      <c r="AB949" s="53" t="str">
        <f t="shared" ref="AB949:AB1012" si="214">IF(W949="EE",IF(OR(AND(OR(Z949=1,Z949=0),X949&gt;0,X949&lt;5),AND(OR(Z949=1,Z949=0),X949&gt;4,X949&lt;16),AND(Z949=2,X949&gt;0,X949&lt;5)),"Simples",IF(OR(AND(OR(Z949=1,Z949=0),X949&gt;15),AND(Z949=2,X949&gt;4,X949&lt;16),AND(Z949&gt;2,X949&gt;0,X949&lt;5)),"Médio",IF(OR(AND(Z949=2,X949&gt;15),AND(Z949&gt;2,X949&gt;4,X949&lt;16),AND(Z949&gt;2,X949&gt;15)),"Complexo",""))), IF(OR(W949="CE",W949="SE"),IF(OR(AND(OR(Z949=1,Z949=0),X949&gt;0,X949&lt;6),AND(OR(Z949=1,Z949=0),X949&gt;5,X949&lt;20),AND(Z949&gt;1,Z949&lt;4,X949&gt;0,X949&lt;6)),"Simples",IF(OR(AND(OR(Z949=1,Z949=0),X949&gt;19),AND(Z949&gt;1,Z949&lt;4,X949&gt;5,X949&lt;20),AND(Z949&gt;3,X949&gt;0,X949&lt;6)),"Médio",IF(OR(AND(Z949&gt;1,Z949&lt;4,X949&gt;19),AND(Z949&gt;3,X949&gt;5,X949&lt;20),AND(Z949&gt;3,X949&gt;19)),"Complexo",""))),""))</f>
        <v/>
      </c>
      <c r="AC949" s="48" t="str">
        <f t="shared" ref="AC949:AC1012" si="215">IF(W949="ALI",IF(OR(AND(OR(Z949=1,Z949=0),X949&gt;0,X949&lt;20),AND(OR(Z949=1,Z949=0),X949&gt;19,X949&lt;51),AND(Z949&gt;1,Z949&lt;6,X949&gt;0,X949&lt;20)),"Simples",IF(OR(AND(OR(Z949=1,Z949=0),X949&gt;50),AND(Z949&gt;1,Z949&lt;6,X949&gt;19,X949&lt;51),AND(Z949&gt;5,X949&gt;0,X949&lt;20)),"Médio",IF(OR(AND(Z949&gt;1,Z949&lt;6,X949&gt;50),AND(Z949&gt;5,X949&gt;19,X949&lt;51),AND(Z949&gt;5,X949&gt;50)),"Complexo",""))), IF(W949="AIE",IF(OR(AND(OR(Z949=1, Z949=0),X949&gt;0,X949&lt;20),AND(OR(Z949=1, Z949=0),X949&gt;19,X949&lt;51),AND(Z949&gt;1,Z949&lt;6,X949&gt;0,X949&lt;20)),"Simples",IF(OR(AND(OR(Z949=1, Z949=0),X949&gt;50),AND(Z949&gt;1,Z949&lt;6,X949&gt;19,X949&lt;51),AND(Z949&gt;5,X949&gt;0,X949&lt;20)),"Médio",IF(OR(AND(Z949&gt;1,Z949&lt;6,X949&gt;50),AND(Z949&gt;5,X949&gt;19,X949&lt;51),AND(Z949&gt;5,X949&gt;50)),"Complexo",""))),""))</f>
        <v/>
      </c>
      <c r="AD949" s="54" t="str">
        <f t="shared" ref="AD949:AD1012" si="216">IF(AB949="",AC949,IF(AC949="",AB949,""))</f>
        <v/>
      </c>
      <c r="AE949" s="55">
        <f t="shared" ref="AE949:AE1012" si="217">IF(AND(OR(W949="EE",W949="CE"),AD949="Simples"),3, IF(AND(OR(W949="EE",W949="CE"),AD949="Médio"),4, IF(AND(OR(W949="EE",W949="CE"),AD949="Complexo"),6, IF(AND(W949="SE",AD949="Simples"),4, IF(AND(W949="SE",AD949="Médio"),5, IF(AND(W949="SE",AD949="Complexo"),7,0))))))</f>
        <v>0</v>
      </c>
      <c r="AF949" s="55">
        <f t="shared" ref="AF949:AF1012" si="218">IF(AND(W949="ALI",AC949="Simples"),7, IF(AND(W949="ALI",AC949="Médio"),10, IF(AND(W949="ALI",AC949="Complexo"),15, IF(AND(W949="AIE",AC949="Simples"),5, IF(AND(W949="AIE",AC949="Médio"),7, IF(AND(W949="AIE",AC949="Complexo"),10,0))))))</f>
        <v>0</v>
      </c>
      <c r="AG949" s="58">
        <f t="shared" ref="AG949:AG1012" si="219">IF(T949="OK",Q949,( IF(U949&lt;&gt;"Manutenção em interface",IF(U949&lt;&gt;"Desenv., Manutenção e Publicação de Páginas Estáticas",(AE949+AF949)*V949,V949),V949)))</f>
        <v>0</v>
      </c>
      <c r="AH949" s="47"/>
      <c r="AJ949" s="47"/>
      <c r="AL949" s="47"/>
      <c r="AM949" s="47" t="str">
        <f t="shared" ref="AM949:AM1012" si="220">IF(AG949=0,"",IF(AG949=Q949,"OK","Divergente"))</f>
        <v/>
      </c>
    </row>
    <row r="950" spans="1:39" s="56" customFormat="1" ht="24.75" customHeight="1">
      <c r="A950" s="44"/>
      <c r="B950" s="45"/>
      <c r="C950" s="46">
        <f>IF(B950&lt;&gt;"",VLOOKUP(B950,'Tipo Projeto'!$A$3:$B$35,2,0),0)</f>
        <v>0</v>
      </c>
      <c r="D950" s="47"/>
      <c r="E950" s="47"/>
      <c r="F950" s="48"/>
      <c r="G950" s="47"/>
      <c r="H950" s="49"/>
      <c r="I950" s="50"/>
      <c r="J950" s="51"/>
      <c r="K950" s="52"/>
      <c r="L950" s="53" t="str">
        <f t="shared" si="208"/>
        <v/>
      </c>
      <c r="M950" s="48" t="str">
        <f t="shared" si="209"/>
        <v/>
      </c>
      <c r="N950" s="54" t="str">
        <f t="shared" si="210"/>
        <v/>
      </c>
      <c r="O950" s="55">
        <f t="shared" si="211"/>
        <v>0</v>
      </c>
      <c r="P950" s="55">
        <f t="shared" si="212"/>
        <v>0</v>
      </c>
      <c r="Q950" s="54">
        <f t="shared" si="213"/>
        <v>0</v>
      </c>
      <c r="R950" s="47"/>
      <c r="T950" s="57"/>
      <c r="U950" s="45"/>
      <c r="V950" s="46">
        <f>IF(U950&lt;&gt;"",VLOOKUP(U950,'Tipo Projeto'!$A$3:$B$35,2,0),0)</f>
        <v>0</v>
      </c>
      <c r="W950" s="47"/>
      <c r="X950" s="49"/>
      <c r="Y950" s="50"/>
      <c r="Z950" s="51"/>
      <c r="AA950" s="52"/>
      <c r="AB950" s="53" t="str">
        <f t="shared" si="214"/>
        <v/>
      </c>
      <c r="AC950" s="48" t="str">
        <f t="shared" si="215"/>
        <v/>
      </c>
      <c r="AD950" s="54" t="str">
        <f t="shared" si="216"/>
        <v/>
      </c>
      <c r="AE950" s="55">
        <f t="shared" si="217"/>
        <v>0</v>
      </c>
      <c r="AF950" s="55">
        <f t="shared" si="218"/>
        <v>0</v>
      </c>
      <c r="AG950" s="58">
        <f t="shared" si="219"/>
        <v>0</v>
      </c>
      <c r="AH950" s="47"/>
      <c r="AJ950" s="47"/>
      <c r="AL950" s="47"/>
      <c r="AM950" s="47" t="str">
        <f t="shared" si="220"/>
        <v/>
      </c>
    </row>
    <row r="951" spans="1:39" s="56" customFormat="1" ht="24.75" customHeight="1">
      <c r="A951" s="44"/>
      <c r="B951" s="45"/>
      <c r="C951" s="46">
        <f>IF(B951&lt;&gt;"",VLOOKUP(B951,'Tipo Projeto'!$A$3:$B$35,2,0),0)</f>
        <v>0</v>
      </c>
      <c r="D951" s="47"/>
      <c r="E951" s="47"/>
      <c r="F951" s="48"/>
      <c r="G951" s="47"/>
      <c r="H951" s="49"/>
      <c r="I951" s="50"/>
      <c r="J951" s="51"/>
      <c r="K951" s="52"/>
      <c r="L951" s="53" t="str">
        <f t="shared" si="208"/>
        <v/>
      </c>
      <c r="M951" s="48" t="str">
        <f t="shared" si="209"/>
        <v/>
      </c>
      <c r="N951" s="54" t="str">
        <f t="shared" si="210"/>
        <v/>
      </c>
      <c r="O951" s="55">
        <f t="shared" si="211"/>
        <v>0</v>
      </c>
      <c r="P951" s="55">
        <f t="shared" si="212"/>
        <v>0</v>
      </c>
      <c r="Q951" s="54">
        <f t="shared" si="213"/>
        <v>0</v>
      </c>
      <c r="R951" s="47"/>
      <c r="T951" s="57"/>
      <c r="U951" s="45"/>
      <c r="V951" s="46">
        <f>IF(U951&lt;&gt;"",VLOOKUP(U951,'Tipo Projeto'!$A$3:$B$35,2,0),0)</f>
        <v>0</v>
      </c>
      <c r="W951" s="47"/>
      <c r="X951" s="49"/>
      <c r="Y951" s="50"/>
      <c r="Z951" s="51"/>
      <c r="AA951" s="52"/>
      <c r="AB951" s="53" t="str">
        <f t="shared" si="214"/>
        <v/>
      </c>
      <c r="AC951" s="48" t="str">
        <f t="shared" si="215"/>
        <v/>
      </c>
      <c r="AD951" s="54" t="str">
        <f t="shared" si="216"/>
        <v/>
      </c>
      <c r="AE951" s="55">
        <f t="shared" si="217"/>
        <v>0</v>
      </c>
      <c r="AF951" s="55">
        <f t="shared" si="218"/>
        <v>0</v>
      </c>
      <c r="AG951" s="58">
        <f t="shared" si="219"/>
        <v>0</v>
      </c>
      <c r="AH951" s="47"/>
      <c r="AJ951" s="47"/>
      <c r="AL951" s="47"/>
      <c r="AM951" s="47" t="str">
        <f t="shared" si="220"/>
        <v/>
      </c>
    </row>
    <row r="952" spans="1:39" s="56" customFormat="1" ht="24.75" customHeight="1">
      <c r="A952" s="44"/>
      <c r="B952" s="45"/>
      <c r="C952" s="46">
        <f>IF(B952&lt;&gt;"",VLOOKUP(B952,'Tipo Projeto'!$A$3:$B$35,2,0),0)</f>
        <v>0</v>
      </c>
      <c r="D952" s="47"/>
      <c r="E952" s="47"/>
      <c r="F952" s="48"/>
      <c r="G952" s="47"/>
      <c r="H952" s="49"/>
      <c r="I952" s="50"/>
      <c r="J952" s="51"/>
      <c r="K952" s="52"/>
      <c r="L952" s="53" t="str">
        <f t="shared" si="208"/>
        <v/>
      </c>
      <c r="M952" s="48" t="str">
        <f t="shared" si="209"/>
        <v/>
      </c>
      <c r="N952" s="54" t="str">
        <f t="shared" si="210"/>
        <v/>
      </c>
      <c r="O952" s="55">
        <f t="shared" si="211"/>
        <v>0</v>
      </c>
      <c r="P952" s="55">
        <f t="shared" si="212"/>
        <v>0</v>
      </c>
      <c r="Q952" s="54">
        <f t="shared" si="213"/>
        <v>0</v>
      </c>
      <c r="R952" s="47"/>
      <c r="T952" s="57"/>
      <c r="U952" s="45"/>
      <c r="V952" s="46">
        <f>IF(U952&lt;&gt;"",VLOOKUP(U952,'Tipo Projeto'!$A$3:$B$35,2,0),0)</f>
        <v>0</v>
      </c>
      <c r="W952" s="47"/>
      <c r="X952" s="49"/>
      <c r="Y952" s="50"/>
      <c r="Z952" s="51"/>
      <c r="AA952" s="52"/>
      <c r="AB952" s="53" t="str">
        <f t="shared" si="214"/>
        <v/>
      </c>
      <c r="AC952" s="48" t="str">
        <f t="shared" si="215"/>
        <v/>
      </c>
      <c r="AD952" s="54" t="str">
        <f t="shared" si="216"/>
        <v/>
      </c>
      <c r="AE952" s="55">
        <f t="shared" si="217"/>
        <v>0</v>
      </c>
      <c r="AF952" s="55">
        <f t="shared" si="218"/>
        <v>0</v>
      </c>
      <c r="AG952" s="58">
        <f t="shared" si="219"/>
        <v>0</v>
      </c>
      <c r="AH952" s="47"/>
      <c r="AJ952" s="47"/>
      <c r="AL952" s="47"/>
      <c r="AM952" s="47" t="str">
        <f t="shared" si="220"/>
        <v/>
      </c>
    </row>
    <row r="953" spans="1:39" s="56" customFormat="1" ht="24.75" customHeight="1">
      <c r="A953" s="44"/>
      <c r="B953" s="45"/>
      <c r="C953" s="46">
        <f>IF(B953&lt;&gt;"",VLOOKUP(B953,'Tipo Projeto'!$A$3:$B$35,2,0),0)</f>
        <v>0</v>
      </c>
      <c r="D953" s="47"/>
      <c r="E953" s="47"/>
      <c r="F953" s="48"/>
      <c r="G953" s="47"/>
      <c r="H953" s="49"/>
      <c r="I953" s="50"/>
      <c r="J953" s="51"/>
      <c r="K953" s="52"/>
      <c r="L953" s="53" t="str">
        <f t="shared" si="208"/>
        <v/>
      </c>
      <c r="M953" s="48" t="str">
        <f t="shared" si="209"/>
        <v/>
      </c>
      <c r="N953" s="54" t="str">
        <f t="shared" si="210"/>
        <v/>
      </c>
      <c r="O953" s="55">
        <f t="shared" si="211"/>
        <v>0</v>
      </c>
      <c r="P953" s="55">
        <f t="shared" si="212"/>
        <v>0</v>
      </c>
      <c r="Q953" s="54">
        <f t="shared" si="213"/>
        <v>0</v>
      </c>
      <c r="R953" s="47"/>
      <c r="T953" s="57"/>
      <c r="U953" s="45"/>
      <c r="V953" s="46">
        <f>IF(U953&lt;&gt;"",VLOOKUP(U953,'Tipo Projeto'!$A$3:$B$35,2,0),0)</f>
        <v>0</v>
      </c>
      <c r="W953" s="47"/>
      <c r="X953" s="49"/>
      <c r="Y953" s="50"/>
      <c r="Z953" s="51"/>
      <c r="AA953" s="52"/>
      <c r="AB953" s="53" t="str">
        <f t="shared" si="214"/>
        <v/>
      </c>
      <c r="AC953" s="48" t="str">
        <f t="shared" si="215"/>
        <v/>
      </c>
      <c r="AD953" s="54" t="str">
        <f t="shared" si="216"/>
        <v/>
      </c>
      <c r="AE953" s="55">
        <f t="shared" si="217"/>
        <v>0</v>
      </c>
      <c r="AF953" s="55">
        <f t="shared" si="218"/>
        <v>0</v>
      </c>
      <c r="AG953" s="58">
        <f t="shared" si="219"/>
        <v>0</v>
      </c>
      <c r="AH953" s="47"/>
      <c r="AJ953" s="47"/>
      <c r="AL953" s="47"/>
      <c r="AM953" s="47" t="str">
        <f t="shared" si="220"/>
        <v/>
      </c>
    </row>
    <row r="954" spans="1:39" s="56" customFormat="1" ht="24.75" customHeight="1">
      <c r="A954" s="44"/>
      <c r="B954" s="45"/>
      <c r="C954" s="46">
        <f>IF(B954&lt;&gt;"",VLOOKUP(B954,'Tipo Projeto'!$A$3:$B$35,2,0),0)</f>
        <v>0</v>
      </c>
      <c r="D954" s="47"/>
      <c r="E954" s="47"/>
      <c r="F954" s="48"/>
      <c r="G954" s="47"/>
      <c r="H954" s="49"/>
      <c r="I954" s="50"/>
      <c r="J954" s="51"/>
      <c r="K954" s="52"/>
      <c r="L954" s="53" t="str">
        <f t="shared" si="208"/>
        <v/>
      </c>
      <c r="M954" s="48" t="str">
        <f t="shared" si="209"/>
        <v/>
      </c>
      <c r="N954" s="54" t="str">
        <f t="shared" si="210"/>
        <v/>
      </c>
      <c r="O954" s="55">
        <f t="shared" si="211"/>
        <v>0</v>
      </c>
      <c r="P954" s="55">
        <f t="shared" si="212"/>
        <v>0</v>
      </c>
      <c r="Q954" s="54">
        <f t="shared" si="213"/>
        <v>0</v>
      </c>
      <c r="R954" s="47"/>
      <c r="T954" s="57"/>
      <c r="U954" s="45"/>
      <c r="V954" s="46">
        <f>IF(U954&lt;&gt;"",VLOOKUP(U954,'Tipo Projeto'!$A$3:$B$35,2,0),0)</f>
        <v>0</v>
      </c>
      <c r="W954" s="47"/>
      <c r="X954" s="49"/>
      <c r="Y954" s="50"/>
      <c r="Z954" s="51"/>
      <c r="AA954" s="52"/>
      <c r="AB954" s="53" t="str">
        <f t="shared" si="214"/>
        <v/>
      </c>
      <c r="AC954" s="48" t="str">
        <f t="shared" si="215"/>
        <v/>
      </c>
      <c r="AD954" s="54" t="str">
        <f t="shared" si="216"/>
        <v/>
      </c>
      <c r="AE954" s="55">
        <f t="shared" si="217"/>
        <v>0</v>
      </c>
      <c r="AF954" s="55">
        <f t="shared" si="218"/>
        <v>0</v>
      </c>
      <c r="AG954" s="58">
        <f t="shared" si="219"/>
        <v>0</v>
      </c>
      <c r="AH954" s="47"/>
      <c r="AJ954" s="47"/>
      <c r="AL954" s="47"/>
      <c r="AM954" s="47" t="str">
        <f t="shared" si="220"/>
        <v/>
      </c>
    </row>
    <row r="955" spans="1:39" s="56" customFormat="1" ht="24.75" customHeight="1">
      <c r="A955" s="44"/>
      <c r="B955" s="45"/>
      <c r="C955" s="46">
        <f>IF(B955&lt;&gt;"",VLOOKUP(B955,'Tipo Projeto'!$A$3:$B$35,2,0),0)</f>
        <v>0</v>
      </c>
      <c r="D955" s="47"/>
      <c r="E955" s="47"/>
      <c r="F955" s="48"/>
      <c r="G955" s="47"/>
      <c r="H955" s="49"/>
      <c r="I955" s="50"/>
      <c r="J955" s="51"/>
      <c r="K955" s="52"/>
      <c r="L955" s="53" t="str">
        <f t="shared" si="208"/>
        <v/>
      </c>
      <c r="M955" s="48" t="str">
        <f t="shared" si="209"/>
        <v/>
      </c>
      <c r="N955" s="54" t="str">
        <f t="shared" si="210"/>
        <v/>
      </c>
      <c r="O955" s="55">
        <f t="shared" si="211"/>
        <v>0</v>
      </c>
      <c r="P955" s="55">
        <f t="shared" si="212"/>
        <v>0</v>
      </c>
      <c r="Q955" s="54">
        <f t="shared" si="213"/>
        <v>0</v>
      </c>
      <c r="R955" s="47"/>
      <c r="T955" s="57"/>
      <c r="U955" s="45"/>
      <c r="V955" s="46">
        <f>IF(U955&lt;&gt;"",VLOOKUP(U955,'Tipo Projeto'!$A$3:$B$35,2,0),0)</f>
        <v>0</v>
      </c>
      <c r="W955" s="47"/>
      <c r="X955" s="49"/>
      <c r="Y955" s="50"/>
      <c r="Z955" s="51"/>
      <c r="AA955" s="52"/>
      <c r="AB955" s="53" t="str">
        <f t="shared" si="214"/>
        <v/>
      </c>
      <c r="AC955" s="48" t="str">
        <f t="shared" si="215"/>
        <v/>
      </c>
      <c r="AD955" s="54" t="str">
        <f t="shared" si="216"/>
        <v/>
      </c>
      <c r="AE955" s="55">
        <f t="shared" si="217"/>
        <v>0</v>
      </c>
      <c r="AF955" s="55">
        <f t="shared" si="218"/>
        <v>0</v>
      </c>
      <c r="AG955" s="58">
        <f t="shared" si="219"/>
        <v>0</v>
      </c>
      <c r="AH955" s="47"/>
      <c r="AJ955" s="47"/>
      <c r="AL955" s="47"/>
      <c r="AM955" s="47" t="str">
        <f t="shared" si="220"/>
        <v/>
      </c>
    </row>
    <row r="956" spans="1:39" s="56" customFormat="1" ht="24.75" customHeight="1">
      <c r="A956" s="44"/>
      <c r="B956" s="45"/>
      <c r="C956" s="46">
        <f>IF(B956&lt;&gt;"",VLOOKUP(B956,'Tipo Projeto'!$A$3:$B$35,2,0),0)</f>
        <v>0</v>
      </c>
      <c r="D956" s="47"/>
      <c r="E956" s="47"/>
      <c r="F956" s="48"/>
      <c r="G956" s="47"/>
      <c r="H956" s="49"/>
      <c r="I956" s="50"/>
      <c r="J956" s="51"/>
      <c r="K956" s="52"/>
      <c r="L956" s="53" t="str">
        <f t="shared" si="208"/>
        <v/>
      </c>
      <c r="M956" s="48" t="str">
        <f t="shared" si="209"/>
        <v/>
      </c>
      <c r="N956" s="54" t="str">
        <f t="shared" si="210"/>
        <v/>
      </c>
      <c r="O956" s="55">
        <f t="shared" si="211"/>
        <v>0</v>
      </c>
      <c r="P956" s="55">
        <f t="shared" si="212"/>
        <v>0</v>
      </c>
      <c r="Q956" s="54">
        <f t="shared" si="213"/>
        <v>0</v>
      </c>
      <c r="R956" s="47"/>
      <c r="T956" s="57"/>
      <c r="U956" s="45"/>
      <c r="V956" s="46">
        <f>IF(U956&lt;&gt;"",VLOOKUP(U956,'Tipo Projeto'!$A$3:$B$35,2,0),0)</f>
        <v>0</v>
      </c>
      <c r="W956" s="47"/>
      <c r="X956" s="49"/>
      <c r="Y956" s="50"/>
      <c r="Z956" s="51"/>
      <c r="AA956" s="52"/>
      <c r="AB956" s="53" t="str">
        <f t="shared" si="214"/>
        <v/>
      </c>
      <c r="AC956" s="48" t="str">
        <f t="shared" si="215"/>
        <v/>
      </c>
      <c r="AD956" s="54" t="str">
        <f t="shared" si="216"/>
        <v/>
      </c>
      <c r="AE956" s="55">
        <f t="shared" si="217"/>
        <v>0</v>
      </c>
      <c r="AF956" s="55">
        <f t="shared" si="218"/>
        <v>0</v>
      </c>
      <c r="AG956" s="58">
        <f t="shared" si="219"/>
        <v>0</v>
      </c>
      <c r="AH956" s="47"/>
      <c r="AJ956" s="47"/>
      <c r="AL956" s="47"/>
      <c r="AM956" s="47" t="str">
        <f t="shared" si="220"/>
        <v/>
      </c>
    </row>
    <row r="957" spans="1:39" s="56" customFormat="1" ht="24.75" customHeight="1">
      <c r="A957" s="44"/>
      <c r="B957" s="45"/>
      <c r="C957" s="46">
        <f>IF(B957&lt;&gt;"",VLOOKUP(B957,'Tipo Projeto'!$A$3:$B$35,2,0),0)</f>
        <v>0</v>
      </c>
      <c r="D957" s="47"/>
      <c r="E957" s="47"/>
      <c r="F957" s="48"/>
      <c r="G957" s="47"/>
      <c r="H957" s="49"/>
      <c r="I957" s="50"/>
      <c r="J957" s="51"/>
      <c r="K957" s="52"/>
      <c r="L957" s="53" t="str">
        <f t="shared" si="208"/>
        <v/>
      </c>
      <c r="M957" s="48" t="str">
        <f t="shared" si="209"/>
        <v/>
      </c>
      <c r="N957" s="54" t="str">
        <f t="shared" si="210"/>
        <v/>
      </c>
      <c r="O957" s="55">
        <f t="shared" si="211"/>
        <v>0</v>
      </c>
      <c r="P957" s="55">
        <f t="shared" si="212"/>
        <v>0</v>
      </c>
      <c r="Q957" s="54">
        <f t="shared" si="213"/>
        <v>0</v>
      </c>
      <c r="R957" s="47"/>
      <c r="T957" s="57"/>
      <c r="U957" s="45"/>
      <c r="V957" s="46">
        <f>IF(U957&lt;&gt;"",VLOOKUP(U957,'Tipo Projeto'!$A$3:$B$35,2,0),0)</f>
        <v>0</v>
      </c>
      <c r="W957" s="47"/>
      <c r="X957" s="49"/>
      <c r="Y957" s="50"/>
      <c r="Z957" s="51"/>
      <c r="AA957" s="52"/>
      <c r="AB957" s="53" t="str">
        <f t="shared" si="214"/>
        <v/>
      </c>
      <c r="AC957" s="48" t="str">
        <f t="shared" si="215"/>
        <v/>
      </c>
      <c r="AD957" s="54" t="str">
        <f t="shared" si="216"/>
        <v/>
      </c>
      <c r="AE957" s="55">
        <f t="shared" si="217"/>
        <v>0</v>
      </c>
      <c r="AF957" s="55">
        <f t="shared" si="218"/>
        <v>0</v>
      </c>
      <c r="AG957" s="58">
        <f t="shared" si="219"/>
        <v>0</v>
      </c>
      <c r="AH957" s="47"/>
      <c r="AJ957" s="47"/>
      <c r="AL957" s="47"/>
      <c r="AM957" s="47" t="str">
        <f t="shared" si="220"/>
        <v/>
      </c>
    </row>
    <row r="958" spans="1:39" s="56" customFormat="1" ht="24.75" customHeight="1">
      <c r="A958" s="44"/>
      <c r="B958" s="45"/>
      <c r="C958" s="46">
        <f>IF(B958&lt;&gt;"",VLOOKUP(B958,'Tipo Projeto'!$A$3:$B$35,2,0),0)</f>
        <v>0</v>
      </c>
      <c r="D958" s="47"/>
      <c r="E958" s="47"/>
      <c r="F958" s="48"/>
      <c r="G958" s="47"/>
      <c r="H958" s="49"/>
      <c r="I958" s="50"/>
      <c r="J958" s="51"/>
      <c r="K958" s="52"/>
      <c r="L958" s="53" t="str">
        <f t="shared" si="208"/>
        <v/>
      </c>
      <c r="M958" s="48" t="str">
        <f t="shared" si="209"/>
        <v/>
      </c>
      <c r="N958" s="54" t="str">
        <f t="shared" si="210"/>
        <v/>
      </c>
      <c r="O958" s="55">
        <f t="shared" si="211"/>
        <v>0</v>
      </c>
      <c r="P958" s="55">
        <f t="shared" si="212"/>
        <v>0</v>
      </c>
      <c r="Q958" s="54">
        <f t="shared" si="213"/>
        <v>0</v>
      </c>
      <c r="R958" s="47"/>
      <c r="T958" s="57"/>
      <c r="U958" s="45"/>
      <c r="V958" s="46">
        <f>IF(U958&lt;&gt;"",VLOOKUP(U958,'Tipo Projeto'!$A$3:$B$35,2,0),0)</f>
        <v>0</v>
      </c>
      <c r="W958" s="47"/>
      <c r="X958" s="49"/>
      <c r="Y958" s="50"/>
      <c r="Z958" s="51"/>
      <c r="AA958" s="52"/>
      <c r="AB958" s="53" t="str">
        <f t="shared" si="214"/>
        <v/>
      </c>
      <c r="AC958" s="48" t="str">
        <f t="shared" si="215"/>
        <v/>
      </c>
      <c r="AD958" s="54" t="str">
        <f t="shared" si="216"/>
        <v/>
      </c>
      <c r="AE958" s="55">
        <f t="shared" si="217"/>
        <v>0</v>
      </c>
      <c r="AF958" s="55">
        <f t="shared" si="218"/>
        <v>0</v>
      </c>
      <c r="AG958" s="58">
        <f t="shared" si="219"/>
        <v>0</v>
      </c>
      <c r="AH958" s="47"/>
      <c r="AJ958" s="47"/>
      <c r="AL958" s="47"/>
      <c r="AM958" s="47" t="str">
        <f t="shared" si="220"/>
        <v/>
      </c>
    </row>
    <row r="959" spans="1:39" s="56" customFormat="1" ht="24.75" customHeight="1">
      <c r="A959" s="44"/>
      <c r="B959" s="45"/>
      <c r="C959" s="46">
        <f>IF(B959&lt;&gt;"",VLOOKUP(B959,'Tipo Projeto'!$A$3:$B$35,2,0),0)</f>
        <v>0</v>
      </c>
      <c r="D959" s="47"/>
      <c r="E959" s="47"/>
      <c r="F959" s="48"/>
      <c r="G959" s="47"/>
      <c r="H959" s="49"/>
      <c r="I959" s="50"/>
      <c r="J959" s="51"/>
      <c r="K959" s="52"/>
      <c r="L959" s="53" t="str">
        <f t="shared" si="208"/>
        <v/>
      </c>
      <c r="M959" s="48" t="str">
        <f t="shared" si="209"/>
        <v/>
      </c>
      <c r="N959" s="54" t="str">
        <f t="shared" si="210"/>
        <v/>
      </c>
      <c r="O959" s="55">
        <f t="shared" si="211"/>
        <v>0</v>
      </c>
      <c r="P959" s="55">
        <f t="shared" si="212"/>
        <v>0</v>
      </c>
      <c r="Q959" s="54">
        <f t="shared" si="213"/>
        <v>0</v>
      </c>
      <c r="R959" s="47"/>
      <c r="T959" s="57"/>
      <c r="U959" s="45"/>
      <c r="V959" s="46">
        <f>IF(U959&lt;&gt;"",VLOOKUP(U959,'Tipo Projeto'!$A$3:$B$35,2,0),0)</f>
        <v>0</v>
      </c>
      <c r="W959" s="47"/>
      <c r="X959" s="49"/>
      <c r="Y959" s="50"/>
      <c r="Z959" s="51"/>
      <c r="AA959" s="52"/>
      <c r="AB959" s="53" t="str">
        <f t="shared" si="214"/>
        <v/>
      </c>
      <c r="AC959" s="48" t="str">
        <f t="shared" si="215"/>
        <v/>
      </c>
      <c r="AD959" s="54" t="str">
        <f t="shared" si="216"/>
        <v/>
      </c>
      <c r="AE959" s="55">
        <f t="shared" si="217"/>
        <v>0</v>
      </c>
      <c r="AF959" s="55">
        <f t="shared" si="218"/>
        <v>0</v>
      </c>
      <c r="AG959" s="58">
        <f t="shared" si="219"/>
        <v>0</v>
      </c>
      <c r="AH959" s="47"/>
      <c r="AJ959" s="47"/>
      <c r="AL959" s="47"/>
      <c r="AM959" s="47" t="str">
        <f t="shared" si="220"/>
        <v/>
      </c>
    </row>
    <row r="960" spans="1:39" s="56" customFormat="1" ht="24.75" customHeight="1">
      <c r="A960" s="44"/>
      <c r="B960" s="45"/>
      <c r="C960" s="46">
        <f>IF(B960&lt;&gt;"",VLOOKUP(B960,'Tipo Projeto'!$A$3:$B$35,2,0),0)</f>
        <v>0</v>
      </c>
      <c r="D960" s="47"/>
      <c r="E960" s="47"/>
      <c r="F960" s="48"/>
      <c r="G960" s="47"/>
      <c r="H960" s="49"/>
      <c r="I960" s="50"/>
      <c r="J960" s="51"/>
      <c r="K960" s="52"/>
      <c r="L960" s="53" t="str">
        <f t="shared" si="208"/>
        <v/>
      </c>
      <c r="M960" s="48" t="str">
        <f t="shared" si="209"/>
        <v/>
      </c>
      <c r="N960" s="54" t="str">
        <f t="shared" si="210"/>
        <v/>
      </c>
      <c r="O960" s="55">
        <f t="shared" si="211"/>
        <v>0</v>
      </c>
      <c r="P960" s="55">
        <f t="shared" si="212"/>
        <v>0</v>
      </c>
      <c r="Q960" s="54">
        <f t="shared" si="213"/>
        <v>0</v>
      </c>
      <c r="R960" s="47"/>
      <c r="T960" s="57"/>
      <c r="U960" s="45"/>
      <c r="V960" s="46">
        <f>IF(U960&lt;&gt;"",VLOOKUP(U960,'Tipo Projeto'!$A$3:$B$35,2,0),0)</f>
        <v>0</v>
      </c>
      <c r="W960" s="47"/>
      <c r="X960" s="49"/>
      <c r="Y960" s="50"/>
      <c r="Z960" s="51"/>
      <c r="AA960" s="52"/>
      <c r="AB960" s="53" t="str">
        <f t="shared" si="214"/>
        <v/>
      </c>
      <c r="AC960" s="48" t="str">
        <f t="shared" si="215"/>
        <v/>
      </c>
      <c r="AD960" s="54" t="str">
        <f t="shared" si="216"/>
        <v/>
      </c>
      <c r="AE960" s="55">
        <f t="shared" si="217"/>
        <v>0</v>
      </c>
      <c r="AF960" s="55">
        <f t="shared" si="218"/>
        <v>0</v>
      </c>
      <c r="AG960" s="58">
        <f t="shared" si="219"/>
        <v>0</v>
      </c>
      <c r="AH960" s="47"/>
      <c r="AJ960" s="47"/>
      <c r="AL960" s="47"/>
      <c r="AM960" s="47" t="str">
        <f t="shared" si="220"/>
        <v/>
      </c>
    </row>
    <row r="961" spans="1:39" s="56" customFormat="1" ht="24.75" customHeight="1">
      <c r="A961" s="44"/>
      <c r="B961" s="45"/>
      <c r="C961" s="46">
        <f>IF(B961&lt;&gt;"",VLOOKUP(B961,'Tipo Projeto'!$A$3:$B$35,2,0),0)</f>
        <v>0</v>
      </c>
      <c r="D961" s="47"/>
      <c r="E961" s="47"/>
      <c r="F961" s="48"/>
      <c r="G961" s="47"/>
      <c r="H961" s="49"/>
      <c r="I961" s="50"/>
      <c r="J961" s="51"/>
      <c r="K961" s="52"/>
      <c r="L961" s="53" t="str">
        <f t="shared" si="208"/>
        <v/>
      </c>
      <c r="M961" s="48" t="str">
        <f t="shared" si="209"/>
        <v/>
      </c>
      <c r="N961" s="54" t="str">
        <f t="shared" si="210"/>
        <v/>
      </c>
      <c r="O961" s="55">
        <f t="shared" si="211"/>
        <v>0</v>
      </c>
      <c r="P961" s="55">
        <f t="shared" si="212"/>
        <v>0</v>
      </c>
      <c r="Q961" s="54">
        <f t="shared" si="213"/>
        <v>0</v>
      </c>
      <c r="R961" s="47"/>
      <c r="T961" s="57"/>
      <c r="U961" s="45"/>
      <c r="V961" s="46">
        <f>IF(U961&lt;&gt;"",VLOOKUP(U961,'Tipo Projeto'!$A$3:$B$35,2,0),0)</f>
        <v>0</v>
      </c>
      <c r="W961" s="47"/>
      <c r="X961" s="49"/>
      <c r="Y961" s="50"/>
      <c r="Z961" s="51"/>
      <c r="AA961" s="52"/>
      <c r="AB961" s="53" t="str">
        <f t="shared" si="214"/>
        <v/>
      </c>
      <c r="AC961" s="48" t="str">
        <f t="shared" si="215"/>
        <v/>
      </c>
      <c r="AD961" s="54" t="str">
        <f t="shared" si="216"/>
        <v/>
      </c>
      <c r="AE961" s="55">
        <f t="shared" si="217"/>
        <v>0</v>
      </c>
      <c r="AF961" s="55">
        <f t="shared" si="218"/>
        <v>0</v>
      </c>
      <c r="AG961" s="58">
        <f t="shared" si="219"/>
        <v>0</v>
      </c>
      <c r="AH961" s="47"/>
      <c r="AJ961" s="47"/>
      <c r="AL961" s="47"/>
      <c r="AM961" s="47" t="str">
        <f t="shared" si="220"/>
        <v/>
      </c>
    </row>
    <row r="962" spans="1:39" s="56" customFormat="1" ht="24.75" customHeight="1">
      <c r="A962" s="44"/>
      <c r="B962" s="45"/>
      <c r="C962" s="46">
        <f>IF(B962&lt;&gt;"",VLOOKUP(B962,'Tipo Projeto'!$A$3:$B$35,2,0),0)</f>
        <v>0</v>
      </c>
      <c r="D962" s="47"/>
      <c r="E962" s="47"/>
      <c r="F962" s="48"/>
      <c r="G962" s="47"/>
      <c r="H962" s="49"/>
      <c r="I962" s="50"/>
      <c r="J962" s="51"/>
      <c r="K962" s="52"/>
      <c r="L962" s="53" t="str">
        <f t="shared" si="208"/>
        <v/>
      </c>
      <c r="M962" s="48" t="str">
        <f t="shared" si="209"/>
        <v/>
      </c>
      <c r="N962" s="54" t="str">
        <f t="shared" si="210"/>
        <v/>
      </c>
      <c r="O962" s="55">
        <f t="shared" si="211"/>
        <v>0</v>
      </c>
      <c r="P962" s="55">
        <f t="shared" si="212"/>
        <v>0</v>
      </c>
      <c r="Q962" s="54">
        <f t="shared" si="213"/>
        <v>0</v>
      </c>
      <c r="R962" s="47"/>
      <c r="T962" s="57"/>
      <c r="U962" s="45"/>
      <c r="V962" s="46">
        <f>IF(U962&lt;&gt;"",VLOOKUP(U962,'Tipo Projeto'!$A$3:$B$35,2,0),0)</f>
        <v>0</v>
      </c>
      <c r="W962" s="47"/>
      <c r="X962" s="49"/>
      <c r="Y962" s="50"/>
      <c r="Z962" s="51"/>
      <c r="AA962" s="52"/>
      <c r="AB962" s="53" t="str">
        <f t="shared" si="214"/>
        <v/>
      </c>
      <c r="AC962" s="48" t="str">
        <f t="shared" si="215"/>
        <v/>
      </c>
      <c r="AD962" s="54" t="str">
        <f t="shared" si="216"/>
        <v/>
      </c>
      <c r="AE962" s="55">
        <f t="shared" si="217"/>
        <v>0</v>
      </c>
      <c r="AF962" s="55">
        <f t="shared" si="218"/>
        <v>0</v>
      </c>
      <c r="AG962" s="58">
        <f t="shared" si="219"/>
        <v>0</v>
      </c>
      <c r="AH962" s="47"/>
      <c r="AJ962" s="47"/>
      <c r="AL962" s="47"/>
      <c r="AM962" s="47" t="str">
        <f t="shared" si="220"/>
        <v/>
      </c>
    </row>
    <row r="963" spans="1:39" s="56" customFormat="1" ht="24.75" customHeight="1">
      <c r="A963" s="44"/>
      <c r="B963" s="45"/>
      <c r="C963" s="46">
        <f>IF(B963&lt;&gt;"",VLOOKUP(B963,'Tipo Projeto'!$A$3:$B$35,2,0),0)</f>
        <v>0</v>
      </c>
      <c r="D963" s="47"/>
      <c r="E963" s="47"/>
      <c r="F963" s="48"/>
      <c r="G963" s="47"/>
      <c r="H963" s="49"/>
      <c r="I963" s="50"/>
      <c r="J963" s="51"/>
      <c r="K963" s="52"/>
      <c r="L963" s="53" t="str">
        <f t="shared" si="208"/>
        <v/>
      </c>
      <c r="M963" s="48" t="str">
        <f t="shared" si="209"/>
        <v/>
      </c>
      <c r="N963" s="54" t="str">
        <f t="shared" si="210"/>
        <v/>
      </c>
      <c r="O963" s="55">
        <f t="shared" si="211"/>
        <v>0</v>
      </c>
      <c r="P963" s="55">
        <f t="shared" si="212"/>
        <v>0</v>
      </c>
      <c r="Q963" s="54">
        <f t="shared" si="213"/>
        <v>0</v>
      </c>
      <c r="R963" s="47"/>
      <c r="T963" s="57"/>
      <c r="U963" s="45"/>
      <c r="V963" s="46">
        <f>IF(U963&lt;&gt;"",VLOOKUP(U963,'Tipo Projeto'!$A$3:$B$35,2,0),0)</f>
        <v>0</v>
      </c>
      <c r="W963" s="47"/>
      <c r="X963" s="49"/>
      <c r="Y963" s="50"/>
      <c r="Z963" s="51"/>
      <c r="AA963" s="52"/>
      <c r="AB963" s="53" t="str">
        <f t="shared" si="214"/>
        <v/>
      </c>
      <c r="AC963" s="48" t="str">
        <f t="shared" si="215"/>
        <v/>
      </c>
      <c r="AD963" s="54" t="str">
        <f t="shared" si="216"/>
        <v/>
      </c>
      <c r="AE963" s="55">
        <f t="shared" si="217"/>
        <v>0</v>
      </c>
      <c r="AF963" s="55">
        <f t="shared" si="218"/>
        <v>0</v>
      </c>
      <c r="AG963" s="58">
        <f t="shared" si="219"/>
        <v>0</v>
      </c>
      <c r="AH963" s="47"/>
      <c r="AJ963" s="47"/>
      <c r="AL963" s="47"/>
      <c r="AM963" s="47" t="str">
        <f t="shared" si="220"/>
        <v/>
      </c>
    </row>
    <row r="964" spans="1:39" s="56" customFormat="1" ht="24.75" customHeight="1">
      <c r="A964" s="44"/>
      <c r="B964" s="45"/>
      <c r="C964" s="46">
        <f>IF(B964&lt;&gt;"",VLOOKUP(B964,'Tipo Projeto'!$A$3:$B$35,2,0),0)</f>
        <v>0</v>
      </c>
      <c r="D964" s="47"/>
      <c r="E964" s="47"/>
      <c r="F964" s="48"/>
      <c r="G964" s="47"/>
      <c r="H964" s="49"/>
      <c r="I964" s="50"/>
      <c r="J964" s="51"/>
      <c r="K964" s="52"/>
      <c r="L964" s="53" t="str">
        <f t="shared" si="208"/>
        <v/>
      </c>
      <c r="M964" s="48" t="str">
        <f t="shared" si="209"/>
        <v/>
      </c>
      <c r="N964" s="54" t="str">
        <f t="shared" si="210"/>
        <v/>
      </c>
      <c r="O964" s="55">
        <f t="shared" si="211"/>
        <v>0</v>
      </c>
      <c r="P964" s="55">
        <f t="shared" si="212"/>
        <v>0</v>
      </c>
      <c r="Q964" s="54">
        <f t="shared" si="213"/>
        <v>0</v>
      </c>
      <c r="R964" s="47"/>
      <c r="T964" s="57"/>
      <c r="U964" s="45"/>
      <c r="V964" s="46">
        <f>IF(U964&lt;&gt;"",VLOOKUP(U964,'Tipo Projeto'!$A$3:$B$35,2,0),0)</f>
        <v>0</v>
      </c>
      <c r="W964" s="47"/>
      <c r="X964" s="49"/>
      <c r="Y964" s="50"/>
      <c r="Z964" s="51"/>
      <c r="AA964" s="52"/>
      <c r="AB964" s="53" t="str">
        <f t="shared" si="214"/>
        <v/>
      </c>
      <c r="AC964" s="48" t="str">
        <f t="shared" si="215"/>
        <v/>
      </c>
      <c r="AD964" s="54" t="str">
        <f t="shared" si="216"/>
        <v/>
      </c>
      <c r="AE964" s="55">
        <f t="shared" si="217"/>
        <v>0</v>
      </c>
      <c r="AF964" s="55">
        <f t="shared" si="218"/>
        <v>0</v>
      </c>
      <c r="AG964" s="58">
        <f t="shared" si="219"/>
        <v>0</v>
      </c>
      <c r="AH964" s="47"/>
      <c r="AJ964" s="47"/>
      <c r="AL964" s="47"/>
      <c r="AM964" s="47" t="str">
        <f t="shared" si="220"/>
        <v/>
      </c>
    </row>
    <row r="965" spans="1:39" s="56" customFormat="1" ht="24.75" customHeight="1">
      <c r="A965" s="44"/>
      <c r="B965" s="45"/>
      <c r="C965" s="46">
        <f>IF(B965&lt;&gt;"",VLOOKUP(B965,'Tipo Projeto'!$A$3:$B$35,2,0),0)</f>
        <v>0</v>
      </c>
      <c r="D965" s="47"/>
      <c r="E965" s="47"/>
      <c r="F965" s="48"/>
      <c r="G965" s="47"/>
      <c r="H965" s="49"/>
      <c r="I965" s="50"/>
      <c r="J965" s="51"/>
      <c r="K965" s="52"/>
      <c r="L965" s="53" t="str">
        <f t="shared" si="208"/>
        <v/>
      </c>
      <c r="M965" s="48" t="str">
        <f t="shared" si="209"/>
        <v/>
      </c>
      <c r="N965" s="54" t="str">
        <f t="shared" si="210"/>
        <v/>
      </c>
      <c r="O965" s="55">
        <f t="shared" si="211"/>
        <v>0</v>
      </c>
      <c r="P965" s="55">
        <f t="shared" si="212"/>
        <v>0</v>
      </c>
      <c r="Q965" s="54">
        <f t="shared" si="213"/>
        <v>0</v>
      </c>
      <c r="R965" s="47"/>
      <c r="T965" s="57"/>
      <c r="U965" s="45"/>
      <c r="V965" s="46">
        <f>IF(U965&lt;&gt;"",VLOOKUP(U965,'Tipo Projeto'!$A$3:$B$35,2,0),0)</f>
        <v>0</v>
      </c>
      <c r="W965" s="47"/>
      <c r="X965" s="49"/>
      <c r="Y965" s="50"/>
      <c r="Z965" s="51"/>
      <c r="AA965" s="52"/>
      <c r="AB965" s="53" t="str">
        <f t="shared" si="214"/>
        <v/>
      </c>
      <c r="AC965" s="48" t="str">
        <f t="shared" si="215"/>
        <v/>
      </c>
      <c r="AD965" s="54" t="str">
        <f t="shared" si="216"/>
        <v/>
      </c>
      <c r="AE965" s="55">
        <f t="shared" si="217"/>
        <v>0</v>
      </c>
      <c r="AF965" s="55">
        <f t="shared" si="218"/>
        <v>0</v>
      </c>
      <c r="AG965" s="58">
        <f t="shared" si="219"/>
        <v>0</v>
      </c>
      <c r="AH965" s="47"/>
      <c r="AJ965" s="47"/>
      <c r="AL965" s="47"/>
      <c r="AM965" s="47" t="str">
        <f t="shared" si="220"/>
        <v/>
      </c>
    </row>
    <row r="966" spans="1:39" s="56" customFormat="1" ht="24.75" customHeight="1">
      <c r="A966" s="44"/>
      <c r="B966" s="45"/>
      <c r="C966" s="46">
        <f>IF(B966&lt;&gt;"",VLOOKUP(B966,'Tipo Projeto'!$A$3:$B$35,2,0),0)</f>
        <v>0</v>
      </c>
      <c r="D966" s="47"/>
      <c r="E966" s="47"/>
      <c r="F966" s="48"/>
      <c r="G966" s="47"/>
      <c r="H966" s="49"/>
      <c r="I966" s="50"/>
      <c r="J966" s="51"/>
      <c r="K966" s="52"/>
      <c r="L966" s="53" t="str">
        <f t="shared" si="208"/>
        <v/>
      </c>
      <c r="M966" s="48" t="str">
        <f t="shared" si="209"/>
        <v/>
      </c>
      <c r="N966" s="54" t="str">
        <f t="shared" si="210"/>
        <v/>
      </c>
      <c r="O966" s="55">
        <f t="shared" si="211"/>
        <v>0</v>
      </c>
      <c r="P966" s="55">
        <f t="shared" si="212"/>
        <v>0</v>
      </c>
      <c r="Q966" s="54">
        <f t="shared" si="213"/>
        <v>0</v>
      </c>
      <c r="R966" s="47"/>
      <c r="T966" s="57"/>
      <c r="U966" s="45"/>
      <c r="V966" s="46">
        <f>IF(U966&lt;&gt;"",VLOOKUP(U966,'Tipo Projeto'!$A$3:$B$35,2,0),0)</f>
        <v>0</v>
      </c>
      <c r="W966" s="47"/>
      <c r="X966" s="49"/>
      <c r="Y966" s="50"/>
      <c r="Z966" s="51"/>
      <c r="AA966" s="52"/>
      <c r="AB966" s="53" t="str">
        <f t="shared" si="214"/>
        <v/>
      </c>
      <c r="AC966" s="48" t="str">
        <f t="shared" si="215"/>
        <v/>
      </c>
      <c r="AD966" s="54" t="str">
        <f t="shared" si="216"/>
        <v/>
      </c>
      <c r="AE966" s="55">
        <f t="shared" si="217"/>
        <v>0</v>
      </c>
      <c r="AF966" s="55">
        <f t="shared" si="218"/>
        <v>0</v>
      </c>
      <c r="AG966" s="58">
        <f t="shared" si="219"/>
        <v>0</v>
      </c>
      <c r="AH966" s="47"/>
      <c r="AJ966" s="47"/>
      <c r="AL966" s="47"/>
      <c r="AM966" s="47" t="str">
        <f t="shared" si="220"/>
        <v/>
      </c>
    </row>
    <row r="967" spans="1:39" s="56" customFormat="1" ht="24.75" customHeight="1">
      <c r="A967" s="44"/>
      <c r="B967" s="45"/>
      <c r="C967" s="46">
        <f>IF(B967&lt;&gt;"",VLOOKUP(B967,'Tipo Projeto'!$A$3:$B$35,2,0),0)</f>
        <v>0</v>
      </c>
      <c r="D967" s="47"/>
      <c r="E967" s="47"/>
      <c r="F967" s="48"/>
      <c r="G967" s="47"/>
      <c r="H967" s="49"/>
      <c r="I967" s="50"/>
      <c r="J967" s="51"/>
      <c r="K967" s="52"/>
      <c r="L967" s="53" t="str">
        <f t="shared" si="208"/>
        <v/>
      </c>
      <c r="M967" s="48" t="str">
        <f t="shared" si="209"/>
        <v/>
      </c>
      <c r="N967" s="54" t="str">
        <f t="shared" si="210"/>
        <v/>
      </c>
      <c r="O967" s="55">
        <f t="shared" si="211"/>
        <v>0</v>
      </c>
      <c r="P967" s="55">
        <f t="shared" si="212"/>
        <v>0</v>
      </c>
      <c r="Q967" s="54">
        <f t="shared" si="213"/>
        <v>0</v>
      </c>
      <c r="R967" s="47"/>
      <c r="T967" s="57"/>
      <c r="U967" s="45"/>
      <c r="V967" s="46">
        <f>IF(U967&lt;&gt;"",VLOOKUP(U967,'Tipo Projeto'!$A$3:$B$35,2,0),0)</f>
        <v>0</v>
      </c>
      <c r="W967" s="47"/>
      <c r="X967" s="49"/>
      <c r="Y967" s="50"/>
      <c r="Z967" s="51"/>
      <c r="AA967" s="52"/>
      <c r="AB967" s="53" t="str">
        <f t="shared" si="214"/>
        <v/>
      </c>
      <c r="AC967" s="48" t="str">
        <f t="shared" si="215"/>
        <v/>
      </c>
      <c r="AD967" s="54" t="str">
        <f t="shared" si="216"/>
        <v/>
      </c>
      <c r="AE967" s="55">
        <f t="shared" si="217"/>
        <v>0</v>
      </c>
      <c r="AF967" s="55">
        <f t="shared" si="218"/>
        <v>0</v>
      </c>
      <c r="AG967" s="58">
        <f t="shared" si="219"/>
        <v>0</v>
      </c>
      <c r="AH967" s="47"/>
      <c r="AJ967" s="47"/>
      <c r="AL967" s="47"/>
      <c r="AM967" s="47" t="str">
        <f t="shared" si="220"/>
        <v/>
      </c>
    </row>
    <row r="968" spans="1:39" s="56" customFormat="1" ht="24.75" customHeight="1">
      <c r="A968" s="44"/>
      <c r="B968" s="45"/>
      <c r="C968" s="46">
        <f>IF(B968&lt;&gt;"",VLOOKUP(B968,'Tipo Projeto'!$A$3:$B$35,2,0),0)</f>
        <v>0</v>
      </c>
      <c r="D968" s="47"/>
      <c r="E968" s="47"/>
      <c r="F968" s="48"/>
      <c r="G968" s="47"/>
      <c r="H968" s="49"/>
      <c r="I968" s="50"/>
      <c r="J968" s="51"/>
      <c r="K968" s="52"/>
      <c r="L968" s="53" t="str">
        <f t="shared" si="208"/>
        <v/>
      </c>
      <c r="M968" s="48" t="str">
        <f t="shared" si="209"/>
        <v/>
      </c>
      <c r="N968" s="54" t="str">
        <f t="shared" si="210"/>
        <v/>
      </c>
      <c r="O968" s="55">
        <f t="shared" si="211"/>
        <v>0</v>
      </c>
      <c r="P968" s="55">
        <f t="shared" si="212"/>
        <v>0</v>
      </c>
      <c r="Q968" s="54">
        <f t="shared" si="213"/>
        <v>0</v>
      </c>
      <c r="R968" s="47"/>
      <c r="T968" s="57"/>
      <c r="U968" s="45"/>
      <c r="V968" s="46">
        <f>IF(U968&lt;&gt;"",VLOOKUP(U968,'Tipo Projeto'!$A$3:$B$35,2,0),0)</f>
        <v>0</v>
      </c>
      <c r="W968" s="47"/>
      <c r="X968" s="49"/>
      <c r="Y968" s="50"/>
      <c r="Z968" s="51"/>
      <c r="AA968" s="52"/>
      <c r="AB968" s="53" t="str">
        <f t="shared" si="214"/>
        <v/>
      </c>
      <c r="AC968" s="48" t="str">
        <f t="shared" si="215"/>
        <v/>
      </c>
      <c r="AD968" s="54" t="str">
        <f t="shared" si="216"/>
        <v/>
      </c>
      <c r="AE968" s="55">
        <f t="shared" si="217"/>
        <v>0</v>
      </c>
      <c r="AF968" s="55">
        <f t="shared" si="218"/>
        <v>0</v>
      </c>
      <c r="AG968" s="58">
        <f t="shared" si="219"/>
        <v>0</v>
      </c>
      <c r="AH968" s="47"/>
      <c r="AJ968" s="47"/>
      <c r="AL968" s="47"/>
      <c r="AM968" s="47" t="str">
        <f t="shared" si="220"/>
        <v/>
      </c>
    </row>
    <row r="969" spans="1:39" s="56" customFormat="1" ht="24.75" customHeight="1">
      <c r="A969" s="44"/>
      <c r="B969" s="45"/>
      <c r="C969" s="46">
        <f>IF(B969&lt;&gt;"",VLOOKUP(B969,'Tipo Projeto'!$A$3:$B$35,2,0),0)</f>
        <v>0</v>
      </c>
      <c r="D969" s="47"/>
      <c r="E969" s="47"/>
      <c r="F969" s="48"/>
      <c r="G969" s="47"/>
      <c r="H969" s="49"/>
      <c r="I969" s="50"/>
      <c r="J969" s="51"/>
      <c r="K969" s="52"/>
      <c r="L969" s="53" t="str">
        <f t="shared" si="208"/>
        <v/>
      </c>
      <c r="M969" s="48" t="str">
        <f t="shared" si="209"/>
        <v/>
      </c>
      <c r="N969" s="54" t="str">
        <f t="shared" si="210"/>
        <v/>
      </c>
      <c r="O969" s="55">
        <f t="shared" si="211"/>
        <v>0</v>
      </c>
      <c r="P969" s="55">
        <f t="shared" si="212"/>
        <v>0</v>
      </c>
      <c r="Q969" s="54">
        <f t="shared" si="213"/>
        <v>0</v>
      </c>
      <c r="R969" s="47"/>
      <c r="T969" s="57"/>
      <c r="U969" s="45"/>
      <c r="V969" s="46">
        <f>IF(U969&lt;&gt;"",VLOOKUP(U969,'Tipo Projeto'!$A$3:$B$35,2,0),0)</f>
        <v>0</v>
      </c>
      <c r="W969" s="47"/>
      <c r="X969" s="49"/>
      <c r="Y969" s="50"/>
      <c r="Z969" s="51"/>
      <c r="AA969" s="52"/>
      <c r="AB969" s="53" t="str">
        <f t="shared" si="214"/>
        <v/>
      </c>
      <c r="AC969" s="48" t="str">
        <f t="shared" si="215"/>
        <v/>
      </c>
      <c r="AD969" s="54" t="str">
        <f t="shared" si="216"/>
        <v/>
      </c>
      <c r="AE969" s="55">
        <f t="shared" si="217"/>
        <v>0</v>
      </c>
      <c r="AF969" s="55">
        <f t="shared" si="218"/>
        <v>0</v>
      </c>
      <c r="AG969" s="58">
        <f t="shared" si="219"/>
        <v>0</v>
      </c>
      <c r="AH969" s="47"/>
      <c r="AJ969" s="47"/>
      <c r="AL969" s="47"/>
      <c r="AM969" s="47" t="str">
        <f t="shared" si="220"/>
        <v/>
      </c>
    </row>
    <row r="970" spans="1:39" s="56" customFormat="1" ht="24.75" customHeight="1">
      <c r="A970" s="44"/>
      <c r="B970" s="45"/>
      <c r="C970" s="46">
        <f>IF(B970&lt;&gt;"",VLOOKUP(B970,'Tipo Projeto'!$A$3:$B$35,2,0),0)</f>
        <v>0</v>
      </c>
      <c r="D970" s="47"/>
      <c r="E970" s="47"/>
      <c r="F970" s="48"/>
      <c r="G970" s="47"/>
      <c r="H970" s="49"/>
      <c r="I970" s="50"/>
      <c r="J970" s="51"/>
      <c r="K970" s="52"/>
      <c r="L970" s="53" t="str">
        <f t="shared" si="208"/>
        <v/>
      </c>
      <c r="M970" s="48" t="str">
        <f t="shared" si="209"/>
        <v/>
      </c>
      <c r="N970" s="54" t="str">
        <f t="shared" si="210"/>
        <v/>
      </c>
      <c r="O970" s="55">
        <f t="shared" si="211"/>
        <v>0</v>
      </c>
      <c r="P970" s="55">
        <f t="shared" si="212"/>
        <v>0</v>
      </c>
      <c r="Q970" s="54">
        <f t="shared" si="213"/>
        <v>0</v>
      </c>
      <c r="R970" s="47"/>
      <c r="T970" s="57"/>
      <c r="U970" s="45"/>
      <c r="V970" s="46">
        <f>IF(U970&lt;&gt;"",VLOOKUP(U970,'Tipo Projeto'!$A$3:$B$35,2,0),0)</f>
        <v>0</v>
      </c>
      <c r="W970" s="47"/>
      <c r="X970" s="49"/>
      <c r="Y970" s="50"/>
      <c r="Z970" s="51"/>
      <c r="AA970" s="52"/>
      <c r="AB970" s="53" t="str">
        <f t="shared" si="214"/>
        <v/>
      </c>
      <c r="AC970" s="48" t="str">
        <f t="shared" si="215"/>
        <v/>
      </c>
      <c r="AD970" s="54" t="str">
        <f t="shared" si="216"/>
        <v/>
      </c>
      <c r="AE970" s="55">
        <f t="shared" si="217"/>
        <v>0</v>
      </c>
      <c r="AF970" s="55">
        <f t="shared" si="218"/>
        <v>0</v>
      </c>
      <c r="AG970" s="58">
        <f t="shared" si="219"/>
        <v>0</v>
      </c>
      <c r="AH970" s="47"/>
      <c r="AJ970" s="47"/>
      <c r="AL970" s="47"/>
      <c r="AM970" s="47" t="str">
        <f t="shared" si="220"/>
        <v/>
      </c>
    </row>
    <row r="971" spans="1:39" s="56" customFormat="1" ht="24.75" customHeight="1">
      <c r="A971" s="44"/>
      <c r="B971" s="45"/>
      <c r="C971" s="46">
        <f>IF(B971&lt;&gt;"",VLOOKUP(B971,'Tipo Projeto'!$A$3:$B$35,2,0),0)</f>
        <v>0</v>
      </c>
      <c r="D971" s="47"/>
      <c r="E971" s="47"/>
      <c r="F971" s="48"/>
      <c r="G971" s="47"/>
      <c r="H971" s="49"/>
      <c r="I971" s="50"/>
      <c r="J971" s="51"/>
      <c r="K971" s="52"/>
      <c r="L971" s="53" t="str">
        <f t="shared" si="208"/>
        <v/>
      </c>
      <c r="M971" s="48" t="str">
        <f t="shared" si="209"/>
        <v/>
      </c>
      <c r="N971" s="54" t="str">
        <f t="shared" si="210"/>
        <v/>
      </c>
      <c r="O971" s="55">
        <f t="shared" si="211"/>
        <v>0</v>
      </c>
      <c r="P971" s="55">
        <f t="shared" si="212"/>
        <v>0</v>
      </c>
      <c r="Q971" s="54">
        <f t="shared" si="213"/>
        <v>0</v>
      </c>
      <c r="R971" s="47"/>
      <c r="T971" s="57"/>
      <c r="U971" s="45"/>
      <c r="V971" s="46">
        <f>IF(U971&lt;&gt;"",VLOOKUP(U971,'Tipo Projeto'!$A$3:$B$35,2,0),0)</f>
        <v>0</v>
      </c>
      <c r="W971" s="47"/>
      <c r="X971" s="49"/>
      <c r="Y971" s="50"/>
      <c r="Z971" s="51"/>
      <c r="AA971" s="52"/>
      <c r="AB971" s="53" t="str">
        <f t="shared" si="214"/>
        <v/>
      </c>
      <c r="AC971" s="48" t="str">
        <f t="shared" si="215"/>
        <v/>
      </c>
      <c r="AD971" s="54" t="str">
        <f t="shared" si="216"/>
        <v/>
      </c>
      <c r="AE971" s="55">
        <f t="shared" si="217"/>
        <v>0</v>
      </c>
      <c r="AF971" s="55">
        <f t="shared" si="218"/>
        <v>0</v>
      </c>
      <c r="AG971" s="58">
        <f t="shared" si="219"/>
        <v>0</v>
      </c>
      <c r="AH971" s="47"/>
      <c r="AJ971" s="47"/>
      <c r="AL971" s="47"/>
      <c r="AM971" s="47" t="str">
        <f t="shared" si="220"/>
        <v/>
      </c>
    </row>
    <row r="972" spans="1:39" s="56" customFormat="1" ht="24.75" customHeight="1">
      <c r="A972" s="44"/>
      <c r="B972" s="45"/>
      <c r="C972" s="46">
        <f>IF(B972&lt;&gt;"",VLOOKUP(B972,'Tipo Projeto'!$A$3:$B$35,2,0),0)</f>
        <v>0</v>
      </c>
      <c r="D972" s="47"/>
      <c r="E972" s="47"/>
      <c r="F972" s="48"/>
      <c r="G972" s="47"/>
      <c r="H972" s="49"/>
      <c r="I972" s="50"/>
      <c r="J972" s="51"/>
      <c r="K972" s="52"/>
      <c r="L972" s="53" t="str">
        <f t="shared" si="208"/>
        <v/>
      </c>
      <c r="M972" s="48" t="str">
        <f t="shared" si="209"/>
        <v/>
      </c>
      <c r="N972" s="54" t="str">
        <f t="shared" si="210"/>
        <v/>
      </c>
      <c r="O972" s="55">
        <f t="shared" si="211"/>
        <v>0</v>
      </c>
      <c r="P972" s="55">
        <f t="shared" si="212"/>
        <v>0</v>
      </c>
      <c r="Q972" s="54">
        <f t="shared" si="213"/>
        <v>0</v>
      </c>
      <c r="R972" s="47"/>
      <c r="T972" s="57"/>
      <c r="U972" s="45"/>
      <c r="V972" s="46">
        <f>IF(U972&lt;&gt;"",VLOOKUP(U972,'Tipo Projeto'!$A$3:$B$35,2,0),0)</f>
        <v>0</v>
      </c>
      <c r="W972" s="47"/>
      <c r="X972" s="49"/>
      <c r="Y972" s="50"/>
      <c r="Z972" s="51"/>
      <c r="AA972" s="52"/>
      <c r="AB972" s="53" t="str">
        <f t="shared" si="214"/>
        <v/>
      </c>
      <c r="AC972" s="48" t="str">
        <f t="shared" si="215"/>
        <v/>
      </c>
      <c r="AD972" s="54" t="str">
        <f t="shared" si="216"/>
        <v/>
      </c>
      <c r="AE972" s="55">
        <f t="shared" si="217"/>
        <v>0</v>
      </c>
      <c r="AF972" s="55">
        <f t="shared" si="218"/>
        <v>0</v>
      </c>
      <c r="AG972" s="58">
        <f t="shared" si="219"/>
        <v>0</v>
      </c>
      <c r="AH972" s="47"/>
      <c r="AJ972" s="47"/>
      <c r="AL972" s="47"/>
      <c r="AM972" s="47" t="str">
        <f t="shared" si="220"/>
        <v/>
      </c>
    </row>
    <row r="973" spans="1:39" s="56" customFormat="1" ht="24.75" customHeight="1">
      <c r="A973" s="44"/>
      <c r="B973" s="45"/>
      <c r="C973" s="46">
        <f>IF(B973&lt;&gt;"",VLOOKUP(B973,'Tipo Projeto'!$A$3:$B$35,2,0),0)</f>
        <v>0</v>
      </c>
      <c r="D973" s="47"/>
      <c r="E973" s="47"/>
      <c r="F973" s="48"/>
      <c r="G973" s="47"/>
      <c r="H973" s="49"/>
      <c r="I973" s="50"/>
      <c r="J973" s="51"/>
      <c r="K973" s="52"/>
      <c r="L973" s="53" t="str">
        <f t="shared" si="208"/>
        <v/>
      </c>
      <c r="M973" s="48" t="str">
        <f t="shared" si="209"/>
        <v/>
      </c>
      <c r="N973" s="54" t="str">
        <f t="shared" si="210"/>
        <v/>
      </c>
      <c r="O973" s="55">
        <f t="shared" si="211"/>
        <v>0</v>
      </c>
      <c r="P973" s="55">
        <f t="shared" si="212"/>
        <v>0</v>
      </c>
      <c r="Q973" s="54">
        <f t="shared" si="213"/>
        <v>0</v>
      </c>
      <c r="R973" s="47"/>
      <c r="T973" s="57"/>
      <c r="U973" s="45"/>
      <c r="V973" s="46">
        <f>IF(U973&lt;&gt;"",VLOOKUP(U973,'Tipo Projeto'!$A$3:$B$35,2,0),0)</f>
        <v>0</v>
      </c>
      <c r="W973" s="47"/>
      <c r="X973" s="49"/>
      <c r="Y973" s="50"/>
      <c r="Z973" s="51"/>
      <c r="AA973" s="52"/>
      <c r="AB973" s="53" t="str">
        <f t="shared" si="214"/>
        <v/>
      </c>
      <c r="AC973" s="48" t="str">
        <f t="shared" si="215"/>
        <v/>
      </c>
      <c r="AD973" s="54" t="str">
        <f t="shared" si="216"/>
        <v/>
      </c>
      <c r="AE973" s="55">
        <f t="shared" si="217"/>
        <v>0</v>
      </c>
      <c r="AF973" s="55">
        <f t="shared" si="218"/>
        <v>0</v>
      </c>
      <c r="AG973" s="58">
        <f t="shared" si="219"/>
        <v>0</v>
      </c>
      <c r="AH973" s="47"/>
      <c r="AJ973" s="47"/>
      <c r="AL973" s="47"/>
      <c r="AM973" s="47" t="str">
        <f t="shared" si="220"/>
        <v/>
      </c>
    </row>
    <row r="974" spans="1:39" s="56" customFormat="1" ht="24.75" customHeight="1">
      <c r="A974" s="44"/>
      <c r="B974" s="45"/>
      <c r="C974" s="46">
        <f>IF(B974&lt;&gt;"",VLOOKUP(B974,'Tipo Projeto'!$A$3:$B$35,2,0),0)</f>
        <v>0</v>
      </c>
      <c r="D974" s="47"/>
      <c r="E974" s="47"/>
      <c r="F974" s="48"/>
      <c r="G974" s="47"/>
      <c r="H974" s="49"/>
      <c r="I974" s="50"/>
      <c r="J974" s="51"/>
      <c r="K974" s="52"/>
      <c r="L974" s="53" t="str">
        <f t="shared" si="208"/>
        <v/>
      </c>
      <c r="M974" s="48" t="str">
        <f t="shared" si="209"/>
        <v/>
      </c>
      <c r="N974" s="54" t="str">
        <f t="shared" si="210"/>
        <v/>
      </c>
      <c r="O974" s="55">
        <f t="shared" si="211"/>
        <v>0</v>
      </c>
      <c r="P974" s="55">
        <f t="shared" si="212"/>
        <v>0</v>
      </c>
      <c r="Q974" s="54">
        <f t="shared" si="213"/>
        <v>0</v>
      </c>
      <c r="R974" s="47"/>
      <c r="T974" s="57"/>
      <c r="U974" s="45"/>
      <c r="V974" s="46">
        <f>IF(U974&lt;&gt;"",VLOOKUP(U974,'Tipo Projeto'!$A$3:$B$35,2,0),0)</f>
        <v>0</v>
      </c>
      <c r="W974" s="47"/>
      <c r="X974" s="49"/>
      <c r="Y974" s="50"/>
      <c r="Z974" s="51"/>
      <c r="AA974" s="52"/>
      <c r="AB974" s="53" t="str">
        <f t="shared" si="214"/>
        <v/>
      </c>
      <c r="AC974" s="48" t="str">
        <f t="shared" si="215"/>
        <v/>
      </c>
      <c r="AD974" s="54" t="str">
        <f t="shared" si="216"/>
        <v/>
      </c>
      <c r="AE974" s="55">
        <f t="shared" si="217"/>
        <v>0</v>
      </c>
      <c r="AF974" s="55">
        <f t="shared" si="218"/>
        <v>0</v>
      </c>
      <c r="AG974" s="58">
        <f t="shared" si="219"/>
        <v>0</v>
      </c>
      <c r="AH974" s="47"/>
      <c r="AJ974" s="47"/>
      <c r="AL974" s="47"/>
      <c r="AM974" s="47" t="str">
        <f t="shared" si="220"/>
        <v/>
      </c>
    </row>
    <row r="975" spans="1:39" s="56" customFormat="1" ht="24.75" customHeight="1">
      <c r="A975" s="44"/>
      <c r="B975" s="45"/>
      <c r="C975" s="46">
        <f>IF(B975&lt;&gt;"",VLOOKUP(B975,'Tipo Projeto'!$A$3:$B$35,2,0),0)</f>
        <v>0</v>
      </c>
      <c r="D975" s="47"/>
      <c r="E975" s="47"/>
      <c r="F975" s="48"/>
      <c r="G975" s="47"/>
      <c r="H975" s="49"/>
      <c r="I975" s="50"/>
      <c r="J975" s="51"/>
      <c r="K975" s="52"/>
      <c r="L975" s="53" t="str">
        <f t="shared" si="208"/>
        <v/>
      </c>
      <c r="M975" s="48" t="str">
        <f t="shared" si="209"/>
        <v/>
      </c>
      <c r="N975" s="54" t="str">
        <f t="shared" si="210"/>
        <v/>
      </c>
      <c r="O975" s="55">
        <f t="shared" si="211"/>
        <v>0</v>
      </c>
      <c r="P975" s="55">
        <f t="shared" si="212"/>
        <v>0</v>
      </c>
      <c r="Q975" s="54">
        <f t="shared" si="213"/>
        <v>0</v>
      </c>
      <c r="R975" s="47"/>
      <c r="T975" s="57"/>
      <c r="U975" s="45"/>
      <c r="V975" s="46">
        <f>IF(U975&lt;&gt;"",VLOOKUP(U975,'Tipo Projeto'!$A$3:$B$35,2,0),0)</f>
        <v>0</v>
      </c>
      <c r="W975" s="47"/>
      <c r="X975" s="49"/>
      <c r="Y975" s="50"/>
      <c r="Z975" s="51"/>
      <c r="AA975" s="52"/>
      <c r="AB975" s="53" t="str">
        <f t="shared" si="214"/>
        <v/>
      </c>
      <c r="AC975" s="48" t="str">
        <f t="shared" si="215"/>
        <v/>
      </c>
      <c r="AD975" s="54" t="str">
        <f t="shared" si="216"/>
        <v/>
      </c>
      <c r="AE975" s="55">
        <f t="shared" si="217"/>
        <v>0</v>
      </c>
      <c r="AF975" s="55">
        <f t="shared" si="218"/>
        <v>0</v>
      </c>
      <c r="AG975" s="58">
        <f t="shared" si="219"/>
        <v>0</v>
      </c>
      <c r="AH975" s="47"/>
      <c r="AJ975" s="47"/>
      <c r="AL975" s="47"/>
      <c r="AM975" s="47" t="str">
        <f t="shared" si="220"/>
        <v/>
      </c>
    </row>
    <row r="976" spans="1:39" s="56" customFormat="1" ht="24.75" customHeight="1">
      <c r="A976" s="44"/>
      <c r="B976" s="45"/>
      <c r="C976" s="46">
        <f>IF(B976&lt;&gt;"",VLOOKUP(B976,'Tipo Projeto'!$A$3:$B$35,2,0),0)</f>
        <v>0</v>
      </c>
      <c r="D976" s="47"/>
      <c r="E976" s="47"/>
      <c r="F976" s="48"/>
      <c r="G976" s="47"/>
      <c r="H976" s="49"/>
      <c r="I976" s="50"/>
      <c r="J976" s="51"/>
      <c r="K976" s="52"/>
      <c r="L976" s="53" t="str">
        <f t="shared" si="208"/>
        <v/>
      </c>
      <c r="M976" s="48" t="str">
        <f t="shared" si="209"/>
        <v/>
      </c>
      <c r="N976" s="54" t="str">
        <f t="shared" si="210"/>
        <v/>
      </c>
      <c r="O976" s="55">
        <f t="shared" si="211"/>
        <v>0</v>
      </c>
      <c r="P976" s="55">
        <f t="shared" si="212"/>
        <v>0</v>
      </c>
      <c r="Q976" s="54">
        <f t="shared" si="213"/>
        <v>0</v>
      </c>
      <c r="R976" s="47"/>
      <c r="T976" s="57"/>
      <c r="U976" s="45"/>
      <c r="V976" s="46">
        <f>IF(U976&lt;&gt;"",VLOOKUP(U976,'Tipo Projeto'!$A$3:$B$35,2,0),0)</f>
        <v>0</v>
      </c>
      <c r="W976" s="47"/>
      <c r="X976" s="49"/>
      <c r="Y976" s="50"/>
      <c r="Z976" s="51"/>
      <c r="AA976" s="52"/>
      <c r="AB976" s="53" t="str">
        <f t="shared" si="214"/>
        <v/>
      </c>
      <c r="AC976" s="48" t="str">
        <f t="shared" si="215"/>
        <v/>
      </c>
      <c r="AD976" s="54" t="str">
        <f t="shared" si="216"/>
        <v/>
      </c>
      <c r="AE976" s="55">
        <f t="shared" si="217"/>
        <v>0</v>
      </c>
      <c r="AF976" s="55">
        <f t="shared" si="218"/>
        <v>0</v>
      </c>
      <c r="AG976" s="58">
        <f t="shared" si="219"/>
        <v>0</v>
      </c>
      <c r="AH976" s="47"/>
      <c r="AJ976" s="47"/>
      <c r="AL976" s="47"/>
      <c r="AM976" s="47" t="str">
        <f t="shared" si="220"/>
        <v/>
      </c>
    </row>
    <row r="977" spans="1:39" s="56" customFormat="1" ht="24.75" customHeight="1">
      <c r="A977" s="44"/>
      <c r="B977" s="45"/>
      <c r="C977" s="46">
        <f>IF(B977&lt;&gt;"",VLOOKUP(B977,'Tipo Projeto'!$A$3:$B$35,2,0),0)</f>
        <v>0</v>
      </c>
      <c r="D977" s="47"/>
      <c r="E977" s="47"/>
      <c r="F977" s="48"/>
      <c r="G977" s="47"/>
      <c r="H977" s="49"/>
      <c r="I977" s="50"/>
      <c r="J977" s="51"/>
      <c r="K977" s="52"/>
      <c r="L977" s="53" t="str">
        <f t="shared" si="208"/>
        <v/>
      </c>
      <c r="M977" s="48" t="str">
        <f t="shared" si="209"/>
        <v/>
      </c>
      <c r="N977" s="54" t="str">
        <f t="shared" si="210"/>
        <v/>
      </c>
      <c r="O977" s="55">
        <f t="shared" si="211"/>
        <v>0</v>
      </c>
      <c r="P977" s="55">
        <f t="shared" si="212"/>
        <v>0</v>
      </c>
      <c r="Q977" s="54">
        <f t="shared" si="213"/>
        <v>0</v>
      </c>
      <c r="R977" s="47"/>
      <c r="T977" s="57"/>
      <c r="U977" s="45"/>
      <c r="V977" s="46">
        <f>IF(U977&lt;&gt;"",VLOOKUP(U977,'Tipo Projeto'!$A$3:$B$35,2,0),0)</f>
        <v>0</v>
      </c>
      <c r="W977" s="47"/>
      <c r="X977" s="49"/>
      <c r="Y977" s="50"/>
      <c r="Z977" s="51"/>
      <c r="AA977" s="52"/>
      <c r="AB977" s="53" t="str">
        <f t="shared" si="214"/>
        <v/>
      </c>
      <c r="AC977" s="48" t="str">
        <f t="shared" si="215"/>
        <v/>
      </c>
      <c r="AD977" s="54" t="str">
        <f t="shared" si="216"/>
        <v/>
      </c>
      <c r="AE977" s="55">
        <f t="shared" si="217"/>
        <v>0</v>
      </c>
      <c r="AF977" s="55">
        <f t="shared" si="218"/>
        <v>0</v>
      </c>
      <c r="AG977" s="58">
        <f t="shared" si="219"/>
        <v>0</v>
      </c>
      <c r="AH977" s="47"/>
      <c r="AJ977" s="47"/>
      <c r="AL977" s="47"/>
      <c r="AM977" s="47" t="str">
        <f t="shared" si="220"/>
        <v/>
      </c>
    </row>
    <row r="978" spans="1:39" s="56" customFormat="1" ht="24.75" customHeight="1">
      <c r="A978" s="44"/>
      <c r="B978" s="45"/>
      <c r="C978" s="46">
        <f>IF(B978&lt;&gt;"",VLOOKUP(B978,'Tipo Projeto'!$A$3:$B$35,2,0),0)</f>
        <v>0</v>
      </c>
      <c r="D978" s="47"/>
      <c r="E978" s="47"/>
      <c r="F978" s="48"/>
      <c r="G978" s="47"/>
      <c r="H978" s="49"/>
      <c r="I978" s="50"/>
      <c r="J978" s="51"/>
      <c r="K978" s="52"/>
      <c r="L978" s="53" t="str">
        <f t="shared" si="208"/>
        <v/>
      </c>
      <c r="M978" s="48" t="str">
        <f t="shared" si="209"/>
        <v/>
      </c>
      <c r="N978" s="54" t="str">
        <f t="shared" si="210"/>
        <v/>
      </c>
      <c r="O978" s="55">
        <f t="shared" si="211"/>
        <v>0</v>
      </c>
      <c r="P978" s="55">
        <f t="shared" si="212"/>
        <v>0</v>
      </c>
      <c r="Q978" s="54">
        <f t="shared" si="213"/>
        <v>0</v>
      </c>
      <c r="R978" s="47"/>
      <c r="T978" s="57"/>
      <c r="U978" s="45"/>
      <c r="V978" s="46">
        <f>IF(U978&lt;&gt;"",VLOOKUP(U978,'Tipo Projeto'!$A$3:$B$35,2,0),0)</f>
        <v>0</v>
      </c>
      <c r="W978" s="47"/>
      <c r="X978" s="49"/>
      <c r="Y978" s="50"/>
      <c r="Z978" s="51"/>
      <c r="AA978" s="52"/>
      <c r="AB978" s="53" t="str">
        <f t="shared" si="214"/>
        <v/>
      </c>
      <c r="AC978" s="48" t="str">
        <f t="shared" si="215"/>
        <v/>
      </c>
      <c r="AD978" s="54" t="str">
        <f t="shared" si="216"/>
        <v/>
      </c>
      <c r="AE978" s="55">
        <f t="shared" si="217"/>
        <v>0</v>
      </c>
      <c r="AF978" s="55">
        <f t="shared" si="218"/>
        <v>0</v>
      </c>
      <c r="AG978" s="58">
        <f t="shared" si="219"/>
        <v>0</v>
      </c>
      <c r="AH978" s="47"/>
      <c r="AJ978" s="47"/>
      <c r="AL978" s="47"/>
      <c r="AM978" s="47" t="str">
        <f t="shared" si="220"/>
        <v/>
      </c>
    </row>
    <row r="979" spans="1:39" s="56" customFormat="1" ht="24.75" customHeight="1">
      <c r="A979" s="44"/>
      <c r="B979" s="45"/>
      <c r="C979" s="46">
        <f>IF(B979&lt;&gt;"",VLOOKUP(B979,'Tipo Projeto'!$A$3:$B$35,2,0),0)</f>
        <v>0</v>
      </c>
      <c r="D979" s="47"/>
      <c r="E979" s="47"/>
      <c r="F979" s="48"/>
      <c r="G979" s="47"/>
      <c r="H979" s="49"/>
      <c r="I979" s="50"/>
      <c r="J979" s="51"/>
      <c r="K979" s="52"/>
      <c r="L979" s="53" t="str">
        <f t="shared" si="208"/>
        <v/>
      </c>
      <c r="M979" s="48" t="str">
        <f t="shared" si="209"/>
        <v/>
      </c>
      <c r="N979" s="54" t="str">
        <f t="shared" si="210"/>
        <v/>
      </c>
      <c r="O979" s="55">
        <f t="shared" si="211"/>
        <v>0</v>
      </c>
      <c r="P979" s="55">
        <f t="shared" si="212"/>
        <v>0</v>
      </c>
      <c r="Q979" s="54">
        <f t="shared" si="213"/>
        <v>0</v>
      </c>
      <c r="R979" s="47"/>
      <c r="T979" s="57"/>
      <c r="U979" s="45"/>
      <c r="V979" s="46">
        <f>IF(U979&lt;&gt;"",VLOOKUP(U979,'Tipo Projeto'!$A$3:$B$35,2,0),0)</f>
        <v>0</v>
      </c>
      <c r="W979" s="47"/>
      <c r="X979" s="49"/>
      <c r="Y979" s="50"/>
      <c r="Z979" s="51"/>
      <c r="AA979" s="52"/>
      <c r="AB979" s="53" t="str">
        <f t="shared" si="214"/>
        <v/>
      </c>
      <c r="AC979" s="48" t="str">
        <f t="shared" si="215"/>
        <v/>
      </c>
      <c r="AD979" s="54" t="str">
        <f t="shared" si="216"/>
        <v/>
      </c>
      <c r="AE979" s="55">
        <f t="shared" si="217"/>
        <v>0</v>
      </c>
      <c r="AF979" s="55">
        <f t="shared" si="218"/>
        <v>0</v>
      </c>
      <c r="AG979" s="58">
        <f t="shared" si="219"/>
        <v>0</v>
      </c>
      <c r="AH979" s="47"/>
      <c r="AJ979" s="47"/>
      <c r="AL979" s="47"/>
      <c r="AM979" s="47" t="str">
        <f t="shared" si="220"/>
        <v/>
      </c>
    </row>
    <row r="980" spans="1:39" s="56" customFormat="1" ht="24.75" customHeight="1">
      <c r="A980" s="44"/>
      <c r="B980" s="45"/>
      <c r="C980" s="46">
        <f>IF(B980&lt;&gt;"",VLOOKUP(B980,'Tipo Projeto'!$A$3:$B$35,2,0),0)</f>
        <v>0</v>
      </c>
      <c r="D980" s="47"/>
      <c r="E980" s="47"/>
      <c r="F980" s="48"/>
      <c r="G980" s="47"/>
      <c r="H980" s="49"/>
      <c r="I980" s="50"/>
      <c r="J980" s="51"/>
      <c r="K980" s="52"/>
      <c r="L980" s="53" t="str">
        <f t="shared" si="208"/>
        <v/>
      </c>
      <c r="M980" s="48" t="str">
        <f t="shared" si="209"/>
        <v/>
      </c>
      <c r="N980" s="54" t="str">
        <f t="shared" si="210"/>
        <v/>
      </c>
      <c r="O980" s="55">
        <f t="shared" si="211"/>
        <v>0</v>
      </c>
      <c r="P980" s="55">
        <f t="shared" si="212"/>
        <v>0</v>
      </c>
      <c r="Q980" s="54">
        <f t="shared" si="213"/>
        <v>0</v>
      </c>
      <c r="R980" s="47"/>
      <c r="T980" s="57"/>
      <c r="U980" s="45"/>
      <c r="V980" s="46">
        <f>IF(U980&lt;&gt;"",VLOOKUP(U980,'Tipo Projeto'!$A$3:$B$35,2,0),0)</f>
        <v>0</v>
      </c>
      <c r="W980" s="47"/>
      <c r="X980" s="49"/>
      <c r="Y980" s="50"/>
      <c r="Z980" s="51"/>
      <c r="AA980" s="52"/>
      <c r="AB980" s="53" t="str">
        <f t="shared" si="214"/>
        <v/>
      </c>
      <c r="AC980" s="48" t="str">
        <f t="shared" si="215"/>
        <v/>
      </c>
      <c r="AD980" s="54" t="str">
        <f t="shared" si="216"/>
        <v/>
      </c>
      <c r="AE980" s="55">
        <f t="shared" si="217"/>
        <v>0</v>
      </c>
      <c r="AF980" s="55">
        <f t="shared" si="218"/>
        <v>0</v>
      </c>
      <c r="AG980" s="58">
        <f t="shared" si="219"/>
        <v>0</v>
      </c>
      <c r="AH980" s="47"/>
      <c r="AJ980" s="47"/>
      <c r="AL980" s="47"/>
      <c r="AM980" s="47" t="str">
        <f t="shared" si="220"/>
        <v/>
      </c>
    </row>
    <row r="981" spans="1:39" s="56" customFormat="1" ht="24.75" customHeight="1">
      <c r="A981" s="44"/>
      <c r="B981" s="45"/>
      <c r="C981" s="46">
        <f>IF(B981&lt;&gt;"",VLOOKUP(B981,'Tipo Projeto'!$A$3:$B$35,2,0),0)</f>
        <v>0</v>
      </c>
      <c r="D981" s="47"/>
      <c r="E981" s="47"/>
      <c r="F981" s="48"/>
      <c r="G981" s="47"/>
      <c r="H981" s="49"/>
      <c r="I981" s="50"/>
      <c r="J981" s="51"/>
      <c r="K981" s="52"/>
      <c r="L981" s="53" t="str">
        <f t="shared" si="208"/>
        <v/>
      </c>
      <c r="M981" s="48" t="str">
        <f t="shared" si="209"/>
        <v/>
      </c>
      <c r="N981" s="54" t="str">
        <f t="shared" si="210"/>
        <v/>
      </c>
      <c r="O981" s="55">
        <f t="shared" si="211"/>
        <v>0</v>
      </c>
      <c r="P981" s="55">
        <f t="shared" si="212"/>
        <v>0</v>
      </c>
      <c r="Q981" s="54">
        <f t="shared" si="213"/>
        <v>0</v>
      </c>
      <c r="R981" s="47"/>
      <c r="T981" s="57"/>
      <c r="U981" s="45"/>
      <c r="V981" s="46">
        <f>IF(U981&lt;&gt;"",VLOOKUP(U981,'Tipo Projeto'!$A$3:$B$35,2,0),0)</f>
        <v>0</v>
      </c>
      <c r="W981" s="47"/>
      <c r="X981" s="49"/>
      <c r="Y981" s="50"/>
      <c r="Z981" s="51"/>
      <c r="AA981" s="52"/>
      <c r="AB981" s="53" t="str">
        <f t="shared" si="214"/>
        <v/>
      </c>
      <c r="AC981" s="48" t="str">
        <f t="shared" si="215"/>
        <v/>
      </c>
      <c r="AD981" s="54" t="str">
        <f t="shared" si="216"/>
        <v/>
      </c>
      <c r="AE981" s="55">
        <f t="shared" si="217"/>
        <v>0</v>
      </c>
      <c r="AF981" s="55">
        <f t="shared" si="218"/>
        <v>0</v>
      </c>
      <c r="AG981" s="58">
        <f t="shared" si="219"/>
        <v>0</v>
      </c>
      <c r="AH981" s="47"/>
      <c r="AJ981" s="47"/>
      <c r="AL981" s="47"/>
      <c r="AM981" s="47" t="str">
        <f t="shared" si="220"/>
        <v/>
      </c>
    </row>
    <row r="982" spans="1:39" s="56" customFormat="1" ht="24.75" customHeight="1">
      <c r="A982" s="44"/>
      <c r="B982" s="45"/>
      <c r="C982" s="46">
        <f>IF(B982&lt;&gt;"",VLOOKUP(B982,'Tipo Projeto'!$A$3:$B$35,2,0),0)</f>
        <v>0</v>
      </c>
      <c r="D982" s="47"/>
      <c r="E982" s="47"/>
      <c r="F982" s="48"/>
      <c r="G982" s="47"/>
      <c r="H982" s="49"/>
      <c r="I982" s="50"/>
      <c r="J982" s="51"/>
      <c r="K982" s="52"/>
      <c r="L982" s="53" t="str">
        <f t="shared" si="208"/>
        <v/>
      </c>
      <c r="M982" s="48" t="str">
        <f t="shared" si="209"/>
        <v/>
      </c>
      <c r="N982" s="54" t="str">
        <f t="shared" si="210"/>
        <v/>
      </c>
      <c r="O982" s="55">
        <f t="shared" si="211"/>
        <v>0</v>
      </c>
      <c r="P982" s="55">
        <f t="shared" si="212"/>
        <v>0</v>
      </c>
      <c r="Q982" s="54">
        <f t="shared" si="213"/>
        <v>0</v>
      </c>
      <c r="R982" s="47"/>
      <c r="T982" s="57"/>
      <c r="U982" s="45"/>
      <c r="V982" s="46">
        <f>IF(U982&lt;&gt;"",VLOOKUP(U982,'Tipo Projeto'!$A$3:$B$35,2,0),0)</f>
        <v>0</v>
      </c>
      <c r="W982" s="47"/>
      <c r="X982" s="49"/>
      <c r="Y982" s="50"/>
      <c r="Z982" s="51"/>
      <c r="AA982" s="52"/>
      <c r="AB982" s="53" t="str">
        <f t="shared" si="214"/>
        <v/>
      </c>
      <c r="AC982" s="48" t="str">
        <f t="shared" si="215"/>
        <v/>
      </c>
      <c r="AD982" s="54" t="str">
        <f t="shared" si="216"/>
        <v/>
      </c>
      <c r="AE982" s="55">
        <f t="shared" si="217"/>
        <v>0</v>
      </c>
      <c r="AF982" s="55">
        <f t="shared" si="218"/>
        <v>0</v>
      </c>
      <c r="AG982" s="58">
        <f t="shared" si="219"/>
        <v>0</v>
      </c>
      <c r="AH982" s="47"/>
      <c r="AJ982" s="47"/>
      <c r="AL982" s="47"/>
      <c r="AM982" s="47" t="str">
        <f t="shared" si="220"/>
        <v/>
      </c>
    </row>
    <row r="983" spans="1:39" s="56" customFormat="1" ht="24.75" customHeight="1">
      <c r="A983" s="44"/>
      <c r="B983" s="45"/>
      <c r="C983" s="46">
        <f>IF(B983&lt;&gt;"",VLOOKUP(B983,'Tipo Projeto'!$A$3:$B$35,2,0),0)</f>
        <v>0</v>
      </c>
      <c r="D983" s="47"/>
      <c r="E983" s="47"/>
      <c r="F983" s="48"/>
      <c r="G983" s="47"/>
      <c r="H983" s="49"/>
      <c r="I983" s="50"/>
      <c r="J983" s="51"/>
      <c r="K983" s="52"/>
      <c r="L983" s="53" t="str">
        <f t="shared" si="208"/>
        <v/>
      </c>
      <c r="M983" s="48" t="str">
        <f t="shared" si="209"/>
        <v/>
      </c>
      <c r="N983" s="54" t="str">
        <f t="shared" si="210"/>
        <v/>
      </c>
      <c r="O983" s="55">
        <f t="shared" si="211"/>
        <v>0</v>
      </c>
      <c r="P983" s="55">
        <f t="shared" si="212"/>
        <v>0</v>
      </c>
      <c r="Q983" s="54">
        <f t="shared" si="213"/>
        <v>0</v>
      </c>
      <c r="R983" s="47"/>
      <c r="T983" s="57"/>
      <c r="U983" s="45"/>
      <c r="V983" s="46">
        <f>IF(U983&lt;&gt;"",VLOOKUP(U983,'Tipo Projeto'!$A$3:$B$35,2,0),0)</f>
        <v>0</v>
      </c>
      <c r="W983" s="47"/>
      <c r="X983" s="49"/>
      <c r="Y983" s="50"/>
      <c r="Z983" s="51"/>
      <c r="AA983" s="52"/>
      <c r="AB983" s="53" t="str">
        <f t="shared" si="214"/>
        <v/>
      </c>
      <c r="AC983" s="48" t="str">
        <f t="shared" si="215"/>
        <v/>
      </c>
      <c r="AD983" s="54" t="str">
        <f t="shared" si="216"/>
        <v/>
      </c>
      <c r="AE983" s="55">
        <f t="shared" si="217"/>
        <v>0</v>
      </c>
      <c r="AF983" s="55">
        <f t="shared" si="218"/>
        <v>0</v>
      </c>
      <c r="AG983" s="58">
        <f t="shared" si="219"/>
        <v>0</v>
      </c>
      <c r="AH983" s="47"/>
      <c r="AJ983" s="47"/>
      <c r="AL983" s="47"/>
      <c r="AM983" s="47" t="str">
        <f t="shared" si="220"/>
        <v/>
      </c>
    </row>
    <row r="984" spans="1:39" s="56" customFormat="1" ht="24.75" customHeight="1">
      <c r="A984" s="44"/>
      <c r="B984" s="45"/>
      <c r="C984" s="46">
        <f>IF(B984&lt;&gt;"",VLOOKUP(B984,'Tipo Projeto'!$A$3:$B$35,2,0),0)</f>
        <v>0</v>
      </c>
      <c r="D984" s="47"/>
      <c r="E984" s="47"/>
      <c r="F984" s="48"/>
      <c r="G984" s="47"/>
      <c r="H984" s="49"/>
      <c r="I984" s="50"/>
      <c r="J984" s="51"/>
      <c r="K984" s="52"/>
      <c r="L984" s="53" t="str">
        <f t="shared" si="208"/>
        <v/>
      </c>
      <c r="M984" s="48" t="str">
        <f t="shared" si="209"/>
        <v/>
      </c>
      <c r="N984" s="54" t="str">
        <f t="shared" si="210"/>
        <v/>
      </c>
      <c r="O984" s="55">
        <f t="shared" si="211"/>
        <v>0</v>
      </c>
      <c r="P984" s="55">
        <f t="shared" si="212"/>
        <v>0</v>
      </c>
      <c r="Q984" s="54">
        <f t="shared" si="213"/>
        <v>0</v>
      </c>
      <c r="R984" s="47"/>
      <c r="T984" s="57"/>
      <c r="U984" s="45"/>
      <c r="V984" s="46">
        <f>IF(U984&lt;&gt;"",VLOOKUP(U984,'Tipo Projeto'!$A$3:$B$35,2,0),0)</f>
        <v>0</v>
      </c>
      <c r="W984" s="47"/>
      <c r="X984" s="49"/>
      <c r="Y984" s="50"/>
      <c r="Z984" s="51"/>
      <c r="AA984" s="52"/>
      <c r="AB984" s="53" t="str">
        <f t="shared" si="214"/>
        <v/>
      </c>
      <c r="AC984" s="48" t="str">
        <f t="shared" si="215"/>
        <v/>
      </c>
      <c r="AD984" s="54" t="str">
        <f t="shared" si="216"/>
        <v/>
      </c>
      <c r="AE984" s="55">
        <f t="shared" si="217"/>
        <v>0</v>
      </c>
      <c r="AF984" s="55">
        <f t="shared" si="218"/>
        <v>0</v>
      </c>
      <c r="AG984" s="58">
        <f t="shared" si="219"/>
        <v>0</v>
      </c>
      <c r="AH984" s="47"/>
      <c r="AJ984" s="47"/>
      <c r="AL984" s="47"/>
      <c r="AM984" s="47" t="str">
        <f t="shared" si="220"/>
        <v/>
      </c>
    </row>
    <row r="985" spans="1:39" s="56" customFormat="1" ht="24.75" customHeight="1">
      <c r="A985" s="44"/>
      <c r="B985" s="45"/>
      <c r="C985" s="46">
        <f>IF(B985&lt;&gt;"",VLOOKUP(B985,'Tipo Projeto'!$A$3:$B$35,2,0),0)</f>
        <v>0</v>
      </c>
      <c r="D985" s="47"/>
      <c r="E985" s="47"/>
      <c r="F985" s="48"/>
      <c r="G985" s="47"/>
      <c r="H985" s="49"/>
      <c r="I985" s="50"/>
      <c r="J985" s="51"/>
      <c r="K985" s="52"/>
      <c r="L985" s="53" t="str">
        <f t="shared" si="208"/>
        <v/>
      </c>
      <c r="M985" s="48" t="str">
        <f t="shared" si="209"/>
        <v/>
      </c>
      <c r="N985" s="54" t="str">
        <f t="shared" si="210"/>
        <v/>
      </c>
      <c r="O985" s="55">
        <f t="shared" si="211"/>
        <v>0</v>
      </c>
      <c r="P985" s="55">
        <f t="shared" si="212"/>
        <v>0</v>
      </c>
      <c r="Q985" s="54">
        <f t="shared" si="213"/>
        <v>0</v>
      </c>
      <c r="R985" s="47"/>
      <c r="T985" s="57"/>
      <c r="U985" s="45"/>
      <c r="V985" s="46">
        <f>IF(U985&lt;&gt;"",VLOOKUP(U985,'Tipo Projeto'!$A$3:$B$35,2,0),0)</f>
        <v>0</v>
      </c>
      <c r="W985" s="47"/>
      <c r="X985" s="49"/>
      <c r="Y985" s="50"/>
      <c r="Z985" s="51"/>
      <c r="AA985" s="52"/>
      <c r="AB985" s="53" t="str">
        <f t="shared" si="214"/>
        <v/>
      </c>
      <c r="AC985" s="48" t="str">
        <f t="shared" si="215"/>
        <v/>
      </c>
      <c r="AD985" s="54" t="str">
        <f t="shared" si="216"/>
        <v/>
      </c>
      <c r="AE985" s="55">
        <f t="shared" si="217"/>
        <v>0</v>
      </c>
      <c r="AF985" s="55">
        <f t="shared" si="218"/>
        <v>0</v>
      </c>
      <c r="AG985" s="58">
        <f t="shared" si="219"/>
        <v>0</v>
      </c>
      <c r="AH985" s="47"/>
      <c r="AJ985" s="47"/>
      <c r="AL985" s="47"/>
      <c r="AM985" s="47" t="str">
        <f t="shared" si="220"/>
        <v/>
      </c>
    </row>
    <row r="986" spans="1:39" s="56" customFormat="1" ht="24.75" customHeight="1">
      <c r="A986" s="44"/>
      <c r="B986" s="45"/>
      <c r="C986" s="46">
        <f>IF(B986&lt;&gt;"",VLOOKUP(B986,'Tipo Projeto'!$A$3:$B$35,2,0),0)</f>
        <v>0</v>
      </c>
      <c r="D986" s="47"/>
      <c r="E986" s="47"/>
      <c r="F986" s="48"/>
      <c r="G986" s="47"/>
      <c r="H986" s="49"/>
      <c r="I986" s="50"/>
      <c r="J986" s="51"/>
      <c r="K986" s="52"/>
      <c r="L986" s="53" t="str">
        <f t="shared" si="208"/>
        <v/>
      </c>
      <c r="M986" s="48" t="str">
        <f t="shared" si="209"/>
        <v/>
      </c>
      <c r="N986" s="54" t="str">
        <f t="shared" si="210"/>
        <v/>
      </c>
      <c r="O986" s="55">
        <f t="shared" si="211"/>
        <v>0</v>
      </c>
      <c r="P986" s="55">
        <f t="shared" si="212"/>
        <v>0</v>
      </c>
      <c r="Q986" s="54">
        <f t="shared" si="213"/>
        <v>0</v>
      </c>
      <c r="R986" s="47"/>
      <c r="T986" s="57"/>
      <c r="U986" s="45"/>
      <c r="V986" s="46">
        <f>IF(U986&lt;&gt;"",VLOOKUP(U986,'Tipo Projeto'!$A$3:$B$35,2,0),0)</f>
        <v>0</v>
      </c>
      <c r="W986" s="47"/>
      <c r="X986" s="49"/>
      <c r="Y986" s="50"/>
      <c r="Z986" s="51"/>
      <c r="AA986" s="52"/>
      <c r="AB986" s="53" t="str">
        <f t="shared" si="214"/>
        <v/>
      </c>
      <c r="AC986" s="48" t="str">
        <f t="shared" si="215"/>
        <v/>
      </c>
      <c r="AD986" s="54" t="str">
        <f t="shared" si="216"/>
        <v/>
      </c>
      <c r="AE986" s="55">
        <f t="shared" si="217"/>
        <v>0</v>
      </c>
      <c r="AF986" s="55">
        <f t="shared" si="218"/>
        <v>0</v>
      </c>
      <c r="AG986" s="58">
        <f t="shared" si="219"/>
        <v>0</v>
      </c>
      <c r="AH986" s="47"/>
      <c r="AJ986" s="47"/>
      <c r="AL986" s="47"/>
      <c r="AM986" s="47" t="str">
        <f t="shared" si="220"/>
        <v/>
      </c>
    </row>
    <row r="987" spans="1:39" s="56" customFormat="1" ht="24.75" customHeight="1">
      <c r="A987" s="44"/>
      <c r="B987" s="45"/>
      <c r="C987" s="46">
        <f>IF(B987&lt;&gt;"",VLOOKUP(B987,'Tipo Projeto'!$A$3:$B$35,2,0),0)</f>
        <v>0</v>
      </c>
      <c r="D987" s="47"/>
      <c r="E987" s="47"/>
      <c r="F987" s="48"/>
      <c r="G987" s="47"/>
      <c r="H987" s="49"/>
      <c r="I987" s="50"/>
      <c r="J987" s="51"/>
      <c r="K987" s="52"/>
      <c r="L987" s="53" t="str">
        <f t="shared" si="208"/>
        <v/>
      </c>
      <c r="M987" s="48" t="str">
        <f t="shared" si="209"/>
        <v/>
      </c>
      <c r="N987" s="54" t="str">
        <f t="shared" si="210"/>
        <v/>
      </c>
      <c r="O987" s="55">
        <f t="shared" si="211"/>
        <v>0</v>
      </c>
      <c r="P987" s="55">
        <f t="shared" si="212"/>
        <v>0</v>
      </c>
      <c r="Q987" s="54">
        <f t="shared" si="213"/>
        <v>0</v>
      </c>
      <c r="R987" s="47"/>
      <c r="T987" s="57"/>
      <c r="U987" s="45"/>
      <c r="V987" s="46">
        <f>IF(U987&lt;&gt;"",VLOOKUP(U987,'Tipo Projeto'!$A$3:$B$35,2,0),0)</f>
        <v>0</v>
      </c>
      <c r="W987" s="47"/>
      <c r="X987" s="49"/>
      <c r="Y987" s="50"/>
      <c r="Z987" s="51"/>
      <c r="AA987" s="52"/>
      <c r="AB987" s="53" t="str">
        <f t="shared" si="214"/>
        <v/>
      </c>
      <c r="AC987" s="48" t="str">
        <f t="shared" si="215"/>
        <v/>
      </c>
      <c r="AD987" s="54" t="str">
        <f t="shared" si="216"/>
        <v/>
      </c>
      <c r="AE987" s="55">
        <f t="shared" si="217"/>
        <v>0</v>
      </c>
      <c r="AF987" s="55">
        <f t="shared" si="218"/>
        <v>0</v>
      </c>
      <c r="AG987" s="58">
        <f t="shared" si="219"/>
        <v>0</v>
      </c>
      <c r="AH987" s="47"/>
      <c r="AJ987" s="47"/>
      <c r="AL987" s="47"/>
      <c r="AM987" s="47" t="str">
        <f t="shared" si="220"/>
        <v/>
      </c>
    </row>
    <row r="988" spans="1:39" s="56" customFormat="1" ht="24.75" customHeight="1">
      <c r="A988" s="44"/>
      <c r="B988" s="45"/>
      <c r="C988" s="46">
        <f>IF(B988&lt;&gt;"",VLOOKUP(B988,'Tipo Projeto'!$A$3:$B$35,2,0),0)</f>
        <v>0</v>
      </c>
      <c r="D988" s="47"/>
      <c r="E988" s="47"/>
      <c r="F988" s="48"/>
      <c r="G988" s="47"/>
      <c r="H988" s="49"/>
      <c r="I988" s="50"/>
      <c r="J988" s="51"/>
      <c r="K988" s="52"/>
      <c r="L988" s="53" t="str">
        <f t="shared" si="208"/>
        <v/>
      </c>
      <c r="M988" s="48" t="str">
        <f t="shared" si="209"/>
        <v/>
      </c>
      <c r="N988" s="54" t="str">
        <f t="shared" si="210"/>
        <v/>
      </c>
      <c r="O988" s="55">
        <f t="shared" si="211"/>
        <v>0</v>
      </c>
      <c r="P988" s="55">
        <f t="shared" si="212"/>
        <v>0</v>
      </c>
      <c r="Q988" s="54">
        <f t="shared" si="213"/>
        <v>0</v>
      </c>
      <c r="R988" s="47"/>
      <c r="T988" s="57"/>
      <c r="U988" s="45"/>
      <c r="V988" s="46">
        <f>IF(U988&lt;&gt;"",VLOOKUP(U988,'Tipo Projeto'!$A$3:$B$35,2,0),0)</f>
        <v>0</v>
      </c>
      <c r="W988" s="47"/>
      <c r="X988" s="49"/>
      <c r="Y988" s="50"/>
      <c r="Z988" s="51"/>
      <c r="AA988" s="52"/>
      <c r="AB988" s="53" t="str">
        <f t="shared" si="214"/>
        <v/>
      </c>
      <c r="AC988" s="48" t="str">
        <f t="shared" si="215"/>
        <v/>
      </c>
      <c r="AD988" s="54" t="str">
        <f t="shared" si="216"/>
        <v/>
      </c>
      <c r="AE988" s="55">
        <f t="shared" si="217"/>
        <v>0</v>
      </c>
      <c r="AF988" s="55">
        <f t="shared" si="218"/>
        <v>0</v>
      </c>
      <c r="AG988" s="58">
        <f t="shared" si="219"/>
        <v>0</v>
      </c>
      <c r="AH988" s="47"/>
      <c r="AJ988" s="47"/>
      <c r="AL988" s="47"/>
      <c r="AM988" s="47" t="str">
        <f t="shared" si="220"/>
        <v/>
      </c>
    </row>
    <row r="989" spans="1:39" s="56" customFormat="1" ht="24.75" customHeight="1">
      <c r="A989" s="44"/>
      <c r="B989" s="45"/>
      <c r="C989" s="46">
        <f>IF(B989&lt;&gt;"",VLOOKUP(B989,'Tipo Projeto'!$A$3:$B$35,2,0),0)</f>
        <v>0</v>
      </c>
      <c r="D989" s="47"/>
      <c r="E989" s="47"/>
      <c r="F989" s="48"/>
      <c r="G989" s="47"/>
      <c r="H989" s="49"/>
      <c r="I989" s="50"/>
      <c r="J989" s="51"/>
      <c r="K989" s="52"/>
      <c r="L989" s="53" t="str">
        <f t="shared" si="208"/>
        <v/>
      </c>
      <c r="M989" s="48" t="str">
        <f t="shared" si="209"/>
        <v/>
      </c>
      <c r="N989" s="54" t="str">
        <f t="shared" si="210"/>
        <v/>
      </c>
      <c r="O989" s="55">
        <f t="shared" si="211"/>
        <v>0</v>
      </c>
      <c r="P989" s="55">
        <f t="shared" si="212"/>
        <v>0</v>
      </c>
      <c r="Q989" s="54">
        <f t="shared" si="213"/>
        <v>0</v>
      </c>
      <c r="R989" s="47"/>
      <c r="T989" s="57"/>
      <c r="U989" s="45"/>
      <c r="V989" s="46">
        <f>IF(U989&lt;&gt;"",VLOOKUP(U989,'Tipo Projeto'!$A$3:$B$35,2,0),0)</f>
        <v>0</v>
      </c>
      <c r="W989" s="47"/>
      <c r="X989" s="49"/>
      <c r="Y989" s="50"/>
      <c r="Z989" s="51"/>
      <c r="AA989" s="52"/>
      <c r="AB989" s="53" t="str">
        <f t="shared" si="214"/>
        <v/>
      </c>
      <c r="AC989" s="48" t="str">
        <f t="shared" si="215"/>
        <v/>
      </c>
      <c r="AD989" s="54" t="str">
        <f t="shared" si="216"/>
        <v/>
      </c>
      <c r="AE989" s="55">
        <f t="shared" si="217"/>
        <v>0</v>
      </c>
      <c r="AF989" s="55">
        <f t="shared" si="218"/>
        <v>0</v>
      </c>
      <c r="AG989" s="58">
        <f t="shared" si="219"/>
        <v>0</v>
      </c>
      <c r="AH989" s="47"/>
      <c r="AJ989" s="47"/>
      <c r="AL989" s="47"/>
      <c r="AM989" s="47" t="str">
        <f t="shared" si="220"/>
        <v/>
      </c>
    </row>
    <row r="990" spans="1:39" s="56" customFormat="1" ht="24.75" customHeight="1">
      <c r="A990" s="44"/>
      <c r="B990" s="45"/>
      <c r="C990" s="46">
        <f>IF(B990&lt;&gt;"",VLOOKUP(B990,'Tipo Projeto'!$A$3:$B$35,2,0),0)</f>
        <v>0</v>
      </c>
      <c r="D990" s="47"/>
      <c r="E990" s="47"/>
      <c r="F990" s="48"/>
      <c r="G990" s="47"/>
      <c r="H990" s="49"/>
      <c r="I990" s="50"/>
      <c r="J990" s="51"/>
      <c r="K990" s="52"/>
      <c r="L990" s="53" t="str">
        <f t="shared" si="208"/>
        <v/>
      </c>
      <c r="M990" s="48" t="str">
        <f t="shared" si="209"/>
        <v/>
      </c>
      <c r="N990" s="54" t="str">
        <f t="shared" si="210"/>
        <v/>
      </c>
      <c r="O990" s="55">
        <f t="shared" si="211"/>
        <v>0</v>
      </c>
      <c r="P990" s="55">
        <f t="shared" si="212"/>
        <v>0</v>
      </c>
      <c r="Q990" s="54">
        <f t="shared" si="213"/>
        <v>0</v>
      </c>
      <c r="R990" s="47"/>
      <c r="T990" s="57"/>
      <c r="U990" s="45"/>
      <c r="V990" s="46">
        <f>IF(U990&lt;&gt;"",VLOOKUP(U990,'Tipo Projeto'!$A$3:$B$35,2,0),0)</f>
        <v>0</v>
      </c>
      <c r="W990" s="47"/>
      <c r="X990" s="49"/>
      <c r="Y990" s="50"/>
      <c r="Z990" s="51"/>
      <c r="AA990" s="52"/>
      <c r="AB990" s="53" t="str">
        <f t="shared" si="214"/>
        <v/>
      </c>
      <c r="AC990" s="48" t="str">
        <f t="shared" si="215"/>
        <v/>
      </c>
      <c r="AD990" s="54" t="str">
        <f t="shared" si="216"/>
        <v/>
      </c>
      <c r="AE990" s="55">
        <f t="shared" si="217"/>
        <v>0</v>
      </c>
      <c r="AF990" s="55">
        <f t="shared" si="218"/>
        <v>0</v>
      </c>
      <c r="AG990" s="58">
        <f t="shared" si="219"/>
        <v>0</v>
      </c>
      <c r="AH990" s="47"/>
      <c r="AJ990" s="47"/>
      <c r="AL990" s="47"/>
      <c r="AM990" s="47" t="str">
        <f t="shared" si="220"/>
        <v/>
      </c>
    </row>
    <row r="991" spans="1:39" s="56" customFormat="1" ht="24.75" customHeight="1">
      <c r="A991" s="44"/>
      <c r="B991" s="45"/>
      <c r="C991" s="46">
        <f>IF(B991&lt;&gt;"",VLOOKUP(B991,'Tipo Projeto'!$A$3:$B$35,2,0),0)</f>
        <v>0</v>
      </c>
      <c r="D991" s="47"/>
      <c r="E991" s="47"/>
      <c r="F991" s="48"/>
      <c r="G991" s="47"/>
      <c r="H991" s="49"/>
      <c r="I991" s="50"/>
      <c r="J991" s="51"/>
      <c r="K991" s="52"/>
      <c r="L991" s="53" t="str">
        <f t="shared" si="208"/>
        <v/>
      </c>
      <c r="M991" s="48" t="str">
        <f t="shared" si="209"/>
        <v/>
      </c>
      <c r="N991" s="54" t="str">
        <f t="shared" si="210"/>
        <v/>
      </c>
      <c r="O991" s="55">
        <f t="shared" si="211"/>
        <v>0</v>
      </c>
      <c r="P991" s="55">
        <f t="shared" si="212"/>
        <v>0</v>
      </c>
      <c r="Q991" s="54">
        <f t="shared" si="213"/>
        <v>0</v>
      </c>
      <c r="R991" s="47"/>
      <c r="T991" s="57"/>
      <c r="U991" s="45"/>
      <c r="V991" s="46">
        <f>IF(U991&lt;&gt;"",VLOOKUP(U991,'Tipo Projeto'!$A$3:$B$35,2,0),0)</f>
        <v>0</v>
      </c>
      <c r="W991" s="47"/>
      <c r="X991" s="49"/>
      <c r="Y991" s="50"/>
      <c r="Z991" s="51"/>
      <c r="AA991" s="52"/>
      <c r="AB991" s="53" t="str">
        <f t="shared" si="214"/>
        <v/>
      </c>
      <c r="AC991" s="48" t="str">
        <f t="shared" si="215"/>
        <v/>
      </c>
      <c r="AD991" s="54" t="str">
        <f t="shared" si="216"/>
        <v/>
      </c>
      <c r="AE991" s="55">
        <f t="shared" si="217"/>
        <v>0</v>
      </c>
      <c r="AF991" s="55">
        <f t="shared" si="218"/>
        <v>0</v>
      </c>
      <c r="AG991" s="58">
        <f t="shared" si="219"/>
        <v>0</v>
      </c>
      <c r="AH991" s="47"/>
      <c r="AJ991" s="47"/>
      <c r="AL991" s="47"/>
      <c r="AM991" s="47" t="str">
        <f t="shared" si="220"/>
        <v/>
      </c>
    </row>
    <row r="992" spans="1:39" s="56" customFormat="1" ht="24.75" customHeight="1">
      <c r="A992" s="44"/>
      <c r="B992" s="45"/>
      <c r="C992" s="46">
        <f>IF(B992&lt;&gt;"",VLOOKUP(B992,'Tipo Projeto'!$A$3:$B$35,2,0),0)</f>
        <v>0</v>
      </c>
      <c r="D992" s="47"/>
      <c r="E992" s="47"/>
      <c r="F992" s="48"/>
      <c r="G992" s="47"/>
      <c r="H992" s="49"/>
      <c r="I992" s="50"/>
      <c r="J992" s="51"/>
      <c r="K992" s="52"/>
      <c r="L992" s="53" t="str">
        <f t="shared" si="208"/>
        <v/>
      </c>
      <c r="M992" s="48" t="str">
        <f t="shared" si="209"/>
        <v/>
      </c>
      <c r="N992" s="54" t="str">
        <f t="shared" si="210"/>
        <v/>
      </c>
      <c r="O992" s="55">
        <f t="shared" si="211"/>
        <v>0</v>
      </c>
      <c r="P992" s="55">
        <f t="shared" si="212"/>
        <v>0</v>
      </c>
      <c r="Q992" s="54">
        <f t="shared" si="213"/>
        <v>0</v>
      </c>
      <c r="R992" s="47"/>
      <c r="T992" s="57"/>
      <c r="U992" s="45"/>
      <c r="V992" s="46">
        <f>IF(U992&lt;&gt;"",VLOOKUP(U992,'Tipo Projeto'!$A$3:$B$35,2,0),0)</f>
        <v>0</v>
      </c>
      <c r="W992" s="47"/>
      <c r="X992" s="49"/>
      <c r="Y992" s="50"/>
      <c r="Z992" s="51"/>
      <c r="AA992" s="52"/>
      <c r="AB992" s="53" t="str">
        <f t="shared" si="214"/>
        <v/>
      </c>
      <c r="AC992" s="48" t="str">
        <f t="shared" si="215"/>
        <v/>
      </c>
      <c r="AD992" s="54" t="str">
        <f t="shared" si="216"/>
        <v/>
      </c>
      <c r="AE992" s="55">
        <f t="shared" si="217"/>
        <v>0</v>
      </c>
      <c r="AF992" s="55">
        <f t="shared" si="218"/>
        <v>0</v>
      </c>
      <c r="AG992" s="58">
        <f t="shared" si="219"/>
        <v>0</v>
      </c>
      <c r="AH992" s="47"/>
      <c r="AJ992" s="47"/>
      <c r="AL992" s="47"/>
      <c r="AM992" s="47" t="str">
        <f t="shared" si="220"/>
        <v/>
      </c>
    </row>
    <row r="993" spans="1:39" s="56" customFormat="1" ht="24.75" customHeight="1">
      <c r="A993" s="44"/>
      <c r="B993" s="45"/>
      <c r="C993" s="46">
        <f>IF(B993&lt;&gt;"",VLOOKUP(B993,'Tipo Projeto'!$A$3:$B$35,2,0),0)</f>
        <v>0</v>
      </c>
      <c r="D993" s="47"/>
      <c r="E993" s="47"/>
      <c r="F993" s="48"/>
      <c r="G993" s="47"/>
      <c r="H993" s="49"/>
      <c r="I993" s="50"/>
      <c r="J993" s="51"/>
      <c r="K993" s="52"/>
      <c r="L993" s="53" t="str">
        <f t="shared" si="208"/>
        <v/>
      </c>
      <c r="M993" s="48" t="str">
        <f t="shared" si="209"/>
        <v/>
      </c>
      <c r="N993" s="54" t="str">
        <f t="shared" si="210"/>
        <v/>
      </c>
      <c r="O993" s="55">
        <f t="shared" si="211"/>
        <v>0</v>
      </c>
      <c r="P993" s="55">
        <f t="shared" si="212"/>
        <v>0</v>
      </c>
      <c r="Q993" s="54">
        <f t="shared" si="213"/>
        <v>0</v>
      </c>
      <c r="R993" s="47"/>
      <c r="T993" s="57"/>
      <c r="U993" s="45"/>
      <c r="V993" s="46">
        <f>IF(U993&lt;&gt;"",VLOOKUP(U993,'Tipo Projeto'!$A$3:$B$35,2,0),0)</f>
        <v>0</v>
      </c>
      <c r="W993" s="47"/>
      <c r="X993" s="49"/>
      <c r="Y993" s="50"/>
      <c r="Z993" s="51"/>
      <c r="AA993" s="52"/>
      <c r="AB993" s="53" t="str">
        <f t="shared" si="214"/>
        <v/>
      </c>
      <c r="AC993" s="48" t="str">
        <f t="shared" si="215"/>
        <v/>
      </c>
      <c r="AD993" s="54" t="str">
        <f t="shared" si="216"/>
        <v/>
      </c>
      <c r="AE993" s="55">
        <f t="shared" si="217"/>
        <v>0</v>
      </c>
      <c r="AF993" s="55">
        <f t="shared" si="218"/>
        <v>0</v>
      </c>
      <c r="AG993" s="58">
        <f t="shared" si="219"/>
        <v>0</v>
      </c>
      <c r="AH993" s="47"/>
      <c r="AJ993" s="47"/>
      <c r="AL993" s="47"/>
      <c r="AM993" s="47" t="str">
        <f t="shared" si="220"/>
        <v/>
      </c>
    </row>
    <row r="994" spans="1:39" s="56" customFormat="1" ht="24.75" customHeight="1">
      <c r="A994" s="44"/>
      <c r="B994" s="45"/>
      <c r="C994" s="46">
        <f>IF(B994&lt;&gt;"",VLOOKUP(B994,'Tipo Projeto'!$A$3:$B$35,2,0),0)</f>
        <v>0</v>
      </c>
      <c r="D994" s="47"/>
      <c r="E994" s="47"/>
      <c r="F994" s="48"/>
      <c r="G994" s="47"/>
      <c r="H994" s="49"/>
      <c r="I994" s="50"/>
      <c r="J994" s="51"/>
      <c r="K994" s="52"/>
      <c r="L994" s="53" t="str">
        <f t="shared" si="208"/>
        <v/>
      </c>
      <c r="M994" s="48" t="str">
        <f t="shared" si="209"/>
        <v/>
      </c>
      <c r="N994" s="54" t="str">
        <f t="shared" si="210"/>
        <v/>
      </c>
      <c r="O994" s="55">
        <f t="shared" si="211"/>
        <v>0</v>
      </c>
      <c r="P994" s="55">
        <f t="shared" si="212"/>
        <v>0</v>
      </c>
      <c r="Q994" s="54">
        <f t="shared" si="213"/>
        <v>0</v>
      </c>
      <c r="R994" s="47"/>
      <c r="T994" s="57"/>
      <c r="U994" s="45"/>
      <c r="V994" s="46">
        <f>IF(U994&lt;&gt;"",VLOOKUP(U994,'Tipo Projeto'!$A$3:$B$35,2,0),0)</f>
        <v>0</v>
      </c>
      <c r="W994" s="47"/>
      <c r="X994" s="49"/>
      <c r="Y994" s="50"/>
      <c r="Z994" s="51"/>
      <c r="AA994" s="52"/>
      <c r="AB994" s="53" t="str">
        <f t="shared" si="214"/>
        <v/>
      </c>
      <c r="AC994" s="48" t="str">
        <f t="shared" si="215"/>
        <v/>
      </c>
      <c r="AD994" s="54" t="str">
        <f t="shared" si="216"/>
        <v/>
      </c>
      <c r="AE994" s="55">
        <f t="shared" si="217"/>
        <v>0</v>
      </c>
      <c r="AF994" s="55">
        <f t="shared" si="218"/>
        <v>0</v>
      </c>
      <c r="AG994" s="58">
        <f t="shared" si="219"/>
        <v>0</v>
      </c>
      <c r="AH994" s="47"/>
      <c r="AJ994" s="47"/>
      <c r="AL994" s="47"/>
      <c r="AM994" s="47" t="str">
        <f t="shared" si="220"/>
        <v/>
      </c>
    </row>
    <row r="995" spans="1:39" s="56" customFormat="1" ht="24.75" customHeight="1">
      <c r="A995" s="44"/>
      <c r="B995" s="45"/>
      <c r="C995" s="46">
        <f>IF(B995&lt;&gt;"",VLOOKUP(B995,'Tipo Projeto'!$A$3:$B$35,2,0),0)</f>
        <v>0</v>
      </c>
      <c r="D995" s="47"/>
      <c r="E995" s="47"/>
      <c r="F995" s="48"/>
      <c r="G995" s="47"/>
      <c r="H995" s="49"/>
      <c r="I995" s="50"/>
      <c r="J995" s="51"/>
      <c r="K995" s="52"/>
      <c r="L995" s="53" t="str">
        <f t="shared" si="208"/>
        <v/>
      </c>
      <c r="M995" s="48" t="str">
        <f t="shared" si="209"/>
        <v/>
      </c>
      <c r="N995" s="54" t="str">
        <f t="shared" si="210"/>
        <v/>
      </c>
      <c r="O995" s="55">
        <f t="shared" si="211"/>
        <v>0</v>
      </c>
      <c r="P995" s="55">
        <f t="shared" si="212"/>
        <v>0</v>
      </c>
      <c r="Q995" s="54">
        <f t="shared" si="213"/>
        <v>0</v>
      </c>
      <c r="R995" s="47"/>
      <c r="T995" s="57"/>
      <c r="U995" s="45"/>
      <c r="V995" s="46">
        <f>IF(U995&lt;&gt;"",VLOOKUP(U995,'Tipo Projeto'!$A$3:$B$35,2,0),0)</f>
        <v>0</v>
      </c>
      <c r="W995" s="47"/>
      <c r="X995" s="49"/>
      <c r="Y995" s="50"/>
      <c r="Z995" s="51"/>
      <c r="AA995" s="52"/>
      <c r="AB995" s="53" t="str">
        <f t="shared" si="214"/>
        <v/>
      </c>
      <c r="AC995" s="48" t="str">
        <f t="shared" si="215"/>
        <v/>
      </c>
      <c r="AD995" s="54" t="str">
        <f t="shared" si="216"/>
        <v/>
      </c>
      <c r="AE995" s="55">
        <f t="shared" si="217"/>
        <v>0</v>
      </c>
      <c r="AF995" s="55">
        <f t="shared" si="218"/>
        <v>0</v>
      </c>
      <c r="AG995" s="58">
        <f t="shared" si="219"/>
        <v>0</v>
      </c>
      <c r="AH995" s="47"/>
      <c r="AJ995" s="47"/>
      <c r="AL995" s="47"/>
      <c r="AM995" s="47" t="str">
        <f t="shared" si="220"/>
        <v/>
      </c>
    </row>
    <row r="996" spans="1:39" s="56" customFormat="1" ht="24.75" customHeight="1">
      <c r="A996" s="44"/>
      <c r="B996" s="45"/>
      <c r="C996" s="46">
        <f>IF(B996&lt;&gt;"",VLOOKUP(B996,'Tipo Projeto'!$A$3:$B$35,2,0),0)</f>
        <v>0</v>
      </c>
      <c r="D996" s="47"/>
      <c r="E996" s="47"/>
      <c r="F996" s="48"/>
      <c r="G996" s="47"/>
      <c r="H996" s="49"/>
      <c r="I996" s="50"/>
      <c r="J996" s="51"/>
      <c r="K996" s="52"/>
      <c r="L996" s="53" t="str">
        <f t="shared" si="208"/>
        <v/>
      </c>
      <c r="M996" s="48" t="str">
        <f t="shared" si="209"/>
        <v/>
      </c>
      <c r="N996" s="54" t="str">
        <f t="shared" si="210"/>
        <v/>
      </c>
      <c r="O996" s="55">
        <f t="shared" si="211"/>
        <v>0</v>
      </c>
      <c r="P996" s="55">
        <f t="shared" si="212"/>
        <v>0</v>
      </c>
      <c r="Q996" s="54">
        <f t="shared" si="213"/>
        <v>0</v>
      </c>
      <c r="R996" s="47"/>
      <c r="T996" s="57"/>
      <c r="U996" s="45"/>
      <c r="V996" s="46">
        <f>IF(U996&lt;&gt;"",VLOOKUP(U996,'Tipo Projeto'!$A$3:$B$35,2,0),0)</f>
        <v>0</v>
      </c>
      <c r="W996" s="47"/>
      <c r="X996" s="49"/>
      <c r="Y996" s="50"/>
      <c r="Z996" s="51"/>
      <c r="AA996" s="52"/>
      <c r="AB996" s="53" t="str">
        <f t="shared" si="214"/>
        <v/>
      </c>
      <c r="AC996" s="48" t="str">
        <f t="shared" si="215"/>
        <v/>
      </c>
      <c r="AD996" s="54" t="str">
        <f t="shared" si="216"/>
        <v/>
      </c>
      <c r="AE996" s="55">
        <f t="shared" si="217"/>
        <v>0</v>
      </c>
      <c r="AF996" s="55">
        <f t="shared" si="218"/>
        <v>0</v>
      </c>
      <c r="AG996" s="58">
        <f t="shared" si="219"/>
        <v>0</v>
      </c>
      <c r="AH996" s="47"/>
      <c r="AJ996" s="47"/>
      <c r="AL996" s="47"/>
      <c r="AM996" s="47" t="str">
        <f t="shared" si="220"/>
        <v/>
      </c>
    </row>
    <row r="997" spans="1:39" s="56" customFormat="1" ht="24.75" customHeight="1">
      <c r="A997" s="44"/>
      <c r="B997" s="45"/>
      <c r="C997" s="46">
        <f>IF(B997&lt;&gt;"",VLOOKUP(B997,'Tipo Projeto'!$A$3:$B$35,2,0),0)</f>
        <v>0</v>
      </c>
      <c r="D997" s="47"/>
      <c r="E997" s="47"/>
      <c r="F997" s="48"/>
      <c r="G997" s="47"/>
      <c r="H997" s="49"/>
      <c r="I997" s="50"/>
      <c r="J997" s="51"/>
      <c r="K997" s="52"/>
      <c r="L997" s="53" t="str">
        <f t="shared" si="208"/>
        <v/>
      </c>
      <c r="M997" s="48" t="str">
        <f t="shared" si="209"/>
        <v/>
      </c>
      <c r="N997" s="54" t="str">
        <f t="shared" si="210"/>
        <v/>
      </c>
      <c r="O997" s="55">
        <f t="shared" si="211"/>
        <v>0</v>
      </c>
      <c r="P997" s="55">
        <f t="shared" si="212"/>
        <v>0</v>
      </c>
      <c r="Q997" s="54">
        <f t="shared" si="213"/>
        <v>0</v>
      </c>
      <c r="R997" s="47"/>
      <c r="T997" s="57"/>
      <c r="U997" s="45"/>
      <c r="V997" s="46">
        <f>IF(U997&lt;&gt;"",VLOOKUP(U997,'Tipo Projeto'!$A$3:$B$35,2,0),0)</f>
        <v>0</v>
      </c>
      <c r="W997" s="47"/>
      <c r="X997" s="49"/>
      <c r="Y997" s="50"/>
      <c r="Z997" s="51"/>
      <c r="AA997" s="52"/>
      <c r="AB997" s="53" t="str">
        <f t="shared" si="214"/>
        <v/>
      </c>
      <c r="AC997" s="48" t="str">
        <f t="shared" si="215"/>
        <v/>
      </c>
      <c r="AD997" s="54" t="str">
        <f t="shared" si="216"/>
        <v/>
      </c>
      <c r="AE997" s="55">
        <f t="shared" si="217"/>
        <v>0</v>
      </c>
      <c r="AF997" s="55">
        <f t="shared" si="218"/>
        <v>0</v>
      </c>
      <c r="AG997" s="58">
        <f t="shared" si="219"/>
        <v>0</v>
      </c>
      <c r="AH997" s="47"/>
      <c r="AJ997" s="47"/>
      <c r="AL997" s="47"/>
      <c r="AM997" s="47" t="str">
        <f t="shared" si="220"/>
        <v/>
      </c>
    </row>
    <row r="998" spans="1:39" s="56" customFormat="1" ht="24.75" customHeight="1">
      <c r="A998" s="44"/>
      <c r="B998" s="45"/>
      <c r="C998" s="46">
        <f>IF(B998&lt;&gt;"",VLOOKUP(B998,'Tipo Projeto'!$A$3:$B$35,2,0),0)</f>
        <v>0</v>
      </c>
      <c r="D998" s="47"/>
      <c r="E998" s="47"/>
      <c r="F998" s="48"/>
      <c r="G998" s="47"/>
      <c r="H998" s="49"/>
      <c r="I998" s="50"/>
      <c r="J998" s="51"/>
      <c r="K998" s="52"/>
      <c r="L998" s="53" t="str">
        <f t="shared" si="208"/>
        <v/>
      </c>
      <c r="M998" s="48" t="str">
        <f t="shared" si="209"/>
        <v/>
      </c>
      <c r="N998" s="54" t="str">
        <f t="shared" si="210"/>
        <v/>
      </c>
      <c r="O998" s="55">
        <f t="shared" si="211"/>
        <v>0</v>
      </c>
      <c r="P998" s="55">
        <f t="shared" si="212"/>
        <v>0</v>
      </c>
      <c r="Q998" s="54">
        <f t="shared" si="213"/>
        <v>0</v>
      </c>
      <c r="R998" s="47"/>
      <c r="T998" s="57"/>
      <c r="U998" s="45"/>
      <c r="V998" s="46">
        <f>IF(U998&lt;&gt;"",VLOOKUP(U998,'Tipo Projeto'!$A$3:$B$35,2,0),0)</f>
        <v>0</v>
      </c>
      <c r="W998" s="47"/>
      <c r="X998" s="49"/>
      <c r="Y998" s="50"/>
      <c r="Z998" s="51"/>
      <c r="AA998" s="52"/>
      <c r="AB998" s="53" t="str">
        <f t="shared" si="214"/>
        <v/>
      </c>
      <c r="AC998" s="48" t="str">
        <f t="shared" si="215"/>
        <v/>
      </c>
      <c r="AD998" s="54" t="str">
        <f t="shared" si="216"/>
        <v/>
      </c>
      <c r="AE998" s="55">
        <f t="shared" si="217"/>
        <v>0</v>
      </c>
      <c r="AF998" s="55">
        <f t="shared" si="218"/>
        <v>0</v>
      </c>
      <c r="AG998" s="58">
        <f t="shared" si="219"/>
        <v>0</v>
      </c>
      <c r="AH998" s="47"/>
      <c r="AJ998" s="47"/>
      <c r="AL998" s="47"/>
      <c r="AM998" s="47" t="str">
        <f t="shared" si="220"/>
        <v/>
      </c>
    </row>
    <row r="999" spans="1:39" s="56" customFormat="1" ht="24.75" customHeight="1">
      <c r="A999" s="44"/>
      <c r="B999" s="45"/>
      <c r="C999" s="46">
        <f>IF(B999&lt;&gt;"",VLOOKUP(B999,'Tipo Projeto'!$A$3:$B$35,2,0),0)</f>
        <v>0</v>
      </c>
      <c r="D999" s="47"/>
      <c r="E999" s="47"/>
      <c r="F999" s="48"/>
      <c r="G999" s="47"/>
      <c r="H999" s="49"/>
      <c r="I999" s="50"/>
      <c r="J999" s="51"/>
      <c r="K999" s="52"/>
      <c r="L999" s="53" t="str">
        <f t="shared" si="208"/>
        <v/>
      </c>
      <c r="M999" s="48" t="str">
        <f t="shared" si="209"/>
        <v/>
      </c>
      <c r="N999" s="54" t="str">
        <f t="shared" si="210"/>
        <v/>
      </c>
      <c r="O999" s="55">
        <f t="shared" si="211"/>
        <v>0</v>
      </c>
      <c r="P999" s="55">
        <f t="shared" si="212"/>
        <v>0</v>
      </c>
      <c r="Q999" s="54">
        <f t="shared" si="213"/>
        <v>0</v>
      </c>
      <c r="R999" s="47"/>
      <c r="T999" s="57"/>
      <c r="U999" s="45"/>
      <c r="V999" s="46">
        <f>IF(U999&lt;&gt;"",VLOOKUP(U999,'Tipo Projeto'!$A$3:$B$35,2,0),0)</f>
        <v>0</v>
      </c>
      <c r="W999" s="47"/>
      <c r="X999" s="49"/>
      <c r="Y999" s="50"/>
      <c r="Z999" s="51"/>
      <c r="AA999" s="52"/>
      <c r="AB999" s="53" t="str">
        <f t="shared" si="214"/>
        <v/>
      </c>
      <c r="AC999" s="48" t="str">
        <f t="shared" si="215"/>
        <v/>
      </c>
      <c r="AD999" s="54" t="str">
        <f t="shared" si="216"/>
        <v/>
      </c>
      <c r="AE999" s="55">
        <f t="shared" si="217"/>
        <v>0</v>
      </c>
      <c r="AF999" s="55">
        <f t="shared" si="218"/>
        <v>0</v>
      </c>
      <c r="AG999" s="58">
        <f t="shared" si="219"/>
        <v>0</v>
      </c>
      <c r="AH999" s="47"/>
      <c r="AJ999" s="47"/>
      <c r="AL999" s="47"/>
      <c r="AM999" s="47" t="str">
        <f t="shared" si="220"/>
        <v/>
      </c>
    </row>
    <row r="1000" spans="1:39" s="56" customFormat="1" ht="24.75" customHeight="1">
      <c r="A1000" s="44"/>
      <c r="B1000" s="45"/>
      <c r="C1000" s="46">
        <f>IF(B1000&lt;&gt;"",VLOOKUP(B1000,'Tipo Projeto'!$A$3:$B$35,2,0),0)</f>
        <v>0</v>
      </c>
      <c r="D1000" s="47"/>
      <c r="E1000" s="47"/>
      <c r="F1000" s="48"/>
      <c r="G1000" s="47"/>
      <c r="H1000" s="49"/>
      <c r="I1000" s="50"/>
      <c r="J1000" s="51"/>
      <c r="K1000" s="52"/>
      <c r="L1000" s="53" t="str">
        <f t="shared" si="208"/>
        <v/>
      </c>
      <c r="M1000" s="48" t="str">
        <f t="shared" si="209"/>
        <v/>
      </c>
      <c r="N1000" s="54" t="str">
        <f t="shared" si="210"/>
        <v/>
      </c>
      <c r="O1000" s="55">
        <f t="shared" si="211"/>
        <v>0</v>
      </c>
      <c r="P1000" s="55">
        <f t="shared" si="212"/>
        <v>0</v>
      </c>
      <c r="Q1000" s="54">
        <f t="shared" si="213"/>
        <v>0</v>
      </c>
      <c r="R1000" s="47"/>
      <c r="T1000" s="57"/>
      <c r="U1000" s="45"/>
      <c r="V1000" s="46">
        <f>IF(U1000&lt;&gt;"",VLOOKUP(U1000,'Tipo Projeto'!$A$3:$B$35,2,0),0)</f>
        <v>0</v>
      </c>
      <c r="W1000" s="47"/>
      <c r="X1000" s="49"/>
      <c r="Y1000" s="50"/>
      <c r="Z1000" s="51"/>
      <c r="AA1000" s="52"/>
      <c r="AB1000" s="53" t="str">
        <f t="shared" si="214"/>
        <v/>
      </c>
      <c r="AC1000" s="48" t="str">
        <f t="shared" si="215"/>
        <v/>
      </c>
      <c r="AD1000" s="54" t="str">
        <f t="shared" si="216"/>
        <v/>
      </c>
      <c r="AE1000" s="55">
        <f t="shared" si="217"/>
        <v>0</v>
      </c>
      <c r="AF1000" s="55">
        <f t="shared" si="218"/>
        <v>0</v>
      </c>
      <c r="AG1000" s="58">
        <f t="shared" si="219"/>
        <v>0</v>
      </c>
      <c r="AH1000" s="47"/>
      <c r="AJ1000" s="47"/>
      <c r="AL1000" s="47"/>
      <c r="AM1000" s="47" t="str">
        <f t="shared" si="220"/>
        <v/>
      </c>
    </row>
    <row r="1001" spans="1:39" s="56" customFormat="1" ht="24.75" customHeight="1">
      <c r="A1001" s="44"/>
      <c r="B1001" s="45"/>
      <c r="C1001" s="46">
        <f>IF(B1001&lt;&gt;"",VLOOKUP(B1001,'Tipo Projeto'!$A$3:$B$35,2,0),0)</f>
        <v>0</v>
      </c>
      <c r="D1001" s="47"/>
      <c r="E1001" s="47"/>
      <c r="F1001" s="48"/>
      <c r="G1001" s="47"/>
      <c r="H1001" s="49"/>
      <c r="I1001" s="50"/>
      <c r="J1001" s="51"/>
      <c r="K1001" s="52"/>
      <c r="L1001" s="53" t="str">
        <f t="shared" si="208"/>
        <v/>
      </c>
      <c r="M1001" s="48" t="str">
        <f t="shared" si="209"/>
        <v/>
      </c>
      <c r="N1001" s="54" t="str">
        <f t="shared" si="210"/>
        <v/>
      </c>
      <c r="O1001" s="55">
        <f t="shared" si="211"/>
        <v>0</v>
      </c>
      <c r="P1001" s="55">
        <f t="shared" si="212"/>
        <v>0</v>
      </c>
      <c r="Q1001" s="54">
        <f t="shared" si="213"/>
        <v>0</v>
      </c>
      <c r="R1001" s="47"/>
      <c r="T1001" s="57"/>
      <c r="U1001" s="45"/>
      <c r="V1001" s="46">
        <f>IF(U1001&lt;&gt;"",VLOOKUP(U1001,'Tipo Projeto'!$A$3:$B$35,2,0),0)</f>
        <v>0</v>
      </c>
      <c r="W1001" s="47"/>
      <c r="X1001" s="49"/>
      <c r="Y1001" s="50"/>
      <c r="Z1001" s="51"/>
      <c r="AA1001" s="52"/>
      <c r="AB1001" s="53" t="str">
        <f t="shared" si="214"/>
        <v/>
      </c>
      <c r="AC1001" s="48" t="str">
        <f t="shared" si="215"/>
        <v/>
      </c>
      <c r="AD1001" s="54" t="str">
        <f t="shared" si="216"/>
        <v/>
      </c>
      <c r="AE1001" s="55">
        <f t="shared" si="217"/>
        <v>0</v>
      </c>
      <c r="AF1001" s="55">
        <f t="shared" si="218"/>
        <v>0</v>
      </c>
      <c r="AG1001" s="58">
        <f t="shared" si="219"/>
        <v>0</v>
      </c>
      <c r="AH1001" s="47"/>
      <c r="AJ1001" s="47"/>
      <c r="AL1001" s="47"/>
      <c r="AM1001" s="47" t="str">
        <f t="shared" si="220"/>
        <v/>
      </c>
    </row>
    <row r="1002" spans="1:39" s="56" customFormat="1" ht="24.75" customHeight="1">
      <c r="A1002" s="44"/>
      <c r="B1002" s="45"/>
      <c r="C1002" s="46">
        <f>IF(B1002&lt;&gt;"",VLOOKUP(B1002,'Tipo Projeto'!$A$3:$B$35,2,0),0)</f>
        <v>0</v>
      </c>
      <c r="D1002" s="47"/>
      <c r="E1002" s="47"/>
      <c r="F1002" s="48"/>
      <c r="G1002" s="47"/>
      <c r="H1002" s="49"/>
      <c r="I1002" s="50"/>
      <c r="J1002" s="51"/>
      <c r="K1002" s="52"/>
      <c r="L1002" s="53" t="str">
        <f t="shared" si="208"/>
        <v/>
      </c>
      <c r="M1002" s="48" t="str">
        <f t="shared" si="209"/>
        <v/>
      </c>
      <c r="N1002" s="54" t="str">
        <f t="shared" si="210"/>
        <v/>
      </c>
      <c r="O1002" s="55">
        <f t="shared" si="211"/>
        <v>0</v>
      </c>
      <c r="P1002" s="55">
        <f t="shared" si="212"/>
        <v>0</v>
      </c>
      <c r="Q1002" s="54">
        <f t="shared" si="213"/>
        <v>0</v>
      </c>
      <c r="R1002" s="47"/>
      <c r="T1002" s="57"/>
      <c r="U1002" s="45"/>
      <c r="V1002" s="46">
        <f>IF(U1002&lt;&gt;"",VLOOKUP(U1002,'Tipo Projeto'!$A$3:$B$35,2,0),0)</f>
        <v>0</v>
      </c>
      <c r="W1002" s="47"/>
      <c r="X1002" s="49"/>
      <c r="Y1002" s="50"/>
      <c r="Z1002" s="51"/>
      <c r="AA1002" s="52"/>
      <c r="AB1002" s="53" t="str">
        <f t="shared" si="214"/>
        <v/>
      </c>
      <c r="AC1002" s="48" t="str">
        <f t="shared" si="215"/>
        <v/>
      </c>
      <c r="AD1002" s="54" t="str">
        <f t="shared" si="216"/>
        <v/>
      </c>
      <c r="AE1002" s="55">
        <f t="shared" si="217"/>
        <v>0</v>
      </c>
      <c r="AF1002" s="55">
        <f t="shared" si="218"/>
        <v>0</v>
      </c>
      <c r="AG1002" s="58">
        <f t="shared" si="219"/>
        <v>0</v>
      </c>
      <c r="AH1002" s="47"/>
      <c r="AJ1002" s="47"/>
      <c r="AL1002" s="47"/>
      <c r="AM1002" s="47" t="str">
        <f t="shared" si="220"/>
        <v/>
      </c>
    </row>
    <row r="1003" spans="1:39" s="56" customFormat="1" ht="24.75" customHeight="1">
      <c r="A1003" s="44"/>
      <c r="B1003" s="45"/>
      <c r="C1003" s="46">
        <f>IF(B1003&lt;&gt;"",VLOOKUP(B1003,'Tipo Projeto'!$A$3:$B$35,2,0),0)</f>
        <v>0</v>
      </c>
      <c r="D1003" s="47"/>
      <c r="E1003" s="47"/>
      <c r="F1003" s="48"/>
      <c r="G1003" s="47"/>
      <c r="H1003" s="49"/>
      <c r="I1003" s="50"/>
      <c r="J1003" s="51"/>
      <c r="K1003" s="52"/>
      <c r="L1003" s="53" t="str">
        <f t="shared" si="208"/>
        <v/>
      </c>
      <c r="M1003" s="48" t="str">
        <f t="shared" si="209"/>
        <v/>
      </c>
      <c r="N1003" s="54" t="str">
        <f t="shared" si="210"/>
        <v/>
      </c>
      <c r="O1003" s="55">
        <f t="shared" si="211"/>
        <v>0</v>
      </c>
      <c r="P1003" s="55">
        <f t="shared" si="212"/>
        <v>0</v>
      </c>
      <c r="Q1003" s="54">
        <f t="shared" si="213"/>
        <v>0</v>
      </c>
      <c r="R1003" s="47"/>
      <c r="T1003" s="57"/>
      <c r="U1003" s="45"/>
      <c r="V1003" s="46">
        <f>IF(U1003&lt;&gt;"",VLOOKUP(U1003,'Tipo Projeto'!$A$3:$B$35,2,0),0)</f>
        <v>0</v>
      </c>
      <c r="W1003" s="47"/>
      <c r="X1003" s="49"/>
      <c r="Y1003" s="50"/>
      <c r="Z1003" s="51"/>
      <c r="AA1003" s="52"/>
      <c r="AB1003" s="53" t="str">
        <f t="shared" si="214"/>
        <v/>
      </c>
      <c r="AC1003" s="48" t="str">
        <f t="shared" si="215"/>
        <v/>
      </c>
      <c r="AD1003" s="54" t="str">
        <f t="shared" si="216"/>
        <v/>
      </c>
      <c r="AE1003" s="55">
        <f t="shared" si="217"/>
        <v>0</v>
      </c>
      <c r="AF1003" s="55">
        <f t="shared" si="218"/>
        <v>0</v>
      </c>
      <c r="AG1003" s="58">
        <f t="shared" si="219"/>
        <v>0</v>
      </c>
      <c r="AH1003" s="47"/>
      <c r="AJ1003" s="47"/>
      <c r="AL1003" s="47"/>
      <c r="AM1003" s="47" t="str">
        <f t="shared" si="220"/>
        <v/>
      </c>
    </row>
    <row r="1004" spans="1:39" s="56" customFormat="1" ht="24.75" customHeight="1">
      <c r="A1004" s="44"/>
      <c r="B1004" s="45"/>
      <c r="C1004" s="46">
        <f>IF(B1004&lt;&gt;"",VLOOKUP(B1004,'Tipo Projeto'!$A$3:$B$35,2,0),0)</f>
        <v>0</v>
      </c>
      <c r="D1004" s="47"/>
      <c r="E1004" s="47"/>
      <c r="F1004" s="48"/>
      <c r="G1004" s="47"/>
      <c r="H1004" s="49"/>
      <c r="I1004" s="50"/>
      <c r="J1004" s="51"/>
      <c r="K1004" s="52"/>
      <c r="L1004" s="53" t="str">
        <f t="shared" si="208"/>
        <v/>
      </c>
      <c r="M1004" s="48" t="str">
        <f t="shared" si="209"/>
        <v/>
      </c>
      <c r="N1004" s="54" t="str">
        <f t="shared" si="210"/>
        <v/>
      </c>
      <c r="O1004" s="55">
        <f t="shared" si="211"/>
        <v>0</v>
      </c>
      <c r="P1004" s="55">
        <f t="shared" si="212"/>
        <v>0</v>
      </c>
      <c r="Q1004" s="54">
        <f t="shared" si="213"/>
        <v>0</v>
      </c>
      <c r="R1004" s="47"/>
      <c r="T1004" s="57"/>
      <c r="U1004" s="45"/>
      <c r="V1004" s="46">
        <f>IF(U1004&lt;&gt;"",VLOOKUP(U1004,'Tipo Projeto'!$A$3:$B$35,2,0),0)</f>
        <v>0</v>
      </c>
      <c r="W1004" s="47"/>
      <c r="X1004" s="49"/>
      <c r="Y1004" s="50"/>
      <c r="Z1004" s="51"/>
      <c r="AA1004" s="52"/>
      <c r="AB1004" s="53" t="str">
        <f t="shared" si="214"/>
        <v/>
      </c>
      <c r="AC1004" s="48" t="str">
        <f t="shared" si="215"/>
        <v/>
      </c>
      <c r="AD1004" s="54" t="str">
        <f t="shared" si="216"/>
        <v/>
      </c>
      <c r="AE1004" s="55">
        <f t="shared" si="217"/>
        <v>0</v>
      </c>
      <c r="AF1004" s="55">
        <f t="shared" si="218"/>
        <v>0</v>
      </c>
      <c r="AG1004" s="58">
        <f t="shared" si="219"/>
        <v>0</v>
      </c>
      <c r="AH1004" s="47"/>
      <c r="AJ1004" s="47"/>
      <c r="AL1004" s="47"/>
      <c r="AM1004" s="47" t="str">
        <f t="shared" si="220"/>
        <v/>
      </c>
    </row>
    <row r="1005" spans="1:39" s="56" customFormat="1" ht="24.75" customHeight="1">
      <c r="A1005" s="44"/>
      <c r="B1005" s="45"/>
      <c r="C1005" s="46">
        <f>IF(B1005&lt;&gt;"",VLOOKUP(B1005,'Tipo Projeto'!$A$3:$B$35,2,0),0)</f>
        <v>0</v>
      </c>
      <c r="D1005" s="47"/>
      <c r="E1005" s="47"/>
      <c r="F1005" s="48"/>
      <c r="G1005" s="47"/>
      <c r="H1005" s="49"/>
      <c r="I1005" s="50"/>
      <c r="J1005" s="51"/>
      <c r="K1005" s="52"/>
      <c r="L1005" s="53" t="str">
        <f t="shared" si="208"/>
        <v/>
      </c>
      <c r="M1005" s="48" t="str">
        <f t="shared" si="209"/>
        <v/>
      </c>
      <c r="N1005" s="54" t="str">
        <f t="shared" si="210"/>
        <v/>
      </c>
      <c r="O1005" s="55">
        <f t="shared" si="211"/>
        <v>0</v>
      </c>
      <c r="P1005" s="55">
        <f t="shared" si="212"/>
        <v>0</v>
      </c>
      <c r="Q1005" s="54">
        <f t="shared" si="213"/>
        <v>0</v>
      </c>
      <c r="R1005" s="47"/>
      <c r="T1005" s="57"/>
      <c r="U1005" s="45"/>
      <c r="V1005" s="46">
        <f>IF(U1005&lt;&gt;"",VLOOKUP(U1005,'Tipo Projeto'!$A$3:$B$35,2,0),0)</f>
        <v>0</v>
      </c>
      <c r="W1005" s="47"/>
      <c r="X1005" s="49"/>
      <c r="Y1005" s="50"/>
      <c r="Z1005" s="51"/>
      <c r="AA1005" s="52"/>
      <c r="AB1005" s="53" t="str">
        <f t="shared" si="214"/>
        <v/>
      </c>
      <c r="AC1005" s="48" t="str">
        <f t="shared" si="215"/>
        <v/>
      </c>
      <c r="AD1005" s="54" t="str">
        <f t="shared" si="216"/>
        <v/>
      </c>
      <c r="AE1005" s="55">
        <f t="shared" si="217"/>
        <v>0</v>
      </c>
      <c r="AF1005" s="55">
        <f t="shared" si="218"/>
        <v>0</v>
      </c>
      <c r="AG1005" s="58">
        <f t="shared" si="219"/>
        <v>0</v>
      </c>
      <c r="AH1005" s="47"/>
      <c r="AJ1005" s="47"/>
      <c r="AL1005" s="47"/>
      <c r="AM1005" s="47" t="str">
        <f t="shared" si="220"/>
        <v/>
      </c>
    </row>
    <row r="1006" spans="1:39" s="56" customFormat="1" ht="24.75" customHeight="1">
      <c r="A1006" s="44"/>
      <c r="B1006" s="45"/>
      <c r="C1006" s="46">
        <f>IF(B1006&lt;&gt;"",VLOOKUP(B1006,'Tipo Projeto'!$A$3:$B$35,2,0),0)</f>
        <v>0</v>
      </c>
      <c r="D1006" s="47"/>
      <c r="E1006" s="47"/>
      <c r="F1006" s="48"/>
      <c r="G1006" s="47"/>
      <c r="H1006" s="49"/>
      <c r="I1006" s="50"/>
      <c r="J1006" s="51"/>
      <c r="K1006" s="52"/>
      <c r="L1006" s="53" t="str">
        <f t="shared" si="208"/>
        <v/>
      </c>
      <c r="M1006" s="48" t="str">
        <f t="shared" si="209"/>
        <v/>
      </c>
      <c r="N1006" s="54" t="str">
        <f t="shared" si="210"/>
        <v/>
      </c>
      <c r="O1006" s="55">
        <f t="shared" si="211"/>
        <v>0</v>
      </c>
      <c r="P1006" s="55">
        <f t="shared" si="212"/>
        <v>0</v>
      </c>
      <c r="Q1006" s="54">
        <f t="shared" si="213"/>
        <v>0</v>
      </c>
      <c r="R1006" s="47"/>
      <c r="T1006" s="57"/>
      <c r="U1006" s="45"/>
      <c r="V1006" s="46">
        <f>IF(U1006&lt;&gt;"",VLOOKUP(U1006,'Tipo Projeto'!$A$3:$B$35,2,0),0)</f>
        <v>0</v>
      </c>
      <c r="W1006" s="47"/>
      <c r="X1006" s="49"/>
      <c r="Y1006" s="50"/>
      <c r="Z1006" s="51"/>
      <c r="AA1006" s="52"/>
      <c r="AB1006" s="53" t="str">
        <f t="shared" si="214"/>
        <v/>
      </c>
      <c r="AC1006" s="48" t="str">
        <f t="shared" si="215"/>
        <v/>
      </c>
      <c r="AD1006" s="54" t="str">
        <f t="shared" si="216"/>
        <v/>
      </c>
      <c r="AE1006" s="55">
        <f t="shared" si="217"/>
        <v>0</v>
      </c>
      <c r="AF1006" s="55">
        <f t="shared" si="218"/>
        <v>0</v>
      </c>
      <c r="AG1006" s="58">
        <f t="shared" si="219"/>
        <v>0</v>
      </c>
      <c r="AH1006" s="47"/>
      <c r="AJ1006" s="47"/>
      <c r="AL1006" s="47"/>
      <c r="AM1006" s="47" t="str">
        <f t="shared" si="220"/>
        <v/>
      </c>
    </row>
    <row r="1007" spans="1:39" s="56" customFormat="1" ht="24.75" customHeight="1">
      <c r="A1007" s="44"/>
      <c r="B1007" s="45"/>
      <c r="C1007" s="46">
        <f>IF(B1007&lt;&gt;"",VLOOKUP(B1007,'Tipo Projeto'!$A$3:$B$35,2,0),0)</f>
        <v>0</v>
      </c>
      <c r="D1007" s="47"/>
      <c r="E1007" s="47"/>
      <c r="F1007" s="48"/>
      <c r="G1007" s="47"/>
      <c r="H1007" s="49"/>
      <c r="I1007" s="50"/>
      <c r="J1007" s="51"/>
      <c r="K1007" s="52"/>
      <c r="L1007" s="53" t="str">
        <f t="shared" si="208"/>
        <v/>
      </c>
      <c r="M1007" s="48" t="str">
        <f t="shared" si="209"/>
        <v/>
      </c>
      <c r="N1007" s="54" t="str">
        <f t="shared" si="210"/>
        <v/>
      </c>
      <c r="O1007" s="55">
        <f t="shared" si="211"/>
        <v>0</v>
      </c>
      <c r="P1007" s="55">
        <f t="shared" si="212"/>
        <v>0</v>
      </c>
      <c r="Q1007" s="54">
        <f t="shared" si="213"/>
        <v>0</v>
      </c>
      <c r="R1007" s="47"/>
      <c r="T1007" s="57"/>
      <c r="U1007" s="45"/>
      <c r="V1007" s="46">
        <f>IF(U1007&lt;&gt;"",VLOOKUP(U1007,'Tipo Projeto'!$A$3:$B$35,2,0),0)</f>
        <v>0</v>
      </c>
      <c r="W1007" s="47"/>
      <c r="X1007" s="49"/>
      <c r="Y1007" s="50"/>
      <c r="Z1007" s="51"/>
      <c r="AA1007" s="52"/>
      <c r="AB1007" s="53" t="str">
        <f t="shared" si="214"/>
        <v/>
      </c>
      <c r="AC1007" s="48" t="str">
        <f t="shared" si="215"/>
        <v/>
      </c>
      <c r="AD1007" s="54" t="str">
        <f t="shared" si="216"/>
        <v/>
      </c>
      <c r="AE1007" s="55">
        <f t="shared" si="217"/>
        <v>0</v>
      </c>
      <c r="AF1007" s="55">
        <f t="shared" si="218"/>
        <v>0</v>
      </c>
      <c r="AG1007" s="58">
        <f t="shared" si="219"/>
        <v>0</v>
      </c>
      <c r="AH1007" s="47"/>
      <c r="AJ1007" s="47"/>
      <c r="AL1007" s="47"/>
      <c r="AM1007" s="47" t="str">
        <f t="shared" si="220"/>
        <v/>
      </c>
    </row>
    <row r="1008" spans="1:39" s="56" customFormat="1" ht="24.75" customHeight="1">
      <c r="A1008" s="44"/>
      <c r="B1008" s="45"/>
      <c r="C1008" s="46">
        <f>IF(B1008&lt;&gt;"",VLOOKUP(B1008,'Tipo Projeto'!$A$3:$B$35,2,0),0)</f>
        <v>0</v>
      </c>
      <c r="D1008" s="47"/>
      <c r="E1008" s="47"/>
      <c r="F1008" s="48"/>
      <c r="G1008" s="47"/>
      <c r="H1008" s="49"/>
      <c r="I1008" s="50"/>
      <c r="J1008" s="51"/>
      <c r="K1008" s="52"/>
      <c r="L1008" s="53" t="str">
        <f t="shared" si="208"/>
        <v/>
      </c>
      <c r="M1008" s="48" t="str">
        <f t="shared" si="209"/>
        <v/>
      </c>
      <c r="N1008" s="54" t="str">
        <f t="shared" si="210"/>
        <v/>
      </c>
      <c r="O1008" s="55">
        <f t="shared" si="211"/>
        <v>0</v>
      </c>
      <c r="P1008" s="55">
        <f t="shared" si="212"/>
        <v>0</v>
      </c>
      <c r="Q1008" s="54">
        <f t="shared" si="213"/>
        <v>0</v>
      </c>
      <c r="R1008" s="47"/>
      <c r="T1008" s="57"/>
      <c r="U1008" s="45"/>
      <c r="V1008" s="46">
        <f>IF(U1008&lt;&gt;"",VLOOKUP(U1008,'Tipo Projeto'!$A$3:$B$35,2,0),0)</f>
        <v>0</v>
      </c>
      <c r="W1008" s="47"/>
      <c r="X1008" s="49"/>
      <c r="Y1008" s="50"/>
      <c r="Z1008" s="51"/>
      <c r="AA1008" s="52"/>
      <c r="AB1008" s="53" t="str">
        <f t="shared" si="214"/>
        <v/>
      </c>
      <c r="AC1008" s="48" t="str">
        <f t="shared" si="215"/>
        <v/>
      </c>
      <c r="AD1008" s="54" t="str">
        <f t="shared" si="216"/>
        <v/>
      </c>
      <c r="AE1008" s="55">
        <f t="shared" si="217"/>
        <v>0</v>
      </c>
      <c r="AF1008" s="55">
        <f t="shared" si="218"/>
        <v>0</v>
      </c>
      <c r="AG1008" s="58">
        <f t="shared" si="219"/>
        <v>0</v>
      </c>
      <c r="AH1008" s="47"/>
      <c r="AJ1008" s="47"/>
      <c r="AL1008" s="47"/>
      <c r="AM1008" s="47" t="str">
        <f t="shared" si="220"/>
        <v/>
      </c>
    </row>
    <row r="1009" spans="1:39" s="56" customFormat="1" ht="24.75" customHeight="1">
      <c r="A1009" s="44"/>
      <c r="B1009" s="45"/>
      <c r="C1009" s="46">
        <f>IF(B1009&lt;&gt;"",VLOOKUP(B1009,'Tipo Projeto'!$A$3:$B$35,2,0),0)</f>
        <v>0</v>
      </c>
      <c r="D1009" s="47"/>
      <c r="E1009" s="47"/>
      <c r="F1009" s="48"/>
      <c r="G1009" s="47"/>
      <c r="H1009" s="49"/>
      <c r="I1009" s="50"/>
      <c r="J1009" s="51"/>
      <c r="K1009" s="52"/>
      <c r="L1009" s="53" t="str">
        <f t="shared" si="208"/>
        <v/>
      </c>
      <c r="M1009" s="48" t="str">
        <f t="shared" si="209"/>
        <v/>
      </c>
      <c r="N1009" s="54" t="str">
        <f t="shared" si="210"/>
        <v/>
      </c>
      <c r="O1009" s="55">
        <f t="shared" si="211"/>
        <v>0</v>
      </c>
      <c r="P1009" s="55">
        <f t="shared" si="212"/>
        <v>0</v>
      </c>
      <c r="Q1009" s="54">
        <f t="shared" si="213"/>
        <v>0</v>
      </c>
      <c r="R1009" s="47"/>
      <c r="T1009" s="57"/>
      <c r="U1009" s="45"/>
      <c r="V1009" s="46">
        <f>IF(U1009&lt;&gt;"",VLOOKUP(U1009,'Tipo Projeto'!$A$3:$B$35,2,0),0)</f>
        <v>0</v>
      </c>
      <c r="W1009" s="47"/>
      <c r="X1009" s="49"/>
      <c r="Y1009" s="50"/>
      <c r="Z1009" s="51"/>
      <c r="AA1009" s="52"/>
      <c r="AB1009" s="53" t="str">
        <f t="shared" si="214"/>
        <v/>
      </c>
      <c r="AC1009" s="48" t="str">
        <f t="shared" si="215"/>
        <v/>
      </c>
      <c r="AD1009" s="54" t="str">
        <f t="shared" si="216"/>
        <v/>
      </c>
      <c r="AE1009" s="55">
        <f t="shared" si="217"/>
        <v>0</v>
      </c>
      <c r="AF1009" s="55">
        <f t="shared" si="218"/>
        <v>0</v>
      </c>
      <c r="AG1009" s="58">
        <f t="shared" si="219"/>
        <v>0</v>
      </c>
      <c r="AH1009" s="47"/>
      <c r="AJ1009" s="47"/>
      <c r="AL1009" s="47"/>
      <c r="AM1009" s="47" t="str">
        <f t="shared" si="220"/>
        <v/>
      </c>
    </row>
    <row r="1010" spans="1:39" s="56" customFormat="1" ht="24.75" customHeight="1">
      <c r="A1010" s="44"/>
      <c r="B1010" s="45"/>
      <c r="C1010" s="46">
        <f>IF(B1010&lt;&gt;"",VLOOKUP(B1010,'Tipo Projeto'!$A$3:$B$35,2,0),0)</f>
        <v>0</v>
      </c>
      <c r="D1010" s="47"/>
      <c r="E1010" s="47"/>
      <c r="F1010" s="48"/>
      <c r="G1010" s="47"/>
      <c r="H1010" s="49"/>
      <c r="I1010" s="50"/>
      <c r="J1010" s="51"/>
      <c r="K1010" s="52"/>
      <c r="L1010" s="53" t="str">
        <f t="shared" si="208"/>
        <v/>
      </c>
      <c r="M1010" s="48" t="str">
        <f t="shared" si="209"/>
        <v/>
      </c>
      <c r="N1010" s="54" t="str">
        <f t="shared" si="210"/>
        <v/>
      </c>
      <c r="O1010" s="55">
        <f t="shared" si="211"/>
        <v>0</v>
      </c>
      <c r="P1010" s="55">
        <f t="shared" si="212"/>
        <v>0</v>
      </c>
      <c r="Q1010" s="54">
        <f t="shared" si="213"/>
        <v>0</v>
      </c>
      <c r="R1010" s="47"/>
      <c r="T1010" s="57"/>
      <c r="U1010" s="45"/>
      <c r="V1010" s="46">
        <f>IF(U1010&lt;&gt;"",VLOOKUP(U1010,'Tipo Projeto'!$A$3:$B$35,2,0),0)</f>
        <v>0</v>
      </c>
      <c r="W1010" s="47"/>
      <c r="X1010" s="49"/>
      <c r="Y1010" s="50"/>
      <c r="Z1010" s="51"/>
      <c r="AA1010" s="52"/>
      <c r="AB1010" s="53" t="str">
        <f t="shared" si="214"/>
        <v/>
      </c>
      <c r="AC1010" s="48" t="str">
        <f t="shared" si="215"/>
        <v/>
      </c>
      <c r="AD1010" s="54" t="str">
        <f t="shared" si="216"/>
        <v/>
      </c>
      <c r="AE1010" s="55">
        <f t="shared" si="217"/>
        <v>0</v>
      </c>
      <c r="AF1010" s="55">
        <f t="shared" si="218"/>
        <v>0</v>
      </c>
      <c r="AG1010" s="58">
        <f t="shared" si="219"/>
        <v>0</v>
      </c>
      <c r="AH1010" s="47"/>
      <c r="AJ1010" s="47"/>
      <c r="AL1010" s="47"/>
      <c r="AM1010" s="47" t="str">
        <f t="shared" si="220"/>
        <v/>
      </c>
    </row>
    <row r="1011" spans="1:39" s="56" customFormat="1" ht="24.75" customHeight="1">
      <c r="A1011" s="44"/>
      <c r="B1011" s="45"/>
      <c r="C1011" s="46">
        <f>IF(B1011&lt;&gt;"",VLOOKUP(B1011,'Tipo Projeto'!$A$3:$B$35,2,0),0)</f>
        <v>0</v>
      </c>
      <c r="D1011" s="47"/>
      <c r="E1011" s="47"/>
      <c r="F1011" s="48"/>
      <c r="G1011" s="47"/>
      <c r="H1011" s="49"/>
      <c r="I1011" s="50"/>
      <c r="J1011" s="51"/>
      <c r="K1011" s="52"/>
      <c r="L1011" s="53" t="str">
        <f t="shared" si="208"/>
        <v/>
      </c>
      <c r="M1011" s="48" t="str">
        <f t="shared" si="209"/>
        <v/>
      </c>
      <c r="N1011" s="54" t="str">
        <f t="shared" si="210"/>
        <v/>
      </c>
      <c r="O1011" s="55">
        <f t="shared" si="211"/>
        <v>0</v>
      </c>
      <c r="P1011" s="55">
        <f t="shared" si="212"/>
        <v>0</v>
      </c>
      <c r="Q1011" s="54">
        <f t="shared" si="213"/>
        <v>0</v>
      </c>
      <c r="R1011" s="47"/>
      <c r="T1011" s="57"/>
      <c r="U1011" s="45"/>
      <c r="V1011" s="46">
        <f>IF(U1011&lt;&gt;"",VLOOKUP(U1011,'Tipo Projeto'!$A$3:$B$35,2,0),0)</f>
        <v>0</v>
      </c>
      <c r="W1011" s="47"/>
      <c r="X1011" s="49"/>
      <c r="Y1011" s="50"/>
      <c r="Z1011" s="51"/>
      <c r="AA1011" s="52"/>
      <c r="AB1011" s="53" t="str">
        <f t="shared" si="214"/>
        <v/>
      </c>
      <c r="AC1011" s="48" t="str">
        <f t="shared" si="215"/>
        <v/>
      </c>
      <c r="AD1011" s="54" t="str">
        <f t="shared" si="216"/>
        <v/>
      </c>
      <c r="AE1011" s="55">
        <f t="shared" si="217"/>
        <v>0</v>
      </c>
      <c r="AF1011" s="55">
        <f t="shared" si="218"/>
        <v>0</v>
      </c>
      <c r="AG1011" s="58">
        <f t="shared" si="219"/>
        <v>0</v>
      </c>
      <c r="AH1011" s="47"/>
      <c r="AJ1011" s="47"/>
      <c r="AL1011" s="47"/>
      <c r="AM1011" s="47" t="str">
        <f t="shared" si="220"/>
        <v/>
      </c>
    </row>
    <row r="1012" spans="1:39" s="56" customFormat="1" ht="24.75" customHeight="1">
      <c r="A1012" s="44"/>
      <c r="B1012" s="45"/>
      <c r="C1012" s="46">
        <f>IF(B1012&lt;&gt;"",VLOOKUP(B1012,'Tipo Projeto'!$A$3:$B$35,2,0),0)</f>
        <v>0</v>
      </c>
      <c r="D1012" s="47"/>
      <c r="E1012" s="47"/>
      <c r="F1012" s="48"/>
      <c r="G1012" s="47"/>
      <c r="H1012" s="49"/>
      <c r="I1012" s="50"/>
      <c r="J1012" s="51"/>
      <c r="K1012" s="52"/>
      <c r="L1012" s="53" t="str">
        <f t="shared" si="208"/>
        <v/>
      </c>
      <c r="M1012" s="48" t="str">
        <f t="shared" si="209"/>
        <v/>
      </c>
      <c r="N1012" s="54" t="str">
        <f t="shared" si="210"/>
        <v/>
      </c>
      <c r="O1012" s="55">
        <f t="shared" si="211"/>
        <v>0</v>
      </c>
      <c r="P1012" s="55">
        <f t="shared" si="212"/>
        <v>0</v>
      </c>
      <c r="Q1012" s="54">
        <f t="shared" si="213"/>
        <v>0</v>
      </c>
      <c r="R1012" s="47"/>
      <c r="T1012" s="57"/>
      <c r="U1012" s="45"/>
      <c r="V1012" s="46">
        <f>IF(U1012&lt;&gt;"",VLOOKUP(U1012,'Tipo Projeto'!$A$3:$B$35,2,0),0)</f>
        <v>0</v>
      </c>
      <c r="W1012" s="47"/>
      <c r="X1012" s="49"/>
      <c r="Y1012" s="50"/>
      <c r="Z1012" s="51"/>
      <c r="AA1012" s="52"/>
      <c r="AB1012" s="53" t="str">
        <f t="shared" si="214"/>
        <v/>
      </c>
      <c r="AC1012" s="48" t="str">
        <f t="shared" si="215"/>
        <v/>
      </c>
      <c r="AD1012" s="54" t="str">
        <f t="shared" si="216"/>
        <v/>
      </c>
      <c r="AE1012" s="55">
        <f t="shared" si="217"/>
        <v>0</v>
      </c>
      <c r="AF1012" s="55">
        <f t="shared" si="218"/>
        <v>0</v>
      </c>
      <c r="AG1012" s="58">
        <f t="shared" si="219"/>
        <v>0</v>
      </c>
      <c r="AH1012" s="47"/>
      <c r="AJ1012" s="47"/>
      <c r="AL1012" s="47"/>
      <c r="AM1012" s="47" t="str">
        <f t="shared" si="220"/>
        <v/>
      </c>
    </row>
    <row r="1013" spans="1:39" s="56" customFormat="1" ht="24.75" customHeight="1">
      <c r="A1013" s="44"/>
      <c r="B1013" s="45"/>
      <c r="C1013" s="46">
        <f>IF(B1013&lt;&gt;"",VLOOKUP(B1013,'Tipo Projeto'!$A$3:$B$35,2,0),0)</f>
        <v>0</v>
      </c>
      <c r="D1013" s="47"/>
      <c r="E1013" s="47"/>
      <c r="F1013" s="48"/>
      <c r="G1013" s="47"/>
      <c r="H1013" s="49"/>
      <c r="I1013" s="50"/>
      <c r="J1013" s="51"/>
      <c r="K1013" s="52"/>
      <c r="L1013" s="53" t="str">
        <f t="shared" ref="L1013:L1076" si="221">IF(G1013="EE",IF(OR(AND(OR(J1013=1,J1013=0),H1013&gt;0,H1013&lt;5),AND(OR(J1013=1,J1013=0),H1013&gt;4,H1013&lt;16),AND(J1013=2,H1013&gt;0,H1013&lt;5)),"Simples",IF(OR(AND(OR(J1013=1,J1013=0),H1013&gt;15),AND(J1013=2,H1013&gt;4,H1013&lt;16),AND(J1013&gt;2,H1013&gt;0,H1013&lt;5)),"Médio",IF(OR(AND(J1013=2,H1013&gt;15),AND(J1013&gt;2,H1013&gt;4,H1013&lt;16),AND(J1013&gt;2,H1013&gt;15)),"Complexo",""))), IF(OR(G1013="CE",G1013="SE"),IF(OR(AND(OR(J1013=1,J1013=0),H1013&gt;0,H1013&lt;6),AND(OR(J1013=1,J1013=0),H1013&gt;5,H1013&lt;20),AND(J1013&gt;1,J1013&lt;4,H1013&gt;0,H1013&lt;6)),"Simples",IF(OR(AND(OR(J1013=1,J1013=0),H1013&gt;19),AND(J1013&gt;1,J1013&lt;4,H1013&gt;5,H1013&lt;20),AND(J1013&gt;3,H1013&gt;0,H1013&lt;6)),"Médio",IF(OR(AND(J1013&gt;1,J1013&lt;4,H1013&gt;19),AND(J1013&gt;3,H1013&gt;5,H1013&lt;20),AND(J1013&gt;3,H1013&gt;19)),"Complexo",""))),""))</f>
        <v/>
      </c>
      <c r="M1013" s="48" t="str">
        <f t="shared" ref="M1013:M1076" si="222">IF(G1013="ALI",IF(OR(AND(OR(J1013=1,J1013=0),H1013&gt;0,H1013&lt;20),AND(OR(J1013=1,J1013=0),H1013&gt;19,H1013&lt;51),AND(J1013&gt;1,J1013&lt;6,H1013&gt;0,H1013&lt;20)),"Simples",IF(OR(AND(OR(J1013=1,J1013=0),H1013&gt;50),AND(J1013&gt;1,J1013&lt;6,H1013&gt;19,H1013&lt;51),AND(J1013&gt;5,H1013&gt;0,H1013&lt;20)),"Médio",IF(OR(AND(J1013&gt;1,J1013&lt;6,H1013&gt;50),AND(J1013&gt;5,H1013&gt;19,H1013&lt;51),AND(J1013&gt;5,H1013&gt;50)),"Complexo",""))), IF(G1013="AIE",IF(OR(AND(OR(J1013=1, J1013=0),H1013&gt;0,H1013&lt;20),AND(OR(J1013=1, J1013=0),H1013&gt;19,H1013&lt;51),AND(J1013&gt;1,J1013&lt;6,H1013&gt;0,H1013&lt;20)),"Simples",IF(OR(AND(OR(J1013=1, J1013=0),H1013&gt;50),AND(J1013&gt;1,J1013&lt;6,H1013&gt;19,H1013&lt;51),AND(J1013&gt;5,H1013&gt;0,H1013&lt;20)),"Médio",IF(OR(AND(J1013&gt;1,J1013&lt;6,H1013&gt;50),AND(J1013&gt;5,H1013&gt;19,H1013&lt;51),AND(J1013&gt;5,H1013&gt;50)),"Complexo",""))),""))</f>
        <v/>
      </c>
      <c r="N1013" s="54" t="str">
        <f t="shared" ref="N1013:N1076" si="223">IF(L1013="",M1013,IF(M1013="",L1013,""))</f>
        <v/>
      </c>
      <c r="O1013" s="55">
        <f t="shared" ref="O1013:O1076" si="224">IF(AND(OR(G1013="EE",G1013="CE"),N1013="Simples"),3, IF(AND(OR(G1013="EE",G1013="CE"),N1013="Médio"),4, IF(AND(OR(G1013="EE",G1013="CE"),N1013="Complexo"),6, IF(AND(G1013="SE",N1013="Simples"),4, IF(AND(G1013="SE",N1013="Médio"),5, IF(AND(G1013="SE",N1013="Complexo"),7,0))))))</f>
        <v>0</v>
      </c>
      <c r="P1013" s="55">
        <f t="shared" ref="P1013:P1076" si="225">IF(AND(G1013="ALI",M1013="Simples"),7, IF(AND(G1013="ALI",M1013="Médio"),10, IF(AND(G1013="ALI",M1013="Complexo"),15, IF(AND(G1013="AIE",M1013="Simples"),5, IF(AND(G1013="AIE",M1013="Médio"),7, IF(AND(G1013="AIE",M1013="Complexo"),10,0))))))</f>
        <v>0</v>
      </c>
      <c r="Q1013" s="54">
        <f t="shared" ref="Q1013:Q1076" si="226">IF(B1013&lt;&gt;"Manutenção em interface",IF(B1013&lt;&gt;"Desenv., Manutenção e Publicação de Páginas Estáticas",(O1013+P1013)*C1013,C1013),C1013)</f>
        <v>0</v>
      </c>
      <c r="R1013" s="47"/>
      <c r="T1013" s="57"/>
      <c r="U1013" s="45"/>
      <c r="V1013" s="46">
        <f>IF(U1013&lt;&gt;"",VLOOKUP(U1013,'Tipo Projeto'!$A$3:$B$35,2,0),0)</f>
        <v>0</v>
      </c>
      <c r="W1013" s="47"/>
      <c r="X1013" s="49"/>
      <c r="Y1013" s="50"/>
      <c r="Z1013" s="51"/>
      <c r="AA1013" s="52"/>
      <c r="AB1013" s="53" t="str">
        <f t="shared" ref="AB1013:AB1076" si="227">IF(W1013="EE",IF(OR(AND(OR(Z1013=1,Z1013=0),X1013&gt;0,X1013&lt;5),AND(OR(Z1013=1,Z1013=0),X1013&gt;4,X1013&lt;16),AND(Z1013=2,X1013&gt;0,X1013&lt;5)),"Simples",IF(OR(AND(OR(Z1013=1,Z1013=0),X1013&gt;15),AND(Z1013=2,X1013&gt;4,X1013&lt;16),AND(Z1013&gt;2,X1013&gt;0,X1013&lt;5)),"Médio",IF(OR(AND(Z1013=2,X1013&gt;15),AND(Z1013&gt;2,X1013&gt;4,X1013&lt;16),AND(Z1013&gt;2,X1013&gt;15)),"Complexo",""))), IF(OR(W1013="CE",W1013="SE"),IF(OR(AND(OR(Z1013=1,Z1013=0),X1013&gt;0,X1013&lt;6),AND(OR(Z1013=1,Z1013=0),X1013&gt;5,X1013&lt;20),AND(Z1013&gt;1,Z1013&lt;4,X1013&gt;0,X1013&lt;6)),"Simples",IF(OR(AND(OR(Z1013=1,Z1013=0),X1013&gt;19),AND(Z1013&gt;1,Z1013&lt;4,X1013&gt;5,X1013&lt;20),AND(Z1013&gt;3,X1013&gt;0,X1013&lt;6)),"Médio",IF(OR(AND(Z1013&gt;1,Z1013&lt;4,X1013&gt;19),AND(Z1013&gt;3,X1013&gt;5,X1013&lt;20),AND(Z1013&gt;3,X1013&gt;19)),"Complexo",""))),""))</f>
        <v/>
      </c>
      <c r="AC1013" s="48" t="str">
        <f t="shared" ref="AC1013:AC1076" si="228">IF(W1013="ALI",IF(OR(AND(OR(Z1013=1,Z1013=0),X1013&gt;0,X1013&lt;20),AND(OR(Z1013=1,Z1013=0),X1013&gt;19,X1013&lt;51),AND(Z1013&gt;1,Z1013&lt;6,X1013&gt;0,X1013&lt;20)),"Simples",IF(OR(AND(OR(Z1013=1,Z1013=0),X1013&gt;50),AND(Z1013&gt;1,Z1013&lt;6,X1013&gt;19,X1013&lt;51),AND(Z1013&gt;5,X1013&gt;0,X1013&lt;20)),"Médio",IF(OR(AND(Z1013&gt;1,Z1013&lt;6,X1013&gt;50),AND(Z1013&gt;5,X1013&gt;19,X1013&lt;51),AND(Z1013&gt;5,X1013&gt;50)),"Complexo",""))), IF(W1013="AIE",IF(OR(AND(OR(Z1013=1, Z1013=0),X1013&gt;0,X1013&lt;20),AND(OR(Z1013=1, Z1013=0),X1013&gt;19,X1013&lt;51),AND(Z1013&gt;1,Z1013&lt;6,X1013&gt;0,X1013&lt;20)),"Simples",IF(OR(AND(OR(Z1013=1, Z1013=0),X1013&gt;50),AND(Z1013&gt;1,Z1013&lt;6,X1013&gt;19,X1013&lt;51),AND(Z1013&gt;5,X1013&gt;0,X1013&lt;20)),"Médio",IF(OR(AND(Z1013&gt;1,Z1013&lt;6,X1013&gt;50),AND(Z1013&gt;5,X1013&gt;19,X1013&lt;51),AND(Z1013&gt;5,X1013&gt;50)),"Complexo",""))),""))</f>
        <v/>
      </c>
      <c r="AD1013" s="54" t="str">
        <f t="shared" ref="AD1013:AD1076" si="229">IF(AB1013="",AC1013,IF(AC1013="",AB1013,""))</f>
        <v/>
      </c>
      <c r="AE1013" s="55">
        <f t="shared" ref="AE1013:AE1076" si="230">IF(AND(OR(W1013="EE",W1013="CE"),AD1013="Simples"),3, IF(AND(OR(W1013="EE",W1013="CE"),AD1013="Médio"),4, IF(AND(OR(W1013="EE",W1013="CE"),AD1013="Complexo"),6, IF(AND(W1013="SE",AD1013="Simples"),4, IF(AND(W1013="SE",AD1013="Médio"),5, IF(AND(W1013="SE",AD1013="Complexo"),7,0))))))</f>
        <v>0</v>
      </c>
      <c r="AF1013" s="55">
        <f t="shared" ref="AF1013:AF1076" si="231">IF(AND(W1013="ALI",AC1013="Simples"),7, IF(AND(W1013="ALI",AC1013="Médio"),10, IF(AND(W1013="ALI",AC1013="Complexo"),15, IF(AND(W1013="AIE",AC1013="Simples"),5, IF(AND(W1013="AIE",AC1013="Médio"),7, IF(AND(W1013="AIE",AC1013="Complexo"),10,0))))))</f>
        <v>0</v>
      </c>
      <c r="AG1013" s="58">
        <f t="shared" ref="AG1013:AG1076" si="232">IF(T1013="OK",Q1013,( IF(U1013&lt;&gt;"Manutenção em interface",IF(U1013&lt;&gt;"Desenv., Manutenção e Publicação de Páginas Estáticas",(AE1013+AF1013)*V1013,V1013),V1013)))</f>
        <v>0</v>
      </c>
      <c r="AH1013" s="47"/>
      <c r="AJ1013" s="47"/>
      <c r="AL1013" s="47"/>
      <c r="AM1013" s="47" t="str">
        <f t="shared" ref="AM1013:AM1076" si="233">IF(AG1013=0,"",IF(AG1013=Q1013,"OK","Divergente"))</f>
        <v/>
      </c>
    </row>
    <row r="1014" spans="1:39" s="56" customFormat="1" ht="24.75" customHeight="1">
      <c r="A1014" s="44"/>
      <c r="B1014" s="45"/>
      <c r="C1014" s="46">
        <f>IF(B1014&lt;&gt;"",VLOOKUP(B1014,'Tipo Projeto'!$A$3:$B$35,2,0),0)</f>
        <v>0</v>
      </c>
      <c r="D1014" s="47"/>
      <c r="E1014" s="47"/>
      <c r="F1014" s="48"/>
      <c r="G1014" s="47"/>
      <c r="H1014" s="49"/>
      <c r="I1014" s="50"/>
      <c r="J1014" s="51"/>
      <c r="K1014" s="52"/>
      <c r="L1014" s="53" t="str">
        <f t="shared" si="221"/>
        <v/>
      </c>
      <c r="M1014" s="48" t="str">
        <f t="shared" si="222"/>
        <v/>
      </c>
      <c r="N1014" s="54" t="str">
        <f t="shared" si="223"/>
        <v/>
      </c>
      <c r="O1014" s="55">
        <f t="shared" si="224"/>
        <v>0</v>
      </c>
      <c r="P1014" s="55">
        <f t="shared" si="225"/>
        <v>0</v>
      </c>
      <c r="Q1014" s="54">
        <f t="shared" si="226"/>
        <v>0</v>
      </c>
      <c r="R1014" s="47"/>
      <c r="T1014" s="57"/>
      <c r="U1014" s="45"/>
      <c r="V1014" s="46">
        <f>IF(U1014&lt;&gt;"",VLOOKUP(U1014,'Tipo Projeto'!$A$3:$B$35,2,0),0)</f>
        <v>0</v>
      </c>
      <c r="W1014" s="47"/>
      <c r="X1014" s="49"/>
      <c r="Y1014" s="50"/>
      <c r="Z1014" s="51"/>
      <c r="AA1014" s="52"/>
      <c r="AB1014" s="53" t="str">
        <f t="shared" si="227"/>
        <v/>
      </c>
      <c r="AC1014" s="48" t="str">
        <f t="shared" si="228"/>
        <v/>
      </c>
      <c r="AD1014" s="54" t="str">
        <f t="shared" si="229"/>
        <v/>
      </c>
      <c r="AE1014" s="55">
        <f t="shared" si="230"/>
        <v>0</v>
      </c>
      <c r="AF1014" s="55">
        <f t="shared" si="231"/>
        <v>0</v>
      </c>
      <c r="AG1014" s="58">
        <f t="shared" si="232"/>
        <v>0</v>
      </c>
      <c r="AH1014" s="47"/>
      <c r="AJ1014" s="47"/>
      <c r="AL1014" s="47"/>
      <c r="AM1014" s="47" t="str">
        <f t="shared" si="233"/>
        <v/>
      </c>
    </row>
    <row r="1015" spans="1:39" s="56" customFormat="1" ht="24.75" customHeight="1">
      <c r="A1015" s="44"/>
      <c r="B1015" s="45"/>
      <c r="C1015" s="46">
        <f>IF(B1015&lt;&gt;"",VLOOKUP(B1015,'Tipo Projeto'!$A$3:$B$35,2,0),0)</f>
        <v>0</v>
      </c>
      <c r="D1015" s="47"/>
      <c r="E1015" s="47"/>
      <c r="F1015" s="48"/>
      <c r="G1015" s="47"/>
      <c r="H1015" s="49"/>
      <c r="I1015" s="50"/>
      <c r="J1015" s="51"/>
      <c r="K1015" s="52"/>
      <c r="L1015" s="53" t="str">
        <f t="shared" si="221"/>
        <v/>
      </c>
      <c r="M1015" s="48" t="str">
        <f t="shared" si="222"/>
        <v/>
      </c>
      <c r="N1015" s="54" t="str">
        <f t="shared" si="223"/>
        <v/>
      </c>
      <c r="O1015" s="55">
        <f t="shared" si="224"/>
        <v>0</v>
      </c>
      <c r="P1015" s="55">
        <f t="shared" si="225"/>
        <v>0</v>
      </c>
      <c r="Q1015" s="54">
        <f t="shared" si="226"/>
        <v>0</v>
      </c>
      <c r="R1015" s="47"/>
      <c r="T1015" s="57"/>
      <c r="U1015" s="45"/>
      <c r="V1015" s="46">
        <f>IF(U1015&lt;&gt;"",VLOOKUP(U1015,'Tipo Projeto'!$A$3:$B$35,2,0),0)</f>
        <v>0</v>
      </c>
      <c r="W1015" s="47"/>
      <c r="X1015" s="49"/>
      <c r="Y1015" s="50"/>
      <c r="Z1015" s="51"/>
      <c r="AA1015" s="52"/>
      <c r="AB1015" s="53" t="str">
        <f t="shared" si="227"/>
        <v/>
      </c>
      <c r="AC1015" s="48" t="str">
        <f t="shared" si="228"/>
        <v/>
      </c>
      <c r="AD1015" s="54" t="str">
        <f t="shared" si="229"/>
        <v/>
      </c>
      <c r="AE1015" s="55">
        <f t="shared" si="230"/>
        <v>0</v>
      </c>
      <c r="AF1015" s="55">
        <f t="shared" si="231"/>
        <v>0</v>
      </c>
      <c r="AG1015" s="58">
        <f t="shared" si="232"/>
        <v>0</v>
      </c>
      <c r="AH1015" s="47"/>
      <c r="AJ1015" s="47"/>
      <c r="AL1015" s="47"/>
      <c r="AM1015" s="47" t="str">
        <f t="shared" si="233"/>
        <v/>
      </c>
    </row>
    <row r="1016" spans="1:39" s="56" customFormat="1" ht="24.75" customHeight="1">
      <c r="A1016" s="44"/>
      <c r="B1016" s="45"/>
      <c r="C1016" s="46">
        <f>IF(B1016&lt;&gt;"",VLOOKUP(B1016,'Tipo Projeto'!$A$3:$B$35,2,0),0)</f>
        <v>0</v>
      </c>
      <c r="D1016" s="47"/>
      <c r="E1016" s="47"/>
      <c r="F1016" s="48"/>
      <c r="G1016" s="47"/>
      <c r="H1016" s="49"/>
      <c r="I1016" s="50"/>
      <c r="J1016" s="51"/>
      <c r="K1016" s="52"/>
      <c r="L1016" s="53" t="str">
        <f t="shared" si="221"/>
        <v/>
      </c>
      <c r="M1016" s="48" t="str">
        <f t="shared" si="222"/>
        <v/>
      </c>
      <c r="N1016" s="54" t="str">
        <f t="shared" si="223"/>
        <v/>
      </c>
      <c r="O1016" s="55">
        <f t="shared" si="224"/>
        <v>0</v>
      </c>
      <c r="P1016" s="55">
        <f t="shared" si="225"/>
        <v>0</v>
      </c>
      <c r="Q1016" s="54">
        <f t="shared" si="226"/>
        <v>0</v>
      </c>
      <c r="R1016" s="47"/>
      <c r="T1016" s="57"/>
      <c r="U1016" s="45"/>
      <c r="V1016" s="46">
        <f>IF(U1016&lt;&gt;"",VLOOKUP(U1016,'Tipo Projeto'!$A$3:$B$35,2,0),0)</f>
        <v>0</v>
      </c>
      <c r="W1016" s="47"/>
      <c r="X1016" s="49"/>
      <c r="Y1016" s="50"/>
      <c r="Z1016" s="51"/>
      <c r="AA1016" s="52"/>
      <c r="AB1016" s="53" t="str">
        <f t="shared" si="227"/>
        <v/>
      </c>
      <c r="AC1016" s="48" t="str">
        <f t="shared" si="228"/>
        <v/>
      </c>
      <c r="AD1016" s="54" t="str">
        <f t="shared" si="229"/>
        <v/>
      </c>
      <c r="AE1016" s="55">
        <f t="shared" si="230"/>
        <v>0</v>
      </c>
      <c r="AF1016" s="55">
        <f t="shared" si="231"/>
        <v>0</v>
      </c>
      <c r="AG1016" s="58">
        <f t="shared" si="232"/>
        <v>0</v>
      </c>
      <c r="AH1016" s="47"/>
      <c r="AJ1016" s="47"/>
      <c r="AL1016" s="47"/>
      <c r="AM1016" s="47" t="str">
        <f t="shared" si="233"/>
        <v/>
      </c>
    </row>
    <row r="1017" spans="1:39" s="56" customFormat="1" ht="24.75" customHeight="1">
      <c r="A1017" s="44"/>
      <c r="B1017" s="45"/>
      <c r="C1017" s="46">
        <f>IF(B1017&lt;&gt;"",VLOOKUP(B1017,'Tipo Projeto'!$A$3:$B$35,2,0),0)</f>
        <v>0</v>
      </c>
      <c r="D1017" s="47"/>
      <c r="E1017" s="47"/>
      <c r="F1017" s="48"/>
      <c r="G1017" s="47"/>
      <c r="H1017" s="49"/>
      <c r="I1017" s="50"/>
      <c r="J1017" s="51"/>
      <c r="K1017" s="52"/>
      <c r="L1017" s="53" t="str">
        <f t="shared" si="221"/>
        <v/>
      </c>
      <c r="M1017" s="48" t="str">
        <f t="shared" si="222"/>
        <v/>
      </c>
      <c r="N1017" s="54" t="str">
        <f t="shared" si="223"/>
        <v/>
      </c>
      <c r="O1017" s="55">
        <f t="shared" si="224"/>
        <v>0</v>
      </c>
      <c r="P1017" s="55">
        <f t="shared" si="225"/>
        <v>0</v>
      </c>
      <c r="Q1017" s="54">
        <f t="shared" si="226"/>
        <v>0</v>
      </c>
      <c r="R1017" s="47"/>
      <c r="T1017" s="57"/>
      <c r="U1017" s="45"/>
      <c r="V1017" s="46">
        <f>IF(U1017&lt;&gt;"",VLOOKUP(U1017,'Tipo Projeto'!$A$3:$B$35,2,0),0)</f>
        <v>0</v>
      </c>
      <c r="W1017" s="47"/>
      <c r="X1017" s="49"/>
      <c r="Y1017" s="50"/>
      <c r="Z1017" s="51"/>
      <c r="AA1017" s="52"/>
      <c r="AB1017" s="53" t="str">
        <f t="shared" si="227"/>
        <v/>
      </c>
      <c r="AC1017" s="48" t="str">
        <f t="shared" si="228"/>
        <v/>
      </c>
      <c r="AD1017" s="54" t="str">
        <f t="shared" si="229"/>
        <v/>
      </c>
      <c r="AE1017" s="55">
        <f t="shared" si="230"/>
        <v>0</v>
      </c>
      <c r="AF1017" s="55">
        <f t="shared" si="231"/>
        <v>0</v>
      </c>
      <c r="AG1017" s="58">
        <f t="shared" si="232"/>
        <v>0</v>
      </c>
      <c r="AH1017" s="47"/>
      <c r="AJ1017" s="47"/>
      <c r="AL1017" s="47"/>
      <c r="AM1017" s="47" t="str">
        <f t="shared" si="233"/>
        <v/>
      </c>
    </row>
    <row r="1018" spans="1:39" s="56" customFormat="1" ht="24.75" customHeight="1">
      <c r="A1018" s="44"/>
      <c r="B1018" s="45"/>
      <c r="C1018" s="46">
        <f>IF(B1018&lt;&gt;"",VLOOKUP(B1018,'Tipo Projeto'!$A$3:$B$35,2,0),0)</f>
        <v>0</v>
      </c>
      <c r="D1018" s="47"/>
      <c r="E1018" s="47"/>
      <c r="F1018" s="48"/>
      <c r="G1018" s="47"/>
      <c r="H1018" s="49"/>
      <c r="I1018" s="50"/>
      <c r="J1018" s="51"/>
      <c r="K1018" s="52"/>
      <c r="L1018" s="53" t="str">
        <f t="shared" si="221"/>
        <v/>
      </c>
      <c r="M1018" s="48" t="str">
        <f t="shared" si="222"/>
        <v/>
      </c>
      <c r="N1018" s="54" t="str">
        <f t="shared" si="223"/>
        <v/>
      </c>
      <c r="O1018" s="55">
        <f t="shared" si="224"/>
        <v>0</v>
      </c>
      <c r="P1018" s="55">
        <f t="shared" si="225"/>
        <v>0</v>
      </c>
      <c r="Q1018" s="54">
        <f t="shared" si="226"/>
        <v>0</v>
      </c>
      <c r="R1018" s="47"/>
      <c r="T1018" s="57"/>
      <c r="U1018" s="45"/>
      <c r="V1018" s="46">
        <f>IF(U1018&lt;&gt;"",VLOOKUP(U1018,'Tipo Projeto'!$A$3:$B$35,2,0),0)</f>
        <v>0</v>
      </c>
      <c r="W1018" s="47"/>
      <c r="X1018" s="49"/>
      <c r="Y1018" s="50"/>
      <c r="Z1018" s="51"/>
      <c r="AA1018" s="52"/>
      <c r="AB1018" s="53" t="str">
        <f t="shared" si="227"/>
        <v/>
      </c>
      <c r="AC1018" s="48" t="str">
        <f t="shared" si="228"/>
        <v/>
      </c>
      <c r="AD1018" s="54" t="str">
        <f t="shared" si="229"/>
        <v/>
      </c>
      <c r="AE1018" s="55">
        <f t="shared" si="230"/>
        <v>0</v>
      </c>
      <c r="AF1018" s="55">
        <f t="shared" si="231"/>
        <v>0</v>
      </c>
      <c r="AG1018" s="58">
        <f t="shared" si="232"/>
        <v>0</v>
      </c>
      <c r="AH1018" s="47"/>
      <c r="AJ1018" s="47"/>
      <c r="AL1018" s="47"/>
      <c r="AM1018" s="47" t="str">
        <f t="shared" si="233"/>
        <v/>
      </c>
    </row>
    <row r="1019" spans="1:39" s="56" customFormat="1" ht="24.75" customHeight="1">
      <c r="A1019" s="44"/>
      <c r="B1019" s="45"/>
      <c r="C1019" s="46">
        <f>IF(B1019&lt;&gt;"",VLOOKUP(B1019,'Tipo Projeto'!$A$3:$B$35,2,0),0)</f>
        <v>0</v>
      </c>
      <c r="D1019" s="47"/>
      <c r="E1019" s="47"/>
      <c r="F1019" s="48"/>
      <c r="G1019" s="47"/>
      <c r="H1019" s="49"/>
      <c r="I1019" s="50"/>
      <c r="J1019" s="51"/>
      <c r="K1019" s="52"/>
      <c r="L1019" s="53" t="str">
        <f t="shared" si="221"/>
        <v/>
      </c>
      <c r="M1019" s="48" t="str">
        <f t="shared" si="222"/>
        <v/>
      </c>
      <c r="N1019" s="54" t="str">
        <f t="shared" si="223"/>
        <v/>
      </c>
      <c r="O1019" s="55">
        <f t="shared" si="224"/>
        <v>0</v>
      </c>
      <c r="P1019" s="55">
        <f t="shared" si="225"/>
        <v>0</v>
      </c>
      <c r="Q1019" s="54">
        <f t="shared" si="226"/>
        <v>0</v>
      </c>
      <c r="R1019" s="47"/>
      <c r="T1019" s="57"/>
      <c r="U1019" s="45"/>
      <c r="V1019" s="46">
        <f>IF(U1019&lt;&gt;"",VLOOKUP(U1019,'Tipo Projeto'!$A$3:$B$35,2,0),0)</f>
        <v>0</v>
      </c>
      <c r="W1019" s="47"/>
      <c r="X1019" s="49"/>
      <c r="Y1019" s="50"/>
      <c r="Z1019" s="51"/>
      <c r="AA1019" s="52"/>
      <c r="AB1019" s="53" t="str">
        <f t="shared" si="227"/>
        <v/>
      </c>
      <c r="AC1019" s="48" t="str">
        <f t="shared" si="228"/>
        <v/>
      </c>
      <c r="AD1019" s="54" t="str">
        <f t="shared" si="229"/>
        <v/>
      </c>
      <c r="AE1019" s="55">
        <f t="shared" si="230"/>
        <v>0</v>
      </c>
      <c r="AF1019" s="55">
        <f t="shared" si="231"/>
        <v>0</v>
      </c>
      <c r="AG1019" s="58">
        <f t="shared" si="232"/>
        <v>0</v>
      </c>
      <c r="AH1019" s="47"/>
      <c r="AJ1019" s="47"/>
      <c r="AL1019" s="47"/>
      <c r="AM1019" s="47" t="str">
        <f t="shared" si="233"/>
        <v/>
      </c>
    </row>
    <row r="1020" spans="1:39" s="56" customFormat="1" ht="24.75" customHeight="1">
      <c r="A1020" s="44"/>
      <c r="B1020" s="45"/>
      <c r="C1020" s="46">
        <f>IF(B1020&lt;&gt;"",VLOOKUP(B1020,'Tipo Projeto'!$A$3:$B$35,2,0),0)</f>
        <v>0</v>
      </c>
      <c r="D1020" s="47"/>
      <c r="E1020" s="47"/>
      <c r="F1020" s="48"/>
      <c r="G1020" s="47"/>
      <c r="H1020" s="49"/>
      <c r="I1020" s="50"/>
      <c r="J1020" s="51"/>
      <c r="K1020" s="52"/>
      <c r="L1020" s="53" t="str">
        <f t="shared" si="221"/>
        <v/>
      </c>
      <c r="M1020" s="48" t="str">
        <f t="shared" si="222"/>
        <v/>
      </c>
      <c r="N1020" s="54" t="str">
        <f t="shared" si="223"/>
        <v/>
      </c>
      <c r="O1020" s="55">
        <f t="shared" si="224"/>
        <v>0</v>
      </c>
      <c r="P1020" s="55">
        <f t="shared" si="225"/>
        <v>0</v>
      </c>
      <c r="Q1020" s="54">
        <f t="shared" si="226"/>
        <v>0</v>
      </c>
      <c r="R1020" s="47"/>
      <c r="T1020" s="57"/>
      <c r="U1020" s="45"/>
      <c r="V1020" s="46">
        <f>IF(U1020&lt;&gt;"",VLOOKUP(U1020,'Tipo Projeto'!$A$3:$B$35,2,0),0)</f>
        <v>0</v>
      </c>
      <c r="W1020" s="47"/>
      <c r="X1020" s="49"/>
      <c r="Y1020" s="50"/>
      <c r="Z1020" s="51"/>
      <c r="AA1020" s="52"/>
      <c r="AB1020" s="53" t="str">
        <f t="shared" si="227"/>
        <v/>
      </c>
      <c r="AC1020" s="48" t="str">
        <f t="shared" si="228"/>
        <v/>
      </c>
      <c r="AD1020" s="54" t="str">
        <f t="shared" si="229"/>
        <v/>
      </c>
      <c r="AE1020" s="55">
        <f t="shared" si="230"/>
        <v>0</v>
      </c>
      <c r="AF1020" s="55">
        <f t="shared" si="231"/>
        <v>0</v>
      </c>
      <c r="AG1020" s="58">
        <f t="shared" si="232"/>
        <v>0</v>
      </c>
      <c r="AH1020" s="47"/>
      <c r="AJ1020" s="47"/>
      <c r="AL1020" s="47"/>
      <c r="AM1020" s="47" t="str">
        <f t="shared" si="233"/>
        <v/>
      </c>
    </row>
    <row r="1021" spans="1:39" s="56" customFormat="1" ht="24.75" customHeight="1">
      <c r="A1021" s="44"/>
      <c r="B1021" s="45"/>
      <c r="C1021" s="46">
        <f>IF(B1021&lt;&gt;"",VLOOKUP(B1021,'Tipo Projeto'!$A$3:$B$35,2,0),0)</f>
        <v>0</v>
      </c>
      <c r="D1021" s="47"/>
      <c r="E1021" s="47"/>
      <c r="F1021" s="48"/>
      <c r="G1021" s="47"/>
      <c r="H1021" s="49"/>
      <c r="I1021" s="50"/>
      <c r="J1021" s="51"/>
      <c r="K1021" s="52"/>
      <c r="L1021" s="53" t="str">
        <f t="shared" si="221"/>
        <v/>
      </c>
      <c r="M1021" s="48" t="str">
        <f t="shared" si="222"/>
        <v/>
      </c>
      <c r="N1021" s="54" t="str">
        <f t="shared" si="223"/>
        <v/>
      </c>
      <c r="O1021" s="55">
        <f t="shared" si="224"/>
        <v>0</v>
      </c>
      <c r="P1021" s="55">
        <f t="shared" si="225"/>
        <v>0</v>
      </c>
      <c r="Q1021" s="54">
        <f t="shared" si="226"/>
        <v>0</v>
      </c>
      <c r="R1021" s="47"/>
      <c r="T1021" s="57"/>
      <c r="U1021" s="45"/>
      <c r="V1021" s="46">
        <f>IF(U1021&lt;&gt;"",VLOOKUP(U1021,'Tipo Projeto'!$A$3:$B$35,2,0),0)</f>
        <v>0</v>
      </c>
      <c r="W1021" s="47"/>
      <c r="X1021" s="49"/>
      <c r="Y1021" s="50"/>
      <c r="Z1021" s="51"/>
      <c r="AA1021" s="52"/>
      <c r="AB1021" s="53" t="str">
        <f t="shared" si="227"/>
        <v/>
      </c>
      <c r="AC1021" s="48" t="str">
        <f t="shared" si="228"/>
        <v/>
      </c>
      <c r="AD1021" s="54" t="str">
        <f t="shared" si="229"/>
        <v/>
      </c>
      <c r="AE1021" s="55">
        <f t="shared" si="230"/>
        <v>0</v>
      </c>
      <c r="AF1021" s="55">
        <f t="shared" si="231"/>
        <v>0</v>
      </c>
      <c r="AG1021" s="58">
        <f t="shared" si="232"/>
        <v>0</v>
      </c>
      <c r="AH1021" s="47"/>
      <c r="AJ1021" s="47"/>
      <c r="AL1021" s="47"/>
      <c r="AM1021" s="47" t="str">
        <f t="shared" si="233"/>
        <v/>
      </c>
    </row>
    <row r="1022" spans="1:39" s="56" customFormat="1" ht="24.75" customHeight="1">
      <c r="A1022" s="44"/>
      <c r="B1022" s="45"/>
      <c r="C1022" s="46">
        <f>IF(B1022&lt;&gt;"",VLOOKUP(B1022,'Tipo Projeto'!$A$3:$B$35,2,0),0)</f>
        <v>0</v>
      </c>
      <c r="D1022" s="47"/>
      <c r="E1022" s="47"/>
      <c r="F1022" s="48"/>
      <c r="G1022" s="47"/>
      <c r="H1022" s="49"/>
      <c r="I1022" s="50"/>
      <c r="J1022" s="51"/>
      <c r="K1022" s="52"/>
      <c r="L1022" s="53" t="str">
        <f t="shared" si="221"/>
        <v/>
      </c>
      <c r="M1022" s="48" t="str">
        <f t="shared" si="222"/>
        <v/>
      </c>
      <c r="N1022" s="54" t="str">
        <f t="shared" si="223"/>
        <v/>
      </c>
      <c r="O1022" s="55">
        <f t="shared" si="224"/>
        <v>0</v>
      </c>
      <c r="P1022" s="55">
        <f t="shared" si="225"/>
        <v>0</v>
      </c>
      <c r="Q1022" s="54">
        <f t="shared" si="226"/>
        <v>0</v>
      </c>
      <c r="R1022" s="47"/>
      <c r="T1022" s="57"/>
      <c r="U1022" s="45"/>
      <c r="V1022" s="46">
        <f>IF(U1022&lt;&gt;"",VLOOKUP(U1022,'Tipo Projeto'!$A$3:$B$35,2,0),0)</f>
        <v>0</v>
      </c>
      <c r="W1022" s="47"/>
      <c r="X1022" s="49"/>
      <c r="Y1022" s="50"/>
      <c r="Z1022" s="51"/>
      <c r="AA1022" s="52"/>
      <c r="AB1022" s="53" t="str">
        <f t="shared" si="227"/>
        <v/>
      </c>
      <c r="AC1022" s="48" t="str">
        <f t="shared" si="228"/>
        <v/>
      </c>
      <c r="AD1022" s="54" t="str">
        <f t="shared" si="229"/>
        <v/>
      </c>
      <c r="AE1022" s="55">
        <f t="shared" si="230"/>
        <v>0</v>
      </c>
      <c r="AF1022" s="55">
        <f t="shared" si="231"/>
        <v>0</v>
      </c>
      <c r="AG1022" s="58">
        <f t="shared" si="232"/>
        <v>0</v>
      </c>
      <c r="AH1022" s="47"/>
      <c r="AJ1022" s="47"/>
      <c r="AL1022" s="47"/>
      <c r="AM1022" s="47" t="str">
        <f t="shared" si="233"/>
        <v/>
      </c>
    </row>
    <row r="1023" spans="1:39" s="56" customFormat="1" ht="24.75" customHeight="1">
      <c r="A1023" s="44"/>
      <c r="B1023" s="45"/>
      <c r="C1023" s="46">
        <f>IF(B1023&lt;&gt;"",VLOOKUP(B1023,'Tipo Projeto'!$A$3:$B$35,2,0),0)</f>
        <v>0</v>
      </c>
      <c r="D1023" s="47"/>
      <c r="E1023" s="47"/>
      <c r="F1023" s="48"/>
      <c r="G1023" s="47"/>
      <c r="H1023" s="49"/>
      <c r="I1023" s="50"/>
      <c r="J1023" s="51"/>
      <c r="K1023" s="52"/>
      <c r="L1023" s="53" t="str">
        <f t="shared" si="221"/>
        <v/>
      </c>
      <c r="M1023" s="48" t="str">
        <f t="shared" si="222"/>
        <v/>
      </c>
      <c r="N1023" s="54" t="str">
        <f t="shared" si="223"/>
        <v/>
      </c>
      <c r="O1023" s="55">
        <f t="shared" si="224"/>
        <v>0</v>
      </c>
      <c r="P1023" s="55">
        <f t="shared" si="225"/>
        <v>0</v>
      </c>
      <c r="Q1023" s="54">
        <f t="shared" si="226"/>
        <v>0</v>
      </c>
      <c r="R1023" s="47"/>
      <c r="T1023" s="57"/>
      <c r="U1023" s="45"/>
      <c r="V1023" s="46">
        <f>IF(U1023&lt;&gt;"",VLOOKUP(U1023,'Tipo Projeto'!$A$3:$B$35,2,0),0)</f>
        <v>0</v>
      </c>
      <c r="W1023" s="47"/>
      <c r="X1023" s="49"/>
      <c r="Y1023" s="50"/>
      <c r="Z1023" s="51"/>
      <c r="AA1023" s="52"/>
      <c r="AB1023" s="53" t="str">
        <f t="shared" si="227"/>
        <v/>
      </c>
      <c r="AC1023" s="48" t="str">
        <f t="shared" si="228"/>
        <v/>
      </c>
      <c r="AD1023" s="54" t="str">
        <f t="shared" si="229"/>
        <v/>
      </c>
      <c r="AE1023" s="55">
        <f t="shared" si="230"/>
        <v>0</v>
      </c>
      <c r="AF1023" s="55">
        <f t="shared" si="231"/>
        <v>0</v>
      </c>
      <c r="AG1023" s="58">
        <f t="shared" si="232"/>
        <v>0</v>
      </c>
      <c r="AH1023" s="47"/>
      <c r="AJ1023" s="47"/>
      <c r="AL1023" s="47"/>
      <c r="AM1023" s="47" t="str">
        <f t="shared" si="233"/>
        <v/>
      </c>
    </row>
    <row r="1024" spans="1:39" s="56" customFormat="1" ht="24.75" customHeight="1">
      <c r="A1024" s="44"/>
      <c r="B1024" s="45"/>
      <c r="C1024" s="46">
        <f>IF(B1024&lt;&gt;"",VLOOKUP(B1024,'Tipo Projeto'!$A$3:$B$35,2,0),0)</f>
        <v>0</v>
      </c>
      <c r="D1024" s="47"/>
      <c r="E1024" s="47"/>
      <c r="F1024" s="48"/>
      <c r="G1024" s="47"/>
      <c r="H1024" s="49"/>
      <c r="I1024" s="50"/>
      <c r="J1024" s="51"/>
      <c r="K1024" s="52"/>
      <c r="L1024" s="53" t="str">
        <f t="shared" si="221"/>
        <v/>
      </c>
      <c r="M1024" s="48" t="str">
        <f t="shared" si="222"/>
        <v/>
      </c>
      <c r="N1024" s="54" t="str">
        <f t="shared" si="223"/>
        <v/>
      </c>
      <c r="O1024" s="55">
        <f t="shared" si="224"/>
        <v>0</v>
      </c>
      <c r="P1024" s="55">
        <f t="shared" si="225"/>
        <v>0</v>
      </c>
      <c r="Q1024" s="54">
        <f t="shared" si="226"/>
        <v>0</v>
      </c>
      <c r="R1024" s="47"/>
      <c r="T1024" s="57"/>
      <c r="U1024" s="45"/>
      <c r="V1024" s="46">
        <f>IF(U1024&lt;&gt;"",VLOOKUP(U1024,'Tipo Projeto'!$A$3:$B$35,2,0),0)</f>
        <v>0</v>
      </c>
      <c r="W1024" s="47"/>
      <c r="X1024" s="49"/>
      <c r="Y1024" s="50"/>
      <c r="Z1024" s="51"/>
      <c r="AA1024" s="52"/>
      <c r="AB1024" s="53" t="str">
        <f t="shared" si="227"/>
        <v/>
      </c>
      <c r="AC1024" s="48" t="str">
        <f t="shared" si="228"/>
        <v/>
      </c>
      <c r="AD1024" s="54" t="str">
        <f t="shared" si="229"/>
        <v/>
      </c>
      <c r="AE1024" s="55">
        <f t="shared" si="230"/>
        <v>0</v>
      </c>
      <c r="AF1024" s="55">
        <f t="shared" si="231"/>
        <v>0</v>
      </c>
      <c r="AG1024" s="58">
        <f t="shared" si="232"/>
        <v>0</v>
      </c>
      <c r="AH1024" s="47"/>
      <c r="AJ1024" s="47"/>
      <c r="AL1024" s="47"/>
      <c r="AM1024" s="47" t="str">
        <f t="shared" si="233"/>
        <v/>
      </c>
    </row>
    <row r="1025" spans="1:39" s="56" customFormat="1" ht="24.75" customHeight="1">
      <c r="A1025" s="44"/>
      <c r="B1025" s="45"/>
      <c r="C1025" s="46">
        <f>IF(B1025&lt;&gt;"",VLOOKUP(B1025,'Tipo Projeto'!$A$3:$B$35,2,0),0)</f>
        <v>0</v>
      </c>
      <c r="D1025" s="47"/>
      <c r="E1025" s="47"/>
      <c r="F1025" s="48"/>
      <c r="G1025" s="47"/>
      <c r="H1025" s="49"/>
      <c r="I1025" s="50"/>
      <c r="J1025" s="51"/>
      <c r="K1025" s="52"/>
      <c r="L1025" s="53" t="str">
        <f t="shared" si="221"/>
        <v/>
      </c>
      <c r="M1025" s="48" t="str">
        <f t="shared" si="222"/>
        <v/>
      </c>
      <c r="N1025" s="54" t="str">
        <f t="shared" si="223"/>
        <v/>
      </c>
      <c r="O1025" s="55">
        <f t="shared" si="224"/>
        <v>0</v>
      </c>
      <c r="P1025" s="55">
        <f t="shared" si="225"/>
        <v>0</v>
      </c>
      <c r="Q1025" s="54">
        <f t="shared" si="226"/>
        <v>0</v>
      </c>
      <c r="R1025" s="47"/>
      <c r="T1025" s="57"/>
      <c r="U1025" s="45"/>
      <c r="V1025" s="46">
        <f>IF(U1025&lt;&gt;"",VLOOKUP(U1025,'Tipo Projeto'!$A$3:$B$35,2,0),0)</f>
        <v>0</v>
      </c>
      <c r="W1025" s="47"/>
      <c r="X1025" s="49"/>
      <c r="Y1025" s="50"/>
      <c r="Z1025" s="51"/>
      <c r="AA1025" s="52"/>
      <c r="AB1025" s="53" t="str">
        <f t="shared" si="227"/>
        <v/>
      </c>
      <c r="AC1025" s="48" t="str">
        <f t="shared" si="228"/>
        <v/>
      </c>
      <c r="AD1025" s="54" t="str">
        <f t="shared" si="229"/>
        <v/>
      </c>
      <c r="AE1025" s="55">
        <f t="shared" si="230"/>
        <v>0</v>
      </c>
      <c r="AF1025" s="55">
        <f t="shared" si="231"/>
        <v>0</v>
      </c>
      <c r="AG1025" s="58">
        <f t="shared" si="232"/>
        <v>0</v>
      </c>
      <c r="AH1025" s="47"/>
      <c r="AJ1025" s="47"/>
      <c r="AL1025" s="47"/>
      <c r="AM1025" s="47" t="str">
        <f t="shared" si="233"/>
        <v/>
      </c>
    </row>
    <row r="1026" spans="1:39" s="56" customFormat="1" ht="24.75" customHeight="1">
      <c r="A1026" s="44"/>
      <c r="B1026" s="45"/>
      <c r="C1026" s="46">
        <f>IF(B1026&lt;&gt;"",VLOOKUP(B1026,'Tipo Projeto'!$A$3:$B$35,2,0),0)</f>
        <v>0</v>
      </c>
      <c r="D1026" s="47"/>
      <c r="E1026" s="47"/>
      <c r="F1026" s="48"/>
      <c r="G1026" s="47"/>
      <c r="H1026" s="49"/>
      <c r="I1026" s="50"/>
      <c r="J1026" s="51"/>
      <c r="K1026" s="52"/>
      <c r="L1026" s="53" t="str">
        <f t="shared" si="221"/>
        <v/>
      </c>
      <c r="M1026" s="48" t="str">
        <f t="shared" si="222"/>
        <v/>
      </c>
      <c r="N1026" s="54" t="str">
        <f t="shared" si="223"/>
        <v/>
      </c>
      <c r="O1026" s="55">
        <f t="shared" si="224"/>
        <v>0</v>
      </c>
      <c r="P1026" s="55">
        <f t="shared" si="225"/>
        <v>0</v>
      </c>
      <c r="Q1026" s="54">
        <f t="shared" si="226"/>
        <v>0</v>
      </c>
      <c r="R1026" s="47"/>
      <c r="T1026" s="57"/>
      <c r="U1026" s="45"/>
      <c r="V1026" s="46">
        <f>IF(U1026&lt;&gt;"",VLOOKUP(U1026,'Tipo Projeto'!$A$3:$B$35,2,0),0)</f>
        <v>0</v>
      </c>
      <c r="W1026" s="47"/>
      <c r="X1026" s="49"/>
      <c r="Y1026" s="50"/>
      <c r="Z1026" s="51"/>
      <c r="AA1026" s="52"/>
      <c r="AB1026" s="53" t="str">
        <f t="shared" si="227"/>
        <v/>
      </c>
      <c r="AC1026" s="48" t="str">
        <f t="shared" si="228"/>
        <v/>
      </c>
      <c r="AD1026" s="54" t="str">
        <f t="shared" si="229"/>
        <v/>
      </c>
      <c r="AE1026" s="55">
        <f t="shared" si="230"/>
        <v>0</v>
      </c>
      <c r="AF1026" s="55">
        <f t="shared" si="231"/>
        <v>0</v>
      </c>
      <c r="AG1026" s="58">
        <f t="shared" si="232"/>
        <v>0</v>
      </c>
      <c r="AH1026" s="47"/>
      <c r="AJ1026" s="47"/>
      <c r="AL1026" s="47"/>
      <c r="AM1026" s="47" t="str">
        <f t="shared" si="233"/>
        <v/>
      </c>
    </row>
    <row r="1027" spans="1:39" s="56" customFormat="1" ht="24.75" customHeight="1">
      <c r="A1027" s="44"/>
      <c r="B1027" s="45"/>
      <c r="C1027" s="46">
        <f>IF(B1027&lt;&gt;"",VLOOKUP(B1027,'Tipo Projeto'!$A$3:$B$35,2,0),0)</f>
        <v>0</v>
      </c>
      <c r="D1027" s="47"/>
      <c r="E1027" s="47"/>
      <c r="F1027" s="48"/>
      <c r="G1027" s="47"/>
      <c r="H1027" s="49"/>
      <c r="I1027" s="50"/>
      <c r="J1027" s="51"/>
      <c r="K1027" s="52"/>
      <c r="L1027" s="53" t="str">
        <f t="shared" si="221"/>
        <v/>
      </c>
      <c r="M1027" s="48" t="str">
        <f t="shared" si="222"/>
        <v/>
      </c>
      <c r="N1027" s="54" t="str">
        <f t="shared" si="223"/>
        <v/>
      </c>
      <c r="O1027" s="55">
        <f t="shared" si="224"/>
        <v>0</v>
      </c>
      <c r="P1027" s="55">
        <f t="shared" si="225"/>
        <v>0</v>
      </c>
      <c r="Q1027" s="54">
        <f t="shared" si="226"/>
        <v>0</v>
      </c>
      <c r="R1027" s="47"/>
      <c r="T1027" s="57"/>
      <c r="U1027" s="45"/>
      <c r="V1027" s="46">
        <f>IF(U1027&lt;&gt;"",VLOOKUP(U1027,'Tipo Projeto'!$A$3:$B$35,2,0),0)</f>
        <v>0</v>
      </c>
      <c r="W1027" s="47"/>
      <c r="X1027" s="49"/>
      <c r="Y1027" s="50"/>
      <c r="Z1027" s="51"/>
      <c r="AA1027" s="52"/>
      <c r="AB1027" s="53" t="str">
        <f t="shared" si="227"/>
        <v/>
      </c>
      <c r="AC1027" s="48" t="str">
        <f t="shared" si="228"/>
        <v/>
      </c>
      <c r="AD1027" s="54" t="str">
        <f t="shared" si="229"/>
        <v/>
      </c>
      <c r="AE1027" s="55">
        <f t="shared" si="230"/>
        <v>0</v>
      </c>
      <c r="AF1027" s="55">
        <f t="shared" si="231"/>
        <v>0</v>
      </c>
      <c r="AG1027" s="58">
        <f t="shared" si="232"/>
        <v>0</v>
      </c>
      <c r="AH1027" s="47"/>
      <c r="AJ1027" s="47"/>
      <c r="AL1027" s="47"/>
      <c r="AM1027" s="47" t="str">
        <f t="shared" si="233"/>
        <v/>
      </c>
    </row>
    <row r="1028" spans="1:39" s="56" customFormat="1" ht="24.75" customHeight="1">
      <c r="A1028" s="44"/>
      <c r="B1028" s="45"/>
      <c r="C1028" s="46">
        <f>IF(B1028&lt;&gt;"",VLOOKUP(B1028,'Tipo Projeto'!$A$3:$B$35,2,0),0)</f>
        <v>0</v>
      </c>
      <c r="D1028" s="47"/>
      <c r="E1028" s="47"/>
      <c r="F1028" s="48"/>
      <c r="G1028" s="47"/>
      <c r="H1028" s="49"/>
      <c r="I1028" s="50"/>
      <c r="J1028" s="51"/>
      <c r="K1028" s="52"/>
      <c r="L1028" s="53" t="str">
        <f t="shared" si="221"/>
        <v/>
      </c>
      <c r="M1028" s="48" t="str">
        <f t="shared" si="222"/>
        <v/>
      </c>
      <c r="N1028" s="54" t="str">
        <f t="shared" si="223"/>
        <v/>
      </c>
      <c r="O1028" s="55">
        <f t="shared" si="224"/>
        <v>0</v>
      </c>
      <c r="P1028" s="55">
        <f t="shared" si="225"/>
        <v>0</v>
      </c>
      <c r="Q1028" s="54">
        <f t="shared" si="226"/>
        <v>0</v>
      </c>
      <c r="R1028" s="47"/>
      <c r="T1028" s="57"/>
      <c r="U1028" s="45"/>
      <c r="V1028" s="46">
        <f>IF(U1028&lt;&gt;"",VLOOKUP(U1028,'Tipo Projeto'!$A$3:$B$35,2,0),0)</f>
        <v>0</v>
      </c>
      <c r="W1028" s="47"/>
      <c r="X1028" s="49"/>
      <c r="Y1028" s="50"/>
      <c r="Z1028" s="51"/>
      <c r="AA1028" s="52"/>
      <c r="AB1028" s="53" t="str">
        <f t="shared" si="227"/>
        <v/>
      </c>
      <c r="AC1028" s="48" t="str">
        <f t="shared" si="228"/>
        <v/>
      </c>
      <c r="AD1028" s="54" t="str">
        <f t="shared" si="229"/>
        <v/>
      </c>
      <c r="AE1028" s="55">
        <f t="shared" si="230"/>
        <v>0</v>
      </c>
      <c r="AF1028" s="55">
        <f t="shared" si="231"/>
        <v>0</v>
      </c>
      <c r="AG1028" s="58">
        <f t="shared" si="232"/>
        <v>0</v>
      </c>
      <c r="AH1028" s="47"/>
      <c r="AJ1028" s="47"/>
      <c r="AL1028" s="47"/>
      <c r="AM1028" s="47" t="str">
        <f t="shared" si="233"/>
        <v/>
      </c>
    </row>
    <row r="1029" spans="1:39" s="56" customFormat="1" ht="24.75" customHeight="1">
      <c r="A1029" s="44"/>
      <c r="B1029" s="45"/>
      <c r="C1029" s="46">
        <f>IF(B1029&lt;&gt;"",VLOOKUP(B1029,'Tipo Projeto'!$A$3:$B$35,2,0),0)</f>
        <v>0</v>
      </c>
      <c r="D1029" s="47"/>
      <c r="E1029" s="47"/>
      <c r="F1029" s="48"/>
      <c r="G1029" s="47"/>
      <c r="H1029" s="49"/>
      <c r="I1029" s="50"/>
      <c r="J1029" s="51"/>
      <c r="K1029" s="52"/>
      <c r="L1029" s="53" t="str">
        <f t="shared" si="221"/>
        <v/>
      </c>
      <c r="M1029" s="48" t="str">
        <f t="shared" si="222"/>
        <v/>
      </c>
      <c r="N1029" s="54" t="str">
        <f t="shared" si="223"/>
        <v/>
      </c>
      <c r="O1029" s="55">
        <f t="shared" si="224"/>
        <v>0</v>
      </c>
      <c r="P1029" s="55">
        <f t="shared" si="225"/>
        <v>0</v>
      </c>
      <c r="Q1029" s="54">
        <f t="shared" si="226"/>
        <v>0</v>
      </c>
      <c r="R1029" s="47"/>
      <c r="T1029" s="57"/>
      <c r="U1029" s="45"/>
      <c r="V1029" s="46">
        <f>IF(U1029&lt;&gt;"",VLOOKUP(U1029,'Tipo Projeto'!$A$3:$B$35,2,0),0)</f>
        <v>0</v>
      </c>
      <c r="W1029" s="47"/>
      <c r="X1029" s="49"/>
      <c r="Y1029" s="50"/>
      <c r="Z1029" s="51"/>
      <c r="AA1029" s="52"/>
      <c r="AB1029" s="53" t="str">
        <f t="shared" si="227"/>
        <v/>
      </c>
      <c r="AC1029" s="48" t="str">
        <f t="shared" si="228"/>
        <v/>
      </c>
      <c r="AD1029" s="54" t="str">
        <f t="shared" si="229"/>
        <v/>
      </c>
      <c r="AE1029" s="55">
        <f t="shared" si="230"/>
        <v>0</v>
      </c>
      <c r="AF1029" s="55">
        <f t="shared" si="231"/>
        <v>0</v>
      </c>
      <c r="AG1029" s="58">
        <f t="shared" si="232"/>
        <v>0</v>
      </c>
      <c r="AH1029" s="47"/>
      <c r="AJ1029" s="47"/>
      <c r="AL1029" s="47"/>
      <c r="AM1029" s="47" t="str">
        <f t="shared" si="233"/>
        <v/>
      </c>
    </row>
    <row r="1030" spans="1:39" s="56" customFormat="1" ht="24.75" customHeight="1">
      <c r="A1030" s="44"/>
      <c r="B1030" s="45"/>
      <c r="C1030" s="46">
        <f>IF(B1030&lt;&gt;"",VLOOKUP(B1030,'Tipo Projeto'!$A$3:$B$35,2,0),0)</f>
        <v>0</v>
      </c>
      <c r="D1030" s="47"/>
      <c r="E1030" s="47"/>
      <c r="F1030" s="48"/>
      <c r="G1030" s="47"/>
      <c r="H1030" s="49"/>
      <c r="I1030" s="50"/>
      <c r="J1030" s="51"/>
      <c r="K1030" s="52"/>
      <c r="L1030" s="53" t="str">
        <f t="shared" si="221"/>
        <v/>
      </c>
      <c r="M1030" s="48" t="str">
        <f t="shared" si="222"/>
        <v/>
      </c>
      <c r="N1030" s="54" t="str">
        <f t="shared" si="223"/>
        <v/>
      </c>
      <c r="O1030" s="55">
        <f t="shared" si="224"/>
        <v>0</v>
      </c>
      <c r="P1030" s="55">
        <f t="shared" si="225"/>
        <v>0</v>
      </c>
      <c r="Q1030" s="54">
        <f t="shared" si="226"/>
        <v>0</v>
      </c>
      <c r="R1030" s="47"/>
      <c r="T1030" s="57"/>
      <c r="U1030" s="45"/>
      <c r="V1030" s="46">
        <f>IF(U1030&lt;&gt;"",VLOOKUP(U1030,'Tipo Projeto'!$A$3:$B$35,2,0),0)</f>
        <v>0</v>
      </c>
      <c r="W1030" s="47"/>
      <c r="X1030" s="49"/>
      <c r="Y1030" s="50"/>
      <c r="Z1030" s="51"/>
      <c r="AA1030" s="52"/>
      <c r="AB1030" s="53" t="str">
        <f t="shared" si="227"/>
        <v/>
      </c>
      <c r="AC1030" s="48" t="str">
        <f t="shared" si="228"/>
        <v/>
      </c>
      <c r="AD1030" s="54" t="str">
        <f t="shared" si="229"/>
        <v/>
      </c>
      <c r="AE1030" s="55">
        <f t="shared" si="230"/>
        <v>0</v>
      </c>
      <c r="AF1030" s="55">
        <f t="shared" si="231"/>
        <v>0</v>
      </c>
      <c r="AG1030" s="58">
        <f t="shared" si="232"/>
        <v>0</v>
      </c>
      <c r="AH1030" s="47"/>
      <c r="AJ1030" s="47"/>
      <c r="AL1030" s="47"/>
      <c r="AM1030" s="47" t="str">
        <f t="shared" si="233"/>
        <v/>
      </c>
    </row>
    <row r="1031" spans="1:39" s="56" customFormat="1" ht="24.75" customHeight="1">
      <c r="A1031" s="44"/>
      <c r="B1031" s="45"/>
      <c r="C1031" s="46">
        <f>IF(B1031&lt;&gt;"",VLOOKUP(B1031,'Tipo Projeto'!$A$3:$B$35,2,0),0)</f>
        <v>0</v>
      </c>
      <c r="D1031" s="47"/>
      <c r="E1031" s="47"/>
      <c r="F1031" s="48"/>
      <c r="G1031" s="47"/>
      <c r="H1031" s="49"/>
      <c r="I1031" s="50"/>
      <c r="J1031" s="51"/>
      <c r="K1031" s="52"/>
      <c r="L1031" s="53" t="str">
        <f t="shared" si="221"/>
        <v/>
      </c>
      <c r="M1031" s="48" t="str">
        <f t="shared" si="222"/>
        <v/>
      </c>
      <c r="N1031" s="54" t="str">
        <f t="shared" si="223"/>
        <v/>
      </c>
      <c r="O1031" s="55">
        <f t="shared" si="224"/>
        <v>0</v>
      </c>
      <c r="P1031" s="55">
        <f t="shared" si="225"/>
        <v>0</v>
      </c>
      <c r="Q1031" s="54">
        <f t="shared" si="226"/>
        <v>0</v>
      </c>
      <c r="R1031" s="47"/>
      <c r="T1031" s="57"/>
      <c r="U1031" s="45"/>
      <c r="V1031" s="46">
        <f>IF(U1031&lt;&gt;"",VLOOKUP(U1031,'Tipo Projeto'!$A$3:$B$35,2,0),0)</f>
        <v>0</v>
      </c>
      <c r="W1031" s="47"/>
      <c r="X1031" s="49"/>
      <c r="Y1031" s="50"/>
      <c r="Z1031" s="51"/>
      <c r="AA1031" s="52"/>
      <c r="AB1031" s="53" t="str">
        <f t="shared" si="227"/>
        <v/>
      </c>
      <c r="AC1031" s="48" t="str">
        <f t="shared" si="228"/>
        <v/>
      </c>
      <c r="AD1031" s="54" t="str">
        <f t="shared" si="229"/>
        <v/>
      </c>
      <c r="AE1031" s="55">
        <f t="shared" si="230"/>
        <v>0</v>
      </c>
      <c r="AF1031" s="55">
        <f t="shared" si="231"/>
        <v>0</v>
      </c>
      <c r="AG1031" s="58">
        <f t="shared" si="232"/>
        <v>0</v>
      </c>
      <c r="AH1031" s="47"/>
      <c r="AJ1031" s="47"/>
      <c r="AL1031" s="47"/>
      <c r="AM1031" s="47" t="str">
        <f t="shared" si="233"/>
        <v/>
      </c>
    </row>
    <row r="1032" spans="1:39" s="56" customFormat="1" ht="24.75" customHeight="1">
      <c r="A1032" s="44"/>
      <c r="B1032" s="45"/>
      <c r="C1032" s="46">
        <f>IF(B1032&lt;&gt;"",VLOOKUP(B1032,'Tipo Projeto'!$A$3:$B$35,2,0),0)</f>
        <v>0</v>
      </c>
      <c r="D1032" s="47"/>
      <c r="E1032" s="47"/>
      <c r="F1032" s="48"/>
      <c r="G1032" s="47"/>
      <c r="H1032" s="49"/>
      <c r="I1032" s="50"/>
      <c r="J1032" s="51"/>
      <c r="K1032" s="52"/>
      <c r="L1032" s="53" t="str">
        <f t="shared" si="221"/>
        <v/>
      </c>
      <c r="M1032" s="48" t="str">
        <f t="shared" si="222"/>
        <v/>
      </c>
      <c r="N1032" s="54" t="str">
        <f t="shared" si="223"/>
        <v/>
      </c>
      <c r="O1032" s="55">
        <f t="shared" si="224"/>
        <v>0</v>
      </c>
      <c r="P1032" s="55">
        <f t="shared" si="225"/>
        <v>0</v>
      </c>
      <c r="Q1032" s="54">
        <f t="shared" si="226"/>
        <v>0</v>
      </c>
      <c r="R1032" s="47"/>
      <c r="T1032" s="57"/>
      <c r="U1032" s="45"/>
      <c r="V1032" s="46">
        <f>IF(U1032&lt;&gt;"",VLOOKUP(U1032,'Tipo Projeto'!$A$3:$B$35,2,0),0)</f>
        <v>0</v>
      </c>
      <c r="W1032" s="47"/>
      <c r="X1032" s="49"/>
      <c r="Y1032" s="50"/>
      <c r="Z1032" s="51"/>
      <c r="AA1032" s="52"/>
      <c r="AB1032" s="53" t="str">
        <f t="shared" si="227"/>
        <v/>
      </c>
      <c r="AC1032" s="48" t="str">
        <f t="shared" si="228"/>
        <v/>
      </c>
      <c r="AD1032" s="54" t="str">
        <f t="shared" si="229"/>
        <v/>
      </c>
      <c r="AE1032" s="55">
        <f t="shared" si="230"/>
        <v>0</v>
      </c>
      <c r="AF1032" s="55">
        <f t="shared" si="231"/>
        <v>0</v>
      </c>
      <c r="AG1032" s="58">
        <f t="shared" si="232"/>
        <v>0</v>
      </c>
      <c r="AH1032" s="47"/>
      <c r="AJ1032" s="47"/>
      <c r="AL1032" s="47"/>
      <c r="AM1032" s="47" t="str">
        <f t="shared" si="233"/>
        <v/>
      </c>
    </row>
    <row r="1033" spans="1:39" s="56" customFormat="1" ht="24.75" customHeight="1">
      <c r="A1033" s="44"/>
      <c r="B1033" s="45"/>
      <c r="C1033" s="46">
        <f>IF(B1033&lt;&gt;"",VLOOKUP(B1033,'Tipo Projeto'!$A$3:$B$35,2,0),0)</f>
        <v>0</v>
      </c>
      <c r="D1033" s="47"/>
      <c r="E1033" s="47"/>
      <c r="F1033" s="48"/>
      <c r="G1033" s="47"/>
      <c r="H1033" s="49"/>
      <c r="I1033" s="50"/>
      <c r="J1033" s="51"/>
      <c r="K1033" s="52"/>
      <c r="L1033" s="53" t="str">
        <f t="shared" si="221"/>
        <v/>
      </c>
      <c r="M1033" s="48" t="str">
        <f t="shared" si="222"/>
        <v/>
      </c>
      <c r="N1033" s="54" t="str">
        <f t="shared" si="223"/>
        <v/>
      </c>
      <c r="O1033" s="55">
        <f t="shared" si="224"/>
        <v>0</v>
      </c>
      <c r="P1033" s="55">
        <f t="shared" si="225"/>
        <v>0</v>
      </c>
      <c r="Q1033" s="54">
        <f t="shared" si="226"/>
        <v>0</v>
      </c>
      <c r="R1033" s="47"/>
      <c r="T1033" s="57"/>
      <c r="U1033" s="45"/>
      <c r="V1033" s="46">
        <f>IF(U1033&lt;&gt;"",VLOOKUP(U1033,'Tipo Projeto'!$A$3:$B$35,2,0),0)</f>
        <v>0</v>
      </c>
      <c r="W1033" s="47"/>
      <c r="X1033" s="49"/>
      <c r="Y1033" s="50"/>
      <c r="Z1033" s="51"/>
      <c r="AA1033" s="52"/>
      <c r="AB1033" s="53" t="str">
        <f t="shared" si="227"/>
        <v/>
      </c>
      <c r="AC1033" s="48" t="str">
        <f t="shared" si="228"/>
        <v/>
      </c>
      <c r="AD1033" s="54" t="str">
        <f t="shared" si="229"/>
        <v/>
      </c>
      <c r="AE1033" s="55">
        <f t="shared" si="230"/>
        <v>0</v>
      </c>
      <c r="AF1033" s="55">
        <f t="shared" si="231"/>
        <v>0</v>
      </c>
      <c r="AG1033" s="58">
        <f t="shared" si="232"/>
        <v>0</v>
      </c>
      <c r="AH1033" s="47"/>
      <c r="AJ1033" s="47"/>
      <c r="AL1033" s="47"/>
      <c r="AM1033" s="47" t="str">
        <f t="shared" si="233"/>
        <v/>
      </c>
    </row>
    <row r="1034" spans="1:39" s="56" customFormat="1" ht="24.75" customHeight="1">
      <c r="A1034" s="44"/>
      <c r="B1034" s="45"/>
      <c r="C1034" s="46">
        <f>IF(B1034&lt;&gt;"",VLOOKUP(B1034,'Tipo Projeto'!$A$3:$B$35,2,0),0)</f>
        <v>0</v>
      </c>
      <c r="D1034" s="47"/>
      <c r="E1034" s="47"/>
      <c r="F1034" s="48"/>
      <c r="G1034" s="47"/>
      <c r="H1034" s="49"/>
      <c r="I1034" s="50"/>
      <c r="J1034" s="51"/>
      <c r="K1034" s="52"/>
      <c r="L1034" s="53" t="str">
        <f t="shared" si="221"/>
        <v/>
      </c>
      <c r="M1034" s="48" t="str">
        <f t="shared" si="222"/>
        <v/>
      </c>
      <c r="N1034" s="54" t="str">
        <f t="shared" si="223"/>
        <v/>
      </c>
      <c r="O1034" s="55">
        <f t="shared" si="224"/>
        <v>0</v>
      </c>
      <c r="P1034" s="55">
        <f t="shared" si="225"/>
        <v>0</v>
      </c>
      <c r="Q1034" s="54">
        <f t="shared" si="226"/>
        <v>0</v>
      </c>
      <c r="R1034" s="47"/>
      <c r="T1034" s="57"/>
      <c r="U1034" s="45"/>
      <c r="V1034" s="46">
        <f>IF(U1034&lt;&gt;"",VLOOKUP(U1034,'Tipo Projeto'!$A$3:$B$35,2,0),0)</f>
        <v>0</v>
      </c>
      <c r="W1034" s="47"/>
      <c r="X1034" s="49"/>
      <c r="Y1034" s="50"/>
      <c r="Z1034" s="51"/>
      <c r="AA1034" s="52"/>
      <c r="AB1034" s="53" t="str">
        <f t="shared" si="227"/>
        <v/>
      </c>
      <c r="AC1034" s="48" t="str">
        <f t="shared" si="228"/>
        <v/>
      </c>
      <c r="AD1034" s="54" t="str">
        <f t="shared" si="229"/>
        <v/>
      </c>
      <c r="AE1034" s="55">
        <f t="shared" si="230"/>
        <v>0</v>
      </c>
      <c r="AF1034" s="55">
        <f t="shared" si="231"/>
        <v>0</v>
      </c>
      <c r="AG1034" s="58">
        <f t="shared" si="232"/>
        <v>0</v>
      </c>
      <c r="AH1034" s="47"/>
      <c r="AJ1034" s="47"/>
      <c r="AL1034" s="47"/>
      <c r="AM1034" s="47" t="str">
        <f t="shared" si="233"/>
        <v/>
      </c>
    </row>
    <row r="1035" spans="1:39" s="56" customFormat="1" ht="24.75" customHeight="1">
      <c r="A1035" s="44"/>
      <c r="B1035" s="45"/>
      <c r="C1035" s="46">
        <f>IF(B1035&lt;&gt;"",VLOOKUP(B1035,'Tipo Projeto'!$A$3:$B$35,2,0),0)</f>
        <v>0</v>
      </c>
      <c r="D1035" s="47"/>
      <c r="E1035" s="47"/>
      <c r="F1035" s="48"/>
      <c r="G1035" s="47"/>
      <c r="H1035" s="49"/>
      <c r="I1035" s="50"/>
      <c r="J1035" s="51"/>
      <c r="K1035" s="52"/>
      <c r="L1035" s="53" t="str">
        <f t="shared" si="221"/>
        <v/>
      </c>
      <c r="M1035" s="48" t="str">
        <f t="shared" si="222"/>
        <v/>
      </c>
      <c r="N1035" s="54" t="str">
        <f t="shared" si="223"/>
        <v/>
      </c>
      <c r="O1035" s="55">
        <f t="shared" si="224"/>
        <v>0</v>
      </c>
      <c r="P1035" s="55">
        <f t="shared" si="225"/>
        <v>0</v>
      </c>
      <c r="Q1035" s="54">
        <f t="shared" si="226"/>
        <v>0</v>
      </c>
      <c r="R1035" s="47"/>
      <c r="T1035" s="57"/>
      <c r="U1035" s="45"/>
      <c r="V1035" s="46">
        <f>IF(U1035&lt;&gt;"",VLOOKUP(U1035,'Tipo Projeto'!$A$3:$B$35,2,0),0)</f>
        <v>0</v>
      </c>
      <c r="W1035" s="47"/>
      <c r="X1035" s="49"/>
      <c r="Y1035" s="50"/>
      <c r="Z1035" s="51"/>
      <c r="AA1035" s="52"/>
      <c r="AB1035" s="53" t="str">
        <f t="shared" si="227"/>
        <v/>
      </c>
      <c r="AC1035" s="48" t="str">
        <f t="shared" si="228"/>
        <v/>
      </c>
      <c r="AD1035" s="54" t="str">
        <f t="shared" si="229"/>
        <v/>
      </c>
      <c r="AE1035" s="55">
        <f t="shared" si="230"/>
        <v>0</v>
      </c>
      <c r="AF1035" s="55">
        <f t="shared" si="231"/>
        <v>0</v>
      </c>
      <c r="AG1035" s="58">
        <f t="shared" si="232"/>
        <v>0</v>
      </c>
      <c r="AH1035" s="47"/>
      <c r="AJ1035" s="47"/>
      <c r="AL1035" s="47"/>
      <c r="AM1035" s="47" t="str">
        <f t="shared" si="233"/>
        <v/>
      </c>
    </row>
    <row r="1036" spans="1:39" s="56" customFormat="1" ht="24.75" customHeight="1">
      <c r="A1036" s="44"/>
      <c r="B1036" s="45"/>
      <c r="C1036" s="46">
        <f>IF(B1036&lt;&gt;"",VLOOKUP(B1036,'Tipo Projeto'!$A$3:$B$35,2,0),0)</f>
        <v>0</v>
      </c>
      <c r="D1036" s="47"/>
      <c r="E1036" s="47"/>
      <c r="F1036" s="48"/>
      <c r="G1036" s="47"/>
      <c r="H1036" s="49"/>
      <c r="I1036" s="50"/>
      <c r="J1036" s="51"/>
      <c r="K1036" s="52"/>
      <c r="L1036" s="53" t="str">
        <f t="shared" si="221"/>
        <v/>
      </c>
      <c r="M1036" s="48" t="str">
        <f t="shared" si="222"/>
        <v/>
      </c>
      <c r="N1036" s="54" t="str">
        <f t="shared" si="223"/>
        <v/>
      </c>
      <c r="O1036" s="55">
        <f t="shared" si="224"/>
        <v>0</v>
      </c>
      <c r="P1036" s="55">
        <f t="shared" si="225"/>
        <v>0</v>
      </c>
      <c r="Q1036" s="54">
        <f t="shared" si="226"/>
        <v>0</v>
      </c>
      <c r="R1036" s="47"/>
      <c r="T1036" s="57"/>
      <c r="U1036" s="45"/>
      <c r="V1036" s="46">
        <f>IF(U1036&lt;&gt;"",VLOOKUP(U1036,'Tipo Projeto'!$A$3:$B$35,2,0),0)</f>
        <v>0</v>
      </c>
      <c r="W1036" s="47"/>
      <c r="X1036" s="49"/>
      <c r="Y1036" s="50"/>
      <c r="Z1036" s="51"/>
      <c r="AA1036" s="52"/>
      <c r="AB1036" s="53" t="str">
        <f t="shared" si="227"/>
        <v/>
      </c>
      <c r="AC1036" s="48" t="str">
        <f t="shared" si="228"/>
        <v/>
      </c>
      <c r="AD1036" s="54" t="str">
        <f t="shared" si="229"/>
        <v/>
      </c>
      <c r="AE1036" s="55">
        <f t="shared" si="230"/>
        <v>0</v>
      </c>
      <c r="AF1036" s="55">
        <f t="shared" si="231"/>
        <v>0</v>
      </c>
      <c r="AG1036" s="58">
        <f t="shared" si="232"/>
        <v>0</v>
      </c>
      <c r="AH1036" s="47"/>
      <c r="AJ1036" s="47"/>
      <c r="AL1036" s="47"/>
      <c r="AM1036" s="47" t="str">
        <f t="shared" si="233"/>
        <v/>
      </c>
    </row>
    <row r="1037" spans="1:39" s="56" customFormat="1" ht="24.75" customHeight="1">
      <c r="A1037" s="44"/>
      <c r="B1037" s="45"/>
      <c r="C1037" s="46">
        <f>IF(B1037&lt;&gt;"",VLOOKUP(B1037,'Tipo Projeto'!$A$3:$B$35,2,0),0)</f>
        <v>0</v>
      </c>
      <c r="D1037" s="47"/>
      <c r="E1037" s="47"/>
      <c r="F1037" s="48"/>
      <c r="G1037" s="47"/>
      <c r="H1037" s="49"/>
      <c r="I1037" s="50"/>
      <c r="J1037" s="51"/>
      <c r="K1037" s="52"/>
      <c r="L1037" s="53" t="str">
        <f t="shared" si="221"/>
        <v/>
      </c>
      <c r="M1037" s="48" t="str">
        <f t="shared" si="222"/>
        <v/>
      </c>
      <c r="N1037" s="54" t="str">
        <f t="shared" si="223"/>
        <v/>
      </c>
      <c r="O1037" s="55">
        <f t="shared" si="224"/>
        <v>0</v>
      </c>
      <c r="P1037" s="55">
        <f t="shared" si="225"/>
        <v>0</v>
      </c>
      <c r="Q1037" s="54">
        <f t="shared" si="226"/>
        <v>0</v>
      </c>
      <c r="R1037" s="47"/>
      <c r="T1037" s="57"/>
      <c r="U1037" s="45"/>
      <c r="V1037" s="46">
        <f>IF(U1037&lt;&gt;"",VLOOKUP(U1037,'Tipo Projeto'!$A$3:$B$35,2,0),0)</f>
        <v>0</v>
      </c>
      <c r="W1037" s="47"/>
      <c r="X1037" s="49"/>
      <c r="Y1037" s="50"/>
      <c r="Z1037" s="51"/>
      <c r="AA1037" s="52"/>
      <c r="AB1037" s="53" t="str">
        <f t="shared" si="227"/>
        <v/>
      </c>
      <c r="AC1037" s="48" t="str">
        <f t="shared" si="228"/>
        <v/>
      </c>
      <c r="AD1037" s="54" t="str">
        <f t="shared" si="229"/>
        <v/>
      </c>
      <c r="AE1037" s="55">
        <f t="shared" si="230"/>
        <v>0</v>
      </c>
      <c r="AF1037" s="55">
        <f t="shared" si="231"/>
        <v>0</v>
      </c>
      <c r="AG1037" s="58">
        <f t="shared" si="232"/>
        <v>0</v>
      </c>
      <c r="AH1037" s="47"/>
      <c r="AJ1037" s="47"/>
      <c r="AL1037" s="47"/>
      <c r="AM1037" s="47" t="str">
        <f t="shared" si="233"/>
        <v/>
      </c>
    </row>
    <row r="1038" spans="1:39" s="56" customFormat="1" ht="24.75" customHeight="1">
      <c r="A1038" s="44"/>
      <c r="B1038" s="45"/>
      <c r="C1038" s="46">
        <f>IF(B1038&lt;&gt;"",VLOOKUP(B1038,'Tipo Projeto'!$A$3:$B$35,2,0),0)</f>
        <v>0</v>
      </c>
      <c r="D1038" s="47"/>
      <c r="E1038" s="47"/>
      <c r="F1038" s="48"/>
      <c r="G1038" s="47"/>
      <c r="H1038" s="49"/>
      <c r="I1038" s="50"/>
      <c r="J1038" s="51"/>
      <c r="K1038" s="52"/>
      <c r="L1038" s="53" t="str">
        <f t="shared" si="221"/>
        <v/>
      </c>
      <c r="M1038" s="48" t="str">
        <f t="shared" si="222"/>
        <v/>
      </c>
      <c r="N1038" s="54" t="str">
        <f t="shared" si="223"/>
        <v/>
      </c>
      <c r="O1038" s="55">
        <f t="shared" si="224"/>
        <v>0</v>
      </c>
      <c r="P1038" s="55">
        <f t="shared" si="225"/>
        <v>0</v>
      </c>
      <c r="Q1038" s="54">
        <f t="shared" si="226"/>
        <v>0</v>
      </c>
      <c r="R1038" s="47"/>
      <c r="T1038" s="57"/>
      <c r="U1038" s="45"/>
      <c r="V1038" s="46">
        <f>IF(U1038&lt;&gt;"",VLOOKUP(U1038,'Tipo Projeto'!$A$3:$B$35,2,0),0)</f>
        <v>0</v>
      </c>
      <c r="W1038" s="47"/>
      <c r="X1038" s="49"/>
      <c r="Y1038" s="50"/>
      <c r="Z1038" s="51"/>
      <c r="AA1038" s="52"/>
      <c r="AB1038" s="53" t="str">
        <f t="shared" si="227"/>
        <v/>
      </c>
      <c r="AC1038" s="48" t="str">
        <f t="shared" si="228"/>
        <v/>
      </c>
      <c r="AD1038" s="54" t="str">
        <f t="shared" si="229"/>
        <v/>
      </c>
      <c r="AE1038" s="55">
        <f t="shared" si="230"/>
        <v>0</v>
      </c>
      <c r="AF1038" s="55">
        <f t="shared" si="231"/>
        <v>0</v>
      </c>
      <c r="AG1038" s="58">
        <f t="shared" si="232"/>
        <v>0</v>
      </c>
      <c r="AH1038" s="47"/>
      <c r="AJ1038" s="47"/>
      <c r="AL1038" s="47"/>
      <c r="AM1038" s="47" t="str">
        <f t="shared" si="233"/>
        <v/>
      </c>
    </row>
    <row r="1039" spans="1:39" s="56" customFormat="1" ht="24.75" customHeight="1">
      <c r="A1039" s="44"/>
      <c r="B1039" s="45"/>
      <c r="C1039" s="46">
        <f>IF(B1039&lt;&gt;"",VLOOKUP(B1039,'Tipo Projeto'!$A$3:$B$35,2,0),0)</f>
        <v>0</v>
      </c>
      <c r="D1039" s="47"/>
      <c r="E1039" s="47"/>
      <c r="F1039" s="48"/>
      <c r="G1039" s="47"/>
      <c r="H1039" s="49"/>
      <c r="I1039" s="50"/>
      <c r="J1039" s="51"/>
      <c r="K1039" s="52"/>
      <c r="L1039" s="53" t="str">
        <f t="shared" si="221"/>
        <v/>
      </c>
      <c r="M1039" s="48" t="str">
        <f t="shared" si="222"/>
        <v/>
      </c>
      <c r="N1039" s="54" t="str">
        <f t="shared" si="223"/>
        <v/>
      </c>
      <c r="O1039" s="55">
        <f t="shared" si="224"/>
        <v>0</v>
      </c>
      <c r="P1039" s="55">
        <f t="shared" si="225"/>
        <v>0</v>
      </c>
      <c r="Q1039" s="54">
        <f t="shared" si="226"/>
        <v>0</v>
      </c>
      <c r="R1039" s="47"/>
      <c r="T1039" s="57"/>
      <c r="U1039" s="45"/>
      <c r="V1039" s="46">
        <f>IF(U1039&lt;&gt;"",VLOOKUP(U1039,'Tipo Projeto'!$A$3:$B$35,2,0),0)</f>
        <v>0</v>
      </c>
      <c r="W1039" s="47"/>
      <c r="X1039" s="49"/>
      <c r="Y1039" s="50"/>
      <c r="Z1039" s="51"/>
      <c r="AA1039" s="52"/>
      <c r="AB1039" s="53" t="str">
        <f t="shared" si="227"/>
        <v/>
      </c>
      <c r="AC1039" s="48" t="str">
        <f t="shared" si="228"/>
        <v/>
      </c>
      <c r="AD1039" s="54" t="str">
        <f t="shared" si="229"/>
        <v/>
      </c>
      <c r="AE1039" s="55">
        <f t="shared" si="230"/>
        <v>0</v>
      </c>
      <c r="AF1039" s="55">
        <f t="shared" si="231"/>
        <v>0</v>
      </c>
      <c r="AG1039" s="58">
        <f t="shared" si="232"/>
        <v>0</v>
      </c>
      <c r="AH1039" s="47"/>
      <c r="AJ1039" s="47"/>
      <c r="AL1039" s="47"/>
      <c r="AM1039" s="47" t="str">
        <f t="shared" si="233"/>
        <v/>
      </c>
    </row>
    <row r="1040" spans="1:39" s="56" customFormat="1" ht="24.75" customHeight="1">
      <c r="A1040" s="44"/>
      <c r="B1040" s="45"/>
      <c r="C1040" s="46">
        <f>IF(B1040&lt;&gt;"",VLOOKUP(B1040,'Tipo Projeto'!$A$3:$B$35,2,0),0)</f>
        <v>0</v>
      </c>
      <c r="D1040" s="47"/>
      <c r="E1040" s="47"/>
      <c r="F1040" s="48"/>
      <c r="G1040" s="47"/>
      <c r="H1040" s="49"/>
      <c r="I1040" s="50"/>
      <c r="J1040" s="51"/>
      <c r="K1040" s="52"/>
      <c r="L1040" s="53" t="str">
        <f t="shared" si="221"/>
        <v/>
      </c>
      <c r="M1040" s="48" t="str">
        <f t="shared" si="222"/>
        <v/>
      </c>
      <c r="N1040" s="54" t="str">
        <f t="shared" si="223"/>
        <v/>
      </c>
      <c r="O1040" s="55">
        <f t="shared" si="224"/>
        <v>0</v>
      </c>
      <c r="P1040" s="55">
        <f t="shared" si="225"/>
        <v>0</v>
      </c>
      <c r="Q1040" s="54">
        <f t="shared" si="226"/>
        <v>0</v>
      </c>
      <c r="R1040" s="47"/>
      <c r="T1040" s="57"/>
      <c r="U1040" s="45"/>
      <c r="V1040" s="46">
        <f>IF(U1040&lt;&gt;"",VLOOKUP(U1040,'Tipo Projeto'!$A$3:$B$35,2,0),0)</f>
        <v>0</v>
      </c>
      <c r="W1040" s="47"/>
      <c r="X1040" s="49"/>
      <c r="Y1040" s="50"/>
      <c r="Z1040" s="51"/>
      <c r="AA1040" s="52"/>
      <c r="AB1040" s="53" t="str">
        <f t="shared" si="227"/>
        <v/>
      </c>
      <c r="AC1040" s="48" t="str">
        <f t="shared" si="228"/>
        <v/>
      </c>
      <c r="AD1040" s="54" t="str">
        <f t="shared" si="229"/>
        <v/>
      </c>
      <c r="AE1040" s="55">
        <f t="shared" si="230"/>
        <v>0</v>
      </c>
      <c r="AF1040" s="55">
        <f t="shared" si="231"/>
        <v>0</v>
      </c>
      <c r="AG1040" s="58">
        <f t="shared" si="232"/>
        <v>0</v>
      </c>
      <c r="AH1040" s="47"/>
      <c r="AJ1040" s="47"/>
      <c r="AL1040" s="47"/>
      <c r="AM1040" s="47" t="str">
        <f t="shared" si="233"/>
        <v/>
      </c>
    </row>
    <row r="1041" spans="1:39" s="56" customFormat="1" ht="24.75" customHeight="1">
      <c r="A1041" s="44"/>
      <c r="B1041" s="45"/>
      <c r="C1041" s="46">
        <f>IF(B1041&lt;&gt;"",VLOOKUP(B1041,'Tipo Projeto'!$A$3:$B$35,2,0),0)</f>
        <v>0</v>
      </c>
      <c r="D1041" s="47"/>
      <c r="E1041" s="47"/>
      <c r="F1041" s="48"/>
      <c r="G1041" s="47"/>
      <c r="H1041" s="49"/>
      <c r="I1041" s="50"/>
      <c r="J1041" s="51"/>
      <c r="K1041" s="52"/>
      <c r="L1041" s="53" t="str">
        <f t="shared" si="221"/>
        <v/>
      </c>
      <c r="M1041" s="48" t="str">
        <f t="shared" si="222"/>
        <v/>
      </c>
      <c r="N1041" s="54" t="str">
        <f t="shared" si="223"/>
        <v/>
      </c>
      <c r="O1041" s="55">
        <f t="shared" si="224"/>
        <v>0</v>
      </c>
      <c r="P1041" s="55">
        <f t="shared" si="225"/>
        <v>0</v>
      </c>
      <c r="Q1041" s="54">
        <f t="shared" si="226"/>
        <v>0</v>
      </c>
      <c r="R1041" s="47"/>
      <c r="T1041" s="57"/>
      <c r="U1041" s="45"/>
      <c r="V1041" s="46">
        <f>IF(U1041&lt;&gt;"",VLOOKUP(U1041,'Tipo Projeto'!$A$3:$B$35,2,0),0)</f>
        <v>0</v>
      </c>
      <c r="W1041" s="47"/>
      <c r="X1041" s="49"/>
      <c r="Y1041" s="50"/>
      <c r="Z1041" s="51"/>
      <c r="AA1041" s="52"/>
      <c r="AB1041" s="53" t="str">
        <f t="shared" si="227"/>
        <v/>
      </c>
      <c r="AC1041" s="48" t="str">
        <f t="shared" si="228"/>
        <v/>
      </c>
      <c r="AD1041" s="54" t="str">
        <f t="shared" si="229"/>
        <v/>
      </c>
      <c r="AE1041" s="55">
        <f t="shared" si="230"/>
        <v>0</v>
      </c>
      <c r="AF1041" s="55">
        <f t="shared" si="231"/>
        <v>0</v>
      </c>
      <c r="AG1041" s="58">
        <f t="shared" si="232"/>
        <v>0</v>
      </c>
      <c r="AH1041" s="47"/>
      <c r="AJ1041" s="47"/>
      <c r="AL1041" s="47"/>
      <c r="AM1041" s="47" t="str">
        <f t="shared" si="233"/>
        <v/>
      </c>
    </row>
    <row r="1042" spans="1:39" s="56" customFormat="1" ht="24.75" customHeight="1">
      <c r="A1042" s="44"/>
      <c r="B1042" s="45"/>
      <c r="C1042" s="46">
        <f>IF(B1042&lt;&gt;"",VLOOKUP(B1042,'Tipo Projeto'!$A$3:$B$35,2,0),0)</f>
        <v>0</v>
      </c>
      <c r="D1042" s="47"/>
      <c r="E1042" s="47"/>
      <c r="F1042" s="48"/>
      <c r="G1042" s="47"/>
      <c r="H1042" s="49"/>
      <c r="I1042" s="50"/>
      <c r="J1042" s="51"/>
      <c r="K1042" s="52"/>
      <c r="L1042" s="53" t="str">
        <f t="shared" si="221"/>
        <v/>
      </c>
      <c r="M1042" s="48" t="str">
        <f t="shared" si="222"/>
        <v/>
      </c>
      <c r="N1042" s="54" t="str">
        <f t="shared" si="223"/>
        <v/>
      </c>
      <c r="O1042" s="55">
        <f t="shared" si="224"/>
        <v>0</v>
      </c>
      <c r="P1042" s="55">
        <f t="shared" si="225"/>
        <v>0</v>
      </c>
      <c r="Q1042" s="54">
        <f t="shared" si="226"/>
        <v>0</v>
      </c>
      <c r="R1042" s="47"/>
      <c r="T1042" s="57"/>
      <c r="U1042" s="45"/>
      <c r="V1042" s="46">
        <f>IF(U1042&lt;&gt;"",VLOOKUP(U1042,'Tipo Projeto'!$A$3:$B$35,2,0),0)</f>
        <v>0</v>
      </c>
      <c r="W1042" s="47"/>
      <c r="X1042" s="49"/>
      <c r="Y1042" s="50"/>
      <c r="Z1042" s="51"/>
      <c r="AA1042" s="52"/>
      <c r="AB1042" s="53" t="str">
        <f t="shared" si="227"/>
        <v/>
      </c>
      <c r="AC1042" s="48" t="str">
        <f t="shared" si="228"/>
        <v/>
      </c>
      <c r="AD1042" s="54" t="str">
        <f t="shared" si="229"/>
        <v/>
      </c>
      <c r="AE1042" s="55">
        <f t="shared" si="230"/>
        <v>0</v>
      </c>
      <c r="AF1042" s="55">
        <f t="shared" si="231"/>
        <v>0</v>
      </c>
      <c r="AG1042" s="58">
        <f t="shared" si="232"/>
        <v>0</v>
      </c>
      <c r="AH1042" s="47"/>
      <c r="AJ1042" s="47"/>
      <c r="AL1042" s="47"/>
      <c r="AM1042" s="47" t="str">
        <f t="shared" si="233"/>
        <v/>
      </c>
    </row>
    <row r="1043" spans="1:39" s="56" customFormat="1" ht="24.75" customHeight="1">
      <c r="A1043" s="44"/>
      <c r="B1043" s="45"/>
      <c r="C1043" s="46">
        <f>IF(B1043&lt;&gt;"",VLOOKUP(B1043,'Tipo Projeto'!$A$3:$B$35,2,0),0)</f>
        <v>0</v>
      </c>
      <c r="D1043" s="47"/>
      <c r="E1043" s="47"/>
      <c r="F1043" s="48"/>
      <c r="G1043" s="47"/>
      <c r="H1043" s="49"/>
      <c r="I1043" s="50"/>
      <c r="J1043" s="51"/>
      <c r="K1043" s="52"/>
      <c r="L1043" s="53" t="str">
        <f t="shared" si="221"/>
        <v/>
      </c>
      <c r="M1043" s="48" t="str">
        <f t="shared" si="222"/>
        <v/>
      </c>
      <c r="N1043" s="54" t="str">
        <f t="shared" si="223"/>
        <v/>
      </c>
      <c r="O1043" s="55">
        <f t="shared" si="224"/>
        <v>0</v>
      </c>
      <c r="P1043" s="55">
        <f t="shared" si="225"/>
        <v>0</v>
      </c>
      <c r="Q1043" s="54">
        <f t="shared" si="226"/>
        <v>0</v>
      </c>
      <c r="R1043" s="47"/>
      <c r="T1043" s="57"/>
      <c r="U1043" s="45"/>
      <c r="V1043" s="46">
        <f>IF(U1043&lt;&gt;"",VLOOKUP(U1043,'Tipo Projeto'!$A$3:$B$35,2,0),0)</f>
        <v>0</v>
      </c>
      <c r="W1043" s="47"/>
      <c r="X1043" s="49"/>
      <c r="Y1043" s="50"/>
      <c r="Z1043" s="51"/>
      <c r="AA1043" s="52"/>
      <c r="AB1043" s="53" t="str">
        <f t="shared" si="227"/>
        <v/>
      </c>
      <c r="AC1043" s="48" t="str">
        <f t="shared" si="228"/>
        <v/>
      </c>
      <c r="AD1043" s="54" t="str">
        <f t="shared" si="229"/>
        <v/>
      </c>
      <c r="AE1043" s="55">
        <f t="shared" si="230"/>
        <v>0</v>
      </c>
      <c r="AF1043" s="55">
        <f t="shared" si="231"/>
        <v>0</v>
      </c>
      <c r="AG1043" s="58">
        <f t="shared" si="232"/>
        <v>0</v>
      </c>
      <c r="AH1043" s="47"/>
      <c r="AJ1043" s="47"/>
      <c r="AL1043" s="47"/>
      <c r="AM1043" s="47" t="str">
        <f t="shared" si="233"/>
        <v/>
      </c>
    </row>
    <row r="1044" spans="1:39" s="56" customFormat="1" ht="24.75" customHeight="1">
      <c r="A1044" s="44"/>
      <c r="B1044" s="45"/>
      <c r="C1044" s="46">
        <f>IF(B1044&lt;&gt;"",VLOOKUP(B1044,'Tipo Projeto'!$A$3:$B$35,2,0),0)</f>
        <v>0</v>
      </c>
      <c r="D1044" s="47"/>
      <c r="E1044" s="47"/>
      <c r="F1044" s="48"/>
      <c r="G1044" s="47"/>
      <c r="H1044" s="49"/>
      <c r="I1044" s="50"/>
      <c r="J1044" s="51"/>
      <c r="K1044" s="52"/>
      <c r="L1044" s="53" t="str">
        <f t="shared" si="221"/>
        <v/>
      </c>
      <c r="M1044" s="48" t="str">
        <f t="shared" si="222"/>
        <v/>
      </c>
      <c r="N1044" s="54" t="str">
        <f t="shared" si="223"/>
        <v/>
      </c>
      <c r="O1044" s="55">
        <f t="shared" si="224"/>
        <v>0</v>
      </c>
      <c r="P1044" s="55">
        <f t="shared" si="225"/>
        <v>0</v>
      </c>
      <c r="Q1044" s="54">
        <f t="shared" si="226"/>
        <v>0</v>
      </c>
      <c r="R1044" s="47"/>
      <c r="T1044" s="57"/>
      <c r="U1044" s="45"/>
      <c r="V1044" s="46">
        <f>IF(U1044&lt;&gt;"",VLOOKUP(U1044,'Tipo Projeto'!$A$3:$B$35,2,0),0)</f>
        <v>0</v>
      </c>
      <c r="W1044" s="47"/>
      <c r="X1044" s="49"/>
      <c r="Y1044" s="50"/>
      <c r="Z1044" s="51"/>
      <c r="AA1044" s="52"/>
      <c r="AB1044" s="53" t="str">
        <f t="shared" si="227"/>
        <v/>
      </c>
      <c r="AC1044" s="48" t="str">
        <f t="shared" si="228"/>
        <v/>
      </c>
      <c r="AD1044" s="54" t="str">
        <f t="shared" si="229"/>
        <v/>
      </c>
      <c r="AE1044" s="55">
        <f t="shared" si="230"/>
        <v>0</v>
      </c>
      <c r="AF1044" s="55">
        <f t="shared" si="231"/>
        <v>0</v>
      </c>
      <c r="AG1044" s="58">
        <f t="shared" si="232"/>
        <v>0</v>
      </c>
      <c r="AH1044" s="47"/>
      <c r="AJ1044" s="47"/>
      <c r="AL1044" s="47"/>
      <c r="AM1044" s="47" t="str">
        <f t="shared" si="233"/>
        <v/>
      </c>
    </row>
    <row r="1045" spans="1:39" s="56" customFormat="1" ht="24.75" customHeight="1">
      <c r="A1045" s="44"/>
      <c r="B1045" s="45"/>
      <c r="C1045" s="46">
        <f>IF(B1045&lt;&gt;"",VLOOKUP(B1045,'Tipo Projeto'!$A$3:$B$35,2,0),0)</f>
        <v>0</v>
      </c>
      <c r="D1045" s="47"/>
      <c r="E1045" s="47"/>
      <c r="F1045" s="48"/>
      <c r="G1045" s="47"/>
      <c r="H1045" s="49"/>
      <c r="I1045" s="50"/>
      <c r="J1045" s="51"/>
      <c r="K1045" s="52"/>
      <c r="L1045" s="53" t="str">
        <f t="shared" si="221"/>
        <v/>
      </c>
      <c r="M1045" s="48" t="str">
        <f t="shared" si="222"/>
        <v/>
      </c>
      <c r="N1045" s="54" t="str">
        <f t="shared" si="223"/>
        <v/>
      </c>
      <c r="O1045" s="55">
        <f t="shared" si="224"/>
        <v>0</v>
      </c>
      <c r="P1045" s="55">
        <f t="shared" si="225"/>
        <v>0</v>
      </c>
      <c r="Q1045" s="54">
        <f t="shared" si="226"/>
        <v>0</v>
      </c>
      <c r="R1045" s="47"/>
      <c r="T1045" s="57"/>
      <c r="U1045" s="45"/>
      <c r="V1045" s="46">
        <f>IF(U1045&lt;&gt;"",VLOOKUP(U1045,'Tipo Projeto'!$A$3:$B$35,2,0),0)</f>
        <v>0</v>
      </c>
      <c r="W1045" s="47"/>
      <c r="X1045" s="49"/>
      <c r="Y1045" s="50"/>
      <c r="Z1045" s="51"/>
      <c r="AA1045" s="52"/>
      <c r="AB1045" s="53" t="str">
        <f t="shared" si="227"/>
        <v/>
      </c>
      <c r="AC1045" s="48" t="str">
        <f t="shared" si="228"/>
        <v/>
      </c>
      <c r="AD1045" s="54" t="str">
        <f t="shared" si="229"/>
        <v/>
      </c>
      <c r="AE1045" s="55">
        <f t="shared" si="230"/>
        <v>0</v>
      </c>
      <c r="AF1045" s="55">
        <f t="shared" si="231"/>
        <v>0</v>
      </c>
      <c r="AG1045" s="58">
        <f t="shared" si="232"/>
        <v>0</v>
      </c>
      <c r="AH1045" s="47"/>
      <c r="AJ1045" s="47"/>
      <c r="AL1045" s="47"/>
      <c r="AM1045" s="47" t="str">
        <f t="shared" si="233"/>
        <v/>
      </c>
    </row>
    <row r="1046" spans="1:39" s="56" customFormat="1" ht="24.75" customHeight="1">
      <c r="A1046" s="44"/>
      <c r="B1046" s="45"/>
      <c r="C1046" s="46">
        <f>IF(B1046&lt;&gt;"",VLOOKUP(B1046,'Tipo Projeto'!$A$3:$B$35,2,0),0)</f>
        <v>0</v>
      </c>
      <c r="D1046" s="47"/>
      <c r="E1046" s="47"/>
      <c r="F1046" s="48"/>
      <c r="G1046" s="47"/>
      <c r="H1046" s="49"/>
      <c r="I1046" s="50"/>
      <c r="J1046" s="51"/>
      <c r="K1046" s="52"/>
      <c r="L1046" s="53" t="str">
        <f t="shared" si="221"/>
        <v/>
      </c>
      <c r="M1046" s="48" t="str">
        <f t="shared" si="222"/>
        <v/>
      </c>
      <c r="N1046" s="54" t="str">
        <f t="shared" si="223"/>
        <v/>
      </c>
      <c r="O1046" s="55">
        <f t="shared" si="224"/>
        <v>0</v>
      </c>
      <c r="P1046" s="55">
        <f t="shared" si="225"/>
        <v>0</v>
      </c>
      <c r="Q1046" s="54">
        <f t="shared" si="226"/>
        <v>0</v>
      </c>
      <c r="R1046" s="47"/>
      <c r="T1046" s="57"/>
      <c r="U1046" s="45"/>
      <c r="V1046" s="46">
        <f>IF(U1046&lt;&gt;"",VLOOKUP(U1046,'Tipo Projeto'!$A$3:$B$35,2,0),0)</f>
        <v>0</v>
      </c>
      <c r="W1046" s="47"/>
      <c r="X1046" s="49"/>
      <c r="Y1046" s="50"/>
      <c r="Z1046" s="51"/>
      <c r="AA1046" s="52"/>
      <c r="AB1046" s="53" t="str">
        <f t="shared" si="227"/>
        <v/>
      </c>
      <c r="AC1046" s="48" t="str">
        <f t="shared" si="228"/>
        <v/>
      </c>
      <c r="AD1046" s="54" t="str">
        <f t="shared" si="229"/>
        <v/>
      </c>
      <c r="AE1046" s="55">
        <f t="shared" si="230"/>
        <v>0</v>
      </c>
      <c r="AF1046" s="55">
        <f t="shared" si="231"/>
        <v>0</v>
      </c>
      <c r="AG1046" s="58">
        <f t="shared" si="232"/>
        <v>0</v>
      </c>
      <c r="AH1046" s="47"/>
      <c r="AJ1046" s="47"/>
      <c r="AL1046" s="47"/>
      <c r="AM1046" s="47" t="str">
        <f t="shared" si="233"/>
        <v/>
      </c>
    </row>
    <row r="1047" spans="1:39" s="56" customFormat="1" ht="24.75" customHeight="1">
      <c r="A1047" s="44"/>
      <c r="B1047" s="45"/>
      <c r="C1047" s="46">
        <f>IF(B1047&lt;&gt;"",VLOOKUP(B1047,'Tipo Projeto'!$A$3:$B$35,2,0),0)</f>
        <v>0</v>
      </c>
      <c r="D1047" s="47"/>
      <c r="E1047" s="47"/>
      <c r="F1047" s="48"/>
      <c r="G1047" s="47"/>
      <c r="H1047" s="49"/>
      <c r="I1047" s="50"/>
      <c r="J1047" s="51"/>
      <c r="K1047" s="52"/>
      <c r="L1047" s="53" t="str">
        <f t="shared" si="221"/>
        <v/>
      </c>
      <c r="M1047" s="48" t="str">
        <f t="shared" si="222"/>
        <v/>
      </c>
      <c r="N1047" s="54" t="str">
        <f t="shared" si="223"/>
        <v/>
      </c>
      <c r="O1047" s="55">
        <f t="shared" si="224"/>
        <v>0</v>
      </c>
      <c r="P1047" s="55">
        <f t="shared" si="225"/>
        <v>0</v>
      </c>
      <c r="Q1047" s="54">
        <f t="shared" si="226"/>
        <v>0</v>
      </c>
      <c r="R1047" s="47"/>
      <c r="T1047" s="57"/>
      <c r="U1047" s="45"/>
      <c r="V1047" s="46">
        <f>IF(U1047&lt;&gt;"",VLOOKUP(U1047,'Tipo Projeto'!$A$3:$B$35,2,0),0)</f>
        <v>0</v>
      </c>
      <c r="W1047" s="47"/>
      <c r="X1047" s="49"/>
      <c r="Y1047" s="50"/>
      <c r="Z1047" s="51"/>
      <c r="AA1047" s="52"/>
      <c r="AB1047" s="53" t="str">
        <f t="shared" si="227"/>
        <v/>
      </c>
      <c r="AC1047" s="48" t="str">
        <f t="shared" si="228"/>
        <v/>
      </c>
      <c r="AD1047" s="54" t="str">
        <f t="shared" si="229"/>
        <v/>
      </c>
      <c r="AE1047" s="55">
        <f t="shared" si="230"/>
        <v>0</v>
      </c>
      <c r="AF1047" s="55">
        <f t="shared" si="231"/>
        <v>0</v>
      </c>
      <c r="AG1047" s="58">
        <f t="shared" si="232"/>
        <v>0</v>
      </c>
      <c r="AH1047" s="47"/>
      <c r="AJ1047" s="47"/>
      <c r="AL1047" s="47"/>
      <c r="AM1047" s="47" t="str">
        <f t="shared" si="233"/>
        <v/>
      </c>
    </row>
    <row r="1048" spans="1:39" s="56" customFormat="1" ht="24.75" customHeight="1">
      <c r="A1048" s="44"/>
      <c r="B1048" s="45"/>
      <c r="C1048" s="46">
        <f>IF(B1048&lt;&gt;"",VLOOKUP(B1048,'Tipo Projeto'!$A$3:$B$35,2,0),0)</f>
        <v>0</v>
      </c>
      <c r="D1048" s="47"/>
      <c r="E1048" s="47"/>
      <c r="F1048" s="48"/>
      <c r="G1048" s="47"/>
      <c r="H1048" s="49"/>
      <c r="I1048" s="50"/>
      <c r="J1048" s="51"/>
      <c r="K1048" s="52"/>
      <c r="L1048" s="53" t="str">
        <f t="shared" si="221"/>
        <v/>
      </c>
      <c r="M1048" s="48" t="str">
        <f t="shared" si="222"/>
        <v/>
      </c>
      <c r="N1048" s="54" t="str">
        <f t="shared" si="223"/>
        <v/>
      </c>
      <c r="O1048" s="55">
        <f t="shared" si="224"/>
        <v>0</v>
      </c>
      <c r="P1048" s="55">
        <f t="shared" si="225"/>
        <v>0</v>
      </c>
      <c r="Q1048" s="54">
        <f t="shared" si="226"/>
        <v>0</v>
      </c>
      <c r="R1048" s="47"/>
      <c r="T1048" s="57"/>
      <c r="U1048" s="45"/>
      <c r="V1048" s="46">
        <f>IF(U1048&lt;&gt;"",VLOOKUP(U1048,'Tipo Projeto'!$A$3:$B$35,2,0),0)</f>
        <v>0</v>
      </c>
      <c r="W1048" s="47"/>
      <c r="X1048" s="49"/>
      <c r="Y1048" s="50"/>
      <c r="Z1048" s="51"/>
      <c r="AA1048" s="52"/>
      <c r="AB1048" s="53" t="str">
        <f t="shared" si="227"/>
        <v/>
      </c>
      <c r="AC1048" s="48" t="str">
        <f t="shared" si="228"/>
        <v/>
      </c>
      <c r="AD1048" s="54" t="str">
        <f t="shared" si="229"/>
        <v/>
      </c>
      <c r="AE1048" s="55">
        <f t="shared" si="230"/>
        <v>0</v>
      </c>
      <c r="AF1048" s="55">
        <f t="shared" si="231"/>
        <v>0</v>
      </c>
      <c r="AG1048" s="58">
        <f t="shared" si="232"/>
        <v>0</v>
      </c>
      <c r="AH1048" s="47"/>
      <c r="AJ1048" s="47"/>
      <c r="AL1048" s="47"/>
      <c r="AM1048" s="47" t="str">
        <f t="shared" si="233"/>
        <v/>
      </c>
    </row>
    <row r="1049" spans="1:39" s="56" customFormat="1" ht="24.75" customHeight="1">
      <c r="A1049" s="44"/>
      <c r="B1049" s="45"/>
      <c r="C1049" s="46">
        <f>IF(B1049&lt;&gt;"",VLOOKUP(B1049,'Tipo Projeto'!$A$3:$B$35,2,0),0)</f>
        <v>0</v>
      </c>
      <c r="D1049" s="47"/>
      <c r="E1049" s="47"/>
      <c r="F1049" s="48"/>
      <c r="G1049" s="47"/>
      <c r="H1049" s="49"/>
      <c r="I1049" s="50"/>
      <c r="J1049" s="51"/>
      <c r="K1049" s="52"/>
      <c r="L1049" s="53" t="str">
        <f t="shared" si="221"/>
        <v/>
      </c>
      <c r="M1049" s="48" t="str">
        <f t="shared" si="222"/>
        <v/>
      </c>
      <c r="N1049" s="54" t="str">
        <f t="shared" si="223"/>
        <v/>
      </c>
      <c r="O1049" s="55">
        <f t="shared" si="224"/>
        <v>0</v>
      </c>
      <c r="P1049" s="55">
        <f t="shared" si="225"/>
        <v>0</v>
      </c>
      <c r="Q1049" s="54">
        <f t="shared" si="226"/>
        <v>0</v>
      </c>
      <c r="R1049" s="47"/>
      <c r="T1049" s="57"/>
      <c r="U1049" s="45"/>
      <c r="V1049" s="46">
        <f>IF(U1049&lt;&gt;"",VLOOKUP(U1049,'Tipo Projeto'!$A$3:$B$35,2,0),0)</f>
        <v>0</v>
      </c>
      <c r="W1049" s="47"/>
      <c r="X1049" s="49"/>
      <c r="Y1049" s="50"/>
      <c r="Z1049" s="51"/>
      <c r="AA1049" s="52"/>
      <c r="AB1049" s="53" t="str">
        <f t="shared" si="227"/>
        <v/>
      </c>
      <c r="AC1049" s="48" t="str">
        <f t="shared" si="228"/>
        <v/>
      </c>
      <c r="AD1049" s="54" t="str">
        <f t="shared" si="229"/>
        <v/>
      </c>
      <c r="AE1049" s="55">
        <f t="shared" si="230"/>
        <v>0</v>
      </c>
      <c r="AF1049" s="55">
        <f t="shared" si="231"/>
        <v>0</v>
      </c>
      <c r="AG1049" s="58">
        <f t="shared" si="232"/>
        <v>0</v>
      </c>
      <c r="AH1049" s="47"/>
      <c r="AJ1049" s="47"/>
      <c r="AL1049" s="47"/>
      <c r="AM1049" s="47" t="str">
        <f t="shared" si="233"/>
        <v/>
      </c>
    </row>
    <row r="1050" spans="1:39" s="56" customFormat="1" ht="24.75" customHeight="1">
      <c r="A1050" s="44"/>
      <c r="B1050" s="45"/>
      <c r="C1050" s="46">
        <f>IF(B1050&lt;&gt;"",VLOOKUP(B1050,'Tipo Projeto'!$A$3:$B$35,2,0),0)</f>
        <v>0</v>
      </c>
      <c r="D1050" s="47"/>
      <c r="E1050" s="47"/>
      <c r="F1050" s="48"/>
      <c r="G1050" s="47"/>
      <c r="H1050" s="49"/>
      <c r="I1050" s="50"/>
      <c r="J1050" s="51"/>
      <c r="K1050" s="52"/>
      <c r="L1050" s="53" t="str">
        <f t="shared" si="221"/>
        <v/>
      </c>
      <c r="M1050" s="48" t="str">
        <f t="shared" si="222"/>
        <v/>
      </c>
      <c r="N1050" s="54" t="str">
        <f t="shared" si="223"/>
        <v/>
      </c>
      <c r="O1050" s="55">
        <f t="shared" si="224"/>
        <v>0</v>
      </c>
      <c r="P1050" s="55">
        <f t="shared" si="225"/>
        <v>0</v>
      </c>
      <c r="Q1050" s="54">
        <f t="shared" si="226"/>
        <v>0</v>
      </c>
      <c r="R1050" s="47"/>
      <c r="T1050" s="57"/>
      <c r="U1050" s="45"/>
      <c r="V1050" s="46">
        <f>IF(U1050&lt;&gt;"",VLOOKUP(U1050,'Tipo Projeto'!$A$3:$B$35,2,0),0)</f>
        <v>0</v>
      </c>
      <c r="W1050" s="47"/>
      <c r="X1050" s="49"/>
      <c r="Y1050" s="50"/>
      <c r="Z1050" s="51"/>
      <c r="AA1050" s="52"/>
      <c r="AB1050" s="53" t="str">
        <f t="shared" si="227"/>
        <v/>
      </c>
      <c r="AC1050" s="48" t="str">
        <f t="shared" si="228"/>
        <v/>
      </c>
      <c r="AD1050" s="54" t="str">
        <f t="shared" si="229"/>
        <v/>
      </c>
      <c r="AE1050" s="55">
        <f t="shared" si="230"/>
        <v>0</v>
      </c>
      <c r="AF1050" s="55">
        <f t="shared" si="231"/>
        <v>0</v>
      </c>
      <c r="AG1050" s="58">
        <f t="shared" si="232"/>
        <v>0</v>
      </c>
      <c r="AH1050" s="47"/>
      <c r="AJ1050" s="47"/>
      <c r="AL1050" s="47"/>
      <c r="AM1050" s="47" t="str">
        <f t="shared" si="233"/>
        <v/>
      </c>
    </row>
    <row r="1051" spans="1:39" s="56" customFormat="1" ht="24.75" customHeight="1">
      <c r="A1051" s="44"/>
      <c r="B1051" s="45"/>
      <c r="C1051" s="46">
        <f>IF(B1051&lt;&gt;"",VLOOKUP(B1051,'Tipo Projeto'!$A$3:$B$35,2,0),0)</f>
        <v>0</v>
      </c>
      <c r="D1051" s="47"/>
      <c r="E1051" s="47"/>
      <c r="F1051" s="48"/>
      <c r="G1051" s="47"/>
      <c r="H1051" s="49"/>
      <c r="I1051" s="50"/>
      <c r="J1051" s="51"/>
      <c r="K1051" s="52"/>
      <c r="L1051" s="53" t="str">
        <f t="shared" si="221"/>
        <v/>
      </c>
      <c r="M1051" s="48" t="str">
        <f t="shared" si="222"/>
        <v/>
      </c>
      <c r="N1051" s="54" t="str">
        <f t="shared" si="223"/>
        <v/>
      </c>
      <c r="O1051" s="55">
        <f t="shared" si="224"/>
        <v>0</v>
      </c>
      <c r="P1051" s="55">
        <f t="shared" si="225"/>
        <v>0</v>
      </c>
      <c r="Q1051" s="54">
        <f t="shared" si="226"/>
        <v>0</v>
      </c>
      <c r="R1051" s="47"/>
      <c r="T1051" s="57"/>
      <c r="U1051" s="45"/>
      <c r="V1051" s="46">
        <f>IF(U1051&lt;&gt;"",VLOOKUP(U1051,'Tipo Projeto'!$A$3:$B$35,2,0),0)</f>
        <v>0</v>
      </c>
      <c r="W1051" s="47"/>
      <c r="X1051" s="49"/>
      <c r="Y1051" s="50"/>
      <c r="Z1051" s="51"/>
      <c r="AA1051" s="52"/>
      <c r="AB1051" s="53" t="str">
        <f t="shared" si="227"/>
        <v/>
      </c>
      <c r="AC1051" s="48" t="str">
        <f t="shared" si="228"/>
        <v/>
      </c>
      <c r="AD1051" s="54" t="str">
        <f t="shared" si="229"/>
        <v/>
      </c>
      <c r="AE1051" s="55">
        <f t="shared" si="230"/>
        <v>0</v>
      </c>
      <c r="AF1051" s="55">
        <f t="shared" si="231"/>
        <v>0</v>
      </c>
      <c r="AG1051" s="58">
        <f t="shared" si="232"/>
        <v>0</v>
      </c>
      <c r="AH1051" s="47"/>
      <c r="AJ1051" s="47"/>
      <c r="AL1051" s="47"/>
      <c r="AM1051" s="47" t="str">
        <f t="shared" si="233"/>
        <v/>
      </c>
    </row>
    <row r="1052" spans="1:39" s="56" customFormat="1" ht="24.75" customHeight="1">
      <c r="A1052" s="44"/>
      <c r="B1052" s="45"/>
      <c r="C1052" s="46">
        <f>IF(B1052&lt;&gt;"",VLOOKUP(B1052,'Tipo Projeto'!$A$3:$B$35,2,0),0)</f>
        <v>0</v>
      </c>
      <c r="D1052" s="47"/>
      <c r="E1052" s="47"/>
      <c r="F1052" s="48"/>
      <c r="G1052" s="47"/>
      <c r="H1052" s="49"/>
      <c r="I1052" s="50"/>
      <c r="J1052" s="51"/>
      <c r="K1052" s="52"/>
      <c r="L1052" s="53" t="str">
        <f t="shared" si="221"/>
        <v/>
      </c>
      <c r="M1052" s="48" t="str">
        <f t="shared" si="222"/>
        <v/>
      </c>
      <c r="N1052" s="54" t="str">
        <f t="shared" si="223"/>
        <v/>
      </c>
      <c r="O1052" s="55">
        <f t="shared" si="224"/>
        <v>0</v>
      </c>
      <c r="P1052" s="55">
        <f t="shared" si="225"/>
        <v>0</v>
      </c>
      <c r="Q1052" s="54">
        <f t="shared" si="226"/>
        <v>0</v>
      </c>
      <c r="R1052" s="47"/>
      <c r="T1052" s="57"/>
      <c r="U1052" s="45"/>
      <c r="V1052" s="46">
        <f>IF(U1052&lt;&gt;"",VLOOKUP(U1052,'Tipo Projeto'!$A$3:$B$35,2,0),0)</f>
        <v>0</v>
      </c>
      <c r="W1052" s="47"/>
      <c r="X1052" s="49"/>
      <c r="Y1052" s="50"/>
      <c r="Z1052" s="51"/>
      <c r="AA1052" s="52"/>
      <c r="AB1052" s="53" t="str">
        <f t="shared" si="227"/>
        <v/>
      </c>
      <c r="AC1052" s="48" t="str">
        <f t="shared" si="228"/>
        <v/>
      </c>
      <c r="AD1052" s="54" t="str">
        <f t="shared" si="229"/>
        <v/>
      </c>
      <c r="AE1052" s="55">
        <f t="shared" si="230"/>
        <v>0</v>
      </c>
      <c r="AF1052" s="55">
        <f t="shared" si="231"/>
        <v>0</v>
      </c>
      <c r="AG1052" s="58">
        <f t="shared" si="232"/>
        <v>0</v>
      </c>
      <c r="AH1052" s="47"/>
      <c r="AJ1052" s="47"/>
      <c r="AL1052" s="47"/>
      <c r="AM1052" s="47" t="str">
        <f t="shared" si="233"/>
        <v/>
      </c>
    </row>
    <row r="1053" spans="1:39" s="56" customFormat="1" ht="24.75" customHeight="1">
      <c r="A1053" s="44"/>
      <c r="B1053" s="45"/>
      <c r="C1053" s="46">
        <f>IF(B1053&lt;&gt;"",VLOOKUP(B1053,'Tipo Projeto'!$A$3:$B$35,2,0),0)</f>
        <v>0</v>
      </c>
      <c r="D1053" s="47"/>
      <c r="E1053" s="47"/>
      <c r="F1053" s="48"/>
      <c r="G1053" s="47"/>
      <c r="H1053" s="49"/>
      <c r="I1053" s="50"/>
      <c r="J1053" s="51"/>
      <c r="K1053" s="52"/>
      <c r="L1053" s="53" t="str">
        <f t="shared" si="221"/>
        <v/>
      </c>
      <c r="M1053" s="48" t="str">
        <f t="shared" si="222"/>
        <v/>
      </c>
      <c r="N1053" s="54" t="str">
        <f t="shared" si="223"/>
        <v/>
      </c>
      <c r="O1053" s="55">
        <f t="shared" si="224"/>
        <v>0</v>
      </c>
      <c r="P1053" s="55">
        <f t="shared" si="225"/>
        <v>0</v>
      </c>
      <c r="Q1053" s="54">
        <f t="shared" si="226"/>
        <v>0</v>
      </c>
      <c r="R1053" s="47"/>
      <c r="T1053" s="57"/>
      <c r="U1053" s="45"/>
      <c r="V1053" s="46">
        <f>IF(U1053&lt;&gt;"",VLOOKUP(U1053,'Tipo Projeto'!$A$3:$B$35,2,0),0)</f>
        <v>0</v>
      </c>
      <c r="W1053" s="47"/>
      <c r="X1053" s="49"/>
      <c r="Y1053" s="50"/>
      <c r="Z1053" s="51"/>
      <c r="AA1053" s="52"/>
      <c r="AB1053" s="53" t="str">
        <f t="shared" si="227"/>
        <v/>
      </c>
      <c r="AC1053" s="48" t="str">
        <f t="shared" si="228"/>
        <v/>
      </c>
      <c r="AD1053" s="54" t="str">
        <f t="shared" si="229"/>
        <v/>
      </c>
      <c r="AE1053" s="55">
        <f t="shared" si="230"/>
        <v>0</v>
      </c>
      <c r="AF1053" s="55">
        <f t="shared" si="231"/>
        <v>0</v>
      </c>
      <c r="AG1053" s="58">
        <f t="shared" si="232"/>
        <v>0</v>
      </c>
      <c r="AH1053" s="47"/>
      <c r="AJ1053" s="47"/>
      <c r="AL1053" s="47"/>
      <c r="AM1053" s="47" t="str">
        <f t="shared" si="233"/>
        <v/>
      </c>
    </row>
    <row r="1054" spans="1:39" s="56" customFormat="1" ht="24.75" customHeight="1">
      <c r="A1054" s="44"/>
      <c r="B1054" s="45"/>
      <c r="C1054" s="46">
        <f>IF(B1054&lt;&gt;"",VLOOKUP(B1054,'Tipo Projeto'!$A$3:$B$35,2,0),0)</f>
        <v>0</v>
      </c>
      <c r="D1054" s="47"/>
      <c r="E1054" s="47"/>
      <c r="F1054" s="48"/>
      <c r="G1054" s="47"/>
      <c r="H1054" s="49"/>
      <c r="I1054" s="50"/>
      <c r="J1054" s="51"/>
      <c r="K1054" s="52"/>
      <c r="L1054" s="53" t="str">
        <f t="shared" si="221"/>
        <v/>
      </c>
      <c r="M1054" s="48" t="str">
        <f t="shared" si="222"/>
        <v/>
      </c>
      <c r="N1054" s="54" t="str">
        <f t="shared" si="223"/>
        <v/>
      </c>
      <c r="O1054" s="55">
        <f t="shared" si="224"/>
        <v>0</v>
      </c>
      <c r="P1054" s="55">
        <f t="shared" si="225"/>
        <v>0</v>
      </c>
      <c r="Q1054" s="54">
        <f t="shared" si="226"/>
        <v>0</v>
      </c>
      <c r="R1054" s="47"/>
      <c r="T1054" s="57"/>
      <c r="U1054" s="45"/>
      <c r="V1054" s="46">
        <f>IF(U1054&lt;&gt;"",VLOOKUP(U1054,'Tipo Projeto'!$A$3:$B$35,2,0),0)</f>
        <v>0</v>
      </c>
      <c r="W1054" s="47"/>
      <c r="X1054" s="49"/>
      <c r="Y1054" s="50"/>
      <c r="Z1054" s="51"/>
      <c r="AA1054" s="52"/>
      <c r="AB1054" s="53" t="str">
        <f t="shared" si="227"/>
        <v/>
      </c>
      <c r="AC1054" s="48" t="str">
        <f t="shared" si="228"/>
        <v/>
      </c>
      <c r="AD1054" s="54" t="str">
        <f t="shared" si="229"/>
        <v/>
      </c>
      <c r="AE1054" s="55">
        <f t="shared" si="230"/>
        <v>0</v>
      </c>
      <c r="AF1054" s="55">
        <f t="shared" si="231"/>
        <v>0</v>
      </c>
      <c r="AG1054" s="58">
        <f t="shared" si="232"/>
        <v>0</v>
      </c>
      <c r="AH1054" s="47"/>
      <c r="AJ1054" s="47"/>
      <c r="AL1054" s="47"/>
      <c r="AM1054" s="47" t="str">
        <f t="shared" si="233"/>
        <v/>
      </c>
    </row>
    <row r="1055" spans="1:39" s="56" customFormat="1" ht="24.75" customHeight="1">
      <c r="A1055" s="44"/>
      <c r="B1055" s="45"/>
      <c r="C1055" s="46">
        <f>IF(B1055&lt;&gt;"",VLOOKUP(B1055,'Tipo Projeto'!$A$3:$B$35,2,0),0)</f>
        <v>0</v>
      </c>
      <c r="D1055" s="47"/>
      <c r="E1055" s="47"/>
      <c r="F1055" s="48"/>
      <c r="G1055" s="47"/>
      <c r="H1055" s="49"/>
      <c r="I1055" s="50"/>
      <c r="J1055" s="51"/>
      <c r="K1055" s="52"/>
      <c r="L1055" s="53" t="str">
        <f t="shared" si="221"/>
        <v/>
      </c>
      <c r="M1055" s="48" t="str">
        <f t="shared" si="222"/>
        <v/>
      </c>
      <c r="N1055" s="54" t="str">
        <f t="shared" si="223"/>
        <v/>
      </c>
      <c r="O1055" s="55">
        <f t="shared" si="224"/>
        <v>0</v>
      </c>
      <c r="P1055" s="55">
        <f t="shared" si="225"/>
        <v>0</v>
      </c>
      <c r="Q1055" s="54">
        <f t="shared" si="226"/>
        <v>0</v>
      </c>
      <c r="R1055" s="47"/>
      <c r="T1055" s="57"/>
      <c r="U1055" s="45"/>
      <c r="V1055" s="46">
        <f>IF(U1055&lt;&gt;"",VLOOKUP(U1055,'Tipo Projeto'!$A$3:$B$35,2,0),0)</f>
        <v>0</v>
      </c>
      <c r="W1055" s="47"/>
      <c r="X1055" s="49"/>
      <c r="Y1055" s="50"/>
      <c r="Z1055" s="51"/>
      <c r="AA1055" s="52"/>
      <c r="AB1055" s="53" t="str">
        <f t="shared" si="227"/>
        <v/>
      </c>
      <c r="AC1055" s="48" t="str">
        <f t="shared" si="228"/>
        <v/>
      </c>
      <c r="AD1055" s="54" t="str">
        <f t="shared" si="229"/>
        <v/>
      </c>
      <c r="AE1055" s="55">
        <f t="shared" si="230"/>
        <v>0</v>
      </c>
      <c r="AF1055" s="55">
        <f t="shared" si="231"/>
        <v>0</v>
      </c>
      <c r="AG1055" s="58">
        <f t="shared" si="232"/>
        <v>0</v>
      </c>
      <c r="AH1055" s="47"/>
      <c r="AJ1055" s="47"/>
      <c r="AL1055" s="47"/>
      <c r="AM1055" s="47" t="str">
        <f t="shared" si="233"/>
        <v/>
      </c>
    </row>
    <row r="1056" spans="1:39" s="56" customFormat="1" ht="24.75" customHeight="1">
      <c r="A1056" s="44"/>
      <c r="B1056" s="45"/>
      <c r="C1056" s="46">
        <f>IF(B1056&lt;&gt;"",VLOOKUP(B1056,'Tipo Projeto'!$A$3:$B$35,2,0),0)</f>
        <v>0</v>
      </c>
      <c r="D1056" s="47"/>
      <c r="E1056" s="47"/>
      <c r="F1056" s="48"/>
      <c r="G1056" s="47"/>
      <c r="H1056" s="49"/>
      <c r="I1056" s="50"/>
      <c r="J1056" s="51"/>
      <c r="K1056" s="52"/>
      <c r="L1056" s="53" t="str">
        <f t="shared" si="221"/>
        <v/>
      </c>
      <c r="M1056" s="48" t="str">
        <f t="shared" si="222"/>
        <v/>
      </c>
      <c r="N1056" s="54" t="str">
        <f t="shared" si="223"/>
        <v/>
      </c>
      <c r="O1056" s="55">
        <f t="shared" si="224"/>
        <v>0</v>
      </c>
      <c r="P1056" s="55">
        <f t="shared" si="225"/>
        <v>0</v>
      </c>
      <c r="Q1056" s="54">
        <f t="shared" si="226"/>
        <v>0</v>
      </c>
      <c r="R1056" s="47"/>
      <c r="T1056" s="57"/>
      <c r="U1056" s="45"/>
      <c r="V1056" s="46">
        <f>IF(U1056&lt;&gt;"",VLOOKUP(U1056,'Tipo Projeto'!$A$3:$B$35,2,0),0)</f>
        <v>0</v>
      </c>
      <c r="W1056" s="47"/>
      <c r="X1056" s="49"/>
      <c r="Y1056" s="50"/>
      <c r="Z1056" s="51"/>
      <c r="AA1056" s="52"/>
      <c r="AB1056" s="53" t="str">
        <f t="shared" si="227"/>
        <v/>
      </c>
      <c r="AC1056" s="48" t="str">
        <f t="shared" si="228"/>
        <v/>
      </c>
      <c r="AD1056" s="54" t="str">
        <f t="shared" si="229"/>
        <v/>
      </c>
      <c r="AE1056" s="55">
        <f t="shared" si="230"/>
        <v>0</v>
      </c>
      <c r="AF1056" s="55">
        <f t="shared" si="231"/>
        <v>0</v>
      </c>
      <c r="AG1056" s="58">
        <f t="shared" si="232"/>
        <v>0</v>
      </c>
      <c r="AH1056" s="47"/>
      <c r="AJ1056" s="47"/>
      <c r="AL1056" s="47"/>
      <c r="AM1056" s="47" t="str">
        <f t="shared" si="233"/>
        <v/>
      </c>
    </row>
    <row r="1057" spans="1:39" s="56" customFormat="1" ht="24.75" customHeight="1">
      <c r="A1057" s="44"/>
      <c r="B1057" s="45"/>
      <c r="C1057" s="46">
        <f>IF(B1057&lt;&gt;"",VLOOKUP(B1057,'Tipo Projeto'!$A$3:$B$35,2,0),0)</f>
        <v>0</v>
      </c>
      <c r="D1057" s="47"/>
      <c r="E1057" s="47"/>
      <c r="F1057" s="48"/>
      <c r="G1057" s="47"/>
      <c r="H1057" s="49"/>
      <c r="I1057" s="50"/>
      <c r="J1057" s="51"/>
      <c r="K1057" s="52"/>
      <c r="L1057" s="53" t="str">
        <f t="shared" si="221"/>
        <v/>
      </c>
      <c r="M1057" s="48" t="str">
        <f t="shared" si="222"/>
        <v/>
      </c>
      <c r="N1057" s="54" t="str">
        <f t="shared" si="223"/>
        <v/>
      </c>
      <c r="O1057" s="55">
        <f t="shared" si="224"/>
        <v>0</v>
      </c>
      <c r="P1057" s="55">
        <f t="shared" si="225"/>
        <v>0</v>
      </c>
      <c r="Q1057" s="54">
        <f t="shared" si="226"/>
        <v>0</v>
      </c>
      <c r="R1057" s="47"/>
      <c r="T1057" s="57"/>
      <c r="U1057" s="45"/>
      <c r="V1057" s="46">
        <f>IF(U1057&lt;&gt;"",VLOOKUP(U1057,'Tipo Projeto'!$A$3:$B$35,2,0),0)</f>
        <v>0</v>
      </c>
      <c r="W1057" s="47"/>
      <c r="X1057" s="49"/>
      <c r="Y1057" s="50"/>
      <c r="Z1057" s="51"/>
      <c r="AA1057" s="52"/>
      <c r="AB1057" s="53" t="str">
        <f t="shared" si="227"/>
        <v/>
      </c>
      <c r="AC1057" s="48" t="str">
        <f t="shared" si="228"/>
        <v/>
      </c>
      <c r="AD1057" s="54" t="str">
        <f t="shared" si="229"/>
        <v/>
      </c>
      <c r="AE1057" s="55">
        <f t="shared" si="230"/>
        <v>0</v>
      </c>
      <c r="AF1057" s="55">
        <f t="shared" si="231"/>
        <v>0</v>
      </c>
      <c r="AG1057" s="58">
        <f t="shared" si="232"/>
        <v>0</v>
      </c>
      <c r="AH1057" s="47"/>
      <c r="AJ1057" s="47"/>
      <c r="AL1057" s="47"/>
      <c r="AM1057" s="47" t="str">
        <f t="shared" si="233"/>
        <v/>
      </c>
    </row>
    <row r="1058" spans="1:39" s="56" customFormat="1" ht="24.75" customHeight="1">
      <c r="A1058" s="44"/>
      <c r="B1058" s="45"/>
      <c r="C1058" s="46">
        <f>IF(B1058&lt;&gt;"",VLOOKUP(B1058,'Tipo Projeto'!$A$3:$B$35,2,0),0)</f>
        <v>0</v>
      </c>
      <c r="D1058" s="47"/>
      <c r="E1058" s="47"/>
      <c r="F1058" s="48"/>
      <c r="G1058" s="47"/>
      <c r="H1058" s="49"/>
      <c r="I1058" s="50"/>
      <c r="J1058" s="51"/>
      <c r="K1058" s="52"/>
      <c r="L1058" s="53" t="str">
        <f t="shared" si="221"/>
        <v/>
      </c>
      <c r="M1058" s="48" t="str">
        <f t="shared" si="222"/>
        <v/>
      </c>
      <c r="N1058" s="54" t="str">
        <f t="shared" si="223"/>
        <v/>
      </c>
      <c r="O1058" s="55">
        <f t="shared" si="224"/>
        <v>0</v>
      </c>
      <c r="P1058" s="55">
        <f t="shared" si="225"/>
        <v>0</v>
      </c>
      <c r="Q1058" s="54">
        <f t="shared" si="226"/>
        <v>0</v>
      </c>
      <c r="R1058" s="47"/>
      <c r="T1058" s="57"/>
      <c r="U1058" s="45"/>
      <c r="V1058" s="46">
        <f>IF(U1058&lt;&gt;"",VLOOKUP(U1058,'Tipo Projeto'!$A$3:$B$35,2,0),0)</f>
        <v>0</v>
      </c>
      <c r="W1058" s="47"/>
      <c r="X1058" s="49"/>
      <c r="Y1058" s="50"/>
      <c r="Z1058" s="51"/>
      <c r="AA1058" s="52"/>
      <c r="AB1058" s="53" t="str">
        <f t="shared" si="227"/>
        <v/>
      </c>
      <c r="AC1058" s="48" t="str">
        <f t="shared" si="228"/>
        <v/>
      </c>
      <c r="AD1058" s="54" t="str">
        <f t="shared" si="229"/>
        <v/>
      </c>
      <c r="AE1058" s="55">
        <f t="shared" si="230"/>
        <v>0</v>
      </c>
      <c r="AF1058" s="55">
        <f t="shared" si="231"/>
        <v>0</v>
      </c>
      <c r="AG1058" s="58">
        <f t="shared" si="232"/>
        <v>0</v>
      </c>
      <c r="AH1058" s="47"/>
      <c r="AJ1058" s="47"/>
      <c r="AL1058" s="47"/>
      <c r="AM1058" s="47" t="str">
        <f t="shared" si="233"/>
        <v/>
      </c>
    </row>
    <row r="1059" spans="1:39" s="56" customFormat="1" ht="24.75" customHeight="1">
      <c r="A1059" s="44"/>
      <c r="B1059" s="45"/>
      <c r="C1059" s="46">
        <f>IF(B1059&lt;&gt;"",VLOOKUP(B1059,'Tipo Projeto'!$A$3:$B$35,2,0),0)</f>
        <v>0</v>
      </c>
      <c r="D1059" s="47"/>
      <c r="E1059" s="47"/>
      <c r="F1059" s="48"/>
      <c r="G1059" s="47"/>
      <c r="H1059" s="49"/>
      <c r="I1059" s="50"/>
      <c r="J1059" s="51"/>
      <c r="K1059" s="52"/>
      <c r="L1059" s="53" t="str">
        <f t="shared" si="221"/>
        <v/>
      </c>
      <c r="M1059" s="48" t="str">
        <f t="shared" si="222"/>
        <v/>
      </c>
      <c r="N1059" s="54" t="str">
        <f t="shared" si="223"/>
        <v/>
      </c>
      <c r="O1059" s="55">
        <f t="shared" si="224"/>
        <v>0</v>
      </c>
      <c r="P1059" s="55">
        <f t="shared" si="225"/>
        <v>0</v>
      </c>
      <c r="Q1059" s="54">
        <f t="shared" si="226"/>
        <v>0</v>
      </c>
      <c r="R1059" s="47"/>
      <c r="T1059" s="57"/>
      <c r="U1059" s="45"/>
      <c r="V1059" s="46">
        <f>IF(U1059&lt;&gt;"",VLOOKUP(U1059,'Tipo Projeto'!$A$3:$B$35,2,0),0)</f>
        <v>0</v>
      </c>
      <c r="W1059" s="47"/>
      <c r="X1059" s="49"/>
      <c r="Y1059" s="50"/>
      <c r="Z1059" s="51"/>
      <c r="AA1059" s="52"/>
      <c r="AB1059" s="53" t="str">
        <f t="shared" si="227"/>
        <v/>
      </c>
      <c r="AC1059" s="48" t="str">
        <f t="shared" si="228"/>
        <v/>
      </c>
      <c r="AD1059" s="54" t="str">
        <f t="shared" si="229"/>
        <v/>
      </c>
      <c r="AE1059" s="55">
        <f t="shared" si="230"/>
        <v>0</v>
      </c>
      <c r="AF1059" s="55">
        <f t="shared" si="231"/>
        <v>0</v>
      </c>
      <c r="AG1059" s="58">
        <f t="shared" si="232"/>
        <v>0</v>
      </c>
      <c r="AH1059" s="47"/>
      <c r="AJ1059" s="47"/>
      <c r="AL1059" s="47"/>
      <c r="AM1059" s="47" t="str">
        <f t="shared" si="233"/>
        <v/>
      </c>
    </row>
    <row r="1060" spans="1:39" s="56" customFormat="1" ht="24.75" customHeight="1">
      <c r="A1060" s="44"/>
      <c r="B1060" s="45"/>
      <c r="C1060" s="46">
        <f>IF(B1060&lt;&gt;"",VLOOKUP(B1060,'Tipo Projeto'!$A$3:$B$35,2,0),0)</f>
        <v>0</v>
      </c>
      <c r="D1060" s="47"/>
      <c r="E1060" s="47"/>
      <c r="F1060" s="48"/>
      <c r="G1060" s="47"/>
      <c r="H1060" s="49"/>
      <c r="I1060" s="50"/>
      <c r="J1060" s="51"/>
      <c r="K1060" s="52"/>
      <c r="L1060" s="53" t="str">
        <f t="shared" si="221"/>
        <v/>
      </c>
      <c r="M1060" s="48" t="str">
        <f t="shared" si="222"/>
        <v/>
      </c>
      <c r="N1060" s="54" t="str">
        <f t="shared" si="223"/>
        <v/>
      </c>
      <c r="O1060" s="55">
        <f t="shared" si="224"/>
        <v>0</v>
      </c>
      <c r="P1060" s="55">
        <f t="shared" si="225"/>
        <v>0</v>
      </c>
      <c r="Q1060" s="54">
        <f t="shared" si="226"/>
        <v>0</v>
      </c>
      <c r="R1060" s="47"/>
      <c r="T1060" s="57"/>
      <c r="U1060" s="45"/>
      <c r="V1060" s="46">
        <f>IF(U1060&lt;&gt;"",VLOOKUP(U1060,'Tipo Projeto'!$A$3:$B$35,2,0),0)</f>
        <v>0</v>
      </c>
      <c r="W1060" s="47"/>
      <c r="X1060" s="49"/>
      <c r="Y1060" s="50"/>
      <c r="Z1060" s="51"/>
      <c r="AA1060" s="52"/>
      <c r="AB1060" s="53" t="str">
        <f t="shared" si="227"/>
        <v/>
      </c>
      <c r="AC1060" s="48" t="str">
        <f t="shared" si="228"/>
        <v/>
      </c>
      <c r="AD1060" s="54" t="str">
        <f t="shared" si="229"/>
        <v/>
      </c>
      <c r="AE1060" s="55">
        <f t="shared" si="230"/>
        <v>0</v>
      </c>
      <c r="AF1060" s="55">
        <f t="shared" si="231"/>
        <v>0</v>
      </c>
      <c r="AG1060" s="58">
        <f t="shared" si="232"/>
        <v>0</v>
      </c>
      <c r="AH1060" s="47"/>
      <c r="AJ1060" s="47"/>
      <c r="AL1060" s="47"/>
      <c r="AM1060" s="47" t="str">
        <f t="shared" si="233"/>
        <v/>
      </c>
    </row>
    <row r="1061" spans="1:39" s="56" customFormat="1" ht="24.75" customHeight="1">
      <c r="A1061" s="44"/>
      <c r="B1061" s="45"/>
      <c r="C1061" s="46">
        <f>IF(B1061&lt;&gt;"",VLOOKUP(B1061,'Tipo Projeto'!$A$3:$B$35,2,0),0)</f>
        <v>0</v>
      </c>
      <c r="D1061" s="47"/>
      <c r="E1061" s="47"/>
      <c r="F1061" s="48"/>
      <c r="G1061" s="47"/>
      <c r="H1061" s="49"/>
      <c r="I1061" s="50"/>
      <c r="J1061" s="51"/>
      <c r="K1061" s="52"/>
      <c r="L1061" s="53" t="str">
        <f t="shared" si="221"/>
        <v/>
      </c>
      <c r="M1061" s="48" t="str">
        <f t="shared" si="222"/>
        <v/>
      </c>
      <c r="N1061" s="54" t="str">
        <f t="shared" si="223"/>
        <v/>
      </c>
      <c r="O1061" s="55">
        <f t="shared" si="224"/>
        <v>0</v>
      </c>
      <c r="P1061" s="55">
        <f t="shared" si="225"/>
        <v>0</v>
      </c>
      <c r="Q1061" s="54">
        <f t="shared" si="226"/>
        <v>0</v>
      </c>
      <c r="R1061" s="47"/>
      <c r="T1061" s="57"/>
      <c r="U1061" s="45"/>
      <c r="V1061" s="46">
        <f>IF(U1061&lt;&gt;"",VLOOKUP(U1061,'Tipo Projeto'!$A$3:$B$35,2,0),0)</f>
        <v>0</v>
      </c>
      <c r="W1061" s="47"/>
      <c r="X1061" s="49"/>
      <c r="Y1061" s="50"/>
      <c r="Z1061" s="51"/>
      <c r="AA1061" s="52"/>
      <c r="AB1061" s="53" t="str">
        <f t="shared" si="227"/>
        <v/>
      </c>
      <c r="AC1061" s="48" t="str">
        <f t="shared" si="228"/>
        <v/>
      </c>
      <c r="AD1061" s="54" t="str">
        <f t="shared" si="229"/>
        <v/>
      </c>
      <c r="AE1061" s="55">
        <f t="shared" si="230"/>
        <v>0</v>
      </c>
      <c r="AF1061" s="55">
        <f t="shared" si="231"/>
        <v>0</v>
      </c>
      <c r="AG1061" s="58">
        <f t="shared" si="232"/>
        <v>0</v>
      </c>
      <c r="AH1061" s="47"/>
      <c r="AJ1061" s="47"/>
      <c r="AL1061" s="47"/>
      <c r="AM1061" s="47" t="str">
        <f t="shared" si="233"/>
        <v/>
      </c>
    </row>
    <row r="1062" spans="1:39" s="56" customFormat="1" ht="24.75" customHeight="1">
      <c r="A1062" s="44"/>
      <c r="B1062" s="45"/>
      <c r="C1062" s="46">
        <f>IF(B1062&lt;&gt;"",VLOOKUP(B1062,'Tipo Projeto'!$A$3:$B$35,2,0),0)</f>
        <v>0</v>
      </c>
      <c r="D1062" s="47"/>
      <c r="E1062" s="47"/>
      <c r="F1062" s="48"/>
      <c r="G1062" s="47"/>
      <c r="H1062" s="49"/>
      <c r="I1062" s="50"/>
      <c r="J1062" s="51"/>
      <c r="K1062" s="52"/>
      <c r="L1062" s="53" t="str">
        <f t="shared" si="221"/>
        <v/>
      </c>
      <c r="M1062" s="48" t="str">
        <f t="shared" si="222"/>
        <v/>
      </c>
      <c r="N1062" s="54" t="str">
        <f t="shared" si="223"/>
        <v/>
      </c>
      <c r="O1062" s="55">
        <f t="shared" si="224"/>
        <v>0</v>
      </c>
      <c r="P1062" s="55">
        <f t="shared" si="225"/>
        <v>0</v>
      </c>
      <c r="Q1062" s="54">
        <f t="shared" si="226"/>
        <v>0</v>
      </c>
      <c r="R1062" s="47"/>
      <c r="T1062" s="57"/>
      <c r="U1062" s="45"/>
      <c r="V1062" s="46">
        <f>IF(U1062&lt;&gt;"",VLOOKUP(U1062,'Tipo Projeto'!$A$3:$B$35,2,0),0)</f>
        <v>0</v>
      </c>
      <c r="W1062" s="47"/>
      <c r="X1062" s="49"/>
      <c r="Y1062" s="50"/>
      <c r="Z1062" s="51"/>
      <c r="AA1062" s="52"/>
      <c r="AB1062" s="53" t="str">
        <f t="shared" si="227"/>
        <v/>
      </c>
      <c r="AC1062" s="48" t="str">
        <f t="shared" si="228"/>
        <v/>
      </c>
      <c r="AD1062" s="54" t="str">
        <f t="shared" si="229"/>
        <v/>
      </c>
      <c r="AE1062" s="55">
        <f t="shared" si="230"/>
        <v>0</v>
      </c>
      <c r="AF1062" s="55">
        <f t="shared" si="231"/>
        <v>0</v>
      </c>
      <c r="AG1062" s="58">
        <f t="shared" si="232"/>
        <v>0</v>
      </c>
      <c r="AH1062" s="47"/>
      <c r="AJ1062" s="47"/>
      <c r="AL1062" s="47"/>
      <c r="AM1062" s="47" t="str">
        <f t="shared" si="233"/>
        <v/>
      </c>
    </row>
    <row r="1063" spans="1:39" s="56" customFormat="1" ht="24.75" customHeight="1">
      <c r="A1063" s="44"/>
      <c r="B1063" s="45"/>
      <c r="C1063" s="46">
        <f>IF(B1063&lt;&gt;"",VLOOKUP(B1063,'Tipo Projeto'!$A$3:$B$35,2,0),0)</f>
        <v>0</v>
      </c>
      <c r="D1063" s="47"/>
      <c r="E1063" s="47"/>
      <c r="F1063" s="48"/>
      <c r="G1063" s="47"/>
      <c r="H1063" s="49"/>
      <c r="I1063" s="50"/>
      <c r="J1063" s="51"/>
      <c r="K1063" s="52"/>
      <c r="L1063" s="53" t="str">
        <f t="shared" si="221"/>
        <v/>
      </c>
      <c r="M1063" s="48" t="str">
        <f t="shared" si="222"/>
        <v/>
      </c>
      <c r="N1063" s="54" t="str">
        <f t="shared" si="223"/>
        <v/>
      </c>
      <c r="O1063" s="55">
        <f t="shared" si="224"/>
        <v>0</v>
      </c>
      <c r="P1063" s="55">
        <f t="shared" si="225"/>
        <v>0</v>
      </c>
      <c r="Q1063" s="54">
        <f t="shared" si="226"/>
        <v>0</v>
      </c>
      <c r="R1063" s="47"/>
      <c r="T1063" s="57"/>
      <c r="U1063" s="45"/>
      <c r="V1063" s="46">
        <f>IF(U1063&lt;&gt;"",VLOOKUP(U1063,'Tipo Projeto'!$A$3:$B$35,2,0),0)</f>
        <v>0</v>
      </c>
      <c r="W1063" s="47"/>
      <c r="X1063" s="49"/>
      <c r="Y1063" s="50"/>
      <c r="Z1063" s="51"/>
      <c r="AA1063" s="52"/>
      <c r="AB1063" s="53" t="str">
        <f t="shared" si="227"/>
        <v/>
      </c>
      <c r="AC1063" s="48" t="str">
        <f t="shared" si="228"/>
        <v/>
      </c>
      <c r="AD1063" s="54" t="str">
        <f t="shared" si="229"/>
        <v/>
      </c>
      <c r="AE1063" s="55">
        <f t="shared" si="230"/>
        <v>0</v>
      </c>
      <c r="AF1063" s="55">
        <f t="shared" si="231"/>
        <v>0</v>
      </c>
      <c r="AG1063" s="58">
        <f t="shared" si="232"/>
        <v>0</v>
      </c>
      <c r="AH1063" s="47"/>
      <c r="AJ1063" s="47"/>
      <c r="AL1063" s="47"/>
      <c r="AM1063" s="47" t="str">
        <f t="shared" si="233"/>
        <v/>
      </c>
    </row>
    <row r="1064" spans="1:39" s="56" customFormat="1" ht="24.75" customHeight="1">
      <c r="A1064" s="44"/>
      <c r="B1064" s="45"/>
      <c r="C1064" s="46">
        <f>IF(B1064&lt;&gt;"",VLOOKUP(B1064,'Tipo Projeto'!$A$3:$B$35,2,0),0)</f>
        <v>0</v>
      </c>
      <c r="D1064" s="47"/>
      <c r="E1064" s="47"/>
      <c r="F1064" s="48"/>
      <c r="G1064" s="47"/>
      <c r="H1064" s="49"/>
      <c r="I1064" s="50"/>
      <c r="J1064" s="51"/>
      <c r="K1064" s="52"/>
      <c r="L1064" s="53" t="str">
        <f t="shared" si="221"/>
        <v/>
      </c>
      <c r="M1064" s="48" t="str">
        <f t="shared" si="222"/>
        <v/>
      </c>
      <c r="N1064" s="54" t="str">
        <f t="shared" si="223"/>
        <v/>
      </c>
      <c r="O1064" s="55">
        <f t="shared" si="224"/>
        <v>0</v>
      </c>
      <c r="P1064" s="55">
        <f t="shared" si="225"/>
        <v>0</v>
      </c>
      <c r="Q1064" s="54">
        <f t="shared" si="226"/>
        <v>0</v>
      </c>
      <c r="R1064" s="47"/>
      <c r="T1064" s="57"/>
      <c r="U1064" s="45"/>
      <c r="V1064" s="46">
        <f>IF(U1064&lt;&gt;"",VLOOKUP(U1064,'Tipo Projeto'!$A$3:$B$35,2,0),0)</f>
        <v>0</v>
      </c>
      <c r="W1064" s="47"/>
      <c r="X1064" s="49"/>
      <c r="Y1064" s="50"/>
      <c r="Z1064" s="51"/>
      <c r="AA1064" s="52"/>
      <c r="AB1064" s="53" t="str">
        <f t="shared" si="227"/>
        <v/>
      </c>
      <c r="AC1064" s="48" t="str">
        <f t="shared" si="228"/>
        <v/>
      </c>
      <c r="AD1064" s="54" t="str">
        <f t="shared" si="229"/>
        <v/>
      </c>
      <c r="AE1064" s="55">
        <f t="shared" si="230"/>
        <v>0</v>
      </c>
      <c r="AF1064" s="55">
        <f t="shared" si="231"/>
        <v>0</v>
      </c>
      <c r="AG1064" s="58">
        <f t="shared" si="232"/>
        <v>0</v>
      </c>
      <c r="AH1064" s="47"/>
      <c r="AJ1064" s="47"/>
      <c r="AL1064" s="47"/>
      <c r="AM1064" s="47" t="str">
        <f t="shared" si="233"/>
        <v/>
      </c>
    </row>
    <row r="1065" spans="1:39" s="56" customFormat="1" ht="24.75" customHeight="1">
      <c r="A1065" s="44"/>
      <c r="B1065" s="45"/>
      <c r="C1065" s="46">
        <f>IF(B1065&lt;&gt;"",VLOOKUP(B1065,'Tipo Projeto'!$A$3:$B$35,2,0),0)</f>
        <v>0</v>
      </c>
      <c r="D1065" s="47"/>
      <c r="E1065" s="47"/>
      <c r="F1065" s="48"/>
      <c r="G1065" s="47"/>
      <c r="H1065" s="49"/>
      <c r="I1065" s="50"/>
      <c r="J1065" s="51"/>
      <c r="K1065" s="52"/>
      <c r="L1065" s="53" t="str">
        <f t="shared" si="221"/>
        <v/>
      </c>
      <c r="M1065" s="48" t="str">
        <f t="shared" si="222"/>
        <v/>
      </c>
      <c r="N1065" s="54" t="str">
        <f t="shared" si="223"/>
        <v/>
      </c>
      <c r="O1065" s="55">
        <f t="shared" si="224"/>
        <v>0</v>
      </c>
      <c r="P1065" s="55">
        <f t="shared" si="225"/>
        <v>0</v>
      </c>
      <c r="Q1065" s="54">
        <f t="shared" si="226"/>
        <v>0</v>
      </c>
      <c r="R1065" s="47"/>
      <c r="T1065" s="57"/>
      <c r="U1065" s="45"/>
      <c r="V1065" s="46">
        <f>IF(U1065&lt;&gt;"",VLOOKUP(U1065,'Tipo Projeto'!$A$3:$B$35,2,0),0)</f>
        <v>0</v>
      </c>
      <c r="W1065" s="47"/>
      <c r="X1065" s="49"/>
      <c r="Y1065" s="50"/>
      <c r="Z1065" s="51"/>
      <c r="AA1065" s="52"/>
      <c r="AB1065" s="53" t="str">
        <f t="shared" si="227"/>
        <v/>
      </c>
      <c r="AC1065" s="48" t="str">
        <f t="shared" si="228"/>
        <v/>
      </c>
      <c r="AD1065" s="54" t="str">
        <f t="shared" si="229"/>
        <v/>
      </c>
      <c r="AE1065" s="55">
        <f t="shared" si="230"/>
        <v>0</v>
      </c>
      <c r="AF1065" s="55">
        <f t="shared" si="231"/>
        <v>0</v>
      </c>
      <c r="AG1065" s="58">
        <f t="shared" si="232"/>
        <v>0</v>
      </c>
      <c r="AH1065" s="47"/>
      <c r="AJ1065" s="47"/>
      <c r="AL1065" s="47"/>
      <c r="AM1065" s="47" t="str">
        <f t="shared" si="233"/>
        <v/>
      </c>
    </row>
    <row r="1066" spans="1:39" s="56" customFormat="1" ht="24.75" customHeight="1">
      <c r="A1066" s="44"/>
      <c r="B1066" s="45"/>
      <c r="C1066" s="46">
        <f>IF(B1066&lt;&gt;"",VLOOKUP(B1066,'Tipo Projeto'!$A$3:$B$35,2,0),0)</f>
        <v>0</v>
      </c>
      <c r="D1066" s="47"/>
      <c r="E1066" s="47"/>
      <c r="F1066" s="48"/>
      <c r="G1066" s="47"/>
      <c r="H1066" s="49"/>
      <c r="I1066" s="50"/>
      <c r="J1066" s="51"/>
      <c r="K1066" s="52"/>
      <c r="L1066" s="53" t="str">
        <f t="shared" si="221"/>
        <v/>
      </c>
      <c r="M1066" s="48" t="str">
        <f t="shared" si="222"/>
        <v/>
      </c>
      <c r="N1066" s="54" t="str">
        <f t="shared" si="223"/>
        <v/>
      </c>
      <c r="O1066" s="55">
        <f t="shared" si="224"/>
        <v>0</v>
      </c>
      <c r="P1066" s="55">
        <f t="shared" si="225"/>
        <v>0</v>
      </c>
      <c r="Q1066" s="54">
        <f t="shared" si="226"/>
        <v>0</v>
      </c>
      <c r="R1066" s="47"/>
      <c r="T1066" s="57"/>
      <c r="U1066" s="45"/>
      <c r="V1066" s="46">
        <f>IF(U1066&lt;&gt;"",VLOOKUP(U1066,'Tipo Projeto'!$A$3:$B$35,2,0),0)</f>
        <v>0</v>
      </c>
      <c r="W1066" s="47"/>
      <c r="X1066" s="49"/>
      <c r="Y1066" s="50"/>
      <c r="Z1066" s="51"/>
      <c r="AA1066" s="52"/>
      <c r="AB1066" s="53" t="str">
        <f t="shared" si="227"/>
        <v/>
      </c>
      <c r="AC1066" s="48" t="str">
        <f t="shared" si="228"/>
        <v/>
      </c>
      <c r="AD1066" s="54" t="str">
        <f t="shared" si="229"/>
        <v/>
      </c>
      <c r="AE1066" s="55">
        <f t="shared" si="230"/>
        <v>0</v>
      </c>
      <c r="AF1066" s="55">
        <f t="shared" si="231"/>
        <v>0</v>
      </c>
      <c r="AG1066" s="58">
        <f t="shared" si="232"/>
        <v>0</v>
      </c>
      <c r="AH1066" s="47"/>
      <c r="AJ1066" s="47"/>
      <c r="AL1066" s="47"/>
      <c r="AM1066" s="47" t="str">
        <f t="shared" si="233"/>
        <v/>
      </c>
    </row>
    <row r="1067" spans="1:39" s="56" customFormat="1" ht="24.75" customHeight="1">
      <c r="A1067" s="44"/>
      <c r="B1067" s="45"/>
      <c r="C1067" s="46">
        <f>IF(B1067&lt;&gt;"",VLOOKUP(B1067,'Tipo Projeto'!$A$3:$B$35,2,0),0)</f>
        <v>0</v>
      </c>
      <c r="D1067" s="47"/>
      <c r="E1067" s="47"/>
      <c r="F1067" s="48"/>
      <c r="G1067" s="47"/>
      <c r="H1067" s="49"/>
      <c r="I1067" s="50"/>
      <c r="J1067" s="51"/>
      <c r="K1067" s="52"/>
      <c r="L1067" s="53" t="str">
        <f t="shared" si="221"/>
        <v/>
      </c>
      <c r="M1067" s="48" t="str">
        <f t="shared" si="222"/>
        <v/>
      </c>
      <c r="N1067" s="54" t="str">
        <f t="shared" si="223"/>
        <v/>
      </c>
      <c r="O1067" s="55">
        <f t="shared" si="224"/>
        <v>0</v>
      </c>
      <c r="P1067" s="55">
        <f t="shared" si="225"/>
        <v>0</v>
      </c>
      <c r="Q1067" s="54">
        <f t="shared" si="226"/>
        <v>0</v>
      </c>
      <c r="R1067" s="47"/>
      <c r="T1067" s="57"/>
      <c r="U1067" s="45"/>
      <c r="V1067" s="46">
        <f>IF(U1067&lt;&gt;"",VLOOKUP(U1067,'Tipo Projeto'!$A$3:$B$35,2,0),0)</f>
        <v>0</v>
      </c>
      <c r="W1067" s="47"/>
      <c r="X1067" s="49"/>
      <c r="Y1067" s="50"/>
      <c r="Z1067" s="51"/>
      <c r="AA1067" s="52"/>
      <c r="AB1067" s="53" t="str">
        <f t="shared" si="227"/>
        <v/>
      </c>
      <c r="AC1067" s="48" t="str">
        <f t="shared" si="228"/>
        <v/>
      </c>
      <c r="AD1067" s="54" t="str">
        <f t="shared" si="229"/>
        <v/>
      </c>
      <c r="AE1067" s="55">
        <f t="shared" si="230"/>
        <v>0</v>
      </c>
      <c r="AF1067" s="55">
        <f t="shared" si="231"/>
        <v>0</v>
      </c>
      <c r="AG1067" s="58">
        <f t="shared" si="232"/>
        <v>0</v>
      </c>
      <c r="AH1067" s="47"/>
      <c r="AJ1067" s="47"/>
      <c r="AL1067" s="47"/>
      <c r="AM1067" s="47" t="str">
        <f t="shared" si="233"/>
        <v/>
      </c>
    </row>
    <row r="1068" spans="1:39" s="56" customFormat="1" ht="24.75" customHeight="1">
      <c r="A1068" s="44"/>
      <c r="B1068" s="45"/>
      <c r="C1068" s="46">
        <f>IF(B1068&lt;&gt;"",VLOOKUP(B1068,'Tipo Projeto'!$A$3:$B$35,2,0),0)</f>
        <v>0</v>
      </c>
      <c r="D1068" s="47"/>
      <c r="E1068" s="47"/>
      <c r="F1068" s="48"/>
      <c r="G1068" s="47"/>
      <c r="H1068" s="49"/>
      <c r="I1068" s="50"/>
      <c r="J1068" s="51"/>
      <c r="K1068" s="52"/>
      <c r="L1068" s="53" t="str">
        <f t="shared" si="221"/>
        <v/>
      </c>
      <c r="M1068" s="48" t="str">
        <f t="shared" si="222"/>
        <v/>
      </c>
      <c r="N1068" s="54" t="str">
        <f t="shared" si="223"/>
        <v/>
      </c>
      <c r="O1068" s="55">
        <f t="shared" si="224"/>
        <v>0</v>
      </c>
      <c r="P1068" s="55">
        <f t="shared" si="225"/>
        <v>0</v>
      </c>
      <c r="Q1068" s="54">
        <f t="shared" si="226"/>
        <v>0</v>
      </c>
      <c r="R1068" s="47"/>
      <c r="T1068" s="57"/>
      <c r="U1068" s="45"/>
      <c r="V1068" s="46">
        <f>IF(U1068&lt;&gt;"",VLOOKUP(U1068,'Tipo Projeto'!$A$3:$B$35,2,0),0)</f>
        <v>0</v>
      </c>
      <c r="W1068" s="47"/>
      <c r="X1068" s="49"/>
      <c r="Y1068" s="50"/>
      <c r="Z1068" s="51"/>
      <c r="AA1068" s="52"/>
      <c r="AB1068" s="53" t="str">
        <f t="shared" si="227"/>
        <v/>
      </c>
      <c r="AC1068" s="48" t="str">
        <f t="shared" si="228"/>
        <v/>
      </c>
      <c r="AD1068" s="54" t="str">
        <f t="shared" si="229"/>
        <v/>
      </c>
      <c r="AE1068" s="55">
        <f t="shared" si="230"/>
        <v>0</v>
      </c>
      <c r="AF1068" s="55">
        <f t="shared" si="231"/>
        <v>0</v>
      </c>
      <c r="AG1068" s="58">
        <f t="shared" si="232"/>
        <v>0</v>
      </c>
      <c r="AH1068" s="47"/>
      <c r="AJ1068" s="47"/>
      <c r="AL1068" s="47"/>
      <c r="AM1068" s="47" t="str">
        <f t="shared" si="233"/>
        <v/>
      </c>
    </row>
    <row r="1069" spans="1:39" s="56" customFormat="1" ht="24.75" customHeight="1">
      <c r="A1069" s="44"/>
      <c r="B1069" s="45"/>
      <c r="C1069" s="46">
        <f>IF(B1069&lt;&gt;"",VLOOKUP(B1069,'Tipo Projeto'!$A$3:$B$35,2,0),0)</f>
        <v>0</v>
      </c>
      <c r="D1069" s="47"/>
      <c r="E1069" s="47"/>
      <c r="F1069" s="48"/>
      <c r="G1069" s="47"/>
      <c r="H1069" s="49"/>
      <c r="I1069" s="50"/>
      <c r="J1069" s="51"/>
      <c r="K1069" s="52"/>
      <c r="L1069" s="53" t="str">
        <f t="shared" si="221"/>
        <v/>
      </c>
      <c r="M1069" s="48" t="str">
        <f t="shared" si="222"/>
        <v/>
      </c>
      <c r="N1069" s="54" t="str">
        <f t="shared" si="223"/>
        <v/>
      </c>
      <c r="O1069" s="55">
        <f t="shared" si="224"/>
        <v>0</v>
      </c>
      <c r="P1069" s="55">
        <f t="shared" si="225"/>
        <v>0</v>
      </c>
      <c r="Q1069" s="54">
        <f t="shared" si="226"/>
        <v>0</v>
      </c>
      <c r="R1069" s="47"/>
      <c r="T1069" s="57"/>
      <c r="U1069" s="45"/>
      <c r="V1069" s="46">
        <f>IF(U1069&lt;&gt;"",VLOOKUP(U1069,'Tipo Projeto'!$A$3:$B$35,2,0),0)</f>
        <v>0</v>
      </c>
      <c r="W1069" s="47"/>
      <c r="X1069" s="49"/>
      <c r="Y1069" s="50"/>
      <c r="Z1069" s="51"/>
      <c r="AA1069" s="52"/>
      <c r="AB1069" s="53" t="str">
        <f t="shared" si="227"/>
        <v/>
      </c>
      <c r="AC1069" s="48" t="str">
        <f t="shared" si="228"/>
        <v/>
      </c>
      <c r="AD1069" s="54" t="str">
        <f t="shared" si="229"/>
        <v/>
      </c>
      <c r="AE1069" s="55">
        <f t="shared" si="230"/>
        <v>0</v>
      </c>
      <c r="AF1069" s="55">
        <f t="shared" si="231"/>
        <v>0</v>
      </c>
      <c r="AG1069" s="58">
        <f t="shared" si="232"/>
        <v>0</v>
      </c>
      <c r="AH1069" s="47"/>
      <c r="AJ1069" s="47"/>
      <c r="AL1069" s="47"/>
      <c r="AM1069" s="47" t="str">
        <f t="shared" si="233"/>
        <v/>
      </c>
    </row>
    <row r="1070" spans="1:39" s="56" customFormat="1" ht="24.75" customHeight="1">
      <c r="A1070" s="44"/>
      <c r="B1070" s="45"/>
      <c r="C1070" s="46">
        <f>IF(B1070&lt;&gt;"",VLOOKUP(B1070,'Tipo Projeto'!$A$3:$B$35,2,0),0)</f>
        <v>0</v>
      </c>
      <c r="D1070" s="47"/>
      <c r="E1070" s="47"/>
      <c r="F1070" s="48"/>
      <c r="G1070" s="47"/>
      <c r="H1070" s="49"/>
      <c r="I1070" s="50"/>
      <c r="J1070" s="51"/>
      <c r="K1070" s="52"/>
      <c r="L1070" s="53" t="str">
        <f t="shared" si="221"/>
        <v/>
      </c>
      <c r="M1070" s="48" t="str">
        <f t="shared" si="222"/>
        <v/>
      </c>
      <c r="N1070" s="54" t="str">
        <f t="shared" si="223"/>
        <v/>
      </c>
      <c r="O1070" s="55">
        <f t="shared" si="224"/>
        <v>0</v>
      </c>
      <c r="P1070" s="55">
        <f t="shared" si="225"/>
        <v>0</v>
      </c>
      <c r="Q1070" s="54">
        <f t="shared" si="226"/>
        <v>0</v>
      </c>
      <c r="R1070" s="47"/>
      <c r="T1070" s="57"/>
      <c r="U1070" s="45"/>
      <c r="V1070" s="46">
        <f>IF(U1070&lt;&gt;"",VLOOKUP(U1070,'Tipo Projeto'!$A$3:$B$35,2,0),0)</f>
        <v>0</v>
      </c>
      <c r="W1070" s="47"/>
      <c r="X1070" s="49"/>
      <c r="Y1070" s="50"/>
      <c r="Z1070" s="51"/>
      <c r="AA1070" s="52"/>
      <c r="AB1070" s="53" t="str">
        <f t="shared" si="227"/>
        <v/>
      </c>
      <c r="AC1070" s="48" t="str">
        <f t="shared" si="228"/>
        <v/>
      </c>
      <c r="AD1070" s="54" t="str">
        <f t="shared" si="229"/>
        <v/>
      </c>
      <c r="AE1070" s="55">
        <f t="shared" si="230"/>
        <v>0</v>
      </c>
      <c r="AF1070" s="55">
        <f t="shared" si="231"/>
        <v>0</v>
      </c>
      <c r="AG1070" s="58">
        <f t="shared" si="232"/>
        <v>0</v>
      </c>
      <c r="AH1070" s="47"/>
      <c r="AJ1070" s="47"/>
      <c r="AL1070" s="47"/>
      <c r="AM1070" s="47" t="str">
        <f t="shared" si="233"/>
        <v/>
      </c>
    </row>
    <row r="1071" spans="1:39" s="56" customFormat="1" ht="24.75" customHeight="1">
      <c r="A1071" s="44"/>
      <c r="B1071" s="45"/>
      <c r="C1071" s="46">
        <f>IF(B1071&lt;&gt;"",VLOOKUP(B1071,'Tipo Projeto'!$A$3:$B$35,2,0),0)</f>
        <v>0</v>
      </c>
      <c r="D1071" s="47"/>
      <c r="E1071" s="47"/>
      <c r="F1071" s="48"/>
      <c r="G1071" s="47"/>
      <c r="H1071" s="49"/>
      <c r="I1071" s="50"/>
      <c r="J1071" s="51"/>
      <c r="K1071" s="52"/>
      <c r="L1071" s="53" t="str">
        <f t="shared" si="221"/>
        <v/>
      </c>
      <c r="M1071" s="48" t="str">
        <f t="shared" si="222"/>
        <v/>
      </c>
      <c r="N1071" s="54" t="str">
        <f t="shared" si="223"/>
        <v/>
      </c>
      <c r="O1071" s="55">
        <f t="shared" si="224"/>
        <v>0</v>
      </c>
      <c r="P1071" s="55">
        <f t="shared" si="225"/>
        <v>0</v>
      </c>
      <c r="Q1071" s="54">
        <f t="shared" si="226"/>
        <v>0</v>
      </c>
      <c r="R1071" s="47"/>
      <c r="T1071" s="57"/>
      <c r="U1071" s="45"/>
      <c r="V1071" s="46">
        <f>IF(U1071&lt;&gt;"",VLOOKUP(U1071,'Tipo Projeto'!$A$3:$B$35,2,0),0)</f>
        <v>0</v>
      </c>
      <c r="W1071" s="47"/>
      <c r="X1071" s="49"/>
      <c r="Y1071" s="50"/>
      <c r="Z1071" s="51"/>
      <c r="AA1071" s="52"/>
      <c r="AB1071" s="53" t="str">
        <f t="shared" si="227"/>
        <v/>
      </c>
      <c r="AC1071" s="48" t="str">
        <f t="shared" si="228"/>
        <v/>
      </c>
      <c r="AD1071" s="54" t="str">
        <f t="shared" si="229"/>
        <v/>
      </c>
      <c r="AE1071" s="55">
        <f t="shared" si="230"/>
        <v>0</v>
      </c>
      <c r="AF1071" s="55">
        <f t="shared" si="231"/>
        <v>0</v>
      </c>
      <c r="AG1071" s="58">
        <f t="shared" si="232"/>
        <v>0</v>
      </c>
      <c r="AH1071" s="47"/>
      <c r="AJ1071" s="47"/>
      <c r="AL1071" s="47"/>
      <c r="AM1071" s="47" t="str">
        <f t="shared" si="233"/>
        <v/>
      </c>
    </row>
    <row r="1072" spans="1:39" s="56" customFormat="1" ht="24.75" customHeight="1">
      <c r="A1072" s="44"/>
      <c r="B1072" s="45"/>
      <c r="C1072" s="46">
        <f>IF(B1072&lt;&gt;"",VLOOKUP(B1072,'Tipo Projeto'!$A$3:$B$35,2,0),0)</f>
        <v>0</v>
      </c>
      <c r="D1072" s="47"/>
      <c r="E1072" s="47"/>
      <c r="F1072" s="48"/>
      <c r="G1072" s="47"/>
      <c r="H1072" s="49"/>
      <c r="I1072" s="50"/>
      <c r="J1072" s="51"/>
      <c r="K1072" s="52"/>
      <c r="L1072" s="53" t="str">
        <f t="shared" si="221"/>
        <v/>
      </c>
      <c r="M1072" s="48" t="str">
        <f t="shared" si="222"/>
        <v/>
      </c>
      <c r="N1072" s="54" t="str">
        <f t="shared" si="223"/>
        <v/>
      </c>
      <c r="O1072" s="55">
        <f t="shared" si="224"/>
        <v>0</v>
      </c>
      <c r="P1072" s="55">
        <f t="shared" si="225"/>
        <v>0</v>
      </c>
      <c r="Q1072" s="54">
        <f t="shared" si="226"/>
        <v>0</v>
      </c>
      <c r="R1072" s="47"/>
      <c r="T1072" s="57"/>
      <c r="U1072" s="45"/>
      <c r="V1072" s="46">
        <f>IF(U1072&lt;&gt;"",VLOOKUP(U1072,'Tipo Projeto'!$A$3:$B$35,2,0),0)</f>
        <v>0</v>
      </c>
      <c r="W1072" s="47"/>
      <c r="X1072" s="49"/>
      <c r="Y1072" s="50"/>
      <c r="Z1072" s="51"/>
      <c r="AA1072" s="52"/>
      <c r="AB1072" s="53" t="str">
        <f t="shared" si="227"/>
        <v/>
      </c>
      <c r="AC1072" s="48" t="str">
        <f t="shared" si="228"/>
        <v/>
      </c>
      <c r="AD1072" s="54" t="str">
        <f t="shared" si="229"/>
        <v/>
      </c>
      <c r="AE1072" s="55">
        <f t="shared" si="230"/>
        <v>0</v>
      </c>
      <c r="AF1072" s="55">
        <f t="shared" si="231"/>
        <v>0</v>
      </c>
      <c r="AG1072" s="58">
        <f t="shared" si="232"/>
        <v>0</v>
      </c>
      <c r="AH1072" s="47"/>
      <c r="AJ1072" s="47"/>
      <c r="AL1072" s="47"/>
      <c r="AM1072" s="47" t="str">
        <f t="shared" si="233"/>
        <v/>
      </c>
    </row>
    <row r="1073" spans="1:39" s="56" customFormat="1" ht="24.75" customHeight="1">
      <c r="A1073" s="44"/>
      <c r="B1073" s="45"/>
      <c r="C1073" s="46">
        <f>IF(B1073&lt;&gt;"",VLOOKUP(B1073,'Tipo Projeto'!$A$3:$B$35,2,0),0)</f>
        <v>0</v>
      </c>
      <c r="D1073" s="47"/>
      <c r="E1073" s="47"/>
      <c r="F1073" s="48"/>
      <c r="G1073" s="47"/>
      <c r="H1073" s="49"/>
      <c r="I1073" s="50"/>
      <c r="J1073" s="51"/>
      <c r="K1073" s="52"/>
      <c r="L1073" s="53" t="str">
        <f t="shared" si="221"/>
        <v/>
      </c>
      <c r="M1073" s="48" t="str">
        <f t="shared" si="222"/>
        <v/>
      </c>
      <c r="N1073" s="54" t="str">
        <f t="shared" si="223"/>
        <v/>
      </c>
      <c r="O1073" s="55">
        <f t="shared" si="224"/>
        <v>0</v>
      </c>
      <c r="P1073" s="55">
        <f t="shared" si="225"/>
        <v>0</v>
      </c>
      <c r="Q1073" s="54">
        <f t="shared" si="226"/>
        <v>0</v>
      </c>
      <c r="R1073" s="47"/>
      <c r="T1073" s="57"/>
      <c r="U1073" s="45"/>
      <c r="V1073" s="46">
        <f>IF(U1073&lt;&gt;"",VLOOKUP(U1073,'Tipo Projeto'!$A$3:$B$35,2,0),0)</f>
        <v>0</v>
      </c>
      <c r="W1073" s="47"/>
      <c r="X1073" s="49"/>
      <c r="Y1073" s="50"/>
      <c r="Z1073" s="51"/>
      <c r="AA1073" s="52"/>
      <c r="AB1073" s="53" t="str">
        <f t="shared" si="227"/>
        <v/>
      </c>
      <c r="AC1073" s="48" t="str">
        <f t="shared" si="228"/>
        <v/>
      </c>
      <c r="AD1073" s="54" t="str">
        <f t="shared" si="229"/>
        <v/>
      </c>
      <c r="AE1073" s="55">
        <f t="shared" si="230"/>
        <v>0</v>
      </c>
      <c r="AF1073" s="55">
        <f t="shared" si="231"/>
        <v>0</v>
      </c>
      <c r="AG1073" s="58">
        <f t="shared" si="232"/>
        <v>0</v>
      </c>
      <c r="AH1073" s="47"/>
      <c r="AJ1073" s="47"/>
      <c r="AL1073" s="47"/>
      <c r="AM1073" s="47" t="str">
        <f t="shared" si="233"/>
        <v/>
      </c>
    </row>
    <row r="1074" spans="1:39" s="56" customFormat="1" ht="24.75" customHeight="1">
      <c r="A1074" s="44"/>
      <c r="B1074" s="45"/>
      <c r="C1074" s="46">
        <f>IF(B1074&lt;&gt;"",VLOOKUP(B1074,'Tipo Projeto'!$A$3:$B$35,2,0),0)</f>
        <v>0</v>
      </c>
      <c r="D1074" s="47"/>
      <c r="E1074" s="47"/>
      <c r="F1074" s="48"/>
      <c r="G1074" s="47"/>
      <c r="H1074" s="49"/>
      <c r="I1074" s="50"/>
      <c r="J1074" s="51"/>
      <c r="K1074" s="52"/>
      <c r="L1074" s="53" t="str">
        <f t="shared" si="221"/>
        <v/>
      </c>
      <c r="M1074" s="48" t="str">
        <f t="shared" si="222"/>
        <v/>
      </c>
      <c r="N1074" s="54" t="str">
        <f t="shared" si="223"/>
        <v/>
      </c>
      <c r="O1074" s="55">
        <f t="shared" si="224"/>
        <v>0</v>
      </c>
      <c r="P1074" s="55">
        <f t="shared" si="225"/>
        <v>0</v>
      </c>
      <c r="Q1074" s="54">
        <f t="shared" si="226"/>
        <v>0</v>
      </c>
      <c r="R1074" s="47"/>
      <c r="T1074" s="57"/>
      <c r="U1074" s="45"/>
      <c r="V1074" s="46">
        <f>IF(U1074&lt;&gt;"",VLOOKUP(U1074,'Tipo Projeto'!$A$3:$B$35,2,0),0)</f>
        <v>0</v>
      </c>
      <c r="W1074" s="47"/>
      <c r="X1074" s="49"/>
      <c r="Y1074" s="50"/>
      <c r="Z1074" s="51"/>
      <c r="AA1074" s="52"/>
      <c r="AB1074" s="53" t="str">
        <f t="shared" si="227"/>
        <v/>
      </c>
      <c r="AC1074" s="48" t="str">
        <f t="shared" si="228"/>
        <v/>
      </c>
      <c r="AD1074" s="54" t="str">
        <f t="shared" si="229"/>
        <v/>
      </c>
      <c r="AE1074" s="55">
        <f t="shared" si="230"/>
        <v>0</v>
      </c>
      <c r="AF1074" s="55">
        <f t="shared" si="231"/>
        <v>0</v>
      </c>
      <c r="AG1074" s="58">
        <f t="shared" si="232"/>
        <v>0</v>
      </c>
      <c r="AH1074" s="47"/>
      <c r="AJ1074" s="47"/>
      <c r="AL1074" s="47"/>
      <c r="AM1074" s="47" t="str">
        <f t="shared" si="233"/>
        <v/>
      </c>
    </row>
    <row r="1075" spans="1:39" s="56" customFormat="1" ht="24.75" customHeight="1">
      <c r="A1075" s="44"/>
      <c r="B1075" s="45"/>
      <c r="C1075" s="46">
        <f>IF(B1075&lt;&gt;"",VLOOKUP(B1075,'Tipo Projeto'!$A$3:$B$35,2,0),0)</f>
        <v>0</v>
      </c>
      <c r="D1075" s="47"/>
      <c r="E1075" s="47"/>
      <c r="F1075" s="48"/>
      <c r="G1075" s="47"/>
      <c r="H1075" s="49"/>
      <c r="I1075" s="50"/>
      <c r="J1075" s="51"/>
      <c r="K1075" s="52"/>
      <c r="L1075" s="53" t="str">
        <f t="shared" si="221"/>
        <v/>
      </c>
      <c r="M1075" s="48" t="str">
        <f t="shared" si="222"/>
        <v/>
      </c>
      <c r="N1075" s="54" t="str">
        <f t="shared" si="223"/>
        <v/>
      </c>
      <c r="O1075" s="55">
        <f t="shared" si="224"/>
        <v>0</v>
      </c>
      <c r="P1075" s="55">
        <f t="shared" si="225"/>
        <v>0</v>
      </c>
      <c r="Q1075" s="54">
        <f t="shared" si="226"/>
        <v>0</v>
      </c>
      <c r="R1075" s="47"/>
      <c r="T1075" s="57"/>
      <c r="U1075" s="45"/>
      <c r="V1075" s="46">
        <f>IF(U1075&lt;&gt;"",VLOOKUP(U1075,'Tipo Projeto'!$A$3:$B$35,2,0),0)</f>
        <v>0</v>
      </c>
      <c r="W1075" s="47"/>
      <c r="X1075" s="49"/>
      <c r="Y1075" s="50"/>
      <c r="Z1075" s="51"/>
      <c r="AA1075" s="52"/>
      <c r="AB1075" s="53" t="str">
        <f t="shared" si="227"/>
        <v/>
      </c>
      <c r="AC1075" s="48" t="str">
        <f t="shared" si="228"/>
        <v/>
      </c>
      <c r="AD1075" s="54" t="str">
        <f t="shared" si="229"/>
        <v/>
      </c>
      <c r="AE1075" s="55">
        <f t="shared" si="230"/>
        <v>0</v>
      </c>
      <c r="AF1075" s="55">
        <f t="shared" si="231"/>
        <v>0</v>
      </c>
      <c r="AG1075" s="58">
        <f t="shared" si="232"/>
        <v>0</v>
      </c>
      <c r="AH1075" s="47"/>
      <c r="AJ1075" s="47"/>
      <c r="AL1075" s="47"/>
      <c r="AM1075" s="47" t="str">
        <f t="shared" si="233"/>
        <v/>
      </c>
    </row>
    <row r="1076" spans="1:39" s="56" customFormat="1" ht="24.75" customHeight="1">
      <c r="A1076" s="44"/>
      <c r="B1076" s="45"/>
      <c r="C1076" s="46">
        <f>IF(B1076&lt;&gt;"",VLOOKUP(B1076,'Tipo Projeto'!$A$3:$B$35,2,0),0)</f>
        <v>0</v>
      </c>
      <c r="D1076" s="47"/>
      <c r="E1076" s="47"/>
      <c r="F1076" s="48"/>
      <c r="G1076" s="47"/>
      <c r="H1076" s="49"/>
      <c r="I1076" s="50"/>
      <c r="J1076" s="51"/>
      <c r="K1076" s="52"/>
      <c r="L1076" s="53" t="str">
        <f t="shared" si="221"/>
        <v/>
      </c>
      <c r="M1076" s="48" t="str">
        <f t="shared" si="222"/>
        <v/>
      </c>
      <c r="N1076" s="54" t="str">
        <f t="shared" si="223"/>
        <v/>
      </c>
      <c r="O1076" s="55">
        <f t="shared" si="224"/>
        <v>0</v>
      </c>
      <c r="P1076" s="55">
        <f t="shared" si="225"/>
        <v>0</v>
      </c>
      <c r="Q1076" s="54">
        <f t="shared" si="226"/>
        <v>0</v>
      </c>
      <c r="R1076" s="47"/>
      <c r="T1076" s="57"/>
      <c r="U1076" s="45"/>
      <c r="V1076" s="46">
        <f>IF(U1076&lt;&gt;"",VLOOKUP(U1076,'Tipo Projeto'!$A$3:$B$35,2,0),0)</f>
        <v>0</v>
      </c>
      <c r="W1076" s="47"/>
      <c r="X1076" s="49"/>
      <c r="Y1076" s="50"/>
      <c r="Z1076" s="51"/>
      <c r="AA1076" s="52"/>
      <c r="AB1076" s="53" t="str">
        <f t="shared" si="227"/>
        <v/>
      </c>
      <c r="AC1076" s="48" t="str">
        <f t="shared" si="228"/>
        <v/>
      </c>
      <c r="AD1076" s="54" t="str">
        <f t="shared" si="229"/>
        <v/>
      </c>
      <c r="AE1076" s="55">
        <f t="shared" si="230"/>
        <v>0</v>
      </c>
      <c r="AF1076" s="55">
        <f t="shared" si="231"/>
        <v>0</v>
      </c>
      <c r="AG1076" s="58">
        <f t="shared" si="232"/>
        <v>0</v>
      </c>
      <c r="AH1076" s="47"/>
      <c r="AJ1076" s="47"/>
      <c r="AL1076" s="47"/>
      <c r="AM1076" s="47" t="str">
        <f t="shared" si="233"/>
        <v/>
      </c>
    </row>
    <row r="1077" spans="1:39" s="56" customFormat="1" ht="24.75" customHeight="1">
      <c r="A1077" s="44"/>
      <c r="B1077" s="45"/>
      <c r="C1077" s="46">
        <f>IF(B1077&lt;&gt;"",VLOOKUP(B1077,'Tipo Projeto'!$A$3:$B$35,2,0),0)</f>
        <v>0</v>
      </c>
      <c r="D1077" s="47"/>
      <c r="E1077" s="47"/>
      <c r="F1077" s="48"/>
      <c r="G1077" s="47"/>
      <c r="H1077" s="49"/>
      <c r="I1077" s="50"/>
      <c r="J1077" s="51"/>
      <c r="K1077" s="52"/>
      <c r="L1077" s="53" t="str">
        <f t="shared" ref="L1077:L1140" si="234">IF(G1077="EE",IF(OR(AND(OR(J1077=1,J1077=0),H1077&gt;0,H1077&lt;5),AND(OR(J1077=1,J1077=0),H1077&gt;4,H1077&lt;16),AND(J1077=2,H1077&gt;0,H1077&lt;5)),"Simples",IF(OR(AND(OR(J1077=1,J1077=0),H1077&gt;15),AND(J1077=2,H1077&gt;4,H1077&lt;16),AND(J1077&gt;2,H1077&gt;0,H1077&lt;5)),"Médio",IF(OR(AND(J1077=2,H1077&gt;15),AND(J1077&gt;2,H1077&gt;4,H1077&lt;16),AND(J1077&gt;2,H1077&gt;15)),"Complexo",""))), IF(OR(G1077="CE",G1077="SE"),IF(OR(AND(OR(J1077=1,J1077=0),H1077&gt;0,H1077&lt;6),AND(OR(J1077=1,J1077=0),H1077&gt;5,H1077&lt;20),AND(J1077&gt;1,J1077&lt;4,H1077&gt;0,H1077&lt;6)),"Simples",IF(OR(AND(OR(J1077=1,J1077=0),H1077&gt;19),AND(J1077&gt;1,J1077&lt;4,H1077&gt;5,H1077&lt;20),AND(J1077&gt;3,H1077&gt;0,H1077&lt;6)),"Médio",IF(OR(AND(J1077&gt;1,J1077&lt;4,H1077&gt;19),AND(J1077&gt;3,H1077&gt;5,H1077&lt;20),AND(J1077&gt;3,H1077&gt;19)),"Complexo",""))),""))</f>
        <v/>
      </c>
      <c r="M1077" s="48" t="str">
        <f t="shared" ref="M1077:M1140" si="235">IF(G1077="ALI",IF(OR(AND(OR(J1077=1,J1077=0),H1077&gt;0,H1077&lt;20),AND(OR(J1077=1,J1077=0),H1077&gt;19,H1077&lt;51),AND(J1077&gt;1,J1077&lt;6,H1077&gt;0,H1077&lt;20)),"Simples",IF(OR(AND(OR(J1077=1,J1077=0),H1077&gt;50),AND(J1077&gt;1,J1077&lt;6,H1077&gt;19,H1077&lt;51),AND(J1077&gt;5,H1077&gt;0,H1077&lt;20)),"Médio",IF(OR(AND(J1077&gt;1,J1077&lt;6,H1077&gt;50),AND(J1077&gt;5,H1077&gt;19,H1077&lt;51),AND(J1077&gt;5,H1077&gt;50)),"Complexo",""))), IF(G1077="AIE",IF(OR(AND(OR(J1077=1, J1077=0),H1077&gt;0,H1077&lt;20),AND(OR(J1077=1, J1077=0),H1077&gt;19,H1077&lt;51),AND(J1077&gt;1,J1077&lt;6,H1077&gt;0,H1077&lt;20)),"Simples",IF(OR(AND(OR(J1077=1, J1077=0),H1077&gt;50),AND(J1077&gt;1,J1077&lt;6,H1077&gt;19,H1077&lt;51),AND(J1077&gt;5,H1077&gt;0,H1077&lt;20)),"Médio",IF(OR(AND(J1077&gt;1,J1077&lt;6,H1077&gt;50),AND(J1077&gt;5,H1077&gt;19,H1077&lt;51),AND(J1077&gt;5,H1077&gt;50)),"Complexo",""))),""))</f>
        <v/>
      </c>
      <c r="N1077" s="54" t="str">
        <f t="shared" ref="N1077:N1140" si="236">IF(L1077="",M1077,IF(M1077="",L1077,""))</f>
        <v/>
      </c>
      <c r="O1077" s="55">
        <f t="shared" ref="O1077:O1140" si="237">IF(AND(OR(G1077="EE",G1077="CE"),N1077="Simples"),3, IF(AND(OR(G1077="EE",G1077="CE"),N1077="Médio"),4, IF(AND(OR(G1077="EE",G1077="CE"),N1077="Complexo"),6, IF(AND(G1077="SE",N1077="Simples"),4, IF(AND(G1077="SE",N1077="Médio"),5, IF(AND(G1077="SE",N1077="Complexo"),7,0))))))</f>
        <v>0</v>
      </c>
      <c r="P1077" s="55">
        <f t="shared" ref="P1077:P1140" si="238">IF(AND(G1077="ALI",M1077="Simples"),7, IF(AND(G1077="ALI",M1077="Médio"),10, IF(AND(G1077="ALI",M1077="Complexo"),15, IF(AND(G1077="AIE",M1077="Simples"),5, IF(AND(G1077="AIE",M1077="Médio"),7, IF(AND(G1077="AIE",M1077="Complexo"),10,0))))))</f>
        <v>0</v>
      </c>
      <c r="Q1077" s="54">
        <f t="shared" ref="Q1077:Q1140" si="239">IF(B1077&lt;&gt;"Manutenção em interface",IF(B1077&lt;&gt;"Desenv., Manutenção e Publicação de Páginas Estáticas",(O1077+P1077)*C1077,C1077),C1077)</f>
        <v>0</v>
      </c>
      <c r="R1077" s="47"/>
      <c r="T1077" s="57"/>
      <c r="U1077" s="45"/>
      <c r="V1077" s="46">
        <f>IF(U1077&lt;&gt;"",VLOOKUP(U1077,'Tipo Projeto'!$A$3:$B$35,2,0),0)</f>
        <v>0</v>
      </c>
      <c r="W1077" s="47"/>
      <c r="X1077" s="49"/>
      <c r="Y1077" s="50"/>
      <c r="Z1077" s="51"/>
      <c r="AA1077" s="52"/>
      <c r="AB1077" s="53" t="str">
        <f t="shared" ref="AB1077:AB1140" si="240">IF(W1077="EE",IF(OR(AND(OR(Z1077=1,Z1077=0),X1077&gt;0,X1077&lt;5),AND(OR(Z1077=1,Z1077=0),X1077&gt;4,X1077&lt;16),AND(Z1077=2,X1077&gt;0,X1077&lt;5)),"Simples",IF(OR(AND(OR(Z1077=1,Z1077=0),X1077&gt;15),AND(Z1077=2,X1077&gt;4,X1077&lt;16),AND(Z1077&gt;2,X1077&gt;0,X1077&lt;5)),"Médio",IF(OR(AND(Z1077=2,X1077&gt;15),AND(Z1077&gt;2,X1077&gt;4,X1077&lt;16),AND(Z1077&gt;2,X1077&gt;15)),"Complexo",""))), IF(OR(W1077="CE",W1077="SE"),IF(OR(AND(OR(Z1077=1,Z1077=0),X1077&gt;0,X1077&lt;6),AND(OR(Z1077=1,Z1077=0),X1077&gt;5,X1077&lt;20),AND(Z1077&gt;1,Z1077&lt;4,X1077&gt;0,X1077&lt;6)),"Simples",IF(OR(AND(OR(Z1077=1,Z1077=0),X1077&gt;19),AND(Z1077&gt;1,Z1077&lt;4,X1077&gt;5,X1077&lt;20),AND(Z1077&gt;3,X1077&gt;0,X1077&lt;6)),"Médio",IF(OR(AND(Z1077&gt;1,Z1077&lt;4,X1077&gt;19),AND(Z1077&gt;3,X1077&gt;5,X1077&lt;20),AND(Z1077&gt;3,X1077&gt;19)),"Complexo",""))),""))</f>
        <v/>
      </c>
      <c r="AC1077" s="48" t="str">
        <f t="shared" ref="AC1077:AC1140" si="241">IF(W1077="ALI",IF(OR(AND(OR(Z1077=1,Z1077=0),X1077&gt;0,X1077&lt;20),AND(OR(Z1077=1,Z1077=0),X1077&gt;19,X1077&lt;51),AND(Z1077&gt;1,Z1077&lt;6,X1077&gt;0,X1077&lt;20)),"Simples",IF(OR(AND(OR(Z1077=1,Z1077=0),X1077&gt;50),AND(Z1077&gt;1,Z1077&lt;6,X1077&gt;19,X1077&lt;51),AND(Z1077&gt;5,X1077&gt;0,X1077&lt;20)),"Médio",IF(OR(AND(Z1077&gt;1,Z1077&lt;6,X1077&gt;50),AND(Z1077&gt;5,X1077&gt;19,X1077&lt;51),AND(Z1077&gt;5,X1077&gt;50)),"Complexo",""))), IF(W1077="AIE",IF(OR(AND(OR(Z1077=1, Z1077=0),X1077&gt;0,X1077&lt;20),AND(OR(Z1077=1, Z1077=0),X1077&gt;19,X1077&lt;51),AND(Z1077&gt;1,Z1077&lt;6,X1077&gt;0,X1077&lt;20)),"Simples",IF(OR(AND(OR(Z1077=1, Z1077=0),X1077&gt;50),AND(Z1077&gt;1,Z1077&lt;6,X1077&gt;19,X1077&lt;51),AND(Z1077&gt;5,X1077&gt;0,X1077&lt;20)),"Médio",IF(OR(AND(Z1077&gt;1,Z1077&lt;6,X1077&gt;50),AND(Z1077&gt;5,X1077&gt;19,X1077&lt;51),AND(Z1077&gt;5,X1077&gt;50)),"Complexo",""))),""))</f>
        <v/>
      </c>
      <c r="AD1077" s="54" t="str">
        <f t="shared" ref="AD1077:AD1140" si="242">IF(AB1077="",AC1077,IF(AC1077="",AB1077,""))</f>
        <v/>
      </c>
      <c r="AE1077" s="55">
        <f t="shared" ref="AE1077:AE1140" si="243">IF(AND(OR(W1077="EE",W1077="CE"),AD1077="Simples"),3, IF(AND(OR(W1077="EE",W1077="CE"),AD1077="Médio"),4, IF(AND(OR(W1077="EE",W1077="CE"),AD1077="Complexo"),6, IF(AND(W1077="SE",AD1077="Simples"),4, IF(AND(W1077="SE",AD1077="Médio"),5, IF(AND(W1077="SE",AD1077="Complexo"),7,0))))))</f>
        <v>0</v>
      </c>
      <c r="AF1077" s="55">
        <f t="shared" ref="AF1077:AF1140" si="244">IF(AND(W1077="ALI",AC1077="Simples"),7, IF(AND(W1077="ALI",AC1077="Médio"),10, IF(AND(W1077="ALI",AC1077="Complexo"),15, IF(AND(W1077="AIE",AC1077="Simples"),5, IF(AND(W1077="AIE",AC1077="Médio"),7, IF(AND(W1077="AIE",AC1077="Complexo"),10,0))))))</f>
        <v>0</v>
      </c>
      <c r="AG1077" s="58">
        <f t="shared" ref="AG1077:AG1140" si="245">IF(T1077="OK",Q1077,( IF(U1077&lt;&gt;"Manutenção em interface",IF(U1077&lt;&gt;"Desenv., Manutenção e Publicação de Páginas Estáticas",(AE1077+AF1077)*V1077,V1077),V1077)))</f>
        <v>0</v>
      </c>
      <c r="AH1077" s="47"/>
      <c r="AJ1077" s="47"/>
      <c r="AL1077" s="47"/>
      <c r="AM1077" s="47" t="str">
        <f t="shared" ref="AM1077:AM1140" si="246">IF(AG1077=0,"",IF(AG1077=Q1077,"OK","Divergente"))</f>
        <v/>
      </c>
    </row>
    <row r="1078" spans="1:39" s="56" customFormat="1" ht="24.75" customHeight="1">
      <c r="A1078" s="44"/>
      <c r="B1078" s="45"/>
      <c r="C1078" s="46">
        <f>IF(B1078&lt;&gt;"",VLOOKUP(B1078,'Tipo Projeto'!$A$3:$B$35,2,0),0)</f>
        <v>0</v>
      </c>
      <c r="D1078" s="47"/>
      <c r="E1078" s="47"/>
      <c r="F1078" s="48"/>
      <c r="G1078" s="47"/>
      <c r="H1078" s="49"/>
      <c r="I1078" s="50"/>
      <c r="J1078" s="51"/>
      <c r="K1078" s="52"/>
      <c r="L1078" s="53" t="str">
        <f t="shared" si="234"/>
        <v/>
      </c>
      <c r="M1078" s="48" t="str">
        <f t="shared" si="235"/>
        <v/>
      </c>
      <c r="N1078" s="54" t="str">
        <f t="shared" si="236"/>
        <v/>
      </c>
      <c r="O1078" s="55">
        <f t="shared" si="237"/>
        <v>0</v>
      </c>
      <c r="P1078" s="55">
        <f t="shared" si="238"/>
        <v>0</v>
      </c>
      <c r="Q1078" s="54">
        <f t="shared" si="239"/>
        <v>0</v>
      </c>
      <c r="R1078" s="47"/>
      <c r="T1078" s="57"/>
      <c r="U1078" s="45"/>
      <c r="V1078" s="46">
        <f>IF(U1078&lt;&gt;"",VLOOKUP(U1078,'Tipo Projeto'!$A$3:$B$35,2,0),0)</f>
        <v>0</v>
      </c>
      <c r="W1078" s="47"/>
      <c r="X1078" s="49"/>
      <c r="Y1078" s="50"/>
      <c r="Z1078" s="51"/>
      <c r="AA1078" s="52"/>
      <c r="AB1078" s="53" t="str">
        <f t="shared" si="240"/>
        <v/>
      </c>
      <c r="AC1078" s="48" t="str">
        <f t="shared" si="241"/>
        <v/>
      </c>
      <c r="AD1078" s="54" t="str">
        <f t="shared" si="242"/>
        <v/>
      </c>
      <c r="AE1078" s="55">
        <f t="shared" si="243"/>
        <v>0</v>
      </c>
      <c r="AF1078" s="55">
        <f t="shared" si="244"/>
        <v>0</v>
      </c>
      <c r="AG1078" s="58">
        <f t="shared" si="245"/>
        <v>0</v>
      </c>
      <c r="AH1078" s="47"/>
      <c r="AJ1078" s="47"/>
      <c r="AL1078" s="47"/>
      <c r="AM1078" s="47" t="str">
        <f t="shared" si="246"/>
        <v/>
      </c>
    </row>
    <row r="1079" spans="1:39" s="56" customFormat="1" ht="24.75" customHeight="1">
      <c r="A1079" s="44"/>
      <c r="B1079" s="45"/>
      <c r="C1079" s="46">
        <f>IF(B1079&lt;&gt;"",VLOOKUP(B1079,'Tipo Projeto'!$A$3:$B$35,2,0),0)</f>
        <v>0</v>
      </c>
      <c r="D1079" s="47"/>
      <c r="E1079" s="47"/>
      <c r="F1079" s="48"/>
      <c r="G1079" s="47"/>
      <c r="H1079" s="49"/>
      <c r="I1079" s="50"/>
      <c r="J1079" s="51"/>
      <c r="K1079" s="52"/>
      <c r="L1079" s="53" t="str">
        <f t="shared" si="234"/>
        <v/>
      </c>
      <c r="M1079" s="48" t="str">
        <f t="shared" si="235"/>
        <v/>
      </c>
      <c r="N1079" s="54" t="str">
        <f t="shared" si="236"/>
        <v/>
      </c>
      <c r="O1079" s="55">
        <f t="shared" si="237"/>
        <v>0</v>
      </c>
      <c r="P1079" s="55">
        <f t="shared" si="238"/>
        <v>0</v>
      </c>
      <c r="Q1079" s="54">
        <f t="shared" si="239"/>
        <v>0</v>
      </c>
      <c r="R1079" s="47"/>
      <c r="T1079" s="57"/>
      <c r="U1079" s="45"/>
      <c r="V1079" s="46">
        <f>IF(U1079&lt;&gt;"",VLOOKUP(U1079,'Tipo Projeto'!$A$3:$B$35,2,0),0)</f>
        <v>0</v>
      </c>
      <c r="W1079" s="47"/>
      <c r="X1079" s="49"/>
      <c r="Y1079" s="50"/>
      <c r="Z1079" s="51"/>
      <c r="AA1079" s="52"/>
      <c r="AB1079" s="53" t="str">
        <f t="shared" si="240"/>
        <v/>
      </c>
      <c r="AC1079" s="48" t="str">
        <f t="shared" si="241"/>
        <v/>
      </c>
      <c r="AD1079" s="54" t="str">
        <f t="shared" si="242"/>
        <v/>
      </c>
      <c r="AE1079" s="55">
        <f t="shared" si="243"/>
        <v>0</v>
      </c>
      <c r="AF1079" s="55">
        <f t="shared" si="244"/>
        <v>0</v>
      </c>
      <c r="AG1079" s="58">
        <f t="shared" si="245"/>
        <v>0</v>
      </c>
      <c r="AH1079" s="47"/>
      <c r="AJ1079" s="47"/>
      <c r="AL1079" s="47"/>
      <c r="AM1079" s="47" t="str">
        <f t="shared" si="246"/>
        <v/>
      </c>
    </row>
    <row r="1080" spans="1:39" s="56" customFormat="1" ht="24.75" customHeight="1">
      <c r="A1080" s="44"/>
      <c r="B1080" s="45"/>
      <c r="C1080" s="46">
        <f>IF(B1080&lt;&gt;"",VLOOKUP(B1080,'Tipo Projeto'!$A$3:$B$35,2,0),0)</f>
        <v>0</v>
      </c>
      <c r="D1080" s="47"/>
      <c r="E1080" s="47"/>
      <c r="F1080" s="48"/>
      <c r="G1080" s="47"/>
      <c r="H1080" s="49"/>
      <c r="I1080" s="50"/>
      <c r="J1080" s="51"/>
      <c r="K1080" s="52"/>
      <c r="L1080" s="53" t="str">
        <f t="shared" si="234"/>
        <v/>
      </c>
      <c r="M1080" s="48" t="str">
        <f t="shared" si="235"/>
        <v/>
      </c>
      <c r="N1080" s="54" t="str">
        <f t="shared" si="236"/>
        <v/>
      </c>
      <c r="O1080" s="55">
        <f t="shared" si="237"/>
        <v>0</v>
      </c>
      <c r="P1080" s="55">
        <f t="shared" si="238"/>
        <v>0</v>
      </c>
      <c r="Q1080" s="54">
        <f t="shared" si="239"/>
        <v>0</v>
      </c>
      <c r="R1080" s="47"/>
      <c r="T1080" s="57"/>
      <c r="U1080" s="45"/>
      <c r="V1080" s="46">
        <f>IF(U1080&lt;&gt;"",VLOOKUP(U1080,'Tipo Projeto'!$A$3:$B$35,2,0),0)</f>
        <v>0</v>
      </c>
      <c r="W1080" s="47"/>
      <c r="X1080" s="49"/>
      <c r="Y1080" s="50"/>
      <c r="Z1080" s="51"/>
      <c r="AA1080" s="52"/>
      <c r="AB1080" s="53" t="str">
        <f t="shared" si="240"/>
        <v/>
      </c>
      <c r="AC1080" s="48" t="str">
        <f t="shared" si="241"/>
        <v/>
      </c>
      <c r="AD1080" s="54" t="str">
        <f t="shared" si="242"/>
        <v/>
      </c>
      <c r="AE1080" s="55">
        <f t="shared" si="243"/>
        <v>0</v>
      </c>
      <c r="AF1080" s="55">
        <f t="shared" si="244"/>
        <v>0</v>
      </c>
      <c r="AG1080" s="58">
        <f t="shared" si="245"/>
        <v>0</v>
      </c>
      <c r="AH1080" s="47"/>
      <c r="AJ1080" s="47"/>
      <c r="AL1080" s="47"/>
      <c r="AM1080" s="47" t="str">
        <f t="shared" si="246"/>
        <v/>
      </c>
    </row>
    <row r="1081" spans="1:39" s="56" customFormat="1" ht="24.75" customHeight="1">
      <c r="A1081" s="44"/>
      <c r="B1081" s="45"/>
      <c r="C1081" s="46">
        <f>IF(B1081&lt;&gt;"",VLOOKUP(B1081,'Tipo Projeto'!$A$3:$B$35,2,0),0)</f>
        <v>0</v>
      </c>
      <c r="D1081" s="47"/>
      <c r="E1081" s="47"/>
      <c r="F1081" s="48"/>
      <c r="G1081" s="47"/>
      <c r="H1081" s="49"/>
      <c r="I1081" s="50"/>
      <c r="J1081" s="51"/>
      <c r="K1081" s="52"/>
      <c r="L1081" s="53" t="str">
        <f t="shared" si="234"/>
        <v/>
      </c>
      <c r="M1081" s="48" t="str">
        <f t="shared" si="235"/>
        <v/>
      </c>
      <c r="N1081" s="54" t="str">
        <f t="shared" si="236"/>
        <v/>
      </c>
      <c r="O1081" s="55">
        <f t="shared" si="237"/>
        <v>0</v>
      </c>
      <c r="P1081" s="55">
        <f t="shared" si="238"/>
        <v>0</v>
      </c>
      <c r="Q1081" s="54">
        <f t="shared" si="239"/>
        <v>0</v>
      </c>
      <c r="R1081" s="47"/>
      <c r="T1081" s="57"/>
      <c r="U1081" s="45"/>
      <c r="V1081" s="46">
        <f>IF(U1081&lt;&gt;"",VLOOKUP(U1081,'Tipo Projeto'!$A$3:$B$35,2,0),0)</f>
        <v>0</v>
      </c>
      <c r="W1081" s="47"/>
      <c r="X1081" s="49"/>
      <c r="Y1081" s="50"/>
      <c r="Z1081" s="51"/>
      <c r="AA1081" s="52"/>
      <c r="AB1081" s="53" t="str">
        <f t="shared" si="240"/>
        <v/>
      </c>
      <c r="AC1081" s="48" t="str">
        <f t="shared" si="241"/>
        <v/>
      </c>
      <c r="AD1081" s="54" t="str">
        <f t="shared" si="242"/>
        <v/>
      </c>
      <c r="AE1081" s="55">
        <f t="shared" si="243"/>
        <v>0</v>
      </c>
      <c r="AF1081" s="55">
        <f t="shared" si="244"/>
        <v>0</v>
      </c>
      <c r="AG1081" s="58">
        <f t="shared" si="245"/>
        <v>0</v>
      </c>
      <c r="AH1081" s="47"/>
      <c r="AJ1081" s="47"/>
      <c r="AL1081" s="47"/>
      <c r="AM1081" s="47" t="str">
        <f t="shared" si="246"/>
        <v/>
      </c>
    </row>
    <row r="1082" spans="1:39" s="56" customFormat="1" ht="24.75" customHeight="1">
      <c r="A1082" s="44"/>
      <c r="B1082" s="45"/>
      <c r="C1082" s="46">
        <f>IF(B1082&lt;&gt;"",VLOOKUP(B1082,'Tipo Projeto'!$A$3:$B$35,2,0),0)</f>
        <v>0</v>
      </c>
      <c r="D1082" s="47"/>
      <c r="E1082" s="47"/>
      <c r="F1082" s="48"/>
      <c r="G1082" s="47"/>
      <c r="H1082" s="49"/>
      <c r="I1082" s="50"/>
      <c r="J1082" s="51"/>
      <c r="K1082" s="52"/>
      <c r="L1082" s="53" t="str">
        <f t="shared" si="234"/>
        <v/>
      </c>
      <c r="M1082" s="48" t="str">
        <f t="shared" si="235"/>
        <v/>
      </c>
      <c r="N1082" s="54" t="str">
        <f t="shared" si="236"/>
        <v/>
      </c>
      <c r="O1082" s="55">
        <f t="shared" si="237"/>
        <v>0</v>
      </c>
      <c r="P1082" s="55">
        <f t="shared" si="238"/>
        <v>0</v>
      </c>
      <c r="Q1082" s="54">
        <f t="shared" si="239"/>
        <v>0</v>
      </c>
      <c r="R1082" s="47"/>
      <c r="T1082" s="57"/>
      <c r="U1082" s="45"/>
      <c r="V1082" s="46">
        <f>IF(U1082&lt;&gt;"",VLOOKUP(U1082,'Tipo Projeto'!$A$3:$B$35,2,0),0)</f>
        <v>0</v>
      </c>
      <c r="W1082" s="47"/>
      <c r="X1082" s="49"/>
      <c r="Y1082" s="50"/>
      <c r="Z1082" s="51"/>
      <c r="AA1082" s="52"/>
      <c r="AB1082" s="53" t="str">
        <f t="shared" si="240"/>
        <v/>
      </c>
      <c r="AC1082" s="48" t="str">
        <f t="shared" si="241"/>
        <v/>
      </c>
      <c r="AD1082" s="54" t="str">
        <f t="shared" si="242"/>
        <v/>
      </c>
      <c r="AE1082" s="55">
        <f t="shared" si="243"/>
        <v>0</v>
      </c>
      <c r="AF1082" s="55">
        <f t="shared" si="244"/>
        <v>0</v>
      </c>
      <c r="AG1082" s="58">
        <f t="shared" si="245"/>
        <v>0</v>
      </c>
      <c r="AH1082" s="47"/>
      <c r="AJ1082" s="47"/>
      <c r="AL1082" s="47"/>
      <c r="AM1082" s="47" t="str">
        <f t="shared" si="246"/>
        <v/>
      </c>
    </row>
    <row r="1083" spans="1:39" s="56" customFormat="1" ht="24.75" customHeight="1">
      <c r="A1083" s="44"/>
      <c r="B1083" s="45"/>
      <c r="C1083" s="46">
        <f>IF(B1083&lt;&gt;"",VLOOKUP(B1083,'Tipo Projeto'!$A$3:$B$35,2,0),0)</f>
        <v>0</v>
      </c>
      <c r="D1083" s="47"/>
      <c r="E1083" s="47"/>
      <c r="F1083" s="48"/>
      <c r="G1083" s="47"/>
      <c r="H1083" s="49"/>
      <c r="I1083" s="50"/>
      <c r="J1083" s="51"/>
      <c r="K1083" s="52"/>
      <c r="L1083" s="53" t="str">
        <f t="shared" si="234"/>
        <v/>
      </c>
      <c r="M1083" s="48" t="str">
        <f t="shared" si="235"/>
        <v/>
      </c>
      <c r="N1083" s="54" t="str">
        <f t="shared" si="236"/>
        <v/>
      </c>
      <c r="O1083" s="55">
        <f t="shared" si="237"/>
        <v>0</v>
      </c>
      <c r="P1083" s="55">
        <f t="shared" si="238"/>
        <v>0</v>
      </c>
      <c r="Q1083" s="54">
        <f t="shared" si="239"/>
        <v>0</v>
      </c>
      <c r="R1083" s="47"/>
      <c r="T1083" s="57"/>
      <c r="U1083" s="45"/>
      <c r="V1083" s="46">
        <f>IF(U1083&lt;&gt;"",VLOOKUP(U1083,'Tipo Projeto'!$A$3:$B$35,2,0),0)</f>
        <v>0</v>
      </c>
      <c r="W1083" s="47"/>
      <c r="X1083" s="49"/>
      <c r="Y1083" s="50"/>
      <c r="Z1083" s="51"/>
      <c r="AA1083" s="52"/>
      <c r="AB1083" s="53" t="str">
        <f t="shared" si="240"/>
        <v/>
      </c>
      <c r="AC1083" s="48" t="str">
        <f t="shared" si="241"/>
        <v/>
      </c>
      <c r="AD1083" s="54" t="str">
        <f t="shared" si="242"/>
        <v/>
      </c>
      <c r="AE1083" s="55">
        <f t="shared" si="243"/>
        <v>0</v>
      </c>
      <c r="AF1083" s="55">
        <f t="shared" si="244"/>
        <v>0</v>
      </c>
      <c r="AG1083" s="58">
        <f t="shared" si="245"/>
        <v>0</v>
      </c>
      <c r="AH1083" s="47"/>
      <c r="AJ1083" s="47"/>
      <c r="AL1083" s="47"/>
      <c r="AM1083" s="47" t="str">
        <f t="shared" si="246"/>
        <v/>
      </c>
    </row>
    <row r="1084" spans="1:39" s="56" customFormat="1" ht="24.75" customHeight="1">
      <c r="A1084" s="44"/>
      <c r="B1084" s="45"/>
      <c r="C1084" s="46">
        <f>IF(B1084&lt;&gt;"",VLOOKUP(B1084,'Tipo Projeto'!$A$3:$B$35,2,0),0)</f>
        <v>0</v>
      </c>
      <c r="D1084" s="47"/>
      <c r="E1084" s="47"/>
      <c r="F1084" s="48"/>
      <c r="G1084" s="47"/>
      <c r="H1084" s="49"/>
      <c r="I1084" s="50"/>
      <c r="J1084" s="51"/>
      <c r="K1084" s="52"/>
      <c r="L1084" s="53" t="str">
        <f t="shared" si="234"/>
        <v/>
      </c>
      <c r="M1084" s="48" t="str">
        <f t="shared" si="235"/>
        <v/>
      </c>
      <c r="N1084" s="54" t="str">
        <f t="shared" si="236"/>
        <v/>
      </c>
      <c r="O1084" s="55">
        <f t="shared" si="237"/>
        <v>0</v>
      </c>
      <c r="P1084" s="55">
        <f t="shared" si="238"/>
        <v>0</v>
      </c>
      <c r="Q1084" s="54">
        <f t="shared" si="239"/>
        <v>0</v>
      </c>
      <c r="R1084" s="47"/>
      <c r="T1084" s="57"/>
      <c r="U1084" s="45"/>
      <c r="V1084" s="46">
        <f>IF(U1084&lt;&gt;"",VLOOKUP(U1084,'Tipo Projeto'!$A$3:$B$35,2,0),0)</f>
        <v>0</v>
      </c>
      <c r="W1084" s="47"/>
      <c r="X1084" s="49"/>
      <c r="Y1084" s="50"/>
      <c r="Z1084" s="51"/>
      <c r="AA1084" s="52"/>
      <c r="AB1084" s="53" t="str">
        <f t="shared" si="240"/>
        <v/>
      </c>
      <c r="AC1084" s="48" t="str">
        <f t="shared" si="241"/>
        <v/>
      </c>
      <c r="AD1084" s="54" t="str">
        <f t="shared" si="242"/>
        <v/>
      </c>
      <c r="AE1084" s="55">
        <f t="shared" si="243"/>
        <v>0</v>
      </c>
      <c r="AF1084" s="55">
        <f t="shared" si="244"/>
        <v>0</v>
      </c>
      <c r="AG1084" s="58">
        <f t="shared" si="245"/>
        <v>0</v>
      </c>
      <c r="AH1084" s="47"/>
      <c r="AJ1084" s="47"/>
      <c r="AL1084" s="47"/>
      <c r="AM1084" s="47" t="str">
        <f t="shared" si="246"/>
        <v/>
      </c>
    </row>
    <row r="1085" spans="1:39" s="56" customFormat="1" ht="24.75" customHeight="1">
      <c r="A1085" s="44"/>
      <c r="B1085" s="45"/>
      <c r="C1085" s="46">
        <f>IF(B1085&lt;&gt;"",VLOOKUP(B1085,'Tipo Projeto'!$A$3:$B$35,2,0),0)</f>
        <v>0</v>
      </c>
      <c r="D1085" s="47"/>
      <c r="E1085" s="47"/>
      <c r="F1085" s="48"/>
      <c r="G1085" s="47"/>
      <c r="H1085" s="49"/>
      <c r="I1085" s="50"/>
      <c r="J1085" s="51"/>
      <c r="K1085" s="52"/>
      <c r="L1085" s="53" t="str">
        <f t="shared" si="234"/>
        <v/>
      </c>
      <c r="M1085" s="48" t="str">
        <f t="shared" si="235"/>
        <v/>
      </c>
      <c r="N1085" s="54" t="str">
        <f t="shared" si="236"/>
        <v/>
      </c>
      <c r="O1085" s="55">
        <f t="shared" si="237"/>
        <v>0</v>
      </c>
      <c r="P1085" s="55">
        <f t="shared" si="238"/>
        <v>0</v>
      </c>
      <c r="Q1085" s="54">
        <f t="shared" si="239"/>
        <v>0</v>
      </c>
      <c r="R1085" s="47"/>
      <c r="T1085" s="57"/>
      <c r="U1085" s="45"/>
      <c r="V1085" s="46">
        <f>IF(U1085&lt;&gt;"",VLOOKUP(U1085,'Tipo Projeto'!$A$3:$B$35,2,0),0)</f>
        <v>0</v>
      </c>
      <c r="W1085" s="47"/>
      <c r="X1085" s="49"/>
      <c r="Y1085" s="50"/>
      <c r="Z1085" s="51"/>
      <c r="AA1085" s="52"/>
      <c r="AB1085" s="53" t="str">
        <f t="shared" si="240"/>
        <v/>
      </c>
      <c r="AC1085" s="48" t="str">
        <f t="shared" si="241"/>
        <v/>
      </c>
      <c r="AD1085" s="54" t="str">
        <f t="shared" si="242"/>
        <v/>
      </c>
      <c r="AE1085" s="55">
        <f t="shared" si="243"/>
        <v>0</v>
      </c>
      <c r="AF1085" s="55">
        <f t="shared" si="244"/>
        <v>0</v>
      </c>
      <c r="AG1085" s="58">
        <f t="shared" si="245"/>
        <v>0</v>
      </c>
      <c r="AH1085" s="47"/>
      <c r="AJ1085" s="47"/>
      <c r="AL1085" s="47"/>
      <c r="AM1085" s="47" t="str">
        <f t="shared" si="246"/>
        <v/>
      </c>
    </row>
    <row r="1086" spans="1:39" s="56" customFormat="1" ht="24.75" customHeight="1">
      <c r="A1086" s="44"/>
      <c r="B1086" s="45"/>
      <c r="C1086" s="46">
        <f>IF(B1086&lt;&gt;"",VLOOKUP(B1086,'Tipo Projeto'!$A$3:$B$35,2,0),0)</f>
        <v>0</v>
      </c>
      <c r="D1086" s="47"/>
      <c r="E1086" s="47"/>
      <c r="F1086" s="48"/>
      <c r="G1086" s="47"/>
      <c r="H1086" s="49"/>
      <c r="I1086" s="50"/>
      <c r="J1086" s="51"/>
      <c r="K1086" s="52"/>
      <c r="L1086" s="53" t="str">
        <f t="shared" si="234"/>
        <v/>
      </c>
      <c r="M1086" s="48" t="str">
        <f t="shared" si="235"/>
        <v/>
      </c>
      <c r="N1086" s="54" t="str">
        <f t="shared" si="236"/>
        <v/>
      </c>
      <c r="O1086" s="55">
        <f t="shared" si="237"/>
        <v>0</v>
      </c>
      <c r="P1086" s="55">
        <f t="shared" si="238"/>
        <v>0</v>
      </c>
      <c r="Q1086" s="54">
        <f t="shared" si="239"/>
        <v>0</v>
      </c>
      <c r="R1086" s="47"/>
      <c r="T1086" s="57"/>
      <c r="U1086" s="45"/>
      <c r="V1086" s="46">
        <f>IF(U1086&lt;&gt;"",VLOOKUP(U1086,'Tipo Projeto'!$A$3:$B$35,2,0),0)</f>
        <v>0</v>
      </c>
      <c r="W1086" s="47"/>
      <c r="X1086" s="49"/>
      <c r="Y1086" s="50"/>
      <c r="Z1086" s="51"/>
      <c r="AA1086" s="52"/>
      <c r="AB1086" s="53" t="str">
        <f t="shared" si="240"/>
        <v/>
      </c>
      <c r="AC1086" s="48" t="str">
        <f t="shared" si="241"/>
        <v/>
      </c>
      <c r="AD1086" s="54" t="str">
        <f t="shared" si="242"/>
        <v/>
      </c>
      <c r="AE1086" s="55">
        <f t="shared" si="243"/>
        <v>0</v>
      </c>
      <c r="AF1086" s="55">
        <f t="shared" si="244"/>
        <v>0</v>
      </c>
      <c r="AG1086" s="58">
        <f t="shared" si="245"/>
        <v>0</v>
      </c>
      <c r="AH1086" s="47"/>
      <c r="AJ1086" s="47"/>
      <c r="AL1086" s="47"/>
      <c r="AM1086" s="47" t="str">
        <f t="shared" si="246"/>
        <v/>
      </c>
    </row>
    <row r="1087" spans="1:39" s="56" customFormat="1" ht="24.75" customHeight="1">
      <c r="A1087" s="44"/>
      <c r="B1087" s="45"/>
      <c r="C1087" s="46">
        <f>IF(B1087&lt;&gt;"",VLOOKUP(B1087,'Tipo Projeto'!$A$3:$B$35,2,0),0)</f>
        <v>0</v>
      </c>
      <c r="D1087" s="47"/>
      <c r="E1087" s="47"/>
      <c r="F1087" s="48"/>
      <c r="G1087" s="47"/>
      <c r="H1087" s="49"/>
      <c r="I1087" s="50"/>
      <c r="J1087" s="51"/>
      <c r="K1087" s="52"/>
      <c r="L1087" s="53" t="str">
        <f t="shared" si="234"/>
        <v/>
      </c>
      <c r="M1087" s="48" t="str">
        <f t="shared" si="235"/>
        <v/>
      </c>
      <c r="N1087" s="54" t="str">
        <f t="shared" si="236"/>
        <v/>
      </c>
      <c r="O1087" s="55">
        <f t="shared" si="237"/>
        <v>0</v>
      </c>
      <c r="P1087" s="55">
        <f t="shared" si="238"/>
        <v>0</v>
      </c>
      <c r="Q1087" s="54">
        <f t="shared" si="239"/>
        <v>0</v>
      </c>
      <c r="R1087" s="47"/>
      <c r="T1087" s="57"/>
      <c r="U1087" s="45"/>
      <c r="V1087" s="46">
        <f>IF(U1087&lt;&gt;"",VLOOKUP(U1087,'Tipo Projeto'!$A$3:$B$35,2,0),0)</f>
        <v>0</v>
      </c>
      <c r="W1087" s="47"/>
      <c r="X1087" s="49"/>
      <c r="Y1087" s="50"/>
      <c r="Z1087" s="51"/>
      <c r="AA1087" s="52"/>
      <c r="AB1087" s="53" t="str">
        <f t="shared" si="240"/>
        <v/>
      </c>
      <c r="AC1087" s="48" t="str">
        <f t="shared" si="241"/>
        <v/>
      </c>
      <c r="AD1087" s="54" t="str">
        <f t="shared" si="242"/>
        <v/>
      </c>
      <c r="AE1087" s="55">
        <f t="shared" si="243"/>
        <v>0</v>
      </c>
      <c r="AF1087" s="55">
        <f t="shared" si="244"/>
        <v>0</v>
      </c>
      <c r="AG1087" s="58">
        <f t="shared" si="245"/>
        <v>0</v>
      </c>
      <c r="AH1087" s="47"/>
      <c r="AJ1087" s="47"/>
      <c r="AL1087" s="47"/>
      <c r="AM1087" s="47" t="str">
        <f t="shared" si="246"/>
        <v/>
      </c>
    </row>
    <row r="1088" spans="1:39" s="56" customFormat="1" ht="24.75" customHeight="1">
      <c r="A1088" s="44"/>
      <c r="B1088" s="45"/>
      <c r="C1088" s="46">
        <f>IF(B1088&lt;&gt;"",VLOOKUP(B1088,'Tipo Projeto'!$A$3:$B$35,2,0),0)</f>
        <v>0</v>
      </c>
      <c r="D1088" s="47"/>
      <c r="E1088" s="47"/>
      <c r="F1088" s="48"/>
      <c r="G1088" s="47"/>
      <c r="H1088" s="49"/>
      <c r="I1088" s="50"/>
      <c r="J1088" s="51"/>
      <c r="K1088" s="52"/>
      <c r="L1088" s="53" t="str">
        <f t="shared" si="234"/>
        <v/>
      </c>
      <c r="M1088" s="48" t="str">
        <f t="shared" si="235"/>
        <v/>
      </c>
      <c r="N1088" s="54" t="str">
        <f t="shared" si="236"/>
        <v/>
      </c>
      <c r="O1088" s="55">
        <f t="shared" si="237"/>
        <v>0</v>
      </c>
      <c r="P1088" s="55">
        <f t="shared" si="238"/>
        <v>0</v>
      </c>
      <c r="Q1088" s="54">
        <f t="shared" si="239"/>
        <v>0</v>
      </c>
      <c r="R1088" s="47"/>
      <c r="T1088" s="57"/>
      <c r="U1088" s="45"/>
      <c r="V1088" s="46">
        <f>IF(U1088&lt;&gt;"",VLOOKUP(U1088,'Tipo Projeto'!$A$3:$B$35,2,0),0)</f>
        <v>0</v>
      </c>
      <c r="W1088" s="47"/>
      <c r="X1088" s="49"/>
      <c r="Y1088" s="50"/>
      <c r="Z1088" s="51"/>
      <c r="AA1088" s="52"/>
      <c r="AB1088" s="53" t="str">
        <f t="shared" si="240"/>
        <v/>
      </c>
      <c r="AC1088" s="48" t="str">
        <f t="shared" si="241"/>
        <v/>
      </c>
      <c r="AD1088" s="54" t="str">
        <f t="shared" si="242"/>
        <v/>
      </c>
      <c r="AE1088" s="55">
        <f t="shared" si="243"/>
        <v>0</v>
      </c>
      <c r="AF1088" s="55">
        <f t="shared" si="244"/>
        <v>0</v>
      </c>
      <c r="AG1088" s="58">
        <f t="shared" si="245"/>
        <v>0</v>
      </c>
      <c r="AH1088" s="47"/>
      <c r="AJ1088" s="47"/>
      <c r="AL1088" s="47"/>
      <c r="AM1088" s="47" t="str">
        <f t="shared" si="246"/>
        <v/>
      </c>
    </row>
    <row r="1089" spans="1:39" s="56" customFormat="1" ht="24.75" customHeight="1">
      <c r="A1089" s="44"/>
      <c r="B1089" s="45"/>
      <c r="C1089" s="46">
        <f>IF(B1089&lt;&gt;"",VLOOKUP(B1089,'Tipo Projeto'!$A$3:$B$35,2,0),0)</f>
        <v>0</v>
      </c>
      <c r="D1089" s="47"/>
      <c r="E1089" s="47"/>
      <c r="F1089" s="48"/>
      <c r="G1089" s="47"/>
      <c r="H1089" s="49"/>
      <c r="I1089" s="50"/>
      <c r="J1089" s="51"/>
      <c r="K1089" s="52"/>
      <c r="L1089" s="53" t="str">
        <f t="shared" si="234"/>
        <v/>
      </c>
      <c r="M1089" s="48" t="str">
        <f t="shared" si="235"/>
        <v/>
      </c>
      <c r="N1089" s="54" t="str">
        <f t="shared" si="236"/>
        <v/>
      </c>
      <c r="O1089" s="55">
        <f t="shared" si="237"/>
        <v>0</v>
      </c>
      <c r="P1089" s="55">
        <f t="shared" si="238"/>
        <v>0</v>
      </c>
      <c r="Q1089" s="54">
        <f t="shared" si="239"/>
        <v>0</v>
      </c>
      <c r="R1089" s="47"/>
      <c r="T1089" s="57"/>
      <c r="U1089" s="45"/>
      <c r="V1089" s="46">
        <f>IF(U1089&lt;&gt;"",VLOOKUP(U1089,'Tipo Projeto'!$A$3:$B$35,2,0),0)</f>
        <v>0</v>
      </c>
      <c r="W1089" s="47"/>
      <c r="X1089" s="49"/>
      <c r="Y1089" s="50"/>
      <c r="Z1089" s="51"/>
      <c r="AA1089" s="52"/>
      <c r="AB1089" s="53" t="str">
        <f t="shared" si="240"/>
        <v/>
      </c>
      <c r="AC1089" s="48" t="str">
        <f t="shared" si="241"/>
        <v/>
      </c>
      <c r="AD1089" s="54" t="str">
        <f t="shared" si="242"/>
        <v/>
      </c>
      <c r="AE1089" s="55">
        <f t="shared" si="243"/>
        <v>0</v>
      </c>
      <c r="AF1089" s="55">
        <f t="shared" si="244"/>
        <v>0</v>
      </c>
      <c r="AG1089" s="58">
        <f t="shared" si="245"/>
        <v>0</v>
      </c>
      <c r="AH1089" s="47"/>
      <c r="AJ1089" s="47"/>
      <c r="AL1089" s="47"/>
      <c r="AM1089" s="47" t="str">
        <f t="shared" si="246"/>
        <v/>
      </c>
    </row>
    <row r="1090" spans="1:39" s="56" customFormat="1" ht="24.75" customHeight="1">
      <c r="A1090" s="44"/>
      <c r="B1090" s="45"/>
      <c r="C1090" s="46">
        <f>IF(B1090&lt;&gt;"",VLOOKUP(B1090,'Tipo Projeto'!$A$3:$B$35,2,0),0)</f>
        <v>0</v>
      </c>
      <c r="D1090" s="47"/>
      <c r="E1090" s="47"/>
      <c r="F1090" s="48"/>
      <c r="G1090" s="47"/>
      <c r="H1090" s="49"/>
      <c r="I1090" s="50"/>
      <c r="J1090" s="51"/>
      <c r="K1090" s="52"/>
      <c r="L1090" s="53" t="str">
        <f t="shared" si="234"/>
        <v/>
      </c>
      <c r="M1090" s="48" t="str">
        <f t="shared" si="235"/>
        <v/>
      </c>
      <c r="N1090" s="54" t="str">
        <f t="shared" si="236"/>
        <v/>
      </c>
      <c r="O1090" s="55">
        <f t="shared" si="237"/>
        <v>0</v>
      </c>
      <c r="P1090" s="55">
        <f t="shared" si="238"/>
        <v>0</v>
      </c>
      <c r="Q1090" s="54">
        <f t="shared" si="239"/>
        <v>0</v>
      </c>
      <c r="R1090" s="47"/>
      <c r="T1090" s="57"/>
      <c r="U1090" s="45"/>
      <c r="V1090" s="46">
        <f>IF(U1090&lt;&gt;"",VLOOKUP(U1090,'Tipo Projeto'!$A$3:$B$35,2,0),0)</f>
        <v>0</v>
      </c>
      <c r="W1090" s="47"/>
      <c r="X1090" s="49"/>
      <c r="Y1090" s="50"/>
      <c r="Z1090" s="51"/>
      <c r="AA1090" s="52"/>
      <c r="AB1090" s="53" t="str">
        <f t="shared" si="240"/>
        <v/>
      </c>
      <c r="AC1090" s="48" t="str">
        <f t="shared" si="241"/>
        <v/>
      </c>
      <c r="AD1090" s="54" t="str">
        <f t="shared" si="242"/>
        <v/>
      </c>
      <c r="AE1090" s="55">
        <f t="shared" si="243"/>
        <v>0</v>
      </c>
      <c r="AF1090" s="55">
        <f t="shared" si="244"/>
        <v>0</v>
      </c>
      <c r="AG1090" s="58">
        <f t="shared" si="245"/>
        <v>0</v>
      </c>
      <c r="AH1090" s="47"/>
      <c r="AJ1090" s="47"/>
      <c r="AL1090" s="47"/>
      <c r="AM1090" s="47" t="str">
        <f t="shared" si="246"/>
        <v/>
      </c>
    </row>
    <row r="1091" spans="1:39" s="56" customFormat="1" ht="24.75" customHeight="1">
      <c r="A1091" s="44"/>
      <c r="B1091" s="45"/>
      <c r="C1091" s="46">
        <f>IF(B1091&lt;&gt;"",VLOOKUP(B1091,'Tipo Projeto'!$A$3:$B$35,2,0),0)</f>
        <v>0</v>
      </c>
      <c r="D1091" s="47"/>
      <c r="E1091" s="47"/>
      <c r="F1091" s="48"/>
      <c r="G1091" s="47"/>
      <c r="H1091" s="49"/>
      <c r="I1091" s="50"/>
      <c r="J1091" s="51"/>
      <c r="K1091" s="52"/>
      <c r="L1091" s="53" t="str">
        <f t="shared" si="234"/>
        <v/>
      </c>
      <c r="M1091" s="48" t="str">
        <f t="shared" si="235"/>
        <v/>
      </c>
      <c r="N1091" s="54" t="str">
        <f t="shared" si="236"/>
        <v/>
      </c>
      <c r="O1091" s="55">
        <f t="shared" si="237"/>
        <v>0</v>
      </c>
      <c r="P1091" s="55">
        <f t="shared" si="238"/>
        <v>0</v>
      </c>
      <c r="Q1091" s="54">
        <f t="shared" si="239"/>
        <v>0</v>
      </c>
      <c r="R1091" s="47"/>
      <c r="T1091" s="57"/>
      <c r="U1091" s="45"/>
      <c r="V1091" s="46">
        <f>IF(U1091&lt;&gt;"",VLOOKUP(U1091,'Tipo Projeto'!$A$3:$B$35,2,0),0)</f>
        <v>0</v>
      </c>
      <c r="W1091" s="47"/>
      <c r="X1091" s="49"/>
      <c r="Y1091" s="50"/>
      <c r="Z1091" s="51"/>
      <c r="AA1091" s="52"/>
      <c r="AB1091" s="53" t="str">
        <f t="shared" si="240"/>
        <v/>
      </c>
      <c r="AC1091" s="48" t="str">
        <f t="shared" si="241"/>
        <v/>
      </c>
      <c r="AD1091" s="54" t="str">
        <f t="shared" si="242"/>
        <v/>
      </c>
      <c r="AE1091" s="55">
        <f t="shared" si="243"/>
        <v>0</v>
      </c>
      <c r="AF1091" s="55">
        <f t="shared" si="244"/>
        <v>0</v>
      </c>
      <c r="AG1091" s="58">
        <f t="shared" si="245"/>
        <v>0</v>
      </c>
      <c r="AH1091" s="47"/>
      <c r="AJ1091" s="47"/>
      <c r="AL1091" s="47"/>
      <c r="AM1091" s="47" t="str">
        <f t="shared" si="246"/>
        <v/>
      </c>
    </row>
    <row r="1092" spans="1:39" s="56" customFormat="1" ht="24.75" customHeight="1">
      <c r="A1092" s="44"/>
      <c r="B1092" s="45"/>
      <c r="C1092" s="46">
        <f>IF(B1092&lt;&gt;"",VLOOKUP(B1092,'Tipo Projeto'!$A$3:$B$35,2,0),0)</f>
        <v>0</v>
      </c>
      <c r="D1092" s="47"/>
      <c r="E1092" s="47"/>
      <c r="F1092" s="48"/>
      <c r="G1092" s="47"/>
      <c r="H1092" s="49"/>
      <c r="I1092" s="50"/>
      <c r="J1092" s="51"/>
      <c r="K1092" s="52"/>
      <c r="L1092" s="53" t="str">
        <f t="shared" si="234"/>
        <v/>
      </c>
      <c r="M1092" s="48" t="str">
        <f t="shared" si="235"/>
        <v/>
      </c>
      <c r="N1092" s="54" t="str">
        <f t="shared" si="236"/>
        <v/>
      </c>
      <c r="O1092" s="55">
        <f t="shared" si="237"/>
        <v>0</v>
      </c>
      <c r="P1092" s="55">
        <f t="shared" si="238"/>
        <v>0</v>
      </c>
      <c r="Q1092" s="54">
        <f t="shared" si="239"/>
        <v>0</v>
      </c>
      <c r="R1092" s="47"/>
      <c r="T1092" s="57"/>
      <c r="U1092" s="45"/>
      <c r="V1092" s="46">
        <f>IF(U1092&lt;&gt;"",VLOOKUP(U1092,'Tipo Projeto'!$A$3:$B$35,2,0),0)</f>
        <v>0</v>
      </c>
      <c r="W1092" s="47"/>
      <c r="X1092" s="49"/>
      <c r="Y1092" s="50"/>
      <c r="Z1092" s="51"/>
      <c r="AA1092" s="52"/>
      <c r="AB1092" s="53" t="str">
        <f t="shared" si="240"/>
        <v/>
      </c>
      <c r="AC1092" s="48" t="str">
        <f t="shared" si="241"/>
        <v/>
      </c>
      <c r="AD1092" s="54" t="str">
        <f t="shared" si="242"/>
        <v/>
      </c>
      <c r="AE1092" s="55">
        <f t="shared" si="243"/>
        <v>0</v>
      </c>
      <c r="AF1092" s="55">
        <f t="shared" si="244"/>
        <v>0</v>
      </c>
      <c r="AG1092" s="58">
        <f t="shared" si="245"/>
        <v>0</v>
      </c>
      <c r="AH1092" s="47"/>
      <c r="AJ1092" s="47"/>
      <c r="AL1092" s="47"/>
      <c r="AM1092" s="47" t="str">
        <f t="shared" si="246"/>
        <v/>
      </c>
    </row>
    <row r="1093" spans="1:39" s="56" customFormat="1" ht="24.75" customHeight="1">
      <c r="A1093" s="44"/>
      <c r="B1093" s="45"/>
      <c r="C1093" s="46">
        <f>IF(B1093&lt;&gt;"",VLOOKUP(B1093,'Tipo Projeto'!$A$3:$B$35,2,0),0)</f>
        <v>0</v>
      </c>
      <c r="D1093" s="47"/>
      <c r="E1093" s="47"/>
      <c r="F1093" s="48"/>
      <c r="G1093" s="47"/>
      <c r="H1093" s="49"/>
      <c r="I1093" s="50"/>
      <c r="J1093" s="51"/>
      <c r="K1093" s="52"/>
      <c r="L1093" s="53" t="str">
        <f t="shared" si="234"/>
        <v/>
      </c>
      <c r="M1093" s="48" t="str">
        <f t="shared" si="235"/>
        <v/>
      </c>
      <c r="N1093" s="54" t="str">
        <f t="shared" si="236"/>
        <v/>
      </c>
      <c r="O1093" s="55">
        <f t="shared" si="237"/>
        <v>0</v>
      </c>
      <c r="P1093" s="55">
        <f t="shared" si="238"/>
        <v>0</v>
      </c>
      <c r="Q1093" s="54">
        <f t="shared" si="239"/>
        <v>0</v>
      </c>
      <c r="R1093" s="47"/>
      <c r="T1093" s="57"/>
      <c r="U1093" s="45"/>
      <c r="V1093" s="46">
        <f>IF(U1093&lt;&gt;"",VLOOKUP(U1093,'Tipo Projeto'!$A$3:$B$35,2,0),0)</f>
        <v>0</v>
      </c>
      <c r="W1093" s="47"/>
      <c r="X1093" s="49"/>
      <c r="Y1093" s="50"/>
      <c r="Z1093" s="51"/>
      <c r="AA1093" s="52"/>
      <c r="AB1093" s="53" t="str">
        <f t="shared" si="240"/>
        <v/>
      </c>
      <c r="AC1093" s="48" t="str">
        <f t="shared" si="241"/>
        <v/>
      </c>
      <c r="AD1093" s="54" t="str">
        <f t="shared" si="242"/>
        <v/>
      </c>
      <c r="AE1093" s="55">
        <f t="shared" si="243"/>
        <v>0</v>
      </c>
      <c r="AF1093" s="55">
        <f t="shared" si="244"/>
        <v>0</v>
      </c>
      <c r="AG1093" s="58">
        <f t="shared" si="245"/>
        <v>0</v>
      </c>
      <c r="AH1093" s="47"/>
      <c r="AJ1093" s="47"/>
      <c r="AL1093" s="47"/>
      <c r="AM1093" s="47" t="str">
        <f t="shared" si="246"/>
        <v/>
      </c>
    </row>
    <row r="1094" spans="1:39" s="56" customFormat="1" ht="24.75" customHeight="1">
      <c r="A1094" s="44"/>
      <c r="B1094" s="45"/>
      <c r="C1094" s="46">
        <f>IF(B1094&lt;&gt;"",VLOOKUP(B1094,'Tipo Projeto'!$A$3:$B$35,2,0),0)</f>
        <v>0</v>
      </c>
      <c r="D1094" s="47"/>
      <c r="E1094" s="47"/>
      <c r="F1094" s="48"/>
      <c r="G1094" s="47"/>
      <c r="H1094" s="49"/>
      <c r="I1094" s="50"/>
      <c r="J1094" s="51"/>
      <c r="K1094" s="52"/>
      <c r="L1094" s="53" t="str">
        <f t="shared" si="234"/>
        <v/>
      </c>
      <c r="M1094" s="48" t="str">
        <f t="shared" si="235"/>
        <v/>
      </c>
      <c r="N1094" s="54" t="str">
        <f t="shared" si="236"/>
        <v/>
      </c>
      <c r="O1094" s="55">
        <f t="shared" si="237"/>
        <v>0</v>
      </c>
      <c r="P1094" s="55">
        <f t="shared" si="238"/>
        <v>0</v>
      </c>
      <c r="Q1094" s="54">
        <f t="shared" si="239"/>
        <v>0</v>
      </c>
      <c r="R1094" s="47"/>
      <c r="T1094" s="57"/>
      <c r="U1094" s="45"/>
      <c r="V1094" s="46">
        <f>IF(U1094&lt;&gt;"",VLOOKUP(U1094,'Tipo Projeto'!$A$3:$B$35,2,0),0)</f>
        <v>0</v>
      </c>
      <c r="W1094" s="47"/>
      <c r="X1094" s="49"/>
      <c r="Y1094" s="50"/>
      <c r="Z1094" s="51"/>
      <c r="AA1094" s="52"/>
      <c r="AB1094" s="53" t="str">
        <f t="shared" si="240"/>
        <v/>
      </c>
      <c r="AC1094" s="48" t="str">
        <f t="shared" si="241"/>
        <v/>
      </c>
      <c r="AD1094" s="54" t="str">
        <f t="shared" si="242"/>
        <v/>
      </c>
      <c r="AE1094" s="55">
        <f t="shared" si="243"/>
        <v>0</v>
      </c>
      <c r="AF1094" s="55">
        <f t="shared" si="244"/>
        <v>0</v>
      </c>
      <c r="AG1094" s="58">
        <f t="shared" si="245"/>
        <v>0</v>
      </c>
      <c r="AH1094" s="47"/>
      <c r="AJ1094" s="47"/>
      <c r="AL1094" s="47"/>
      <c r="AM1094" s="47" t="str">
        <f t="shared" si="246"/>
        <v/>
      </c>
    </row>
    <row r="1095" spans="1:39" s="56" customFormat="1" ht="24.75" customHeight="1">
      <c r="A1095" s="44"/>
      <c r="B1095" s="45"/>
      <c r="C1095" s="46">
        <f>IF(B1095&lt;&gt;"",VLOOKUP(B1095,'Tipo Projeto'!$A$3:$B$35,2,0),0)</f>
        <v>0</v>
      </c>
      <c r="D1095" s="47"/>
      <c r="E1095" s="47"/>
      <c r="F1095" s="48"/>
      <c r="G1095" s="47"/>
      <c r="H1095" s="49"/>
      <c r="I1095" s="50"/>
      <c r="J1095" s="51"/>
      <c r="K1095" s="52"/>
      <c r="L1095" s="53" t="str">
        <f t="shared" si="234"/>
        <v/>
      </c>
      <c r="M1095" s="48" t="str">
        <f t="shared" si="235"/>
        <v/>
      </c>
      <c r="N1095" s="54" t="str">
        <f t="shared" si="236"/>
        <v/>
      </c>
      <c r="O1095" s="55">
        <f t="shared" si="237"/>
        <v>0</v>
      </c>
      <c r="P1095" s="55">
        <f t="shared" si="238"/>
        <v>0</v>
      </c>
      <c r="Q1095" s="54">
        <f t="shared" si="239"/>
        <v>0</v>
      </c>
      <c r="R1095" s="47"/>
      <c r="T1095" s="57"/>
      <c r="U1095" s="45"/>
      <c r="V1095" s="46">
        <f>IF(U1095&lt;&gt;"",VLOOKUP(U1095,'Tipo Projeto'!$A$3:$B$35,2,0),0)</f>
        <v>0</v>
      </c>
      <c r="W1095" s="47"/>
      <c r="X1095" s="49"/>
      <c r="Y1095" s="50"/>
      <c r="Z1095" s="51"/>
      <c r="AA1095" s="52"/>
      <c r="AB1095" s="53" t="str">
        <f t="shared" si="240"/>
        <v/>
      </c>
      <c r="AC1095" s="48" t="str">
        <f t="shared" si="241"/>
        <v/>
      </c>
      <c r="AD1095" s="54" t="str">
        <f t="shared" si="242"/>
        <v/>
      </c>
      <c r="AE1095" s="55">
        <f t="shared" si="243"/>
        <v>0</v>
      </c>
      <c r="AF1095" s="55">
        <f t="shared" si="244"/>
        <v>0</v>
      </c>
      <c r="AG1095" s="58">
        <f t="shared" si="245"/>
        <v>0</v>
      </c>
      <c r="AH1095" s="47"/>
      <c r="AJ1095" s="47"/>
      <c r="AL1095" s="47"/>
      <c r="AM1095" s="47" t="str">
        <f t="shared" si="246"/>
        <v/>
      </c>
    </row>
    <row r="1096" spans="1:39" s="56" customFormat="1" ht="24.75" customHeight="1">
      <c r="A1096" s="44"/>
      <c r="B1096" s="45"/>
      <c r="C1096" s="46">
        <f>IF(B1096&lt;&gt;"",VLOOKUP(B1096,'Tipo Projeto'!$A$3:$B$35,2,0),0)</f>
        <v>0</v>
      </c>
      <c r="D1096" s="47"/>
      <c r="E1096" s="47"/>
      <c r="F1096" s="48"/>
      <c r="G1096" s="47"/>
      <c r="H1096" s="49"/>
      <c r="I1096" s="50"/>
      <c r="J1096" s="51"/>
      <c r="K1096" s="52"/>
      <c r="L1096" s="53" t="str">
        <f t="shared" si="234"/>
        <v/>
      </c>
      <c r="M1096" s="48" t="str">
        <f t="shared" si="235"/>
        <v/>
      </c>
      <c r="N1096" s="54" t="str">
        <f t="shared" si="236"/>
        <v/>
      </c>
      <c r="O1096" s="55">
        <f t="shared" si="237"/>
        <v>0</v>
      </c>
      <c r="P1096" s="55">
        <f t="shared" si="238"/>
        <v>0</v>
      </c>
      <c r="Q1096" s="54">
        <f t="shared" si="239"/>
        <v>0</v>
      </c>
      <c r="R1096" s="47"/>
      <c r="T1096" s="57"/>
      <c r="U1096" s="45"/>
      <c r="V1096" s="46">
        <f>IF(U1096&lt;&gt;"",VLOOKUP(U1096,'Tipo Projeto'!$A$3:$B$35,2,0),0)</f>
        <v>0</v>
      </c>
      <c r="W1096" s="47"/>
      <c r="X1096" s="49"/>
      <c r="Y1096" s="50"/>
      <c r="Z1096" s="51"/>
      <c r="AA1096" s="52"/>
      <c r="AB1096" s="53" t="str">
        <f t="shared" si="240"/>
        <v/>
      </c>
      <c r="AC1096" s="48" t="str">
        <f t="shared" si="241"/>
        <v/>
      </c>
      <c r="AD1096" s="54" t="str">
        <f t="shared" si="242"/>
        <v/>
      </c>
      <c r="AE1096" s="55">
        <f t="shared" si="243"/>
        <v>0</v>
      </c>
      <c r="AF1096" s="55">
        <f t="shared" si="244"/>
        <v>0</v>
      </c>
      <c r="AG1096" s="58">
        <f t="shared" si="245"/>
        <v>0</v>
      </c>
      <c r="AH1096" s="47"/>
      <c r="AJ1096" s="47"/>
      <c r="AL1096" s="47"/>
      <c r="AM1096" s="47" t="str">
        <f t="shared" si="246"/>
        <v/>
      </c>
    </row>
    <row r="1097" spans="1:39" s="56" customFormat="1" ht="24.75" customHeight="1">
      <c r="A1097" s="44"/>
      <c r="B1097" s="45"/>
      <c r="C1097" s="46">
        <f>IF(B1097&lt;&gt;"",VLOOKUP(B1097,'Tipo Projeto'!$A$3:$B$35,2,0),0)</f>
        <v>0</v>
      </c>
      <c r="D1097" s="47"/>
      <c r="E1097" s="47"/>
      <c r="F1097" s="48"/>
      <c r="G1097" s="47"/>
      <c r="H1097" s="49"/>
      <c r="I1097" s="50"/>
      <c r="J1097" s="51"/>
      <c r="K1097" s="52"/>
      <c r="L1097" s="53" t="str">
        <f t="shared" si="234"/>
        <v/>
      </c>
      <c r="M1097" s="48" t="str">
        <f t="shared" si="235"/>
        <v/>
      </c>
      <c r="N1097" s="54" t="str">
        <f t="shared" si="236"/>
        <v/>
      </c>
      <c r="O1097" s="55">
        <f t="shared" si="237"/>
        <v>0</v>
      </c>
      <c r="P1097" s="55">
        <f t="shared" si="238"/>
        <v>0</v>
      </c>
      <c r="Q1097" s="54">
        <f t="shared" si="239"/>
        <v>0</v>
      </c>
      <c r="R1097" s="47"/>
      <c r="T1097" s="57"/>
      <c r="U1097" s="45"/>
      <c r="V1097" s="46">
        <f>IF(U1097&lt;&gt;"",VLOOKUP(U1097,'Tipo Projeto'!$A$3:$B$35,2,0),0)</f>
        <v>0</v>
      </c>
      <c r="W1097" s="47"/>
      <c r="X1097" s="49"/>
      <c r="Y1097" s="50"/>
      <c r="Z1097" s="51"/>
      <c r="AA1097" s="52"/>
      <c r="AB1097" s="53" t="str">
        <f t="shared" si="240"/>
        <v/>
      </c>
      <c r="AC1097" s="48" t="str">
        <f t="shared" si="241"/>
        <v/>
      </c>
      <c r="AD1097" s="54" t="str">
        <f t="shared" si="242"/>
        <v/>
      </c>
      <c r="AE1097" s="55">
        <f t="shared" si="243"/>
        <v>0</v>
      </c>
      <c r="AF1097" s="55">
        <f t="shared" si="244"/>
        <v>0</v>
      </c>
      <c r="AG1097" s="58">
        <f t="shared" si="245"/>
        <v>0</v>
      </c>
      <c r="AH1097" s="47"/>
      <c r="AJ1097" s="47"/>
      <c r="AL1097" s="47"/>
      <c r="AM1097" s="47" t="str">
        <f t="shared" si="246"/>
        <v/>
      </c>
    </row>
    <row r="1098" spans="1:39" s="56" customFormat="1" ht="24.75" customHeight="1">
      <c r="A1098" s="44"/>
      <c r="B1098" s="45"/>
      <c r="C1098" s="46">
        <f>IF(B1098&lt;&gt;"",VLOOKUP(B1098,'Tipo Projeto'!$A$3:$B$35,2,0),0)</f>
        <v>0</v>
      </c>
      <c r="D1098" s="47"/>
      <c r="E1098" s="47"/>
      <c r="F1098" s="48"/>
      <c r="G1098" s="47"/>
      <c r="H1098" s="49"/>
      <c r="I1098" s="50"/>
      <c r="J1098" s="51"/>
      <c r="K1098" s="52"/>
      <c r="L1098" s="53" t="str">
        <f t="shared" si="234"/>
        <v/>
      </c>
      <c r="M1098" s="48" t="str">
        <f t="shared" si="235"/>
        <v/>
      </c>
      <c r="N1098" s="54" t="str">
        <f t="shared" si="236"/>
        <v/>
      </c>
      <c r="O1098" s="55">
        <f t="shared" si="237"/>
        <v>0</v>
      </c>
      <c r="P1098" s="55">
        <f t="shared" si="238"/>
        <v>0</v>
      </c>
      <c r="Q1098" s="54">
        <f t="shared" si="239"/>
        <v>0</v>
      </c>
      <c r="R1098" s="47"/>
      <c r="T1098" s="57"/>
      <c r="U1098" s="45"/>
      <c r="V1098" s="46">
        <f>IF(U1098&lt;&gt;"",VLOOKUP(U1098,'Tipo Projeto'!$A$3:$B$35,2,0),0)</f>
        <v>0</v>
      </c>
      <c r="W1098" s="47"/>
      <c r="X1098" s="49"/>
      <c r="Y1098" s="50"/>
      <c r="Z1098" s="51"/>
      <c r="AA1098" s="52"/>
      <c r="AB1098" s="53" t="str">
        <f t="shared" si="240"/>
        <v/>
      </c>
      <c r="AC1098" s="48" t="str">
        <f t="shared" si="241"/>
        <v/>
      </c>
      <c r="AD1098" s="54" t="str">
        <f t="shared" si="242"/>
        <v/>
      </c>
      <c r="AE1098" s="55">
        <f t="shared" si="243"/>
        <v>0</v>
      </c>
      <c r="AF1098" s="55">
        <f t="shared" si="244"/>
        <v>0</v>
      </c>
      <c r="AG1098" s="58">
        <f t="shared" si="245"/>
        <v>0</v>
      </c>
      <c r="AH1098" s="47"/>
      <c r="AJ1098" s="47"/>
      <c r="AL1098" s="47"/>
      <c r="AM1098" s="47" t="str">
        <f t="shared" si="246"/>
        <v/>
      </c>
    </row>
    <row r="1099" spans="1:39" s="56" customFormat="1" ht="24.75" customHeight="1">
      <c r="A1099" s="44"/>
      <c r="B1099" s="45"/>
      <c r="C1099" s="46">
        <f>IF(B1099&lt;&gt;"",VLOOKUP(B1099,'Tipo Projeto'!$A$3:$B$35,2,0),0)</f>
        <v>0</v>
      </c>
      <c r="D1099" s="47"/>
      <c r="E1099" s="47"/>
      <c r="F1099" s="48"/>
      <c r="G1099" s="47"/>
      <c r="H1099" s="49"/>
      <c r="I1099" s="50"/>
      <c r="J1099" s="51"/>
      <c r="K1099" s="52"/>
      <c r="L1099" s="53" t="str">
        <f t="shared" si="234"/>
        <v/>
      </c>
      <c r="M1099" s="48" t="str">
        <f t="shared" si="235"/>
        <v/>
      </c>
      <c r="N1099" s="54" t="str">
        <f t="shared" si="236"/>
        <v/>
      </c>
      <c r="O1099" s="55">
        <f t="shared" si="237"/>
        <v>0</v>
      </c>
      <c r="P1099" s="55">
        <f t="shared" si="238"/>
        <v>0</v>
      </c>
      <c r="Q1099" s="54">
        <f t="shared" si="239"/>
        <v>0</v>
      </c>
      <c r="R1099" s="47"/>
      <c r="T1099" s="57"/>
      <c r="U1099" s="45"/>
      <c r="V1099" s="46">
        <f>IF(U1099&lt;&gt;"",VLOOKUP(U1099,'Tipo Projeto'!$A$3:$B$35,2,0),0)</f>
        <v>0</v>
      </c>
      <c r="W1099" s="47"/>
      <c r="X1099" s="49"/>
      <c r="Y1099" s="50"/>
      <c r="Z1099" s="51"/>
      <c r="AA1099" s="52"/>
      <c r="AB1099" s="53" t="str">
        <f t="shared" si="240"/>
        <v/>
      </c>
      <c r="AC1099" s="48" t="str">
        <f t="shared" si="241"/>
        <v/>
      </c>
      <c r="AD1099" s="54" t="str">
        <f t="shared" si="242"/>
        <v/>
      </c>
      <c r="AE1099" s="55">
        <f t="shared" si="243"/>
        <v>0</v>
      </c>
      <c r="AF1099" s="55">
        <f t="shared" si="244"/>
        <v>0</v>
      </c>
      <c r="AG1099" s="58">
        <f t="shared" si="245"/>
        <v>0</v>
      </c>
      <c r="AH1099" s="47"/>
      <c r="AJ1099" s="47"/>
      <c r="AL1099" s="47"/>
      <c r="AM1099" s="47" t="str">
        <f t="shared" si="246"/>
        <v/>
      </c>
    </row>
    <row r="1100" spans="1:39" s="56" customFormat="1" ht="24.75" customHeight="1">
      <c r="A1100" s="44"/>
      <c r="B1100" s="45"/>
      <c r="C1100" s="46">
        <f>IF(B1100&lt;&gt;"",VLOOKUP(B1100,'Tipo Projeto'!$A$3:$B$35,2,0),0)</f>
        <v>0</v>
      </c>
      <c r="D1100" s="47"/>
      <c r="E1100" s="47"/>
      <c r="F1100" s="48"/>
      <c r="G1100" s="47"/>
      <c r="H1100" s="49"/>
      <c r="I1100" s="50"/>
      <c r="J1100" s="51"/>
      <c r="K1100" s="52"/>
      <c r="L1100" s="53" t="str">
        <f t="shared" si="234"/>
        <v/>
      </c>
      <c r="M1100" s="48" t="str">
        <f t="shared" si="235"/>
        <v/>
      </c>
      <c r="N1100" s="54" t="str">
        <f t="shared" si="236"/>
        <v/>
      </c>
      <c r="O1100" s="55">
        <f t="shared" si="237"/>
        <v>0</v>
      </c>
      <c r="P1100" s="55">
        <f t="shared" si="238"/>
        <v>0</v>
      </c>
      <c r="Q1100" s="54">
        <f t="shared" si="239"/>
        <v>0</v>
      </c>
      <c r="R1100" s="47"/>
      <c r="T1100" s="57"/>
      <c r="U1100" s="45"/>
      <c r="V1100" s="46">
        <f>IF(U1100&lt;&gt;"",VLOOKUP(U1100,'Tipo Projeto'!$A$3:$B$35,2,0),0)</f>
        <v>0</v>
      </c>
      <c r="W1100" s="47"/>
      <c r="X1100" s="49"/>
      <c r="Y1100" s="50"/>
      <c r="Z1100" s="51"/>
      <c r="AA1100" s="52"/>
      <c r="AB1100" s="53" t="str">
        <f t="shared" si="240"/>
        <v/>
      </c>
      <c r="AC1100" s="48" t="str">
        <f t="shared" si="241"/>
        <v/>
      </c>
      <c r="AD1100" s="54" t="str">
        <f t="shared" si="242"/>
        <v/>
      </c>
      <c r="AE1100" s="55">
        <f t="shared" si="243"/>
        <v>0</v>
      </c>
      <c r="AF1100" s="55">
        <f t="shared" si="244"/>
        <v>0</v>
      </c>
      <c r="AG1100" s="58">
        <f t="shared" si="245"/>
        <v>0</v>
      </c>
      <c r="AH1100" s="47"/>
      <c r="AJ1100" s="47"/>
      <c r="AL1100" s="47"/>
      <c r="AM1100" s="47" t="str">
        <f t="shared" si="246"/>
        <v/>
      </c>
    </row>
    <row r="1101" spans="1:39" s="56" customFormat="1" ht="24.75" customHeight="1">
      <c r="A1101" s="44"/>
      <c r="B1101" s="45"/>
      <c r="C1101" s="46">
        <f>IF(B1101&lt;&gt;"",VLOOKUP(B1101,'Tipo Projeto'!$A$3:$B$35,2,0),0)</f>
        <v>0</v>
      </c>
      <c r="D1101" s="47"/>
      <c r="E1101" s="47"/>
      <c r="F1101" s="48"/>
      <c r="G1101" s="47"/>
      <c r="H1101" s="49"/>
      <c r="I1101" s="50"/>
      <c r="J1101" s="51"/>
      <c r="K1101" s="52"/>
      <c r="L1101" s="53" t="str">
        <f t="shared" si="234"/>
        <v/>
      </c>
      <c r="M1101" s="48" t="str">
        <f t="shared" si="235"/>
        <v/>
      </c>
      <c r="N1101" s="54" t="str">
        <f t="shared" si="236"/>
        <v/>
      </c>
      <c r="O1101" s="55">
        <f t="shared" si="237"/>
        <v>0</v>
      </c>
      <c r="P1101" s="55">
        <f t="shared" si="238"/>
        <v>0</v>
      </c>
      <c r="Q1101" s="54">
        <f t="shared" si="239"/>
        <v>0</v>
      </c>
      <c r="R1101" s="47"/>
      <c r="T1101" s="57"/>
      <c r="U1101" s="45"/>
      <c r="V1101" s="46">
        <f>IF(U1101&lt;&gt;"",VLOOKUP(U1101,'Tipo Projeto'!$A$3:$B$35,2,0),0)</f>
        <v>0</v>
      </c>
      <c r="W1101" s="47"/>
      <c r="X1101" s="49"/>
      <c r="Y1101" s="50"/>
      <c r="Z1101" s="51"/>
      <c r="AA1101" s="52"/>
      <c r="AB1101" s="53" t="str">
        <f t="shared" si="240"/>
        <v/>
      </c>
      <c r="AC1101" s="48" t="str">
        <f t="shared" si="241"/>
        <v/>
      </c>
      <c r="AD1101" s="54" t="str">
        <f t="shared" si="242"/>
        <v/>
      </c>
      <c r="AE1101" s="55">
        <f t="shared" si="243"/>
        <v>0</v>
      </c>
      <c r="AF1101" s="55">
        <f t="shared" si="244"/>
        <v>0</v>
      </c>
      <c r="AG1101" s="58">
        <f t="shared" si="245"/>
        <v>0</v>
      </c>
      <c r="AH1101" s="47"/>
      <c r="AJ1101" s="47"/>
      <c r="AL1101" s="47"/>
      <c r="AM1101" s="47" t="str">
        <f t="shared" si="246"/>
        <v/>
      </c>
    </row>
    <row r="1102" spans="1:39" s="56" customFormat="1" ht="24.75" customHeight="1">
      <c r="A1102" s="44"/>
      <c r="B1102" s="45"/>
      <c r="C1102" s="46">
        <f>IF(B1102&lt;&gt;"",VLOOKUP(B1102,'Tipo Projeto'!$A$3:$B$35,2,0),0)</f>
        <v>0</v>
      </c>
      <c r="D1102" s="47"/>
      <c r="E1102" s="47"/>
      <c r="F1102" s="48"/>
      <c r="G1102" s="47"/>
      <c r="H1102" s="49"/>
      <c r="I1102" s="50"/>
      <c r="J1102" s="51"/>
      <c r="K1102" s="52"/>
      <c r="L1102" s="53" t="str">
        <f t="shared" si="234"/>
        <v/>
      </c>
      <c r="M1102" s="48" t="str">
        <f t="shared" si="235"/>
        <v/>
      </c>
      <c r="N1102" s="54" t="str">
        <f t="shared" si="236"/>
        <v/>
      </c>
      <c r="O1102" s="55">
        <f t="shared" si="237"/>
        <v>0</v>
      </c>
      <c r="P1102" s="55">
        <f t="shared" si="238"/>
        <v>0</v>
      </c>
      <c r="Q1102" s="54">
        <f t="shared" si="239"/>
        <v>0</v>
      </c>
      <c r="R1102" s="47"/>
      <c r="T1102" s="57"/>
      <c r="U1102" s="45"/>
      <c r="V1102" s="46">
        <f>IF(U1102&lt;&gt;"",VLOOKUP(U1102,'Tipo Projeto'!$A$3:$B$35,2,0),0)</f>
        <v>0</v>
      </c>
      <c r="W1102" s="47"/>
      <c r="X1102" s="49"/>
      <c r="Y1102" s="50"/>
      <c r="Z1102" s="51"/>
      <c r="AA1102" s="52"/>
      <c r="AB1102" s="53" t="str">
        <f t="shared" si="240"/>
        <v/>
      </c>
      <c r="AC1102" s="48" t="str">
        <f t="shared" si="241"/>
        <v/>
      </c>
      <c r="AD1102" s="54" t="str">
        <f t="shared" si="242"/>
        <v/>
      </c>
      <c r="AE1102" s="55">
        <f t="shared" si="243"/>
        <v>0</v>
      </c>
      <c r="AF1102" s="55">
        <f t="shared" si="244"/>
        <v>0</v>
      </c>
      <c r="AG1102" s="58">
        <f t="shared" si="245"/>
        <v>0</v>
      </c>
      <c r="AH1102" s="47"/>
      <c r="AJ1102" s="47"/>
      <c r="AL1102" s="47"/>
      <c r="AM1102" s="47" t="str">
        <f t="shared" si="246"/>
        <v/>
      </c>
    </row>
    <row r="1103" spans="1:39" s="56" customFormat="1" ht="24.75" customHeight="1">
      <c r="A1103" s="44"/>
      <c r="B1103" s="45"/>
      <c r="C1103" s="46">
        <f>IF(B1103&lt;&gt;"",VLOOKUP(B1103,'Tipo Projeto'!$A$3:$B$35,2,0),0)</f>
        <v>0</v>
      </c>
      <c r="D1103" s="47"/>
      <c r="E1103" s="47"/>
      <c r="F1103" s="48"/>
      <c r="G1103" s="47"/>
      <c r="H1103" s="49"/>
      <c r="I1103" s="50"/>
      <c r="J1103" s="51"/>
      <c r="K1103" s="52"/>
      <c r="L1103" s="53" t="str">
        <f t="shared" si="234"/>
        <v/>
      </c>
      <c r="M1103" s="48" t="str">
        <f t="shared" si="235"/>
        <v/>
      </c>
      <c r="N1103" s="54" t="str">
        <f t="shared" si="236"/>
        <v/>
      </c>
      <c r="O1103" s="55">
        <f t="shared" si="237"/>
        <v>0</v>
      </c>
      <c r="P1103" s="55">
        <f t="shared" si="238"/>
        <v>0</v>
      </c>
      <c r="Q1103" s="54">
        <f t="shared" si="239"/>
        <v>0</v>
      </c>
      <c r="R1103" s="47"/>
      <c r="T1103" s="57"/>
      <c r="U1103" s="45"/>
      <c r="V1103" s="46">
        <f>IF(U1103&lt;&gt;"",VLOOKUP(U1103,'Tipo Projeto'!$A$3:$B$35,2,0),0)</f>
        <v>0</v>
      </c>
      <c r="W1103" s="47"/>
      <c r="X1103" s="49"/>
      <c r="Y1103" s="50"/>
      <c r="Z1103" s="51"/>
      <c r="AA1103" s="52"/>
      <c r="AB1103" s="53" t="str">
        <f t="shared" si="240"/>
        <v/>
      </c>
      <c r="AC1103" s="48" t="str">
        <f t="shared" si="241"/>
        <v/>
      </c>
      <c r="AD1103" s="54" t="str">
        <f t="shared" si="242"/>
        <v/>
      </c>
      <c r="AE1103" s="55">
        <f t="shared" si="243"/>
        <v>0</v>
      </c>
      <c r="AF1103" s="55">
        <f t="shared" si="244"/>
        <v>0</v>
      </c>
      <c r="AG1103" s="58">
        <f t="shared" si="245"/>
        <v>0</v>
      </c>
      <c r="AH1103" s="47"/>
      <c r="AJ1103" s="47"/>
      <c r="AL1103" s="47"/>
      <c r="AM1103" s="47" t="str">
        <f t="shared" si="246"/>
        <v/>
      </c>
    </row>
    <row r="1104" spans="1:39" s="56" customFormat="1" ht="24.75" customHeight="1">
      <c r="A1104" s="44"/>
      <c r="B1104" s="45"/>
      <c r="C1104" s="46">
        <f>IF(B1104&lt;&gt;"",VLOOKUP(B1104,'Tipo Projeto'!$A$3:$B$35,2,0),0)</f>
        <v>0</v>
      </c>
      <c r="D1104" s="47"/>
      <c r="E1104" s="47"/>
      <c r="F1104" s="48"/>
      <c r="G1104" s="47"/>
      <c r="H1104" s="49"/>
      <c r="I1104" s="50"/>
      <c r="J1104" s="51"/>
      <c r="K1104" s="52"/>
      <c r="L1104" s="53" t="str">
        <f t="shared" si="234"/>
        <v/>
      </c>
      <c r="M1104" s="48" t="str">
        <f t="shared" si="235"/>
        <v/>
      </c>
      <c r="N1104" s="54" t="str">
        <f t="shared" si="236"/>
        <v/>
      </c>
      <c r="O1104" s="55">
        <f t="shared" si="237"/>
        <v>0</v>
      </c>
      <c r="P1104" s="55">
        <f t="shared" si="238"/>
        <v>0</v>
      </c>
      <c r="Q1104" s="54">
        <f t="shared" si="239"/>
        <v>0</v>
      </c>
      <c r="R1104" s="47"/>
      <c r="T1104" s="57"/>
      <c r="U1104" s="45"/>
      <c r="V1104" s="46">
        <f>IF(U1104&lt;&gt;"",VLOOKUP(U1104,'Tipo Projeto'!$A$3:$B$35,2,0),0)</f>
        <v>0</v>
      </c>
      <c r="W1104" s="47"/>
      <c r="X1104" s="49"/>
      <c r="Y1104" s="50"/>
      <c r="Z1104" s="51"/>
      <c r="AA1104" s="52"/>
      <c r="AB1104" s="53" t="str">
        <f t="shared" si="240"/>
        <v/>
      </c>
      <c r="AC1104" s="48" t="str">
        <f t="shared" si="241"/>
        <v/>
      </c>
      <c r="AD1104" s="54" t="str">
        <f t="shared" si="242"/>
        <v/>
      </c>
      <c r="AE1104" s="55">
        <f t="shared" si="243"/>
        <v>0</v>
      </c>
      <c r="AF1104" s="55">
        <f t="shared" si="244"/>
        <v>0</v>
      </c>
      <c r="AG1104" s="58">
        <f t="shared" si="245"/>
        <v>0</v>
      </c>
      <c r="AH1104" s="47"/>
      <c r="AJ1104" s="47"/>
      <c r="AL1104" s="47"/>
      <c r="AM1104" s="47" t="str">
        <f t="shared" si="246"/>
        <v/>
      </c>
    </row>
    <row r="1105" spans="1:39" s="56" customFormat="1" ht="24.75" customHeight="1">
      <c r="A1105" s="44"/>
      <c r="B1105" s="45"/>
      <c r="C1105" s="46">
        <f>IF(B1105&lt;&gt;"",VLOOKUP(B1105,'Tipo Projeto'!$A$3:$B$35,2,0),0)</f>
        <v>0</v>
      </c>
      <c r="D1105" s="47"/>
      <c r="E1105" s="47"/>
      <c r="F1105" s="48"/>
      <c r="G1105" s="47"/>
      <c r="H1105" s="49"/>
      <c r="I1105" s="50"/>
      <c r="J1105" s="51"/>
      <c r="K1105" s="52"/>
      <c r="L1105" s="53" t="str">
        <f t="shared" si="234"/>
        <v/>
      </c>
      <c r="M1105" s="48" t="str">
        <f t="shared" si="235"/>
        <v/>
      </c>
      <c r="N1105" s="54" t="str">
        <f t="shared" si="236"/>
        <v/>
      </c>
      <c r="O1105" s="55">
        <f t="shared" si="237"/>
        <v>0</v>
      </c>
      <c r="P1105" s="55">
        <f t="shared" si="238"/>
        <v>0</v>
      </c>
      <c r="Q1105" s="54">
        <f t="shared" si="239"/>
        <v>0</v>
      </c>
      <c r="R1105" s="47"/>
      <c r="T1105" s="57"/>
      <c r="U1105" s="45"/>
      <c r="V1105" s="46">
        <f>IF(U1105&lt;&gt;"",VLOOKUP(U1105,'Tipo Projeto'!$A$3:$B$35,2,0),0)</f>
        <v>0</v>
      </c>
      <c r="W1105" s="47"/>
      <c r="X1105" s="49"/>
      <c r="Y1105" s="50"/>
      <c r="Z1105" s="51"/>
      <c r="AA1105" s="52"/>
      <c r="AB1105" s="53" t="str">
        <f t="shared" si="240"/>
        <v/>
      </c>
      <c r="AC1105" s="48" t="str">
        <f t="shared" si="241"/>
        <v/>
      </c>
      <c r="AD1105" s="54" t="str">
        <f t="shared" si="242"/>
        <v/>
      </c>
      <c r="AE1105" s="55">
        <f t="shared" si="243"/>
        <v>0</v>
      </c>
      <c r="AF1105" s="55">
        <f t="shared" si="244"/>
        <v>0</v>
      </c>
      <c r="AG1105" s="58">
        <f t="shared" si="245"/>
        <v>0</v>
      </c>
      <c r="AH1105" s="47"/>
      <c r="AJ1105" s="47"/>
      <c r="AL1105" s="47"/>
      <c r="AM1105" s="47" t="str">
        <f t="shared" si="246"/>
        <v/>
      </c>
    </row>
    <row r="1106" spans="1:39" s="56" customFormat="1" ht="24.75" customHeight="1">
      <c r="A1106" s="44"/>
      <c r="B1106" s="45"/>
      <c r="C1106" s="46">
        <f>IF(B1106&lt;&gt;"",VLOOKUP(B1106,'Tipo Projeto'!$A$3:$B$35,2,0),0)</f>
        <v>0</v>
      </c>
      <c r="D1106" s="47"/>
      <c r="E1106" s="47"/>
      <c r="F1106" s="48"/>
      <c r="G1106" s="47"/>
      <c r="H1106" s="49"/>
      <c r="I1106" s="50"/>
      <c r="J1106" s="51"/>
      <c r="K1106" s="52"/>
      <c r="L1106" s="53" t="str">
        <f t="shared" si="234"/>
        <v/>
      </c>
      <c r="M1106" s="48" t="str">
        <f t="shared" si="235"/>
        <v/>
      </c>
      <c r="N1106" s="54" t="str">
        <f t="shared" si="236"/>
        <v/>
      </c>
      <c r="O1106" s="55">
        <f t="shared" si="237"/>
        <v>0</v>
      </c>
      <c r="P1106" s="55">
        <f t="shared" si="238"/>
        <v>0</v>
      </c>
      <c r="Q1106" s="54">
        <f t="shared" si="239"/>
        <v>0</v>
      </c>
      <c r="R1106" s="47"/>
      <c r="T1106" s="57"/>
      <c r="U1106" s="45"/>
      <c r="V1106" s="46">
        <f>IF(U1106&lt;&gt;"",VLOOKUP(U1106,'Tipo Projeto'!$A$3:$B$35,2,0),0)</f>
        <v>0</v>
      </c>
      <c r="W1106" s="47"/>
      <c r="X1106" s="49"/>
      <c r="Y1106" s="50"/>
      <c r="Z1106" s="51"/>
      <c r="AA1106" s="52"/>
      <c r="AB1106" s="53" t="str">
        <f t="shared" si="240"/>
        <v/>
      </c>
      <c r="AC1106" s="48" t="str">
        <f t="shared" si="241"/>
        <v/>
      </c>
      <c r="AD1106" s="54" t="str">
        <f t="shared" si="242"/>
        <v/>
      </c>
      <c r="AE1106" s="55">
        <f t="shared" si="243"/>
        <v>0</v>
      </c>
      <c r="AF1106" s="55">
        <f t="shared" si="244"/>
        <v>0</v>
      </c>
      <c r="AG1106" s="58">
        <f t="shared" si="245"/>
        <v>0</v>
      </c>
      <c r="AH1106" s="47"/>
      <c r="AJ1106" s="47"/>
      <c r="AL1106" s="47"/>
      <c r="AM1106" s="47" t="str">
        <f t="shared" si="246"/>
        <v/>
      </c>
    </row>
    <row r="1107" spans="1:39" s="56" customFormat="1" ht="24.75" customHeight="1">
      <c r="A1107" s="44"/>
      <c r="B1107" s="45"/>
      <c r="C1107" s="46">
        <f>IF(B1107&lt;&gt;"",VLOOKUP(B1107,'Tipo Projeto'!$A$3:$B$35,2,0),0)</f>
        <v>0</v>
      </c>
      <c r="D1107" s="47"/>
      <c r="E1107" s="47"/>
      <c r="F1107" s="48"/>
      <c r="G1107" s="47"/>
      <c r="H1107" s="49"/>
      <c r="I1107" s="50"/>
      <c r="J1107" s="51"/>
      <c r="K1107" s="52"/>
      <c r="L1107" s="53" t="str">
        <f t="shared" si="234"/>
        <v/>
      </c>
      <c r="M1107" s="48" t="str">
        <f t="shared" si="235"/>
        <v/>
      </c>
      <c r="N1107" s="54" t="str">
        <f t="shared" si="236"/>
        <v/>
      </c>
      <c r="O1107" s="55">
        <f t="shared" si="237"/>
        <v>0</v>
      </c>
      <c r="P1107" s="55">
        <f t="shared" si="238"/>
        <v>0</v>
      </c>
      <c r="Q1107" s="54">
        <f t="shared" si="239"/>
        <v>0</v>
      </c>
      <c r="R1107" s="47"/>
      <c r="T1107" s="57"/>
      <c r="U1107" s="45"/>
      <c r="V1107" s="46">
        <f>IF(U1107&lt;&gt;"",VLOOKUP(U1107,'Tipo Projeto'!$A$3:$B$35,2,0),0)</f>
        <v>0</v>
      </c>
      <c r="W1107" s="47"/>
      <c r="X1107" s="49"/>
      <c r="Y1107" s="50"/>
      <c r="Z1107" s="51"/>
      <c r="AA1107" s="52"/>
      <c r="AB1107" s="53" t="str">
        <f t="shared" si="240"/>
        <v/>
      </c>
      <c r="AC1107" s="48" t="str">
        <f t="shared" si="241"/>
        <v/>
      </c>
      <c r="AD1107" s="54" t="str">
        <f t="shared" si="242"/>
        <v/>
      </c>
      <c r="AE1107" s="55">
        <f t="shared" si="243"/>
        <v>0</v>
      </c>
      <c r="AF1107" s="55">
        <f t="shared" si="244"/>
        <v>0</v>
      </c>
      <c r="AG1107" s="58">
        <f t="shared" si="245"/>
        <v>0</v>
      </c>
      <c r="AH1107" s="47"/>
      <c r="AJ1107" s="47"/>
      <c r="AL1107" s="47"/>
      <c r="AM1107" s="47" t="str">
        <f t="shared" si="246"/>
        <v/>
      </c>
    </row>
    <row r="1108" spans="1:39" s="56" customFormat="1" ht="24.75" customHeight="1">
      <c r="A1108" s="44"/>
      <c r="B1108" s="45"/>
      <c r="C1108" s="46">
        <f>IF(B1108&lt;&gt;"",VLOOKUP(B1108,'Tipo Projeto'!$A$3:$B$35,2,0),0)</f>
        <v>0</v>
      </c>
      <c r="D1108" s="47"/>
      <c r="E1108" s="47"/>
      <c r="F1108" s="48"/>
      <c r="G1108" s="47"/>
      <c r="H1108" s="49"/>
      <c r="I1108" s="50"/>
      <c r="J1108" s="51"/>
      <c r="K1108" s="52"/>
      <c r="L1108" s="53" t="str">
        <f t="shared" si="234"/>
        <v/>
      </c>
      <c r="M1108" s="48" t="str">
        <f t="shared" si="235"/>
        <v/>
      </c>
      <c r="N1108" s="54" t="str">
        <f t="shared" si="236"/>
        <v/>
      </c>
      <c r="O1108" s="55">
        <f t="shared" si="237"/>
        <v>0</v>
      </c>
      <c r="P1108" s="55">
        <f t="shared" si="238"/>
        <v>0</v>
      </c>
      <c r="Q1108" s="54">
        <f t="shared" si="239"/>
        <v>0</v>
      </c>
      <c r="R1108" s="47"/>
      <c r="T1108" s="57"/>
      <c r="U1108" s="45"/>
      <c r="V1108" s="46">
        <f>IF(U1108&lt;&gt;"",VLOOKUP(U1108,'Tipo Projeto'!$A$3:$B$35,2,0),0)</f>
        <v>0</v>
      </c>
      <c r="W1108" s="47"/>
      <c r="X1108" s="49"/>
      <c r="Y1108" s="50"/>
      <c r="Z1108" s="51"/>
      <c r="AA1108" s="52"/>
      <c r="AB1108" s="53" t="str">
        <f t="shared" si="240"/>
        <v/>
      </c>
      <c r="AC1108" s="48" t="str">
        <f t="shared" si="241"/>
        <v/>
      </c>
      <c r="AD1108" s="54" t="str">
        <f t="shared" si="242"/>
        <v/>
      </c>
      <c r="AE1108" s="55">
        <f t="shared" si="243"/>
        <v>0</v>
      </c>
      <c r="AF1108" s="55">
        <f t="shared" si="244"/>
        <v>0</v>
      </c>
      <c r="AG1108" s="58">
        <f t="shared" si="245"/>
        <v>0</v>
      </c>
      <c r="AH1108" s="47"/>
      <c r="AJ1108" s="47"/>
      <c r="AL1108" s="47"/>
      <c r="AM1108" s="47" t="str">
        <f t="shared" si="246"/>
        <v/>
      </c>
    </row>
    <row r="1109" spans="1:39" s="56" customFormat="1" ht="24.75" customHeight="1">
      <c r="A1109" s="44"/>
      <c r="B1109" s="45"/>
      <c r="C1109" s="46">
        <f>IF(B1109&lt;&gt;"",VLOOKUP(B1109,'Tipo Projeto'!$A$3:$B$35,2,0),0)</f>
        <v>0</v>
      </c>
      <c r="D1109" s="47"/>
      <c r="E1109" s="47"/>
      <c r="F1109" s="48"/>
      <c r="G1109" s="47"/>
      <c r="H1109" s="49"/>
      <c r="I1109" s="50"/>
      <c r="J1109" s="51"/>
      <c r="K1109" s="52"/>
      <c r="L1109" s="53" t="str">
        <f t="shared" si="234"/>
        <v/>
      </c>
      <c r="M1109" s="48" t="str">
        <f t="shared" si="235"/>
        <v/>
      </c>
      <c r="N1109" s="54" t="str">
        <f t="shared" si="236"/>
        <v/>
      </c>
      <c r="O1109" s="55">
        <f t="shared" si="237"/>
        <v>0</v>
      </c>
      <c r="P1109" s="55">
        <f t="shared" si="238"/>
        <v>0</v>
      </c>
      <c r="Q1109" s="54">
        <f t="shared" si="239"/>
        <v>0</v>
      </c>
      <c r="R1109" s="47"/>
      <c r="T1109" s="57"/>
      <c r="U1109" s="45"/>
      <c r="V1109" s="46">
        <f>IF(U1109&lt;&gt;"",VLOOKUP(U1109,'Tipo Projeto'!$A$3:$B$35,2,0),0)</f>
        <v>0</v>
      </c>
      <c r="W1109" s="47"/>
      <c r="X1109" s="49"/>
      <c r="Y1109" s="50"/>
      <c r="Z1109" s="51"/>
      <c r="AA1109" s="52"/>
      <c r="AB1109" s="53" t="str">
        <f t="shared" si="240"/>
        <v/>
      </c>
      <c r="AC1109" s="48" t="str">
        <f t="shared" si="241"/>
        <v/>
      </c>
      <c r="AD1109" s="54" t="str">
        <f t="shared" si="242"/>
        <v/>
      </c>
      <c r="AE1109" s="55">
        <f t="shared" si="243"/>
        <v>0</v>
      </c>
      <c r="AF1109" s="55">
        <f t="shared" si="244"/>
        <v>0</v>
      </c>
      <c r="AG1109" s="58">
        <f t="shared" si="245"/>
        <v>0</v>
      </c>
      <c r="AH1109" s="47"/>
      <c r="AJ1109" s="47"/>
      <c r="AL1109" s="47"/>
      <c r="AM1109" s="47" t="str">
        <f t="shared" si="246"/>
        <v/>
      </c>
    </row>
    <row r="1110" spans="1:39" s="56" customFormat="1" ht="24.75" customHeight="1">
      <c r="A1110" s="44"/>
      <c r="B1110" s="45"/>
      <c r="C1110" s="46">
        <f>IF(B1110&lt;&gt;"",VLOOKUP(B1110,'Tipo Projeto'!$A$3:$B$35,2,0),0)</f>
        <v>0</v>
      </c>
      <c r="D1110" s="47"/>
      <c r="E1110" s="47"/>
      <c r="F1110" s="48"/>
      <c r="G1110" s="47"/>
      <c r="H1110" s="49"/>
      <c r="I1110" s="50"/>
      <c r="J1110" s="51"/>
      <c r="K1110" s="52"/>
      <c r="L1110" s="53" t="str">
        <f t="shared" si="234"/>
        <v/>
      </c>
      <c r="M1110" s="48" t="str">
        <f t="shared" si="235"/>
        <v/>
      </c>
      <c r="N1110" s="54" t="str">
        <f t="shared" si="236"/>
        <v/>
      </c>
      <c r="O1110" s="55">
        <f t="shared" si="237"/>
        <v>0</v>
      </c>
      <c r="P1110" s="55">
        <f t="shared" si="238"/>
        <v>0</v>
      </c>
      <c r="Q1110" s="54">
        <f t="shared" si="239"/>
        <v>0</v>
      </c>
      <c r="R1110" s="47"/>
      <c r="T1110" s="57"/>
      <c r="U1110" s="45"/>
      <c r="V1110" s="46">
        <f>IF(U1110&lt;&gt;"",VLOOKUP(U1110,'Tipo Projeto'!$A$3:$B$35,2,0),0)</f>
        <v>0</v>
      </c>
      <c r="W1110" s="47"/>
      <c r="X1110" s="49"/>
      <c r="Y1110" s="50"/>
      <c r="Z1110" s="51"/>
      <c r="AA1110" s="52"/>
      <c r="AB1110" s="53" t="str">
        <f t="shared" si="240"/>
        <v/>
      </c>
      <c r="AC1110" s="48" t="str">
        <f t="shared" si="241"/>
        <v/>
      </c>
      <c r="AD1110" s="54" t="str">
        <f t="shared" si="242"/>
        <v/>
      </c>
      <c r="AE1110" s="55">
        <f t="shared" si="243"/>
        <v>0</v>
      </c>
      <c r="AF1110" s="55">
        <f t="shared" si="244"/>
        <v>0</v>
      </c>
      <c r="AG1110" s="58">
        <f t="shared" si="245"/>
        <v>0</v>
      </c>
      <c r="AH1110" s="47"/>
      <c r="AJ1110" s="47"/>
      <c r="AL1110" s="47"/>
      <c r="AM1110" s="47" t="str">
        <f t="shared" si="246"/>
        <v/>
      </c>
    </row>
    <row r="1111" spans="1:39" s="56" customFormat="1" ht="24.75" customHeight="1">
      <c r="A1111" s="44"/>
      <c r="B1111" s="45"/>
      <c r="C1111" s="46">
        <f>IF(B1111&lt;&gt;"",VLOOKUP(B1111,'Tipo Projeto'!$A$3:$B$35,2,0),0)</f>
        <v>0</v>
      </c>
      <c r="D1111" s="47"/>
      <c r="E1111" s="47"/>
      <c r="F1111" s="48"/>
      <c r="G1111" s="47"/>
      <c r="H1111" s="49"/>
      <c r="I1111" s="50"/>
      <c r="J1111" s="51"/>
      <c r="K1111" s="52"/>
      <c r="L1111" s="53" t="str">
        <f t="shared" si="234"/>
        <v/>
      </c>
      <c r="M1111" s="48" t="str">
        <f t="shared" si="235"/>
        <v/>
      </c>
      <c r="N1111" s="54" t="str">
        <f t="shared" si="236"/>
        <v/>
      </c>
      <c r="O1111" s="55">
        <f t="shared" si="237"/>
        <v>0</v>
      </c>
      <c r="P1111" s="55">
        <f t="shared" si="238"/>
        <v>0</v>
      </c>
      <c r="Q1111" s="54">
        <f t="shared" si="239"/>
        <v>0</v>
      </c>
      <c r="R1111" s="47"/>
      <c r="T1111" s="57"/>
      <c r="U1111" s="45"/>
      <c r="V1111" s="46">
        <f>IF(U1111&lt;&gt;"",VLOOKUP(U1111,'Tipo Projeto'!$A$3:$B$35,2,0),0)</f>
        <v>0</v>
      </c>
      <c r="W1111" s="47"/>
      <c r="X1111" s="49"/>
      <c r="Y1111" s="50"/>
      <c r="Z1111" s="51"/>
      <c r="AA1111" s="52"/>
      <c r="AB1111" s="53" t="str">
        <f t="shared" si="240"/>
        <v/>
      </c>
      <c r="AC1111" s="48" t="str">
        <f t="shared" si="241"/>
        <v/>
      </c>
      <c r="AD1111" s="54" t="str">
        <f t="shared" si="242"/>
        <v/>
      </c>
      <c r="AE1111" s="55">
        <f t="shared" si="243"/>
        <v>0</v>
      </c>
      <c r="AF1111" s="55">
        <f t="shared" si="244"/>
        <v>0</v>
      </c>
      <c r="AG1111" s="58">
        <f t="shared" si="245"/>
        <v>0</v>
      </c>
      <c r="AH1111" s="47"/>
      <c r="AJ1111" s="47"/>
      <c r="AL1111" s="47"/>
      <c r="AM1111" s="47" t="str">
        <f t="shared" si="246"/>
        <v/>
      </c>
    </row>
    <row r="1112" spans="1:39" s="56" customFormat="1" ht="24.75" customHeight="1">
      <c r="A1112" s="44"/>
      <c r="B1112" s="45"/>
      <c r="C1112" s="46">
        <f>IF(B1112&lt;&gt;"",VLOOKUP(B1112,'Tipo Projeto'!$A$3:$B$35,2,0),0)</f>
        <v>0</v>
      </c>
      <c r="D1112" s="47"/>
      <c r="E1112" s="47"/>
      <c r="F1112" s="48"/>
      <c r="G1112" s="47"/>
      <c r="H1112" s="49"/>
      <c r="I1112" s="50"/>
      <c r="J1112" s="51"/>
      <c r="K1112" s="52"/>
      <c r="L1112" s="53" t="str">
        <f t="shared" si="234"/>
        <v/>
      </c>
      <c r="M1112" s="48" t="str">
        <f t="shared" si="235"/>
        <v/>
      </c>
      <c r="N1112" s="54" t="str">
        <f t="shared" si="236"/>
        <v/>
      </c>
      <c r="O1112" s="55">
        <f t="shared" si="237"/>
        <v>0</v>
      </c>
      <c r="P1112" s="55">
        <f t="shared" si="238"/>
        <v>0</v>
      </c>
      <c r="Q1112" s="54">
        <f t="shared" si="239"/>
        <v>0</v>
      </c>
      <c r="R1112" s="47"/>
      <c r="T1112" s="57"/>
      <c r="U1112" s="45"/>
      <c r="V1112" s="46">
        <f>IF(U1112&lt;&gt;"",VLOOKUP(U1112,'Tipo Projeto'!$A$3:$B$35,2,0),0)</f>
        <v>0</v>
      </c>
      <c r="W1112" s="47"/>
      <c r="X1112" s="49"/>
      <c r="Y1112" s="50"/>
      <c r="Z1112" s="51"/>
      <c r="AA1112" s="52"/>
      <c r="AB1112" s="53" t="str">
        <f t="shared" si="240"/>
        <v/>
      </c>
      <c r="AC1112" s="48" t="str">
        <f t="shared" si="241"/>
        <v/>
      </c>
      <c r="AD1112" s="54" t="str">
        <f t="shared" si="242"/>
        <v/>
      </c>
      <c r="AE1112" s="55">
        <f t="shared" si="243"/>
        <v>0</v>
      </c>
      <c r="AF1112" s="55">
        <f t="shared" si="244"/>
        <v>0</v>
      </c>
      <c r="AG1112" s="58">
        <f t="shared" si="245"/>
        <v>0</v>
      </c>
      <c r="AH1112" s="47"/>
      <c r="AJ1112" s="47"/>
      <c r="AL1112" s="47"/>
      <c r="AM1112" s="47" t="str">
        <f t="shared" si="246"/>
        <v/>
      </c>
    </row>
    <row r="1113" spans="1:39" s="56" customFormat="1" ht="24.75" customHeight="1">
      <c r="A1113" s="44"/>
      <c r="B1113" s="45"/>
      <c r="C1113" s="46">
        <f>IF(B1113&lt;&gt;"",VLOOKUP(B1113,'Tipo Projeto'!$A$3:$B$35,2,0),0)</f>
        <v>0</v>
      </c>
      <c r="D1113" s="47"/>
      <c r="E1113" s="47"/>
      <c r="F1113" s="48"/>
      <c r="G1113" s="47"/>
      <c r="H1113" s="49"/>
      <c r="I1113" s="50"/>
      <c r="J1113" s="51"/>
      <c r="K1113" s="52"/>
      <c r="L1113" s="53" t="str">
        <f t="shared" si="234"/>
        <v/>
      </c>
      <c r="M1113" s="48" t="str">
        <f t="shared" si="235"/>
        <v/>
      </c>
      <c r="N1113" s="54" t="str">
        <f t="shared" si="236"/>
        <v/>
      </c>
      <c r="O1113" s="55">
        <f t="shared" si="237"/>
        <v>0</v>
      </c>
      <c r="P1113" s="55">
        <f t="shared" si="238"/>
        <v>0</v>
      </c>
      <c r="Q1113" s="54">
        <f t="shared" si="239"/>
        <v>0</v>
      </c>
      <c r="R1113" s="47"/>
      <c r="T1113" s="57"/>
      <c r="U1113" s="45"/>
      <c r="V1113" s="46">
        <f>IF(U1113&lt;&gt;"",VLOOKUP(U1113,'Tipo Projeto'!$A$3:$B$35,2,0),0)</f>
        <v>0</v>
      </c>
      <c r="W1113" s="47"/>
      <c r="X1113" s="49"/>
      <c r="Y1113" s="50"/>
      <c r="Z1113" s="51"/>
      <c r="AA1113" s="52"/>
      <c r="AB1113" s="53" t="str">
        <f t="shared" si="240"/>
        <v/>
      </c>
      <c r="AC1113" s="48" t="str">
        <f t="shared" si="241"/>
        <v/>
      </c>
      <c r="AD1113" s="54" t="str">
        <f t="shared" si="242"/>
        <v/>
      </c>
      <c r="AE1113" s="55">
        <f t="shared" si="243"/>
        <v>0</v>
      </c>
      <c r="AF1113" s="55">
        <f t="shared" si="244"/>
        <v>0</v>
      </c>
      <c r="AG1113" s="58">
        <f t="shared" si="245"/>
        <v>0</v>
      </c>
      <c r="AH1113" s="47"/>
      <c r="AJ1113" s="47"/>
      <c r="AL1113" s="47"/>
      <c r="AM1113" s="47" t="str">
        <f t="shared" si="246"/>
        <v/>
      </c>
    </row>
    <row r="1114" spans="1:39" s="56" customFormat="1" ht="24.75" customHeight="1">
      <c r="A1114" s="44"/>
      <c r="B1114" s="45"/>
      <c r="C1114" s="46">
        <f>IF(B1114&lt;&gt;"",VLOOKUP(B1114,'Tipo Projeto'!$A$3:$B$35,2,0),0)</f>
        <v>0</v>
      </c>
      <c r="D1114" s="47"/>
      <c r="E1114" s="47"/>
      <c r="F1114" s="48"/>
      <c r="G1114" s="47"/>
      <c r="H1114" s="49"/>
      <c r="I1114" s="50"/>
      <c r="J1114" s="51"/>
      <c r="K1114" s="52"/>
      <c r="L1114" s="53" t="str">
        <f t="shared" si="234"/>
        <v/>
      </c>
      <c r="M1114" s="48" t="str">
        <f t="shared" si="235"/>
        <v/>
      </c>
      <c r="N1114" s="54" t="str">
        <f t="shared" si="236"/>
        <v/>
      </c>
      <c r="O1114" s="55">
        <f t="shared" si="237"/>
        <v>0</v>
      </c>
      <c r="P1114" s="55">
        <f t="shared" si="238"/>
        <v>0</v>
      </c>
      <c r="Q1114" s="54">
        <f t="shared" si="239"/>
        <v>0</v>
      </c>
      <c r="R1114" s="47"/>
      <c r="T1114" s="57"/>
      <c r="U1114" s="45"/>
      <c r="V1114" s="46">
        <f>IF(U1114&lt;&gt;"",VLOOKUP(U1114,'Tipo Projeto'!$A$3:$B$35,2,0),0)</f>
        <v>0</v>
      </c>
      <c r="W1114" s="47"/>
      <c r="X1114" s="49"/>
      <c r="Y1114" s="50"/>
      <c r="Z1114" s="51"/>
      <c r="AA1114" s="52"/>
      <c r="AB1114" s="53" t="str">
        <f t="shared" si="240"/>
        <v/>
      </c>
      <c r="AC1114" s="48" t="str">
        <f t="shared" si="241"/>
        <v/>
      </c>
      <c r="AD1114" s="54" t="str">
        <f t="shared" si="242"/>
        <v/>
      </c>
      <c r="AE1114" s="55">
        <f t="shared" si="243"/>
        <v>0</v>
      </c>
      <c r="AF1114" s="55">
        <f t="shared" si="244"/>
        <v>0</v>
      </c>
      <c r="AG1114" s="58">
        <f t="shared" si="245"/>
        <v>0</v>
      </c>
      <c r="AH1114" s="47"/>
      <c r="AJ1114" s="47"/>
      <c r="AL1114" s="47"/>
      <c r="AM1114" s="47" t="str">
        <f t="shared" si="246"/>
        <v/>
      </c>
    </row>
    <row r="1115" spans="1:39" s="56" customFormat="1" ht="24.75" customHeight="1">
      <c r="A1115" s="44"/>
      <c r="B1115" s="45"/>
      <c r="C1115" s="46">
        <f>IF(B1115&lt;&gt;"",VLOOKUP(B1115,'Tipo Projeto'!$A$3:$B$35,2,0),0)</f>
        <v>0</v>
      </c>
      <c r="D1115" s="47"/>
      <c r="E1115" s="47"/>
      <c r="F1115" s="48"/>
      <c r="G1115" s="47"/>
      <c r="H1115" s="49"/>
      <c r="I1115" s="50"/>
      <c r="J1115" s="51"/>
      <c r="K1115" s="52"/>
      <c r="L1115" s="53" t="str">
        <f t="shared" si="234"/>
        <v/>
      </c>
      <c r="M1115" s="48" t="str">
        <f t="shared" si="235"/>
        <v/>
      </c>
      <c r="N1115" s="54" t="str">
        <f t="shared" si="236"/>
        <v/>
      </c>
      <c r="O1115" s="55">
        <f t="shared" si="237"/>
        <v>0</v>
      </c>
      <c r="P1115" s="55">
        <f t="shared" si="238"/>
        <v>0</v>
      </c>
      <c r="Q1115" s="54">
        <f t="shared" si="239"/>
        <v>0</v>
      </c>
      <c r="R1115" s="47"/>
      <c r="T1115" s="57"/>
      <c r="U1115" s="45"/>
      <c r="V1115" s="46">
        <f>IF(U1115&lt;&gt;"",VLOOKUP(U1115,'Tipo Projeto'!$A$3:$B$35,2,0),0)</f>
        <v>0</v>
      </c>
      <c r="W1115" s="47"/>
      <c r="X1115" s="49"/>
      <c r="Y1115" s="50"/>
      <c r="Z1115" s="51"/>
      <c r="AA1115" s="52"/>
      <c r="AB1115" s="53" t="str">
        <f t="shared" si="240"/>
        <v/>
      </c>
      <c r="AC1115" s="48" t="str">
        <f t="shared" si="241"/>
        <v/>
      </c>
      <c r="AD1115" s="54" t="str">
        <f t="shared" si="242"/>
        <v/>
      </c>
      <c r="AE1115" s="55">
        <f t="shared" si="243"/>
        <v>0</v>
      </c>
      <c r="AF1115" s="55">
        <f t="shared" si="244"/>
        <v>0</v>
      </c>
      <c r="AG1115" s="58">
        <f t="shared" si="245"/>
        <v>0</v>
      </c>
      <c r="AH1115" s="47"/>
      <c r="AJ1115" s="47"/>
      <c r="AL1115" s="47"/>
      <c r="AM1115" s="47" t="str">
        <f t="shared" si="246"/>
        <v/>
      </c>
    </row>
    <row r="1116" spans="1:39" s="56" customFormat="1" ht="24.75" customHeight="1">
      <c r="A1116" s="44"/>
      <c r="B1116" s="45"/>
      <c r="C1116" s="46">
        <f>IF(B1116&lt;&gt;"",VLOOKUP(B1116,'Tipo Projeto'!$A$3:$B$35,2,0),0)</f>
        <v>0</v>
      </c>
      <c r="D1116" s="47"/>
      <c r="E1116" s="47"/>
      <c r="F1116" s="48"/>
      <c r="G1116" s="47"/>
      <c r="H1116" s="49"/>
      <c r="I1116" s="50"/>
      <c r="J1116" s="51"/>
      <c r="K1116" s="52"/>
      <c r="L1116" s="53" t="str">
        <f t="shared" si="234"/>
        <v/>
      </c>
      <c r="M1116" s="48" t="str">
        <f t="shared" si="235"/>
        <v/>
      </c>
      <c r="N1116" s="54" t="str">
        <f t="shared" si="236"/>
        <v/>
      </c>
      <c r="O1116" s="55">
        <f t="shared" si="237"/>
        <v>0</v>
      </c>
      <c r="P1116" s="55">
        <f t="shared" si="238"/>
        <v>0</v>
      </c>
      <c r="Q1116" s="54">
        <f t="shared" si="239"/>
        <v>0</v>
      </c>
      <c r="R1116" s="47"/>
      <c r="T1116" s="57"/>
      <c r="U1116" s="45"/>
      <c r="V1116" s="46">
        <f>IF(U1116&lt;&gt;"",VLOOKUP(U1116,'Tipo Projeto'!$A$3:$B$35,2,0),0)</f>
        <v>0</v>
      </c>
      <c r="W1116" s="47"/>
      <c r="X1116" s="49"/>
      <c r="Y1116" s="50"/>
      <c r="Z1116" s="51"/>
      <c r="AA1116" s="52"/>
      <c r="AB1116" s="53" t="str">
        <f t="shared" si="240"/>
        <v/>
      </c>
      <c r="AC1116" s="48" t="str">
        <f t="shared" si="241"/>
        <v/>
      </c>
      <c r="AD1116" s="54" t="str">
        <f t="shared" si="242"/>
        <v/>
      </c>
      <c r="AE1116" s="55">
        <f t="shared" si="243"/>
        <v>0</v>
      </c>
      <c r="AF1116" s="55">
        <f t="shared" si="244"/>
        <v>0</v>
      </c>
      <c r="AG1116" s="58">
        <f t="shared" si="245"/>
        <v>0</v>
      </c>
      <c r="AH1116" s="47"/>
      <c r="AJ1116" s="47"/>
      <c r="AL1116" s="47"/>
      <c r="AM1116" s="47" t="str">
        <f t="shared" si="246"/>
        <v/>
      </c>
    </row>
    <row r="1117" spans="1:39" s="56" customFormat="1" ht="24.75" customHeight="1">
      <c r="A1117" s="44"/>
      <c r="B1117" s="45"/>
      <c r="C1117" s="46">
        <f>IF(B1117&lt;&gt;"",VLOOKUP(B1117,'Tipo Projeto'!$A$3:$B$35,2,0),0)</f>
        <v>0</v>
      </c>
      <c r="D1117" s="47"/>
      <c r="E1117" s="47"/>
      <c r="F1117" s="48"/>
      <c r="G1117" s="47"/>
      <c r="H1117" s="49"/>
      <c r="I1117" s="50"/>
      <c r="J1117" s="51"/>
      <c r="K1117" s="52"/>
      <c r="L1117" s="53" t="str">
        <f t="shared" si="234"/>
        <v/>
      </c>
      <c r="M1117" s="48" t="str">
        <f t="shared" si="235"/>
        <v/>
      </c>
      <c r="N1117" s="54" t="str">
        <f t="shared" si="236"/>
        <v/>
      </c>
      <c r="O1117" s="55">
        <f t="shared" si="237"/>
        <v>0</v>
      </c>
      <c r="P1117" s="55">
        <f t="shared" si="238"/>
        <v>0</v>
      </c>
      <c r="Q1117" s="54">
        <f t="shared" si="239"/>
        <v>0</v>
      </c>
      <c r="R1117" s="47"/>
      <c r="T1117" s="57"/>
      <c r="U1117" s="45"/>
      <c r="V1117" s="46">
        <f>IF(U1117&lt;&gt;"",VLOOKUP(U1117,'Tipo Projeto'!$A$3:$B$35,2,0),0)</f>
        <v>0</v>
      </c>
      <c r="W1117" s="47"/>
      <c r="X1117" s="49"/>
      <c r="Y1117" s="50"/>
      <c r="Z1117" s="51"/>
      <c r="AA1117" s="52"/>
      <c r="AB1117" s="53" t="str">
        <f t="shared" si="240"/>
        <v/>
      </c>
      <c r="AC1117" s="48" t="str">
        <f t="shared" si="241"/>
        <v/>
      </c>
      <c r="AD1117" s="54" t="str">
        <f t="shared" si="242"/>
        <v/>
      </c>
      <c r="AE1117" s="55">
        <f t="shared" si="243"/>
        <v>0</v>
      </c>
      <c r="AF1117" s="55">
        <f t="shared" si="244"/>
        <v>0</v>
      </c>
      <c r="AG1117" s="58">
        <f t="shared" si="245"/>
        <v>0</v>
      </c>
      <c r="AH1117" s="47"/>
      <c r="AJ1117" s="47"/>
      <c r="AL1117" s="47"/>
      <c r="AM1117" s="47" t="str">
        <f t="shared" si="246"/>
        <v/>
      </c>
    </row>
    <row r="1118" spans="1:39" s="56" customFormat="1" ht="24.75" customHeight="1">
      <c r="A1118" s="44"/>
      <c r="B1118" s="45"/>
      <c r="C1118" s="46">
        <f>IF(B1118&lt;&gt;"",VLOOKUP(B1118,'Tipo Projeto'!$A$3:$B$35,2,0),0)</f>
        <v>0</v>
      </c>
      <c r="D1118" s="47"/>
      <c r="E1118" s="47"/>
      <c r="F1118" s="48"/>
      <c r="G1118" s="47"/>
      <c r="H1118" s="49"/>
      <c r="I1118" s="50"/>
      <c r="J1118" s="51"/>
      <c r="K1118" s="52"/>
      <c r="L1118" s="53" t="str">
        <f t="shared" si="234"/>
        <v/>
      </c>
      <c r="M1118" s="48" t="str">
        <f t="shared" si="235"/>
        <v/>
      </c>
      <c r="N1118" s="54" t="str">
        <f t="shared" si="236"/>
        <v/>
      </c>
      <c r="O1118" s="55">
        <f t="shared" si="237"/>
        <v>0</v>
      </c>
      <c r="P1118" s="55">
        <f t="shared" si="238"/>
        <v>0</v>
      </c>
      <c r="Q1118" s="54">
        <f t="shared" si="239"/>
        <v>0</v>
      </c>
      <c r="R1118" s="47"/>
      <c r="T1118" s="57"/>
      <c r="U1118" s="45"/>
      <c r="V1118" s="46">
        <f>IF(U1118&lt;&gt;"",VLOOKUP(U1118,'Tipo Projeto'!$A$3:$B$35,2,0),0)</f>
        <v>0</v>
      </c>
      <c r="W1118" s="47"/>
      <c r="X1118" s="49"/>
      <c r="Y1118" s="50"/>
      <c r="Z1118" s="51"/>
      <c r="AA1118" s="52"/>
      <c r="AB1118" s="53" t="str">
        <f t="shared" si="240"/>
        <v/>
      </c>
      <c r="AC1118" s="48" t="str">
        <f t="shared" si="241"/>
        <v/>
      </c>
      <c r="AD1118" s="54" t="str">
        <f t="shared" si="242"/>
        <v/>
      </c>
      <c r="AE1118" s="55">
        <f t="shared" si="243"/>
        <v>0</v>
      </c>
      <c r="AF1118" s="55">
        <f t="shared" si="244"/>
        <v>0</v>
      </c>
      <c r="AG1118" s="58">
        <f t="shared" si="245"/>
        <v>0</v>
      </c>
      <c r="AH1118" s="47"/>
      <c r="AJ1118" s="47"/>
      <c r="AL1118" s="47"/>
      <c r="AM1118" s="47" t="str">
        <f t="shared" si="246"/>
        <v/>
      </c>
    </row>
    <row r="1119" spans="1:39" s="56" customFormat="1" ht="24.75" customHeight="1">
      <c r="A1119" s="44"/>
      <c r="B1119" s="45"/>
      <c r="C1119" s="46">
        <f>IF(B1119&lt;&gt;"",VLOOKUP(B1119,'Tipo Projeto'!$A$3:$B$35,2,0),0)</f>
        <v>0</v>
      </c>
      <c r="D1119" s="47"/>
      <c r="E1119" s="47"/>
      <c r="F1119" s="48"/>
      <c r="G1119" s="47"/>
      <c r="H1119" s="49"/>
      <c r="I1119" s="50"/>
      <c r="J1119" s="51"/>
      <c r="K1119" s="52"/>
      <c r="L1119" s="53" t="str">
        <f t="shared" si="234"/>
        <v/>
      </c>
      <c r="M1119" s="48" t="str">
        <f t="shared" si="235"/>
        <v/>
      </c>
      <c r="N1119" s="54" t="str">
        <f t="shared" si="236"/>
        <v/>
      </c>
      <c r="O1119" s="55">
        <f t="shared" si="237"/>
        <v>0</v>
      </c>
      <c r="P1119" s="55">
        <f t="shared" si="238"/>
        <v>0</v>
      </c>
      <c r="Q1119" s="54">
        <f t="shared" si="239"/>
        <v>0</v>
      </c>
      <c r="R1119" s="47"/>
      <c r="T1119" s="57"/>
      <c r="U1119" s="45"/>
      <c r="V1119" s="46">
        <f>IF(U1119&lt;&gt;"",VLOOKUP(U1119,'Tipo Projeto'!$A$3:$B$35,2,0),0)</f>
        <v>0</v>
      </c>
      <c r="W1119" s="47"/>
      <c r="X1119" s="49"/>
      <c r="Y1119" s="50"/>
      <c r="Z1119" s="51"/>
      <c r="AA1119" s="52"/>
      <c r="AB1119" s="53" t="str">
        <f t="shared" si="240"/>
        <v/>
      </c>
      <c r="AC1119" s="48" t="str">
        <f t="shared" si="241"/>
        <v/>
      </c>
      <c r="AD1119" s="54" t="str">
        <f t="shared" si="242"/>
        <v/>
      </c>
      <c r="AE1119" s="55">
        <f t="shared" si="243"/>
        <v>0</v>
      </c>
      <c r="AF1119" s="55">
        <f t="shared" si="244"/>
        <v>0</v>
      </c>
      <c r="AG1119" s="58">
        <f t="shared" si="245"/>
        <v>0</v>
      </c>
      <c r="AH1119" s="47"/>
      <c r="AJ1119" s="47"/>
      <c r="AL1119" s="47"/>
      <c r="AM1119" s="47" t="str">
        <f t="shared" si="246"/>
        <v/>
      </c>
    </row>
    <row r="1120" spans="1:39" s="56" customFormat="1" ht="24.75" customHeight="1">
      <c r="A1120" s="44"/>
      <c r="B1120" s="45"/>
      <c r="C1120" s="46">
        <f>IF(B1120&lt;&gt;"",VLOOKUP(B1120,'Tipo Projeto'!$A$3:$B$35,2,0),0)</f>
        <v>0</v>
      </c>
      <c r="D1120" s="47"/>
      <c r="E1120" s="47"/>
      <c r="F1120" s="48"/>
      <c r="G1120" s="47"/>
      <c r="H1120" s="49"/>
      <c r="I1120" s="50"/>
      <c r="J1120" s="51"/>
      <c r="K1120" s="52"/>
      <c r="L1120" s="53" t="str">
        <f t="shared" si="234"/>
        <v/>
      </c>
      <c r="M1120" s="48" t="str">
        <f t="shared" si="235"/>
        <v/>
      </c>
      <c r="N1120" s="54" t="str">
        <f t="shared" si="236"/>
        <v/>
      </c>
      <c r="O1120" s="55">
        <f t="shared" si="237"/>
        <v>0</v>
      </c>
      <c r="P1120" s="55">
        <f t="shared" si="238"/>
        <v>0</v>
      </c>
      <c r="Q1120" s="54">
        <f t="shared" si="239"/>
        <v>0</v>
      </c>
      <c r="R1120" s="47"/>
      <c r="T1120" s="57"/>
      <c r="U1120" s="45"/>
      <c r="V1120" s="46">
        <f>IF(U1120&lt;&gt;"",VLOOKUP(U1120,'Tipo Projeto'!$A$3:$B$35,2,0),0)</f>
        <v>0</v>
      </c>
      <c r="W1120" s="47"/>
      <c r="X1120" s="49"/>
      <c r="Y1120" s="50"/>
      <c r="Z1120" s="51"/>
      <c r="AA1120" s="52"/>
      <c r="AB1120" s="53" t="str">
        <f t="shared" si="240"/>
        <v/>
      </c>
      <c r="AC1120" s="48" t="str">
        <f t="shared" si="241"/>
        <v/>
      </c>
      <c r="AD1120" s="54" t="str">
        <f t="shared" si="242"/>
        <v/>
      </c>
      <c r="AE1120" s="55">
        <f t="shared" si="243"/>
        <v>0</v>
      </c>
      <c r="AF1120" s="55">
        <f t="shared" si="244"/>
        <v>0</v>
      </c>
      <c r="AG1120" s="58">
        <f t="shared" si="245"/>
        <v>0</v>
      </c>
      <c r="AH1120" s="47"/>
      <c r="AJ1120" s="47"/>
      <c r="AL1120" s="47"/>
      <c r="AM1120" s="47" t="str">
        <f t="shared" si="246"/>
        <v/>
      </c>
    </row>
    <row r="1121" spans="1:39" s="56" customFormat="1" ht="24.75" customHeight="1">
      <c r="A1121" s="44"/>
      <c r="B1121" s="45"/>
      <c r="C1121" s="46">
        <f>IF(B1121&lt;&gt;"",VLOOKUP(B1121,'Tipo Projeto'!$A$3:$B$35,2,0),0)</f>
        <v>0</v>
      </c>
      <c r="D1121" s="47"/>
      <c r="E1121" s="47"/>
      <c r="F1121" s="48"/>
      <c r="G1121" s="47"/>
      <c r="H1121" s="49"/>
      <c r="I1121" s="50"/>
      <c r="J1121" s="51"/>
      <c r="K1121" s="52"/>
      <c r="L1121" s="53" t="str">
        <f t="shared" si="234"/>
        <v/>
      </c>
      <c r="M1121" s="48" t="str">
        <f t="shared" si="235"/>
        <v/>
      </c>
      <c r="N1121" s="54" t="str">
        <f t="shared" si="236"/>
        <v/>
      </c>
      <c r="O1121" s="55">
        <f t="shared" si="237"/>
        <v>0</v>
      </c>
      <c r="P1121" s="55">
        <f t="shared" si="238"/>
        <v>0</v>
      </c>
      <c r="Q1121" s="54">
        <f t="shared" si="239"/>
        <v>0</v>
      </c>
      <c r="R1121" s="47"/>
      <c r="T1121" s="57"/>
      <c r="U1121" s="45"/>
      <c r="V1121" s="46">
        <f>IF(U1121&lt;&gt;"",VLOOKUP(U1121,'Tipo Projeto'!$A$3:$B$35,2,0),0)</f>
        <v>0</v>
      </c>
      <c r="W1121" s="47"/>
      <c r="X1121" s="49"/>
      <c r="Y1121" s="50"/>
      <c r="Z1121" s="51"/>
      <c r="AA1121" s="52"/>
      <c r="AB1121" s="53" t="str">
        <f t="shared" si="240"/>
        <v/>
      </c>
      <c r="AC1121" s="48" t="str">
        <f t="shared" si="241"/>
        <v/>
      </c>
      <c r="AD1121" s="54" t="str">
        <f t="shared" si="242"/>
        <v/>
      </c>
      <c r="AE1121" s="55">
        <f t="shared" si="243"/>
        <v>0</v>
      </c>
      <c r="AF1121" s="55">
        <f t="shared" si="244"/>
        <v>0</v>
      </c>
      <c r="AG1121" s="58">
        <f t="shared" si="245"/>
        <v>0</v>
      </c>
      <c r="AH1121" s="47"/>
      <c r="AJ1121" s="47"/>
      <c r="AL1121" s="47"/>
      <c r="AM1121" s="47" t="str">
        <f t="shared" si="246"/>
        <v/>
      </c>
    </row>
    <row r="1122" spans="1:39" s="56" customFormat="1" ht="24.75" customHeight="1">
      <c r="A1122" s="44"/>
      <c r="B1122" s="45"/>
      <c r="C1122" s="46">
        <f>IF(B1122&lt;&gt;"",VLOOKUP(B1122,'Tipo Projeto'!$A$3:$B$35,2,0),0)</f>
        <v>0</v>
      </c>
      <c r="D1122" s="47"/>
      <c r="E1122" s="47"/>
      <c r="F1122" s="48"/>
      <c r="G1122" s="47"/>
      <c r="H1122" s="49"/>
      <c r="I1122" s="50"/>
      <c r="J1122" s="51"/>
      <c r="K1122" s="52"/>
      <c r="L1122" s="53" t="str">
        <f t="shared" si="234"/>
        <v/>
      </c>
      <c r="M1122" s="48" t="str">
        <f t="shared" si="235"/>
        <v/>
      </c>
      <c r="N1122" s="54" t="str">
        <f t="shared" si="236"/>
        <v/>
      </c>
      <c r="O1122" s="55">
        <f t="shared" si="237"/>
        <v>0</v>
      </c>
      <c r="P1122" s="55">
        <f t="shared" si="238"/>
        <v>0</v>
      </c>
      <c r="Q1122" s="54">
        <f t="shared" si="239"/>
        <v>0</v>
      </c>
      <c r="R1122" s="47"/>
      <c r="T1122" s="57"/>
      <c r="U1122" s="45"/>
      <c r="V1122" s="46">
        <f>IF(U1122&lt;&gt;"",VLOOKUP(U1122,'Tipo Projeto'!$A$3:$B$35,2,0),0)</f>
        <v>0</v>
      </c>
      <c r="W1122" s="47"/>
      <c r="X1122" s="49"/>
      <c r="Y1122" s="50"/>
      <c r="Z1122" s="51"/>
      <c r="AA1122" s="52"/>
      <c r="AB1122" s="53" t="str">
        <f t="shared" si="240"/>
        <v/>
      </c>
      <c r="AC1122" s="48" t="str">
        <f t="shared" si="241"/>
        <v/>
      </c>
      <c r="AD1122" s="54" t="str">
        <f t="shared" si="242"/>
        <v/>
      </c>
      <c r="AE1122" s="55">
        <f t="shared" si="243"/>
        <v>0</v>
      </c>
      <c r="AF1122" s="55">
        <f t="shared" si="244"/>
        <v>0</v>
      </c>
      <c r="AG1122" s="58">
        <f t="shared" si="245"/>
        <v>0</v>
      </c>
      <c r="AH1122" s="47"/>
      <c r="AJ1122" s="47"/>
      <c r="AL1122" s="47"/>
      <c r="AM1122" s="47" t="str">
        <f t="shared" si="246"/>
        <v/>
      </c>
    </row>
    <row r="1123" spans="1:39" s="56" customFormat="1" ht="24.75" customHeight="1">
      <c r="A1123" s="44"/>
      <c r="B1123" s="45"/>
      <c r="C1123" s="46">
        <f>IF(B1123&lt;&gt;"",VLOOKUP(B1123,'Tipo Projeto'!$A$3:$B$35,2,0),0)</f>
        <v>0</v>
      </c>
      <c r="D1123" s="47"/>
      <c r="E1123" s="47"/>
      <c r="F1123" s="48"/>
      <c r="G1123" s="47"/>
      <c r="H1123" s="49"/>
      <c r="I1123" s="50"/>
      <c r="J1123" s="51"/>
      <c r="K1123" s="52"/>
      <c r="L1123" s="53" t="str">
        <f t="shared" si="234"/>
        <v/>
      </c>
      <c r="M1123" s="48" t="str">
        <f t="shared" si="235"/>
        <v/>
      </c>
      <c r="N1123" s="54" t="str">
        <f t="shared" si="236"/>
        <v/>
      </c>
      <c r="O1123" s="55">
        <f t="shared" si="237"/>
        <v>0</v>
      </c>
      <c r="P1123" s="55">
        <f t="shared" si="238"/>
        <v>0</v>
      </c>
      <c r="Q1123" s="54">
        <f t="shared" si="239"/>
        <v>0</v>
      </c>
      <c r="R1123" s="47"/>
      <c r="T1123" s="57"/>
      <c r="U1123" s="45"/>
      <c r="V1123" s="46">
        <f>IF(U1123&lt;&gt;"",VLOOKUP(U1123,'Tipo Projeto'!$A$3:$B$35,2,0),0)</f>
        <v>0</v>
      </c>
      <c r="W1123" s="47"/>
      <c r="X1123" s="49"/>
      <c r="Y1123" s="50"/>
      <c r="Z1123" s="51"/>
      <c r="AA1123" s="52"/>
      <c r="AB1123" s="53" t="str">
        <f t="shared" si="240"/>
        <v/>
      </c>
      <c r="AC1123" s="48" t="str">
        <f t="shared" si="241"/>
        <v/>
      </c>
      <c r="AD1123" s="54" t="str">
        <f t="shared" si="242"/>
        <v/>
      </c>
      <c r="AE1123" s="55">
        <f t="shared" si="243"/>
        <v>0</v>
      </c>
      <c r="AF1123" s="55">
        <f t="shared" si="244"/>
        <v>0</v>
      </c>
      <c r="AG1123" s="58">
        <f t="shared" si="245"/>
        <v>0</v>
      </c>
      <c r="AH1123" s="47"/>
      <c r="AJ1123" s="47"/>
      <c r="AL1123" s="47"/>
      <c r="AM1123" s="47" t="str">
        <f t="shared" si="246"/>
        <v/>
      </c>
    </row>
    <row r="1124" spans="1:39" s="56" customFormat="1" ht="24.75" customHeight="1">
      <c r="A1124" s="44"/>
      <c r="B1124" s="45"/>
      <c r="C1124" s="46">
        <f>IF(B1124&lt;&gt;"",VLOOKUP(B1124,'Tipo Projeto'!$A$3:$B$35,2,0),0)</f>
        <v>0</v>
      </c>
      <c r="D1124" s="47"/>
      <c r="E1124" s="47"/>
      <c r="F1124" s="48"/>
      <c r="G1124" s="47"/>
      <c r="H1124" s="49"/>
      <c r="I1124" s="50"/>
      <c r="J1124" s="51"/>
      <c r="K1124" s="52"/>
      <c r="L1124" s="53" t="str">
        <f t="shared" si="234"/>
        <v/>
      </c>
      <c r="M1124" s="48" t="str">
        <f t="shared" si="235"/>
        <v/>
      </c>
      <c r="N1124" s="54" t="str">
        <f t="shared" si="236"/>
        <v/>
      </c>
      <c r="O1124" s="55">
        <f t="shared" si="237"/>
        <v>0</v>
      </c>
      <c r="P1124" s="55">
        <f t="shared" si="238"/>
        <v>0</v>
      </c>
      <c r="Q1124" s="54">
        <f t="shared" si="239"/>
        <v>0</v>
      </c>
      <c r="R1124" s="47"/>
      <c r="T1124" s="57"/>
      <c r="U1124" s="45"/>
      <c r="V1124" s="46">
        <f>IF(U1124&lt;&gt;"",VLOOKUP(U1124,'Tipo Projeto'!$A$3:$B$35,2,0),0)</f>
        <v>0</v>
      </c>
      <c r="W1124" s="47"/>
      <c r="X1124" s="49"/>
      <c r="Y1124" s="50"/>
      <c r="Z1124" s="51"/>
      <c r="AA1124" s="52"/>
      <c r="AB1124" s="53" t="str">
        <f t="shared" si="240"/>
        <v/>
      </c>
      <c r="AC1124" s="48" t="str">
        <f t="shared" si="241"/>
        <v/>
      </c>
      <c r="AD1124" s="54" t="str">
        <f t="shared" si="242"/>
        <v/>
      </c>
      <c r="AE1124" s="55">
        <f t="shared" si="243"/>
        <v>0</v>
      </c>
      <c r="AF1124" s="55">
        <f t="shared" si="244"/>
        <v>0</v>
      </c>
      <c r="AG1124" s="58">
        <f t="shared" si="245"/>
        <v>0</v>
      </c>
      <c r="AH1124" s="47"/>
      <c r="AJ1124" s="47"/>
      <c r="AL1124" s="47"/>
      <c r="AM1124" s="47" t="str">
        <f t="shared" si="246"/>
        <v/>
      </c>
    </row>
    <row r="1125" spans="1:39" s="56" customFormat="1" ht="24.75" customHeight="1">
      <c r="A1125" s="44"/>
      <c r="B1125" s="45"/>
      <c r="C1125" s="46">
        <f>IF(B1125&lt;&gt;"",VLOOKUP(B1125,'Tipo Projeto'!$A$3:$B$35,2,0),0)</f>
        <v>0</v>
      </c>
      <c r="D1125" s="47"/>
      <c r="E1125" s="47"/>
      <c r="F1125" s="48"/>
      <c r="G1125" s="47"/>
      <c r="H1125" s="49"/>
      <c r="I1125" s="50"/>
      <c r="J1125" s="51"/>
      <c r="K1125" s="52"/>
      <c r="L1125" s="53" t="str">
        <f t="shared" si="234"/>
        <v/>
      </c>
      <c r="M1125" s="48" t="str">
        <f t="shared" si="235"/>
        <v/>
      </c>
      <c r="N1125" s="54" t="str">
        <f t="shared" si="236"/>
        <v/>
      </c>
      <c r="O1125" s="55">
        <f t="shared" si="237"/>
        <v>0</v>
      </c>
      <c r="P1125" s="55">
        <f t="shared" si="238"/>
        <v>0</v>
      </c>
      <c r="Q1125" s="54">
        <f t="shared" si="239"/>
        <v>0</v>
      </c>
      <c r="R1125" s="47"/>
      <c r="T1125" s="57"/>
      <c r="U1125" s="45"/>
      <c r="V1125" s="46">
        <f>IF(U1125&lt;&gt;"",VLOOKUP(U1125,'Tipo Projeto'!$A$3:$B$35,2,0),0)</f>
        <v>0</v>
      </c>
      <c r="W1125" s="47"/>
      <c r="X1125" s="49"/>
      <c r="Y1125" s="50"/>
      <c r="Z1125" s="51"/>
      <c r="AA1125" s="52"/>
      <c r="AB1125" s="53" t="str">
        <f t="shared" si="240"/>
        <v/>
      </c>
      <c r="AC1125" s="48" t="str">
        <f t="shared" si="241"/>
        <v/>
      </c>
      <c r="AD1125" s="54" t="str">
        <f t="shared" si="242"/>
        <v/>
      </c>
      <c r="AE1125" s="55">
        <f t="shared" si="243"/>
        <v>0</v>
      </c>
      <c r="AF1125" s="55">
        <f t="shared" si="244"/>
        <v>0</v>
      </c>
      <c r="AG1125" s="58">
        <f t="shared" si="245"/>
        <v>0</v>
      </c>
      <c r="AH1125" s="47"/>
      <c r="AJ1125" s="47"/>
      <c r="AL1125" s="47"/>
      <c r="AM1125" s="47" t="str">
        <f t="shared" si="246"/>
        <v/>
      </c>
    </row>
    <row r="1126" spans="1:39" s="56" customFormat="1" ht="24.75" customHeight="1">
      <c r="A1126" s="44"/>
      <c r="B1126" s="45"/>
      <c r="C1126" s="46">
        <f>IF(B1126&lt;&gt;"",VLOOKUP(B1126,'Tipo Projeto'!$A$3:$B$35,2,0),0)</f>
        <v>0</v>
      </c>
      <c r="D1126" s="47"/>
      <c r="E1126" s="47"/>
      <c r="F1126" s="48"/>
      <c r="G1126" s="47"/>
      <c r="H1126" s="49"/>
      <c r="I1126" s="50"/>
      <c r="J1126" s="51"/>
      <c r="K1126" s="52"/>
      <c r="L1126" s="53" t="str">
        <f t="shared" si="234"/>
        <v/>
      </c>
      <c r="M1126" s="48" t="str">
        <f t="shared" si="235"/>
        <v/>
      </c>
      <c r="N1126" s="54" t="str">
        <f t="shared" si="236"/>
        <v/>
      </c>
      <c r="O1126" s="55">
        <f t="shared" si="237"/>
        <v>0</v>
      </c>
      <c r="P1126" s="55">
        <f t="shared" si="238"/>
        <v>0</v>
      </c>
      <c r="Q1126" s="54">
        <f t="shared" si="239"/>
        <v>0</v>
      </c>
      <c r="R1126" s="47"/>
      <c r="T1126" s="57"/>
      <c r="U1126" s="45"/>
      <c r="V1126" s="46">
        <f>IF(U1126&lt;&gt;"",VLOOKUP(U1126,'Tipo Projeto'!$A$3:$B$35,2,0),0)</f>
        <v>0</v>
      </c>
      <c r="W1126" s="47"/>
      <c r="X1126" s="49"/>
      <c r="Y1126" s="50"/>
      <c r="Z1126" s="51"/>
      <c r="AA1126" s="52"/>
      <c r="AB1126" s="53" t="str">
        <f t="shared" si="240"/>
        <v/>
      </c>
      <c r="AC1126" s="48" t="str">
        <f t="shared" si="241"/>
        <v/>
      </c>
      <c r="AD1126" s="54" t="str">
        <f t="shared" si="242"/>
        <v/>
      </c>
      <c r="AE1126" s="55">
        <f t="shared" si="243"/>
        <v>0</v>
      </c>
      <c r="AF1126" s="55">
        <f t="shared" si="244"/>
        <v>0</v>
      </c>
      <c r="AG1126" s="58">
        <f t="shared" si="245"/>
        <v>0</v>
      </c>
      <c r="AH1126" s="47"/>
      <c r="AJ1126" s="47"/>
      <c r="AL1126" s="47"/>
      <c r="AM1126" s="47" t="str">
        <f t="shared" si="246"/>
        <v/>
      </c>
    </row>
    <row r="1127" spans="1:39" s="56" customFormat="1" ht="24.75" customHeight="1">
      <c r="A1127" s="44"/>
      <c r="B1127" s="45"/>
      <c r="C1127" s="46">
        <f>IF(B1127&lt;&gt;"",VLOOKUP(B1127,'Tipo Projeto'!$A$3:$B$35,2,0),0)</f>
        <v>0</v>
      </c>
      <c r="D1127" s="47"/>
      <c r="E1127" s="47"/>
      <c r="F1127" s="48"/>
      <c r="G1127" s="47"/>
      <c r="H1127" s="49"/>
      <c r="I1127" s="50"/>
      <c r="J1127" s="51"/>
      <c r="K1127" s="52"/>
      <c r="L1127" s="53" t="str">
        <f t="shared" si="234"/>
        <v/>
      </c>
      <c r="M1127" s="48" t="str">
        <f t="shared" si="235"/>
        <v/>
      </c>
      <c r="N1127" s="54" t="str">
        <f t="shared" si="236"/>
        <v/>
      </c>
      <c r="O1127" s="55">
        <f t="shared" si="237"/>
        <v>0</v>
      </c>
      <c r="P1127" s="55">
        <f t="shared" si="238"/>
        <v>0</v>
      </c>
      <c r="Q1127" s="54">
        <f t="shared" si="239"/>
        <v>0</v>
      </c>
      <c r="R1127" s="47"/>
      <c r="T1127" s="57"/>
      <c r="U1127" s="45"/>
      <c r="V1127" s="46">
        <f>IF(U1127&lt;&gt;"",VLOOKUP(U1127,'Tipo Projeto'!$A$3:$B$35,2,0),0)</f>
        <v>0</v>
      </c>
      <c r="W1127" s="47"/>
      <c r="X1127" s="49"/>
      <c r="Y1127" s="50"/>
      <c r="Z1127" s="51"/>
      <c r="AA1127" s="52"/>
      <c r="AB1127" s="53" t="str">
        <f t="shared" si="240"/>
        <v/>
      </c>
      <c r="AC1127" s="48" t="str">
        <f t="shared" si="241"/>
        <v/>
      </c>
      <c r="AD1127" s="54" t="str">
        <f t="shared" si="242"/>
        <v/>
      </c>
      <c r="AE1127" s="55">
        <f t="shared" si="243"/>
        <v>0</v>
      </c>
      <c r="AF1127" s="55">
        <f t="shared" si="244"/>
        <v>0</v>
      </c>
      <c r="AG1127" s="58">
        <f t="shared" si="245"/>
        <v>0</v>
      </c>
      <c r="AH1127" s="47"/>
      <c r="AJ1127" s="47"/>
      <c r="AL1127" s="47"/>
      <c r="AM1127" s="47" t="str">
        <f t="shared" si="246"/>
        <v/>
      </c>
    </row>
    <row r="1128" spans="1:39" s="56" customFormat="1" ht="24.75" customHeight="1">
      <c r="A1128" s="44"/>
      <c r="B1128" s="45"/>
      <c r="C1128" s="46">
        <f>IF(B1128&lt;&gt;"",VLOOKUP(B1128,'Tipo Projeto'!$A$3:$B$35,2,0),0)</f>
        <v>0</v>
      </c>
      <c r="D1128" s="47"/>
      <c r="E1128" s="47"/>
      <c r="F1128" s="48"/>
      <c r="G1128" s="47"/>
      <c r="H1128" s="49"/>
      <c r="I1128" s="50"/>
      <c r="J1128" s="51"/>
      <c r="K1128" s="52"/>
      <c r="L1128" s="53" t="str">
        <f t="shared" si="234"/>
        <v/>
      </c>
      <c r="M1128" s="48" t="str">
        <f t="shared" si="235"/>
        <v/>
      </c>
      <c r="N1128" s="54" t="str">
        <f t="shared" si="236"/>
        <v/>
      </c>
      <c r="O1128" s="55">
        <f t="shared" si="237"/>
        <v>0</v>
      </c>
      <c r="P1128" s="55">
        <f t="shared" si="238"/>
        <v>0</v>
      </c>
      <c r="Q1128" s="54">
        <f t="shared" si="239"/>
        <v>0</v>
      </c>
      <c r="R1128" s="47"/>
      <c r="T1128" s="57"/>
      <c r="U1128" s="45"/>
      <c r="V1128" s="46">
        <f>IF(U1128&lt;&gt;"",VLOOKUP(U1128,'Tipo Projeto'!$A$3:$B$35,2,0),0)</f>
        <v>0</v>
      </c>
      <c r="W1128" s="47"/>
      <c r="X1128" s="49"/>
      <c r="Y1128" s="50"/>
      <c r="Z1128" s="51"/>
      <c r="AA1128" s="52"/>
      <c r="AB1128" s="53" t="str">
        <f t="shared" si="240"/>
        <v/>
      </c>
      <c r="AC1128" s="48" t="str">
        <f t="shared" si="241"/>
        <v/>
      </c>
      <c r="AD1128" s="54" t="str">
        <f t="shared" si="242"/>
        <v/>
      </c>
      <c r="AE1128" s="55">
        <f t="shared" si="243"/>
        <v>0</v>
      </c>
      <c r="AF1128" s="55">
        <f t="shared" si="244"/>
        <v>0</v>
      </c>
      <c r="AG1128" s="58">
        <f t="shared" si="245"/>
        <v>0</v>
      </c>
      <c r="AH1128" s="47"/>
      <c r="AJ1128" s="47"/>
      <c r="AL1128" s="47"/>
      <c r="AM1128" s="47" t="str">
        <f t="shared" si="246"/>
        <v/>
      </c>
    </row>
    <row r="1129" spans="1:39" s="56" customFormat="1" ht="24.75" customHeight="1">
      <c r="A1129" s="44"/>
      <c r="B1129" s="45"/>
      <c r="C1129" s="46">
        <f>IF(B1129&lt;&gt;"",VLOOKUP(B1129,'Tipo Projeto'!$A$3:$B$35,2,0),0)</f>
        <v>0</v>
      </c>
      <c r="D1129" s="47"/>
      <c r="E1129" s="47"/>
      <c r="F1129" s="48"/>
      <c r="G1129" s="47"/>
      <c r="H1129" s="49"/>
      <c r="I1129" s="50"/>
      <c r="J1129" s="51"/>
      <c r="K1129" s="52"/>
      <c r="L1129" s="53" t="str">
        <f t="shared" si="234"/>
        <v/>
      </c>
      <c r="M1129" s="48" t="str">
        <f t="shared" si="235"/>
        <v/>
      </c>
      <c r="N1129" s="54" t="str">
        <f t="shared" si="236"/>
        <v/>
      </c>
      <c r="O1129" s="55">
        <f t="shared" si="237"/>
        <v>0</v>
      </c>
      <c r="P1129" s="55">
        <f t="shared" si="238"/>
        <v>0</v>
      </c>
      <c r="Q1129" s="54">
        <f t="shared" si="239"/>
        <v>0</v>
      </c>
      <c r="R1129" s="47"/>
      <c r="T1129" s="57"/>
      <c r="U1129" s="45"/>
      <c r="V1129" s="46">
        <f>IF(U1129&lt;&gt;"",VLOOKUP(U1129,'Tipo Projeto'!$A$3:$B$35,2,0),0)</f>
        <v>0</v>
      </c>
      <c r="W1129" s="47"/>
      <c r="X1129" s="49"/>
      <c r="Y1129" s="50"/>
      <c r="Z1129" s="51"/>
      <c r="AA1129" s="52"/>
      <c r="AB1129" s="53" t="str">
        <f t="shared" si="240"/>
        <v/>
      </c>
      <c r="AC1129" s="48" t="str">
        <f t="shared" si="241"/>
        <v/>
      </c>
      <c r="AD1129" s="54" t="str">
        <f t="shared" si="242"/>
        <v/>
      </c>
      <c r="AE1129" s="55">
        <f t="shared" si="243"/>
        <v>0</v>
      </c>
      <c r="AF1129" s="55">
        <f t="shared" si="244"/>
        <v>0</v>
      </c>
      <c r="AG1129" s="58">
        <f t="shared" si="245"/>
        <v>0</v>
      </c>
      <c r="AH1129" s="47"/>
      <c r="AJ1129" s="47"/>
      <c r="AL1129" s="47"/>
      <c r="AM1129" s="47" t="str">
        <f t="shared" si="246"/>
        <v/>
      </c>
    </row>
    <row r="1130" spans="1:39" s="56" customFormat="1" ht="24.75" customHeight="1">
      <c r="A1130" s="44"/>
      <c r="B1130" s="45"/>
      <c r="C1130" s="46">
        <f>IF(B1130&lt;&gt;"",VLOOKUP(B1130,'Tipo Projeto'!$A$3:$B$35,2,0),0)</f>
        <v>0</v>
      </c>
      <c r="D1130" s="47"/>
      <c r="E1130" s="47"/>
      <c r="F1130" s="48"/>
      <c r="G1130" s="47"/>
      <c r="H1130" s="49"/>
      <c r="I1130" s="50"/>
      <c r="J1130" s="51"/>
      <c r="K1130" s="52"/>
      <c r="L1130" s="53" t="str">
        <f t="shared" si="234"/>
        <v/>
      </c>
      <c r="M1130" s="48" t="str">
        <f t="shared" si="235"/>
        <v/>
      </c>
      <c r="N1130" s="54" t="str">
        <f t="shared" si="236"/>
        <v/>
      </c>
      <c r="O1130" s="55">
        <f t="shared" si="237"/>
        <v>0</v>
      </c>
      <c r="P1130" s="55">
        <f t="shared" si="238"/>
        <v>0</v>
      </c>
      <c r="Q1130" s="54">
        <f t="shared" si="239"/>
        <v>0</v>
      </c>
      <c r="R1130" s="47"/>
      <c r="T1130" s="57"/>
      <c r="U1130" s="45"/>
      <c r="V1130" s="46">
        <f>IF(U1130&lt;&gt;"",VLOOKUP(U1130,'Tipo Projeto'!$A$3:$B$35,2,0),0)</f>
        <v>0</v>
      </c>
      <c r="W1130" s="47"/>
      <c r="X1130" s="49"/>
      <c r="Y1130" s="50"/>
      <c r="Z1130" s="51"/>
      <c r="AA1130" s="52"/>
      <c r="AB1130" s="53" t="str">
        <f t="shared" si="240"/>
        <v/>
      </c>
      <c r="AC1130" s="48" t="str">
        <f t="shared" si="241"/>
        <v/>
      </c>
      <c r="AD1130" s="54" t="str">
        <f t="shared" si="242"/>
        <v/>
      </c>
      <c r="AE1130" s="55">
        <f t="shared" si="243"/>
        <v>0</v>
      </c>
      <c r="AF1130" s="55">
        <f t="shared" si="244"/>
        <v>0</v>
      </c>
      <c r="AG1130" s="58">
        <f t="shared" si="245"/>
        <v>0</v>
      </c>
      <c r="AH1130" s="47"/>
      <c r="AJ1130" s="47"/>
      <c r="AL1130" s="47"/>
      <c r="AM1130" s="47" t="str">
        <f t="shared" si="246"/>
        <v/>
      </c>
    </row>
    <row r="1131" spans="1:39" s="56" customFormat="1" ht="24.75" customHeight="1">
      <c r="A1131" s="44"/>
      <c r="B1131" s="45"/>
      <c r="C1131" s="46">
        <f>IF(B1131&lt;&gt;"",VLOOKUP(B1131,'Tipo Projeto'!$A$3:$B$35,2,0),0)</f>
        <v>0</v>
      </c>
      <c r="D1131" s="47"/>
      <c r="E1131" s="47"/>
      <c r="F1131" s="48"/>
      <c r="G1131" s="47"/>
      <c r="H1131" s="49"/>
      <c r="I1131" s="50"/>
      <c r="J1131" s="51"/>
      <c r="K1131" s="52"/>
      <c r="L1131" s="53" t="str">
        <f t="shared" si="234"/>
        <v/>
      </c>
      <c r="M1131" s="48" t="str">
        <f t="shared" si="235"/>
        <v/>
      </c>
      <c r="N1131" s="54" t="str">
        <f t="shared" si="236"/>
        <v/>
      </c>
      <c r="O1131" s="55">
        <f t="shared" si="237"/>
        <v>0</v>
      </c>
      <c r="P1131" s="55">
        <f t="shared" si="238"/>
        <v>0</v>
      </c>
      <c r="Q1131" s="54">
        <f t="shared" si="239"/>
        <v>0</v>
      </c>
      <c r="R1131" s="47"/>
      <c r="T1131" s="57"/>
      <c r="U1131" s="45"/>
      <c r="V1131" s="46">
        <f>IF(U1131&lt;&gt;"",VLOOKUP(U1131,'Tipo Projeto'!$A$3:$B$35,2,0),0)</f>
        <v>0</v>
      </c>
      <c r="W1131" s="47"/>
      <c r="X1131" s="49"/>
      <c r="Y1131" s="50"/>
      <c r="Z1131" s="51"/>
      <c r="AA1131" s="52"/>
      <c r="AB1131" s="53" t="str">
        <f t="shared" si="240"/>
        <v/>
      </c>
      <c r="AC1131" s="48" t="str">
        <f t="shared" si="241"/>
        <v/>
      </c>
      <c r="AD1131" s="54" t="str">
        <f t="shared" si="242"/>
        <v/>
      </c>
      <c r="AE1131" s="55">
        <f t="shared" si="243"/>
        <v>0</v>
      </c>
      <c r="AF1131" s="55">
        <f t="shared" si="244"/>
        <v>0</v>
      </c>
      <c r="AG1131" s="58">
        <f t="shared" si="245"/>
        <v>0</v>
      </c>
      <c r="AH1131" s="47"/>
      <c r="AJ1131" s="47"/>
      <c r="AL1131" s="47"/>
      <c r="AM1131" s="47" t="str">
        <f t="shared" si="246"/>
        <v/>
      </c>
    </row>
    <row r="1132" spans="1:39" s="56" customFormat="1" ht="24.75" customHeight="1">
      <c r="A1132" s="44"/>
      <c r="B1132" s="45"/>
      <c r="C1132" s="46">
        <f>IF(B1132&lt;&gt;"",VLOOKUP(B1132,'Tipo Projeto'!$A$3:$B$35,2,0),0)</f>
        <v>0</v>
      </c>
      <c r="D1132" s="47"/>
      <c r="E1132" s="47"/>
      <c r="F1132" s="48"/>
      <c r="G1132" s="47"/>
      <c r="H1132" s="49"/>
      <c r="I1132" s="50"/>
      <c r="J1132" s="51"/>
      <c r="K1132" s="52"/>
      <c r="L1132" s="53" t="str">
        <f t="shared" si="234"/>
        <v/>
      </c>
      <c r="M1132" s="48" t="str">
        <f t="shared" si="235"/>
        <v/>
      </c>
      <c r="N1132" s="54" t="str">
        <f t="shared" si="236"/>
        <v/>
      </c>
      <c r="O1132" s="55">
        <f t="shared" si="237"/>
        <v>0</v>
      </c>
      <c r="P1132" s="55">
        <f t="shared" si="238"/>
        <v>0</v>
      </c>
      <c r="Q1132" s="54">
        <f t="shared" si="239"/>
        <v>0</v>
      </c>
      <c r="R1132" s="47"/>
      <c r="T1132" s="57"/>
      <c r="U1132" s="45"/>
      <c r="V1132" s="46">
        <f>IF(U1132&lt;&gt;"",VLOOKUP(U1132,'Tipo Projeto'!$A$3:$B$35,2,0),0)</f>
        <v>0</v>
      </c>
      <c r="W1132" s="47"/>
      <c r="X1132" s="49"/>
      <c r="Y1132" s="50"/>
      <c r="Z1132" s="51"/>
      <c r="AA1132" s="52"/>
      <c r="AB1132" s="53" t="str">
        <f t="shared" si="240"/>
        <v/>
      </c>
      <c r="AC1132" s="48" t="str">
        <f t="shared" si="241"/>
        <v/>
      </c>
      <c r="AD1132" s="54" t="str">
        <f t="shared" si="242"/>
        <v/>
      </c>
      <c r="AE1132" s="55">
        <f t="shared" si="243"/>
        <v>0</v>
      </c>
      <c r="AF1132" s="55">
        <f t="shared" si="244"/>
        <v>0</v>
      </c>
      <c r="AG1132" s="58">
        <f t="shared" si="245"/>
        <v>0</v>
      </c>
      <c r="AH1132" s="47"/>
      <c r="AJ1132" s="47"/>
      <c r="AL1132" s="47"/>
      <c r="AM1132" s="47" t="str">
        <f t="shared" si="246"/>
        <v/>
      </c>
    </row>
    <row r="1133" spans="1:39" s="56" customFormat="1" ht="24.75" customHeight="1">
      <c r="A1133" s="44"/>
      <c r="B1133" s="45"/>
      <c r="C1133" s="46">
        <f>IF(B1133&lt;&gt;"",VLOOKUP(B1133,'Tipo Projeto'!$A$3:$B$35,2,0),0)</f>
        <v>0</v>
      </c>
      <c r="D1133" s="47"/>
      <c r="E1133" s="47"/>
      <c r="F1133" s="48"/>
      <c r="G1133" s="47"/>
      <c r="H1133" s="49"/>
      <c r="I1133" s="50"/>
      <c r="J1133" s="51"/>
      <c r="K1133" s="52"/>
      <c r="L1133" s="53" t="str">
        <f t="shared" si="234"/>
        <v/>
      </c>
      <c r="M1133" s="48" t="str">
        <f t="shared" si="235"/>
        <v/>
      </c>
      <c r="N1133" s="54" t="str">
        <f t="shared" si="236"/>
        <v/>
      </c>
      <c r="O1133" s="55">
        <f t="shared" si="237"/>
        <v>0</v>
      </c>
      <c r="P1133" s="55">
        <f t="shared" si="238"/>
        <v>0</v>
      </c>
      <c r="Q1133" s="54">
        <f t="shared" si="239"/>
        <v>0</v>
      </c>
      <c r="R1133" s="47"/>
      <c r="T1133" s="57"/>
      <c r="U1133" s="45"/>
      <c r="V1133" s="46">
        <f>IF(U1133&lt;&gt;"",VLOOKUP(U1133,'Tipo Projeto'!$A$3:$B$35,2,0),0)</f>
        <v>0</v>
      </c>
      <c r="W1133" s="47"/>
      <c r="X1133" s="49"/>
      <c r="Y1133" s="50"/>
      <c r="Z1133" s="51"/>
      <c r="AA1133" s="52"/>
      <c r="AB1133" s="53" t="str">
        <f t="shared" si="240"/>
        <v/>
      </c>
      <c r="AC1133" s="48" t="str">
        <f t="shared" si="241"/>
        <v/>
      </c>
      <c r="AD1133" s="54" t="str">
        <f t="shared" si="242"/>
        <v/>
      </c>
      <c r="AE1133" s="55">
        <f t="shared" si="243"/>
        <v>0</v>
      </c>
      <c r="AF1133" s="55">
        <f t="shared" si="244"/>
        <v>0</v>
      </c>
      <c r="AG1133" s="58">
        <f t="shared" si="245"/>
        <v>0</v>
      </c>
      <c r="AH1133" s="47"/>
      <c r="AJ1133" s="47"/>
      <c r="AL1133" s="47"/>
      <c r="AM1133" s="47" t="str">
        <f t="shared" si="246"/>
        <v/>
      </c>
    </row>
    <row r="1134" spans="1:39" s="56" customFormat="1" ht="24.75" customHeight="1">
      <c r="A1134" s="44"/>
      <c r="B1134" s="45"/>
      <c r="C1134" s="46">
        <f>IF(B1134&lt;&gt;"",VLOOKUP(B1134,'Tipo Projeto'!$A$3:$B$35,2,0),0)</f>
        <v>0</v>
      </c>
      <c r="D1134" s="47"/>
      <c r="E1134" s="47"/>
      <c r="F1134" s="48"/>
      <c r="G1134" s="47"/>
      <c r="H1134" s="49"/>
      <c r="I1134" s="50"/>
      <c r="J1134" s="51"/>
      <c r="K1134" s="52"/>
      <c r="L1134" s="53" t="str">
        <f t="shared" si="234"/>
        <v/>
      </c>
      <c r="M1134" s="48" t="str">
        <f t="shared" si="235"/>
        <v/>
      </c>
      <c r="N1134" s="54" t="str">
        <f t="shared" si="236"/>
        <v/>
      </c>
      <c r="O1134" s="55">
        <f t="shared" si="237"/>
        <v>0</v>
      </c>
      <c r="P1134" s="55">
        <f t="shared" si="238"/>
        <v>0</v>
      </c>
      <c r="Q1134" s="54">
        <f t="shared" si="239"/>
        <v>0</v>
      </c>
      <c r="R1134" s="47"/>
      <c r="T1134" s="57"/>
      <c r="U1134" s="45"/>
      <c r="V1134" s="46">
        <f>IF(U1134&lt;&gt;"",VLOOKUP(U1134,'Tipo Projeto'!$A$3:$B$35,2,0),0)</f>
        <v>0</v>
      </c>
      <c r="W1134" s="47"/>
      <c r="X1134" s="49"/>
      <c r="Y1134" s="50"/>
      <c r="Z1134" s="51"/>
      <c r="AA1134" s="52"/>
      <c r="AB1134" s="53" t="str">
        <f t="shared" si="240"/>
        <v/>
      </c>
      <c r="AC1134" s="48" t="str">
        <f t="shared" si="241"/>
        <v/>
      </c>
      <c r="AD1134" s="54" t="str">
        <f t="shared" si="242"/>
        <v/>
      </c>
      <c r="AE1134" s="55">
        <f t="shared" si="243"/>
        <v>0</v>
      </c>
      <c r="AF1134" s="55">
        <f t="shared" si="244"/>
        <v>0</v>
      </c>
      <c r="AG1134" s="58">
        <f t="shared" si="245"/>
        <v>0</v>
      </c>
      <c r="AH1134" s="47"/>
      <c r="AJ1134" s="47"/>
      <c r="AL1134" s="47"/>
      <c r="AM1134" s="47" t="str">
        <f t="shared" si="246"/>
        <v/>
      </c>
    </row>
    <row r="1135" spans="1:39" s="56" customFormat="1" ht="24.75" customHeight="1">
      <c r="A1135" s="44"/>
      <c r="B1135" s="45"/>
      <c r="C1135" s="46">
        <f>IF(B1135&lt;&gt;"",VLOOKUP(B1135,'Tipo Projeto'!$A$3:$B$35,2,0),0)</f>
        <v>0</v>
      </c>
      <c r="D1135" s="47"/>
      <c r="E1135" s="47"/>
      <c r="F1135" s="48"/>
      <c r="G1135" s="47"/>
      <c r="H1135" s="49"/>
      <c r="I1135" s="50"/>
      <c r="J1135" s="51"/>
      <c r="K1135" s="52"/>
      <c r="L1135" s="53" t="str">
        <f t="shared" si="234"/>
        <v/>
      </c>
      <c r="M1135" s="48" t="str">
        <f t="shared" si="235"/>
        <v/>
      </c>
      <c r="N1135" s="54" t="str">
        <f t="shared" si="236"/>
        <v/>
      </c>
      <c r="O1135" s="55">
        <f t="shared" si="237"/>
        <v>0</v>
      </c>
      <c r="P1135" s="55">
        <f t="shared" si="238"/>
        <v>0</v>
      </c>
      <c r="Q1135" s="54">
        <f t="shared" si="239"/>
        <v>0</v>
      </c>
      <c r="R1135" s="47"/>
      <c r="T1135" s="57"/>
      <c r="U1135" s="45"/>
      <c r="V1135" s="46">
        <f>IF(U1135&lt;&gt;"",VLOOKUP(U1135,'Tipo Projeto'!$A$3:$B$35,2,0),0)</f>
        <v>0</v>
      </c>
      <c r="W1135" s="47"/>
      <c r="X1135" s="49"/>
      <c r="Y1135" s="50"/>
      <c r="Z1135" s="51"/>
      <c r="AA1135" s="52"/>
      <c r="AB1135" s="53" t="str">
        <f t="shared" si="240"/>
        <v/>
      </c>
      <c r="AC1135" s="48" t="str">
        <f t="shared" si="241"/>
        <v/>
      </c>
      <c r="AD1135" s="54" t="str">
        <f t="shared" si="242"/>
        <v/>
      </c>
      <c r="AE1135" s="55">
        <f t="shared" si="243"/>
        <v>0</v>
      </c>
      <c r="AF1135" s="55">
        <f t="shared" si="244"/>
        <v>0</v>
      </c>
      <c r="AG1135" s="58">
        <f t="shared" si="245"/>
        <v>0</v>
      </c>
      <c r="AH1135" s="47"/>
      <c r="AJ1135" s="47"/>
      <c r="AL1135" s="47"/>
      <c r="AM1135" s="47" t="str">
        <f t="shared" si="246"/>
        <v/>
      </c>
    </row>
    <row r="1136" spans="1:39" s="56" customFormat="1" ht="24.75" customHeight="1">
      <c r="A1136" s="44"/>
      <c r="B1136" s="45"/>
      <c r="C1136" s="46">
        <f>IF(B1136&lt;&gt;"",VLOOKUP(B1136,'Tipo Projeto'!$A$3:$B$35,2,0),0)</f>
        <v>0</v>
      </c>
      <c r="D1136" s="47"/>
      <c r="E1136" s="47"/>
      <c r="F1136" s="48"/>
      <c r="G1136" s="47"/>
      <c r="H1136" s="49"/>
      <c r="I1136" s="50"/>
      <c r="J1136" s="51"/>
      <c r="K1136" s="52"/>
      <c r="L1136" s="53" t="str">
        <f t="shared" si="234"/>
        <v/>
      </c>
      <c r="M1136" s="48" t="str">
        <f t="shared" si="235"/>
        <v/>
      </c>
      <c r="N1136" s="54" t="str">
        <f t="shared" si="236"/>
        <v/>
      </c>
      <c r="O1136" s="55">
        <f t="shared" si="237"/>
        <v>0</v>
      </c>
      <c r="P1136" s="55">
        <f t="shared" si="238"/>
        <v>0</v>
      </c>
      <c r="Q1136" s="54">
        <f t="shared" si="239"/>
        <v>0</v>
      </c>
      <c r="R1136" s="47"/>
      <c r="T1136" s="57"/>
      <c r="U1136" s="45"/>
      <c r="V1136" s="46">
        <f>IF(U1136&lt;&gt;"",VLOOKUP(U1136,'Tipo Projeto'!$A$3:$B$35,2,0),0)</f>
        <v>0</v>
      </c>
      <c r="W1136" s="47"/>
      <c r="X1136" s="49"/>
      <c r="Y1136" s="50"/>
      <c r="Z1136" s="51"/>
      <c r="AA1136" s="52"/>
      <c r="AB1136" s="53" t="str">
        <f t="shared" si="240"/>
        <v/>
      </c>
      <c r="AC1136" s="48" t="str">
        <f t="shared" si="241"/>
        <v/>
      </c>
      <c r="AD1136" s="54" t="str">
        <f t="shared" si="242"/>
        <v/>
      </c>
      <c r="AE1136" s="55">
        <f t="shared" si="243"/>
        <v>0</v>
      </c>
      <c r="AF1136" s="55">
        <f t="shared" si="244"/>
        <v>0</v>
      </c>
      <c r="AG1136" s="58">
        <f t="shared" si="245"/>
        <v>0</v>
      </c>
      <c r="AH1136" s="47"/>
      <c r="AJ1136" s="47"/>
      <c r="AL1136" s="47"/>
      <c r="AM1136" s="47" t="str">
        <f t="shared" si="246"/>
        <v/>
      </c>
    </row>
    <row r="1137" spans="1:39" s="56" customFormat="1" ht="24.75" customHeight="1">
      <c r="A1137" s="44"/>
      <c r="B1137" s="45"/>
      <c r="C1137" s="46">
        <f>IF(B1137&lt;&gt;"",VLOOKUP(B1137,'Tipo Projeto'!$A$3:$B$35,2,0),0)</f>
        <v>0</v>
      </c>
      <c r="D1137" s="47"/>
      <c r="E1137" s="47"/>
      <c r="F1137" s="48"/>
      <c r="G1137" s="47"/>
      <c r="H1137" s="49"/>
      <c r="I1137" s="50"/>
      <c r="J1137" s="51"/>
      <c r="K1137" s="52"/>
      <c r="L1137" s="53" t="str">
        <f t="shared" si="234"/>
        <v/>
      </c>
      <c r="M1137" s="48" t="str">
        <f t="shared" si="235"/>
        <v/>
      </c>
      <c r="N1137" s="54" t="str">
        <f t="shared" si="236"/>
        <v/>
      </c>
      <c r="O1137" s="55">
        <f t="shared" si="237"/>
        <v>0</v>
      </c>
      <c r="P1137" s="55">
        <f t="shared" si="238"/>
        <v>0</v>
      </c>
      <c r="Q1137" s="54">
        <f t="shared" si="239"/>
        <v>0</v>
      </c>
      <c r="R1137" s="47"/>
      <c r="T1137" s="57"/>
      <c r="U1137" s="45"/>
      <c r="V1137" s="46">
        <f>IF(U1137&lt;&gt;"",VLOOKUP(U1137,'Tipo Projeto'!$A$3:$B$35,2,0),0)</f>
        <v>0</v>
      </c>
      <c r="W1137" s="47"/>
      <c r="X1137" s="49"/>
      <c r="Y1137" s="50"/>
      <c r="Z1137" s="51"/>
      <c r="AA1137" s="52"/>
      <c r="AB1137" s="53" t="str">
        <f t="shared" si="240"/>
        <v/>
      </c>
      <c r="AC1137" s="48" t="str">
        <f t="shared" si="241"/>
        <v/>
      </c>
      <c r="AD1137" s="54" t="str">
        <f t="shared" si="242"/>
        <v/>
      </c>
      <c r="AE1137" s="55">
        <f t="shared" si="243"/>
        <v>0</v>
      </c>
      <c r="AF1137" s="55">
        <f t="shared" si="244"/>
        <v>0</v>
      </c>
      <c r="AG1137" s="58">
        <f t="shared" si="245"/>
        <v>0</v>
      </c>
      <c r="AH1137" s="47"/>
      <c r="AJ1137" s="47"/>
      <c r="AL1137" s="47"/>
      <c r="AM1137" s="47" t="str">
        <f t="shared" si="246"/>
        <v/>
      </c>
    </row>
    <row r="1138" spans="1:39" s="56" customFormat="1" ht="24.75" customHeight="1">
      <c r="A1138" s="44"/>
      <c r="B1138" s="45"/>
      <c r="C1138" s="46">
        <f>IF(B1138&lt;&gt;"",VLOOKUP(B1138,'Tipo Projeto'!$A$3:$B$35,2,0),0)</f>
        <v>0</v>
      </c>
      <c r="D1138" s="47"/>
      <c r="E1138" s="47"/>
      <c r="F1138" s="48"/>
      <c r="G1138" s="47"/>
      <c r="H1138" s="49"/>
      <c r="I1138" s="50"/>
      <c r="J1138" s="51"/>
      <c r="K1138" s="52"/>
      <c r="L1138" s="53" t="str">
        <f t="shared" si="234"/>
        <v/>
      </c>
      <c r="M1138" s="48" t="str">
        <f t="shared" si="235"/>
        <v/>
      </c>
      <c r="N1138" s="54" t="str">
        <f t="shared" si="236"/>
        <v/>
      </c>
      <c r="O1138" s="55">
        <f t="shared" si="237"/>
        <v>0</v>
      </c>
      <c r="P1138" s="55">
        <f t="shared" si="238"/>
        <v>0</v>
      </c>
      <c r="Q1138" s="54">
        <f t="shared" si="239"/>
        <v>0</v>
      </c>
      <c r="R1138" s="47"/>
      <c r="T1138" s="57"/>
      <c r="U1138" s="45"/>
      <c r="V1138" s="46">
        <f>IF(U1138&lt;&gt;"",VLOOKUP(U1138,'Tipo Projeto'!$A$3:$B$35,2,0),0)</f>
        <v>0</v>
      </c>
      <c r="W1138" s="47"/>
      <c r="X1138" s="49"/>
      <c r="Y1138" s="50"/>
      <c r="Z1138" s="51"/>
      <c r="AA1138" s="52"/>
      <c r="AB1138" s="53" t="str">
        <f t="shared" si="240"/>
        <v/>
      </c>
      <c r="AC1138" s="48" t="str">
        <f t="shared" si="241"/>
        <v/>
      </c>
      <c r="AD1138" s="54" t="str">
        <f t="shared" si="242"/>
        <v/>
      </c>
      <c r="AE1138" s="55">
        <f t="shared" si="243"/>
        <v>0</v>
      </c>
      <c r="AF1138" s="55">
        <f t="shared" si="244"/>
        <v>0</v>
      </c>
      <c r="AG1138" s="58">
        <f t="shared" si="245"/>
        <v>0</v>
      </c>
      <c r="AH1138" s="47"/>
      <c r="AJ1138" s="47"/>
      <c r="AL1138" s="47"/>
      <c r="AM1138" s="47" t="str">
        <f t="shared" si="246"/>
        <v/>
      </c>
    </row>
    <row r="1139" spans="1:39" s="56" customFormat="1" ht="24.75" customHeight="1">
      <c r="A1139" s="44"/>
      <c r="B1139" s="45"/>
      <c r="C1139" s="46">
        <f>IF(B1139&lt;&gt;"",VLOOKUP(B1139,'Tipo Projeto'!$A$3:$B$35,2,0),0)</f>
        <v>0</v>
      </c>
      <c r="D1139" s="47"/>
      <c r="E1139" s="47"/>
      <c r="F1139" s="48"/>
      <c r="G1139" s="47"/>
      <c r="H1139" s="49"/>
      <c r="I1139" s="50"/>
      <c r="J1139" s="51"/>
      <c r="K1139" s="52"/>
      <c r="L1139" s="53" t="str">
        <f t="shared" si="234"/>
        <v/>
      </c>
      <c r="M1139" s="48" t="str">
        <f t="shared" si="235"/>
        <v/>
      </c>
      <c r="N1139" s="54" t="str">
        <f t="shared" si="236"/>
        <v/>
      </c>
      <c r="O1139" s="55">
        <f t="shared" si="237"/>
        <v>0</v>
      </c>
      <c r="P1139" s="55">
        <f t="shared" si="238"/>
        <v>0</v>
      </c>
      <c r="Q1139" s="54">
        <f t="shared" si="239"/>
        <v>0</v>
      </c>
      <c r="R1139" s="47"/>
      <c r="T1139" s="57"/>
      <c r="U1139" s="45"/>
      <c r="V1139" s="46">
        <f>IF(U1139&lt;&gt;"",VLOOKUP(U1139,'Tipo Projeto'!$A$3:$B$35,2,0),0)</f>
        <v>0</v>
      </c>
      <c r="W1139" s="47"/>
      <c r="X1139" s="49"/>
      <c r="Y1139" s="50"/>
      <c r="Z1139" s="51"/>
      <c r="AA1139" s="52"/>
      <c r="AB1139" s="53" t="str">
        <f t="shared" si="240"/>
        <v/>
      </c>
      <c r="AC1139" s="48" t="str">
        <f t="shared" si="241"/>
        <v/>
      </c>
      <c r="AD1139" s="54" t="str">
        <f t="shared" si="242"/>
        <v/>
      </c>
      <c r="AE1139" s="55">
        <f t="shared" si="243"/>
        <v>0</v>
      </c>
      <c r="AF1139" s="55">
        <f t="shared" si="244"/>
        <v>0</v>
      </c>
      <c r="AG1139" s="58">
        <f t="shared" si="245"/>
        <v>0</v>
      </c>
      <c r="AH1139" s="47"/>
      <c r="AJ1139" s="47"/>
      <c r="AL1139" s="47"/>
      <c r="AM1139" s="47" t="str">
        <f t="shared" si="246"/>
        <v/>
      </c>
    </row>
    <row r="1140" spans="1:39" s="56" customFormat="1" ht="24.75" customHeight="1">
      <c r="A1140" s="44"/>
      <c r="B1140" s="45"/>
      <c r="C1140" s="46">
        <f>IF(B1140&lt;&gt;"",VLOOKUP(B1140,'Tipo Projeto'!$A$3:$B$35,2,0),0)</f>
        <v>0</v>
      </c>
      <c r="D1140" s="47"/>
      <c r="E1140" s="47"/>
      <c r="F1140" s="48"/>
      <c r="G1140" s="47"/>
      <c r="H1140" s="49"/>
      <c r="I1140" s="50"/>
      <c r="J1140" s="51"/>
      <c r="K1140" s="52"/>
      <c r="L1140" s="53" t="str">
        <f t="shared" si="234"/>
        <v/>
      </c>
      <c r="M1140" s="48" t="str">
        <f t="shared" si="235"/>
        <v/>
      </c>
      <c r="N1140" s="54" t="str">
        <f t="shared" si="236"/>
        <v/>
      </c>
      <c r="O1140" s="55">
        <f t="shared" si="237"/>
        <v>0</v>
      </c>
      <c r="P1140" s="55">
        <f t="shared" si="238"/>
        <v>0</v>
      </c>
      <c r="Q1140" s="54">
        <f t="shared" si="239"/>
        <v>0</v>
      </c>
      <c r="R1140" s="47"/>
      <c r="T1140" s="57"/>
      <c r="U1140" s="45"/>
      <c r="V1140" s="46">
        <f>IF(U1140&lt;&gt;"",VLOOKUP(U1140,'Tipo Projeto'!$A$3:$B$35,2,0),0)</f>
        <v>0</v>
      </c>
      <c r="W1140" s="47"/>
      <c r="X1140" s="49"/>
      <c r="Y1140" s="50"/>
      <c r="Z1140" s="51"/>
      <c r="AA1140" s="52"/>
      <c r="AB1140" s="53" t="str">
        <f t="shared" si="240"/>
        <v/>
      </c>
      <c r="AC1140" s="48" t="str">
        <f t="shared" si="241"/>
        <v/>
      </c>
      <c r="AD1140" s="54" t="str">
        <f t="shared" si="242"/>
        <v/>
      </c>
      <c r="AE1140" s="55">
        <f t="shared" si="243"/>
        <v>0</v>
      </c>
      <c r="AF1140" s="55">
        <f t="shared" si="244"/>
        <v>0</v>
      </c>
      <c r="AG1140" s="58">
        <f t="shared" si="245"/>
        <v>0</v>
      </c>
      <c r="AH1140" s="47"/>
      <c r="AJ1140" s="47"/>
      <c r="AL1140" s="47"/>
      <c r="AM1140" s="47" t="str">
        <f t="shared" si="246"/>
        <v/>
      </c>
    </row>
    <row r="1141" spans="1:39" s="56" customFormat="1" ht="24.75" customHeight="1">
      <c r="A1141" s="44"/>
      <c r="B1141" s="45"/>
      <c r="C1141" s="46">
        <f>IF(B1141&lt;&gt;"",VLOOKUP(B1141,'Tipo Projeto'!$A$3:$B$35,2,0),0)</f>
        <v>0</v>
      </c>
      <c r="D1141" s="47"/>
      <c r="E1141" s="47"/>
      <c r="F1141" s="48"/>
      <c r="G1141" s="47"/>
      <c r="H1141" s="49"/>
      <c r="I1141" s="50"/>
      <c r="J1141" s="51"/>
      <c r="K1141" s="52"/>
      <c r="L1141" s="53" t="str">
        <f t="shared" ref="L1141:L1204" si="247">IF(G1141="EE",IF(OR(AND(OR(J1141=1,J1141=0),H1141&gt;0,H1141&lt;5),AND(OR(J1141=1,J1141=0),H1141&gt;4,H1141&lt;16),AND(J1141=2,H1141&gt;0,H1141&lt;5)),"Simples",IF(OR(AND(OR(J1141=1,J1141=0),H1141&gt;15),AND(J1141=2,H1141&gt;4,H1141&lt;16),AND(J1141&gt;2,H1141&gt;0,H1141&lt;5)),"Médio",IF(OR(AND(J1141=2,H1141&gt;15),AND(J1141&gt;2,H1141&gt;4,H1141&lt;16),AND(J1141&gt;2,H1141&gt;15)),"Complexo",""))), IF(OR(G1141="CE",G1141="SE"),IF(OR(AND(OR(J1141=1,J1141=0),H1141&gt;0,H1141&lt;6),AND(OR(J1141=1,J1141=0),H1141&gt;5,H1141&lt;20),AND(J1141&gt;1,J1141&lt;4,H1141&gt;0,H1141&lt;6)),"Simples",IF(OR(AND(OR(J1141=1,J1141=0),H1141&gt;19),AND(J1141&gt;1,J1141&lt;4,H1141&gt;5,H1141&lt;20),AND(J1141&gt;3,H1141&gt;0,H1141&lt;6)),"Médio",IF(OR(AND(J1141&gt;1,J1141&lt;4,H1141&gt;19),AND(J1141&gt;3,H1141&gt;5,H1141&lt;20),AND(J1141&gt;3,H1141&gt;19)),"Complexo",""))),""))</f>
        <v/>
      </c>
      <c r="M1141" s="48" t="str">
        <f t="shared" ref="M1141:M1204" si="248">IF(G1141="ALI",IF(OR(AND(OR(J1141=1,J1141=0),H1141&gt;0,H1141&lt;20),AND(OR(J1141=1,J1141=0),H1141&gt;19,H1141&lt;51),AND(J1141&gt;1,J1141&lt;6,H1141&gt;0,H1141&lt;20)),"Simples",IF(OR(AND(OR(J1141=1,J1141=0),H1141&gt;50),AND(J1141&gt;1,J1141&lt;6,H1141&gt;19,H1141&lt;51),AND(J1141&gt;5,H1141&gt;0,H1141&lt;20)),"Médio",IF(OR(AND(J1141&gt;1,J1141&lt;6,H1141&gt;50),AND(J1141&gt;5,H1141&gt;19,H1141&lt;51),AND(J1141&gt;5,H1141&gt;50)),"Complexo",""))), IF(G1141="AIE",IF(OR(AND(OR(J1141=1, J1141=0),H1141&gt;0,H1141&lt;20),AND(OR(J1141=1, J1141=0),H1141&gt;19,H1141&lt;51),AND(J1141&gt;1,J1141&lt;6,H1141&gt;0,H1141&lt;20)),"Simples",IF(OR(AND(OR(J1141=1, J1141=0),H1141&gt;50),AND(J1141&gt;1,J1141&lt;6,H1141&gt;19,H1141&lt;51),AND(J1141&gt;5,H1141&gt;0,H1141&lt;20)),"Médio",IF(OR(AND(J1141&gt;1,J1141&lt;6,H1141&gt;50),AND(J1141&gt;5,H1141&gt;19,H1141&lt;51),AND(J1141&gt;5,H1141&gt;50)),"Complexo",""))),""))</f>
        <v/>
      </c>
      <c r="N1141" s="54" t="str">
        <f t="shared" ref="N1141:N1204" si="249">IF(L1141="",M1141,IF(M1141="",L1141,""))</f>
        <v/>
      </c>
      <c r="O1141" s="55">
        <f t="shared" ref="O1141:O1204" si="250">IF(AND(OR(G1141="EE",G1141="CE"),N1141="Simples"),3, IF(AND(OR(G1141="EE",G1141="CE"),N1141="Médio"),4, IF(AND(OR(G1141="EE",G1141="CE"),N1141="Complexo"),6, IF(AND(G1141="SE",N1141="Simples"),4, IF(AND(G1141="SE",N1141="Médio"),5, IF(AND(G1141="SE",N1141="Complexo"),7,0))))))</f>
        <v>0</v>
      </c>
      <c r="P1141" s="55">
        <f t="shared" ref="P1141:P1204" si="251">IF(AND(G1141="ALI",M1141="Simples"),7, IF(AND(G1141="ALI",M1141="Médio"),10, IF(AND(G1141="ALI",M1141="Complexo"),15, IF(AND(G1141="AIE",M1141="Simples"),5, IF(AND(G1141="AIE",M1141="Médio"),7, IF(AND(G1141="AIE",M1141="Complexo"),10,0))))))</f>
        <v>0</v>
      </c>
      <c r="Q1141" s="54">
        <f t="shared" ref="Q1141:Q1204" si="252">IF(B1141&lt;&gt;"Manutenção em interface",IF(B1141&lt;&gt;"Desenv., Manutenção e Publicação de Páginas Estáticas",(O1141+P1141)*C1141,C1141),C1141)</f>
        <v>0</v>
      </c>
      <c r="R1141" s="47"/>
      <c r="T1141" s="57"/>
      <c r="U1141" s="45"/>
      <c r="V1141" s="46">
        <f>IF(U1141&lt;&gt;"",VLOOKUP(U1141,'Tipo Projeto'!$A$3:$B$35,2,0),0)</f>
        <v>0</v>
      </c>
      <c r="W1141" s="47"/>
      <c r="X1141" s="49"/>
      <c r="Y1141" s="50"/>
      <c r="Z1141" s="51"/>
      <c r="AA1141" s="52"/>
      <c r="AB1141" s="53" t="str">
        <f t="shared" ref="AB1141:AB1204" si="253">IF(W1141="EE",IF(OR(AND(OR(Z1141=1,Z1141=0),X1141&gt;0,X1141&lt;5),AND(OR(Z1141=1,Z1141=0),X1141&gt;4,X1141&lt;16),AND(Z1141=2,X1141&gt;0,X1141&lt;5)),"Simples",IF(OR(AND(OR(Z1141=1,Z1141=0),X1141&gt;15),AND(Z1141=2,X1141&gt;4,X1141&lt;16),AND(Z1141&gt;2,X1141&gt;0,X1141&lt;5)),"Médio",IF(OR(AND(Z1141=2,X1141&gt;15),AND(Z1141&gt;2,X1141&gt;4,X1141&lt;16),AND(Z1141&gt;2,X1141&gt;15)),"Complexo",""))), IF(OR(W1141="CE",W1141="SE"),IF(OR(AND(OR(Z1141=1,Z1141=0),X1141&gt;0,X1141&lt;6),AND(OR(Z1141=1,Z1141=0),X1141&gt;5,X1141&lt;20),AND(Z1141&gt;1,Z1141&lt;4,X1141&gt;0,X1141&lt;6)),"Simples",IF(OR(AND(OR(Z1141=1,Z1141=0),X1141&gt;19),AND(Z1141&gt;1,Z1141&lt;4,X1141&gt;5,X1141&lt;20),AND(Z1141&gt;3,X1141&gt;0,X1141&lt;6)),"Médio",IF(OR(AND(Z1141&gt;1,Z1141&lt;4,X1141&gt;19),AND(Z1141&gt;3,X1141&gt;5,X1141&lt;20),AND(Z1141&gt;3,X1141&gt;19)),"Complexo",""))),""))</f>
        <v/>
      </c>
      <c r="AC1141" s="48" t="str">
        <f t="shared" ref="AC1141:AC1204" si="254">IF(W1141="ALI",IF(OR(AND(OR(Z1141=1,Z1141=0),X1141&gt;0,X1141&lt;20),AND(OR(Z1141=1,Z1141=0),X1141&gt;19,X1141&lt;51),AND(Z1141&gt;1,Z1141&lt;6,X1141&gt;0,X1141&lt;20)),"Simples",IF(OR(AND(OR(Z1141=1,Z1141=0),X1141&gt;50),AND(Z1141&gt;1,Z1141&lt;6,X1141&gt;19,X1141&lt;51),AND(Z1141&gt;5,X1141&gt;0,X1141&lt;20)),"Médio",IF(OR(AND(Z1141&gt;1,Z1141&lt;6,X1141&gt;50),AND(Z1141&gt;5,X1141&gt;19,X1141&lt;51),AND(Z1141&gt;5,X1141&gt;50)),"Complexo",""))), IF(W1141="AIE",IF(OR(AND(OR(Z1141=1, Z1141=0),X1141&gt;0,X1141&lt;20),AND(OR(Z1141=1, Z1141=0),X1141&gt;19,X1141&lt;51),AND(Z1141&gt;1,Z1141&lt;6,X1141&gt;0,X1141&lt;20)),"Simples",IF(OR(AND(OR(Z1141=1, Z1141=0),X1141&gt;50),AND(Z1141&gt;1,Z1141&lt;6,X1141&gt;19,X1141&lt;51),AND(Z1141&gt;5,X1141&gt;0,X1141&lt;20)),"Médio",IF(OR(AND(Z1141&gt;1,Z1141&lt;6,X1141&gt;50),AND(Z1141&gt;5,X1141&gt;19,X1141&lt;51),AND(Z1141&gt;5,X1141&gt;50)),"Complexo",""))),""))</f>
        <v/>
      </c>
      <c r="AD1141" s="54" t="str">
        <f t="shared" ref="AD1141:AD1204" si="255">IF(AB1141="",AC1141,IF(AC1141="",AB1141,""))</f>
        <v/>
      </c>
      <c r="AE1141" s="55">
        <f t="shared" ref="AE1141:AE1204" si="256">IF(AND(OR(W1141="EE",W1141="CE"),AD1141="Simples"),3, IF(AND(OR(W1141="EE",W1141="CE"),AD1141="Médio"),4, IF(AND(OR(W1141="EE",W1141="CE"),AD1141="Complexo"),6, IF(AND(W1141="SE",AD1141="Simples"),4, IF(AND(W1141="SE",AD1141="Médio"),5, IF(AND(W1141="SE",AD1141="Complexo"),7,0))))))</f>
        <v>0</v>
      </c>
      <c r="AF1141" s="55">
        <f t="shared" ref="AF1141:AF1204" si="257">IF(AND(W1141="ALI",AC1141="Simples"),7, IF(AND(W1141="ALI",AC1141="Médio"),10, IF(AND(W1141="ALI",AC1141="Complexo"),15, IF(AND(W1141="AIE",AC1141="Simples"),5, IF(AND(W1141="AIE",AC1141="Médio"),7, IF(AND(W1141="AIE",AC1141="Complexo"),10,0))))))</f>
        <v>0</v>
      </c>
      <c r="AG1141" s="58">
        <f t="shared" ref="AG1141:AG1204" si="258">IF(T1141="OK",Q1141,( IF(U1141&lt;&gt;"Manutenção em interface",IF(U1141&lt;&gt;"Desenv., Manutenção e Publicação de Páginas Estáticas",(AE1141+AF1141)*V1141,V1141),V1141)))</f>
        <v>0</v>
      </c>
      <c r="AH1141" s="47"/>
      <c r="AJ1141" s="47"/>
      <c r="AL1141" s="47"/>
      <c r="AM1141" s="47" t="str">
        <f t="shared" ref="AM1141:AM1204" si="259">IF(AG1141=0,"",IF(AG1141=Q1141,"OK","Divergente"))</f>
        <v/>
      </c>
    </row>
    <row r="1142" spans="1:39" s="56" customFormat="1" ht="24.75" customHeight="1">
      <c r="A1142" s="44"/>
      <c r="B1142" s="45"/>
      <c r="C1142" s="46">
        <f>IF(B1142&lt;&gt;"",VLOOKUP(B1142,'Tipo Projeto'!$A$3:$B$35,2,0),0)</f>
        <v>0</v>
      </c>
      <c r="D1142" s="47"/>
      <c r="E1142" s="47"/>
      <c r="F1142" s="48"/>
      <c r="G1142" s="47"/>
      <c r="H1142" s="49"/>
      <c r="I1142" s="50"/>
      <c r="J1142" s="51"/>
      <c r="K1142" s="52"/>
      <c r="L1142" s="53" t="str">
        <f t="shared" si="247"/>
        <v/>
      </c>
      <c r="M1142" s="48" t="str">
        <f t="shared" si="248"/>
        <v/>
      </c>
      <c r="N1142" s="54" t="str">
        <f t="shared" si="249"/>
        <v/>
      </c>
      <c r="O1142" s="55">
        <f t="shared" si="250"/>
        <v>0</v>
      </c>
      <c r="P1142" s="55">
        <f t="shared" si="251"/>
        <v>0</v>
      </c>
      <c r="Q1142" s="54">
        <f t="shared" si="252"/>
        <v>0</v>
      </c>
      <c r="R1142" s="47"/>
      <c r="T1142" s="57"/>
      <c r="U1142" s="45"/>
      <c r="V1142" s="46">
        <f>IF(U1142&lt;&gt;"",VLOOKUP(U1142,'Tipo Projeto'!$A$3:$B$35,2,0),0)</f>
        <v>0</v>
      </c>
      <c r="W1142" s="47"/>
      <c r="X1142" s="49"/>
      <c r="Y1142" s="50"/>
      <c r="Z1142" s="51"/>
      <c r="AA1142" s="52"/>
      <c r="AB1142" s="53" t="str">
        <f t="shared" si="253"/>
        <v/>
      </c>
      <c r="AC1142" s="48" t="str">
        <f t="shared" si="254"/>
        <v/>
      </c>
      <c r="AD1142" s="54" t="str">
        <f t="shared" si="255"/>
        <v/>
      </c>
      <c r="AE1142" s="55">
        <f t="shared" si="256"/>
        <v>0</v>
      </c>
      <c r="AF1142" s="55">
        <f t="shared" si="257"/>
        <v>0</v>
      </c>
      <c r="AG1142" s="58">
        <f t="shared" si="258"/>
        <v>0</v>
      </c>
      <c r="AH1142" s="47"/>
      <c r="AJ1142" s="47"/>
      <c r="AL1142" s="47"/>
      <c r="AM1142" s="47" t="str">
        <f t="shared" si="259"/>
        <v/>
      </c>
    </row>
    <row r="1143" spans="1:39" s="56" customFormat="1" ht="24.75" customHeight="1">
      <c r="A1143" s="44"/>
      <c r="B1143" s="45"/>
      <c r="C1143" s="46">
        <f>IF(B1143&lt;&gt;"",VLOOKUP(B1143,'Tipo Projeto'!$A$3:$B$35,2,0),0)</f>
        <v>0</v>
      </c>
      <c r="D1143" s="47"/>
      <c r="E1143" s="47"/>
      <c r="F1143" s="48"/>
      <c r="G1143" s="47"/>
      <c r="H1143" s="49"/>
      <c r="I1143" s="50"/>
      <c r="J1143" s="51"/>
      <c r="K1143" s="52"/>
      <c r="L1143" s="53" t="str">
        <f t="shared" si="247"/>
        <v/>
      </c>
      <c r="M1143" s="48" t="str">
        <f t="shared" si="248"/>
        <v/>
      </c>
      <c r="N1143" s="54" t="str">
        <f t="shared" si="249"/>
        <v/>
      </c>
      <c r="O1143" s="55">
        <f t="shared" si="250"/>
        <v>0</v>
      </c>
      <c r="P1143" s="55">
        <f t="shared" si="251"/>
        <v>0</v>
      </c>
      <c r="Q1143" s="54">
        <f t="shared" si="252"/>
        <v>0</v>
      </c>
      <c r="R1143" s="47"/>
      <c r="T1143" s="57"/>
      <c r="U1143" s="45"/>
      <c r="V1143" s="46">
        <f>IF(U1143&lt;&gt;"",VLOOKUP(U1143,'Tipo Projeto'!$A$3:$B$35,2,0),0)</f>
        <v>0</v>
      </c>
      <c r="W1143" s="47"/>
      <c r="X1143" s="49"/>
      <c r="Y1143" s="50"/>
      <c r="Z1143" s="51"/>
      <c r="AA1143" s="52"/>
      <c r="AB1143" s="53" t="str">
        <f t="shared" si="253"/>
        <v/>
      </c>
      <c r="AC1143" s="48" t="str">
        <f t="shared" si="254"/>
        <v/>
      </c>
      <c r="AD1143" s="54" t="str">
        <f t="shared" si="255"/>
        <v/>
      </c>
      <c r="AE1143" s="55">
        <f t="shared" si="256"/>
        <v>0</v>
      </c>
      <c r="AF1143" s="55">
        <f t="shared" si="257"/>
        <v>0</v>
      </c>
      <c r="AG1143" s="58">
        <f t="shared" si="258"/>
        <v>0</v>
      </c>
      <c r="AH1143" s="47"/>
      <c r="AJ1143" s="47"/>
      <c r="AL1143" s="47"/>
      <c r="AM1143" s="47" t="str">
        <f t="shared" si="259"/>
        <v/>
      </c>
    </row>
    <row r="1144" spans="1:39" s="56" customFormat="1" ht="24.75" customHeight="1">
      <c r="A1144" s="44"/>
      <c r="B1144" s="45"/>
      <c r="C1144" s="46">
        <f>IF(B1144&lt;&gt;"",VLOOKUP(B1144,'Tipo Projeto'!$A$3:$B$35,2,0),0)</f>
        <v>0</v>
      </c>
      <c r="D1144" s="47"/>
      <c r="E1144" s="47"/>
      <c r="F1144" s="48"/>
      <c r="G1144" s="47"/>
      <c r="H1144" s="49"/>
      <c r="I1144" s="50"/>
      <c r="J1144" s="51"/>
      <c r="K1144" s="52"/>
      <c r="L1144" s="53" t="str">
        <f t="shared" si="247"/>
        <v/>
      </c>
      <c r="M1144" s="48" t="str">
        <f t="shared" si="248"/>
        <v/>
      </c>
      <c r="N1144" s="54" t="str">
        <f t="shared" si="249"/>
        <v/>
      </c>
      <c r="O1144" s="55">
        <f t="shared" si="250"/>
        <v>0</v>
      </c>
      <c r="P1144" s="55">
        <f t="shared" si="251"/>
        <v>0</v>
      </c>
      <c r="Q1144" s="54">
        <f t="shared" si="252"/>
        <v>0</v>
      </c>
      <c r="R1144" s="47"/>
      <c r="T1144" s="57"/>
      <c r="U1144" s="45"/>
      <c r="V1144" s="46">
        <f>IF(U1144&lt;&gt;"",VLOOKUP(U1144,'Tipo Projeto'!$A$3:$B$35,2,0),0)</f>
        <v>0</v>
      </c>
      <c r="W1144" s="47"/>
      <c r="X1144" s="49"/>
      <c r="Y1144" s="50"/>
      <c r="Z1144" s="51"/>
      <c r="AA1144" s="52"/>
      <c r="AB1144" s="53" t="str">
        <f t="shared" si="253"/>
        <v/>
      </c>
      <c r="AC1144" s="48" t="str">
        <f t="shared" si="254"/>
        <v/>
      </c>
      <c r="AD1144" s="54" t="str">
        <f t="shared" si="255"/>
        <v/>
      </c>
      <c r="AE1144" s="55">
        <f t="shared" si="256"/>
        <v>0</v>
      </c>
      <c r="AF1144" s="55">
        <f t="shared" si="257"/>
        <v>0</v>
      </c>
      <c r="AG1144" s="58">
        <f t="shared" si="258"/>
        <v>0</v>
      </c>
      <c r="AH1144" s="47"/>
      <c r="AJ1144" s="47"/>
      <c r="AL1144" s="47"/>
      <c r="AM1144" s="47" t="str">
        <f t="shared" si="259"/>
        <v/>
      </c>
    </row>
    <row r="1145" spans="1:39" s="56" customFormat="1" ht="24.75" customHeight="1">
      <c r="A1145" s="44"/>
      <c r="B1145" s="45"/>
      <c r="C1145" s="46">
        <f>IF(B1145&lt;&gt;"",VLOOKUP(B1145,'Tipo Projeto'!$A$3:$B$35,2,0),0)</f>
        <v>0</v>
      </c>
      <c r="D1145" s="47"/>
      <c r="E1145" s="47"/>
      <c r="F1145" s="48"/>
      <c r="G1145" s="47"/>
      <c r="H1145" s="49"/>
      <c r="I1145" s="50"/>
      <c r="J1145" s="51"/>
      <c r="K1145" s="52"/>
      <c r="L1145" s="53" t="str">
        <f t="shared" si="247"/>
        <v/>
      </c>
      <c r="M1145" s="48" t="str">
        <f t="shared" si="248"/>
        <v/>
      </c>
      <c r="N1145" s="54" t="str">
        <f t="shared" si="249"/>
        <v/>
      </c>
      <c r="O1145" s="55">
        <f t="shared" si="250"/>
        <v>0</v>
      </c>
      <c r="P1145" s="55">
        <f t="shared" si="251"/>
        <v>0</v>
      </c>
      <c r="Q1145" s="54">
        <f t="shared" si="252"/>
        <v>0</v>
      </c>
      <c r="R1145" s="47"/>
      <c r="T1145" s="57"/>
      <c r="U1145" s="45"/>
      <c r="V1145" s="46">
        <f>IF(U1145&lt;&gt;"",VLOOKUP(U1145,'Tipo Projeto'!$A$3:$B$35,2,0),0)</f>
        <v>0</v>
      </c>
      <c r="W1145" s="47"/>
      <c r="X1145" s="49"/>
      <c r="Y1145" s="50"/>
      <c r="Z1145" s="51"/>
      <c r="AA1145" s="52"/>
      <c r="AB1145" s="53" t="str">
        <f t="shared" si="253"/>
        <v/>
      </c>
      <c r="AC1145" s="48" t="str">
        <f t="shared" si="254"/>
        <v/>
      </c>
      <c r="AD1145" s="54" t="str">
        <f t="shared" si="255"/>
        <v/>
      </c>
      <c r="AE1145" s="55">
        <f t="shared" si="256"/>
        <v>0</v>
      </c>
      <c r="AF1145" s="55">
        <f t="shared" si="257"/>
        <v>0</v>
      </c>
      <c r="AG1145" s="58">
        <f t="shared" si="258"/>
        <v>0</v>
      </c>
      <c r="AH1145" s="47"/>
      <c r="AJ1145" s="47"/>
      <c r="AL1145" s="47"/>
      <c r="AM1145" s="47" t="str">
        <f t="shared" si="259"/>
        <v/>
      </c>
    </row>
    <row r="1146" spans="1:39" s="56" customFormat="1" ht="24.75" customHeight="1">
      <c r="A1146" s="44"/>
      <c r="B1146" s="45"/>
      <c r="C1146" s="46">
        <f>IF(B1146&lt;&gt;"",VLOOKUP(B1146,'Tipo Projeto'!$A$3:$B$35,2,0),0)</f>
        <v>0</v>
      </c>
      <c r="D1146" s="47"/>
      <c r="E1146" s="47"/>
      <c r="F1146" s="48"/>
      <c r="G1146" s="47"/>
      <c r="H1146" s="49"/>
      <c r="I1146" s="50"/>
      <c r="J1146" s="51"/>
      <c r="K1146" s="52"/>
      <c r="L1146" s="53" t="str">
        <f t="shared" si="247"/>
        <v/>
      </c>
      <c r="M1146" s="48" t="str">
        <f t="shared" si="248"/>
        <v/>
      </c>
      <c r="N1146" s="54" t="str">
        <f t="shared" si="249"/>
        <v/>
      </c>
      <c r="O1146" s="55">
        <f t="shared" si="250"/>
        <v>0</v>
      </c>
      <c r="P1146" s="55">
        <f t="shared" si="251"/>
        <v>0</v>
      </c>
      <c r="Q1146" s="54">
        <f t="shared" si="252"/>
        <v>0</v>
      </c>
      <c r="R1146" s="47"/>
      <c r="T1146" s="57"/>
      <c r="U1146" s="45"/>
      <c r="V1146" s="46">
        <f>IF(U1146&lt;&gt;"",VLOOKUP(U1146,'Tipo Projeto'!$A$3:$B$35,2,0),0)</f>
        <v>0</v>
      </c>
      <c r="W1146" s="47"/>
      <c r="X1146" s="49"/>
      <c r="Y1146" s="50"/>
      <c r="Z1146" s="51"/>
      <c r="AA1146" s="52"/>
      <c r="AB1146" s="53" t="str">
        <f t="shared" si="253"/>
        <v/>
      </c>
      <c r="AC1146" s="48" t="str">
        <f t="shared" si="254"/>
        <v/>
      </c>
      <c r="AD1146" s="54" t="str">
        <f t="shared" si="255"/>
        <v/>
      </c>
      <c r="AE1146" s="55">
        <f t="shared" si="256"/>
        <v>0</v>
      </c>
      <c r="AF1146" s="55">
        <f t="shared" si="257"/>
        <v>0</v>
      </c>
      <c r="AG1146" s="58">
        <f t="shared" si="258"/>
        <v>0</v>
      </c>
      <c r="AH1146" s="47"/>
      <c r="AJ1146" s="47"/>
      <c r="AL1146" s="47"/>
      <c r="AM1146" s="47" t="str">
        <f t="shared" si="259"/>
        <v/>
      </c>
    </row>
    <row r="1147" spans="1:39" s="56" customFormat="1" ht="24.75" customHeight="1">
      <c r="A1147" s="44"/>
      <c r="B1147" s="45"/>
      <c r="C1147" s="46">
        <f>IF(B1147&lt;&gt;"",VLOOKUP(B1147,'Tipo Projeto'!$A$3:$B$35,2,0),0)</f>
        <v>0</v>
      </c>
      <c r="D1147" s="47"/>
      <c r="E1147" s="47"/>
      <c r="F1147" s="48"/>
      <c r="G1147" s="47"/>
      <c r="H1147" s="49"/>
      <c r="I1147" s="50"/>
      <c r="J1147" s="51"/>
      <c r="K1147" s="52"/>
      <c r="L1147" s="53" t="str">
        <f t="shared" si="247"/>
        <v/>
      </c>
      <c r="M1147" s="48" t="str">
        <f t="shared" si="248"/>
        <v/>
      </c>
      <c r="N1147" s="54" t="str">
        <f t="shared" si="249"/>
        <v/>
      </c>
      <c r="O1147" s="55">
        <f t="shared" si="250"/>
        <v>0</v>
      </c>
      <c r="P1147" s="55">
        <f t="shared" si="251"/>
        <v>0</v>
      </c>
      <c r="Q1147" s="54">
        <f t="shared" si="252"/>
        <v>0</v>
      </c>
      <c r="R1147" s="47"/>
      <c r="T1147" s="57"/>
      <c r="U1147" s="45"/>
      <c r="V1147" s="46">
        <f>IF(U1147&lt;&gt;"",VLOOKUP(U1147,'Tipo Projeto'!$A$3:$B$35,2,0),0)</f>
        <v>0</v>
      </c>
      <c r="W1147" s="47"/>
      <c r="X1147" s="49"/>
      <c r="Y1147" s="50"/>
      <c r="Z1147" s="51"/>
      <c r="AA1147" s="52"/>
      <c r="AB1147" s="53" t="str">
        <f t="shared" si="253"/>
        <v/>
      </c>
      <c r="AC1147" s="48" t="str">
        <f t="shared" si="254"/>
        <v/>
      </c>
      <c r="AD1147" s="54" t="str">
        <f t="shared" si="255"/>
        <v/>
      </c>
      <c r="AE1147" s="55">
        <f t="shared" si="256"/>
        <v>0</v>
      </c>
      <c r="AF1147" s="55">
        <f t="shared" si="257"/>
        <v>0</v>
      </c>
      <c r="AG1147" s="58">
        <f t="shared" si="258"/>
        <v>0</v>
      </c>
      <c r="AH1147" s="47"/>
      <c r="AJ1147" s="47"/>
      <c r="AL1147" s="47"/>
      <c r="AM1147" s="47" t="str">
        <f t="shared" si="259"/>
        <v/>
      </c>
    </row>
    <row r="1148" spans="1:39" s="56" customFormat="1" ht="24.75" customHeight="1">
      <c r="A1148" s="44"/>
      <c r="B1148" s="45"/>
      <c r="C1148" s="46">
        <f>IF(B1148&lt;&gt;"",VLOOKUP(B1148,'Tipo Projeto'!$A$3:$B$35,2,0),0)</f>
        <v>0</v>
      </c>
      <c r="D1148" s="47"/>
      <c r="E1148" s="47"/>
      <c r="F1148" s="48"/>
      <c r="G1148" s="47"/>
      <c r="H1148" s="49"/>
      <c r="I1148" s="50"/>
      <c r="J1148" s="51"/>
      <c r="K1148" s="52"/>
      <c r="L1148" s="53" t="str">
        <f t="shared" si="247"/>
        <v/>
      </c>
      <c r="M1148" s="48" t="str">
        <f t="shared" si="248"/>
        <v/>
      </c>
      <c r="N1148" s="54" t="str">
        <f t="shared" si="249"/>
        <v/>
      </c>
      <c r="O1148" s="55">
        <f t="shared" si="250"/>
        <v>0</v>
      </c>
      <c r="P1148" s="55">
        <f t="shared" si="251"/>
        <v>0</v>
      </c>
      <c r="Q1148" s="54">
        <f t="shared" si="252"/>
        <v>0</v>
      </c>
      <c r="R1148" s="47"/>
      <c r="T1148" s="57"/>
      <c r="U1148" s="45"/>
      <c r="V1148" s="46">
        <f>IF(U1148&lt;&gt;"",VLOOKUP(U1148,'Tipo Projeto'!$A$3:$B$35,2,0),0)</f>
        <v>0</v>
      </c>
      <c r="W1148" s="47"/>
      <c r="X1148" s="49"/>
      <c r="Y1148" s="50"/>
      <c r="Z1148" s="51"/>
      <c r="AA1148" s="52"/>
      <c r="AB1148" s="53" t="str">
        <f t="shared" si="253"/>
        <v/>
      </c>
      <c r="AC1148" s="48" t="str">
        <f t="shared" si="254"/>
        <v/>
      </c>
      <c r="AD1148" s="54" t="str">
        <f t="shared" si="255"/>
        <v/>
      </c>
      <c r="AE1148" s="55">
        <f t="shared" si="256"/>
        <v>0</v>
      </c>
      <c r="AF1148" s="55">
        <f t="shared" si="257"/>
        <v>0</v>
      </c>
      <c r="AG1148" s="58">
        <f t="shared" si="258"/>
        <v>0</v>
      </c>
      <c r="AH1148" s="47"/>
      <c r="AJ1148" s="47"/>
      <c r="AL1148" s="47"/>
      <c r="AM1148" s="47" t="str">
        <f t="shared" si="259"/>
        <v/>
      </c>
    </row>
    <row r="1149" spans="1:39" s="56" customFormat="1" ht="24.75" customHeight="1">
      <c r="A1149" s="44"/>
      <c r="B1149" s="45"/>
      <c r="C1149" s="46">
        <f>IF(B1149&lt;&gt;"",VLOOKUP(B1149,'Tipo Projeto'!$A$3:$B$35,2,0),0)</f>
        <v>0</v>
      </c>
      <c r="D1149" s="47"/>
      <c r="E1149" s="47"/>
      <c r="F1149" s="48"/>
      <c r="G1149" s="47"/>
      <c r="H1149" s="49"/>
      <c r="I1149" s="50"/>
      <c r="J1149" s="51"/>
      <c r="K1149" s="52"/>
      <c r="L1149" s="53" t="str">
        <f t="shared" si="247"/>
        <v/>
      </c>
      <c r="M1149" s="48" t="str">
        <f t="shared" si="248"/>
        <v/>
      </c>
      <c r="N1149" s="54" t="str">
        <f t="shared" si="249"/>
        <v/>
      </c>
      <c r="O1149" s="55">
        <f t="shared" si="250"/>
        <v>0</v>
      </c>
      <c r="P1149" s="55">
        <f t="shared" si="251"/>
        <v>0</v>
      </c>
      <c r="Q1149" s="54">
        <f t="shared" si="252"/>
        <v>0</v>
      </c>
      <c r="R1149" s="47"/>
      <c r="T1149" s="57"/>
      <c r="U1149" s="45"/>
      <c r="V1149" s="46">
        <f>IF(U1149&lt;&gt;"",VLOOKUP(U1149,'Tipo Projeto'!$A$3:$B$35,2,0),0)</f>
        <v>0</v>
      </c>
      <c r="W1149" s="47"/>
      <c r="X1149" s="49"/>
      <c r="Y1149" s="50"/>
      <c r="Z1149" s="51"/>
      <c r="AA1149" s="52"/>
      <c r="AB1149" s="53" t="str">
        <f t="shared" si="253"/>
        <v/>
      </c>
      <c r="AC1149" s="48" t="str">
        <f t="shared" si="254"/>
        <v/>
      </c>
      <c r="AD1149" s="54" t="str">
        <f t="shared" si="255"/>
        <v/>
      </c>
      <c r="AE1149" s="55">
        <f t="shared" si="256"/>
        <v>0</v>
      </c>
      <c r="AF1149" s="55">
        <f t="shared" si="257"/>
        <v>0</v>
      </c>
      <c r="AG1149" s="58">
        <f t="shared" si="258"/>
        <v>0</v>
      </c>
      <c r="AH1149" s="47"/>
      <c r="AJ1149" s="47"/>
      <c r="AL1149" s="47"/>
      <c r="AM1149" s="47" t="str">
        <f t="shared" si="259"/>
        <v/>
      </c>
    </row>
    <row r="1150" spans="1:39" s="56" customFormat="1" ht="24.75" customHeight="1">
      <c r="A1150" s="44"/>
      <c r="B1150" s="45"/>
      <c r="C1150" s="46">
        <f>IF(B1150&lt;&gt;"",VLOOKUP(B1150,'Tipo Projeto'!$A$3:$B$35,2,0),0)</f>
        <v>0</v>
      </c>
      <c r="D1150" s="47"/>
      <c r="E1150" s="47"/>
      <c r="F1150" s="48"/>
      <c r="G1150" s="47"/>
      <c r="H1150" s="49"/>
      <c r="I1150" s="50"/>
      <c r="J1150" s="51"/>
      <c r="K1150" s="52"/>
      <c r="L1150" s="53" t="str">
        <f t="shared" si="247"/>
        <v/>
      </c>
      <c r="M1150" s="48" t="str">
        <f t="shared" si="248"/>
        <v/>
      </c>
      <c r="N1150" s="54" t="str">
        <f t="shared" si="249"/>
        <v/>
      </c>
      <c r="O1150" s="55">
        <f t="shared" si="250"/>
        <v>0</v>
      </c>
      <c r="P1150" s="55">
        <f t="shared" si="251"/>
        <v>0</v>
      </c>
      <c r="Q1150" s="54">
        <f t="shared" si="252"/>
        <v>0</v>
      </c>
      <c r="R1150" s="47"/>
      <c r="T1150" s="57"/>
      <c r="U1150" s="45"/>
      <c r="V1150" s="46">
        <f>IF(U1150&lt;&gt;"",VLOOKUP(U1150,'Tipo Projeto'!$A$3:$B$35,2,0),0)</f>
        <v>0</v>
      </c>
      <c r="W1150" s="47"/>
      <c r="X1150" s="49"/>
      <c r="Y1150" s="50"/>
      <c r="Z1150" s="51"/>
      <c r="AA1150" s="52"/>
      <c r="AB1150" s="53" t="str">
        <f t="shared" si="253"/>
        <v/>
      </c>
      <c r="AC1150" s="48" t="str">
        <f t="shared" si="254"/>
        <v/>
      </c>
      <c r="AD1150" s="54" t="str">
        <f t="shared" si="255"/>
        <v/>
      </c>
      <c r="AE1150" s="55">
        <f t="shared" si="256"/>
        <v>0</v>
      </c>
      <c r="AF1150" s="55">
        <f t="shared" si="257"/>
        <v>0</v>
      </c>
      <c r="AG1150" s="58">
        <f t="shared" si="258"/>
        <v>0</v>
      </c>
      <c r="AH1150" s="47"/>
      <c r="AJ1150" s="47"/>
      <c r="AL1150" s="47"/>
      <c r="AM1150" s="47" t="str">
        <f t="shared" si="259"/>
        <v/>
      </c>
    </row>
    <row r="1151" spans="1:39" s="56" customFormat="1" ht="24.75" customHeight="1">
      <c r="A1151" s="44"/>
      <c r="B1151" s="45"/>
      <c r="C1151" s="46">
        <f>IF(B1151&lt;&gt;"",VLOOKUP(B1151,'Tipo Projeto'!$A$3:$B$35,2,0),0)</f>
        <v>0</v>
      </c>
      <c r="D1151" s="47"/>
      <c r="E1151" s="47"/>
      <c r="F1151" s="48"/>
      <c r="G1151" s="47"/>
      <c r="H1151" s="49"/>
      <c r="I1151" s="50"/>
      <c r="J1151" s="51"/>
      <c r="K1151" s="52"/>
      <c r="L1151" s="53" t="str">
        <f t="shared" si="247"/>
        <v/>
      </c>
      <c r="M1151" s="48" t="str">
        <f t="shared" si="248"/>
        <v/>
      </c>
      <c r="N1151" s="54" t="str">
        <f t="shared" si="249"/>
        <v/>
      </c>
      <c r="O1151" s="55">
        <f t="shared" si="250"/>
        <v>0</v>
      </c>
      <c r="P1151" s="55">
        <f t="shared" si="251"/>
        <v>0</v>
      </c>
      <c r="Q1151" s="54">
        <f t="shared" si="252"/>
        <v>0</v>
      </c>
      <c r="R1151" s="47"/>
      <c r="T1151" s="57"/>
      <c r="U1151" s="45"/>
      <c r="V1151" s="46">
        <f>IF(U1151&lt;&gt;"",VLOOKUP(U1151,'Tipo Projeto'!$A$3:$B$35,2,0),0)</f>
        <v>0</v>
      </c>
      <c r="W1151" s="47"/>
      <c r="X1151" s="49"/>
      <c r="Y1151" s="50"/>
      <c r="Z1151" s="51"/>
      <c r="AA1151" s="52"/>
      <c r="AB1151" s="53" t="str">
        <f t="shared" si="253"/>
        <v/>
      </c>
      <c r="AC1151" s="48" t="str">
        <f t="shared" si="254"/>
        <v/>
      </c>
      <c r="AD1151" s="54" t="str">
        <f t="shared" si="255"/>
        <v/>
      </c>
      <c r="AE1151" s="55">
        <f t="shared" si="256"/>
        <v>0</v>
      </c>
      <c r="AF1151" s="55">
        <f t="shared" si="257"/>
        <v>0</v>
      </c>
      <c r="AG1151" s="58">
        <f t="shared" si="258"/>
        <v>0</v>
      </c>
      <c r="AH1151" s="47"/>
      <c r="AJ1151" s="47"/>
      <c r="AL1151" s="47"/>
      <c r="AM1151" s="47" t="str">
        <f t="shared" si="259"/>
        <v/>
      </c>
    </row>
    <row r="1152" spans="1:39" s="56" customFormat="1" ht="24.75" customHeight="1">
      <c r="A1152" s="44"/>
      <c r="B1152" s="45"/>
      <c r="C1152" s="46">
        <f>IF(B1152&lt;&gt;"",VLOOKUP(B1152,'Tipo Projeto'!$A$3:$B$35,2,0),0)</f>
        <v>0</v>
      </c>
      <c r="D1152" s="47"/>
      <c r="E1152" s="47"/>
      <c r="F1152" s="48"/>
      <c r="G1152" s="47"/>
      <c r="H1152" s="49"/>
      <c r="I1152" s="50"/>
      <c r="J1152" s="51"/>
      <c r="K1152" s="52"/>
      <c r="L1152" s="53" t="str">
        <f t="shared" si="247"/>
        <v/>
      </c>
      <c r="M1152" s="48" t="str">
        <f t="shared" si="248"/>
        <v/>
      </c>
      <c r="N1152" s="54" t="str">
        <f t="shared" si="249"/>
        <v/>
      </c>
      <c r="O1152" s="55">
        <f t="shared" si="250"/>
        <v>0</v>
      </c>
      <c r="P1152" s="55">
        <f t="shared" si="251"/>
        <v>0</v>
      </c>
      <c r="Q1152" s="54">
        <f t="shared" si="252"/>
        <v>0</v>
      </c>
      <c r="R1152" s="47"/>
      <c r="T1152" s="57"/>
      <c r="U1152" s="45"/>
      <c r="V1152" s="46">
        <f>IF(U1152&lt;&gt;"",VLOOKUP(U1152,'Tipo Projeto'!$A$3:$B$35,2,0),0)</f>
        <v>0</v>
      </c>
      <c r="W1152" s="47"/>
      <c r="X1152" s="49"/>
      <c r="Y1152" s="50"/>
      <c r="Z1152" s="51"/>
      <c r="AA1152" s="52"/>
      <c r="AB1152" s="53" t="str">
        <f t="shared" si="253"/>
        <v/>
      </c>
      <c r="AC1152" s="48" t="str">
        <f t="shared" si="254"/>
        <v/>
      </c>
      <c r="AD1152" s="54" t="str">
        <f t="shared" si="255"/>
        <v/>
      </c>
      <c r="AE1152" s="55">
        <f t="shared" si="256"/>
        <v>0</v>
      </c>
      <c r="AF1152" s="55">
        <f t="shared" si="257"/>
        <v>0</v>
      </c>
      <c r="AG1152" s="58">
        <f t="shared" si="258"/>
        <v>0</v>
      </c>
      <c r="AH1152" s="47"/>
      <c r="AJ1152" s="47"/>
      <c r="AL1152" s="47"/>
      <c r="AM1152" s="47" t="str">
        <f t="shared" si="259"/>
        <v/>
      </c>
    </row>
    <row r="1153" spans="1:39" s="56" customFormat="1" ht="24.75" customHeight="1">
      <c r="A1153" s="44"/>
      <c r="B1153" s="45"/>
      <c r="C1153" s="46">
        <f>IF(B1153&lt;&gt;"",VLOOKUP(B1153,'Tipo Projeto'!$A$3:$B$35,2,0),0)</f>
        <v>0</v>
      </c>
      <c r="D1153" s="47"/>
      <c r="E1153" s="47"/>
      <c r="F1153" s="48"/>
      <c r="G1153" s="47"/>
      <c r="H1153" s="49"/>
      <c r="I1153" s="50"/>
      <c r="J1153" s="51"/>
      <c r="K1153" s="52"/>
      <c r="L1153" s="53" t="str">
        <f t="shared" si="247"/>
        <v/>
      </c>
      <c r="M1153" s="48" t="str">
        <f t="shared" si="248"/>
        <v/>
      </c>
      <c r="N1153" s="54" t="str">
        <f t="shared" si="249"/>
        <v/>
      </c>
      <c r="O1153" s="55">
        <f t="shared" si="250"/>
        <v>0</v>
      </c>
      <c r="P1153" s="55">
        <f t="shared" si="251"/>
        <v>0</v>
      </c>
      <c r="Q1153" s="54">
        <f t="shared" si="252"/>
        <v>0</v>
      </c>
      <c r="R1153" s="47"/>
      <c r="T1153" s="57"/>
      <c r="U1153" s="45"/>
      <c r="V1153" s="46">
        <f>IF(U1153&lt;&gt;"",VLOOKUP(U1153,'Tipo Projeto'!$A$3:$B$35,2,0),0)</f>
        <v>0</v>
      </c>
      <c r="W1153" s="47"/>
      <c r="X1153" s="49"/>
      <c r="Y1153" s="50"/>
      <c r="Z1153" s="51"/>
      <c r="AA1153" s="52"/>
      <c r="AB1153" s="53" t="str">
        <f t="shared" si="253"/>
        <v/>
      </c>
      <c r="AC1153" s="48" t="str">
        <f t="shared" si="254"/>
        <v/>
      </c>
      <c r="AD1153" s="54" t="str">
        <f t="shared" si="255"/>
        <v/>
      </c>
      <c r="AE1153" s="55">
        <f t="shared" si="256"/>
        <v>0</v>
      </c>
      <c r="AF1153" s="55">
        <f t="shared" si="257"/>
        <v>0</v>
      </c>
      <c r="AG1153" s="58">
        <f t="shared" si="258"/>
        <v>0</v>
      </c>
      <c r="AH1153" s="47"/>
      <c r="AJ1153" s="47"/>
      <c r="AL1153" s="47"/>
      <c r="AM1153" s="47" t="str">
        <f t="shared" si="259"/>
        <v/>
      </c>
    </row>
    <row r="1154" spans="1:39" s="56" customFormat="1" ht="24.75" customHeight="1">
      <c r="A1154" s="44"/>
      <c r="B1154" s="45"/>
      <c r="C1154" s="46">
        <f>IF(B1154&lt;&gt;"",VLOOKUP(B1154,'Tipo Projeto'!$A$3:$B$35,2,0),0)</f>
        <v>0</v>
      </c>
      <c r="D1154" s="47"/>
      <c r="E1154" s="47"/>
      <c r="F1154" s="48"/>
      <c r="G1154" s="47"/>
      <c r="H1154" s="49"/>
      <c r="I1154" s="50"/>
      <c r="J1154" s="51"/>
      <c r="K1154" s="52"/>
      <c r="L1154" s="53" t="str">
        <f t="shared" si="247"/>
        <v/>
      </c>
      <c r="M1154" s="48" t="str">
        <f t="shared" si="248"/>
        <v/>
      </c>
      <c r="N1154" s="54" t="str">
        <f t="shared" si="249"/>
        <v/>
      </c>
      <c r="O1154" s="55">
        <f t="shared" si="250"/>
        <v>0</v>
      </c>
      <c r="P1154" s="55">
        <f t="shared" si="251"/>
        <v>0</v>
      </c>
      <c r="Q1154" s="54">
        <f t="shared" si="252"/>
        <v>0</v>
      </c>
      <c r="R1154" s="47"/>
      <c r="T1154" s="57"/>
      <c r="U1154" s="45"/>
      <c r="V1154" s="46">
        <f>IF(U1154&lt;&gt;"",VLOOKUP(U1154,'Tipo Projeto'!$A$3:$B$35,2,0),0)</f>
        <v>0</v>
      </c>
      <c r="W1154" s="47"/>
      <c r="X1154" s="49"/>
      <c r="Y1154" s="50"/>
      <c r="Z1154" s="51"/>
      <c r="AA1154" s="52"/>
      <c r="AB1154" s="53" t="str">
        <f t="shared" si="253"/>
        <v/>
      </c>
      <c r="AC1154" s="48" t="str">
        <f t="shared" si="254"/>
        <v/>
      </c>
      <c r="AD1154" s="54" t="str">
        <f t="shared" si="255"/>
        <v/>
      </c>
      <c r="AE1154" s="55">
        <f t="shared" si="256"/>
        <v>0</v>
      </c>
      <c r="AF1154" s="55">
        <f t="shared" si="257"/>
        <v>0</v>
      </c>
      <c r="AG1154" s="58">
        <f t="shared" si="258"/>
        <v>0</v>
      </c>
      <c r="AH1154" s="47"/>
      <c r="AJ1154" s="47"/>
      <c r="AL1154" s="47"/>
      <c r="AM1154" s="47" t="str">
        <f t="shared" si="259"/>
        <v/>
      </c>
    </row>
    <row r="1155" spans="1:39" s="56" customFormat="1" ht="24.75" customHeight="1">
      <c r="A1155" s="44"/>
      <c r="B1155" s="45"/>
      <c r="C1155" s="46">
        <f>IF(B1155&lt;&gt;"",VLOOKUP(B1155,'Tipo Projeto'!$A$3:$B$35,2,0),0)</f>
        <v>0</v>
      </c>
      <c r="D1155" s="47"/>
      <c r="E1155" s="47"/>
      <c r="F1155" s="48"/>
      <c r="G1155" s="47"/>
      <c r="H1155" s="49"/>
      <c r="I1155" s="50"/>
      <c r="J1155" s="51"/>
      <c r="K1155" s="52"/>
      <c r="L1155" s="53" t="str">
        <f t="shared" si="247"/>
        <v/>
      </c>
      <c r="M1155" s="48" t="str">
        <f t="shared" si="248"/>
        <v/>
      </c>
      <c r="N1155" s="54" t="str">
        <f t="shared" si="249"/>
        <v/>
      </c>
      <c r="O1155" s="55">
        <f t="shared" si="250"/>
        <v>0</v>
      </c>
      <c r="P1155" s="55">
        <f t="shared" si="251"/>
        <v>0</v>
      </c>
      <c r="Q1155" s="54">
        <f t="shared" si="252"/>
        <v>0</v>
      </c>
      <c r="R1155" s="47"/>
      <c r="T1155" s="57"/>
      <c r="U1155" s="45"/>
      <c r="V1155" s="46">
        <f>IF(U1155&lt;&gt;"",VLOOKUP(U1155,'Tipo Projeto'!$A$3:$B$35,2,0),0)</f>
        <v>0</v>
      </c>
      <c r="W1155" s="47"/>
      <c r="X1155" s="49"/>
      <c r="Y1155" s="50"/>
      <c r="Z1155" s="51"/>
      <c r="AA1155" s="52"/>
      <c r="AB1155" s="53" t="str">
        <f t="shared" si="253"/>
        <v/>
      </c>
      <c r="AC1155" s="48" t="str">
        <f t="shared" si="254"/>
        <v/>
      </c>
      <c r="AD1155" s="54" t="str">
        <f t="shared" si="255"/>
        <v/>
      </c>
      <c r="AE1155" s="55">
        <f t="shared" si="256"/>
        <v>0</v>
      </c>
      <c r="AF1155" s="55">
        <f t="shared" si="257"/>
        <v>0</v>
      </c>
      <c r="AG1155" s="58">
        <f t="shared" si="258"/>
        <v>0</v>
      </c>
      <c r="AH1155" s="47"/>
      <c r="AJ1155" s="47"/>
      <c r="AL1155" s="47"/>
      <c r="AM1155" s="47" t="str">
        <f t="shared" si="259"/>
        <v/>
      </c>
    </row>
    <row r="1156" spans="1:39" s="56" customFormat="1" ht="24.75" customHeight="1">
      <c r="A1156" s="44"/>
      <c r="B1156" s="45"/>
      <c r="C1156" s="46">
        <f>IF(B1156&lt;&gt;"",VLOOKUP(B1156,'Tipo Projeto'!$A$3:$B$35,2,0),0)</f>
        <v>0</v>
      </c>
      <c r="D1156" s="47"/>
      <c r="E1156" s="47"/>
      <c r="F1156" s="48"/>
      <c r="G1156" s="47"/>
      <c r="H1156" s="49"/>
      <c r="I1156" s="50"/>
      <c r="J1156" s="51"/>
      <c r="K1156" s="52"/>
      <c r="L1156" s="53" t="str">
        <f t="shared" si="247"/>
        <v/>
      </c>
      <c r="M1156" s="48" t="str">
        <f t="shared" si="248"/>
        <v/>
      </c>
      <c r="N1156" s="54" t="str">
        <f t="shared" si="249"/>
        <v/>
      </c>
      <c r="O1156" s="55">
        <f t="shared" si="250"/>
        <v>0</v>
      </c>
      <c r="P1156" s="55">
        <f t="shared" si="251"/>
        <v>0</v>
      </c>
      <c r="Q1156" s="54">
        <f t="shared" si="252"/>
        <v>0</v>
      </c>
      <c r="R1156" s="47"/>
      <c r="T1156" s="57"/>
      <c r="U1156" s="45"/>
      <c r="V1156" s="46">
        <f>IF(U1156&lt;&gt;"",VLOOKUP(U1156,'Tipo Projeto'!$A$3:$B$35,2,0),0)</f>
        <v>0</v>
      </c>
      <c r="W1156" s="47"/>
      <c r="X1156" s="49"/>
      <c r="Y1156" s="50"/>
      <c r="Z1156" s="51"/>
      <c r="AA1156" s="52"/>
      <c r="AB1156" s="53" t="str">
        <f t="shared" si="253"/>
        <v/>
      </c>
      <c r="AC1156" s="48" t="str">
        <f t="shared" si="254"/>
        <v/>
      </c>
      <c r="AD1156" s="54" t="str">
        <f t="shared" si="255"/>
        <v/>
      </c>
      <c r="AE1156" s="55">
        <f t="shared" si="256"/>
        <v>0</v>
      </c>
      <c r="AF1156" s="55">
        <f t="shared" si="257"/>
        <v>0</v>
      </c>
      <c r="AG1156" s="58">
        <f t="shared" si="258"/>
        <v>0</v>
      </c>
      <c r="AH1156" s="47"/>
      <c r="AJ1156" s="47"/>
      <c r="AL1156" s="47"/>
      <c r="AM1156" s="47" t="str">
        <f t="shared" si="259"/>
        <v/>
      </c>
    </row>
    <row r="1157" spans="1:39" s="56" customFormat="1" ht="24.75" customHeight="1">
      <c r="A1157" s="44"/>
      <c r="B1157" s="45"/>
      <c r="C1157" s="46">
        <f>IF(B1157&lt;&gt;"",VLOOKUP(B1157,'Tipo Projeto'!$A$3:$B$35,2,0),0)</f>
        <v>0</v>
      </c>
      <c r="D1157" s="47"/>
      <c r="E1157" s="47"/>
      <c r="F1157" s="48"/>
      <c r="G1157" s="47"/>
      <c r="H1157" s="49"/>
      <c r="I1157" s="50"/>
      <c r="J1157" s="51"/>
      <c r="K1157" s="52"/>
      <c r="L1157" s="53" t="str">
        <f t="shared" si="247"/>
        <v/>
      </c>
      <c r="M1157" s="48" t="str">
        <f t="shared" si="248"/>
        <v/>
      </c>
      <c r="N1157" s="54" t="str">
        <f t="shared" si="249"/>
        <v/>
      </c>
      <c r="O1157" s="55">
        <f t="shared" si="250"/>
        <v>0</v>
      </c>
      <c r="P1157" s="55">
        <f t="shared" si="251"/>
        <v>0</v>
      </c>
      <c r="Q1157" s="54">
        <f t="shared" si="252"/>
        <v>0</v>
      </c>
      <c r="R1157" s="47"/>
      <c r="T1157" s="57"/>
      <c r="U1157" s="45"/>
      <c r="V1157" s="46">
        <f>IF(U1157&lt;&gt;"",VLOOKUP(U1157,'Tipo Projeto'!$A$3:$B$35,2,0),0)</f>
        <v>0</v>
      </c>
      <c r="W1157" s="47"/>
      <c r="X1157" s="49"/>
      <c r="Y1157" s="50"/>
      <c r="Z1157" s="51"/>
      <c r="AA1157" s="52"/>
      <c r="AB1157" s="53" t="str">
        <f t="shared" si="253"/>
        <v/>
      </c>
      <c r="AC1157" s="48" t="str">
        <f t="shared" si="254"/>
        <v/>
      </c>
      <c r="AD1157" s="54" t="str">
        <f t="shared" si="255"/>
        <v/>
      </c>
      <c r="AE1157" s="55">
        <f t="shared" si="256"/>
        <v>0</v>
      </c>
      <c r="AF1157" s="55">
        <f t="shared" si="257"/>
        <v>0</v>
      </c>
      <c r="AG1157" s="58">
        <f t="shared" si="258"/>
        <v>0</v>
      </c>
      <c r="AH1157" s="47"/>
      <c r="AJ1157" s="47"/>
      <c r="AL1157" s="47"/>
      <c r="AM1157" s="47" t="str">
        <f t="shared" si="259"/>
        <v/>
      </c>
    </row>
    <row r="1158" spans="1:39" s="56" customFormat="1" ht="24.75" customHeight="1">
      <c r="A1158" s="44"/>
      <c r="B1158" s="45"/>
      <c r="C1158" s="46">
        <f>IF(B1158&lt;&gt;"",VLOOKUP(B1158,'Tipo Projeto'!$A$3:$B$35,2,0),0)</f>
        <v>0</v>
      </c>
      <c r="D1158" s="47"/>
      <c r="E1158" s="47"/>
      <c r="F1158" s="48"/>
      <c r="G1158" s="47"/>
      <c r="H1158" s="49"/>
      <c r="I1158" s="50"/>
      <c r="J1158" s="51"/>
      <c r="K1158" s="52"/>
      <c r="L1158" s="53" t="str">
        <f t="shared" si="247"/>
        <v/>
      </c>
      <c r="M1158" s="48" t="str">
        <f t="shared" si="248"/>
        <v/>
      </c>
      <c r="N1158" s="54" t="str">
        <f t="shared" si="249"/>
        <v/>
      </c>
      <c r="O1158" s="55">
        <f t="shared" si="250"/>
        <v>0</v>
      </c>
      <c r="P1158" s="55">
        <f t="shared" si="251"/>
        <v>0</v>
      </c>
      <c r="Q1158" s="54">
        <f t="shared" si="252"/>
        <v>0</v>
      </c>
      <c r="R1158" s="47"/>
      <c r="T1158" s="57"/>
      <c r="U1158" s="45"/>
      <c r="V1158" s="46">
        <f>IF(U1158&lt;&gt;"",VLOOKUP(U1158,'Tipo Projeto'!$A$3:$B$35,2,0),0)</f>
        <v>0</v>
      </c>
      <c r="W1158" s="47"/>
      <c r="X1158" s="49"/>
      <c r="Y1158" s="50"/>
      <c r="Z1158" s="51"/>
      <c r="AA1158" s="52"/>
      <c r="AB1158" s="53" t="str">
        <f t="shared" si="253"/>
        <v/>
      </c>
      <c r="AC1158" s="48" t="str">
        <f t="shared" si="254"/>
        <v/>
      </c>
      <c r="AD1158" s="54" t="str">
        <f t="shared" si="255"/>
        <v/>
      </c>
      <c r="AE1158" s="55">
        <f t="shared" si="256"/>
        <v>0</v>
      </c>
      <c r="AF1158" s="55">
        <f t="shared" si="257"/>
        <v>0</v>
      </c>
      <c r="AG1158" s="58">
        <f t="shared" si="258"/>
        <v>0</v>
      </c>
      <c r="AH1158" s="47"/>
      <c r="AJ1158" s="47"/>
      <c r="AL1158" s="47"/>
      <c r="AM1158" s="47" t="str">
        <f t="shared" si="259"/>
        <v/>
      </c>
    </row>
    <row r="1159" spans="1:39" s="56" customFormat="1" ht="24.75" customHeight="1">
      <c r="A1159" s="44"/>
      <c r="B1159" s="45"/>
      <c r="C1159" s="46">
        <f>IF(B1159&lt;&gt;"",VLOOKUP(B1159,'Tipo Projeto'!$A$3:$B$35,2,0),0)</f>
        <v>0</v>
      </c>
      <c r="D1159" s="47"/>
      <c r="E1159" s="47"/>
      <c r="F1159" s="48"/>
      <c r="G1159" s="47"/>
      <c r="H1159" s="49"/>
      <c r="I1159" s="50"/>
      <c r="J1159" s="51"/>
      <c r="K1159" s="52"/>
      <c r="L1159" s="53" t="str">
        <f t="shared" si="247"/>
        <v/>
      </c>
      <c r="M1159" s="48" t="str">
        <f t="shared" si="248"/>
        <v/>
      </c>
      <c r="N1159" s="54" t="str">
        <f t="shared" si="249"/>
        <v/>
      </c>
      <c r="O1159" s="55">
        <f t="shared" si="250"/>
        <v>0</v>
      </c>
      <c r="P1159" s="55">
        <f t="shared" si="251"/>
        <v>0</v>
      </c>
      <c r="Q1159" s="54">
        <f t="shared" si="252"/>
        <v>0</v>
      </c>
      <c r="R1159" s="47"/>
      <c r="T1159" s="57"/>
      <c r="U1159" s="45"/>
      <c r="V1159" s="46">
        <f>IF(U1159&lt;&gt;"",VLOOKUP(U1159,'Tipo Projeto'!$A$3:$B$35,2,0),0)</f>
        <v>0</v>
      </c>
      <c r="W1159" s="47"/>
      <c r="X1159" s="49"/>
      <c r="Y1159" s="50"/>
      <c r="Z1159" s="51"/>
      <c r="AA1159" s="52"/>
      <c r="AB1159" s="53" t="str">
        <f t="shared" si="253"/>
        <v/>
      </c>
      <c r="AC1159" s="48" t="str">
        <f t="shared" si="254"/>
        <v/>
      </c>
      <c r="AD1159" s="54" t="str">
        <f t="shared" si="255"/>
        <v/>
      </c>
      <c r="AE1159" s="55">
        <f t="shared" si="256"/>
        <v>0</v>
      </c>
      <c r="AF1159" s="55">
        <f t="shared" si="257"/>
        <v>0</v>
      </c>
      <c r="AG1159" s="58">
        <f t="shared" si="258"/>
        <v>0</v>
      </c>
      <c r="AH1159" s="47"/>
      <c r="AJ1159" s="47"/>
      <c r="AL1159" s="47"/>
      <c r="AM1159" s="47" t="str">
        <f t="shared" si="259"/>
        <v/>
      </c>
    </row>
    <row r="1160" spans="1:39" s="56" customFormat="1" ht="24.75" customHeight="1">
      <c r="A1160" s="44"/>
      <c r="B1160" s="45"/>
      <c r="C1160" s="46">
        <f>IF(B1160&lt;&gt;"",VLOOKUP(B1160,'Tipo Projeto'!$A$3:$B$35,2,0),0)</f>
        <v>0</v>
      </c>
      <c r="D1160" s="47"/>
      <c r="E1160" s="47"/>
      <c r="F1160" s="48"/>
      <c r="G1160" s="47"/>
      <c r="H1160" s="49"/>
      <c r="I1160" s="50"/>
      <c r="J1160" s="51"/>
      <c r="K1160" s="52"/>
      <c r="L1160" s="53" t="str">
        <f t="shared" si="247"/>
        <v/>
      </c>
      <c r="M1160" s="48" t="str">
        <f t="shared" si="248"/>
        <v/>
      </c>
      <c r="N1160" s="54" t="str">
        <f t="shared" si="249"/>
        <v/>
      </c>
      <c r="O1160" s="55">
        <f t="shared" si="250"/>
        <v>0</v>
      </c>
      <c r="P1160" s="55">
        <f t="shared" si="251"/>
        <v>0</v>
      </c>
      <c r="Q1160" s="54">
        <f t="shared" si="252"/>
        <v>0</v>
      </c>
      <c r="R1160" s="47"/>
      <c r="T1160" s="57"/>
      <c r="U1160" s="45"/>
      <c r="V1160" s="46">
        <f>IF(U1160&lt;&gt;"",VLOOKUP(U1160,'Tipo Projeto'!$A$3:$B$35,2,0),0)</f>
        <v>0</v>
      </c>
      <c r="W1160" s="47"/>
      <c r="X1160" s="49"/>
      <c r="Y1160" s="50"/>
      <c r="Z1160" s="51"/>
      <c r="AA1160" s="52"/>
      <c r="AB1160" s="53" t="str">
        <f t="shared" si="253"/>
        <v/>
      </c>
      <c r="AC1160" s="48" t="str">
        <f t="shared" si="254"/>
        <v/>
      </c>
      <c r="AD1160" s="54" t="str">
        <f t="shared" si="255"/>
        <v/>
      </c>
      <c r="AE1160" s="55">
        <f t="shared" si="256"/>
        <v>0</v>
      </c>
      <c r="AF1160" s="55">
        <f t="shared" si="257"/>
        <v>0</v>
      </c>
      <c r="AG1160" s="58">
        <f t="shared" si="258"/>
        <v>0</v>
      </c>
      <c r="AH1160" s="47"/>
      <c r="AJ1160" s="47"/>
      <c r="AL1160" s="47"/>
      <c r="AM1160" s="47" t="str">
        <f t="shared" si="259"/>
        <v/>
      </c>
    </row>
    <row r="1161" spans="1:39" s="56" customFormat="1" ht="24.75" customHeight="1">
      <c r="A1161" s="44"/>
      <c r="B1161" s="45"/>
      <c r="C1161" s="46">
        <f>IF(B1161&lt;&gt;"",VLOOKUP(B1161,'Tipo Projeto'!$A$3:$B$35,2,0),0)</f>
        <v>0</v>
      </c>
      <c r="D1161" s="47"/>
      <c r="E1161" s="47"/>
      <c r="F1161" s="48"/>
      <c r="G1161" s="47"/>
      <c r="H1161" s="49"/>
      <c r="I1161" s="50"/>
      <c r="J1161" s="51"/>
      <c r="K1161" s="52"/>
      <c r="L1161" s="53" t="str">
        <f t="shared" si="247"/>
        <v/>
      </c>
      <c r="M1161" s="48" t="str">
        <f t="shared" si="248"/>
        <v/>
      </c>
      <c r="N1161" s="54" t="str">
        <f t="shared" si="249"/>
        <v/>
      </c>
      <c r="O1161" s="55">
        <f t="shared" si="250"/>
        <v>0</v>
      </c>
      <c r="P1161" s="55">
        <f t="shared" si="251"/>
        <v>0</v>
      </c>
      <c r="Q1161" s="54">
        <f t="shared" si="252"/>
        <v>0</v>
      </c>
      <c r="R1161" s="47"/>
      <c r="T1161" s="57"/>
      <c r="U1161" s="45"/>
      <c r="V1161" s="46">
        <f>IF(U1161&lt;&gt;"",VLOOKUP(U1161,'Tipo Projeto'!$A$3:$B$35,2,0),0)</f>
        <v>0</v>
      </c>
      <c r="W1161" s="47"/>
      <c r="X1161" s="49"/>
      <c r="Y1161" s="50"/>
      <c r="Z1161" s="51"/>
      <c r="AA1161" s="52"/>
      <c r="AB1161" s="53" t="str">
        <f t="shared" si="253"/>
        <v/>
      </c>
      <c r="AC1161" s="48" t="str">
        <f t="shared" si="254"/>
        <v/>
      </c>
      <c r="AD1161" s="54" t="str">
        <f t="shared" si="255"/>
        <v/>
      </c>
      <c r="AE1161" s="55">
        <f t="shared" si="256"/>
        <v>0</v>
      </c>
      <c r="AF1161" s="55">
        <f t="shared" si="257"/>
        <v>0</v>
      </c>
      <c r="AG1161" s="58">
        <f t="shared" si="258"/>
        <v>0</v>
      </c>
      <c r="AH1161" s="47"/>
      <c r="AJ1161" s="47"/>
      <c r="AL1161" s="47"/>
      <c r="AM1161" s="47" t="str">
        <f t="shared" si="259"/>
        <v/>
      </c>
    </row>
    <row r="1162" spans="1:39" s="56" customFormat="1" ht="24.75" customHeight="1">
      <c r="A1162" s="44"/>
      <c r="B1162" s="45"/>
      <c r="C1162" s="46">
        <f>IF(B1162&lt;&gt;"",VLOOKUP(B1162,'Tipo Projeto'!$A$3:$B$35,2,0),0)</f>
        <v>0</v>
      </c>
      <c r="D1162" s="47"/>
      <c r="E1162" s="47"/>
      <c r="F1162" s="48"/>
      <c r="G1162" s="47"/>
      <c r="H1162" s="49"/>
      <c r="I1162" s="50"/>
      <c r="J1162" s="51"/>
      <c r="K1162" s="52"/>
      <c r="L1162" s="53" t="str">
        <f t="shared" si="247"/>
        <v/>
      </c>
      <c r="M1162" s="48" t="str">
        <f t="shared" si="248"/>
        <v/>
      </c>
      <c r="N1162" s="54" t="str">
        <f t="shared" si="249"/>
        <v/>
      </c>
      <c r="O1162" s="55">
        <f t="shared" si="250"/>
        <v>0</v>
      </c>
      <c r="P1162" s="55">
        <f t="shared" si="251"/>
        <v>0</v>
      </c>
      <c r="Q1162" s="54">
        <f t="shared" si="252"/>
        <v>0</v>
      </c>
      <c r="R1162" s="47"/>
      <c r="T1162" s="57"/>
      <c r="U1162" s="45"/>
      <c r="V1162" s="46">
        <f>IF(U1162&lt;&gt;"",VLOOKUP(U1162,'Tipo Projeto'!$A$3:$B$35,2,0),0)</f>
        <v>0</v>
      </c>
      <c r="W1162" s="47"/>
      <c r="X1162" s="49"/>
      <c r="Y1162" s="50"/>
      <c r="Z1162" s="51"/>
      <c r="AA1162" s="52"/>
      <c r="AB1162" s="53" t="str">
        <f t="shared" si="253"/>
        <v/>
      </c>
      <c r="AC1162" s="48" t="str">
        <f t="shared" si="254"/>
        <v/>
      </c>
      <c r="AD1162" s="54" t="str">
        <f t="shared" si="255"/>
        <v/>
      </c>
      <c r="AE1162" s="55">
        <f t="shared" si="256"/>
        <v>0</v>
      </c>
      <c r="AF1162" s="55">
        <f t="shared" si="257"/>
        <v>0</v>
      </c>
      <c r="AG1162" s="58">
        <f t="shared" si="258"/>
        <v>0</v>
      </c>
      <c r="AH1162" s="47"/>
      <c r="AJ1162" s="47"/>
      <c r="AL1162" s="47"/>
      <c r="AM1162" s="47" t="str">
        <f t="shared" si="259"/>
        <v/>
      </c>
    </row>
    <row r="1163" spans="1:39" s="56" customFormat="1" ht="24.75" customHeight="1">
      <c r="A1163" s="44"/>
      <c r="B1163" s="45"/>
      <c r="C1163" s="46">
        <f>IF(B1163&lt;&gt;"",VLOOKUP(B1163,'Tipo Projeto'!$A$3:$B$35,2,0),0)</f>
        <v>0</v>
      </c>
      <c r="D1163" s="47"/>
      <c r="E1163" s="47"/>
      <c r="F1163" s="48"/>
      <c r="G1163" s="47"/>
      <c r="H1163" s="49"/>
      <c r="I1163" s="50"/>
      <c r="J1163" s="51"/>
      <c r="K1163" s="52"/>
      <c r="L1163" s="53" t="str">
        <f t="shared" si="247"/>
        <v/>
      </c>
      <c r="M1163" s="48" t="str">
        <f t="shared" si="248"/>
        <v/>
      </c>
      <c r="N1163" s="54" t="str">
        <f t="shared" si="249"/>
        <v/>
      </c>
      <c r="O1163" s="55">
        <f t="shared" si="250"/>
        <v>0</v>
      </c>
      <c r="P1163" s="55">
        <f t="shared" si="251"/>
        <v>0</v>
      </c>
      <c r="Q1163" s="54">
        <f t="shared" si="252"/>
        <v>0</v>
      </c>
      <c r="R1163" s="47"/>
      <c r="T1163" s="57"/>
      <c r="U1163" s="45"/>
      <c r="V1163" s="46">
        <f>IF(U1163&lt;&gt;"",VLOOKUP(U1163,'Tipo Projeto'!$A$3:$B$35,2,0),0)</f>
        <v>0</v>
      </c>
      <c r="W1163" s="47"/>
      <c r="X1163" s="49"/>
      <c r="Y1163" s="50"/>
      <c r="Z1163" s="51"/>
      <c r="AA1163" s="52"/>
      <c r="AB1163" s="53" t="str">
        <f t="shared" si="253"/>
        <v/>
      </c>
      <c r="AC1163" s="48" t="str">
        <f t="shared" si="254"/>
        <v/>
      </c>
      <c r="AD1163" s="54" t="str">
        <f t="shared" si="255"/>
        <v/>
      </c>
      <c r="AE1163" s="55">
        <f t="shared" si="256"/>
        <v>0</v>
      </c>
      <c r="AF1163" s="55">
        <f t="shared" si="257"/>
        <v>0</v>
      </c>
      <c r="AG1163" s="58">
        <f t="shared" si="258"/>
        <v>0</v>
      </c>
      <c r="AH1163" s="47"/>
      <c r="AJ1163" s="47"/>
      <c r="AL1163" s="47"/>
      <c r="AM1163" s="47" t="str">
        <f t="shared" si="259"/>
        <v/>
      </c>
    </row>
    <row r="1164" spans="1:39" s="56" customFormat="1" ht="24.75" customHeight="1">
      <c r="A1164" s="44"/>
      <c r="B1164" s="45"/>
      <c r="C1164" s="46">
        <f>IF(B1164&lt;&gt;"",VLOOKUP(B1164,'Tipo Projeto'!$A$3:$B$35,2,0),0)</f>
        <v>0</v>
      </c>
      <c r="D1164" s="47"/>
      <c r="E1164" s="47"/>
      <c r="F1164" s="48"/>
      <c r="G1164" s="47"/>
      <c r="H1164" s="49"/>
      <c r="I1164" s="50"/>
      <c r="J1164" s="51"/>
      <c r="K1164" s="52"/>
      <c r="L1164" s="53" t="str">
        <f t="shared" si="247"/>
        <v/>
      </c>
      <c r="M1164" s="48" t="str">
        <f t="shared" si="248"/>
        <v/>
      </c>
      <c r="N1164" s="54" t="str">
        <f t="shared" si="249"/>
        <v/>
      </c>
      <c r="O1164" s="55">
        <f t="shared" si="250"/>
        <v>0</v>
      </c>
      <c r="P1164" s="55">
        <f t="shared" si="251"/>
        <v>0</v>
      </c>
      <c r="Q1164" s="54">
        <f t="shared" si="252"/>
        <v>0</v>
      </c>
      <c r="R1164" s="47"/>
      <c r="T1164" s="57"/>
      <c r="U1164" s="45"/>
      <c r="V1164" s="46">
        <f>IF(U1164&lt;&gt;"",VLOOKUP(U1164,'Tipo Projeto'!$A$3:$B$35,2,0),0)</f>
        <v>0</v>
      </c>
      <c r="W1164" s="47"/>
      <c r="X1164" s="49"/>
      <c r="Y1164" s="50"/>
      <c r="Z1164" s="51"/>
      <c r="AA1164" s="52"/>
      <c r="AB1164" s="53" t="str">
        <f t="shared" si="253"/>
        <v/>
      </c>
      <c r="AC1164" s="48" t="str">
        <f t="shared" si="254"/>
        <v/>
      </c>
      <c r="AD1164" s="54" t="str">
        <f t="shared" si="255"/>
        <v/>
      </c>
      <c r="AE1164" s="55">
        <f t="shared" si="256"/>
        <v>0</v>
      </c>
      <c r="AF1164" s="55">
        <f t="shared" si="257"/>
        <v>0</v>
      </c>
      <c r="AG1164" s="58">
        <f t="shared" si="258"/>
        <v>0</v>
      </c>
      <c r="AH1164" s="47"/>
      <c r="AJ1164" s="47"/>
      <c r="AL1164" s="47"/>
      <c r="AM1164" s="47" t="str">
        <f t="shared" si="259"/>
        <v/>
      </c>
    </row>
    <row r="1165" spans="1:39" s="56" customFormat="1" ht="24.75" customHeight="1">
      <c r="A1165" s="44"/>
      <c r="B1165" s="45"/>
      <c r="C1165" s="46">
        <f>IF(B1165&lt;&gt;"",VLOOKUP(B1165,'Tipo Projeto'!$A$3:$B$35,2,0),0)</f>
        <v>0</v>
      </c>
      <c r="D1165" s="47"/>
      <c r="E1165" s="47"/>
      <c r="F1165" s="48"/>
      <c r="G1165" s="47"/>
      <c r="H1165" s="49"/>
      <c r="I1165" s="50"/>
      <c r="J1165" s="51"/>
      <c r="K1165" s="52"/>
      <c r="L1165" s="53" t="str">
        <f t="shared" si="247"/>
        <v/>
      </c>
      <c r="M1165" s="48" t="str">
        <f t="shared" si="248"/>
        <v/>
      </c>
      <c r="N1165" s="54" t="str">
        <f t="shared" si="249"/>
        <v/>
      </c>
      <c r="O1165" s="55">
        <f t="shared" si="250"/>
        <v>0</v>
      </c>
      <c r="P1165" s="55">
        <f t="shared" si="251"/>
        <v>0</v>
      </c>
      <c r="Q1165" s="54">
        <f t="shared" si="252"/>
        <v>0</v>
      </c>
      <c r="R1165" s="47"/>
      <c r="T1165" s="57"/>
      <c r="U1165" s="45"/>
      <c r="V1165" s="46">
        <f>IF(U1165&lt;&gt;"",VLOOKUP(U1165,'Tipo Projeto'!$A$3:$B$35,2,0),0)</f>
        <v>0</v>
      </c>
      <c r="W1165" s="47"/>
      <c r="X1165" s="49"/>
      <c r="Y1165" s="50"/>
      <c r="Z1165" s="51"/>
      <c r="AA1165" s="52"/>
      <c r="AB1165" s="53" t="str">
        <f t="shared" si="253"/>
        <v/>
      </c>
      <c r="AC1165" s="48" t="str">
        <f t="shared" si="254"/>
        <v/>
      </c>
      <c r="AD1165" s="54" t="str">
        <f t="shared" si="255"/>
        <v/>
      </c>
      <c r="AE1165" s="55">
        <f t="shared" si="256"/>
        <v>0</v>
      </c>
      <c r="AF1165" s="55">
        <f t="shared" si="257"/>
        <v>0</v>
      </c>
      <c r="AG1165" s="58">
        <f t="shared" si="258"/>
        <v>0</v>
      </c>
      <c r="AH1165" s="47"/>
      <c r="AJ1165" s="47"/>
      <c r="AL1165" s="47"/>
      <c r="AM1165" s="47" t="str">
        <f t="shared" si="259"/>
        <v/>
      </c>
    </row>
    <row r="1166" spans="1:39" s="56" customFormat="1" ht="24.75" customHeight="1">
      <c r="A1166" s="44"/>
      <c r="B1166" s="45"/>
      <c r="C1166" s="46">
        <f>IF(B1166&lt;&gt;"",VLOOKUP(B1166,'Tipo Projeto'!$A$3:$B$35,2,0),0)</f>
        <v>0</v>
      </c>
      <c r="D1166" s="47"/>
      <c r="E1166" s="47"/>
      <c r="F1166" s="48"/>
      <c r="G1166" s="47"/>
      <c r="H1166" s="49"/>
      <c r="I1166" s="50"/>
      <c r="J1166" s="51"/>
      <c r="K1166" s="52"/>
      <c r="L1166" s="53" t="str">
        <f t="shared" si="247"/>
        <v/>
      </c>
      <c r="M1166" s="48" t="str">
        <f t="shared" si="248"/>
        <v/>
      </c>
      <c r="N1166" s="54" t="str">
        <f t="shared" si="249"/>
        <v/>
      </c>
      <c r="O1166" s="55">
        <f t="shared" si="250"/>
        <v>0</v>
      </c>
      <c r="P1166" s="55">
        <f t="shared" si="251"/>
        <v>0</v>
      </c>
      <c r="Q1166" s="54">
        <f t="shared" si="252"/>
        <v>0</v>
      </c>
      <c r="R1166" s="47"/>
      <c r="T1166" s="57"/>
      <c r="U1166" s="45"/>
      <c r="V1166" s="46">
        <f>IF(U1166&lt;&gt;"",VLOOKUP(U1166,'Tipo Projeto'!$A$3:$B$35,2,0),0)</f>
        <v>0</v>
      </c>
      <c r="W1166" s="47"/>
      <c r="X1166" s="49"/>
      <c r="Y1166" s="50"/>
      <c r="Z1166" s="51"/>
      <c r="AA1166" s="52"/>
      <c r="AB1166" s="53" t="str">
        <f t="shared" si="253"/>
        <v/>
      </c>
      <c r="AC1166" s="48" t="str">
        <f t="shared" si="254"/>
        <v/>
      </c>
      <c r="AD1166" s="54" t="str">
        <f t="shared" si="255"/>
        <v/>
      </c>
      <c r="AE1166" s="55">
        <f t="shared" si="256"/>
        <v>0</v>
      </c>
      <c r="AF1166" s="55">
        <f t="shared" si="257"/>
        <v>0</v>
      </c>
      <c r="AG1166" s="58">
        <f t="shared" si="258"/>
        <v>0</v>
      </c>
      <c r="AH1166" s="47"/>
      <c r="AJ1166" s="47"/>
      <c r="AL1166" s="47"/>
      <c r="AM1166" s="47" t="str">
        <f t="shared" si="259"/>
        <v/>
      </c>
    </row>
    <row r="1167" spans="1:39" s="56" customFormat="1" ht="24.75" customHeight="1">
      <c r="A1167" s="44"/>
      <c r="B1167" s="45"/>
      <c r="C1167" s="46">
        <f>IF(B1167&lt;&gt;"",VLOOKUP(B1167,'Tipo Projeto'!$A$3:$B$35,2,0),0)</f>
        <v>0</v>
      </c>
      <c r="D1167" s="47"/>
      <c r="E1167" s="47"/>
      <c r="F1167" s="48"/>
      <c r="G1167" s="47"/>
      <c r="H1167" s="49"/>
      <c r="I1167" s="50"/>
      <c r="J1167" s="51"/>
      <c r="K1167" s="52"/>
      <c r="L1167" s="53" t="str">
        <f t="shared" si="247"/>
        <v/>
      </c>
      <c r="M1167" s="48" t="str">
        <f t="shared" si="248"/>
        <v/>
      </c>
      <c r="N1167" s="54" t="str">
        <f t="shared" si="249"/>
        <v/>
      </c>
      <c r="O1167" s="55">
        <f t="shared" si="250"/>
        <v>0</v>
      </c>
      <c r="P1167" s="55">
        <f t="shared" si="251"/>
        <v>0</v>
      </c>
      <c r="Q1167" s="54">
        <f t="shared" si="252"/>
        <v>0</v>
      </c>
      <c r="R1167" s="47"/>
      <c r="T1167" s="57"/>
      <c r="U1167" s="45"/>
      <c r="V1167" s="46">
        <f>IF(U1167&lt;&gt;"",VLOOKUP(U1167,'Tipo Projeto'!$A$3:$B$35,2,0),0)</f>
        <v>0</v>
      </c>
      <c r="W1167" s="47"/>
      <c r="X1167" s="49"/>
      <c r="Y1167" s="50"/>
      <c r="Z1167" s="51"/>
      <c r="AA1167" s="52"/>
      <c r="AB1167" s="53" t="str">
        <f t="shared" si="253"/>
        <v/>
      </c>
      <c r="AC1167" s="48" t="str">
        <f t="shared" si="254"/>
        <v/>
      </c>
      <c r="AD1167" s="54" t="str">
        <f t="shared" si="255"/>
        <v/>
      </c>
      <c r="AE1167" s="55">
        <f t="shared" si="256"/>
        <v>0</v>
      </c>
      <c r="AF1167" s="55">
        <f t="shared" si="257"/>
        <v>0</v>
      </c>
      <c r="AG1167" s="58">
        <f t="shared" si="258"/>
        <v>0</v>
      </c>
      <c r="AH1167" s="47"/>
      <c r="AJ1167" s="47"/>
      <c r="AL1167" s="47"/>
      <c r="AM1167" s="47" t="str">
        <f t="shared" si="259"/>
        <v/>
      </c>
    </row>
    <row r="1168" spans="1:39" s="56" customFormat="1" ht="24.75" customHeight="1">
      <c r="A1168" s="44"/>
      <c r="B1168" s="45"/>
      <c r="C1168" s="46">
        <f>IF(B1168&lt;&gt;"",VLOOKUP(B1168,'Tipo Projeto'!$A$3:$B$35,2,0),0)</f>
        <v>0</v>
      </c>
      <c r="D1168" s="47"/>
      <c r="E1168" s="47"/>
      <c r="F1168" s="48"/>
      <c r="G1168" s="47"/>
      <c r="H1168" s="49"/>
      <c r="I1168" s="50"/>
      <c r="J1168" s="51"/>
      <c r="K1168" s="52"/>
      <c r="L1168" s="53" t="str">
        <f t="shared" si="247"/>
        <v/>
      </c>
      <c r="M1168" s="48" t="str">
        <f t="shared" si="248"/>
        <v/>
      </c>
      <c r="N1168" s="54" t="str">
        <f t="shared" si="249"/>
        <v/>
      </c>
      <c r="O1168" s="55">
        <f t="shared" si="250"/>
        <v>0</v>
      </c>
      <c r="P1168" s="55">
        <f t="shared" si="251"/>
        <v>0</v>
      </c>
      <c r="Q1168" s="54">
        <f t="shared" si="252"/>
        <v>0</v>
      </c>
      <c r="R1168" s="47"/>
      <c r="T1168" s="57"/>
      <c r="U1168" s="45"/>
      <c r="V1168" s="46">
        <f>IF(U1168&lt;&gt;"",VLOOKUP(U1168,'Tipo Projeto'!$A$3:$B$35,2,0),0)</f>
        <v>0</v>
      </c>
      <c r="W1168" s="47"/>
      <c r="X1168" s="49"/>
      <c r="Y1168" s="50"/>
      <c r="Z1168" s="51"/>
      <c r="AA1168" s="52"/>
      <c r="AB1168" s="53" t="str">
        <f t="shared" si="253"/>
        <v/>
      </c>
      <c r="AC1168" s="48" t="str">
        <f t="shared" si="254"/>
        <v/>
      </c>
      <c r="AD1168" s="54" t="str">
        <f t="shared" si="255"/>
        <v/>
      </c>
      <c r="AE1168" s="55">
        <f t="shared" si="256"/>
        <v>0</v>
      </c>
      <c r="AF1168" s="55">
        <f t="shared" si="257"/>
        <v>0</v>
      </c>
      <c r="AG1168" s="58">
        <f t="shared" si="258"/>
        <v>0</v>
      </c>
      <c r="AH1168" s="47"/>
      <c r="AJ1168" s="47"/>
      <c r="AL1168" s="47"/>
      <c r="AM1168" s="47" t="str">
        <f t="shared" si="259"/>
        <v/>
      </c>
    </row>
    <row r="1169" spans="1:39" s="56" customFormat="1" ht="24.75" customHeight="1">
      <c r="A1169" s="44"/>
      <c r="B1169" s="45"/>
      <c r="C1169" s="46">
        <f>IF(B1169&lt;&gt;"",VLOOKUP(B1169,'Tipo Projeto'!$A$3:$B$35,2,0),0)</f>
        <v>0</v>
      </c>
      <c r="D1169" s="47"/>
      <c r="E1169" s="47"/>
      <c r="F1169" s="48"/>
      <c r="G1169" s="47"/>
      <c r="H1169" s="49"/>
      <c r="I1169" s="50"/>
      <c r="J1169" s="51"/>
      <c r="K1169" s="52"/>
      <c r="L1169" s="53" t="str">
        <f t="shared" si="247"/>
        <v/>
      </c>
      <c r="M1169" s="48" t="str">
        <f t="shared" si="248"/>
        <v/>
      </c>
      <c r="N1169" s="54" t="str">
        <f t="shared" si="249"/>
        <v/>
      </c>
      <c r="O1169" s="55">
        <f t="shared" si="250"/>
        <v>0</v>
      </c>
      <c r="P1169" s="55">
        <f t="shared" si="251"/>
        <v>0</v>
      </c>
      <c r="Q1169" s="54">
        <f t="shared" si="252"/>
        <v>0</v>
      </c>
      <c r="R1169" s="47"/>
      <c r="T1169" s="57"/>
      <c r="U1169" s="45"/>
      <c r="V1169" s="46">
        <f>IF(U1169&lt;&gt;"",VLOOKUP(U1169,'Tipo Projeto'!$A$3:$B$35,2,0),0)</f>
        <v>0</v>
      </c>
      <c r="W1169" s="47"/>
      <c r="X1169" s="49"/>
      <c r="Y1169" s="50"/>
      <c r="Z1169" s="51"/>
      <c r="AA1169" s="52"/>
      <c r="AB1169" s="53" t="str">
        <f t="shared" si="253"/>
        <v/>
      </c>
      <c r="AC1169" s="48" t="str">
        <f t="shared" si="254"/>
        <v/>
      </c>
      <c r="AD1169" s="54" t="str">
        <f t="shared" si="255"/>
        <v/>
      </c>
      <c r="AE1169" s="55">
        <f t="shared" si="256"/>
        <v>0</v>
      </c>
      <c r="AF1169" s="55">
        <f t="shared" si="257"/>
        <v>0</v>
      </c>
      <c r="AG1169" s="58">
        <f t="shared" si="258"/>
        <v>0</v>
      </c>
      <c r="AH1169" s="47"/>
      <c r="AJ1169" s="47"/>
      <c r="AL1169" s="47"/>
      <c r="AM1169" s="47" t="str">
        <f t="shared" si="259"/>
        <v/>
      </c>
    </row>
    <row r="1170" spans="1:39" s="56" customFormat="1" ht="24.75" customHeight="1">
      <c r="A1170" s="44"/>
      <c r="B1170" s="45"/>
      <c r="C1170" s="46">
        <f>IF(B1170&lt;&gt;"",VLOOKUP(B1170,'Tipo Projeto'!$A$3:$B$35,2,0),0)</f>
        <v>0</v>
      </c>
      <c r="D1170" s="47"/>
      <c r="E1170" s="47"/>
      <c r="F1170" s="48"/>
      <c r="G1170" s="47"/>
      <c r="H1170" s="49"/>
      <c r="I1170" s="50"/>
      <c r="J1170" s="51"/>
      <c r="K1170" s="52"/>
      <c r="L1170" s="53" t="str">
        <f t="shared" si="247"/>
        <v/>
      </c>
      <c r="M1170" s="48" t="str">
        <f t="shared" si="248"/>
        <v/>
      </c>
      <c r="N1170" s="54" t="str">
        <f t="shared" si="249"/>
        <v/>
      </c>
      <c r="O1170" s="55">
        <f t="shared" si="250"/>
        <v>0</v>
      </c>
      <c r="P1170" s="55">
        <f t="shared" si="251"/>
        <v>0</v>
      </c>
      <c r="Q1170" s="54">
        <f t="shared" si="252"/>
        <v>0</v>
      </c>
      <c r="R1170" s="47"/>
      <c r="T1170" s="57"/>
      <c r="U1170" s="45"/>
      <c r="V1170" s="46">
        <f>IF(U1170&lt;&gt;"",VLOOKUP(U1170,'Tipo Projeto'!$A$3:$B$35,2,0),0)</f>
        <v>0</v>
      </c>
      <c r="W1170" s="47"/>
      <c r="X1170" s="49"/>
      <c r="Y1170" s="50"/>
      <c r="Z1170" s="51"/>
      <c r="AA1170" s="52"/>
      <c r="AB1170" s="53" t="str">
        <f t="shared" si="253"/>
        <v/>
      </c>
      <c r="AC1170" s="48" t="str">
        <f t="shared" si="254"/>
        <v/>
      </c>
      <c r="AD1170" s="54" t="str">
        <f t="shared" si="255"/>
        <v/>
      </c>
      <c r="AE1170" s="55">
        <f t="shared" si="256"/>
        <v>0</v>
      </c>
      <c r="AF1170" s="55">
        <f t="shared" si="257"/>
        <v>0</v>
      </c>
      <c r="AG1170" s="58">
        <f t="shared" si="258"/>
        <v>0</v>
      </c>
      <c r="AH1170" s="47"/>
      <c r="AJ1170" s="47"/>
      <c r="AL1170" s="47"/>
      <c r="AM1170" s="47" t="str">
        <f t="shared" si="259"/>
        <v/>
      </c>
    </row>
    <row r="1171" spans="1:39" s="56" customFormat="1" ht="24.75" customHeight="1">
      <c r="A1171" s="44"/>
      <c r="B1171" s="45"/>
      <c r="C1171" s="46">
        <f>IF(B1171&lt;&gt;"",VLOOKUP(B1171,'Tipo Projeto'!$A$3:$B$35,2,0),0)</f>
        <v>0</v>
      </c>
      <c r="D1171" s="47"/>
      <c r="E1171" s="47"/>
      <c r="F1171" s="48"/>
      <c r="G1171" s="47"/>
      <c r="H1171" s="49"/>
      <c r="I1171" s="50"/>
      <c r="J1171" s="51"/>
      <c r="K1171" s="52"/>
      <c r="L1171" s="53" t="str">
        <f t="shared" si="247"/>
        <v/>
      </c>
      <c r="M1171" s="48" t="str">
        <f t="shared" si="248"/>
        <v/>
      </c>
      <c r="N1171" s="54" t="str">
        <f t="shared" si="249"/>
        <v/>
      </c>
      <c r="O1171" s="55">
        <f t="shared" si="250"/>
        <v>0</v>
      </c>
      <c r="P1171" s="55">
        <f t="shared" si="251"/>
        <v>0</v>
      </c>
      <c r="Q1171" s="54">
        <f t="shared" si="252"/>
        <v>0</v>
      </c>
      <c r="R1171" s="47"/>
      <c r="T1171" s="57"/>
      <c r="U1171" s="45"/>
      <c r="V1171" s="46">
        <f>IF(U1171&lt;&gt;"",VLOOKUP(U1171,'Tipo Projeto'!$A$3:$B$35,2,0),0)</f>
        <v>0</v>
      </c>
      <c r="W1171" s="47"/>
      <c r="X1171" s="49"/>
      <c r="Y1171" s="50"/>
      <c r="Z1171" s="51"/>
      <c r="AA1171" s="52"/>
      <c r="AB1171" s="53" t="str">
        <f t="shared" si="253"/>
        <v/>
      </c>
      <c r="AC1171" s="48" t="str">
        <f t="shared" si="254"/>
        <v/>
      </c>
      <c r="AD1171" s="54" t="str">
        <f t="shared" si="255"/>
        <v/>
      </c>
      <c r="AE1171" s="55">
        <f t="shared" si="256"/>
        <v>0</v>
      </c>
      <c r="AF1171" s="55">
        <f t="shared" si="257"/>
        <v>0</v>
      </c>
      <c r="AG1171" s="58">
        <f t="shared" si="258"/>
        <v>0</v>
      </c>
      <c r="AH1171" s="47"/>
      <c r="AJ1171" s="47"/>
      <c r="AL1171" s="47"/>
      <c r="AM1171" s="47" t="str">
        <f t="shared" si="259"/>
        <v/>
      </c>
    </row>
    <row r="1172" spans="1:39" s="56" customFormat="1" ht="24.75" customHeight="1">
      <c r="A1172" s="44"/>
      <c r="B1172" s="45"/>
      <c r="C1172" s="46">
        <f>IF(B1172&lt;&gt;"",VLOOKUP(B1172,'Tipo Projeto'!$A$3:$B$35,2,0),0)</f>
        <v>0</v>
      </c>
      <c r="D1172" s="47"/>
      <c r="E1172" s="47"/>
      <c r="F1172" s="48"/>
      <c r="G1172" s="47"/>
      <c r="H1172" s="49"/>
      <c r="I1172" s="50"/>
      <c r="J1172" s="51"/>
      <c r="K1172" s="52"/>
      <c r="L1172" s="53" t="str">
        <f t="shared" si="247"/>
        <v/>
      </c>
      <c r="M1172" s="48" t="str">
        <f t="shared" si="248"/>
        <v/>
      </c>
      <c r="N1172" s="54" t="str">
        <f t="shared" si="249"/>
        <v/>
      </c>
      <c r="O1172" s="55">
        <f t="shared" si="250"/>
        <v>0</v>
      </c>
      <c r="P1172" s="55">
        <f t="shared" si="251"/>
        <v>0</v>
      </c>
      <c r="Q1172" s="54">
        <f t="shared" si="252"/>
        <v>0</v>
      </c>
      <c r="R1172" s="47"/>
      <c r="T1172" s="57"/>
      <c r="U1172" s="45"/>
      <c r="V1172" s="46">
        <f>IF(U1172&lt;&gt;"",VLOOKUP(U1172,'Tipo Projeto'!$A$3:$B$35,2,0),0)</f>
        <v>0</v>
      </c>
      <c r="W1172" s="47"/>
      <c r="X1172" s="49"/>
      <c r="Y1172" s="50"/>
      <c r="Z1172" s="51"/>
      <c r="AA1172" s="52"/>
      <c r="AB1172" s="53" t="str">
        <f t="shared" si="253"/>
        <v/>
      </c>
      <c r="AC1172" s="48" t="str">
        <f t="shared" si="254"/>
        <v/>
      </c>
      <c r="AD1172" s="54" t="str">
        <f t="shared" si="255"/>
        <v/>
      </c>
      <c r="AE1172" s="55">
        <f t="shared" si="256"/>
        <v>0</v>
      </c>
      <c r="AF1172" s="55">
        <f t="shared" si="257"/>
        <v>0</v>
      </c>
      <c r="AG1172" s="58">
        <f t="shared" si="258"/>
        <v>0</v>
      </c>
      <c r="AH1172" s="47"/>
      <c r="AJ1172" s="47"/>
      <c r="AL1172" s="47"/>
      <c r="AM1172" s="47" t="str">
        <f t="shared" si="259"/>
        <v/>
      </c>
    </row>
    <row r="1173" spans="1:39" s="56" customFormat="1" ht="24.75" customHeight="1">
      <c r="A1173" s="44"/>
      <c r="B1173" s="45"/>
      <c r="C1173" s="46">
        <f>IF(B1173&lt;&gt;"",VLOOKUP(B1173,'Tipo Projeto'!$A$3:$B$35,2,0),0)</f>
        <v>0</v>
      </c>
      <c r="D1173" s="47"/>
      <c r="E1173" s="47"/>
      <c r="F1173" s="48"/>
      <c r="G1173" s="47"/>
      <c r="H1173" s="49"/>
      <c r="I1173" s="50"/>
      <c r="J1173" s="51"/>
      <c r="K1173" s="52"/>
      <c r="L1173" s="53" t="str">
        <f t="shared" si="247"/>
        <v/>
      </c>
      <c r="M1173" s="48" t="str">
        <f t="shared" si="248"/>
        <v/>
      </c>
      <c r="N1173" s="54" t="str">
        <f t="shared" si="249"/>
        <v/>
      </c>
      <c r="O1173" s="55">
        <f t="shared" si="250"/>
        <v>0</v>
      </c>
      <c r="P1173" s="55">
        <f t="shared" si="251"/>
        <v>0</v>
      </c>
      <c r="Q1173" s="54">
        <f t="shared" si="252"/>
        <v>0</v>
      </c>
      <c r="R1173" s="47"/>
      <c r="T1173" s="57"/>
      <c r="U1173" s="45"/>
      <c r="V1173" s="46">
        <f>IF(U1173&lt;&gt;"",VLOOKUP(U1173,'Tipo Projeto'!$A$3:$B$35,2,0),0)</f>
        <v>0</v>
      </c>
      <c r="W1173" s="47"/>
      <c r="X1173" s="49"/>
      <c r="Y1173" s="50"/>
      <c r="Z1173" s="51"/>
      <c r="AA1173" s="52"/>
      <c r="AB1173" s="53" t="str">
        <f t="shared" si="253"/>
        <v/>
      </c>
      <c r="AC1173" s="48" t="str">
        <f t="shared" si="254"/>
        <v/>
      </c>
      <c r="AD1173" s="54" t="str">
        <f t="shared" si="255"/>
        <v/>
      </c>
      <c r="AE1173" s="55">
        <f t="shared" si="256"/>
        <v>0</v>
      </c>
      <c r="AF1173" s="55">
        <f t="shared" si="257"/>
        <v>0</v>
      </c>
      <c r="AG1173" s="58">
        <f t="shared" si="258"/>
        <v>0</v>
      </c>
      <c r="AH1173" s="47"/>
      <c r="AJ1173" s="47"/>
      <c r="AL1173" s="47"/>
      <c r="AM1173" s="47" t="str">
        <f t="shared" si="259"/>
        <v/>
      </c>
    </row>
    <row r="1174" spans="1:39" s="56" customFormat="1" ht="24.75" customHeight="1">
      <c r="A1174" s="44"/>
      <c r="B1174" s="45"/>
      <c r="C1174" s="46">
        <f>IF(B1174&lt;&gt;"",VLOOKUP(B1174,'Tipo Projeto'!$A$3:$B$35,2,0),0)</f>
        <v>0</v>
      </c>
      <c r="D1174" s="47"/>
      <c r="E1174" s="47"/>
      <c r="F1174" s="48"/>
      <c r="G1174" s="47"/>
      <c r="H1174" s="49"/>
      <c r="I1174" s="50"/>
      <c r="J1174" s="51"/>
      <c r="K1174" s="52"/>
      <c r="L1174" s="53" t="str">
        <f t="shared" si="247"/>
        <v/>
      </c>
      <c r="M1174" s="48" t="str">
        <f t="shared" si="248"/>
        <v/>
      </c>
      <c r="N1174" s="54" t="str">
        <f t="shared" si="249"/>
        <v/>
      </c>
      <c r="O1174" s="55">
        <f t="shared" si="250"/>
        <v>0</v>
      </c>
      <c r="P1174" s="55">
        <f t="shared" si="251"/>
        <v>0</v>
      </c>
      <c r="Q1174" s="54">
        <f t="shared" si="252"/>
        <v>0</v>
      </c>
      <c r="R1174" s="47"/>
      <c r="T1174" s="57"/>
      <c r="U1174" s="45"/>
      <c r="V1174" s="46">
        <f>IF(U1174&lt;&gt;"",VLOOKUP(U1174,'Tipo Projeto'!$A$3:$B$35,2,0),0)</f>
        <v>0</v>
      </c>
      <c r="W1174" s="47"/>
      <c r="X1174" s="49"/>
      <c r="Y1174" s="50"/>
      <c r="Z1174" s="51"/>
      <c r="AA1174" s="52"/>
      <c r="AB1174" s="53" t="str">
        <f t="shared" si="253"/>
        <v/>
      </c>
      <c r="AC1174" s="48" t="str">
        <f t="shared" si="254"/>
        <v/>
      </c>
      <c r="AD1174" s="54" t="str">
        <f t="shared" si="255"/>
        <v/>
      </c>
      <c r="AE1174" s="55">
        <f t="shared" si="256"/>
        <v>0</v>
      </c>
      <c r="AF1174" s="55">
        <f t="shared" si="257"/>
        <v>0</v>
      </c>
      <c r="AG1174" s="58">
        <f t="shared" si="258"/>
        <v>0</v>
      </c>
      <c r="AH1174" s="47"/>
      <c r="AJ1174" s="47"/>
      <c r="AL1174" s="47"/>
      <c r="AM1174" s="47" t="str">
        <f t="shared" si="259"/>
        <v/>
      </c>
    </row>
    <row r="1175" spans="1:39" s="56" customFormat="1" ht="24.75" customHeight="1">
      <c r="A1175" s="44"/>
      <c r="B1175" s="45"/>
      <c r="C1175" s="46">
        <f>IF(B1175&lt;&gt;"",VLOOKUP(B1175,'Tipo Projeto'!$A$3:$B$35,2,0),0)</f>
        <v>0</v>
      </c>
      <c r="D1175" s="47"/>
      <c r="E1175" s="47"/>
      <c r="F1175" s="48"/>
      <c r="G1175" s="47"/>
      <c r="H1175" s="49"/>
      <c r="I1175" s="50"/>
      <c r="J1175" s="51"/>
      <c r="K1175" s="52"/>
      <c r="L1175" s="53" t="str">
        <f t="shared" si="247"/>
        <v/>
      </c>
      <c r="M1175" s="48" t="str">
        <f t="shared" si="248"/>
        <v/>
      </c>
      <c r="N1175" s="54" t="str">
        <f t="shared" si="249"/>
        <v/>
      </c>
      <c r="O1175" s="55">
        <f t="shared" si="250"/>
        <v>0</v>
      </c>
      <c r="P1175" s="55">
        <f t="shared" si="251"/>
        <v>0</v>
      </c>
      <c r="Q1175" s="54">
        <f t="shared" si="252"/>
        <v>0</v>
      </c>
      <c r="R1175" s="47"/>
      <c r="T1175" s="57"/>
      <c r="U1175" s="45"/>
      <c r="V1175" s="46">
        <f>IF(U1175&lt;&gt;"",VLOOKUP(U1175,'Tipo Projeto'!$A$3:$B$35,2,0),0)</f>
        <v>0</v>
      </c>
      <c r="W1175" s="47"/>
      <c r="X1175" s="49"/>
      <c r="Y1175" s="50"/>
      <c r="Z1175" s="51"/>
      <c r="AA1175" s="52"/>
      <c r="AB1175" s="53" t="str">
        <f t="shared" si="253"/>
        <v/>
      </c>
      <c r="AC1175" s="48" t="str">
        <f t="shared" si="254"/>
        <v/>
      </c>
      <c r="AD1175" s="54" t="str">
        <f t="shared" si="255"/>
        <v/>
      </c>
      <c r="AE1175" s="55">
        <f t="shared" si="256"/>
        <v>0</v>
      </c>
      <c r="AF1175" s="55">
        <f t="shared" si="257"/>
        <v>0</v>
      </c>
      <c r="AG1175" s="58">
        <f t="shared" si="258"/>
        <v>0</v>
      </c>
      <c r="AH1175" s="47"/>
      <c r="AJ1175" s="47"/>
      <c r="AL1175" s="47"/>
      <c r="AM1175" s="47" t="str">
        <f t="shared" si="259"/>
        <v/>
      </c>
    </row>
    <row r="1176" spans="1:39" s="56" customFormat="1" ht="24.75" customHeight="1">
      <c r="A1176" s="44"/>
      <c r="B1176" s="45"/>
      <c r="C1176" s="46">
        <f>IF(B1176&lt;&gt;"",VLOOKUP(B1176,'Tipo Projeto'!$A$3:$B$35,2,0),0)</f>
        <v>0</v>
      </c>
      <c r="D1176" s="47"/>
      <c r="E1176" s="47"/>
      <c r="F1176" s="48"/>
      <c r="G1176" s="47"/>
      <c r="H1176" s="49"/>
      <c r="I1176" s="50"/>
      <c r="J1176" s="51"/>
      <c r="K1176" s="52"/>
      <c r="L1176" s="53" t="str">
        <f t="shared" si="247"/>
        <v/>
      </c>
      <c r="M1176" s="48" t="str">
        <f t="shared" si="248"/>
        <v/>
      </c>
      <c r="N1176" s="54" t="str">
        <f t="shared" si="249"/>
        <v/>
      </c>
      <c r="O1176" s="55">
        <f t="shared" si="250"/>
        <v>0</v>
      </c>
      <c r="P1176" s="55">
        <f t="shared" si="251"/>
        <v>0</v>
      </c>
      <c r="Q1176" s="54">
        <f t="shared" si="252"/>
        <v>0</v>
      </c>
      <c r="R1176" s="47"/>
      <c r="T1176" s="57"/>
      <c r="U1176" s="45"/>
      <c r="V1176" s="46">
        <f>IF(U1176&lt;&gt;"",VLOOKUP(U1176,'Tipo Projeto'!$A$3:$B$35,2,0),0)</f>
        <v>0</v>
      </c>
      <c r="W1176" s="47"/>
      <c r="X1176" s="49"/>
      <c r="Y1176" s="50"/>
      <c r="Z1176" s="51"/>
      <c r="AA1176" s="52"/>
      <c r="AB1176" s="53" t="str">
        <f t="shared" si="253"/>
        <v/>
      </c>
      <c r="AC1176" s="48" t="str">
        <f t="shared" si="254"/>
        <v/>
      </c>
      <c r="AD1176" s="54" t="str">
        <f t="shared" si="255"/>
        <v/>
      </c>
      <c r="AE1176" s="55">
        <f t="shared" si="256"/>
        <v>0</v>
      </c>
      <c r="AF1176" s="55">
        <f t="shared" si="257"/>
        <v>0</v>
      </c>
      <c r="AG1176" s="58">
        <f t="shared" si="258"/>
        <v>0</v>
      </c>
      <c r="AH1176" s="47"/>
      <c r="AJ1176" s="47"/>
      <c r="AL1176" s="47"/>
      <c r="AM1176" s="47" t="str">
        <f t="shared" si="259"/>
        <v/>
      </c>
    </row>
    <row r="1177" spans="1:39" s="56" customFormat="1" ht="24.75" customHeight="1">
      <c r="A1177" s="44"/>
      <c r="B1177" s="45"/>
      <c r="C1177" s="46">
        <f>IF(B1177&lt;&gt;"",VLOOKUP(B1177,'Tipo Projeto'!$A$3:$B$35,2,0),0)</f>
        <v>0</v>
      </c>
      <c r="D1177" s="47"/>
      <c r="E1177" s="47"/>
      <c r="F1177" s="48"/>
      <c r="G1177" s="47"/>
      <c r="H1177" s="49"/>
      <c r="I1177" s="50"/>
      <c r="J1177" s="51"/>
      <c r="K1177" s="52"/>
      <c r="L1177" s="53" t="str">
        <f t="shared" si="247"/>
        <v/>
      </c>
      <c r="M1177" s="48" t="str">
        <f t="shared" si="248"/>
        <v/>
      </c>
      <c r="N1177" s="54" t="str">
        <f t="shared" si="249"/>
        <v/>
      </c>
      <c r="O1177" s="55">
        <f t="shared" si="250"/>
        <v>0</v>
      </c>
      <c r="P1177" s="55">
        <f t="shared" si="251"/>
        <v>0</v>
      </c>
      <c r="Q1177" s="54">
        <f t="shared" si="252"/>
        <v>0</v>
      </c>
      <c r="R1177" s="47"/>
      <c r="T1177" s="57"/>
      <c r="U1177" s="45"/>
      <c r="V1177" s="46">
        <f>IF(U1177&lt;&gt;"",VLOOKUP(U1177,'Tipo Projeto'!$A$3:$B$35,2,0),0)</f>
        <v>0</v>
      </c>
      <c r="W1177" s="47"/>
      <c r="X1177" s="49"/>
      <c r="Y1177" s="50"/>
      <c r="Z1177" s="51"/>
      <c r="AA1177" s="52"/>
      <c r="AB1177" s="53" t="str">
        <f t="shared" si="253"/>
        <v/>
      </c>
      <c r="AC1177" s="48" t="str">
        <f t="shared" si="254"/>
        <v/>
      </c>
      <c r="AD1177" s="54" t="str">
        <f t="shared" si="255"/>
        <v/>
      </c>
      <c r="AE1177" s="55">
        <f t="shared" si="256"/>
        <v>0</v>
      </c>
      <c r="AF1177" s="55">
        <f t="shared" si="257"/>
        <v>0</v>
      </c>
      <c r="AG1177" s="58">
        <f t="shared" si="258"/>
        <v>0</v>
      </c>
      <c r="AH1177" s="47"/>
      <c r="AJ1177" s="47"/>
      <c r="AL1177" s="47"/>
      <c r="AM1177" s="47" t="str">
        <f t="shared" si="259"/>
        <v/>
      </c>
    </row>
    <row r="1178" spans="1:39" s="56" customFormat="1" ht="24.75" customHeight="1">
      <c r="A1178" s="44"/>
      <c r="B1178" s="45"/>
      <c r="C1178" s="46">
        <f>IF(B1178&lt;&gt;"",VLOOKUP(B1178,'Tipo Projeto'!$A$3:$B$35,2,0),0)</f>
        <v>0</v>
      </c>
      <c r="D1178" s="47"/>
      <c r="E1178" s="47"/>
      <c r="F1178" s="48"/>
      <c r="G1178" s="47"/>
      <c r="H1178" s="49"/>
      <c r="I1178" s="50"/>
      <c r="J1178" s="51"/>
      <c r="K1178" s="52"/>
      <c r="L1178" s="53" t="str">
        <f t="shared" si="247"/>
        <v/>
      </c>
      <c r="M1178" s="48" t="str">
        <f t="shared" si="248"/>
        <v/>
      </c>
      <c r="N1178" s="54" t="str">
        <f t="shared" si="249"/>
        <v/>
      </c>
      <c r="O1178" s="55">
        <f t="shared" si="250"/>
        <v>0</v>
      </c>
      <c r="P1178" s="55">
        <f t="shared" si="251"/>
        <v>0</v>
      </c>
      <c r="Q1178" s="54">
        <f t="shared" si="252"/>
        <v>0</v>
      </c>
      <c r="R1178" s="47"/>
      <c r="T1178" s="57"/>
      <c r="U1178" s="45"/>
      <c r="V1178" s="46">
        <f>IF(U1178&lt;&gt;"",VLOOKUP(U1178,'Tipo Projeto'!$A$3:$B$35,2,0),0)</f>
        <v>0</v>
      </c>
      <c r="W1178" s="47"/>
      <c r="X1178" s="49"/>
      <c r="Y1178" s="50"/>
      <c r="Z1178" s="51"/>
      <c r="AA1178" s="52"/>
      <c r="AB1178" s="53" t="str">
        <f t="shared" si="253"/>
        <v/>
      </c>
      <c r="AC1178" s="48" t="str">
        <f t="shared" si="254"/>
        <v/>
      </c>
      <c r="AD1178" s="54" t="str">
        <f t="shared" si="255"/>
        <v/>
      </c>
      <c r="AE1178" s="55">
        <f t="shared" si="256"/>
        <v>0</v>
      </c>
      <c r="AF1178" s="55">
        <f t="shared" si="257"/>
        <v>0</v>
      </c>
      <c r="AG1178" s="58">
        <f t="shared" si="258"/>
        <v>0</v>
      </c>
      <c r="AH1178" s="47"/>
      <c r="AJ1178" s="47"/>
      <c r="AL1178" s="47"/>
      <c r="AM1178" s="47" t="str">
        <f t="shared" si="259"/>
        <v/>
      </c>
    </row>
    <row r="1179" spans="1:39" s="56" customFormat="1" ht="24.75" customHeight="1">
      <c r="A1179" s="44"/>
      <c r="B1179" s="45"/>
      <c r="C1179" s="46">
        <f>IF(B1179&lt;&gt;"",VLOOKUP(B1179,'Tipo Projeto'!$A$3:$B$35,2,0),0)</f>
        <v>0</v>
      </c>
      <c r="D1179" s="47"/>
      <c r="E1179" s="47"/>
      <c r="F1179" s="48"/>
      <c r="G1179" s="47"/>
      <c r="H1179" s="49"/>
      <c r="I1179" s="50"/>
      <c r="J1179" s="51"/>
      <c r="K1179" s="52"/>
      <c r="L1179" s="53" t="str">
        <f t="shared" si="247"/>
        <v/>
      </c>
      <c r="M1179" s="48" t="str">
        <f t="shared" si="248"/>
        <v/>
      </c>
      <c r="N1179" s="54" t="str">
        <f t="shared" si="249"/>
        <v/>
      </c>
      <c r="O1179" s="55">
        <f t="shared" si="250"/>
        <v>0</v>
      </c>
      <c r="P1179" s="55">
        <f t="shared" si="251"/>
        <v>0</v>
      </c>
      <c r="Q1179" s="54">
        <f t="shared" si="252"/>
        <v>0</v>
      </c>
      <c r="R1179" s="47"/>
      <c r="T1179" s="57"/>
      <c r="U1179" s="45"/>
      <c r="V1179" s="46">
        <f>IF(U1179&lt;&gt;"",VLOOKUP(U1179,'Tipo Projeto'!$A$3:$B$35,2,0),0)</f>
        <v>0</v>
      </c>
      <c r="W1179" s="47"/>
      <c r="X1179" s="49"/>
      <c r="Y1179" s="50"/>
      <c r="Z1179" s="51"/>
      <c r="AA1179" s="52"/>
      <c r="AB1179" s="53" t="str">
        <f t="shared" si="253"/>
        <v/>
      </c>
      <c r="AC1179" s="48" t="str">
        <f t="shared" si="254"/>
        <v/>
      </c>
      <c r="AD1179" s="54" t="str">
        <f t="shared" si="255"/>
        <v/>
      </c>
      <c r="AE1179" s="55">
        <f t="shared" si="256"/>
        <v>0</v>
      </c>
      <c r="AF1179" s="55">
        <f t="shared" si="257"/>
        <v>0</v>
      </c>
      <c r="AG1179" s="58">
        <f t="shared" si="258"/>
        <v>0</v>
      </c>
      <c r="AH1179" s="47"/>
      <c r="AJ1179" s="47"/>
      <c r="AL1179" s="47"/>
      <c r="AM1179" s="47" t="str">
        <f t="shared" si="259"/>
        <v/>
      </c>
    </row>
    <row r="1180" spans="1:39" s="56" customFormat="1" ht="24.75" customHeight="1">
      <c r="A1180" s="44"/>
      <c r="B1180" s="45"/>
      <c r="C1180" s="46">
        <f>IF(B1180&lt;&gt;"",VLOOKUP(B1180,'Tipo Projeto'!$A$3:$B$35,2,0),0)</f>
        <v>0</v>
      </c>
      <c r="D1180" s="47"/>
      <c r="E1180" s="47"/>
      <c r="F1180" s="48"/>
      <c r="G1180" s="47"/>
      <c r="H1180" s="49"/>
      <c r="I1180" s="50"/>
      <c r="J1180" s="51"/>
      <c r="K1180" s="52"/>
      <c r="L1180" s="53" t="str">
        <f t="shared" si="247"/>
        <v/>
      </c>
      <c r="M1180" s="48" t="str">
        <f t="shared" si="248"/>
        <v/>
      </c>
      <c r="N1180" s="54" t="str">
        <f t="shared" si="249"/>
        <v/>
      </c>
      <c r="O1180" s="55">
        <f t="shared" si="250"/>
        <v>0</v>
      </c>
      <c r="P1180" s="55">
        <f t="shared" si="251"/>
        <v>0</v>
      </c>
      <c r="Q1180" s="54">
        <f t="shared" si="252"/>
        <v>0</v>
      </c>
      <c r="R1180" s="47"/>
      <c r="T1180" s="57"/>
      <c r="U1180" s="45"/>
      <c r="V1180" s="46">
        <f>IF(U1180&lt;&gt;"",VLOOKUP(U1180,'Tipo Projeto'!$A$3:$B$35,2,0),0)</f>
        <v>0</v>
      </c>
      <c r="W1180" s="47"/>
      <c r="X1180" s="49"/>
      <c r="Y1180" s="50"/>
      <c r="Z1180" s="51"/>
      <c r="AA1180" s="52"/>
      <c r="AB1180" s="53" t="str">
        <f t="shared" si="253"/>
        <v/>
      </c>
      <c r="AC1180" s="48" t="str">
        <f t="shared" si="254"/>
        <v/>
      </c>
      <c r="AD1180" s="54" t="str">
        <f t="shared" si="255"/>
        <v/>
      </c>
      <c r="AE1180" s="55">
        <f t="shared" si="256"/>
        <v>0</v>
      </c>
      <c r="AF1180" s="55">
        <f t="shared" si="257"/>
        <v>0</v>
      </c>
      <c r="AG1180" s="58">
        <f t="shared" si="258"/>
        <v>0</v>
      </c>
      <c r="AH1180" s="47"/>
      <c r="AJ1180" s="47"/>
      <c r="AL1180" s="47"/>
      <c r="AM1180" s="47" t="str">
        <f t="shared" si="259"/>
        <v/>
      </c>
    </row>
    <row r="1181" spans="1:39" s="56" customFormat="1" ht="24.75" customHeight="1">
      <c r="A1181" s="44"/>
      <c r="B1181" s="45"/>
      <c r="C1181" s="46">
        <f>IF(B1181&lt;&gt;"",VLOOKUP(B1181,'Tipo Projeto'!$A$3:$B$35,2,0),0)</f>
        <v>0</v>
      </c>
      <c r="D1181" s="47"/>
      <c r="E1181" s="47"/>
      <c r="F1181" s="48"/>
      <c r="G1181" s="47"/>
      <c r="H1181" s="49"/>
      <c r="I1181" s="50"/>
      <c r="J1181" s="51"/>
      <c r="K1181" s="52"/>
      <c r="L1181" s="53" t="str">
        <f t="shared" si="247"/>
        <v/>
      </c>
      <c r="M1181" s="48" t="str">
        <f t="shared" si="248"/>
        <v/>
      </c>
      <c r="N1181" s="54" t="str">
        <f t="shared" si="249"/>
        <v/>
      </c>
      <c r="O1181" s="55">
        <f t="shared" si="250"/>
        <v>0</v>
      </c>
      <c r="P1181" s="55">
        <f t="shared" si="251"/>
        <v>0</v>
      </c>
      <c r="Q1181" s="54">
        <f t="shared" si="252"/>
        <v>0</v>
      </c>
      <c r="R1181" s="47"/>
      <c r="T1181" s="57"/>
      <c r="U1181" s="45"/>
      <c r="V1181" s="46">
        <f>IF(U1181&lt;&gt;"",VLOOKUP(U1181,'Tipo Projeto'!$A$3:$B$35,2,0),0)</f>
        <v>0</v>
      </c>
      <c r="W1181" s="47"/>
      <c r="X1181" s="49"/>
      <c r="Y1181" s="50"/>
      <c r="Z1181" s="51"/>
      <c r="AA1181" s="52"/>
      <c r="AB1181" s="53" t="str">
        <f t="shared" si="253"/>
        <v/>
      </c>
      <c r="AC1181" s="48" t="str">
        <f t="shared" si="254"/>
        <v/>
      </c>
      <c r="AD1181" s="54" t="str">
        <f t="shared" si="255"/>
        <v/>
      </c>
      <c r="AE1181" s="55">
        <f t="shared" si="256"/>
        <v>0</v>
      </c>
      <c r="AF1181" s="55">
        <f t="shared" si="257"/>
        <v>0</v>
      </c>
      <c r="AG1181" s="58">
        <f t="shared" si="258"/>
        <v>0</v>
      </c>
      <c r="AH1181" s="47"/>
      <c r="AJ1181" s="47"/>
      <c r="AL1181" s="47"/>
      <c r="AM1181" s="47" t="str">
        <f t="shared" si="259"/>
        <v/>
      </c>
    </row>
    <row r="1182" spans="1:39" s="56" customFormat="1" ht="24.75" customHeight="1">
      <c r="A1182" s="44"/>
      <c r="B1182" s="45"/>
      <c r="C1182" s="46">
        <f>IF(B1182&lt;&gt;"",VLOOKUP(B1182,'Tipo Projeto'!$A$3:$B$35,2,0),0)</f>
        <v>0</v>
      </c>
      <c r="D1182" s="47"/>
      <c r="E1182" s="47"/>
      <c r="F1182" s="48"/>
      <c r="G1182" s="47"/>
      <c r="H1182" s="49"/>
      <c r="I1182" s="50"/>
      <c r="J1182" s="51"/>
      <c r="K1182" s="52"/>
      <c r="L1182" s="53" t="str">
        <f t="shared" si="247"/>
        <v/>
      </c>
      <c r="M1182" s="48" t="str">
        <f t="shared" si="248"/>
        <v/>
      </c>
      <c r="N1182" s="54" t="str">
        <f t="shared" si="249"/>
        <v/>
      </c>
      <c r="O1182" s="55">
        <f t="shared" si="250"/>
        <v>0</v>
      </c>
      <c r="P1182" s="55">
        <f t="shared" si="251"/>
        <v>0</v>
      </c>
      <c r="Q1182" s="54">
        <f t="shared" si="252"/>
        <v>0</v>
      </c>
      <c r="R1182" s="47"/>
      <c r="T1182" s="57"/>
      <c r="U1182" s="45"/>
      <c r="V1182" s="46">
        <f>IF(U1182&lt;&gt;"",VLOOKUP(U1182,'Tipo Projeto'!$A$3:$B$35,2,0),0)</f>
        <v>0</v>
      </c>
      <c r="W1182" s="47"/>
      <c r="X1182" s="49"/>
      <c r="Y1182" s="50"/>
      <c r="Z1182" s="51"/>
      <c r="AA1182" s="52"/>
      <c r="AB1182" s="53" t="str">
        <f t="shared" si="253"/>
        <v/>
      </c>
      <c r="AC1182" s="48" t="str">
        <f t="shared" si="254"/>
        <v/>
      </c>
      <c r="AD1182" s="54" t="str">
        <f t="shared" si="255"/>
        <v/>
      </c>
      <c r="AE1182" s="55">
        <f t="shared" si="256"/>
        <v>0</v>
      </c>
      <c r="AF1182" s="55">
        <f t="shared" si="257"/>
        <v>0</v>
      </c>
      <c r="AG1182" s="58">
        <f t="shared" si="258"/>
        <v>0</v>
      </c>
      <c r="AH1182" s="47"/>
      <c r="AJ1182" s="47"/>
      <c r="AL1182" s="47"/>
      <c r="AM1182" s="47" t="str">
        <f t="shared" si="259"/>
        <v/>
      </c>
    </row>
    <row r="1183" spans="1:39" s="56" customFormat="1" ht="24.75" customHeight="1">
      <c r="A1183" s="44"/>
      <c r="B1183" s="45"/>
      <c r="C1183" s="46">
        <f>IF(B1183&lt;&gt;"",VLOOKUP(B1183,'Tipo Projeto'!$A$3:$B$35,2,0),0)</f>
        <v>0</v>
      </c>
      <c r="D1183" s="47"/>
      <c r="E1183" s="47"/>
      <c r="F1183" s="48"/>
      <c r="G1183" s="47"/>
      <c r="H1183" s="49"/>
      <c r="I1183" s="50"/>
      <c r="J1183" s="51"/>
      <c r="K1183" s="52"/>
      <c r="L1183" s="53" t="str">
        <f t="shared" si="247"/>
        <v/>
      </c>
      <c r="M1183" s="48" t="str">
        <f t="shared" si="248"/>
        <v/>
      </c>
      <c r="N1183" s="54" t="str">
        <f t="shared" si="249"/>
        <v/>
      </c>
      <c r="O1183" s="55">
        <f t="shared" si="250"/>
        <v>0</v>
      </c>
      <c r="P1183" s="55">
        <f t="shared" si="251"/>
        <v>0</v>
      </c>
      <c r="Q1183" s="54">
        <f t="shared" si="252"/>
        <v>0</v>
      </c>
      <c r="R1183" s="47"/>
      <c r="T1183" s="57"/>
      <c r="U1183" s="45"/>
      <c r="V1183" s="46">
        <f>IF(U1183&lt;&gt;"",VLOOKUP(U1183,'Tipo Projeto'!$A$3:$B$35,2,0),0)</f>
        <v>0</v>
      </c>
      <c r="W1183" s="47"/>
      <c r="X1183" s="49"/>
      <c r="Y1183" s="50"/>
      <c r="Z1183" s="51"/>
      <c r="AA1183" s="52"/>
      <c r="AB1183" s="53" t="str">
        <f t="shared" si="253"/>
        <v/>
      </c>
      <c r="AC1183" s="48" t="str">
        <f t="shared" si="254"/>
        <v/>
      </c>
      <c r="AD1183" s="54" t="str">
        <f t="shared" si="255"/>
        <v/>
      </c>
      <c r="AE1183" s="55">
        <f t="shared" si="256"/>
        <v>0</v>
      </c>
      <c r="AF1183" s="55">
        <f t="shared" si="257"/>
        <v>0</v>
      </c>
      <c r="AG1183" s="58">
        <f t="shared" si="258"/>
        <v>0</v>
      </c>
      <c r="AH1183" s="47"/>
      <c r="AJ1183" s="47"/>
      <c r="AL1183" s="47"/>
      <c r="AM1183" s="47" t="str">
        <f t="shared" si="259"/>
        <v/>
      </c>
    </row>
    <row r="1184" spans="1:39" s="56" customFormat="1" ht="24.75" customHeight="1">
      <c r="A1184" s="44"/>
      <c r="B1184" s="45"/>
      <c r="C1184" s="46">
        <f>IF(B1184&lt;&gt;"",VLOOKUP(B1184,'Tipo Projeto'!$A$3:$B$35,2,0),0)</f>
        <v>0</v>
      </c>
      <c r="D1184" s="47"/>
      <c r="E1184" s="47"/>
      <c r="F1184" s="48"/>
      <c r="G1184" s="47"/>
      <c r="H1184" s="49"/>
      <c r="I1184" s="50"/>
      <c r="J1184" s="51"/>
      <c r="K1184" s="52"/>
      <c r="L1184" s="53" t="str">
        <f t="shared" si="247"/>
        <v/>
      </c>
      <c r="M1184" s="48" t="str">
        <f t="shared" si="248"/>
        <v/>
      </c>
      <c r="N1184" s="54" t="str">
        <f t="shared" si="249"/>
        <v/>
      </c>
      <c r="O1184" s="55">
        <f t="shared" si="250"/>
        <v>0</v>
      </c>
      <c r="P1184" s="55">
        <f t="shared" si="251"/>
        <v>0</v>
      </c>
      <c r="Q1184" s="54">
        <f t="shared" si="252"/>
        <v>0</v>
      </c>
      <c r="R1184" s="47"/>
      <c r="T1184" s="57"/>
      <c r="U1184" s="45"/>
      <c r="V1184" s="46">
        <f>IF(U1184&lt;&gt;"",VLOOKUP(U1184,'Tipo Projeto'!$A$3:$B$35,2,0),0)</f>
        <v>0</v>
      </c>
      <c r="W1184" s="47"/>
      <c r="X1184" s="49"/>
      <c r="Y1184" s="50"/>
      <c r="Z1184" s="51"/>
      <c r="AA1184" s="52"/>
      <c r="AB1184" s="53" t="str">
        <f t="shared" si="253"/>
        <v/>
      </c>
      <c r="AC1184" s="48" t="str">
        <f t="shared" si="254"/>
        <v/>
      </c>
      <c r="AD1184" s="54" t="str">
        <f t="shared" si="255"/>
        <v/>
      </c>
      <c r="AE1184" s="55">
        <f t="shared" si="256"/>
        <v>0</v>
      </c>
      <c r="AF1184" s="55">
        <f t="shared" si="257"/>
        <v>0</v>
      </c>
      <c r="AG1184" s="58">
        <f t="shared" si="258"/>
        <v>0</v>
      </c>
      <c r="AH1184" s="47"/>
      <c r="AJ1184" s="47"/>
      <c r="AL1184" s="47"/>
      <c r="AM1184" s="47" t="str">
        <f t="shared" si="259"/>
        <v/>
      </c>
    </row>
    <row r="1185" spans="1:39" s="56" customFormat="1" ht="24.75" customHeight="1">
      <c r="A1185" s="44"/>
      <c r="B1185" s="45"/>
      <c r="C1185" s="46">
        <f>IF(B1185&lt;&gt;"",VLOOKUP(B1185,'Tipo Projeto'!$A$3:$B$35,2,0),0)</f>
        <v>0</v>
      </c>
      <c r="D1185" s="47"/>
      <c r="E1185" s="47"/>
      <c r="F1185" s="48"/>
      <c r="G1185" s="47"/>
      <c r="H1185" s="49"/>
      <c r="I1185" s="50"/>
      <c r="J1185" s="51"/>
      <c r="K1185" s="52"/>
      <c r="L1185" s="53" t="str">
        <f t="shared" si="247"/>
        <v/>
      </c>
      <c r="M1185" s="48" t="str">
        <f t="shared" si="248"/>
        <v/>
      </c>
      <c r="N1185" s="54" t="str">
        <f t="shared" si="249"/>
        <v/>
      </c>
      <c r="O1185" s="55">
        <f t="shared" si="250"/>
        <v>0</v>
      </c>
      <c r="P1185" s="55">
        <f t="shared" si="251"/>
        <v>0</v>
      </c>
      <c r="Q1185" s="54">
        <f t="shared" si="252"/>
        <v>0</v>
      </c>
      <c r="R1185" s="47"/>
      <c r="T1185" s="57"/>
      <c r="U1185" s="45"/>
      <c r="V1185" s="46">
        <f>IF(U1185&lt;&gt;"",VLOOKUP(U1185,'Tipo Projeto'!$A$3:$B$35,2,0),0)</f>
        <v>0</v>
      </c>
      <c r="W1185" s="47"/>
      <c r="X1185" s="49"/>
      <c r="Y1185" s="50"/>
      <c r="Z1185" s="51"/>
      <c r="AA1185" s="52"/>
      <c r="AB1185" s="53" t="str">
        <f t="shared" si="253"/>
        <v/>
      </c>
      <c r="AC1185" s="48" t="str">
        <f t="shared" si="254"/>
        <v/>
      </c>
      <c r="AD1185" s="54" t="str">
        <f t="shared" si="255"/>
        <v/>
      </c>
      <c r="AE1185" s="55">
        <f t="shared" si="256"/>
        <v>0</v>
      </c>
      <c r="AF1185" s="55">
        <f t="shared" si="257"/>
        <v>0</v>
      </c>
      <c r="AG1185" s="58">
        <f t="shared" si="258"/>
        <v>0</v>
      </c>
      <c r="AH1185" s="47"/>
      <c r="AJ1185" s="47"/>
      <c r="AL1185" s="47"/>
      <c r="AM1185" s="47" t="str">
        <f t="shared" si="259"/>
        <v/>
      </c>
    </row>
    <row r="1186" spans="1:39" s="56" customFormat="1" ht="24.75" customHeight="1">
      <c r="A1186" s="44"/>
      <c r="B1186" s="45"/>
      <c r="C1186" s="46">
        <f>IF(B1186&lt;&gt;"",VLOOKUP(B1186,'Tipo Projeto'!$A$3:$B$35,2,0),0)</f>
        <v>0</v>
      </c>
      <c r="D1186" s="47"/>
      <c r="E1186" s="47"/>
      <c r="F1186" s="48"/>
      <c r="G1186" s="47"/>
      <c r="H1186" s="49"/>
      <c r="I1186" s="50"/>
      <c r="J1186" s="51"/>
      <c r="K1186" s="52"/>
      <c r="L1186" s="53" t="str">
        <f t="shared" si="247"/>
        <v/>
      </c>
      <c r="M1186" s="48" t="str">
        <f t="shared" si="248"/>
        <v/>
      </c>
      <c r="N1186" s="54" t="str">
        <f t="shared" si="249"/>
        <v/>
      </c>
      <c r="O1186" s="55">
        <f t="shared" si="250"/>
        <v>0</v>
      </c>
      <c r="P1186" s="55">
        <f t="shared" si="251"/>
        <v>0</v>
      </c>
      <c r="Q1186" s="54">
        <f t="shared" si="252"/>
        <v>0</v>
      </c>
      <c r="R1186" s="47"/>
      <c r="T1186" s="57"/>
      <c r="U1186" s="45"/>
      <c r="V1186" s="46">
        <f>IF(U1186&lt;&gt;"",VLOOKUP(U1186,'Tipo Projeto'!$A$3:$B$35,2,0),0)</f>
        <v>0</v>
      </c>
      <c r="W1186" s="47"/>
      <c r="X1186" s="49"/>
      <c r="Y1186" s="50"/>
      <c r="Z1186" s="51"/>
      <c r="AA1186" s="52"/>
      <c r="AB1186" s="53" t="str">
        <f t="shared" si="253"/>
        <v/>
      </c>
      <c r="AC1186" s="48" t="str">
        <f t="shared" si="254"/>
        <v/>
      </c>
      <c r="AD1186" s="54" t="str">
        <f t="shared" si="255"/>
        <v/>
      </c>
      <c r="AE1186" s="55">
        <f t="shared" si="256"/>
        <v>0</v>
      </c>
      <c r="AF1186" s="55">
        <f t="shared" si="257"/>
        <v>0</v>
      </c>
      <c r="AG1186" s="58">
        <f t="shared" si="258"/>
        <v>0</v>
      </c>
      <c r="AH1186" s="47"/>
      <c r="AJ1186" s="47"/>
      <c r="AL1186" s="47"/>
      <c r="AM1186" s="47" t="str">
        <f t="shared" si="259"/>
        <v/>
      </c>
    </row>
    <row r="1187" spans="1:39" s="56" customFormat="1" ht="24.75" customHeight="1">
      <c r="A1187" s="44"/>
      <c r="B1187" s="45"/>
      <c r="C1187" s="46">
        <f>IF(B1187&lt;&gt;"",VLOOKUP(B1187,'Tipo Projeto'!$A$3:$B$35,2,0),0)</f>
        <v>0</v>
      </c>
      <c r="D1187" s="47"/>
      <c r="E1187" s="47"/>
      <c r="F1187" s="48"/>
      <c r="G1187" s="47"/>
      <c r="H1187" s="49"/>
      <c r="I1187" s="50"/>
      <c r="J1187" s="51"/>
      <c r="K1187" s="52"/>
      <c r="L1187" s="53" t="str">
        <f t="shared" si="247"/>
        <v/>
      </c>
      <c r="M1187" s="48" t="str">
        <f t="shared" si="248"/>
        <v/>
      </c>
      <c r="N1187" s="54" t="str">
        <f t="shared" si="249"/>
        <v/>
      </c>
      <c r="O1187" s="55">
        <f t="shared" si="250"/>
        <v>0</v>
      </c>
      <c r="P1187" s="55">
        <f t="shared" si="251"/>
        <v>0</v>
      </c>
      <c r="Q1187" s="54">
        <f t="shared" si="252"/>
        <v>0</v>
      </c>
      <c r="R1187" s="47"/>
      <c r="T1187" s="57"/>
      <c r="U1187" s="45"/>
      <c r="V1187" s="46">
        <f>IF(U1187&lt;&gt;"",VLOOKUP(U1187,'Tipo Projeto'!$A$3:$B$35,2,0),0)</f>
        <v>0</v>
      </c>
      <c r="W1187" s="47"/>
      <c r="X1187" s="49"/>
      <c r="Y1187" s="50"/>
      <c r="Z1187" s="51"/>
      <c r="AA1187" s="52"/>
      <c r="AB1187" s="53" t="str">
        <f t="shared" si="253"/>
        <v/>
      </c>
      <c r="AC1187" s="48" t="str">
        <f t="shared" si="254"/>
        <v/>
      </c>
      <c r="AD1187" s="54" t="str">
        <f t="shared" si="255"/>
        <v/>
      </c>
      <c r="AE1187" s="55">
        <f t="shared" si="256"/>
        <v>0</v>
      </c>
      <c r="AF1187" s="55">
        <f t="shared" si="257"/>
        <v>0</v>
      </c>
      <c r="AG1187" s="58">
        <f t="shared" si="258"/>
        <v>0</v>
      </c>
      <c r="AH1187" s="47"/>
      <c r="AJ1187" s="47"/>
      <c r="AL1187" s="47"/>
      <c r="AM1187" s="47" t="str">
        <f t="shared" si="259"/>
        <v/>
      </c>
    </row>
    <row r="1188" spans="1:39" s="56" customFormat="1" ht="24.75" customHeight="1">
      <c r="A1188" s="44"/>
      <c r="B1188" s="45"/>
      <c r="C1188" s="46">
        <f>IF(B1188&lt;&gt;"",VLOOKUP(B1188,'Tipo Projeto'!$A$3:$B$35,2,0),0)</f>
        <v>0</v>
      </c>
      <c r="D1188" s="47"/>
      <c r="E1188" s="47"/>
      <c r="F1188" s="48"/>
      <c r="G1188" s="47"/>
      <c r="H1188" s="49"/>
      <c r="I1188" s="50"/>
      <c r="J1188" s="51"/>
      <c r="K1188" s="52"/>
      <c r="L1188" s="53" t="str">
        <f t="shared" si="247"/>
        <v/>
      </c>
      <c r="M1188" s="48" t="str">
        <f t="shared" si="248"/>
        <v/>
      </c>
      <c r="N1188" s="54" t="str">
        <f t="shared" si="249"/>
        <v/>
      </c>
      <c r="O1188" s="55">
        <f t="shared" si="250"/>
        <v>0</v>
      </c>
      <c r="P1188" s="55">
        <f t="shared" si="251"/>
        <v>0</v>
      </c>
      <c r="Q1188" s="54">
        <f t="shared" si="252"/>
        <v>0</v>
      </c>
      <c r="R1188" s="47"/>
      <c r="T1188" s="57"/>
      <c r="U1188" s="45"/>
      <c r="V1188" s="46">
        <f>IF(U1188&lt;&gt;"",VLOOKUP(U1188,'Tipo Projeto'!$A$3:$B$35,2,0),0)</f>
        <v>0</v>
      </c>
      <c r="W1188" s="47"/>
      <c r="X1188" s="49"/>
      <c r="Y1188" s="50"/>
      <c r="Z1188" s="51"/>
      <c r="AA1188" s="52"/>
      <c r="AB1188" s="53" t="str">
        <f t="shared" si="253"/>
        <v/>
      </c>
      <c r="AC1188" s="48" t="str">
        <f t="shared" si="254"/>
        <v/>
      </c>
      <c r="AD1188" s="54" t="str">
        <f t="shared" si="255"/>
        <v/>
      </c>
      <c r="AE1188" s="55">
        <f t="shared" si="256"/>
        <v>0</v>
      </c>
      <c r="AF1188" s="55">
        <f t="shared" si="257"/>
        <v>0</v>
      </c>
      <c r="AG1188" s="58">
        <f t="shared" si="258"/>
        <v>0</v>
      </c>
      <c r="AH1188" s="47"/>
      <c r="AJ1188" s="47"/>
      <c r="AL1188" s="47"/>
      <c r="AM1188" s="47" t="str">
        <f t="shared" si="259"/>
        <v/>
      </c>
    </row>
    <row r="1189" spans="1:39" s="56" customFormat="1" ht="24.75" customHeight="1">
      <c r="A1189" s="44"/>
      <c r="B1189" s="45"/>
      <c r="C1189" s="46">
        <f>IF(B1189&lt;&gt;"",VLOOKUP(B1189,'Tipo Projeto'!$A$3:$B$35,2,0),0)</f>
        <v>0</v>
      </c>
      <c r="D1189" s="47"/>
      <c r="E1189" s="47"/>
      <c r="F1189" s="48"/>
      <c r="G1189" s="47"/>
      <c r="H1189" s="49"/>
      <c r="I1189" s="50"/>
      <c r="J1189" s="51"/>
      <c r="K1189" s="52"/>
      <c r="L1189" s="53" t="str">
        <f t="shared" si="247"/>
        <v/>
      </c>
      <c r="M1189" s="48" t="str">
        <f t="shared" si="248"/>
        <v/>
      </c>
      <c r="N1189" s="54" t="str">
        <f t="shared" si="249"/>
        <v/>
      </c>
      <c r="O1189" s="55">
        <f t="shared" si="250"/>
        <v>0</v>
      </c>
      <c r="P1189" s="55">
        <f t="shared" si="251"/>
        <v>0</v>
      </c>
      <c r="Q1189" s="54">
        <f t="shared" si="252"/>
        <v>0</v>
      </c>
      <c r="R1189" s="47"/>
      <c r="T1189" s="57"/>
      <c r="U1189" s="45"/>
      <c r="V1189" s="46">
        <f>IF(U1189&lt;&gt;"",VLOOKUP(U1189,'Tipo Projeto'!$A$3:$B$35,2,0),0)</f>
        <v>0</v>
      </c>
      <c r="W1189" s="47"/>
      <c r="X1189" s="49"/>
      <c r="Y1189" s="50"/>
      <c r="Z1189" s="51"/>
      <c r="AA1189" s="52"/>
      <c r="AB1189" s="53" t="str">
        <f t="shared" si="253"/>
        <v/>
      </c>
      <c r="AC1189" s="48" t="str">
        <f t="shared" si="254"/>
        <v/>
      </c>
      <c r="AD1189" s="54" t="str">
        <f t="shared" si="255"/>
        <v/>
      </c>
      <c r="AE1189" s="55">
        <f t="shared" si="256"/>
        <v>0</v>
      </c>
      <c r="AF1189" s="55">
        <f t="shared" si="257"/>
        <v>0</v>
      </c>
      <c r="AG1189" s="58">
        <f t="shared" si="258"/>
        <v>0</v>
      </c>
      <c r="AH1189" s="47"/>
      <c r="AJ1189" s="47"/>
      <c r="AL1189" s="47"/>
      <c r="AM1189" s="47" t="str">
        <f t="shared" si="259"/>
        <v/>
      </c>
    </row>
    <row r="1190" spans="1:39" s="56" customFormat="1" ht="24.75" customHeight="1">
      <c r="A1190" s="44"/>
      <c r="B1190" s="45"/>
      <c r="C1190" s="46">
        <f>IF(B1190&lt;&gt;"",VLOOKUP(B1190,'Tipo Projeto'!$A$3:$B$35,2,0),0)</f>
        <v>0</v>
      </c>
      <c r="D1190" s="47"/>
      <c r="E1190" s="47"/>
      <c r="F1190" s="48"/>
      <c r="G1190" s="47"/>
      <c r="H1190" s="49"/>
      <c r="I1190" s="50"/>
      <c r="J1190" s="51"/>
      <c r="K1190" s="52"/>
      <c r="L1190" s="53" t="str">
        <f t="shared" si="247"/>
        <v/>
      </c>
      <c r="M1190" s="48" t="str">
        <f t="shared" si="248"/>
        <v/>
      </c>
      <c r="N1190" s="54" t="str">
        <f t="shared" si="249"/>
        <v/>
      </c>
      <c r="O1190" s="55">
        <f t="shared" si="250"/>
        <v>0</v>
      </c>
      <c r="P1190" s="55">
        <f t="shared" si="251"/>
        <v>0</v>
      </c>
      <c r="Q1190" s="54">
        <f t="shared" si="252"/>
        <v>0</v>
      </c>
      <c r="R1190" s="47"/>
      <c r="T1190" s="57"/>
      <c r="U1190" s="45"/>
      <c r="V1190" s="46">
        <f>IF(U1190&lt;&gt;"",VLOOKUP(U1190,'Tipo Projeto'!$A$3:$B$35,2,0),0)</f>
        <v>0</v>
      </c>
      <c r="W1190" s="47"/>
      <c r="X1190" s="49"/>
      <c r="Y1190" s="50"/>
      <c r="Z1190" s="51"/>
      <c r="AA1190" s="52"/>
      <c r="AB1190" s="53" t="str">
        <f t="shared" si="253"/>
        <v/>
      </c>
      <c r="AC1190" s="48" t="str">
        <f t="shared" si="254"/>
        <v/>
      </c>
      <c r="AD1190" s="54" t="str">
        <f t="shared" si="255"/>
        <v/>
      </c>
      <c r="AE1190" s="55">
        <f t="shared" si="256"/>
        <v>0</v>
      </c>
      <c r="AF1190" s="55">
        <f t="shared" si="257"/>
        <v>0</v>
      </c>
      <c r="AG1190" s="58">
        <f t="shared" si="258"/>
        <v>0</v>
      </c>
      <c r="AH1190" s="47"/>
      <c r="AJ1190" s="47"/>
      <c r="AL1190" s="47"/>
      <c r="AM1190" s="47" t="str">
        <f t="shared" si="259"/>
        <v/>
      </c>
    </row>
    <row r="1191" spans="1:39" s="56" customFormat="1" ht="24.75" customHeight="1">
      <c r="A1191" s="44"/>
      <c r="B1191" s="45"/>
      <c r="C1191" s="46">
        <f>IF(B1191&lt;&gt;"",VLOOKUP(B1191,'Tipo Projeto'!$A$3:$B$35,2,0),0)</f>
        <v>0</v>
      </c>
      <c r="D1191" s="47"/>
      <c r="E1191" s="47"/>
      <c r="F1191" s="48"/>
      <c r="G1191" s="47"/>
      <c r="H1191" s="49"/>
      <c r="I1191" s="50"/>
      <c r="J1191" s="51"/>
      <c r="K1191" s="52"/>
      <c r="L1191" s="53" t="str">
        <f t="shared" si="247"/>
        <v/>
      </c>
      <c r="M1191" s="48" t="str">
        <f t="shared" si="248"/>
        <v/>
      </c>
      <c r="N1191" s="54" t="str">
        <f t="shared" si="249"/>
        <v/>
      </c>
      <c r="O1191" s="55">
        <f t="shared" si="250"/>
        <v>0</v>
      </c>
      <c r="P1191" s="55">
        <f t="shared" si="251"/>
        <v>0</v>
      </c>
      <c r="Q1191" s="54">
        <f t="shared" si="252"/>
        <v>0</v>
      </c>
      <c r="R1191" s="47"/>
      <c r="T1191" s="57"/>
      <c r="U1191" s="45"/>
      <c r="V1191" s="46">
        <f>IF(U1191&lt;&gt;"",VLOOKUP(U1191,'Tipo Projeto'!$A$3:$B$35,2,0),0)</f>
        <v>0</v>
      </c>
      <c r="W1191" s="47"/>
      <c r="X1191" s="49"/>
      <c r="Y1191" s="50"/>
      <c r="Z1191" s="51"/>
      <c r="AA1191" s="52"/>
      <c r="AB1191" s="53" t="str">
        <f t="shared" si="253"/>
        <v/>
      </c>
      <c r="AC1191" s="48" t="str">
        <f t="shared" si="254"/>
        <v/>
      </c>
      <c r="AD1191" s="54" t="str">
        <f t="shared" si="255"/>
        <v/>
      </c>
      <c r="AE1191" s="55">
        <f t="shared" si="256"/>
        <v>0</v>
      </c>
      <c r="AF1191" s="55">
        <f t="shared" si="257"/>
        <v>0</v>
      </c>
      <c r="AG1191" s="58">
        <f t="shared" si="258"/>
        <v>0</v>
      </c>
      <c r="AH1191" s="47"/>
      <c r="AJ1191" s="47"/>
      <c r="AL1191" s="47"/>
      <c r="AM1191" s="47" t="str">
        <f t="shared" si="259"/>
        <v/>
      </c>
    </row>
    <row r="1192" spans="1:39" s="56" customFormat="1" ht="24.75" customHeight="1">
      <c r="A1192" s="44"/>
      <c r="B1192" s="45"/>
      <c r="C1192" s="46">
        <f>IF(B1192&lt;&gt;"",VLOOKUP(B1192,'Tipo Projeto'!$A$3:$B$35,2,0),0)</f>
        <v>0</v>
      </c>
      <c r="D1192" s="47"/>
      <c r="E1192" s="47"/>
      <c r="F1192" s="48"/>
      <c r="G1192" s="47"/>
      <c r="H1192" s="49"/>
      <c r="I1192" s="50"/>
      <c r="J1192" s="51"/>
      <c r="K1192" s="52"/>
      <c r="L1192" s="53" t="str">
        <f t="shared" si="247"/>
        <v/>
      </c>
      <c r="M1192" s="48" t="str">
        <f t="shared" si="248"/>
        <v/>
      </c>
      <c r="N1192" s="54" t="str">
        <f t="shared" si="249"/>
        <v/>
      </c>
      <c r="O1192" s="55">
        <f t="shared" si="250"/>
        <v>0</v>
      </c>
      <c r="P1192" s="55">
        <f t="shared" si="251"/>
        <v>0</v>
      </c>
      <c r="Q1192" s="54">
        <f t="shared" si="252"/>
        <v>0</v>
      </c>
      <c r="R1192" s="47"/>
      <c r="T1192" s="57"/>
      <c r="U1192" s="45"/>
      <c r="V1192" s="46">
        <f>IF(U1192&lt;&gt;"",VLOOKUP(U1192,'Tipo Projeto'!$A$3:$B$35,2,0),0)</f>
        <v>0</v>
      </c>
      <c r="W1192" s="47"/>
      <c r="X1192" s="49"/>
      <c r="Y1192" s="50"/>
      <c r="Z1192" s="51"/>
      <c r="AA1192" s="52"/>
      <c r="AB1192" s="53" t="str">
        <f t="shared" si="253"/>
        <v/>
      </c>
      <c r="AC1192" s="48" t="str">
        <f t="shared" si="254"/>
        <v/>
      </c>
      <c r="AD1192" s="54" t="str">
        <f t="shared" si="255"/>
        <v/>
      </c>
      <c r="AE1192" s="55">
        <f t="shared" si="256"/>
        <v>0</v>
      </c>
      <c r="AF1192" s="55">
        <f t="shared" si="257"/>
        <v>0</v>
      </c>
      <c r="AG1192" s="58">
        <f t="shared" si="258"/>
        <v>0</v>
      </c>
      <c r="AH1192" s="47"/>
      <c r="AJ1192" s="47"/>
      <c r="AL1192" s="47"/>
      <c r="AM1192" s="47" t="str">
        <f t="shared" si="259"/>
        <v/>
      </c>
    </row>
    <row r="1193" spans="1:39" s="56" customFormat="1" ht="24.75" customHeight="1">
      <c r="A1193" s="44"/>
      <c r="B1193" s="45"/>
      <c r="C1193" s="46">
        <f>IF(B1193&lt;&gt;"",VLOOKUP(B1193,'Tipo Projeto'!$A$3:$B$35,2,0),0)</f>
        <v>0</v>
      </c>
      <c r="D1193" s="47"/>
      <c r="E1193" s="47"/>
      <c r="F1193" s="48"/>
      <c r="G1193" s="47"/>
      <c r="H1193" s="49"/>
      <c r="I1193" s="50"/>
      <c r="J1193" s="51"/>
      <c r="K1193" s="52"/>
      <c r="L1193" s="53" t="str">
        <f t="shared" si="247"/>
        <v/>
      </c>
      <c r="M1193" s="48" t="str">
        <f t="shared" si="248"/>
        <v/>
      </c>
      <c r="N1193" s="54" t="str">
        <f t="shared" si="249"/>
        <v/>
      </c>
      <c r="O1193" s="55">
        <f t="shared" si="250"/>
        <v>0</v>
      </c>
      <c r="P1193" s="55">
        <f t="shared" si="251"/>
        <v>0</v>
      </c>
      <c r="Q1193" s="54">
        <f t="shared" si="252"/>
        <v>0</v>
      </c>
      <c r="R1193" s="47"/>
      <c r="T1193" s="57"/>
      <c r="U1193" s="45"/>
      <c r="V1193" s="46">
        <f>IF(U1193&lt;&gt;"",VLOOKUP(U1193,'Tipo Projeto'!$A$3:$B$35,2,0),0)</f>
        <v>0</v>
      </c>
      <c r="W1193" s="47"/>
      <c r="X1193" s="49"/>
      <c r="Y1193" s="50"/>
      <c r="Z1193" s="51"/>
      <c r="AA1193" s="52"/>
      <c r="AB1193" s="53" t="str">
        <f t="shared" si="253"/>
        <v/>
      </c>
      <c r="AC1193" s="48" t="str">
        <f t="shared" si="254"/>
        <v/>
      </c>
      <c r="AD1193" s="54" t="str">
        <f t="shared" si="255"/>
        <v/>
      </c>
      <c r="AE1193" s="55">
        <f t="shared" si="256"/>
        <v>0</v>
      </c>
      <c r="AF1193" s="55">
        <f t="shared" si="257"/>
        <v>0</v>
      </c>
      <c r="AG1193" s="58">
        <f t="shared" si="258"/>
        <v>0</v>
      </c>
      <c r="AH1193" s="47"/>
      <c r="AJ1193" s="47"/>
      <c r="AL1193" s="47"/>
      <c r="AM1193" s="47" t="str">
        <f t="shared" si="259"/>
        <v/>
      </c>
    </row>
    <row r="1194" spans="1:39" s="56" customFormat="1" ht="24.75" customHeight="1">
      <c r="A1194" s="44"/>
      <c r="B1194" s="45"/>
      <c r="C1194" s="46">
        <f>IF(B1194&lt;&gt;"",VLOOKUP(B1194,'Tipo Projeto'!$A$3:$B$35,2,0),0)</f>
        <v>0</v>
      </c>
      <c r="D1194" s="47"/>
      <c r="E1194" s="47"/>
      <c r="F1194" s="48"/>
      <c r="G1194" s="47"/>
      <c r="H1194" s="49"/>
      <c r="I1194" s="50"/>
      <c r="J1194" s="51"/>
      <c r="K1194" s="52"/>
      <c r="L1194" s="53" t="str">
        <f t="shared" si="247"/>
        <v/>
      </c>
      <c r="M1194" s="48" t="str">
        <f t="shared" si="248"/>
        <v/>
      </c>
      <c r="N1194" s="54" t="str">
        <f t="shared" si="249"/>
        <v/>
      </c>
      <c r="O1194" s="55">
        <f t="shared" si="250"/>
        <v>0</v>
      </c>
      <c r="P1194" s="55">
        <f t="shared" si="251"/>
        <v>0</v>
      </c>
      <c r="Q1194" s="54">
        <f t="shared" si="252"/>
        <v>0</v>
      </c>
      <c r="R1194" s="47"/>
      <c r="T1194" s="57"/>
      <c r="U1194" s="45"/>
      <c r="V1194" s="46">
        <f>IF(U1194&lt;&gt;"",VLOOKUP(U1194,'Tipo Projeto'!$A$3:$B$35,2,0),0)</f>
        <v>0</v>
      </c>
      <c r="W1194" s="47"/>
      <c r="X1194" s="49"/>
      <c r="Y1194" s="50"/>
      <c r="Z1194" s="51"/>
      <c r="AA1194" s="52"/>
      <c r="AB1194" s="53" t="str">
        <f t="shared" si="253"/>
        <v/>
      </c>
      <c r="AC1194" s="48" t="str">
        <f t="shared" si="254"/>
        <v/>
      </c>
      <c r="AD1194" s="54" t="str">
        <f t="shared" si="255"/>
        <v/>
      </c>
      <c r="AE1194" s="55">
        <f t="shared" si="256"/>
        <v>0</v>
      </c>
      <c r="AF1194" s="55">
        <f t="shared" si="257"/>
        <v>0</v>
      </c>
      <c r="AG1194" s="58">
        <f t="shared" si="258"/>
        <v>0</v>
      </c>
      <c r="AH1194" s="47"/>
      <c r="AJ1194" s="47"/>
      <c r="AL1194" s="47"/>
      <c r="AM1194" s="47" t="str">
        <f t="shared" si="259"/>
        <v/>
      </c>
    </row>
    <row r="1195" spans="1:39" s="56" customFormat="1" ht="24.75" customHeight="1">
      <c r="A1195" s="44"/>
      <c r="B1195" s="45"/>
      <c r="C1195" s="46">
        <f>IF(B1195&lt;&gt;"",VLOOKUP(B1195,'Tipo Projeto'!$A$3:$B$35,2,0),0)</f>
        <v>0</v>
      </c>
      <c r="D1195" s="47"/>
      <c r="E1195" s="47"/>
      <c r="F1195" s="48"/>
      <c r="G1195" s="47"/>
      <c r="H1195" s="49"/>
      <c r="I1195" s="50"/>
      <c r="J1195" s="51"/>
      <c r="K1195" s="52"/>
      <c r="L1195" s="53" t="str">
        <f t="shared" si="247"/>
        <v/>
      </c>
      <c r="M1195" s="48" t="str">
        <f t="shared" si="248"/>
        <v/>
      </c>
      <c r="N1195" s="54" t="str">
        <f t="shared" si="249"/>
        <v/>
      </c>
      <c r="O1195" s="55">
        <f t="shared" si="250"/>
        <v>0</v>
      </c>
      <c r="P1195" s="55">
        <f t="shared" si="251"/>
        <v>0</v>
      </c>
      <c r="Q1195" s="54">
        <f t="shared" si="252"/>
        <v>0</v>
      </c>
      <c r="R1195" s="47"/>
      <c r="T1195" s="57"/>
      <c r="U1195" s="45"/>
      <c r="V1195" s="46">
        <f>IF(U1195&lt;&gt;"",VLOOKUP(U1195,'Tipo Projeto'!$A$3:$B$35,2,0),0)</f>
        <v>0</v>
      </c>
      <c r="W1195" s="47"/>
      <c r="X1195" s="49"/>
      <c r="Y1195" s="50"/>
      <c r="Z1195" s="51"/>
      <c r="AA1195" s="52"/>
      <c r="AB1195" s="53" t="str">
        <f t="shared" si="253"/>
        <v/>
      </c>
      <c r="AC1195" s="48" t="str">
        <f t="shared" si="254"/>
        <v/>
      </c>
      <c r="AD1195" s="54" t="str">
        <f t="shared" si="255"/>
        <v/>
      </c>
      <c r="AE1195" s="55">
        <f t="shared" si="256"/>
        <v>0</v>
      </c>
      <c r="AF1195" s="55">
        <f t="shared" si="257"/>
        <v>0</v>
      </c>
      <c r="AG1195" s="58">
        <f t="shared" si="258"/>
        <v>0</v>
      </c>
      <c r="AH1195" s="47"/>
      <c r="AJ1195" s="47"/>
      <c r="AL1195" s="47"/>
      <c r="AM1195" s="47" t="str">
        <f t="shared" si="259"/>
        <v/>
      </c>
    </row>
    <row r="1196" spans="1:39" s="56" customFormat="1" ht="24.75" customHeight="1">
      <c r="A1196" s="44"/>
      <c r="B1196" s="45"/>
      <c r="C1196" s="46">
        <f>IF(B1196&lt;&gt;"",VLOOKUP(B1196,'Tipo Projeto'!$A$3:$B$35,2,0),0)</f>
        <v>0</v>
      </c>
      <c r="D1196" s="47"/>
      <c r="E1196" s="47"/>
      <c r="F1196" s="48"/>
      <c r="G1196" s="47"/>
      <c r="H1196" s="49"/>
      <c r="I1196" s="50"/>
      <c r="J1196" s="51"/>
      <c r="K1196" s="52"/>
      <c r="L1196" s="53" t="str">
        <f t="shared" si="247"/>
        <v/>
      </c>
      <c r="M1196" s="48" t="str">
        <f t="shared" si="248"/>
        <v/>
      </c>
      <c r="N1196" s="54" t="str">
        <f t="shared" si="249"/>
        <v/>
      </c>
      <c r="O1196" s="55">
        <f t="shared" si="250"/>
        <v>0</v>
      </c>
      <c r="P1196" s="55">
        <f t="shared" si="251"/>
        <v>0</v>
      </c>
      <c r="Q1196" s="54">
        <f t="shared" si="252"/>
        <v>0</v>
      </c>
      <c r="R1196" s="47"/>
      <c r="T1196" s="57"/>
      <c r="U1196" s="45"/>
      <c r="V1196" s="46">
        <f>IF(U1196&lt;&gt;"",VLOOKUP(U1196,'Tipo Projeto'!$A$3:$B$35,2,0),0)</f>
        <v>0</v>
      </c>
      <c r="W1196" s="47"/>
      <c r="X1196" s="49"/>
      <c r="Y1196" s="50"/>
      <c r="Z1196" s="51"/>
      <c r="AA1196" s="52"/>
      <c r="AB1196" s="53" t="str">
        <f t="shared" si="253"/>
        <v/>
      </c>
      <c r="AC1196" s="48" t="str">
        <f t="shared" si="254"/>
        <v/>
      </c>
      <c r="AD1196" s="54" t="str">
        <f t="shared" si="255"/>
        <v/>
      </c>
      <c r="AE1196" s="55">
        <f t="shared" si="256"/>
        <v>0</v>
      </c>
      <c r="AF1196" s="55">
        <f t="shared" si="257"/>
        <v>0</v>
      </c>
      <c r="AG1196" s="58">
        <f t="shared" si="258"/>
        <v>0</v>
      </c>
      <c r="AH1196" s="47"/>
      <c r="AJ1196" s="47"/>
      <c r="AL1196" s="47"/>
      <c r="AM1196" s="47" t="str">
        <f t="shared" si="259"/>
        <v/>
      </c>
    </row>
    <row r="1197" spans="1:39" s="56" customFormat="1" ht="24.75" customHeight="1">
      <c r="A1197" s="44"/>
      <c r="B1197" s="45"/>
      <c r="C1197" s="46">
        <f>IF(B1197&lt;&gt;"",VLOOKUP(B1197,'Tipo Projeto'!$A$3:$B$35,2,0),0)</f>
        <v>0</v>
      </c>
      <c r="D1197" s="47"/>
      <c r="E1197" s="47"/>
      <c r="F1197" s="48"/>
      <c r="G1197" s="47"/>
      <c r="H1197" s="49"/>
      <c r="I1197" s="50"/>
      <c r="J1197" s="51"/>
      <c r="K1197" s="52"/>
      <c r="L1197" s="53" t="str">
        <f t="shared" si="247"/>
        <v/>
      </c>
      <c r="M1197" s="48" t="str">
        <f t="shared" si="248"/>
        <v/>
      </c>
      <c r="N1197" s="54" t="str">
        <f t="shared" si="249"/>
        <v/>
      </c>
      <c r="O1197" s="55">
        <f t="shared" si="250"/>
        <v>0</v>
      </c>
      <c r="P1197" s="55">
        <f t="shared" si="251"/>
        <v>0</v>
      </c>
      <c r="Q1197" s="54">
        <f t="shared" si="252"/>
        <v>0</v>
      </c>
      <c r="R1197" s="47"/>
      <c r="T1197" s="57"/>
      <c r="U1197" s="45"/>
      <c r="V1197" s="46">
        <f>IF(U1197&lt;&gt;"",VLOOKUP(U1197,'Tipo Projeto'!$A$3:$B$35,2,0),0)</f>
        <v>0</v>
      </c>
      <c r="W1197" s="47"/>
      <c r="X1197" s="49"/>
      <c r="Y1197" s="50"/>
      <c r="Z1197" s="51"/>
      <c r="AA1197" s="52"/>
      <c r="AB1197" s="53" t="str">
        <f t="shared" si="253"/>
        <v/>
      </c>
      <c r="AC1197" s="48" t="str">
        <f t="shared" si="254"/>
        <v/>
      </c>
      <c r="AD1197" s="54" t="str">
        <f t="shared" si="255"/>
        <v/>
      </c>
      <c r="AE1197" s="55">
        <f t="shared" si="256"/>
        <v>0</v>
      </c>
      <c r="AF1197" s="55">
        <f t="shared" si="257"/>
        <v>0</v>
      </c>
      <c r="AG1197" s="58">
        <f t="shared" si="258"/>
        <v>0</v>
      </c>
      <c r="AH1197" s="47"/>
      <c r="AJ1197" s="47"/>
      <c r="AL1197" s="47"/>
      <c r="AM1197" s="47" t="str">
        <f t="shared" si="259"/>
        <v/>
      </c>
    </row>
    <row r="1198" spans="1:39" s="56" customFormat="1" ht="24.75" customHeight="1">
      <c r="A1198" s="44"/>
      <c r="B1198" s="45"/>
      <c r="C1198" s="46">
        <f>IF(B1198&lt;&gt;"",VLOOKUP(B1198,'Tipo Projeto'!$A$3:$B$35,2,0),0)</f>
        <v>0</v>
      </c>
      <c r="D1198" s="47"/>
      <c r="E1198" s="47"/>
      <c r="F1198" s="48"/>
      <c r="G1198" s="47"/>
      <c r="H1198" s="49"/>
      <c r="I1198" s="50"/>
      <c r="J1198" s="51"/>
      <c r="K1198" s="52"/>
      <c r="L1198" s="53" t="str">
        <f t="shared" si="247"/>
        <v/>
      </c>
      <c r="M1198" s="48" t="str">
        <f t="shared" si="248"/>
        <v/>
      </c>
      <c r="N1198" s="54" t="str">
        <f t="shared" si="249"/>
        <v/>
      </c>
      <c r="O1198" s="55">
        <f t="shared" si="250"/>
        <v>0</v>
      </c>
      <c r="P1198" s="55">
        <f t="shared" si="251"/>
        <v>0</v>
      </c>
      <c r="Q1198" s="54">
        <f t="shared" si="252"/>
        <v>0</v>
      </c>
      <c r="R1198" s="47"/>
      <c r="T1198" s="57"/>
      <c r="U1198" s="45"/>
      <c r="V1198" s="46">
        <f>IF(U1198&lt;&gt;"",VLOOKUP(U1198,'Tipo Projeto'!$A$3:$B$35,2,0),0)</f>
        <v>0</v>
      </c>
      <c r="W1198" s="47"/>
      <c r="X1198" s="49"/>
      <c r="Y1198" s="50"/>
      <c r="Z1198" s="51"/>
      <c r="AA1198" s="52"/>
      <c r="AB1198" s="53" t="str">
        <f t="shared" si="253"/>
        <v/>
      </c>
      <c r="AC1198" s="48" t="str">
        <f t="shared" si="254"/>
        <v/>
      </c>
      <c r="AD1198" s="54" t="str">
        <f t="shared" si="255"/>
        <v/>
      </c>
      <c r="AE1198" s="55">
        <f t="shared" si="256"/>
        <v>0</v>
      </c>
      <c r="AF1198" s="55">
        <f t="shared" si="257"/>
        <v>0</v>
      </c>
      <c r="AG1198" s="58">
        <f t="shared" si="258"/>
        <v>0</v>
      </c>
      <c r="AH1198" s="47"/>
      <c r="AJ1198" s="47"/>
      <c r="AL1198" s="47"/>
      <c r="AM1198" s="47" t="str">
        <f t="shared" si="259"/>
        <v/>
      </c>
    </row>
    <row r="1199" spans="1:39" s="56" customFormat="1" ht="24.75" customHeight="1">
      <c r="A1199" s="44"/>
      <c r="B1199" s="45"/>
      <c r="C1199" s="46">
        <f>IF(B1199&lt;&gt;"",VLOOKUP(B1199,'Tipo Projeto'!$A$3:$B$35,2,0),0)</f>
        <v>0</v>
      </c>
      <c r="D1199" s="47"/>
      <c r="E1199" s="47"/>
      <c r="F1199" s="48"/>
      <c r="G1199" s="47"/>
      <c r="H1199" s="49"/>
      <c r="I1199" s="50"/>
      <c r="J1199" s="51"/>
      <c r="K1199" s="52"/>
      <c r="L1199" s="53" t="str">
        <f t="shared" si="247"/>
        <v/>
      </c>
      <c r="M1199" s="48" t="str">
        <f t="shared" si="248"/>
        <v/>
      </c>
      <c r="N1199" s="54" t="str">
        <f t="shared" si="249"/>
        <v/>
      </c>
      <c r="O1199" s="55">
        <f t="shared" si="250"/>
        <v>0</v>
      </c>
      <c r="P1199" s="55">
        <f t="shared" si="251"/>
        <v>0</v>
      </c>
      <c r="Q1199" s="54">
        <f t="shared" si="252"/>
        <v>0</v>
      </c>
      <c r="R1199" s="47"/>
      <c r="T1199" s="57"/>
      <c r="U1199" s="45"/>
      <c r="V1199" s="46">
        <f>IF(U1199&lt;&gt;"",VLOOKUP(U1199,'Tipo Projeto'!$A$3:$B$35,2,0),0)</f>
        <v>0</v>
      </c>
      <c r="W1199" s="47"/>
      <c r="X1199" s="49"/>
      <c r="Y1199" s="50"/>
      <c r="Z1199" s="51"/>
      <c r="AA1199" s="52"/>
      <c r="AB1199" s="53" t="str">
        <f t="shared" si="253"/>
        <v/>
      </c>
      <c r="AC1199" s="48" t="str">
        <f t="shared" si="254"/>
        <v/>
      </c>
      <c r="AD1199" s="54" t="str">
        <f t="shared" si="255"/>
        <v/>
      </c>
      <c r="AE1199" s="55">
        <f t="shared" si="256"/>
        <v>0</v>
      </c>
      <c r="AF1199" s="55">
        <f t="shared" si="257"/>
        <v>0</v>
      </c>
      <c r="AG1199" s="58">
        <f t="shared" si="258"/>
        <v>0</v>
      </c>
      <c r="AH1199" s="47"/>
      <c r="AJ1199" s="47"/>
      <c r="AL1199" s="47"/>
      <c r="AM1199" s="47" t="str">
        <f t="shared" si="259"/>
        <v/>
      </c>
    </row>
    <row r="1200" spans="1:39" s="56" customFormat="1" ht="24.75" customHeight="1">
      <c r="A1200" s="44"/>
      <c r="B1200" s="45"/>
      <c r="C1200" s="46">
        <f>IF(B1200&lt;&gt;"",VLOOKUP(B1200,'Tipo Projeto'!$A$3:$B$35,2,0),0)</f>
        <v>0</v>
      </c>
      <c r="D1200" s="47"/>
      <c r="E1200" s="47"/>
      <c r="F1200" s="48"/>
      <c r="G1200" s="47"/>
      <c r="H1200" s="49"/>
      <c r="I1200" s="50"/>
      <c r="J1200" s="51"/>
      <c r="K1200" s="52"/>
      <c r="L1200" s="53" t="str">
        <f t="shared" si="247"/>
        <v/>
      </c>
      <c r="M1200" s="48" t="str">
        <f t="shared" si="248"/>
        <v/>
      </c>
      <c r="N1200" s="54" t="str">
        <f t="shared" si="249"/>
        <v/>
      </c>
      <c r="O1200" s="55">
        <f t="shared" si="250"/>
        <v>0</v>
      </c>
      <c r="P1200" s="55">
        <f t="shared" si="251"/>
        <v>0</v>
      </c>
      <c r="Q1200" s="54">
        <f t="shared" si="252"/>
        <v>0</v>
      </c>
      <c r="R1200" s="47"/>
      <c r="T1200" s="57"/>
      <c r="U1200" s="45"/>
      <c r="V1200" s="46">
        <f>IF(U1200&lt;&gt;"",VLOOKUP(U1200,'Tipo Projeto'!$A$3:$B$35,2,0),0)</f>
        <v>0</v>
      </c>
      <c r="W1200" s="47"/>
      <c r="X1200" s="49"/>
      <c r="Y1200" s="50"/>
      <c r="Z1200" s="51"/>
      <c r="AA1200" s="52"/>
      <c r="AB1200" s="53" t="str">
        <f t="shared" si="253"/>
        <v/>
      </c>
      <c r="AC1200" s="48" t="str">
        <f t="shared" si="254"/>
        <v/>
      </c>
      <c r="AD1200" s="54" t="str">
        <f t="shared" si="255"/>
        <v/>
      </c>
      <c r="AE1200" s="55">
        <f t="shared" si="256"/>
        <v>0</v>
      </c>
      <c r="AF1200" s="55">
        <f t="shared" si="257"/>
        <v>0</v>
      </c>
      <c r="AG1200" s="58">
        <f t="shared" si="258"/>
        <v>0</v>
      </c>
      <c r="AH1200" s="47"/>
      <c r="AJ1200" s="47"/>
      <c r="AL1200" s="47"/>
      <c r="AM1200" s="47" t="str">
        <f t="shared" si="259"/>
        <v/>
      </c>
    </row>
    <row r="1201" spans="1:39" s="56" customFormat="1" ht="24.75" customHeight="1">
      <c r="A1201" s="44"/>
      <c r="B1201" s="45"/>
      <c r="C1201" s="46">
        <f>IF(B1201&lt;&gt;"",VLOOKUP(B1201,'Tipo Projeto'!$A$3:$B$35,2,0),0)</f>
        <v>0</v>
      </c>
      <c r="D1201" s="47"/>
      <c r="E1201" s="47"/>
      <c r="F1201" s="48"/>
      <c r="G1201" s="47"/>
      <c r="H1201" s="49"/>
      <c r="I1201" s="50"/>
      <c r="J1201" s="51"/>
      <c r="K1201" s="52"/>
      <c r="L1201" s="53" t="str">
        <f t="shared" si="247"/>
        <v/>
      </c>
      <c r="M1201" s="48" t="str">
        <f t="shared" si="248"/>
        <v/>
      </c>
      <c r="N1201" s="54" t="str">
        <f t="shared" si="249"/>
        <v/>
      </c>
      <c r="O1201" s="55">
        <f t="shared" si="250"/>
        <v>0</v>
      </c>
      <c r="P1201" s="55">
        <f t="shared" si="251"/>
        <v>0</v>
      </c>
      <c r="Q1201" s="54">
        <f t="shared" si="252"/>
        <v>0</v>
      </c>
      <c r="R1201" s="47"/>
      <c r="T1201" s="57"/>
      <c r="U1201" s="45"/>
      <c r="V1201" s="46">
        <f>IF(U1201&lt;&gt;"",VLOOKUP(U1201,'Tipo Projeto'!$A$3:$B$35,2,0),0)</f>
        <v>0</v>
      </c>
      <c r="W1201" s="47"/>
      <c r="X1201" s="49"/>
      <c r="Y1201" s="50"/>
      <c r="Z1201" s="51"/>
      <c r="AA1201" s="52"/>
      <c r="AB1201" s="53" t="str">
        <f t="shared" si="253"/>
        <v/>
      </c>
      <c r="AC1201" s="48" t="str">
        <f t="shared" si="254"/>
        <v/>
      </c>
      <c r="AD1201" s="54" t="str">
        <f t="shared" si="255"/>
        <v/>
      </c>
      <c r="AE1201" s="55">
        <f t="shared" si="256"/>
        <v>0</v>
      </c>
      <c r="AF1201" s="55">
        <f t="shared" si="257"/>
        <v>0</v>
      </c>
      <c r="AG1201" s="58">
        <f t="shared" si="258"/>
        <v>0</v>
      </c>
      <c r="AH1201" s="47"/>
      <c r="AJ1201" s="47"/>
      <c r="AL1201" s="47"/>
      <c r="AM1201" s="47" t="str">
        <f t="shared" si="259"/>
        <v/>
      </c>
    </row>
    <row r="1202" spans="1:39" s="56" customFormat="1" ht="24.75" customHeight="1">
      <c r="A1202" s="44"/>
      <c r="B1202" s="45"/>
      <c r="C1202" s="46">
        <f>IF(B1202&lt;&gt;"",VLOOKUP(B1202,'Tipo Projeto'!$A$3:$B$35,2,0),0)</f>
        <v>0</v>
      </c>
      <c r="D1202" s="47"/>
      <c r="E1202" s="47"/>
      <c r="F1202" s="48"/>
      <c r="G1202" s="47"/>
      <c r="H1202" s="49"/>
      <c r="I1202" s="50"/>
      <c r="J1202" s="51"/>
      <c r="K1202" s="52"/>
      <c r="L1202" s="53" t="str">
        <f t="shared" si="247"/>
        <v/>
      </c>
      <c r="M1202" s="48" t="str">
        <f t="shared" si="248"/>
        <v/>
      </c>
      <c r="N1202" s="54" t="str">
        <f t="shared" si="249"/>
        <v/>
      </c>
      <c r="O1202" s="55">
        <f t="shared" si="250"/>
        <v>0</v>
      </c>
      <c r="P1202" s="55">
        <f t="shared" si="251"/>
        <v>0</v>
      </c>
      <c r="Q1202" s="54">
        <f t="shared" si="252"/>
        <v>0</v>
      </c>
      <c r="R1202" s="47"/>
      <c r="T1202" s="57"/>
      <c r="U1202" s="45"/>
      <c r="V1202" s="46">
        <f>IF(U1202&lt;&gt;"",VLOOKUP(U1202,'Tipo Projeto'!$A$3:$B$35,2,0),0)</f>
        <v>0</v>
      </c>
      <c r="W1202" s="47"/>
      <c r="X1202" s="49"/>
      <c r="Y1202" s="50"/>
      <c r="Z1202" s="51"/>
      <c r="AA1202" s="52"/>
      <c r="AB1202" s="53" t="str">
        <f t="shared" si="253"/>
        <v/>
      </c>
      <c r="AC1202" s="48" t="str">
        <f t="shared" si="254"/>
        <v/>
      </c>
      <c r="AD1202" s="54" t="str">
        <f t="shared" si="255"/>
        <v/>
      </c>
      <c r="AE1202" s="55">
        <f t="shared" si="256"/>
        <v>0</v>
      </c>
      <c r="AF1202" s="55">
        <f t="shared" si="257"/>
        <v>0</v>
      </c>
      <c r="AG1202" s="58">
        <f t="shared" si="258"/>
        <v>0</v>
      </c>
      <c r="AH1202" s="47"/>
      <c r="AJ1202" s="47"/>
      <c r="AL1202" s="47"/>
      <c r="AM1202" s="47" t="str">
        <f t="shared" si="259"/>
        <v/>
      </c>
    </row>
    <row r="1203" spans="1:39" s="56" customFormat="1" ht="24.75" customHeight="1">
      <c r="A1203" s="44"/>
      <c r="B1203" s="45"/>
      <c r="C1203" s="46">
        <f>IF(B1203&lt;&gt;"",VLOOKUP(B1203,'Tipo Projeto'!$A$3:$B$35,2,0),0)</f>
        <v>0</v>
      </c>
      <c r="D1203" s="47"/>
      <c r="E1203" s="47"/>
      <c r="F1203" s="48"/>
      <c r="G1203" s="47"/>
      <c r="H1203" s="49"/>
      <c r="I1203" s="50"/>
      <c r="J1203" s="51"/>
      <c r="K1203" s="52"/>
      <c r="L1203" s="53" t="str">
        <f t="shared" si="247"/>
        <v/>
      </c>
      <c r="M1203" s="48" t="str">
        <f t="shared" si="248"/>
        <v/>
      </c>
      <c r="N1203" s="54" t="str">
        <f t="shared" si="249"/>
        <v/>
      </c>
      <c r="O1203" s="55">
        <f t="shared" si="250"/>
        <v>0</v>
      </c>
      <c r="P1203" s="55">
        <f t="shared" si="251"/>
        <v>0</v>
      </c>
      <c r="Q1203" s="54">
        <f t="shared" si="252"/>
        <v>0</v>
      </c>
      <c r="R1203" s="47"/>
      <c r="T1203" s="57"/>
      <c r="U1203" s="45"/>
      <c r="V1203" s="46">
        <f>IF(U1203&lt;&gt;"",VLOOKUP(U1203,'Tipo Projeto'!$A$3:$B$35,2,0),0)</f>
        <v>0</v>
      </c>
      <c r="W1203" s="47"/>
      <c r="X1203" s="49"/>
      <c r="Y1203" s="50"/>
      <c r="Z1203" s="51"/>
      <c r="AA1203" s="52"/>
      <c r="AB1203" s="53" t="str">
        <f t="shared" si="253"/>
        <v/>
      </c>
      <c r="AC1203" s="48" t="str">
        <f t="shared" si="254"/>
        <v/>
      </c>
      <c r="AD1203" s="54" t="str">
        <f t="shared" si="255"/>
        <v/>
      </c>
      <c r="AE1203" s="55">
        <f t="shared" si="256"/>
        <v>0</v>
      </c>
      <c r="AF1203" s="55">
        <f t="shared" si="257"/>
        <v>0</v>
      </c>
      <c r="AG1203" s="58">
        <f t="shared" si="258"/>
        <v>0</v>
      </c>
      <c r="AH1203" s="47"/>
      <c r="AJ1203" s="47"/>
      <c r="AL1203" s="47"/>
      <c r="AM1203" s="47" t="str">
        <f t="shared" si="259"/>
        <v/>
      </c>
    </row>
    <row r="1204" spans="1:39" s="56" customFormat="1" ht="24.75" customHeight="1">
      <c r="A1204" s="44"/>
      <c r="B1204" s="45"/>
      <c r="C1204" s="46">
        <f>IF(B1204&lt;&gt;"",VLOOKUP(B1204,'Tipo Projeto'!$A$3:$B$35,2,0),0)</f>
        <v>0</v>
      </c>
      <c r="D1204" s="47"/>
      <c r="E1204" s="47"/>
      <c r="F1204" s="48"/>
      <c r="G1204" s="47"/>
      <c r="H1204" s="49"/>
      <c r="I1204" s="50"/>
      <c r="J1204" s="51"/>
      <c r="K1204" s="52"/>
      <c r="L1204" s="53" t="str">
        <f t="shared" si="247"/>
        <v/>
      </c>
      <c r="M1204" s="48" t="str">
        <f t="shared" si="248"/>
        <v/>
      </c>
      <c r="N1204" s="54" t="str">
        <f t="shared" si="249"/>
        <v/>
      </c>
      <c r="O1204" s="55">
        <f t="shared" si="250"/>
        <v>0</v>
      </c>
      <c r="P1204" s="55">
        <f t="shared" si="251"/>
        <v>0</v>
      </c>
      <c r="Q1204" s="54">
        <f t="shared" si="252"/>
        <v>0</v>
      </c>
      <c r="R1204" s="47"/>
      <c r="T1204" s="57"/>
      <c r="U1204" s="45"/>
      <c r="V1204" s="46">
        <f>IF(U1204&lt;&gt;"",VLOOKUP(U1204,'Tipo Projeto'!$A$3:$B$35,2,0),0)</f>
        <v>0</v>
      </c>
      <c r="W1204" s="47"/>
      <c r="X1204" s="49"/>
      <c r="Y1204" s="50"/>
      <c r="Z1204" s="51"/>
      <c r="AA1204" s="52"/>
      <c r="AB1204" s="53" t="str">
        <f t="shared" si="253"/>
        <v/>
      </c>
      <c r="AC1204" s="48" t="str">
        <f t="shared" si="254"/>
        <v/>
      </c>
      <c r="AD1204" s="54" t="str">
        <f t="shared" si="255"/>
        <v/>
      </c>
      <c r="AE1204" s="55">
        <f t="shared" si="256"/>
        <v>0</v>
      </c>
      <c r="AF1204" s="55">
        <f t="shared" si="257"/>
        <v>0</v>
      </c>
      <c r="AG1204" s="58">
        <f t="shared" si="258"/>
        <v>0</v>
      </c>
      <c r="AH1204" s="47"/>
      <c r="AJ1204" s="47"/>
      <c r="AL1204" s="47"/>
      <c r="AM1204" s="47" t="str">
        <f t="shared" si="259"/>
        <v/>
      </c>
    </row>
    <row r="1205" spans="1:39" s="56" customFormat="1" ht="24.75" customHeight="1">
      <c r="A1205" s="44"/>
      <c r="B1205" s="45"/>
      <c r="C1205" s="46">
        <f>IF(B1205&lt;&gt;"",VLOOKUP(B1205,'Tipo Projeto'!$A$3:$B$35,2,0),0)</f>
        <v>0</v>
      </c>
      <c r="D1205" s="47"/>
      <c r="E1205" s="47"/>
      <c r="F1205" s="48"/>
      <c r="G1205" s="47"/>
      <c r="H1205" s="49"/>
      <c r="I1205" s="50"/>
      <c r="J1205" s="51"/>
      <c r="K1205" s="52"/>
      <c r="L1205" s="53" t="str">
        <f t="shared" ref="L1205:L1268" si="260">IF(G1205="EE",IF(OR(AND(OR(J1205=1,J1205=0),H1205&gt;0,H1205&lt;5),AND(OR(J1205=1,J1205=0),H1205&gt;4,H1205&lt;16),AND(J1205=2,H1205&gt;0,H1205&lt;5)),"Simples",IF(OR(AND(OR(J1205=1,J1205=0),H1205&gt;15),AND(J1205=2,H1205&gt;4,H1205&lt;16),AND(J1205&gt;2,H1205&gt;0,H1205&lt;5)),"Médio",IF(OR(AND(J1205=2,H1205&gt;15),AND(J1205&gt;2,H1205&gt;4,H1205&lt;16),AND(J1205&gt;2,H1205&gt;15)),"Complexo",""))), IF(OR(G1205="CE",G1205="SE"),IF(OR(AND(OR(J1205=1,J1205=0),H1205&gt;0,H1205&lt;6),AND(OR(J1205=1,J1205=0),H1205&gt;5,H1205&lt;20),AND(J1205&gt;1,J1205&lt;4,H1205&gt;0,H1205&lt;6)),"Simples",IF(OR(AND(OR(J1205=1,J1205=0),H1205&gt;19),AND(J1205&gt;1,J1205&lt;4,H1205&gt;5,H1205&lt;20),AND(J1205&gt;3,H1205&gt;0,H1205&lt;6)),"Médio",IF(OR(AND(J1205&gt;1,J1205&lt;4,H1205&gt;19),AND(J1205&gt;3,H1205&gt;5,H1205&lt;20),AND(J1205&gt;3,H1205&gt;19)),"Complexo",""))),""))</f>
        <v/>
      </c>
      <c r="M1205" s="48" t="str">
        <f t="shared" ref="M1205:M1268" si="261">IF(G1205="ALI",IF(OR(AND(OR(J1205=1,J1205=0),H1205&gt;0,H1205&lt;20),AND(OR(J1205=1,J1205=0),H1205&gt;19,H1205&lt;51),AND(J1205&gt;1,J1205&lt;6,H1205&gt;0,H1205&lt;20)),"Simples",IF(OR(AND(OR(J1205=1,J1205=0),H1205&gt;50),AND(J1205&gt;1,J1205&lt;6,H1205&gt;19,H1205&lt;51),AND(J1205&gt;5,H1205&gt;0,H1205&lt;20)),"Médio",IF(OR(AND(J1205&gt;1,J1205&lt;6,H1205&gt;50),AND(J1205&gt;5,H1205&gt;19,H1205&lt;51),AND(J1205&gt;5,H1205&gt;50)),"Complexo",""))), IF(G1205="AIE",IF(OR(AND(OR(J1205=1, J1205=0),H1205&gt;0,H1205&lt;20),AND(OR(J1205=1, J1205=0),H1205&gt;19,H1205&lt;51),AND(J1205&gt;1,J1205&lt;6,H1205&gt;0,H1205&lt;20)),"Simples",IF(OR(AND(OR(J1205=1, J1205=0),H1205&gt;50),AND(J1205&gt;1,J1205&lt;6,H1205&gt;19,H1205&lt;51),AND(J1205&gt;5,H1205&gt;0,H1205&lt;20)),"Médio",IF(OR(AND(J1205&gt;1,J1205&lt;6,H1205&gt;50),AND(J1205&gt;5,H1205&gt;19,H1205&lt;51),AND(J1205&gt;5,H1205&gt;50)),"Complexo",""))),""))</f>
        <v/>
      </c>
      <c r="N1205" s="54" t="str">
        <f t="shared" ref="N1205:N1268" si="262">IF(L1205="",M1205,IF(M1205="",L1205,""))</f>
        <v/>
      </c>
      <c r="O1205" s="55">
        <f t="shared" ref="O1205:O1268" si="263">IF(AND(OR(G1205="EE",G1205="CE"),N1205="Simples"),3, IF(AND(OR(G1205="EE",G1205="CE"),N1205="Médio"),4, IF(AND(OR(G1205="EE",G1205="CE"),N1205="Complexo"),6, IF(AND(G1205="SE",N1205="Simples"),4, IF(AND(G1205="SE",N1205="Médio"),5, IF(AND(G1205="SE",N1205="Complexo"),7,0))))))</f>
        <v>0</v>
      </c>
      <c r="P1205" s="55">
        <f t="shared" ref="P1205:P1268" si="264">IF(AND(G1205="ALI",M1205="Simples"),7, IF(AND(G1205="ALI",M1205="Médio"),10, IF(AND(G1205="ALI",M1205="Complexo"),15, IF(AND(G1205="AIE",M1205="Simples"),5, IF(AND(G1205="AIE",M1205="Médio"),7, IF(AND(G1205="AIE",M1205="Complexo"),10,0))))))</f>
        <v>0</v>
      </c>
      <c r="Q1205" s="54">
        <f t="shared" ref="Q1205:Q1268" si="265">IF(B1205&lt;&gt;"Manutenção em interface",IF(B1205&lt;&gt;"Desenv., Manutenção e Publicação de Páginas Estáticas",(O1205+P1205)*C1205,C1205),C1205)</f>
        <v>0</v>
      </c>
      <c r="R1205" s="47"/>
      <c r="T1205" s="57"/>
      <c r="U1205" s="45"/>
      <c r="V1205" s="46">
        <f>IF(U1205&lt;&gt;"",VLOOKUP(U1205,'Tipo Projeto'!$A$3:$B$35,2,0),0)</f>
        <v>0</v>
      </c>
      <c r="W1205" s="47"/>
      <c r="X1205" s="49"/>
      <c r="Y1205" s="50"/>
      <c r="Z1205" s="51"/>
      <c r="AA1205" s="52"/>
      <c r="AB1205" s="53" t="str">
        <f t="shared" ref="AB1205:AB1268" si="266">IF(W1205="EE",IF(OR(AND(OR(Z1205=1,Z1205=0),X1205&gt;0,X1205&lt;5),AND(OR(Z1205=1,Z1205=0),X1205&gt;4,X1205&lt;16),AND(Z1205=2,X1205&gt;0,X1205&lt;5)),"Simples",IF(OR(AND(OR(Z1205=1,Z1205=0),X1205&gt;15),AND(Z1205=2,X1205&gt;4,X1205&lt;16),AND(Z1205&gt;2,X1205&gt;0,X1205&lt;5)),"Médio",IF(OR(AND(Z1205=2,X1205&gt;15),AND(Z1205&gt;2,X1205&gt;4,X1205&lt;16),AND(Z1205&gt;2,X1205&gt;15)),"Complexo",""))), IF(OR(W1205="CE",W1205="SE"),IF(OR(AND(OR(Z1205=1,Z1205=0),X1205&gt;0,X1205&lt;6),AND(OR(Z1205=1,Z1205=0),X1205&gt;5,X1205&lt;20),AND(Z1205&gt;1,Z1205&lt;4,X1205&gt;0,X1205&lt;6)),"Simples",IF(OR(AND(OR(Z1205=1,Z1205=0),X1205&gt;19),AND(Z1205&gt;1,Z1205&lt;4,X1205&gt;5,X1205&lt;20),AND(Z1205&gt;3,X1205&gt;0,X1205&lt;6)),"Médio",IF(OR(AND(Z1205&gt;1,Z1205&lt;4,X1205&gt;19),AND(Z1205&gt;3,X1205&gt;5,X1205&lt;20),AND(Z1205&gt;3,X1205&gt;19)),"Complexo",""))),""))</f>
        <v/>
      </c>
      <c r="AC1205" s="48" t="str">
        <f t="shared" ref="AC1205:AC1268" si="267">IF(W1205="ALI",IF(OR(AND(OR(Z1205=1,Z1205=0),X1205&gt;0,X1205&lt;20),AND(OR(Z1205=1,Z1205=0),X1205&gt;19,X1205&lt;51),AND(Z1205&gt;1,Z1205&lt;6,X1205&gt;0,X1205&lt;20)),"Simples",IF(OR(AND(OR(Z1205=1,Z1205=0),X1205&gt;50),AND(Z1205&gt;1,Z1205&lt;6,X1205&gt;19,X1205&lt;51),AND(Z1205&gt;5,X1205&gt;0,X1205&lt;20)),"Médio",IF(OR(AND(Z1205&gt;1,Z1205&lt;6,X1205&gt;50),AND(Z1205&gt;5,X1205&gt;19,X1205&lt;51),AND(Z1205&gt;5,X1205&gt;50)),"Complexo",""))), IF(W1205="AIE",IF(OR(AND(OR(Z1205=1, Z1205=0),X1205&gt;0,X1205&lt;20),AND(OR(Z1205=1, Z1205=0),X1205&gt;19,X1205&lt;51),AND(Z1205&gt;1,Z1205&lt;6,X1205&gt;0,X1205&lt;20)),"Simples",IF(OR(AND(OR(Z1205=1, Z1205=0),X1205&gt;50),AND(Z1205&gt;1,Z1205&lt;6,X1205&gt;19,X1205&lt;51),AND(Z1205&gt;5,X1205&gt;0,X1205&lt;20)),"Médio",IF(OR(AND(Z1205&gt;1,Z1205&lt;6,X1205&gt;50),AND(Z1205&gt;5,X1205&gt;19,X1205&lt;51),AND(Z1205&gt;5,X1205&gt;50)),"Complexo",""))),""))</f>
        <v/>
      </c>
      <c r="AD1205" s="54" t="str">
        <f t="shared" ref="AD1205:AD1268" si="268">IF(AB1205="",AC1205,IF(AC1205="",AB1205,""))</f>
        <v/>
      </c>
      <c r="AE1205" s="55">
        <f t="shared" ref="AE1205:AE1268" si="269">IF(AND(OR(W1205="EE",W1205="CE"),AD1205="Simples"),3, IF(AND(OR(W1205="EE",W1205="CE"),AD1205="Médio"),4, IF(AND(OR(W1205="EE",W1205="CE"),AD1205="Complexo"),6, IF(AND(W1205="SE",AD1205="Simples"),4, IF(AND(W1205="SE",AD1205="Médio"),5, IF(AND(W1205="SE",AD1205="Complexo"),7,0))))))</f>
        <v>0</v>
      </c>
      <c r="AF1205" s="55">
        <f t="shared" ref="AF1205:AF1268" si="270">IF(AND(W1205="ALI",AC1205="Simples"),7, IF(AND(W1205="ALI",AC1205="Médio"),10, IF(AND(W1205="ALI",AC1205="Complexo"),15, IF(AND(W1205="AIE",AC1205="Simples"),5, IF(AND(W1205="AIE",AC1205="Médio"),7, IF(AND(W1205="AIE",AC1205="Complexo"),10,0))))))</f>
        <v>0</v>
      </c>
      <c r="AG1205" s="58">
        <f t="shared" ref="AG1205:AG1268" si="271">IF(T1205="OK",Q1205,( IF(U1205&lt;&gt;"Manutenção em interface",IF(U1205&lt;&gt;"Desenv., Manutenção e Publicação de Páginas Estáticas",(AE1205+AF1205)*V1205,V1205),V1205)))</f>
        <v>0</v>
      </c>
      <c r="AH1205" s="47"/>
      <c r="AJ1205" s="47"/>
      <c r="AL1205" s="47"/>
      <c r="AM1205" s="47" t="str">
        <f t="shared" ref="AM1205:AM1268" si="272">IF(AG1205=0,"",IF(AG1205=Q1205,"OK","Divergente"))</f>
        <v/>
      </c>
    </row>
    <row r="1206" spans="1:39" s="56" customFormat="1" ht="24.75" customHeight="1">
      <c r="A1206" s="44"/>
      <c r="B1206" s="45"/>
      <c r="C1206" s="46">
        <f>IF(B1206&lt;&gt;"",VLOOKUP(B1206,'Tipo Projeto'!$A$3:$B$35,2,0),0)</f>
        <v>0</v>
      </c>
      <c r="D1206" s="47"/>
      <c r="E1206" s="47"/>
      <c r="F1206" s="48"/>
      <c r="G1206" s="47"/>
      <c r="H1206" s="49"/>
      <c r="I1206" s="50"/>
      <c r="J1206" s="51"/>
      <c r="K1206" s="52"/>
      <c r="L1206" s="53" t="str">
        <f t="shared" si="260"/>
        <v/>
      </c>
      <c r="M1206" s="48" t="str">
        <f t="shared" si="261"/>
        <v/>
      </c>
      <c r="N1206" s="54" t="str">
        <f t="shared" si="262"/>
        <v/>
      </c>
      <c r="O1206" s="55">
        <f t="shared" si="263"/>
        <v>0</v>
      </c>
      <c r="P1206" s="55">
        <f t="shared" si="264"/>
        <v>0</v>
      </c>
      <c r="Q1206" s="54">
        <f t="shared" si="265"/>
        <v>0</v>
      </c>
      <c r="R1206" s="47"/>
      <c r="T1206" s="57"/>
      <c r="U1206" s="45"/>
      <c r="V1206" s="46">
        <f>IF(U1206&lt;&gt;"",VLOOKUP(U1206,'Tipo Projeto'!$A$3:$B$35,2,0),0)</f>
        <v>0</v>
      </c>
      <c r="W1206" s="47"/>
      <c r="X1206" s="49"/>
      <c r="Y1206" s="50"/>
      <c r="Z1206" s="51"/>
      <c r="AA1206" s="52"/>
      <c r="AB1206" s="53" t="str">
        <f t="shared" si="266"/>
        <v/>
      </c>
      <c r="AC1206" s="48" t="str">
        <f t="shared" si="267"/>
        <v/>
      </c>
      <c r="AD1206" s="54" t="str">
        <f t="shared" si="268"/>
        <v/>
      </c>
      <c r="AE1206" s="55">
        <f t="shared" si="269"/>
        <v>0</v>
      </c>
      <c r="AF1206" s="55">
        <f t="shared" si="270"/>
        <v>0</v>
      </c>
      <c r="AG1206" s="58">
        <f t="shared" si="271"/>
        <v>0</v>
      </c>
      <c r="AH1206" s="47"/>
      <c r="AJ1206" s="47"/>
      <c r="AL1206" s="47"/>
      <c r="AM1206" s="47" t="str">
        <f t="shared" si="272"/>
        <v/>
      </c>
    </row>
    <row r="1207" spans="1:39" s="56" customFormat="1" ht="24.75" customHeight="1">
      <c r="A1207" s="44"/>
      <c r="B1207" s="45"/>
      <c r="C1207" s="46">
        <f>IF(B1207&lt;&gt;"",VLOOKUP(B1207,'Tipo Projeto'!$A$3:$B$35,2,0),0)</f>
        <v>0</v>
      </c>
      <c r="D1207" s="47"/>
      <c r="E1207" s="47"/>
      <c r="F1207" s="48"/>
      <c r="G1207" s="47"/>
      <c r="H1207" s="49"/>
      <c r="I1207" s="50"/>
      <c r="J1207" s="51"/>
      <c r="K1207" s="52"/>
      <c r="L1207" s="53" t="str">
        <f t="shared" si="260"/>
        <v/>
      </c>
      <c r="M1207" s="48" t="str">
        <f t="shared" si="261"/>
        <v/>
      </c>
      <c r="N1207" s="54" t="str">
        <f t="shared" si="262"/>
        <v/>
      </c>
      <c r="O1207" s="55">
        <f t="shared" si="263"/>
        <v>0</v>
      </c>
      <c r="P1207" s="55">
        <f t="shared" si="264"/>
        <v>0</v>
      </c>
      <c r="Q1207" s="54">
        <f t="shared" si="265"/>
        <v>0</v>
      </c>
      <c r="R1207" s="47"/>
      <c r="T1207" s="57"/>
      <c r="U1207" s="45"/>
      <c r="V1207" s="46">
        <f>IF(U1207&lt;&gt;"",VLOOKUP(U1207,'Tipo Projeto'!$A$3:$B$35,2,0),0)</f>
        <v>0</v>
      </c>
      <c r="W1207" s="47"/>
      <c r="X1207" s="49"/>
      <c r="Y1207" s="50"/>
      <c r="Z1207" s="51"/>
      <c r="AA1207" s="52"/>
      <c r="AB1207" s="53" t="str">
        <f t="shared" si="266"/>
        <v/>
      </c>
      <c r="AC1207" s="48" t="str">
        <f t="shared" si="267"/>
        <v/>
      </c>
      <c r="AD1207" s="54" t="str">
        <f t="shared" si="268"/>
        <v/>
      </c>
      <c r="AE1207" s="55">
        <f t="shared" si="269"/>
        <v>0</v>
      </c>
      <c r="AF1207" s="55">
        <f t="shared" si="270"/>
        <v>0</v>
      </c>
      <c r="AG1207" s="58">
        <f t="shared" si="271"/>
        <v>0</v>
      </c>
      <c r="AH1207" s="47"/>
      <c r="AJ1207" s="47"/>
      <c r="AL1207" s="47"/>
      <c r="AM1207" s="47" t="str">
        <f t="shared" si="272"/>
        <v/>
      </c>
    </row>
    <row r="1208" spans="1:39" s="56" customFormat="1" ht="24.75" customHeight="1">
      <c r="A1208" s="44"/>
      <c r="B1208" s="45"/>
      <c r="C1208" s="46">
        <f>IF(B1208&lt;&gt;"",VLOOKUP(B1208,'Tipo Projeto'!$A$3:$B$35,2,0),0)</f>
        <v>0</v>
      </c>
      <c r="D1208" s="47"/>
      <c r="E1208" s="47"/>
      <c r="F1208" s="48"/>
      <c r="G1208" s="47"/>
      <c r="H1208" s="49"/>
      <c r="I1208" s="50"/>
      <c r="J1208" s="51"/>
      <c r="K1208" s="52"/>
      <c r="L1208" s="53" t="str">
        <f t="shared" si="260"/>
        <v/>
      </c>
      <c r="M1208" s="48" t="str">
        <f t="shared" si="261"/>
        <v/>
      </c>
      <c r="N1208" s="54" t="str">
        <f t="shared" si="262"/>
        <v/>
      </c>
      <c r="O1208" s="55">
        <f t="shared" si="263"/>
        <v>0</v>
      </c>
      <c r="P1208" s="55">
        <f t="shared" si="264"/>
        <v>0</v>
      </c>
      <c r="Q1208" s="54">
        <f t="shared" si="265"/>
        <v>0</v>
      </c>
      <c r="R1208" s="47"/>
      <c r="T1208" s="57"/>
      <c r="U1208" s="45"/>
      <c r="V1208" s="46">
        <f>IF(U1208&lt;&gt;"",VLOOKUP(U1208,'Tipo Projeto'!$A$3:$B$35,2,0),0)</f>
        <v>0</v>
      </c>
      <c r="W1208" s="47"/>
      <c r="X1208" s="49"/>
      <c r="Y1208" s="50"/>
      <c r="Z1208" s="51"/>
      <c r="AA1208" s="52"/>
      <c r="AB1208" s="53" t="str">
        <f t="shared" si="266"/>
        <v/>
      </c>
      <c r="AC1208" s="48" t="str">
        <f t="shared" si="267"/>
        <v/>
      </c>
      <c r="AD1208" s="54" t="str">
        <f t="shared" si="268"/>
        <v/>
      </c>
      <c r="AE1208" s="55">
        <f t="shared" si="269"/>
        <v>0</v>
      </c>
      <c r="AF1208" s="55">
        <f t="shared" si="270"/>
        <v>0</v>
      </c>
      <c r="AG1208" s="58">
        <f t="shared" si="271"/>
        <v>0</v>
      </c>
      <c r="AH1208" s="47"/>
      <c r="AJ1208" s="47"/>
      <c r="AL1208" s="47"/>
      <c r="AM1208" s="47" t="str">
        <f t="shared" si="272"/>
        <v/>
      </c>
    </row>
    <row r="1209" spans="1:39" s="56" customFormat="1" ht="24.75" customHeight="1">
      <c r="A1209" s="44"/>
      <c r="B1209" s="45"/>
      <c r="C1209" s="46">
        <f>IF(B1209&lt;&gt;"",VLOOKUP(B1209,'Tipo Projeto'!$A$3:$B$35,2,0),0)</f>
        <v>0</v>
      </c>
      <c r="D1209" s="47"/>
      <c r="E1209" s="47"/>
      <c r="F1209" s="48"/>
      <c r="G1209" s="47"/>
      <c r="H1209" s="49"/>
      <c r="I1209" s="50"/>
      <c r="J1209" s="51"/>
      <c r="K1209" s="52"/>
      <c r="L1209" s="53" t="str">
        <f t="shared" si="260"/>
        <v/>
      </c>
      <c r="M1209" s="48" t="str">
        <f t="shared" si="261"/>
        <v/>
      </c>
      <c r="N1209" s="54" t="str">
        <f t="shared" si="262"/>
        <v/>
      </c>
      <c r="O1209" s="55">
        <f t="shared" si="263"/>
        <v>0</v>
      </c>
      <c r="P1209" s="55">
        <f t="shared" si="264"/>
        <v>0</v>
      </c>
      <c r="Q1209" s="54">
        <f t="shared" si="265"/>
        <v>0</v>
      </c>
      <c r="R1209" s="47"/>
      <c r="T1209" s="57"/>
      <c r="U1209" s="45"/>
      <c r="V1209" s="46">
        <f>IF(U1209&lt;&gt;"",VLOOKUP(U1209,'Tipo Projeto'!$A$3:$B$35,2,0),0)</f>
        <v>0</v>
      </c>
      <c r="W1209" s="47"/>
      <c r="X1209" s="49"/>
      <c r="Y1209" s="50"/>
      <c r="Z1209" s="51"/>
      <c r="AA1209" s="52"/>
      <c r="AB1209" s="53" t="str">
        <f t="shared" si="266"/>
        <v/>
      </c>
      <c r="AC1209" s="48" t="str">
        <f t="shared" si="267"/>
        <v/>
      </c>
      <c r="AD1209" s="54" t="str">
        <f t="shared" si="268"/>
        <v/>
      </c>
      <c r="AE1209" s="55">
        <f t="shared" si="269"/>
        <v>0</v>
      </c>
      <c r="AF1209" s="55">
        <f t="shared" si="270"/>
        <v>0</v>
      </c>
      <c r="AG1209" s="58">
        <f t="shared" si="271"/>
        <v>0</v>
      </c>
      <c r="AH1209" s="47"/>
      <c r="AJ1209" s="47"/>
      <c r="AL1209" s="47"/>
      <c r="AM1209" s="47" t="str">
        <f t="shared" si="272"/>
        <v/>
      </c>
    </row>
    <row r="1210" spans="1:39" s="56" customFormat="1" ht="24.75" customHeight="1">
      <c r="A1210" s="44"/>
      <c r="B1210" s="45"/>
      <c r="C1210" s="46">
        <f>IF(B1210&lt;&gt;"",VLOOKUP(B1210,'Tipo Projeto'!$A$3:$B$35,2,0),0)</f>
        <v>0</v>
      </c>
      <c r="D1210" s="47"/>
      <c r="E1210" s="47"/>
      <c r="F1210" s="48"/>
      <c r="G1210" s="47"/>
      <c r="H1210" s="49"/>
      <c r="I1210" s="50"/>
      <c r="J1210" s="51"/>
      <c r="K1210" s="52"/>
      <c r="L1210" s="53" t="str">
        <f t="shared" si="260"/>
        <v/>
      </c>
      <c r="M1210" s="48" t="str">
        <f t="shared" si="261"/>
        <v/>
      </c>
      <c r="N1210" s="54" t="str">
        <f t="shared" si="262"/>
        <v/>
      </c>
      <c r="O1210" s="55">
        <f t="shared" si="263"/>
        <v>0</v>
      </c>
      <c r="P1210" s="55">
        <f t="shared" si="264"/>
        <v>0</v>
      </c>
      <c r="Q1210" s="54">
        <f t="shared" si="265"/>
        <v>0</v>
      </c>
      <c r="R1210" s="47"/>
      <c r="T1210" s="57"/>
      <c r="U1210" s="45"/>
      <c r="V1210" s="46">
        <f>IF(U1210&lt;&gt;"",VLOOKUP(U1210,'Tipo Projeto'!$A$3:$B$35,2,0),0)</f>
        <v>0</v>
      </c>
      <c r="W1210" s="47"/>
      <c r="X1210" s="49"/>
      <c r="Y1210" s="50"/>
      <c r="Z1210" s="51"/>
      <c r="AA1210" s="52"/>
      <c r="AB1210" s="53" t="str">
        <f t="shared" si="266"/>
        <v/>
      </c>
      <c r="AC1210" s="48" t="str">
        <f t="shared" si="267"/>
        <v/>
      </c>
      <c r="AD1210" s="54" t="str">
        <f t="shared" si="268"/>
        <v/>
      </c>
      <c r="AE1210" s="55">
        <f t="shared" si="269"/>
        <v>0</v>
      </c>
      <c r="AF1210" s="55">
        <f t="shared" si="270"/>
        <v>0</v>
      </c>
      <c r="AG1210" s="58">
        <f t="shared" si="271"/>
        <v>0</v>
      </c>
      <c r="AH1210" s="47"/>
      <c r="AJ1210" s="47"/>
      <c r="AL1210" s="47"/>
      <c r="AM1210" s="47" t="str">
        <f t="shared" si="272"/>
        <v/>
      </c>
    </row>
    <row r="1211" spans="1:39" s="56" customFormat="1" ht="24.75" customHeight="1">
      <c r="A1211" s="44"/>
      <c r="B1211" s="45"/>
      <c r="C1211" s="46">
        <f>IF(B1211&lt;&gt;"",VLOOKUP(B1211,'Tipo Projeto'!$A$3:$B$35,2,0),0)</f>
        <v>0</v>
      </c>
      <c r="D1211" s="47"/>
      <c r="E1211" s="47"/>
      <c r="F1211" s="48"/>
      <c r="G1211" s="47"/>
      <c r="H1211" s="49"/>
      <c r="I1211" s="50"/>
      <c r="J1211" s="51"/>
      <c r="K1211" s="52"/>
      <c r="L1211" s="53" t="str">
        <f t="shared" si="260"/>
        <v/>
      </c>
      <c r="M1211" s="48" t="str">
        <f t="shared" si="261"/>
        <v/>
      </c>
      <c r="N1211" s="54" t="str">
        <f t="shared" si="262"/>
        <v/>
      </c>
      <c r="O1211" s="55">
        <f t="shared" si="263"/>
        <v>0</v>
      </c>
      <c r="P1211" s="55">
        <f t="shared" si="264"/>
        <v>0</v>
      </c>
      <c r="Q1211" s="54">
        <f t="shared" si="265"/>
        <v>0</v>
      </c>
      <c r="R1211" s="47"/>
      <c r="T1211" s="57"/>
      <c r="U1211" s="45"/>
      <c r="V1211" s="46">
        <f>IF(U1211&lt;&gt;"",VLOOKUP(U1211,'Tipo Projeto'!$A$3:$B$35,2,0),0)</f>
        <v>0</v>
      </c>
      <c r="W1211" s="47"/>
      <c r="X1211" s="49"/>
      <c r="Y1211" s="50"/>
      <c r="Z1211" s="51"/>
      <c r="AA1211" s="52"/>
      <c r="AB1211" s="53" t="str">
        <f t="shared" si="266"/>
        <v/>
      </c>
      <c r="AC1211" s="48" t="str">
        <f t="shared" si="267"/>
        <v/>
      </c>
      <c r="AD1211" s="54" t="str">
        <f t="shared" si="268"/>
        <v/>
      </c>
      <c r="AE1211" s="55">
        <f t="shared" si="269"/>
        <v>0</v>
      </c>
      <c r="AF1211" s="55">
        <f t="shared" si="270"/>
        <v>0</v>
      </c>
      <c r="AG1211" s="58">
        <f t="shared" si="271"/>
        <v>0</v>
      </c>
      <c r="AH1211" s="47"/>
      <c r="AJ1211" s="47"/>
      <c r="AL1211" s="47"/>
      <c r="AM1211" s="47" t="str">
        <f t="shared" si="272"/>
        <v/>
      </c>
    </row>
    <row r="1212" spans="1:39" s="56" customFormat="1" ht="24.75" customHeight="1">
      <c r="A1212" s="44"/>
      <c r="B1212" s="45"/>
      <c r="C1212" s="46">
        <f>IF(B1212&lt;&gt;"",VLOOKUP(B1212,'Tipo Projeto'!$A$3:$B$35,2,0),0)</f>
        <v>0</v>
      </c>
      <c r="D1212" s="47"/>
      <c r="E1212" s="47"/>
      <c r="F1212" s="48"/>
      <c r="G1212" s="47"/>
      <c r="H1212" s="49"/>
      <c r="I1212" s="50"/>
      <c r="J1212" s="51"/>
      <c r="K1212" s="52"/>
      <c r="L1212" s="53" t="str">
        <f t="shared" si="260"/>
        <v/>
      </c>
      <c r="M1212" s="48" t="str">
        <f t="shared" si="261"/>
        <v/>
      </c>
      <c r="N1212" s="54" t="str">
        <f t="shared" si="262"/>
        <v/>
      </c>
      <c r="O1212" s="55">
        <f t="shared" si="263"/>
        <v>0</v>
      </c>
      <c r="P1212" s="55">
        <f t="shared" si="264"/>
        <v>0</v>
      </c>
      <c r="Q1212" s="54">
        <f t="shared" si="265"/>
        <v>0</v>
      </c>
      <c r="R1212" s="47"/>
      <c r="T1212" s="57"/>
      <c r="U1212" s="45"/>
      <c r="V1212" s="46">
        <f>IF(U1212&lt;&gt;"",VLOOKUP(U1212,'Tipo Projeto'!$A$3:$B$35,2,0),0)</f>
        <v>0</v>
      </c>
      <c r="W1212" s="47"/>
      <c r="X1212" s="49"/>
      <c r="Y1212" s="50"/>
      <c r="Z1212" s="51"/>
      <c r="AA1212" s="52"/>
      <c r="AB1212" s="53" t="str">
        <f t="shared" si="266"/>
        <v/>
      </c>
      <c r="AC1212" s="48" t="str">
        <f t="shared" si="267"/>
        <v/>
      </c>
      <c r="AD1212" s="54" t="str">
        <f t="shared" si="268"/>
        <v/>
      </c>
      <c r="AE1212" s="55">
        <f t="shared" si="269"/>
        <v>0</v>
      </c>
      <c r="AF1212" s="55">
        <f t="shared" si="270"/>
        <v>0</v>
      </c>
      <c r="AG1212" s="58">
        <f t="shared" si="271"/>
        <v>0</v>
      </c>
      <c r="AH1212" s="47"/>
      <c r="AJ1212" s="47"/>
      <c r="AL1212" s="47"/>
      <c r="AM1212" s="47" t="str">
        <f t="shared" si="272"/>
        <v/>
      </c>
    </row>
    <row r="1213" spans="1:39" s="56" customFormat="1" ht="24.75" customHeight="1">
      <c r="A1213" s="44"/>
      <c r="B1213" s="45"/>
      <c r="C1213" s="46">
        <f>IF(B1213&lt;&gt;"",VLOOKUP(B1213,'Tipo Projeto'!$A$3:$B$35,2,0),0)</f>
        <v>0</v>
      </c>
      <c r="D1213" s="47"/>
      <c r="E1213" s="47"/>
      <c r="F1213" s="48"/>
      <c r="G1213" s="47"/>
      <c r="H1213" s="49"/>
      <c r="I1213" s="50"/>
      <c r="J1213" s="51"/>
      <c r="K1213" s="52"/>
      <c r="L1213" s="53" t="str">
        <f t="shared" si="260"/>
        <v/>
      </c>
      <c r="M1213" s="48" t="str">
        <f t="shared" si="261"/>
        <v/>
      </c>
      <c r="N1213" s="54" t="str">
        <f t="shared" si="262"/>
        <v/>
      </c>
      <c r="O1213" s="55">
        <f t="shared" si="263"/>
        <v>0</v>
      </c>
      <c r="P1213" s="55">
        <f t="shared" si="264"/>
        <v>0</v>
      </c>
      <c r="Q1213" s="54">
        <f t="shared" si="265"/>
        <v>0</v>
      </c>
      <c r="R1213" s="47"/>
      <c r="T1213" s="57"/>
      <c r="U1213" s="45"/>
      <c r="V1213" s="46">
        <f>IF(U1213&lt;&gt;"",VLOOKUP(U1213,'Tipo Projeto'!$A$3:$B$35,2,0),0)</f>
        <v>0</v>
      </c>
      <c r="W1213" s="47"/>
      <c r="X1213" s="49"/>
      <c r="Y1213" s="50"/>
      <c r="Z1213" s="51"/>
      <c r="AA1213" s="52"/>
      <c r="AB1213" s="53" t="str">
        <f t="shared" si="266"/>
        <v/>
      </c>
      <c r="AC1213" s="48" t="str">
        <f t="shared" si="267"/>
        <v/>
      </c>
      <c r="AD1213" s="54" t="str">
        <f t="shared" si="268"/>
        <v/>
      </c>
      <c r="AE1213" s="55">
        <f t="shared" si="269"/>
        <v>0</v>
      </c>
      <c r="AF1213" s="55">
        <f t="shared" si="270"/>
        <v>0</v>
      </c>
      <c r="AG1213" s="58">
        <f t="shared" si="271"/>
        <v>0</v>
      </c>
      <c r="AH1213" s="47"/>
      <c r="AJ1213" s="47"/>
      <c r="AL1213" s="47"/>
      <c r="AM1213" s="47" t="str">
        <f t="shared" si="272"/>
        <v/>
      </c>
    </row>
    <row r="1214" spans="1:39" s="56" customFormat="1" ht="24.75" customHeight="1">
      <c r="A1214" s="44"/>
      <c r="B1214" s="45"/>
      <c r="C1214" s="46">
        <f>IF(B1214&lt;&gt;"",VLOOKUP(B1214,'Tipo Projeto'!$A$3:$B$35,2,0),0)</f>
        <v>0</v>
      </c>
      <c r="D1214" s="47"/>
      <c r="E1214" s="47"/>
      <c r="F1214" s="48"/>
      <c r="G1214" s="47"/>
      <c r="H1214" s="49"/>
      <c r="I1214" s="50"/>
      <c r="J1214" s="51"/>
      <c r="K1214" s="52"/>
      <c r="L1214" s="53" t="str">
        <f t="shared" si="260"/>
        <v/>
      </c>
      <c r="M1214" s="48" t="str">
        <f t="shared" si="261"/>
        <v/>
      </c>
      <c r="N1214" s="54" t="str">
        <f t="shared" si="262"/>
        <v/>
      </c>
      <c r="O1214" s="55">
        <f t="shared" si="263"/>
        <v>0</v>
      </c>
      <c r="P1214" s="55">
        <f t="shared" si="264"/>
        <v>0</v>
      </c>
      <c r="Q1214" s="54">
        <f t="shared" si="265"/>
        <v>0</v>
      </c>
      <c r="R1214" s="47"/>
      <c r="T1214" s="57"/>
      <c r="U1214" s="45"/>
      <c r="V1214" s="46">
        <f>IF(U1214&lt;&gt;"",VLOOKUP(U1214,'Tipo Projeto'!$A$3:$B$35,2,0),0)</f>
        <v>0</v>
      </c>
      <c r="W1214" s="47"/>
      <c r="X1214" s="49"/>
      <c r="Y1214" s="50"/>
      <c r="Z1214" s="51"/>
      <c r="AA1214" s="52"/>
      <c r="AB1214" s="53" t="str">
        <f t="shared" si="266"/>
        <v/>
      </c>
      <c r="AC1214" s="48" t="str">
        <f t="shared" si="267"/>
        <v/>
      </c>
      <c r="AD1214" s="54" t="str">
        <f t="shared" si="268"/>
        <v/>
      </c>
      <c r="AE1214" s="55">
        <f t="shared" si="269"/>
        <v>0</v>
      </c>
      <c r="AF1214" s="55">
        <f t="shared" si="270"/>
        <v>0</v>
      </c>
      <c r="AG1214" s="58">
        <f t="shared" si="271"/>
        <v>0</v>
      </c>
      <c r="AH1214" s="47"/>
      <c r="AJ1214" s="47"/>
      <c r="AL1214" s="47"/>
      <c r="AM1214" s="47" t="str">
        <f t="shared" si="272"/>
        <v/>
      </c>
    </row>
    <row r="1215" spans="1:39" s="56" customFormat="1" ht="24.75" customHeight="1">
      <c r="A1215" s="44"/>
      <c r="B1215" s="45"/>
      <c r="C1215" s="46">
        <f>IF(B1215&lt;&gt;"",VLOOKUP(B1215,'Tipo Projeto'!$A$3:$B$35,2,0),0)</f>
        <v>0</v>
      </c>
      <c r="D1215" s="47"/>
      <c r="E1215" s="47"/>
      <c r="F1215" s="48"/>
      <c r="G1215" s="47"/>
      <c r="H1215" s="49"/>
      <c r="I1215" s="50"/>
      <c r="J1215" s="51"/>
      <c r="K1215" s="52"/>
      <c r="L1215" s="53" t="str">
        <f t="shared" si="260"/>
        <v/>
      </c>
      <c r="M1215" s="48" t="str">
        <f t="shared" si="261"/>
        <v/>
      </c>
      <c r="N1215" s="54" t="str">
        <f t="shared" si="262"/>
        <v/>
      </c>
      <c r="O1215" s="55">
        <f t="shared" si="263"/>
        <v>0</v>
      </c>
      <c r="P1215" s="55">
        <f t="shared" si="264"/>
        <v>0</v>
      </c>
      <c r="Q1215" s="54">
        <f t="shared" si="265"/>
        <v>0</v>
      </c>
      <c r="R1215" s="47"/>
      <c r="T1215" s="57"/>
      <c r="U1215" s="45"/>
      <c r="V1215" s="46">
        <f>IF(U1215&lt;&gt;"",VLOOKUP(U1215,'Tipo Projeto'!$A$3:$B$35,2,0),0)</f>
        <v>0</v>
      </c>
      <c r="W1215" s="47"/>
      <c r="X1215" s="49"/>
      <c r="Y1215" s="50"/>
      <c r="Z1215" s="51"/>
      <c r="AA1215" s="52"/>
      <c r="AB1215" s="53" t="str">
        <f t="shared" si="266"/>
        <v/>
      </c>
      <c r="AC1215" s="48" t="str">
        <f t="shared" si="267"/>
        <v/>
      </c>
      <c r="AD1215" s="54" t="str">
        <f t="shared" si="268"/>
        <v/>
      </c>
      <c r="AE1215" s="55">
        <f t="shared" si="269"/>
        <v>0</v>
      </c>
      <c r="AF1215" s="55">
        <f t="shared" si="270"/>
        <v>0</v>
      </c>
      <c r="AG1215" s="58">
        <f t="shared" si="271"/>
        <v>0</v>
      </c>
      <c r="AH1215" s="47"/>
      <c r="AJ1215" s="47"/>
      <c r="AL1215" s="47"/>
      <c r="AM1215" s="47" t="str">
        <f t="shared" si="272"/>
        <v/>
      </c>
    </row>
    <row r="1216" spans="1:39" s="56" customFormat="1" ht="24.75" customHeight="1">
      <c r="A1216" s="44"/>
      <c r="B1216" s="45"/>
      <c r="C1216" s="46">
        <f>IF(B1216&lt;&gt;"",VLOOKUP(B1216,'Tipo Projeto'!$A$3:$B$35,2,0),0)</f>
        <v>0</v>
      </c>
      <c r="D1216" s="47"/>
      <c r="E1216" s="47"/>
      <c r="F1216" s="48"/>
      <c r="G1216" s="47"/>
      <c r="H1216" s="49"/>
      <c r="I1216" s="50"/>
      <c r="J1216" s="51"/>
      <c r="K1216" s="52"/>
      <c r="L1216" s="53" t="str">
        <f t="shared" si="260"/>
        <v/>
      </c>
      <c r="M1216" s="48" t="str">
        <f t="shared" si="261"/>
        <v/>
      </c>
      <c r="N1216" s="54" t="str">
        <f t="shared" si="262"/>
        <v/>
      </c>
      <c r="O1216" s="55">
        <f t="shared" si="263"/>
        <v>0</v>
      </c>
      <c r="P1216" s="55">
        <f t="shared" si="264"/>
        <v>0</v>
      </c>
      <c r="Q1216" s="54">
        <f t="shared" si="265"/>
        <v>0</v>
      </c>
      <c r="R1216" s="47"/>
      <c r="T1216" s="57"/>
      <c r="U1216" s="45"/>
      <c r="V1216" s="46">
        <f>IF(U1216&lt;&gt;"",VLOOKUP(U1216,'Tipo Projeto'!$A$3:$B$35,2,0),0)</f>
        <v>0</v>
      </c>
      <c r="W1216" s="47"/>
      <c r="X1216" s="49"/>
      <c r="Y1216" s="50"/>
      <c r="Z1216" s="51"/>
      <c r="AA1216" s="52"/>
      <c r="AB1216" s="53" t="str">
        <f t="shared" si="266"/>
        <v/>
      </c>
      <c r="AC1216" s="48" t="str">
        <f t="shared" si="267"/>
        <v/>
      </c>
      <c r="AD1216" s="54" t="str">
        <f t="shared" si="268"/>
        <v/>
      </c>
      <c r="AE1216" s="55">
        <f t="shared" si="269"/>
        <v>0</v>
      </c>
      <c r="AF1216" s="55">
        <f t="shared" si="270"/>
        <v>0</v>
      </c>
      <c r="AG1216" s="58">
        <f t="shared" si="271"/>
        <v>0</v>
      </c>
      <c r="AH1216" s="47"/>
      <c r="AJ1216" s="47"/>
      <c r="AL1216" s="47"/>
      <c r="AM1216" s="47" t="str">
        <f t="shared" si="272"/>
        <v/>
      </c>
    </row>
    <row r="1217" spans="1:39" s="56" customFormat="1" ht="24.75" customHeight="1">
      <c r="A1217" s="44"/>
      <c r="B1217" s="45"/>
      <c r="C1217" s="46">
        <f>IF(B1217&lt;&gt;"",VLOOKUP(B1217,'Tipo Projeto'!$A$3:$B$35,2,0),0)</f>
        <v>0</v>
      </c>
      <c r="D1217" s="47"/>
      <c r="E1217" s="47"/>
      <c r="F1217" s="48"/>
      <c r="G1217" s="47"/>
      <c r="H1217" s="49"/>
      <c r="I1217" s="50"/>
      <c r="J1217" s="51"/>
      <c r="K1217" s="52"/>
      <c r="L1217" s="53" t="str">
        <f t="shared" si="260"/>
        <v/>
      </c>
      <c r="M1217" s="48" t="str">
        <f t="shared" si="261"/>
        <v/>
      </c>
      <c r="N1217" s="54" t="str">
        <f t="shared" si="262"/>
        <v/>
      </c>
      <c r="O1217" s="55">
        <f t="shared" si="263"/>
        <v>0</v>
      </c>
      <c r="P1217" s="55">
        <f t="shared" si="264"/>
        <v>0</v>
      </c>
      <c r="Q1217" s="54">
        <f t="shared" si="265"/>
        <v>0</v>
      </c>
      <c r="R1217" s="47"/>
      <c r="T1217" s="57"/>
      <c r="U1217" s="45"/>
      <c r="V1217" s="46">
        <f>IF(U1217&lt;&gt;"",VLOOKUP(U1217,'Tipo Projeto'!$A$3:$B$35,2,0),0)</f>
        <v>0</v>
      </c>
      <c r="W1217" s="47"/>
      <c r="X1217" s="49"/>
      <c r="Y1217" s="50"/>
      <c r="Z1217" s="51"/>
      <c r="AA1217" s="52"/>
      <c r="AB1217" s="53" t="str">
        <f t="shared" si="266"/>
        <v/>
      </c>
      <c r="AC1217" s="48" t="str">
        <f t="shared" si="267"/>
        <v/>
      </c>
      <c r="AD1217" s="54" t="str">
        <f t="shared" si="268"/>
        <v/>
      </c>
      <c r="AE1217" s="55">
        <f t="shared" si="269"/>
        <v>0</v>
      </c>
      <c r="AF1217" s="55">
        <f t="shared" si="270"/>
        <v>0</v>
      </c>
      <c r="AG1217" s="58">
        <f t="shared" si="271"/>
        <v>0</v>
      </c>
      <c r="AH1217" s="47"/>
      <c r="AJ1217" s="47"/>
      <c r="AL1217" s="47"/>
      <c r="AM1217" s="47" t="str">
        <f t="shared" si="272"/>
        <v/>
      </c>
    </row>
    <row r="1218" spans="1:39" s="56" customFormat="1" ht="24.75" customHeight="1">
      <c r="A1218" s="44"/>
      <c r="B1218" s="45"/>
      <c r="C1218" s="46">
        <f>IF(B1218&lt;&gt;"",VLOOKUP(B1218,'Tipo Projeto'!$A$3:$B$35,2,0),0)</f>
        <v>0</v>
      </c>
      <c r="D1218" s="47"/>
      <c r="E1218" s="47"/>
      <c r="F1218" s="48"/>
      <c r="G1218" s="47"/>
      <c r="H1218" s="49"/>
      <c r="I1218" s="50"/>
      <c r="J1218" s="51"/>
      <c r="K1218" s="52"/>
      <c r="L1218" s="53" t="str">
        <f t="shared" si="260"/>
        <v/>
      </c>
      <c r="M1218" s="48" t="str">
        <f t="shared" si="261"/>
        <v/>
      </c>
      <c r="N1218" s="54" t="str">
        <f t="shared" si="262"/>
        <v/>
      </c>
      <c r="O1218" s="55">
        <f t="shared" si="263"/>
        <v>0</v>
      </c>
      <c r="P1218" s="55">
        <f t="shared" si="264"/>
        <v>0</v>
      </c>
      <c r="Q1218" s="54">
        <f t="shared" si="265"/>
        <v>0</v>
      </c>
      <c r="R1218" s="47"/>
      <c r="T1218" s="57"/>
      <c r="U1218" s="45"/>
      <c r="V1218" s="46">
        <f>IF(U1218&lt;&gt;"",VLOOKUP(U1218,'Tipo Projeto'!$A$3:$B$35,2,0),0)</f>
        <v>0</v>
      </c>
      <c r="W1218" s="47"/>
      <c r="X1218" s="49"/>
      <c r="Y1218" s="50"/>
      <c r="Z1218" s="51"/>
      <c r="AA1218" s="52"/>
      <c r="AB1218" s="53" t="str">
        <f t="shared" si="266"/>
        <v/>
      </c>
      <c r="AC1218" s="48" t="str">
        <f t="shared" si="267"/>
        <v/>
      </c>
      <c r="AD1218" s="54" t="str">
        <f t="shared" si="268"/>
        <v/>
      </c>
      <c r="AE1218" s="55">
        <f t="shared" si="269"/>
        <v>0</v>
      </c>
      <c r="AF1218" s="55">
        <f t="shared" si="270"/>
        <v>0</v>
      </c>
      <c r="AG1218" s="58">
        <f t="shared" si="271"/>
        <v>0</v>
      </c>
      <c r="AH1218" s="47"/>
      <c r="AJ1218" s="47"/>
      <c r="AL1218" s="47"/>
      <c r="AM1218" s="47" t="str">
        <f t="shared" si="272"/>
        <v/>
      </c>
    </row>
    <row r="1219" spans="1:39" s="56" customFormat="1" ht="24.75" customHeight="1">
      <c r="A1219" s="44"/>
      <c r="B1219" s="45"/>
      <c r="C1219" s="46">
        <f>IF(B1219&lt;&gt;"",VLOOKUP(B1219,'Tipo Projeto'!$A$3:$B$35,2,0),0)</f>
        <v>0</v>
      </c>
      <c r="D1219" s="47"/>
      <c r="E1219" s="47"/>
      <c r="F1219" s="48"/>
      <c r="G1219" s="47"/>
      <c r="H1219" s="49"/>
      <c r="I1219" s="50"/>
      <c r="J1219" s="51"/>
      <c r="K1219" s="52"/>
      <c r="L1219" s="53" t="str">
        <f t="shared" si="260"/>
        <v/>
      </c>
      <c r="M1219" s="48" t="str">
        <f t="shared" si="261"/>
        <v/>
      </c>
      <c r="N1219" s="54" t="str">
        <f t="shared" si="262"/>
        <v/>
      </c>
      <c r="O1219" s="55">
        <f t="shared" si="263"/>
        <v>0</v>
      </c>
      <c r="P1219" s="55">
        <f t="shared" si="264"/>
        <v>0</v>
      </c>
      <c r="Q1219" s="54">
        <f t="shared" si="265"/>
        <v>0</v>
      </c>
      <c r="R1219" s="47"/>
      <c r="T1219" s="57"/>
      <c r="U1219" s="45"/>
      <c r="V1219" s="46">
        <f>IF(U1219&lt;&gt;"",VLOOKUP(U1219,'Tipo Projeto'!$A$3:$B$35,2,0),0)</f>
        <v>0</v>
      </c>
      <c r="W1219" s="47"/>
      <c r="X1219" s="49"/>
      <c r="Y1219" s="50"/>
      <c r="Z1219" s="51"/>
      <c r="AA1219" s="52"/>
      <c r="AB1219" s="53" t="str">
        <f t="shared" si="266"/>
        <v/>
      </c>
      <c r="AC1219" s="48" t="str">
        <f t="shared" si="267"/>
        <v/>
      </c>
      <c r="AD1219" s="54" t="str">
        <f t="shared" si="268"/>
        <v/>
      </c>
      <c r="AE1219" s="55">
        <f t="shared" si="269"/>
        <v>0</v>
      </c>
      <c r="AF1219" s="55">
        <f t="shared" si="270"/>
        <v>0</v>
      </c>
      <c r="AG1219" s="58">
        <f t="shared" si="271"/>
        <v>0</v>
      </c>
      <c r="AH1219" s="47"/>
      <c r="AJ1219" s="47"/>
      <c r="AL1219" s="47"/>
      <c r="AM1219" s="47" t="str">
        <f t="shared" si="272"/>
        <v/>
      </c>
    </row>
    <row r="1220" spans="1:39" s="56" customFormat="1" ht="24.75" customHeight="1">
      <c r="A1220" s="44"/>
      <c r="B1220" s="45"/>
      <c r="C1220" s="46">
        <f>IF(B1220&lt;&gt;"",VLOOKUP(B1220,'Tipo Projeto'!$A$3:$B$35,2,0),0)</f>
        <v>0</v>
      </c>
      <c r="D1220" s="47"/>
      <c r="E1220" s="47"/>
      <c r="F1220" s="48"/>
      <c r="G1220" s="47"/>
      <c r="H1220" s="49"/>
      <c r="I1220" s="50"/>
      <c r="J1220" s="51"/>
      <c r="K1220" s="52"/>
      <c r="L1220" s="53" t="str">
        <f t="shared" si="260"/>
        <v/>
      </c>
      <c r="M1220" s="48" t="str">
        <f t="shared" si="261"/>
        <v/>
      </c>
      <c r="N1220" s="54" t="str">
        <f t="shared" si="262"/>
        <v/>
      </c>
      <c r="O1220" s="55">
        <f t="shared" si="263"/>
        <v>0</v>
      </c>
      <c r="P1220" s="55">
        <f t="shared" si="264"/>
        <v>0</v>
      </c>
      <c r="Q1220" s="54">
        <f t="shared" si="265"/>
        <v>0</v>
      </c>
      <c r="R1220" s="47"/>
      <c r="T1220" s="57"/>
      <c r="U1220" s="45"/>
      <c r="V1220" s="46">
        <f>IF(U1220&lt;&gt;"",VLOOKUP(U1220,'Tipo Projeto'!$A$3:$B$35,2,0),0)</f>
        <v>0</v>
      </c>
      <c r="W1220" s="47"/>
      <c r="X1220" s="49"/>
      <c r="Y1220" s="50"/>
      <c r="Z1220" s="51"/>
      <c r="AA1220" s="52"/>
      <c r="AB1220" s="53" t="str">
        <f t="shared" si="266"/>
        <v/>
      </c>
      <c r="AC1220" s="48" t="str">
        <f t="shared" si="267"/>
        <v/>
      </c>
      <c r="AD1220" s="54" t="str">
        <f t="shared" si="268"/>
        <v/>
      </c>
      <c r="AE1220" s="55">
        <f t="shared" si="269"/>
        <v>0</v>
      </c>
      <c r="AF1220" s="55">
        <f t="shared" si="270"/>
        <v>0</v>
      </c>
      <c r="AG1220" s="58">
        <f t="shared" si="271"/>
        <v>0</v>
      </c>
      <c r="AH1220" s="47"/>
      <c r="AJ1220" s="47"/>
      <c r="AL1220" s="47"/>
      <c r="AM1220" s="47" t="str">
        <f t="shared" si="272"/>
        <v/>
      </c>
    </row>
    <row r="1221" spans="1:39" s="56" customFormat="1" ht="24.75" customHeight="1">
      <c r="A1221" s="44"/>
      <c r="B1221" s="45"/>
      <c r="C1221" s="46">
        <f>IF(B1221&lt;&gt;"",VLOOKUP(B1221,'Tipo Projeto'!$A$3:$B$35,2,0),0)</f>
        <v>0</v>
      </c>
      <c r="D1221" s="47"/>
      <c r="E1221" s="47"/>
      <c r="F1221" s="48"/>
      <c r="G1221" s="47"/>
      <c r="H1221" s="49"/>
      <c r="I1221" s="50"/>
      <c r="J1221" s="51"/>
      <c r="K1221" s="52"/>
      <c r="L1221" s="53" t="str">
        <f t="shared" si="260"/>
        <v/>
      </c>
      <c r="M1221" s="48" t="str">
        <f t="shared" si="261"/>
        <v/>
      </c>
      <c r="N1221" s="54" t="str">
        <f t="shared" si="262"/>
        <v/>
      </c>
      <c r="O1221" s="55">
        <f t="shared" si="263"/>
        <v>0</v>
      </c>
      <c r="P1221" s="55">
        <f t="shared" si="264"/>
        <v>0</v>
      </c>
      <c r="Q1221" s="54">
        <f t="shared" si="265"/>
        <v>0</v>
      </c>
      <c r="R1221" s="47"/>
      <c r="T1221" s="57"/>
      <c r="U1221" s="45"/>
      <c r="V1221" s="46">
        <f>IF(U1221&lt;&gt;"",VLOOKUP(U1221,'Tipo Projeto'!$A$3:$B$35,2,0),0)</f>
        <v>0</v>
      </c>
      <c r="W1221" s="47"/>
      <c r="X1221" s="49"/>
      <c r="Y1221" s="50"/>
      <c r="Z1221" s="51"/>
      <c r="AA1221" s="52"/>
      <c r="AB1221" s="53" t="str">
        <f t="shared" si="266"/>
        <v/>
      </c>
      <c r="AC1221" s="48" t="str">
        <f t="shared" si="267"/>
        <v/>
      </c>
      <c r="AD1221" s="54" t="str">
        <f t="shared" si="268"/>
        <v/>
      </c>
      <c r="AE1221" s="55">
        <f t="shared" si="269"/>
        <v>0</v>
      </c>
      <c r="AF1221" s="55">
        <f t="shared" si="270"/>
        <v>0</v>
      </c>
      <c r="AG1221" s="58">
        <f t="shared" si="271"/>
        <v>0</v>
      </c>
      <c r="AH1221" s="47"/>
      <c r="AJ1221" s="47"/>
      <c r="AL1221" s="47"/>
      <c r="AM1221" s="47" t="str">
        <f t="shared" si="272"/>
        <v/>
      </c>
    </row>
    <row r="1222" spans="1:39" s="56" customFormat="1" ht="24.75" customHeight="1">
      <c r="A1222" s="44"/>
      <c r="B1222" s="45"/>
      <c r="C1222" s="46">
        <f>IF(B1222&lt;&gt;"",VLOOKUP(B1222,'Tipo Projeto'!$A$3:$B$35,2,0),0)</f>
        <v>0</v>
      </c>
      <c r="D1222" s="47"/>
      <c r="E1222" s="47"/>
      <c r="F1222" s="48"/>
      <c r="G1222" s="47"/>
      <c r="H1222" s="49"/>
      <c r="I1222" s="50"/>
      <c r="J1222" s="51"/>
      <c r="K1222" s="52"/>
      <c r="L1222" s="53" t="str">
        <f t="shared" si="260"/>
        <v/>
      </c>
      <c r="M1222" s="48" t="str">
        <f t="shared" si="261"/>
        <v/>
      </c>
      <c r="N1222" s="54" t="str">
        <f t="shared" si="262"/>
        <v/>
      </c>
      <c r="O1222" s="55">
        <f t="shared" si="263"/>
        <v>0</v>
      </c>
      <c r="P1222" s="55">
        <f t="shared" si="264"/>
        <v>0</v>
      </c>
      <c r="Q1222" s="54">
        <f t="shared" si="265"/>
        <v>0</v>
      </c>
      <c r="R1222" s="47"/>
      <c r="T1222" s="57"/>
      <c r="U1222" s="45"/>
      <c r="V1222" s="46">
        <f>IF(U1222&lt;&gt;"",VLOOKUP(U1222,'Tipo Projeto'!$A$3:$B$35,2,0),0)</f>
        <v>0</v>
      </c>
      <c r="W1222" s="47"/>
      <c r="X1222" s="49"/>
      <c r="Y1222" s="50"/>
      <c r="Z1222" s="51"/>
      <c r="AA1222" s="52"/>
      <c r="AB1222" s="53" t="str">
        <f t="shared" si="266"/>
        <v/>
      </c>
      <c r="AC1222" s="48" t="str">
        <f t="shared" si="267"/>
        <v/>
      </c>
      <c r="AD1222" s="54" t="str">
        <f t="shared" si="268"/>
        <v/>
      </c>
      <c r="AE1222" s="55">
        <f t="shared" si="269"/>
        <v>0</v>
      </c>
      <c r="AF1222" s="55">
        <f t="shared" si="270"/>
        <v>0</v>
      </c>
      <c r="AG1222" s="58">
        <f t="shared" si="271"/>
        <v>0</v>
      </c>
      <c r="AH1222" s="47"/>
      <c r="AJ1222" s="47"/>
      <c r="AL1222" s="47"/>
      <c r="AM1222" s="47" t="str">
        <f t="shared" si="272"/>
        <v/>
      </c>
    </row>
    <row r="1223" spans="1:39" s="56" customFormat="1" ht="24.75" customHeight="1">
      <c r="A1223" s="44"/>
      <c r="B1223" s="45"/>
      <c r="C1223" s="46">
        <f>IF(B1223&lt;&gt;"",VLOOKUP(B1223,'Tipo Projeto'!$A$3:$B$35,2,0),0)</f>
        <v>0</v>
      </c>
      <c r="D1223" s="47"/>
      <c r="E1223" s="47"/>
      <c r="F1223" s="48"/>
      <c r="G1223" s="47"/>
      <c r="H1223" s="49"/>
      <c r="I1223" s="50"/>
      <c r="J1223" s="51"/>
      <c r="K1223" s="52"/>
      <c r="L1223" s="53" t="str">
        <f t="shared" si="260"/>
        <v/>
      </c>
      <c r="M1223" s="48" t="str">
        <f t="shared" si="261"/>
        <v/>
      </c>
      <c r="N1223" s="54" t="str">
        <f t="shared" si="262"/>
        <v/>
      </c>
      <c r="O1223" s="55">
        <f t="shared" si="263"/>
        <v>0</v>
      </c>
      <c r="P1223" s="55">
        <f t="shared" si="264"/>
        <v>0</v>
      </c>
      <c r="Q1223" s="54">
        <f t="shared" si="265"/>
        <v>0</v>
      </c>
      <c r="R1223" s="47"/>
      <c r="T1223" s="57"/>
      <c r="U1223" s="45"/>
      <c r="V1223" s="46">
        <f>IF(U1223&lt;&gt;"",VLOOKUP(U1223,'Tipo Projeto'!$A$3:$B$35,2,0),0)</f>
        <v>0</v>
      </c>
      <c r="W1223" s="47"/>
      <c r="X1223" s="49"/>
      <c r="Y1223" s="50"/>
      <c r="Z1223" s="51"/>
      <c r="AA1223" s="52"/>
      <c r="AB1223" s="53" t="str">
        <f t="shared" si="266"/>
        <v/>
      </c>
      <c r="AC1223" s="48" t="str">
        <f t="shared" si="267"/>
        <v/>
      </c>
      <c r="AD1223" s="54" t="str">
        <f t="shared" si="268"/>
        <v/>
      </c>
      <c r="AE1223" s="55">
        <f t="shared" si="269"/>
        <v>0</v>
      </c>
      <c r="AF1223" s="55">
        <f t="shared" si="270"/>
        <v>0</v>
      </c>
      <c r="AG1223" s="58">
        <f t="shared" si="271"/>
        <v>0</v>
      </c>
      <c r="AH1223" s="47"/>
      <c r="AJ1223" s="47"/>
      <c r="AL1223" s="47"/>
      <c r="AM1223" s="47" t="str">
        <f t="shared" si="272"/>
        <v/>
      </c>
    </row>
    <row r="1224" spans="1:39" s="56" customFormat="1" ht="24.75" customHeight="1">
      <c r="A1224" s="44"/>
      <c r="B1224" s="45"/>
      <c r="C1224" s="46">
        <f>IF(B1224&lt;&gt;"",VLOOKUP(B1224,'Tipo Projeto'!$A$3:$B$35,2,0),0)</f>
        <v>0</v>
      </c>
      <c r="D1224" s="47"/>
      <c r="E1224" s="47"/>
      <c r="F1224" s="48"/>
      <c r="G1224" s="47"/>
      <c r="H1224" s="49"/>
      <c r="I1224" s="50"/>
      <c r="J1224" s="51"/>
      <c r="K1224" s="52"/>
      <c r="L1224" s="53" t="str">
        <f t="shared" si="260"/>
        <v/>
      </c>
      <c r="M1224" s="48" t="str">
        <f t="shared" si="261"/>
        <v/>
      </c>
      <c r="N1224" s="54" t="str">
        <f t="shared" si="262"/>
        <v/>
      </c>
      <c r="O1224" s="55">
        <f t="shared" si="263"/>
        <v>0</v>
      </c>
      <c r="P1224" s="55">
        <f t="shared" si="264"/>
        <v>0</v>
      </c>
      <c r="Q1224" s="54">
        <f t="shared" si="265"/>
        <v>0</v>
      </c>
      <c r="R1224" s="47"/>
      <c r="T1224" s="57"/>
      <c r="U1224" s="45"/>
      <c r="V1224" s="46">
        <f>IF(U1224&lt;&gt;"",VLOOKUP(U1224,'Tipo Projeto'!$A$3:$B$35,2,0),0)</f>
        <v>0</v>
      </c>
      <c r="W1224" s="47"/>
      <c r="X1224" s="49"/>
      <c r="Y1224" s="50"/>
      <c r="Z1224" s="51"/>
      <c r="AA1224" s="52"/>
      <c r="AB1224" s="53" t="str">
        <f t="shared" si="266"/>
        <v/>
      </c>
      <c r="AC1224" s="48" t="str">
        <f t="shared" si="267"/>
        <v/>
      </c>
      <c r="AD1224" s="54" t="str">
        <f t="shared" si="268"/>
        <v/>
      </c>
      <c r="AE1224" s="55">
        <f t="shared" si="269"/>
        <v>0</v>
      </c>
      <c r="AF1224" s="55">
        <f t="shared" si="270"/>
        <v>0</v>
      </c>
      <c r="AG1224" s="58">
        <f t="shared" si="271"/>
        <v>0</v>
      </c>
      <c r="AH1224" s="47"/>
      <c r="AJ1224" s="47"/>
      <c r="AL1224" s="47"/>
      <c r="AM1224" s="47" t="str">
        <f t="shared" si="272"/>
        <v/>
      </c>
    </row>
    <row r="1225" spans="1:39" s="56" customFormat="1" ht="24.75" customHeight="1">
      <c r="A1225" s="44"/>
      <c r="B1225" s="45"/>
      <c r="C1225" s="46">
        <f>IF(B1225&lt;&gt;"",VLOOKUP(B1225,'Tipo Projeto'!$A$3:$B$35,2,0),0)</f>
        <v>0</v>
      </c>
      <c r="D1225" s="47"/>
      <c r="E1225" s="47"/>
      <c r="F1225" s="48"/>
      <c r="G1225" s="47"/>
      <c r="H1225" s="49"/>
      <c r="I1225" s="50"/>
      <c r="J1225" s="51"/>
      <c r="K1225" s="52"/>
      <c r="L1225" s="53" t="str">
        <f t="shared" si="260"/>
        <v/>
      </c>
      <c r="M1225" s="48" t="str">
        <f t="shared" si="261"/>
        <v/>
      </c>
      <c r="N1225" s="54" t="str">
        <f t="shared" si="262"/>
        <v/>
      </c>
      <c r="O1225" s="55">
        <f t="shared" si="263"/>
        <v>0</v>
      </c>
      <c r="P1225" s="55">
        <f t="shared" si="264"/>
        <v>0</v>
      </c>
      <c r="Q1225" s="54">
        <f t="shared" si="265"/>
        <v>0</v>
      </c>
      <c r="R1225" s="47"/>
      <c r="T1225" s="57"/>
      <c r="U1225" s="45"/>
      <c r="V1225" s="46">
        <f>IF(U1225&lt;&gt;"",VLOOKUP(U1225,'Tipo Projeto'!$A$3:$B$35,2,0),0)</f>
        <v>0</v>
      </c>
      <c r="W1225" s="47"/>
      <c r="X1225" s="49"/>
      <c r="Y1225" s="50"/>
      <c r="Z1225" s="51"/>
      <c r="AA1225" s="52"/>
      <c r="AB1225" s="53" t="str">
        <f t="shared" si="266"/>
        <v/>
      </c>
      <c r="AC1225" s="48" t="str">
        <f t="shared" si="267"/>
        <v/>
      </c>
      <c r="AD1225" s="54" t="str">
        <f t="shared" si="268"/>
        <v/>
      </c>
      <c r="AE1225" s="55">
        <f t="shared" si="269"/>
        <v>0</v>
      </c>
      <c r="AF1225" s="55">
        <f t="shared" si="270"/>
        <v>0</v>
      </c>
      <c r="AG1225" s="58">
        <f t="shared" si="271"/>
        <v>0</v>
      </c>
      <c r="AH1225" s="47"/>
      <c r="AJ1225" s="47"/>
      <c r="AL1225" s="47"/>
      <c r="AM1225" s="47" t="str">
        <f t="shared" si="272"/>
        <v/>
      </c>
    </row>
    <row r="1226" spans="1:39" s="56" customFormat="1" ht="24.75" customHeight="1">
      <c r="A1226" s="44"/>
      <c r="B1226" s="45"/>
      <c r="C1226" s="46">
        <f>IF(B1226&lt;&gt;"",VLOOKUP(B1226,'Tipo Projeto'!$A$3:$B$35,2,0),0)</f>
        <v>0</v>
      </c>
      <c r="D1226" s="47"/>
      <c r="E1226" s="47"/>
      <c r="F1226" s="48"/>
      <c r="G1226" s="47"/>
      <c r="H1226" s="49"/>
      <c r="I1226" s="50"/>
      <c r="J1226" s="51"/>
      <c r="K1226" s="52"/>
      <c r="L1226" s="53" t="str">
        <f t="shared" si="260"/>
        <v/>
      </c>
      <c r="M1226" s="48" t="str">
        <f t="shared" si="261"/>
        <v/>
      </c>
      <c r="N1226" s="54" t="str">
        <f t="shared" si="262"/>
        <v/>
      </c>
      <c r="O1226" s="55">
        <f t="shared" si="263"/>
        <v>0</v>
      </c>
      <c r="P1226" s="55">
        <f t="shared" si="264"/>
        <v>0</v>
      </c>
      <c r="Q1226" s="54">
        <f t="shared" si="265"/>
        <v>0</v>
      </c>
      <c r="R1226" s="47"/>
      <c r="T1226" s="57"/>
      <c r="U1226" s="45"/>
      <c r="V1226" s="46">
        <f>IF(U1226&lt;&gt;"",VLOOKUP(U1226,'Tipo Projeto'!$A$3:$B$35,2,0),0)</f>
        <v>0</v>
      </c>
      <c r="W1226" s="47"/>
      <c r="X1226" s="49"/>
      <c r="Y1226" s="50"/>
      <c r="Z1226" s="51"/>
      <c r="AA1226" s="52"/>
      <c r="AB1226" s="53" t="str">
        <f t="shared" si="266"/>
        <v/>
      </c>
      <c r="AC1226" s="48" t="str">
        <f t="shared" si="267"/>
        <v/>
      </c>
      <c r="AD1226" s="54" t="str">
        <f t="shared" si="268"/>
        <v/>
      </c>
      <c r="AE1226" s="55">
        <f t="shared" si="269"/>
        <v>0</v>
      </c>
      <c r="AF1226" s="55">
        <f t="shared" si="270"/>
        <v>0</v>
      </c>
      <c r="AG1226" s="58">
        <f t="shared" si="271"/>
        <v>0</v>
      </c>
      <c r="AH1226" s="47"/>
      <c r="AJ1226" s="47"/>
      <c r="AL1226" s="47"/>
      <c r="AM1226" s="47" t="str">
        <f t="shared" si="272"/>
        <v/>
      </c>
    </row>
    <row r="1227" spans="1:39" s="56" customFormat="1" ht="24.75" customHeight="1">
      <c r="A1227" s="44"/>
      <c r="B1227" s="45"/>
      <c r="C1227" s="46">
        <f>IF(B1227&lt;&gt;"",VLOOKUP(B1227,'Tipo Projeto'!$A$3:$B$35,2,0),0)</f>
        <v>0</v>
      </c>
      <c r="D1227" s="47"/>
      <c r="E1227" s="47"/>
      <c r="F1227" s="48"/>
      <c r="G1227" s="47"/>
      <c r="H1227" s="49"/>
      <c r="I1227" s="50"/>
      <c r="J1227" s="51"/>
      <c r="K1227" s="52"/>
      <c r="L1227" s="53" t="str">
        <f t="shared" si="260"/>
        <v/>
      </c>
      <c r="M1227" s="48" t="str">
        <f t="shared" si="261"/>
        <v/>
      </c>
      <c r="N1227" s="54" t="str">
        <f t="shared" si="262"/>
        <v/>
      </c>
      <c r="O1227" s="55">
        <f t="shared" si="263"/>
        <v>0</v>
      </c>
      <c r="P1227" s="55">
        <f t="shared" si="264"/>
        <v>0</v>
      </c>
      <c r="Q1227" s="54">
        <f t="shared" si="265"/>
        <v>0</v>
      </c>
      <c r="R1227" s="47"/>
      <c r="T1227" s="57"/>
      <c r="U1227" s="45"/>
      <c r="V1227" s="46">
        <f>IF(U1227&lt;&gt;"",VLOOKUP(U1227,'Tipo Projeto'!$A$3:$B$35,2,0),0)</f>
        <v>0</v>
      </c>
      <c r="W1227" s="47"/>
      <c r="X1227" s="49"/>
      <c r="Y1227" s="50"/>
      <c r="Z1227" s="51"/>
      <c r="AA1227" s="52"/>
      <c r="AB1227" s="53" t="str">
        <f t="shared" si="266"/>
        <v/>
      </c>
      <c r="AC1227" s="48" t="str">
        <f t="shared" si="267"/>
        <v/>
      </c>
      <c r="AD1227" s="54" t="str">
        <f t="shared" si="268"/>
        <v/>
      </c>
      <c r="AE1227" s="55">
        <f t="shared" si="269"/>
        <v>0</v>
      </c>
      <c r="AF1227" s="55">
        <f t="shared" si="270"/>
        <v>0</v>
      </c>
      <c r="AG1227" s="58">
        <f t="shared" si="271"/>
        <v>0</v>
      </c>
      <c r="AH1227" s="47"/>
      <c r="AJ1227" s="47"/>
      <c r="AL1227" s="47"/>
      <c r="AM1227" s="47" t="str">
        <f t="shared" si="272"/>
        <v/>
      </c>
    </row>
    <row r="1228" spans="1:39" s="56" customFormat="1" ht="24.75" customHeight="1">
      <c r="A1228" s="44"/>
      <c r="B1228" s="45"/>
      <c r="C1228" s="46">
        <f>IF(B1228&lt;&gt;"",VLOOKUP(B1228,'Tipo Projeto'!$A$3:$B$35,2,0),0)</f>
        <v>0</v>
      </c>
      <c r="D1228" s="47"/>
      <c r="E1228" s="47"/>
      <c r="F1228" s="48"/>
      <c r="G1228" s="47"/>
      <c r="H1228" s="49"/>
      <c r="I1228" s="50"/>
      <c r="J1228" s="51"/>
      <c r="K1228" s="52"/>
      <c r="L1228" s="53" t="str">
        <f t="shared" si="260"/>
        <v/>
      </c>
      <c r="M1228" s="48" t="str">
        <f t="shared" si="261"/>
        <v/>
      </c>
      <c r="N1228" s="54" t="str">
        <f t="shared" si="262"/>
        <v/>
      </c>
      <c r="O1228" s="55">
        <f t="shared" si="263"/>
        <v>0</v>
      </c>
      <c r="P1228" s="55">
        <f t="shared" si="264"/>
        <v>0</v>
      </c>
      <c r="Q1228" s="54">
        <f t="shared" si="265"/>
        <v>0</v>
      </c>
      <c r="R1228" s="47"/>
      <c r="T1228" s="57"/>
      <c r="U1228" s="45"/>
      <c r="V1228" s="46">
        <f>IF(U1228&lt;&gt;"",VLOOKUP(U1228,'Tipo Projeto'!$A$3:$B$35,2,0),0)</f>
        <v>0</v>
      </c>
      <c r="W1228" s="47"/>
      <c r="X1228" s="49"/>
      <c r="Y1228" s="50"/>
      <c r="Z1228" s="51"/>
      <c r="AA1228" s="52"/>
      <c r="AB1228" s="53" t="str">
        <f t="shared" si="266"/>
        <v/>
      </c>
      <c r="AC1228" s="48" t="str">
        <f t="shared" si="267"/>
        <v/>
      </c>
      <c r="AD1228" s="54" t="str">
        <f t="shared" si="268"/>
        <v/>
      </c>
      <c r="AE1228" s="55">
        <f t="shared" si="269"/>
        <v>0</v>
      </c>
      <c r="AF1228" s="55">
        <f t="shared" si="270"/>
        <v>0</v>
      </c>
      <c r="AG1228" s="58">
        <f t="shared" si="271"/>
        <v>0</v>
      </c>
      <c r="AH1228" s="47"/>
      <c r="AJ1228" s="47"/>
      <c r="AL1228" s="47"/>
      <c r="AM1228" s="47" t="str">
        <f t="shared" si="272"/>
        <v/>
      </c>
    </row>
    <row r="1229" spans="1:39" s="56" customFormat="1" ht="24.75" customHeight="1">
      <c r="A1229" s="44"/>
      <c r="B1229" s="45"/>
      <c r="C1229" s="46">
        <f>IF(B1229&lt;&gt;"",VLOOKUP(B1229,'Tipo Projeto'!$A$3:$B$35,2,0),0)</f>
        <v>0</v>
      </c>
      <c r="D1229" s="47"/>
      <c r="E1229" s="47"/>
      <c r="F1229" s="48"/>
      <c r="G1229" s="47"/>
      <c r="H1229" s="49"/>
      <c r="I1229" s="50"/>
      <c r="J1229" s="51"/>
      <c r="K1229" s="52"/>
      <c r="L1229" s="53" t="str">
        <f t="shared" si="260"/>
        <v/>
      </c>
      <c r="M1229" s="48" t="str">
        <f t="shared" si="261"/>
        <v/>
      </c>
      <c r="N1229" s="54" t="str">
        <f t="shared" si="262"/>
        <v/>
      </c>
      <c r="O1229" s="55">
        <f t="shared" si="263"/>
        <v>0</v>
      </c>
      <c r="P1229" s="55">
        <f t="shared" si="264"/>
        <v>0</v>
      </c>
      <c r="Q1229" s="54">
        <f t="shared" si="265"/>
        <v>0</v>
      </c>
      <c r="R1229" s="47"/>
      <c r="T1229" s="57"/>
      <c r="U1229" s="45"/>
      <c r="V1229" s="46">
        <f>IF(U1229&lt;&gt;"",VLOOKUP(U1229,'Tipo Projeto'!$A$3:$B$35,2,0),0)</f>
        <v>0</v>
      </c>
      <c r="W1229" s="47"/>
      <c r="X1229" s="49"/>
      <c r="Y1229" s="50"/>
      <c r="Z1229" s="51"/>
      <c r="AA1229" s="52"/>
      <c r="AB1229" s="53" t="str">
        <f t="shared" si="266"/>
        <v/>
      </c>
      <c r="AC1229" s="48" t="str">
        <f t="shared" si="267"/>
        <v/>
      </c>
      <c r="AD1229" s="54" t="str">
        <f t="shared" si="268"/>
        <v/>
      </c>
      <c r="AE1229" s="55">
        <f t="shared" si="269"/>
        <v>0</v>
      </c>
      <c r="AF1229" s="55">
        <f t="shared" si="270"/>
        <v>0</v>
      </c>
      <c r="AG1229" s="58">
        <f t="shared" si="271"/>
        <v>0</v>
      </c>
      <c r="AH1229" s="47"/>
      <c r="AJ1229" s="47"/>
      <c r="AL1229" s="47"/>
      <c r="AM1229" s="47" t="str">
        <f t="shared" si="272"/>
        <v/>
      </c>
    </row>
    <row r="1230" spans="1:39" s="56" customFormat="1" ht="24.75" customHeight="1">
      <c r="A1230" s="44"/>
      <c r="B1230" s="45"/>
      <c r="C1230" s="46">
        <f>IF(B1230&lt;&gt;"",VLOOKUP(B1230,'Tipo Projeto'!$A$3:$B$35,2,0),0)</f>
        <v>0</v>
      </c>
      <c r="D1230" s="47"/>
      <c r="E1230" s="47"/>
      <c r="F1230" s="48"/>
      <c r="G1230" s="47"/>
      <c r="H1230" s="49"/>
      <c r="I1230" s="50"/>
      <c r="J1230" s="51"/>
      <c r="K1230" s="52"/>
      <c r="L1230" s="53" t="str">
        <f t="shared" si="260"/>
        <v/>
      </c>
      <c r="M1230" s="48" t="str">
        <f t="shared" si="261"/>
        <v/>
      </c>
      <c r="N1230" s="54" t="str">
        <f t="shared" si="262"/>
        <v/>
      </c>
      <c r="O1230" s="55">
        <f t="shared" si="263"/>
        <v>0</v>
      </c>
      <c r="P1230" s="55">
        <f t="shared" si="264"/>
        <v>0</v>
      </c>
      <c r="Q1230" s="54">
        <f t="shared" si="265"/>
        <v>0</v>
      </c>
      <c r="R1230" s="47"/>
      <c r="T1230" s="57"/>
      <c r="U1230" s="45"/>
      <c r="V1230" s="46">
        <f>IF(U1230&lt;&gt;"",VLOOKUP(U1230,'Tipo Projeto'!$A$3:$B$35,2,0),0)</f>
        <v>0</v>
      </c>
      <c r="W1230" s="47"/>
      <c r="X1230" s="49"/>
      <c r="Y1230" s="50"/>
      <c r="Z1230" s="51"/>
      <c r="AA1230" s="52"/>
      <c r="AB1230" s="53" t="str">
        <f t="shared" si="266"/>
        <v/>
      </c>
      <c r="AC1230" s="48" t="str">
        <f t="shared" si="267"/>
        <v/>
      </c>
      <c r="AD1230" s="54" t="str">
        <f t="shared" si="268"/>
        <v/>
      </c>
      <c r="AE1230" s="55">
        <f t="shared" si="269"/>
        <v>0</v>
      </c>
      <c r="AF1230" s="55">
        <f t="shared" si="270"/>
        <v>0</v>
      </c>
      <c r="AG1230" s="58">
        <f t="shared" si="271"/>
        <v>0</v>
      </c>
      <c r="AH1230" s="47"/>
      <c r="AJ1230" s="47"/>
      <c r="AL1230" s="47"/>
      <c r="AM1230" s="47" t="str">
        <f t="shared" si="272"/>
        <v/>
      </c>
    </row>
    <row r="1231" spans="1:39" s="56" customFormat="1" ht="24.75" customHeight="1">
      <c r="A1231" s="44"/>
      <c r="B1231" s="45"/>
      <c r="C1231" s="46">
        <f>IF(B1231&lt;&gt;"",VLOOKUP(B1231,'Tipo Projeto'!$A$3:$B$35,2,0),0)</f>
        <v>0</v>
      </c>
      <c r="D1231" s="47"/>
      <c r="E1231" s="47"/>
      <c r="F1231" s="48"/>
      <c r="G1231" s="47"/>
      <c r="H1231" s="49"/>
      <c r="I1231" s="50"/>
      <c r="J1231" s="51"/>
      <c r="K1231" s="52"/>
      <c r="L1231" s="53" t="str">
        <f t="shared" si="260"/>
        <v/>
      </c>
      <c r="M1231" s="48" t="str">
        <f t="shared" si="261"/>
        <v/>
      </c>
      <c r="N1231" s="54" t="str">
        <f t="shared" si="262"/>
        <v/>
      </c>
      <c r="O1231" s="55">
        <f t="shared" si="263"/>
        <v>0</v>
      </c>
      <c r="P1231" s="55">
        <f t="shared" si="264"/>
        <v>0</v>
      </c>
      <c r="Q1231" s="54">
        <f t="shared" si="265"/>
        <v>0</v>
      </c>
      <c r="R1231" s="47"/>
      <c r="T1231" s="57"/>
      <c r="U1231" s="45"/>
      <c r="V1231" s="46">
        <f>IF(U1231&lt;&gt;"",VLOOKUP(U1231,'Tipo Projeto'!$A$3:$B$35,2,0),0)</f>
        <v>0</v>
      </c>
      <c r="W1231" s="47"/>
      <c r="X1231" s="49"/>
      <c r="Y1231" s="50"/>
      <c r="Z1231" s="51"/>
      <c r="AA1231" s="52"/>
      <c r="AB1231" s="53" t="str">
        <f t="shared" si="266"/>
        <v/>
      </c>
      <c r="AC1231" s="48" t="str">
        <f t="shared" si="267"/>
        <v/>
      </c>
      <c r="AD1231" s="54" t="str">
        <f t="shared" si="268"/>
        <v/>
      </c>
      <c r="AE1231" s="55">
        <f t="shared" si="269"/>
        <v>0</v>
      </c>
      <c r="AF1231" s="55">
        <f t="shared" si="270"/>
        <v>0</v>
      </c>
      <c r="AG1231" s="58">
        <f t="shared" si="271"/>
        <v>0</v>
      </c>
      <c r="AH1231" s="47"/>
      <c r="AJ1231" s="47"/>
      <c r="AL1231" s="47"/>
      <c r="AM1231" s="47" t="str">
        <f t="shared" si="272"/>
        <v/>
      </c>
    </row>
    <row r="1232" spans="1:39" s="56" customFormat="1" ht="24.75" customHeight="1">
      <c r="A1232" s="44"/>
      <c r="B1232" s="45"/>
      <c r="C1232" s="46">
        <f>IF(B1232&lt;&gt;"",VLOOKUP(B1232,'Tipo Projeto'!$A$3:$B$35,2,0),0)</f>
        <v>0</v>
      </c>
      <c r="D1232" s="47"/>
      <c r="E1232" s="47"/>
      <c r="F1232" s="48"/>
      <c r="G1232" s="47"/>
      <c r="H1232" s="49"/>
      <c r="I1232" s="50"/>
      <c r="J1232" s="51"/>
      <c r="K1232" s="52"/>
      <c r="L1232" s="53" t="str">
        <f t="shared" si="260"/>
        <v/>
      </c>
      <c r="M1232" s="48" t="str">
        <f t="shared" si="261"/>
        <v/>
      </c>
      <c r="N1232" s="54" t="str">
        <f t="shared" si="262"/>
        <v/>
      </c>
      <c r="O1232" s="55">
        <f t="shared" si="263"/>
        <v>0</v>
      </c>
      <c r="P1232" s="55">
        <f t="shared" si="264"/>
        <v>0</v>
      </c>
      <c r="Q1232" s="54">
        <f t="shared" si="265"/>
        <v>0</v>
      </c>
      <c r="R1232" s="47"/>
      <c r="T1232" s="57"/>
      <c r="U1232" s="45"/>
      <c r="V1232" s="46">
        <f>IF(U1232&lt;&gt;"",VLOOKUP(U1232,'Tipo Projeto'!$A$3:$B$35,2,0),0)</f>
        <v>0</v>
      </c>
      <c r="W1232" s="47"/>
      <c r="X1232" s="49"/>
      <c r="Y1232" s="50"/>
      <c r="Z1232" s="51"/>
      <c r="AA1232" s="52"/>
      <c r="AB1232" s="53" t="str">
        <f t="shared" si="266"/>
        <v/>
      </c>
      <c r="AC1232" s="48" t="str">
        <f t="shared" si="267"/>
        <v/>
      </c>
      <c r="AD1232" s="54" t="str">
        <f t="shared" si="268"/>
        <v/>
      </c>
      <c r="AE1232" s="55">
        <f t="shared" si="269"/>
        <v>0</v>
      </c>
      <c r="AF1232" s="55">
        <f t="shared" si="270"/>
        <v>0</v>
      </c>
      <c r="AG1232" s="58">
        <f t="shared" si="271"/>
        <v>0</v>
      </c>
      <c r="AH1232" s="47"/>
      <c r="AJ1232" s="47"/>
      <c r="AL1232" s="47"/>
      <c r="AM1232" s="47" t="str">
        <f t="shared" si="272"/>
        <v/>
      </c>
    </row>
    <row r="1233" spans="1:39" s="56" customFormat="1" ht="24.75" customHeight="1">
      <c r="A1233" s="44"/>
      <c r="B1233" s="45"/>
      <c r="C1233" s="46">
        <f>IF(B1233&lt;&gt;"",VLOOKUP(B1233,'Tipo Projeto'!$A$3:$B$35,2,0),0)</f>
        <v>0</v>
      </c>
      <c r="D1233" s="47"/>
      <c r="E1233" s="47"/>
      <c r="F1233" s="48"/>
      <c r="G1233" s="47"/>
      <c r="H1233" s="49"/>
      <c r="I1233" s="50"/>
      <c r="J1233" s="51"/>
      <c r="K1233" s="52"/>
      <c r="L1233" s="53" t="str">
        <f t="shared" si="260"/>
        <v/>
      </c>
      <c r="M1233" s="48" t="str">
        <f t="shared" si="261"/>
        <v/>
      </c>
      <c r="N1233" s="54" t="str">
        <f t="shared" si="262"/>
        <v/>
      </c>
      <c r="O1233" s="55">
        <f t="shared" si="263"/>
        <v>0</v>
      </c>
      <c r="P1233" s="55">
        <f t="shared" si="264"/>
        <v>0</v>
      </c>
      <c r="Q1233" s="54">
        <f t="shared" si="265"/>
        <v>0</v>
      </c>
      <c r="R1233" s="47"/>
      <c r="T1233" s="57"/>
      <c r="U1233" s="45"/>
      <c r="V1233" s="46">
        <f>IF(U1233&lt;&gt;"",VLOOKUP(U1233,'Tipo Projeto'!$A$3:$B$35,2,0),0)</f>
        <v>0</v>
      </c>
      <c r="W1233" s="47"/>
      <c r="X1233" s="49"/>
      <c r="Y1233" s="50"/>
      <c r="Z1233" s="51"/>
      <c r="AA1233" s="52"/>
      <c r="AB1233" s="53" t="str">
        <f t="shared" si="266"/>
        <v/>
      </c>
      <c r="AC1233" s="48" t="str">
        <f t="shared" si="267"/>
        <v/>
      </c>
      <c r="AD1233" s="54" t="str">
        <f t="shared" si="268"/>
        <v/>
      </c>
      <c r="AE1233" s="55">
        <f t="shared" si="269"/>
        <v>0</v>
      </c>
      <c r="AF1233" s="55">
        <f t="shared" si="270"/>
        <v>0</v>
      </c>
      <c r="AG1233" s="58">
        <f t="shared" si="271"/>
        <v>0</v>
      </c>
      <c r="AH1233" s="47"/>
      <c r="AJ1233" s="47"/>
      <c r="AL1233" s="47"/>
      <c r="AM1233" s="47" t="str">
        <f t="shared" si="272"/>
        <v/>
      </c>
    </row>
    <row r="1234" spans="1:39" s="56" customFormat="1" ht="24.75" customHeight="1">
      <c r="A1234" s="44"/>
      <c r="B1234" s="45"/>
      <c r="C1234" s="46">
        <f>IF(B1234&lt;&gt;"",VLOOKUP(B1234,'Tipo Projeto'!$A$3:$B$35,2,0),0)</f>
        <v>0</v>
      </c>
      <c r="D1234" s="47"/>
      <c r="E1234" s="47"/>
      <c r="F1234" s="48"/>
      <c r="G1234" s="47"/>
      <c r="H1234" s="49"/>
      <c r="I1234" s="50"/>
      <c r="J1234" s="51"/>
      <c r="K1234" s="52"/>
      <c r="L1234" s="53" t="str">
        <f t="shared" si="260"/>
        <v/>
      </c>
      <c r="M1234" s="48" t="str">
        <f t="shared" si="261"/>
        <v/>
      </c>
      <c r="N1234" s="54" t="str">
        <f t="shared" si="262"/>
        <v/>
      </c>
      <c r="O1234" s="55">
        <f t="shared" si="263"/>
        <v>0</v>
      </c>
      <c r="P1234" s="55">
        <f t="shared" si="264"/>
        <v>0</v>
      </c>
      <c r="Q1234" s="54">
        <f t="shared" si="265"/>
        <v>0</v>
      </c>
      <c r="R1234" s="47"/>
      <c r="T1234" s="57"/>
      <c r="U1234" s="45"/>
      <c r="V1234" s="46">
        <f>IF(U1234&lt;&gt;"",VLOOKUP(U1234,'Tipo Projeto'!$A$3:$B$35,2,0),0)</f>
        <v>0</v>
      </c>
      <c r="W1234" s="47"/>
      <c r="X1234" s="49"/>
      <c r="Y1234" s="50"/>
      <c r="Z1234" s="51"/>
      <c r="AA1234" s="52"/>
      <c r="AB1234" s="53" t="str">
        <f t="shared" si="266"/>
        <v/>
      </c>
      <c r="AC1234" s="48" t="str">
        <f t="shared" si="267"/>
        <v/>
      </c>
      <c r="AD1234" s="54" t="str">
        <f t="shared" si="268"/>
        <v/>
      </c>
      <c r="AE1234" s="55">
        <f t="shared" si="269"/>
        <v>0</v>
      </c>
      <c r="AF1234" s="55">
        <f t="shared" si="270"/>
        <v>0</v>
      </c>
      <c r="AG1234" s="58">
        <f t="shared" si="271"/>
        <v>0</v>
      </c>
      <c r="AH1234" s="47"/>
      <c r="AJ1234" s="47"/>
      <c r="AL1234" s="47"/>
      <c r="AM1234" s="47" t="str">
        <f t="shared" si="272"/>
        <v/>
      </c>
    </row>
    <row r="1235" spans="1:39" s="56" customFormat="1" ht="24.75" customHeight="1">
      <c r="A1235" s="44"/>
      <c r="B1235" s="45"/>
      <c r="C1235" s="46">
        <f>IF(B1235&lt;&gt;"",VLOOKUP(B1235,'Tipo Projeto'!$A$3:$B$35,2,0),0)</f>
        <v>0</v>
      </c>
      <c r="D1235" s="47"/>
      <c r="E1235" s="47"/>
      <c r="F1235" s="48"/>
      <c r="G1235" s="47"/>
      <c r="H1235" s="49"/>
      <c r="I1235" s="50"/>
      <c r="J1235" s="51"/>
      <c r="K1235" s="52"/>
      <c r="L1235" s="53" t="str">
        <f t="shared" si="260"/>
        <v/>
      </c>
      <c r="M1235" s="48" t="str">
        <f t="shared" si="261"/>
        <v/>
      </c>
      <c r="N1235" s="54" t="str">
        <f t="shared" si="262"/>
        <v/>
      </c>
      <c r="O1235" s="55">
        <f t="shared" si="263"/>
        <v>0</v>
      </c>
      <c r="P1235" s="55">
        <f t="shared" si="264"/>
        <v>0</v>
      </c>
      <c r="Q1235" s="54">
        <f t="shared" si="265"/>
        <v>0</v>
      </c>
      <c r="R1235" s="47"/>
      <c r="T1235" s="57"/>
      <c r="U1235" s="45"/>
      <c r="V1235" s="46">
        <f>IF(U1235&lt;&gt;"",VLOOKUP(U1235,'Tipo Projeto'!$A$3:$B$35,2,0),0)</f>
        <v>0</v>
      </c>
      <c r="W1235" s="47"/>
      <c r="X1235" s="49"/>
      <c r="Y1235" s="50"/>
      <c r="Z1235" s="51"/>
      <c r="AA1235" s="52"/>
      <c r="AB1235" s="53" t="str">
        <f t="shared" si="266"/>
        <v/>
      </c>
      <c r="AC1235" s="48" t="str">
        <f t="shared" si="267"/>
        <v/>
      </c>
      <c r="AD1235" s="54" t="str">
        <f t="shared" si="268"/>
        <v/>
      </c>
      <c r="AE1235" s="55">
        <f t="shared" si="269"/>
        <v>0</v>
      </c>
      <c r="AF1235" s="55">
        <f t="shared" si="270"/>
        <v>0</v>
      </c>
      <c r="AG1235" s="58">
        <f t="shared" si="271"/>
        <v>0</v>
      </c>
      <c r="AH1235" s="47"/>
      <c r="AJ1235" s="47"/>
      <c r="AL1235" s="47"/>
      <c r="AM1235" s="47" t="str">
        <f t="shared" si="272"/>
        <v/>
      </c>
    </row>
    <row r="1236" spans="1:39" s="56" customFormat="1" ht="24.75" customHeight="1">
      <c r="A1236" s="44"/>
      <c r="B1236" s="45"/>
      <c r="C1236" s="46">
        <f>IF(B1236&lt;&gt;"",VLOOKUP(B1236,'Tipo Projeto'!$A$3:$B$35,2,0),0)</f>
        <v>0</v>
      </c>
      <c r="D1236" s="47"/>
      <c r="E1236" s="47"/>
      <c r="F1236" s="48"/>
      <c r="G1236" s="47"/>
      <c r="H1236" s="49"/>
      <c r="I1236" s="50"/>
      <c r="J1236" s="51"/>
      <c r="K1236" s="52"/>
      <c r="L1236" s="53" t="str">
        <f t="shared" si="260"/>
        <v/>
      </c>
      <c r="M1236" s="48" t="str">
        <f t="shared" si="261"/>
        <v/>
      </c>
      <c r="N1236" s="54" t="str">
        <f t="shared" si="262"/>
        <v/>
      </c>
      <c r="O1236" s="55">
        <f t="shared" si="263"/>
        <v>0</v>
      </c>
      <c r="P1236" s="55">
        <f t="shared" si="264"/>
        <v>0</v>
      </c>
      <c r="Q1236" s="54">
        <f t="shared" si="265"/>
        <v>0</v>
      </c>
      <c r="R1236" s="47"/>
      <c r="T1236" s="57"/>
      <c r="U1236" s="45"/>
      <c r="V1236" s="46">
        <f>IF(U1236&lt;&gt;"",VLOOKUP(U1236,'Tipo Projeto'!$A$3:$B$35,2,0),0)</f>
        <v>0</v>
      </c>
      <c r="W1236" s="47"/>
      <c r="X1236" s="49"/>
      <c r="Y1236" s="50"/>
      <c r="Z1236" s="51"/>
      <c r="AA1236" s="52"/>
      <c r="AB1236" s="53" t="str">
        <f t="shared" si="266"/>
        <v/>
      </c>
      <c r="AC1236" s="48" t="str">
        <f t="shared" si="267"/>
        <v/>
      </c>
      <c r="AD1236" s="54" t="str">
        <f t="shared" si="268"/>
        <v/>
      </c>
      <c r="AE1236" s="55">
        <f t="shared" si="269"/>
        <v>0</v>
      </c>
      <c r="AF1236" s="55">
        <f t="shared" si="270"/>
        <v>0</v>
      </c>
      <c r="AG1236" s="58">
        <f t="shared" si="271"/>
        <v>0</v>
      </c>
      <c r="AH1236" s="47"/>
      <c r="AJ1236" s="47"/>
      <c r="AL1236" s="47"/>
      <c r="AM1236" s="47" t="str">
        <f t="shared" si="272"/>
        <v/>
      </c>
    </row>
    <row r="1237" spans="1:39" s="56" customFormat="1" ht="24.75" customHeight="1">
      <c r="A1237" s="44"/>
      <c r="B1237" s="45"/>
      <c r="C1237" s="46">
        <f>IF(B1237&lt;&gt;"",VLOOKUP(B1237,'Tipo Projeto'!$A$3:$B$35,2,0),0)</f>
        <v>0</v>
      </c>
      <c r="D1237" s="47"/>
      <c r="E1237" s="47"/>
      <c r="F1237" s="48"/>
      <c r="G1237" s="47"/>
      <c r="H1237" s="49"/>
      <c r="I1237" s="50"/>
      <c r="J1237" s="51"/>
      <c r="K1237" s="52"/>
      <c r="L1237" s="53" t="str">
        <f t="shared" si="260"/>
        <v/>
      </c>
      <c r="M1237" s="48" t="str">
        <f t="shared" si="261"/>
        <v/>
      </c>
      <c r="N1237" s="54" t="str">
        <f t="shared" si="262"/>
        <v/>
      </c>
      <c r="O1237" s="55">
        <f t="shared" si="263"/>
        <v>0</v>
      </c>
      <c r="P1237" s="55">
        <f t="shared" si="264"/>
        <v>0</v>
      </c>
      <c r="Q1237" s="54">
        <f t="shared" si="265"/>
        <v>0</v>
      </c>
      <c r="R1237" s="47"/>
      <c r="T1237" s="57"/>
      <c r="U1237" s="45"/>
      <c r="V1237" s="46">
        <f>IF(U1237&lt;&gt;"",VLOOKUP(U1237,'Tipo Projeto'!$A$3:$B$35,2,0),0)</f>
        <v>0</v>
      </c>
      <c r="W1237" s="47"/>
      <c r="X1237" s="49"/>
      <c r="Y1237" s="50"/>
      <c r="Z1237" s="51"/>
      <c r="AA1237" s="52"/>
      <c r="AB1237" s="53" t="str">
        <f t="shared" si="266"/>
        <v/>
      </c>
      <c r="AC1237" s="48" t="str">
        <f t="shared" si="267"/>
        <v/>
      </c>
      <c r="AD1237" s="54" t="str">
        <f t="shared" si="268"/>
        <v/>
      </c>
      <c r="AE1237" s="55">
        <f t="shared" si="269"/>
        <v>0</v>
      </c>
      <c r="AF1237" s="55">
        <f t="shared" si="270"/>
        <v>0</v>
      </c>
      <c r="AG1237" s="58">
        <f t="shared" si="271"/>
        <v>0</v>
      </c>
      <c r="AH1237" s="47"/>
      <c r="AJ1237" s="47"/>
      <c r="AL1237" s="47"/>
      <c r="AM1237" s="47" t="str">
        <f t="shared" si="272"/>
        <v/>
      </c>
    </row>
    <row r="1238" spans="1:39" s="56" customFormat="1" ht="24.75" customHeight="1">
      <c r="A1238" s="44"/>
      <c r="B1238" s="45"/>
      <c r="C1238" s="46">
        <f>IF(B1238&lt;&gt;"",VLOOKUP(B1238,'Tipo Projeto'!$A$3:$B$35,2,0),0)</f>
        <v>0</v>
      </c>
      <c r="D1238" s="47"/>
      <c r="E1238" s="47"/>
      <c r="F1238" s="48"/>
      <c r="G1238" s="47"/>
      <c r="H1238" s="49"/>
      <c r="I1238" s="50"/>
      <c r="J1238" s="51"/>
      <c r="K1238" s="52"/>
      <c r="L1238" s="53" t="str">
        <f t="shared" si="260"/>
        <v/>
      </c>
      <c r="M1238" s="48" t="str">
        <f t="shared" si="261"/>
        <v/>
      </c>
      <c r="N1238" s="54" t="str">
        <f t="shared" si="262"/>
        <v/>
      </c>
      <c r="O1238" s="55">
        <f t="shared" si="263"/>
        <v>0</v>
      </c>
      <c r="P1238" s="55">
        <f t="shared" si="264"/>
        <v>0</v>
      </c>
      <c r="Q1238" s="54">
        <f t="shared" si="265"/>
        <v>0</v>
      </c>
      <c r="R1238" s="47"/>
      <c r="T1238" s="57"/>
      <c r="U1238" s="45"/>
      <c r="V1238" s="46">
        <f>IF(U1238&lt;&gt;"",VLOOKUP(U1238,'Tipo Projeto'!$A$3:$B$35,2,0),0)</f>
        <v>0</v>
      </c>
      <c r="W1238" s="47"/>
      <c r="X1238" s="49"/>
      <c r="Y1238" s="50"/>
      <c r="Z1238" s="51"/>
      <c r="AA1238" s="52"/>
      <c r="AB1238" s="53" t="str">
        <f t="shared" si="266"/>
        <v/>
      </c>
      <c r="AC1238" s="48" t="str">
        <f t="shared" si="267"/>
        <v/>
      </c>
      <c r="AD1238" s="54" t="str">
        <f t="shared" si="268"/>
        <v/>
      </c>
      <c r="AE1238" s="55">
        <f t="shared" si="269"/>
        <v>0</v>
      </c>
      <c r="AF1238" s="55">
        <f t="shared" si="270"/>
        <v>0</v>
      </c>
      <c r="AG1238" s="58">
        <f t="shared" si="271"/>
        <v>0</v>
      </c>
      <c r="AH1238" s="47"/>
      <c r="AJ1238" s="47"/>
      <c r="AL1238" s="47"/>
      <c r="AM1238" s="47" t="str">
        <f t="shared" si="272"/>
        <v/>
      </c>
    </row>
    <row r="1239" spans="1:39" s="56" customFormat="1" ht="24.75" customHeight="1">
      <c r="A1239" s="44"/>
      <c r="B1239" s="45"/>
      <c r="C1239" s="46">
        <f>IF(B1239&lt;&gt;"",VLOOKUP(B1239,'Tipo Projeto'!$A$3:$B$35,2,0),0)</f>
        <v>0</v>
      </c>
      <c r="D1239" s="47"/>
      <c r="E1239" s="47"/>
      <c r="F1239" s="48"/>
      <c r="G1239" s="47"/>
      <c r="H1239" s="49"/>
      <c r="I1239" s="50"/>
      <c r="J1239" s="51"/>
      <c r="K1239" s="52"/>
      <c r="L1239" s="53" t="str">
        <f t="shared" si="260"/>
        <v/>
      </c>
      <c r="M1239" s="48" t="str">
        <f t="shared" si="261"/>
        <v/>
      </c>
      <c r="N1239" s="54" t="str">
        <f t="shared" si="262"/>
        <v/>
      </c>
      <c r="O1239" s="55">
        <f t="shared" si="263"/>
        <v>0</v>
      </c>
      <c r="P1239" s="55">
        <f t="shared" si="264"/>
        <v>0</v>
      </c>
      <c r="Q1239" s="54">
        <f t="shared" si="265"/>
        <v>0</v>
      </c>
      <c r="R1239" s="47"/>
      <c r="T1239" s="57"/>
      <c r="U1239" s="45"/>
      <c r="V1239" s="46">
        <f>IF(U1239&lt;&gt;"",VLOOKUP(U1239,'Tipo Projeto'!$A$3:$B$35,2,0),0)</f>
        <v>0</v>
      </c>
      <c r="W1239" s="47"/>
      <c r="X1239" s="49"/>
      <c r="Y1239" s="50"/>
      <c r="Z1239" s="51"/>
      <c r="AA1239" s="52"/>
      <c r="AB1239" s="53" t="str">
        <f t="shared" si="266"/>
        <v/>
      </c>
      <c r="AC1239" s="48" t="str">
        <f t="shared" si="267"/>
        <v/>
      </c>
      <c r="AD1239" s="54" t="str">
        <f t="shared" si="268"/>
        <v/>
      </c>
      <c r="AE1239" s="55">
        <f t="shared" si="269"/>
        <v>0</v>
      </c>
      <c r="AF1239" s="55">
        <f t="shared" si="270"/>
        <v>0</v>
      </c>
      <c r="AG1239" s="58">
        <f t="shared" si="271"/>
        <v>0</v>
      </c>
      <c r="AH1239" s="47"/>
      <c r="AJ1239" s="47"/>
      <c r="AL1239" s="47"/>
      <c r="AM1239" s="47" t="str">
        <f t="shared" si="272"/>
        <v/>
      </c>
    </row>
    <row r="1240" spans="1:39" s="56" customFormat="1" ht="24.75" customHeight="1">
      <c r="A1240" s="44"/>
      <c r="B1240" s="45"/>
      <c r="C1240" s="46">
        <f>IF(B1240&lt;&gt;"",VLOOKUP(B1240,'Tipo Projeto'!$A$3:$B$35,2,0),0)</f>
        <v>0</v>
      </c>
      <c r="D1240" s="47"/>
      <c r="E1240" s="47"/>
      <c r="F1240" s="48"/>
      <c r="G1240" s="47"/>
      <c r="H1240" s="49"/>
      <c r="I1240" s="50"/>
      <c r="J1240" s="51"/>
      <c r="K1240" s="52"/>
      <c r="L1240" s="53" t="str">
        <f t="shared" si="260"/>
        <v/>
      </c>
      <c r="M1240" s="48" t="str">
        <f t="shared" si="261"/>
        <v/>
      </c>
      <c r="N1240" s="54" t="str">
        <f t="shared" si="262"/>
        <v/>
      </c>
      <c r="O1240" s="55">
        <f t="shared" si="263"/>
        <v>0</v>
      </c>
      <c r="P1240" s="55">
        <f t="shared" si="264"/>
        <v>0</v>
      </c>
      <c r="Q1240" s="54">
        <f t="shared" si="265"/>
        <v>0</v>
      </c>
      <c r="R1240" s="47"/>
      <c r="T1240" s="57"/>
      <c r="U1240" s="45"/>
      <c r="V1240" s="46">
        <f>IF(U1240&lt;&gt;"",VLOOKUP(U1240,'Tipo Projeto'!$A$3:$B$35,2,0),0)</f>
        <v>0</v>
      </c>
      <c r="W1240" s="47"/>
      <c r="X1240" s="49"/>
      <c r="Y1240" s="50"/>
      <c r="Z1240" s="51"/>
      <c r="AA1240" s="52"/>
      <c r="AB1240" s="53" t="str">
        <f t="shared" si="266"/>
        <v/>
      </c>
      <c r="AC1240" s="48" t="str">
        <f t="shared" si="267"/>
        <v/>
      </c>
      <c r="AD1240" s="54" t="str">
        <f t="shared" si="268"/>
        <v/>
      </c>
      <c r="AE1240" s="55">
        <f t="shared" si="269"/>
        <v>0</v>
      </c>
      <c r="AF1240" s="55">
        <f t="shared" si="270"/>
        <v>0</v>
      </c>
      <c r="AG1240" s="58">
        <f t="shared" si="271"/>
        <v>0</v>
      </c>
      <c r="AH1240" s="47"/>
      <c r="AJ1240" s="47"/>
      <c r="AL1240" s="47"/>
      <c r="AM1240" s="47" t="str">
        <f t="shared" si="272"/>
        <v/>
      </c>
    </row>
    <row r="1241" spans="1:39" s="56" customFormat="1" ht="24.75" customHeight="1">
      <c r="A1241" s="44"/>
      <c r="B1241" s="45"/>
      <c r="C1241" s="46">
        <f>IF(B1241&lt;&gt;"",VLOOKUP(B1241,'Tipo Projeto'!$A$3:$B$35,2,0),0)</f>
        <v>0</v>
      </c>
      <c r="D1241" s="47"/>
      <c r="E1241" s="47"/>
      <c r="F1241" s="48"/>
      <c r="G1241" s="47"/>
      <c r="H1241" s="49"/>
      <c r="I1241" s="50"/>
      <c r="J1241" s="51"/>
      <c r="K1241" s="52"/>
      <c r="L1241" s="53" t="str">
        <f t="shared" si="260"/>
        <v/>
      </c>
      <c r="M1241" s="48" t="str">
        <f t="shared" si="261"/>
        <v/>
      </c>
      <c r="N1241" s="54" t="str">
        <f t="shared" si="262"/>
        <v/>
      </c>
      <c r="O1241" s="55">
        <f t="shared" si="263"/>
        <v>0</v>
      </c>
      <c r="P1241" s="55">
        <f t="shared" si="264"/>
        <v>0</v>
      </c>
      <c r="Q1241" s="54">
        <f t="shared" si="265"/>
        <v>0</v>
      </c>
      <c r="R1241" s="47"/>
      <c r="T1241" s="57"/>
      <c r="U1241" s="45"/>
      <c r="V1241" s="46">
        <f>IF(U1241&lt;&gt;"",VLOOKUP(U1241,'Tipo Projeto'!$A$3:$B$35,2,0),0)</f>
        <v>0</v>
      </c>
      <c r="W1241" s="47"/>
      <c r="X1241" s="49"/>
      <c r="Y1241" s="50"/>
      <c r="Z1241" s="51"/>
      <c r="AA1241" s="52"/>
      <c r="AB1241" s="53" t="str">
        <f t="shared" si="266"/>
        <v/>
      </c>
      <c r="AC1241" s="48" t="str">
        <f t="shared" si="267"/>
        <v/>
      </c>
      <c r="AD1241" s="54" t="str">
        <f t="shared" si="268"/>
        <v/>
      </c>
      <c r="AE1241" s="55">
        <f t="shared" si="269"/>
        <v>0</v>
      </c>
      <c r="AF1241" s="55">
        <f t="shared" si="270"/>
        <v>0</v>
      </c>
      <c r="AG1241" s="58">
        <f t="shared" si="271"/>
        <v>0</v>
      </c>
      <c r="AH1241" s="47"/>
      <c r="AJ1241" s="47"/>
      <c r="AL1241" s="47"/>
      <c r="AM1241" s="47" t="str">
        <f t="shared" si="272"/>
        <v/>
      </c>
    </row>
    <row r="1242" spans="1:39" s="56" customFormat="1" ht="24.75" customHeight="1">
      <c r="A1242" s="44"/>
      <c r="B1242" s="45"/>
      <c r="C1242" s="46">
        <f>IF(B1242&lt;&gt;"",VLOOKUP(B1242,'Tipo Projeto'!$A$3:$B$35,2,0),0)</f>
        <v>0</v>
      </c>
      <c r="D1242" s="47"/>
      <c r="E1242" s="47"/>
      <c r="F1242" s="48"/>
      <c r="G1242" s="47"/>
      <c r="H1242" s="49"/>
      <c r="I1242" s="50"/>
      <c r="J1242" s="51"/>
      <c r="K1242" s="52"/>
      <c r="L1242" s="53" t="str">
        <f t="shared" si="260"/>
        <v/>
      </c>
      <c r="M1242" s="48" t="str">
        <f t="shared" si="261"/>
        <v/>
      </c>
      <c r="N1242" s="54" t="str">
        <f t="shared" si="262"/>
        <v/>
      </c>
      <c r="O1242" s="55">
        <f t="shared" si="263"/>
        <v>0</v>
      </c>
      <c r="P1242" s="55">
        <f t="shared" si="264"/>
        <v>0</v>
      </c>
      <c r="Q1242" s="54">
        <f t="shared" si="265"/>
        <v>0</v>
      </c>
      <c r="R1242" s="47"/>
      <c r="T1242" s="57"/>
      <c r="U1242" s="45"/>
      <c r="V1242" s="46">
        <f>IF(U1242&lt;&gt;"",VLOOKUP(U1242,'Tipo Projeto'!$A$3:$B$35,2,0),0)</f>
        <v>0</v>
      </c>
      <c r="W1242" s="47"/>
      <c r="X1242" s="49"/>
      <c r="Y1242" s="50"/>
      <c r="Z1242" s="51"/>
      <c r="AA1242" s="52"/>
      <c r="AB1242" s="53" t="str">
        <f t="shared" si="266"/>
        <v/>
      </c>
      <c r="AC1242" s="48" t="str">
        <f t="shared" si="267"/>
        <v/>
      </c>
      <c r="AD1242" s="54" t="str">
        <f t="shared" si="268"/>
        <v/>
      </c>
      <c r="AE1242" s="55">
        <f t="shared" si="269"/>
        <v>0</v>
      </c>
      <c r="AF1242" s="55">
        <f t="shared" si="270"/>
        <v>0</v>
      </c>
      <c r="AG1242" s="58">
        <f t="shared" si="271"/>
        <v>0</v>
      </c>
      <c r="AH1242" s="47"/>
      <c r="AJ1242" s="47"/>
      <c r="AL1242" s="47"/>
      <c r="AM1242" s="47" t="str">
        <f t="shared" si="272"/>
        <v/>
      </c>
    </row>
    <row r="1243" spans="1:39" s="56" customFormat="1" ht="24.75" customHeight="1">
      <c r="A1243" s="44"/>
      <c r="B1243" s="45"/>
      <c r="C1243" s="46">
        <f>IF(B1243&lt;&gt;"",VLOOKUP(B1243,'Tipo Projeto'!$A$3:$B$35,2,0),0)</f>
        <v>0</v>
      </c>
      <c r="D1243" s="47"/>
      <c r="E1243" s="47"/>
      <c r="F1243" s="48"/>
      <c r="G1243" s="47"/>
      <c r="H1243" s="49"/>
      <c r="I1243" s="50"/>
      <c r="J1243" s="51"/>
      <c r="K1243" s="52"/>
      <c r="L1243" s="53" t="str">
        <f t="shared" si="260"/>
        <v/>
      </c>
      <c r="M1243" s="48" t="str">
        <f t="shared" si="261"/>
        <v/>
      </c>
      <c r="N1243" s="54" t="str">
        <f t="shared" si="262"/>
        <v/>
      </c>
      <c r="O1243" s="55">
        <f t="shared" si="263"/>
        <v>0</v>
      </c>
      <c r="P1243" s="55">
        <f t="shared" si="264"/>
        <v>0</v>
      </c>
      <c r="Q1243" s="54">
        <f t="shared" si="265"/>
        <v>0</v>
      </c>
      <c r="R1243" s="47"/>
      <c r="T1243" s="57"/>
      <c r="U1243" s="45"/>
      <c r="V1243" s="46">
        <f>IF(U1243&lt;&gt;"",VLOOKUP(U1243,'Tipo Projeto'!$A$3:$B$35,2,0),0)</f>
        <v>0</v>
      </c>
      <c r="W1243" s="47"/>
      <c r="X1243" s="49"/>
      <c r="Y1243" s="50"/>
      <c r="Z1243" s="51"/>
      <c r="AA1243" s="52"/>
      <c r="AB1243" s="53" t="str">
        <f t="shared" si="266"/>
        <v/>
      </c>
      <c r="AC1243" s="48" t="str">
        <f t="shared" si="267"/>
        <v/>
      </c>
      <c r="AD1243" s="54" t="str">
        <f t="shared" si="268"/>
        <v/>
      </c>
      <c r="AE1243" s="55">
        <f t="shared" si="269"/>
        <v>0</v>
      </c>
      <c r="AF1243" s="55">
        <f t="shared" si="270"/>
        <v>0</v>
      </c>
      <c r="AG1243" s="58">
        <f t="shared" si="271"/>
        <v>0</v>
      </c>
      <c r="AH1243" s="47"/>
      <c r="AJ1243" s="47"/>
      <c r="AL1243" s="47"/>
      <c r="AM1243" s="47" t="str">
        <f t="shared" si="272"/>
        <v/>
      </c>
    </row>
    <row r="1244" spans="1:39" s="56" customFormat="1" ht="24.75" customHeight="1">
      <c r="A1244" s="44"/>
      <c r="B1244" s="45"/>
      <c r="C1244" s="46">
        <f>IF(B1244&lt;&gt;"",VLOOKUP(B1244,'Tipo Projeto'!$A$3:$B$35,2,0),0)</f>
        <v>0</v>
      </c>
      <c r="D1244" s="47"/>
      <c r="E1244" s="47"/>
      <c r="F1244" s="48"/>
      <c r="G1244" s="47"/>
      <c r="H1244" s="49"/>
      <c r="I1244" s="50"/>
      <c r="J1244" s="51"/>
      <c r="K1244" s="52"/>
      <c r="L1244" s="53" t="str">
        <f t="shared" si="260"/>
        <v/>
      </c>
      <c r="M1244" s="48" t="str">
        <f t="shared" si="261"/>
        <v/>
      </c>
      <c r="N1244" s="54" t="str">
        <f t="shared" si="262"/>
        <v/>
      </c>
      <c r="O1244" s="55">
        <f t="shared" si="263"/>
        <v>0</v>
      </c>
      <c r="P1244" s="55">
        <f t="shared" si="264"/>
        <v>0</v>
      </c>
      <c r="Q1244" s="54">
        <f t="shared" si="265"/>
        <v>0</v>
      </c>
      <c r="R1244" s="47"/>
      <c r="T1244" s="57"/>
      <c r="U1244" s="45"/>
      <c r="V1244" s="46">
        <f>IF(U1244&lt;&gt;"",VLOOKUP(U1244,'Tipo Projeto'!$A$3:$B$35,2,0),0)</f>
        <v>0</v>
      </c>
      <c r="W1244" s="47"/>
      <c r="X1244" s="49"/>
      <c r="Y1244" s="50"/>
      <c r="Z1244" s="51"/>
      <c r="AA1244" s="52"/>
      <c r="AB1244" s="53" t="str">
        <f t="shared" si="266"/>
        <v/>
      </c>
      <c r="AC1244" s="48" t="str">
        <f t="shared" si="267"/>
        <v/>
      </c>
      <c r="AD1244" s="54" t="str">
        <f t="shared" si="268"/>
        <v/>
      </c>
      <c r="AE1244" s="55">
        <f t="shared" si="269"/>
        <v>0</v>
      </c>
      <c r="AF1244" s="55">
        <f t="shared" si="270"/>
        <v>0</v>
      </c>
      <c r="AG1244" s="58">
        <f t="shared" si="271"/>
        <v>0</v>
      </c>
      <c r="AH1244" s="47"/>
      <c r="AJ1244" s="47"/>
      <c r="AL1244" s="47"/>
      <c r="AM1244" s="47" t="str">
        <f t="shared" si="272"/>
        <v/>
      </c>
    </row>
    <row r="1245" spans="1:39" s="56" customFormat="1" ht="24.75" customHeight="1">
      <c r="A1245" s="44"/>
      <c r="B1245" s="45"/>
      <c r="C1245" s="46">
        <f>IF(B1245&lt;&gt;"",VLOOKUP(B1245,'Tipo Projeto'!$A$3:$B$35,2,0),0)</f>
        <v>0</v>
      </c>
      <c r="D1245" s="47"/>
      <c r="E1245" s="47"/>
      <c r="F1245" s="48"/>
      <c r="G1245" s="47"/>
      <c r="H1245" s="49"/>
      <c r="I1245" s="50"/>
      <c r="J1245" s="51"/>
      <c r="K1245" s="52"/>
      <c r="L1245" s="53" t="str">
        <f t="shared" si="260"/>
        <v/>
      </c>
      <c r="M1245" s="48" t="str">
        <f t="shared" si="261"/>
        <v/>
      </c>
      <c r="N1245" s="54" t="str">
        <f t="shared" si="262"/>
        <v/>
      </c>
      <c r="O1245" s="55">
        <f t="shared" si="263"/>
        <v>0</v>
      </c>
      <c r="P1245" s="55">
        <f t="shared" si="264"/>
        <v>0</v>
      </c>
      <c r="Q1245" s="54">
        <f t="shared" si="265"/>
        <v>0</v>
      </c>
      <c r="R1245" s="47"/>
      <c r="T1245" s="57"/>
      <c r="U1245" s="45"/>
      <c r="V1245" s="46">
        <f>IF(U1245&lt;&gt;"",VLOOKUP(U1245,'Tipo Projeto'!$A$3:$B$35,2,0),0)</f>
        <v>0</v>
      </c>
      <c r="W1245" s="47"/>
      <c r="X1245" s="49"/>
      <c r="Y1245" s="50"/>
      <c r="Z1245" s="51"/>
      <c r="AA1245" s="52"/>
      <c r="AB1245" s="53" t="str">
        <f t="shared" si="266"/>
        <v/>
      </c>
      <c r="AC1245" s="48" t="str">
        <f t="shared" si="267"/>
        <v/>
      </c>
      <c r="AD1245" s="54" t="str">
        <f t="shared" si="268"/>
        <v/>
      </c>
      <c r="AE1245" s="55">
        <f t="shared" si="269"/>
        <v>0</v>
      </c>
      <c r="AF1245" s="55">
        <f t="shared" si="270"/>
        <v>0</v>
      </c>
      <c r="AG1245" s="58">
        <f t="shared" si="271"/>
        <v>0</v>
      </c>
      <c r="AH1245" s="47"/>
      <c r="AJ1245" s="47"/>
      <c r="AL1245" s="47"/>
      <c r="AM1245" s="47" t="str">
        <f t="shared" si="272"/>
        <v/>
      </c>
    </row>
    <row r="1246" spans="1:39" s="56" customFormat="1" ht="24.75" customHeight="1">
      <c r="A1246" s="44"/>
      <c r="B1246" s="45"/>
      <c r="C1246" s="46">
        <f>IF(B1246&lt;&gt;"",VLOOKUP(B1246,'Tipo Projeto'!$A$3:$B$35,2,0),0)</f>
        <v>0</v>
      </c>
      <c r="D1246" s="47"/>
      <c r="E1246" s="47"/>
      <c r="F1246" s="48"/>
      <c r="G1246" s="47"/>
      <c r="H1246" s="49"/>
      <c r="I1246" s="50"/>
      <c r="J1246" s="51"/>
      <c r="K1246" s="52"/>
      <c r="L1246" s="53" t="str">
        <f t="shared" si="260"/>
        <v/>
      </c>
      <c r="M1246" s="48" t="str">
        <f t="shared" si="261"/>
        <v/>
      </c>
      <c r="N1246" s="54" t="str">
        <f t="shared" si="262"/>
        <v/>
      </c>
      <c r="O1246" s="55">
        <f t="shared" si="263"/>
        <v>0</v>
      </c>
      <c r="P1246" s="55">
        <f t="shared" si="264"/>
        <v>0</v>
      </c>
      <c r="Q1246" s="54">
        <f t="shared" si="265"/>
        <v>0</v>
      </c>
      <c r="R1246" s="47"/>
      <c r="T1246" s="57"/>
      <c r="U1246" s="45"/>
      <c r="V1246" s="46">
        <f>IF(U1246&lt;&gt;"",VLOOKUP(U1246,'Tipo Projeto'!$A$3:$B$35,2,0),0)</f>
        <v>0</v>
      </c>
      <c r="W1246" s="47"/>
      <c r="X1246" s="49"/>
      <c r="Y1246" s="50"/>
      <c r="Z1246" s="51"/>
      <c r="AA1246" s="52"/>
      <c r="AB1246" s="53" t="str">
        <f t="shared" si="266"/>
        <v/>
      </c>
      <c r="AC1246" s="48" t="str">
        <f t="shared" si="267"/>
        <v/>
      </c>
      <c r="AD1246" s="54" t="str">
        <f t="shared" si="268"/>
        <v/>
      </c>
      <c r="AE1246" s="55">
        <f t="shared" si="269"/>
        <v>0</v>
      </c>
      <c r="AF1246" s="55">
        <f t="shared" si="270"/>
        <v>0</v>
      </c>
      <c r="AG1246" s="58">
        <f t="shared" si="271"/>
        <v>0</v>
      </c>
      <c r="AH1246" s="47"/>
      <c r="AJ1246" s="47"/>
      <c r="AL1246" s="47"/>
      <c r="AM1246" s="47" t="str">
        <f t="shared" si="272"/>
        <v/>
      </c>
    </row>
    <row r="1247" spans="1:39" s="56" customFormat="1" ht="24.75" customHeight="1">
      <c r="A1247" s="44"/>
      <c r="B1247" s="45"/>
      <c r="C1247" s="46">
        <f>IF(B1247&lt;&gt;"",VLOOKUP(B1247,'Tipo Projeto'!$A$3:$B$35,2,0),0)</f>
        <v>0</v>
      </c>
      <c r="D1247" s="47"/>
      <c r="E1247" s="47"/>
      <c r="F1247" s="48"/>
      <c r="G1247" s="47"/>
      <c r="H1247" s="49"/>
      <c r="I1247" s="50"/>
      <c r="J1247" s="51"/>
      <c r="K1247" s="52"/>
      <c r="L1247" s="53" t="str">
        <f t="shared" si="260"/>
        <v/>
      </c>
      <c r="M1247" s="48" t="str">
        <f t="shared" si="261"/>
        <v/>
      </c>
      <c r="N1247" s="54" t="str">
        <f t="shared" si="262"/>
        <v/>
      </c>
      <c r="O1247" s="55">
        <f t="shared" si="263"/>
        <v>0</v>
      </c>
      <c r="P1247" s="55">
        <f t="shared" si="264"/>
        <v>0</v>
      </c>
      <c r="Q1247" s="54">
        <f t="shared" si="265"/>
        <v>0</v>
      </c>
      <c r="R1247" s="47"/>
      <c r="T1247" s="57"/>
      <c r="U1247" s="45"/>
      <c r="V1247" s="46">
        <f>IF(U1247&lt;&gt;"",VLOOKUP(U1247,'Tipo Projeto'!$A$3:$B$35,2,0),0)</f>
        <v>0</v>
      </c>
      <c r="W1247" s="47"/>
      <c r="X1247" s="49"/>
      <c r="Y1247" s="50"/>
      <c r="Z1247" s="51"/>
      <c r="AA1247" s="52"/>
      <c r="AB1247" s="53" t="str">
        <f t="shared" si="266"/>
        <v/>
      </c>
      <c r="AC1247" s="48" t="str">
        <f t="shared" si="267"/>
        <v/>
      </c>
      <c r="AD1247" s="54" t="str">
        <f t="shared" si="268"/>
        <v/>
      </c>
      <c r="AE1247" s="55">
        <f t="shared" si="269"/>
        <v>0</v>
      </c>
      <c r="AF1247" s="55">
        <f t="shared" si="270"/>
        <v>0</v>
      </c>
      <c r="AG1247" s="58">
        <f t="shared" si="271"/>
        <v>0</v>
      </c>
      <c r="AH1247" s="47"/>
      <c r="AJ1247" s="47"/>
      <c r="AL1247" s="47"/>
      <c r="AM1247" s="47" t="str">
        <f t="shared" si="272"/>
        <v/>
      </c>
    </row>
    <row r="1248" spans="1:39" s="56" customFormat="1" ht="24.75" customHeight="1">
      <c r="A1248" s="44"/>
      <c r="B1248" s="45"/>
      <c r="C1248" s="46">
        <f>IF(B1248&lt;&gt;"",VLOOKUP(B1248,'Tipo Projeto'!$A$3:$B$35,2,0),0)</f>
        <v>0</v>
      </c>
      <c r="D1248" s="47"/>
      <c r="E1248" s="47"/>
      <c r="F1248" s="48"/>
      <c r="G1248" s="47"/>
      <c r="H1248" s="49"/>
      <c r="I1248" s="50"/>
      <c r="J1248" s="51"/>
      <c r="K1248" s="52"/>
      <c r="L1248" s="53" t="str">
        <f t="shared" si="260"/>
        <v/>
      </c>
      <c r="M1248" s="48" t="str">
        <f t="shared" si="261"/>
        <v/>
      </c>
      <c r="N1248" s="54" t="str">
        <f t="shared" si="262"/>
        <v/>
      </c>
      <c r="O1248" s="55">
        <f t="shared" si="263"/>
        <v>0</v>
      </c>
      <c r="P1248" s="55">
        <f t="shared" si="264"/>
        <v>0</v>
      </c>
      <c r="Q1248" s="54">
        <f t="shared" si="265"/>
        <v>0</v>
      </c>
      <c r="R1248" s="47"/>
      <c r="T1248" s="57"/>
      <c r="U1248" s="45"/>
      <c r="V1248" s="46">
        <f>IF(U1248&lt;&gt;"",VLOOKUP(U1248,'Tipo Projeto'!$A$3:$B$35,2,0),0)</f>
        <v>0</v>
      </c>
      <c r="W1248" s="47"/>
      <c r="X1248" s="49"/>
      <c r="Y1248" s="50"/>
      <c r="Z1248" s="51"/>
      <c r="AA1248" s="52"/>
      <c r="AB1248" s="53" t="str">
        <f t="shared" si="266"/>
        <v/>
      </c>
      <c r="AC1248" s="48" t="str">
        <f t="shared" si="267"/>
        <v/>
      </c>
      <c r="AD1248" s="54" t="str">
        <f t="shared" si="268"/>
        <v/>
      </c>
      <c r="AE1248" s="55">
        <f t="shared" si="269"/>
        <v>0</v>
      </c>
      <c r="AF1248" s="55">
        <f t="shared" si="270"/>
        <v>0</v>
      </c>
      <c r="AG1248" s="58">
        <f t="shared" si="271"/>
        <v>0</v>
      </c>
      <c r="AH1248" s="47"/>
      <c r="AJ1248" s="47"/>
      <c r="AL1248" s="47"/>
      <c r="AM1248" s="47" t="str">
        <f t="shared" si="272"/>
        <v/>
      </c>
    </row>
    <row r="1249" spans="1:39" s="56" customFormat="1" ht="24.75" customHeight="1">
      <c r="A1249" s="44"/>
      <c r="B1249" s="45"/>
      <c r="C1249" s="46">
        <f>IF(B1249&lt;&gt;"",VLOOKUP(B1249,'Tipo Projeto'!$A$3:$B$35,2,0),0)</f>
        <v>0</v>
      </c>
      <c r="D1249" s="47"/>
      <c r="E1249" s="47"/>
      <c r="F1249" s="48"/>
      <c r="G1249" s="47"/>
      <c r="H1249" s="49"/>
      <c r="I1249" s="50"/>
      <c r="J1249" s="51"/>
      <c r="K1249" s="52"/>
      <c r="L1249" s="53" t="str">
        <f t="shared" si="260"/>
        <v/>
      </c>
      <c r="M1249" s="48" t="str">
        <f t="shared" si="261"/>
        <v/>
      </c>
      <c r="N1249" s="54" t="str">
        <f t="shared" si="262"/>
        <v/>
      </c>
      <c r="O1249" s="55">
        <f t="shared" si="263"/>
        <v>0</v>
      </c>
      <c r="P1249" s="55">
        <f t="shared" si="264"/>
        <v>0</v>
      </c>
      <c r="Q1249" s="54">
        <f t="shared" si="265"/>
        <v>0</v>
      </c>
      <c r="R1249" s="47"/>
      <c r="T1249" s="57"/>
      <c r="U1249" s="45"/>
      <c r="V1249" s="46">
        <f>IF(U1249&lt;&gt;"",VLOOKUP(U1249,'Tipo Projeto'!$A$3:$B$35,2,0),0)</f>
        <v>0</v>
      </c>
      <c r="W1249" s="47"/>
      <c r="X1249" s="49"/>
      <c r="Y1249" s="50"/>
      <c r="Z1249" s="51"/>
      <c r="AA1249" s="52"/>
      <c r="AB1249" s="53" t="str">
        <f t="shared" si="266"/>
        <v/>
      </c>
      <c r="AC1249" s="48" t="str">
        <f t="shared" si="267"/>
        <v/>
      </c>
      <c r="AD1249" s="54" t="str">
        <f t="shared" si="268"/>
        <v/>
      </c>
      <c r="AE1249" s="55">
        <f t="shared" si="269"/>
        <v>0</v>
      </c>
      <c r="AF1249" s="55">
        <f t="shared" si="270"/>
        <v>0</v>
      </c>
      <c r="AG1249" s="58">
        <f t="shared" si="271"/>
        <v>0</v>
      </c>
      <c r="AH1249" s="47"/>
      <c r="AJ1249" s="47"/>
      <c r="AL1249" s="47"/>
      <c r="AM1249" s="47" t="str">
        <f t="shared" si="272"/>
        <v/>
      </c>
    </row>
    <row r="1250" spans="1:39" s="56" customFormat="1" ht="24.75" customHeight="1">
      <c r="A1250" s="44"/>
      <c r="B1250" s="45"/>
      <c r="C1250" s="46">
        <f>IF(B1250&lt;&gt;"",VLOOKUP(B1250,'Tipo Projeto'!$A$3:$B$35,2,0),0)</f>
        <v>0</v>
      </c>
      <c r="D1250" s="47"/>
      <c r="E1250" s="47"/>
      <c r="F1250" s="48"/>
      <c r="G1250" s="47"/>
      <c r="H1250" s="49"/>
      <c r="I1250" s="50"/>
      <c r="J1250" s="51"/>
      <c r="K1250" s="52"/>
      <c r="L1250" s="53" t="str">
        <f t="shared" si="260"/>
        <v/>
      </c>
      <c r="M1250" s="48" t="str">
        <f t="shared" si="261"/>
        <v/>
      </c>
      <c r="N1250" s="54" t="str">
        <f t="shared" si="262"/>
        <v/>
      </c>
      <c r="O1250" s="55">
        <f t="shared" si="263"/>
        <v>0</v>
      </c>
      <c r="P1250" s="55">
        <f t="shared" si="264"/>
        <v>0</v>
      </c>
      <c r="Q1250" s="54">
        <f t="shared" si="265"/>
        <v>0</v>
      </c>
      <c r="R1250" s="47"/>
      <c r="T1250" s="57"/>
      <c r="U1250" s="45"/>
      <c r="V1250" s="46">
        <f>IF(U1250&lt;&gt;"",VLOOKUP(U1250,'Tipo Projeto'!$A$3:$B$35,2,0),0)</f>
        <v>0</v>
      </c>
      <c r="W1250" s="47"/>
      <c r="X1250" s="49"/>
      <c r="Y1250" s="50"/>
      <c r="Z1250" s="51"/>
      <c r="AA1250" s="52"/>
      <c r="AB1250" s="53" t="str">
        <f t="shared" si="266"/>
        <v/>
      </c>
      <c r="AC1250" s="48" t="str">
        <f t="shared" si="267"/>
        <v/>
      </c>
      <c r="AD1250" s="54" t="str">
        <f t="shared" si="268"/>
        <v/>
      </c>
      <c r="AE1250" s="55">
        <f t="shared" si="269"/>
        <v>0</v>
      </c>
      <c r="AF1250" s="55">
        <f t="shared" si="270"/>
        <v>0</v>
      </c>
      <c r="AG1250" s="58">
        <f t="shared" si="271"/>
        <v>0</v>
      </c>
      <c r="AH1250" s="47"/>
      <c r="AJ1250" s="47"/>
      <c r="AL1250" s="47"/>
      <c r="AM1250" s="47" t="str">
        <f t="shared" si="272"/>
        <v/>
      </c>
    </row>
    <row r="1251" spans="1:39" s="56" customFormat="1" ht="24.75" customHeight="1">
      <c r="A1251" s="44"/>
      <c r="B1251" s="45"/>
      <c r="C1251" s="46">
        <f>IF(B1251&lt;&gt;"",VLOOKUP(B1251,'Tipo Projeto'!$A$3:$B$35,2,0),0)</f>
        <v>0</v>
      </c>
      <c r="D1251" s="47"/>
      <c r="E1251" s="47"/>
      <c r="F1251" s="48"/>
      <c r="G1251" s="47"/>
      <c r="H1251" s="49"/>
      <c r="I1251" s="50"/>
      <c r="J1251" s="51"/>
      <c r="K1251" s="52"/>
      <c r="L1251" s="53" t="str">
        <f t="shared" si="260"/>
        <v/>
      </c>
      <c r="M1251" s="48" t="str">
        <f t="shared" si="261"/>
        <v/>
      </c>
      <c r="N1251" s="54" t="str">
        <f t="shared" si="262"/>
        <v/>
      </c>
      <c r="O1251" s="55">
        <f t="shared" si="263"/>
        <v>0</v>
      </c>
      <c r="P1251" s="55">
        <f t="shared" si="264"/>
        <v>0</v>
      </c>
      <c r="Q1251" s="54">
        <f t="shared" si="265"/>
        <v>0</v>
      </c>
      <c r="R1251" s="47"/>
      <c r="T1251" s="57"/>
      <c r="U1251" s="45"/>
      <c r="V1251" s="46">
        <f>IF(U1251&lt;&gt;"",VLOOKUP(U1251,'Tipo Projeto'!$A$3:$B$35,2,0),0)</f>
        <v>0</v>
      </c>
      <c r="W1251" s="47"/>
      <c r="X1251" s="49"/>
      <c r="Y1251" s="50"/>
      <c r="Z1251" s="51"/>
      <c r="AA1251" s="52"/>
      <c r="AB1251" s="53" t="str">
        <f t="shared" si="266"/>
        <v/>
      </c>
      <c r="AC1251" s="48" t="str">
        <f t="shared" si="267"/>
        <v/>
      </c>
      <c r="AD1251" s="54" t="str">
        <f t="shared" si="268"/>
        <v/>
      </c>
      <c r="AE1251" s="55">
        <f t="shared" si="269"/>
        <v>0</v>
      </c>
      <c r="AF1251" s="55">
        <f t="shared" si="270"/>
        <v>0</v>
      </c>
      <c r="AG1251" s="58">
        <f t="shared" si="271"/>
        <v>0</v>
      </c>
      <c r="AH1251" s="47"/>
      <c r="AJ1251" s="47"/>
      <c r="AL1251" s="47"/>
      <c r="AM1251" s="47" t="str">
        <f t="shared" si="272"/>
        <v/>
      </c>
    </row>
    <row r="1252" spans="1:39" s="56" customFormat="1" ht="24.75" customHeight="1">
      <c r="A1252" s="44"/>
      <c r="B1252" s="45"/>
      <c r="C1252" s="46">
        <f>IF(B1252&lt;&gt;"",VLOOKUP(B1252,'Tipo Projeto'!$A$3:$B$35,2,0),0)</f>
        <v>0</v>
      </c>
      <c r="D1252" s="47"/>
      <c r="E1252" s="47"/>
      <c r="F1252" s="48"/>
      <c r="G1252" s="47"/>
      <c r="H1252" s="49"/>
      <c r="I1252" s="50"/>
      <c r="J1252" s="51"/>
      <c r="K1252" s="52"/>
      <c r="L1252" s="53" t="str">
        <f t="shared" si="260"/>
        <v/>
      </c>
      <c r="M1252" s="48" t="str">
        <f t="shared" si="261"/>
        <v/>
      </c>
      <c r="N1252" s="54" t="str">
        <f t="shared" si="262"/>
        <v/>
      </c>
      <c r="O1252" s="55">
        <f t="shared" si="263"/>
        <v>0</v>
      </c>
      <c r="P1252" s="55">
        <f t="shared" si="264"/>
        <v>0</v>
      </c>
      <c r="Q1252" s="54">
        <f t="shared" si="265"/>
        <v>0</v>
      </c>
      <c r="R1252" s="47"/>
      <c r="T1252" s="57"/>
      <c r="U1252" s="45"/>
      <c r="V1252" s="46">
        <f>IF(U1252&lt;&gt;"",VLOOKUP(U1252,'Tipo Projeto'!$A$3:$B$35,2,0),0)</f>
        <v>0</v>
      </c>
      <c r="W1252" s="47"/>
      <c r="X1252" s="49"/>
      <c r="Y1252" s="50"/>
      <c r="Z1252" s="51"/>
      <c r="AA1252" s="52"/>
      <c r="AB1252" s="53" t="str">
        <f t="shared" si="266"/>
        <v/>
      </c>
      <c r="AC1252" s="48" t="str">
        <f t="shared" si="267"/>
        <v/>
      </c>
      <c r="AD1252" s="54" t="str">
        <f t="shared" si="268"/>
        <v/>
      </c>
      <c r="AE1252" s="55">
        <f t="shared" si="269"/>
        <v>0</v>
      </c>
      <c r="AF1252" s="55">
        <f t="shared" si="270"/>
        <v>0</v>
      </c>
      <c r="AG1252" s="58">
        <f t="shared" si="271"/>
        <v>0</v>
      </c>
      <c r="AH1252" s="47"/>
      <c r="AJ1252" s="47"/>
      <c r="AL1252" s="47"/>
      <c r="AM1252" s="47" t="str">
        <f t="shared" si="272"/>
        <v/>
      </c>
    </row>
    <row r="1253" spans="1:39" s="56" customFormat="1" ht="24.75" customHeight="1">
      <c r="A1253" s="44"/>
      <c r="B1253" s="45"/>
      <c r="C1253" s="46">
        <f>IF(B1253&lt;&gt;"",VLOOKUP(B1253,'Tipo Projeto'!$A$3:$B$35,2,0),0)</f>
        <v>0</v>
      </c>
      <c r="D1253" s="47"/>
      <c r="E1253" s="47"/>
      <c r="F1253" s="48"/>
      <c r="G1253" s="47"/>
      <c r="H1253" s="49"/>
      <c r="I1253" s="50"/>
      <c r="J1253" s="51"/>
      <c r="K1253" s="52"/>
      <c r="L1253" s="53" t="str">
        <f t="shared" si="260"/>
        <v/>
      </c>
      <c r="M1253" s="48" t="str">
        <f t="shared" si="261"/>
        <v/>
      </c>
      <c r="N1253" s="54" t="str">
        <f t="shared" si="262"/>
        <v/>
      </c>
      <c r="O1253" s="55">
        <f t="shared" si="263"/>
        <v>0</v>
      </c>
      <c r="P1253" s="55">
        <f t="shared" si="264"/>
        <v>0</v>
      </c>
      <c r="Q1253" s="54">
        <f t="shared" si="265"/>
        <v>0</v>
      </c>
      <c r="R1253" s="47"/>
      <c r="T1253" s="57"/>
      <c r="U1253" s="45"/>
      <c r="V1253" s="46">
        <f>IF(U1253&lt;&gt;"",VLOOKUP(U1253,'Tipo Projeto'!$A$3:$B$35,2,0),0)</f>
        <v>0</v>
      </c>
      <c r="W1253" s="47"/>
      <c r="X1253" s="49"/>
      <c r="Y1253" s="50"/>
      <c r="Z1253" s="51"/>
      <c r="AA1253" s="52"/>
      <c r="AB1253" s="53" t="str">
        <f t="shared" si="266"/>
        <v/>
      </c>
      <c r="AC1253" s="48" t="str">
        <f t="shared" si="267"/>
        <v/>
      </c>
      <c r="AD1253" s="54" t="str">
        <f t="shared" si="268"/>
        <v/>
      </c>
      <c r="AE1253" s="55">
        <f t="shared" si="269"/>
        <v>0</v>
      </c>
      <c r="AF1253" s="55">
        <f t="shared" si="270"/>
        <v>0</v>
      </c>
      <c r="AG1253" s="58">
        <f t="shared" si="271"/>
        <v>0</v>
      </c>
      <c r="AH1253" s="47"/>
      <c r="AJ1253" s="47"/>
      <c r="AL1253" s="47"/>
      <c r="AM1253" s="47" t="str">
        <f t="shared" si="272"/>
        <v/>
      </c>
    </row>
    <row r="1254" spans="1:39" s="56" customFormat="1" ht="24.75" customHeight="1">
      <c r="A1254" s="44"/>
      <c r="B1254" s="45"/>
      <c r="C1254" s="46">
        <f>IF(B1254&lt;&gt;"",VLOOKUP(B1254,'Tipo Projeto'!$A$3:$B$35,2,0),0)</f>
        <v>0</v>
      </c>
      <c r="D1254" s="47"/>
      <c r="E1254" s="47"/>
      <c r="F1254" s="48"/>
      <c r="G1254" s="47"/>
      <c r="H1254" s="49"/>
      <c r="I1254" s="50"/>
      <c r="J1254" s="51"/>
      <c r="K1254" s="52"/>
      <c r="L1254" s="53" t="str">
        <f t="shared" si="260"/>
        <v/>
      </c>
      <c r="M1254" s="48" t="str">
        <f t="shared" si="261"/>
        <v/>
      </c>
      <c r="N1254" s="54" t="str">
        <f t="shared" si="262"/>
        <v/>
      </c>
      <c r="O1254" s="55">
        <f t="shared" si="263"/>
        <v>0</v>
      </c>
      <c r="P1254" s="55">
        <f t="shared" si="264"/>
        <v>0</v>
      </c>
      <c r="Q1254" s="54">
        <f t="shared" si="265"/>
        <v>0</v>
      </c>
      <c r="R1254" s="47"/>
      <c r="T1254" s="57"/>
      <c r="U1254" s="45"/>
      <c r="V1254" s="46">
        <f>IF(U1254&lt;&gt;"",VLOOKUP(U1254,'Tipo Projeto'!$A$3:$B$35,2,0),0)</f>
        <v>0</v>
      </c>
      <c r="W1254" s="47"/>
      <c r="X1254" s="49"/>
      <c r="Y1254" s="50"/>
      <c r="Z1254" s="51"/>
      <c r="AA1254" s="52"/>
      <c r="AB1254" s="53" t="str">
        <f t="shared" si="266"/>
        <v/>
      </c>
      <c r="AC1254" s="48" t="str">
        <f t="shared" si="267"/>
        <v/>
      </c>
      <c r="AD1254" s="54" t="str">
        <f t="shared" si="268"/>
        <v/>
      </c>
      <c r="AE1254" s="55">
        <f t="shared" si="269"/>
        <v>0</v>
      </c>
      <c r="AF1254" s="55">
        <f t="shared" si="270"/>
        <v>0</v>
      </c>
      <c r="AG1254" s="58">
        <f t="shared" si="271"/>
        <v>0</v>
      </c>
      <c r="AH1254" s="47"/>
      <c r="AJ1254" s="47"/>
      <c r="AL1254" s="47"/>
      <c r="AM1254" s="47" t="str">
        <f t="shared" si="272"/>
        <v/>
      </c>
    </row>
    <row r="1255" spans="1:39" s="56" customFormat="1" ht="24.75" customHeight="1">
      <c r="A1255" s="44"/>
      <c r="B1255" s="45"/>
      <c r="C1255" s="46">
        <f>IF(B1255&lt;&gt;"",VLOOKUP(B1255,'Tipo Projeto'!$A$3:$B$35,2,0),0)</f>
        <v>0</v>
      </c>
      <c r="D1255" s="47"/>
      <c r="E1255" s="47"/>
      <c r="F1255" s="48"/>
      <c r="G1255" s="47"/>
      <c r="H1255" s="49"/>
      <c r="I1255" s="50"/>
      <c r="J1255" s="51"/>
      <c r="K1255" s="52"/>
      <c r="L1255" s="53" t="str">
        <f t="shared" si="260"/>
        <v/>
      </c>
      <c r="M1255" s="48" t="str">
        <f t="shared" si="261"/>
        <v/>
      </c>
      <c r="N1255" s="54" t="str">
        <f t="shared" si="262"/>
        <v/>
      </c>
      <c r="O1255" s="55">
        <f t="shared" si="263"/>
        <v>0</v>
      </c>
      <c r="P1255" s="55">
        <f t="shared" si="264"/>
        <v>0</v>
      </c>
      <c r="Q1255" s="54">
        <f t="shared" si="265"/>
        <v>0</v>
      </c>
      <c r="R1255" s="47"/>
      <c r="T1255" s="57"/>
      <c r="U1255" s="45"/>
      <c r="V1255" s="46">
        <f>IF(U1255&lt;&gt;"",VLOOKUP(U1255,'Tipo Projeto'!$A$3:$B$35,2,0),0)</f>
        <v>0</v>
      </c>
      <c r="W1255" s="47"/>
      <c r="X1255" s="49"/>
      <c r="Y1255" s="50"/>
      <c r="Z1255" s="51"/>
      <c r="AA1255" s="52"/>
      <c r="AB1255" s="53" t="str">
        <f t="shared" si="266"/>
        <v/>
      </c>
      <c r="AC1255" s="48" t="str">
        <f t="shared" si="267"/>
        <v/>
      </c>
      <c r="AD1255" s="54" t="str">
        <f t="shared" si="268"/>
        <v/>
      </c>
      <c r="AE1255" s="55">
        <f t="shared" si="269"/>
        <v>0</v>
      </c>
      <c r="AF1255" s="55">
        <f t="shared" si="270"/>
        <v>0</v>
      </c>
      <c r="AG1255" s="58">
        <f t="shared" si="271"/>
        <v>0</v>
      </c>
      <c r="AH1255" s="47"/>
      <c r="AJ1255" s="47"/>
      <c r="AL1255" s="47"/>
      <c r="AM1255" s="47" t="str">
        <f t="shared" si="272"/>
        <v/>
      </c>
    </row>
    <row r="1256" spans="1:39" s="56" customFormat="1" ht="24.75" customHeight="1">
      <c r="A1256" s="44"/>
      <c r="B1256" s="45"/>
      <c r="C1256" s="46">
        <f>IF(B1256&lt;&gt;"",VLOOKUP(B1256,'Tipo Projeto'!$A$3:$B$35,2,0),0)</f>
        <v>0</v>
      </c>
      <c r="D1256" s="47"/>
      <c r="E1256" s="47"/>
      <c r="F1256" s="48"/>
      <c r="G1256" s="47"/>
      <c r="H1256" s="49"/>
      <c r="I1256" s="50"/>
      <c r="J1256" s="51"/>
      <c r="K1256" s="52"/>
      <c r="L1256" s="53" t="str">
        <f t="shared" si="260"/>
        <v/>
      </c>
      <c r="M1256" s="48" t="str">
        <f t="shared" si="261"/>
        <v/>
      </c>
      <c r="N1256" s="54" t="str">
        <f t="shared" si="262"/>
        <v/>
      </c>
      <c r="O1256" s="55">
        <f t="shared" si="263"/>
        <v>0</v>
      </c>
      <c r="P1256" s="55">
        <f t="shared" si="264"/>
        <v>0</v>
      </c>
      <c r="Q1256" s="54">
        <f t="shared" si="265"/>
        <v>0</v>
      </c>
      <c r="R1256" s="47"/>
      <c r="T1256" s="57"/>
      <c r="U1256" s="45"/>
      <c r="V1256" s="46">
        <f>IF(U1256&lt;&gt;"",VLOOKUP(U1256,'Tipo Projeto'!$A$3:$B$35,2,0),0)</f>
        <v>0</v>
      </c>
      <c r="W1256" s="47"/>
      <c r="X1256" s="49"/>
      <c r="Y1256" s="50"/>
      <c r="Z1256" s="51"/>
      <c r="AA1256" s="52"/>
      <c r="AB1256" s="53" t="str">
        <f t="shared" si="266"/>
        <v/>
      </c>
      <c r="AC1256" s="48" t="str">
        <f t="shared" si="267"/>
        <v/>
      </c>
      <c r="AD1256" s="54" t="str">
        <f t="shared" si="268"/>
        <v/>
      </c>
      <c r="AE1256" s="55">
        <f t="shared" si="269"/>
        <v>0</v>
      </c>
      <c r="AF1256" s="55">
        <f t="shared" si="270"/>
        <v>0</v>
      </c>
      <c r="AG1256" s="58">
        <f t="shared" si="271"/>
        <v>0</v>
      </c>
      <c r="AH1256" s="47"/>
      <c r="AJ1256" s="47"/>
      <c r="AL1256" s="47"/>
      <c r="AM1256" s="47" t="str">
        <f t="shared" si="272"/>
        <v/>
      </c>
    </row>
    <row r="1257" spans="1:39" s="56" customFormat="1" ht="24.75" customHeight="1">
      <c r="A1257" s="44"/>
      <c r="B1257" s="45"/>
      <c r="C1257" s="46">
        <f>IF(B1257&lt;&gt;"",VLOOKUP(B1257,'Tipo Projeto'!$A$3:$B$35,2,0),0)</f>
        <v>0</v>
      </c>
      <c r="D1257" s="47"/>
      <c r="E1257" s="47"/>
      <c r="F1257" s="48"/>
      <c r="G1257" s="47"/>
      <c r="H1257" s="49"/>
      <c r="I1257" s="50"/>
      <c r="J1257" s="51"/>
      <c r="K1257" s="52"/>
      <c r="L1257" s="53" t="str">
        <f t="shared" si="260"/>
        <v/>
      </c>
      <c r="M1257" s="48" t="str">
        <f t="shared" si="261"/>
        <v/>
      </c>
      <c r="N1257" s="54" t="str">
        <f t="shared" si="262"/>
        <v/>
      </c>
      <c r="O1257" s="55">
        <f t="shared" si="263"/>
        <v>0</v>
      </c>
      <c r="P1257" s="55">
        <f t="shared" si="264"/>
        <v>0</v>
      </c>
      <c r="Q1257" s="54">
        <f t="shared" si="265"/>
        <v>0</v>
      </c>
      <c r="R1257" s="47"/>
      <c r="T1257" s="57"/>
      <c r="U1257" s="45"/>
      <c r="V1257" s="46">
        <f>IF(U1257&lt;&gt;"",VLOOKUP(U1257,'Tipo Projeto'!$A$3:$B$35,2,0),0)</f>
        <v>0</v>
      </c>
      <c r="W1257" s="47"/>
      <c r="X1257" s="49"/>
      <c r="Y1257" s="50"/>
      <c r="Z1257" s="51"/>
      <c r="AA1257" s="52"/>
      <c r="AB1257" s="53" t="str">
        <f t="shared" si="266"/>
        <v/>
      </c>
      <c r="AC1257" s="48" t="str">
        <f t="shared" si="267"/>
        <v/>
      </c>
      <c r="AD1257" s="54" t="str">
        <f t="shared" si="268"/>
        <v/>
      </c>
      <c r="AE1257" s="55">
        <f t="shared" si="269"/>
        <v>0</v>
      </c>
      <c r="AF1257" s="55">
        <f t="shared" si="270"/>
        <v>0</v>
      </c>
      <c r="AG1257" s="58">
        <f t="shared" si="271"/>
        <v>0</v>
      </c>
      <c r="AH1257" s="47"/>
      <c r="AJ1257" s="47"/>
      <c r="AL1257" s="47"/>
      <c r="AM1257" s="47" t="str">
        <f t="shared" si="272"/>
        <v/>
      </c>
    </row>
    <row r="1258" spans="1:39" s="56" customFormat="1" ht="24.75" customHeight="1">
      <c r="A1258" s="44"/>
      <c r="B1258" s="45"/>
      <c r="C1258" s="46">
        <f>IF(B1258&lt;&gt;"",VLOOKUP(B1258,'Tipo Projeto'!$A$3:$B$35,2,0),0)</f>
        <v>0</v>
      </c>
      <c r="D1258" s="47"/>
      <c r="E1258" s="47"/>
      <c r="F1258" s="48"/>
      <c r="G1258" s="47"/>
      <c r="H1258" s="49"/>
      <c r="I1258" s="50"/>
      <c r="J1258" s="51"/>
      <c r="K1258" s="52"/>
      <c r="L1258" s="53" t="str">
        <f t="shared" si="260"/>
        <v/>
      </c>
      <c r="M1258" s="48" t="str">
        <f t="shared" si="261"/>
        <v/>
      </c>
      <c r="N1258" s="54" t="str">
        <f t="shared" si="262"/>
        <v/>
      </c>
      <c r="O1258" s="55">
        <f t="shared" si="263"/>
        <v>0</v>
      </c>
      <c r="P1258" s="55">
        <f t="shared" si="264"/>
        <v>0</v>
      </c>
      <c r="Q1258" s="54">
        <f t="shared" si="265"/>
        <v>0</v>
      </c>
      <c r="R1258" s="47"/>
      <c r="T1258" s="57"/>
      <c r="U1258" s="45"/>
      <c r="V1258" s="46">
        <f>IF(U1258&lt;&gt;"",VLOOKUP(U1258,'Tipo Projeto'!$A$3:$B$35,2,0),0)</f>
        <v>0</v>
      </c>
      <c r="W1258" s="47"/>
      <c r="X1258" s="49"/>
      <c r="Y1258" s="50"/>
      <c r="Z1258" s="51"/>
      <c r="AA1258" s="52"/>
      <c r="AB1258" s="53" t="str">
        <f t="shared" si="266"/>
        <v/>
      </c>
      <c r="AC1258" s="48" t="str">
        <f t="shared" si="267"/>
        <v/>
      </c>
      <c r="AD1258" s="54" t="str">
        <f t="shared" si="268"/>
        <v/>
      </c>
      <c r="AE1258" s="55">
        <f t="shared" si="269"/>
        <v>0</v>
      </c>
      <c r="AF1258" s="55">
        <f t="shared" si="270"/>
        <v>0</v>
      </c>
      <c r="AG1258" s="58">
        <f t="shared" si="271"/>
        <v>0</v>
      </c>
      <c r="AH1258" s="47"/>
      <c r="AJ1258" s="47"/>
      <c r="AL1258" s="47"/>
      <c r="AM1258" s="47" t="str">
        <f t="shared" si="272"/>
        <v/>
      </c>
    </row>
    <row r="1259" spans="1:39" s="56" customFormat="1" ht="24.75" customHeight="1">
      <c r="A1259" s="44"/>
      <c r="B1259" s="45"/>
      <c r="C1259" s="46">
        <f>IF(B1259&lt;&gt;"",VLOOKUP(B1259,'Tipo Projeto'!$A$3:$B$35,2,0),0)</f>
        <v>0</v>
      </c>
      <c r="D1259" s="47"/>
      <c r="E1259" s="47"/>
      <c r="F1259" s="48"/>
      <c r="G1259" s="47"/>
      <c r="H1259" s="49"/>
      <c r="I1259" s="50"/>
      <c r="J1259" s="51"/>
      <c r="K1259" s="52"/>
      <c r="L1259" s="53" t="str">
        <f t="shared" si="260"/>
        <v/>
      </c>
      <c r="M1259" s="48" t="str">
        <f t="shared" si="261"/>
        <v/>
      </c>
      <c r="N1259" s="54" t="str">
        <f t="shared" si="262"/>
        <v/>
      </c>
      <c r="O1259" s="55">
        <f t="shared" si="263"/>
        <v>0</v>
      </c>
      <c r="P1259" s="55">
        <f t="shared" si="264"/>
        <v>0</v>
      </c>
      <c r="Q1259" s="54">
        <f t="shared" si="265"/>
        <v>0</v>
      </c>
      <c r="R1259" s="47"/>
      <c r="T1259" s="57"/>
      <c r="U1259" s="45"/>
      <c r="V1259" s="46">
        <f>IF(U1259&lt;&gt;"",VLOOKUP(U1259,'Tipo Projeto'!$A$3:$B$35,2,0),0)</f>
        <v>0</v>
      </c>
      <c r="W1259" s="47"/>
      <c r="X1259" s="49"/>
      <c r="Y1259" s="50"/>
      <c r="Z1259" s="51"/>
      <c r="AA1259" s="52"/>
      <c r="AB1259" s="53" t="str">
        <f t="shared" si="266"/>
        <v/>
      </c>
      <c r="AC1259" s="48" t="str">
        <f t="shared" si="267"/>
        <v/>
      </c>
      <c r="AD1259" s="54" t="str">
        <f t="shared" si="268"/>
        <v/>
      </c>
      <c r="AE1259" s="55">
        <f t="shared" si="269"/>
        <v>0</v>
      </c>
      <c r="AF1259" s="55">
        <f t="shared" si="270"/>
        <v>0</v>
      </c>
      <c r="AG1259" s="58">
        <f t="shared" si="271"/>
        <v>0</v>
      </c>
      <c r="AH1259" s="47"/>
      <c r="AJ1259" s="47"/>
      <c r="AL1259" s="47"/>
      <c r="AM1259" s="47" t="str">
        <f t="shared" si="272"/>
        <v/>
      </c>
    </row>
    <row r="1260" spans="1:39" s="56" customFormat="1" ht="24.75" customHeight="1">
      <c r="A1260" s="44"/>
      <c r="B1260" s="45"/>
      <c r="C1260" s="46">
        <f>IF(B1260&lt;&gt;"",VLOOKUP(B1260,'Tipo Projeto'!$A$3:$B$35,2,0),0)</f>
        <v>0</v>
      </c>
      <c r="D1260" s="47"/>
      <c r="E1260" s="47"/>
      <c r="F1260" s="48"/>
      <c r="G1260" s="47"/>
      <c r="H1260" s="49"/>
      <c r="I1260" s="50"/>
      <c r="J1260" s="51"/>
      <c r="K1260" s="52"/>
      <c r="L1260" s="53" t="str">
        <f t="shared" si="260"/>
        <v/>
      </c>
      <c r="M1260" s="48" t="str">
        <f t="shared" si="261"/>
        <v/>
      </c>
      <c r="N1260" s="54" t="str">
        <f t="shared" si="262"/>
        <v/>
      </c>
      <c r="O1260" s="55">
        <f t="shared" si="263"/>
        <v>0</v>
      </c>
      <c r="P1260" s="55">
        <f t="shared" si="264"/>
        <v>0</v>
      </c>
      <c r="Q1260" s="54">
        <f t="shared" si="265"/>
        <v>0</v>
      </c>
      <c r="R1260" s="47"/>
      <c r="T1260" s="57"/>
      <c r="U1260" s="45"/>
      <c r="V1260" s="46">
        <f>IF(U1260&lt;&gt;"",VLOOKUP(U1260,'Tipo Projeto'!$A$3:$B$35,2,0),0)</f>
        <v>0</v>
      </c>
      <c r="W1260" s="47"/>
      <c r="X1260" s="49"/>
      <c r="Y1260" s="50"/>
      <c r="Z1260" s="51"/>
      <c r="AA1260" s="52"/>
      <c r="AB1260" s="53" t="str">
        <f t="shared" si="266"/>
        <v/>
      </c>
      <c r="AC1260" s="48" t="str">
        <f t="shared" si="267"/>
        <v/>
      </c>
      <c r="AD1260" s="54" t="str">
        <f t="shared" si="268"/>
        <v/>
      </c>
      <c r="AE1260" s="55">
        <f t="shared" si="269"/>
        <v>0</v>
      </c>
      <c r="AF1260" s="55">
        <f t="shared" si="270"/>
        <v>0</v>
      </c>
      <c r="AG1260" s="58">
        <f t="shared" si="271"/>
        <v>0</v>
      </c>
      <c r="AH1260" s="47"/>
      <c r="AJ1260" s="47"/>
      <c r="AL1260" s="47"/>
      <c r="AM1260" s="47" t="str">
        <f t="shared" si="272"/>
        <v/>
      </c>
    </row>
    <row r="1261" spans="1:39" s="56" customFormat="1" ht="24.75" customHeight="1">
      <c r="A1261" s="44"/>
      <c r="B1261" s="45"/>
      <c r="C1261" s="46">
        <f>IF(B1261&lt;&gt;"",VLOOKUP(B1261,'Tipo Projeto'!$A$3:$B$35,2,0),0)</f>
        <v>0</v>
      </c>
      <c r="D1261" s="47"/>
      <c r="E1261" s="47"/>
      <c r="F1261" s="48"/>
      <c r="G1261" s="47"/>
      <c r="H1261" s="49"/>
      <c r="I1261" s="50"/>
      <c r="J1261" s="51"/>
      <c r="K1261" s="52"/>
      <c r="L1261" s="53" t="str">
        <f t="shared" si="260"/>
        <v/>
      </c>
      <c r="M1261" s="48" t="str">
        <f t="shared" si="261"/>
        <v/>
      </c>
      <c r="N1261" s="54" t="str">
        <f t="shared" si="262"/>
        <v/>
      </c>
      <c r="O1261" s="55">
        <f t="shared" si="263"/>
        <v>0</v>
      </c>
      <c r="P1261" s="55">
        <f t="shared" si="264"/>
        <v>0</v>
      </c>
      <c r="Q1261" s="54">
        <f t="shared" si="265"/>
        <v>0</v>
      </c>
      <c r="R1261" s="47"/>
      <c r="T1261" s="57"/>
      <c r="U1261" s="45"/>
      <c r="V1261" s="46">
        <f>IF(U1261&lt;&gt;"",VLOOKUP(U1261,'Tipo Projeto'!$A$3:$B$35,2,0),0)</f>
        <v>0</v>
      </c>
      <c r="W1261" s="47"/>
      <c r="X1261" s="49"/>
      <c r="Y1261" s="50"/>
      <c r="Z1261" s="51"/>
      <c r="AA1261" s="52"/>
      <c r="AB1261" s="53" t="str">
        <f t="shared" si="266"/>
        <v/>
      </c>
      <c r="AC1261" s="48" t="str">
        <f t="shared" si="267"/>
        <v/>
      </c>
      <c r="AD1261" s="54" t="str">
        <f t="shared" si="268"/>
        <v/>
      </c>
      <c r="AE1261" s="55">
        <f t="shared" si="269"/>
        <v>0</v>
      </c>
      <c r="AF1261" s="55">
        <f t="shared" si="270"/>
        <v>0</v>
      </c>
      <c r="AG1261" s="58">
        <f t="shared" si="271"/>
        <v>0</v>
      </c>
      <c r="AH1261" s="47"/>
      <c r="AJ1261" s="47"/>
      <c r="AL1261" s="47"/>
      <c r="AM1261" s="47" t="str">
        <f t="shared" si="272"/>
        <v/>
      </c>
    </row>
    <row r="1262" spans="1:39" s="56" customFormat="1" ht="24.75" customHeight="1">
      <c r="A1262" s="44"/>
      <c r="B1262" s="45"/>
      <c r="C1262" s="46">
        <f>IF(B1262&lt;&gt;"",VLOOKUP(B1262,'Tipo Projeto'!$A$3:$B$35,2,0),0)</f>
        <v>0</v>
      </c>
      <c r="D1262" s="47"/>
      <c r="E1262" s="47"/>
      <c r="F1262" s="48"/>
      <c r="G1262" s="47"/>
      <c r="H1262" s="49"/>
      <c r="I1262" s="50"/>
      <c r="J1262" s="51"/>
      <c r="K1262" s="52"/>
      <c r="L1262" s="53" t="str">
        <f t="shared" si="260"/>
        <v/>
      </c>
      <c r="M1262" s="48" t="str">
        <f t="shared" si="261"/>
        <v/>
      </c>
      <c r="N1262" s="54" t="str">
        <f t="shared" si="262"/>
        <v/>
      </c>
      <c r="O1262" s="55">
        <f t="shared" si="263"/>
        <v>0</v>
      </c>
      <c r="P1262" s="55">
        <f t="shared" si="264"/>
        <v>0</v>
      </c>
      <c r="Q1262" s="54">
        <f t="shared" si="265"/>
        <v>0</v>
      </c>
      <c r="R1262" s="47"/>
      <c r="T1262" s="57"/>
      <c r="U1262" s="45"/>
      <c r="V1262" s="46">
        <f>IF(U1262&lt;&gt;"",VLOOKUP(U1262,'Tipo Projeto'!$A$3:$B$35,2,0),0)</f>
        <v>0</v>
      </c>
      <c r="W1262" s="47"/>
      <c r="X1262" s="49"/>
      <c r="Y1262" s="50"/>
      <c r="Z1262" s="51"/>
      <c r="AA1262" s="52"/>
      <c r="AB1262" s="53" t="str">
        <f t="shared" si="266"/>
        <v/>
      </c>
      <c r="AC1262" s="48" t="str">
        <f t="shared" si="267"/>
        <v/>
      </c>
      <c r="AD1262" s="54" t="str">
        <f t="shared" si="268"/>
        <v/>
      </c>
      <c r="AE1262" s="55">
        <f t="shared" si="269"/>
        <v>0</v>
      </c>
      <c r="AF1262" s="55">
        <f t="shared" si="270"/>
        <v>0</v>
      </c>
      <c r="AG1262" s="58">
        <f t="shared" si="271"/>
        <v>0</v>
      </c>
      <c r="AH1262" s="47"/>
      <c r="AJ1262" s="47"/>
      <c r="AL1262" s="47"/>
      <c r="AM1262" s="47" t="str">
        <f t="shared" si="272"/>
        <v/>
      </c>
    </row>
    <row r="1263" spans="1:39" s="56" customFormat="1" ht="24.75" customHeight="1">
      <c r="A1263" s="44"/>
      <c r="B1263" s="45"/>
      <c r="C1263" s="46">
        <f>IF(B1263&lt;&gt;"",VLOOKUP(B1263,'Tipo Projeto'!$A$3:$B$35,2,0),0)</f>
        <v>0</v>
      </c>
      <c r="D1263" s="47"/>
      <c r="E1263" s="47"/>
      <c r="F1263" s="48"/>
      <c r="G1263" s="47"/>
      <c r="H1263" s="49"/>
      <c r="I1263" s="50"/>
      <c r="J1263" s="51"/>
      <c r="K1263" s="52"/>
      <c r="L1263" s="53" t="str">
        <f t="shared" si="260"/>
        <v/>
      </c>
      <c r="M1263" s="48" t="str">
        <f t="shared" si="261"/>
        <v/>
      </c>
      <c r="N1263" s="54" t="str">
        <f t="shared" si="262"/>
        <v/>
      </c>
      <c r="O1263" s="55">
        <f t="shared" si="263"/>
        <v>0</v>
      </c>
      <c r="P1263" s="55">
        <f t="shared" si="264"/>
        <v>0</v>
      </c>
      <c r="Q1263" s="54">
        <f t="shared" si="265"/>
        <v>0</v>
      </c>
      <c r="R1263" s="47"/>
      <c r="T1263" s="57"/>
      <c r="U1263" s="45"/>
      <c r="V1263" s="46">
        <f>IF(U1263&lt;&gt;"",VLOOKUP(U1263,'Tipo Projeto'!$A$3:$B$35,2,0),0)</f>
        <v>0</v>
      </c>
      <c r="W1263" s="47"/>
      <c r="X1263" s="49"/>
      <c r="Y1263" s="50"/>
      <c r="Z1263" s="51"/>
      <c r="AA1263" s="52"/>
      <c r="AB1263" s="53" t="str">
        <f t="shared" si="266"/>
        <v/>
      </c>
      <c r="AC1263" s="48" t="str">
        <f t="shared" si="267"/>
        <v/>
      </c>
      <c r="AD1263" s="54" t="str">
        <f t="shared" si="268"/>
        <v/>
      </c>
      <c r="AE1263" s="55">
        <f t="shared" si="269"/>
        <v>0</v>
      </c>
      <c r="AF1263" s="55">
        <f t="shared" si="270"/>
        <v>0</v>
      </c>
      <c r="AG1263" s="58">
        <f t="shared" si="271"/>
        <v>0</v>
      </c>
      <c r="AH1263" s="47"/>
      <c r="AJ1263" s="47"/>
      <c r="AL1263" s="47"/>
      <c r="AM1263" s="47" t="str">
        <f t="shared" si="272"/>
        <v/>
      </c>
    </row>
    <row r="1264" spans="1:39" s="56" customFormat="1" ht="24.75" customHeight="1">
      <c r="A1264" s="44"/>
      <c r="B1264" s="45"/>
      <c r="C1264" s="46">
        <f>IF(B1264&lt;&gt;"",VLOOKUP(B1264,'Tipo Projeto'!$A$3:$B$35,2,0),0)</f>
        <v>0</v>
      </c>
      <c r="D1264" s="47"/>
      <c r="E1264" s="47"/>
      <c r="F1264" s="48"/>
      <c r="G1264" s="47"/>
      <c r="H1264" s="49"/>
      <c r="I1264" s="50"/>
      <c r="J1264" s="51"/>
      <c r="K1264" s="52"/>
      <c r="L1264" s="53" t="str">
        <f t="shared" si="260"/>
        <v/>
      </c>
      <c r="M1264" s="48" t="str">
        <f t="shared" si="261"/>
        <v/>
      </c>
      <c r="N1264" s="54" t="str">
        <f t="shared" si="262"/>
        <v/>
      </c>
      <c r="O1264" s="55">
        <f t="shared" si="263"/>
        <v>0</v>
      </c>
      <c r="P1264" s="55">
        <f t="shared" si="264"/>
        <v>0</v>
      </c>
      <c r="Q1264" s="54">
        <f t="shared" si="265"/>
        <v>0</v>
      </c>
      <c r="R1264" s="47"/>
      <c r="T1264" s="57"/>
      <c r="U1264" s="45"/>
      <c r="V1264" s="46">
        <f>IF(U1264&lt;&gt;"",VLOOKUP(U1264,'Tipo Projeto'!$A$3:$B$35,2,0),0)</f>
        <v>0</v>
      </c>
      <c r="W1264" s="47"/>
      <c r="X1264" s="49"/>
      <c r="Y1264" s="50"/>
      <c r="Z1264" s="51"/>
      <c r="AA1264" s="52"/>
      <c r="AB1264" s="53" t="str">
        <f t="shared" si="266"/>
        <v/>
      </c>
      <c r="AC1264" s="48" t="str">
        <f t="shared" si="267"/>
        <v/>
      </c>
      <c r="AD1264" s="54" t="str">
        <f t="shared" si="268"/>
        <v/>
      </c>
      <c r="AE1264" s="55">
        <f t="shared" si="269"/>
        <v>0</v>
      </c>
      <c r="AF1264" s="55">
        <f t="shared" si="270"/>
        <v>0</v>
      </c>
      <c r="AG1264" s="58">
        <f t="shared" si="271"/>
        <v>0</v>
      </c>
      <c r="AH1264" s="47"/>
      <c r="AJ1264" s="47"/>
      <c r="AL1264" s="47"/>
      <c r="AM1264" s="47" t="str">
        <f t="shared" si="272"/>
        <v/>
      </c>
    </row>
    <row r="1265" spans="1:39" s="56" customFormat="1" ht="24.75" customHeight="1">
      <c r="A1265" s="44"/>
      <c r="B1265" s="45"/>
      <c r="C1265" s="46">
        <f>IF(B1265&lt;&gt;"",VLOOKUP(B1265,'Tipo Projeto'!$A$3:$B$35,2,0),0)</f>
        <v>0</v>
      </c>
      <c r="D1265" s="47"/>
      <c r="E1265" s="47"/>
      <c r="F1265" s="48"/>
      <c r="G1265" s="47"/>
      <c r="H1265" s="49"/>
      <c r="I1265" s="50"/>
      <c r="J1265" s="51"/>
      <c r="K1265" s="52"/>
      <c r="L1265" s="53" t="str">
        <f t="shared" si="260"/>
        <v/>
      </c>
      <c r="M1265" s="48" t="str">
        <f t="shared" si="261"/>
        <v/>
      </c>
      <c r="N1265" s="54" t="str">
        <f t="shared" si="262"/>
        <v/>
      </c>
      <c r="O1265" s="55">
        <f t="shared" si="263"/>
        <v>0</v>
      </c>
      <c r="P1265" s="55">
        <f t="shared" si="264"/>
        <v>0</v>
      </c>
      <c r="Q1265" s="54">
        <f t="shared" si="265"/>
        <v>0</v>
      </c>
      <c r="R1265" s="47"/>
      <c r="T1265" s="57"/>
      <c r="U1265" s="45"/>
      <c r="V1265" s="46">
        <f>IF(U1265&lt;&gt;"",VLOOKUP(U1265,'Tipo Projeto'!$A$3:$B$35,2,0),0)</f>
        <v>0</v>
      </c>
      <c r="W1265" s="47"/>
      <c r="X1265" s="49"/>
      <c r="Y1265" s="50"/>
      <c r="Z1265" s="51"/>
      <c r="AA1265" s="52"/>
      <c r="AB1265" s="53" t="str">
        <f t="shared" si="266"/>
        <v/>
      </c>
      <c r="AC1265" s="48" t="str">
        <f t="shared" si="267"/>
        <v/>
      </c>
      <c r="AD1265" s="54" t="str">
        <f t="shared" si="268"/>
        <v/>
      </c>
      <c r="AE1265" s="55">
        <f t="shared" si="269"/>
        <v>0</v>
      </c>
      <c r="AF1265" s="55">
        <f t="shared" si="270"/>
        <v>0</v>
      </c>
      <c r="AG1265" s="58">
        <f t="shared" si="271"/>
        <v>0</v>
      </c>
      <c r="AH1265" s="47"/>
      <c r="AJ1265" s="47"/>
      <c r="AL1265" s="47"/>
      <c r="AM1265" s="47" t="str">
        <f t="shared" si="272"/>
        <v/>
      </c>
    </row>
    <row r="1266" spans="1:39" s="56" customFormat="1" ht="24.75" customHeight="1">
      <c r="A1266" s="44"/>
      <c r="B1266" s="45"/>
      <c r="C1266" s="46">
        <f>IF(B1266&lt;&gt;"",VLOOKUP(B1266,'Tipo Projeto'!$A$3:$B$35,2,0),0)</f>
        <v>0</v>
      </c>
      <c r="D1266" s="47"/>
      <c r="E1266" s="47"/>
      <c r="F1266" s="48"/>
      <c r="G1266" s="47"/>
      <c r="H1266" s="49"/>
      <c r="I1266" s="50"/>
      <c r="J1266" s="51"/>
      <c r="K1266" s="52"/>
      <c r="L1266" s="53" t="str">
        <f t="shared" si="260"/>
        <v/>
      </c>
      <c r="M1266" s="48" t="str">
        <f t="shared" si="261"/>
        <v/>
      </c>
      <c r="N1266" s="54" t="str">
        <f t="shared" si="262"/>
        <v/>
      </c>
      <c r="O1266" s="55">
        <f t="shared" si="263"/>
        <v>0</v>
      </c>
      <c r="P1266" s="55">
        <f t="shared" si="264"/>
        <v>0</v>
      </c>
      <c r="Q1266" s="54">
        <f t="shared" si="265"/>
        <v>0</v>
      </c>
      <c r="R1266" s="47"/>
      <c r="T1266" s="57"/>
      <c r="U1266" s="45"/>
      <c r="V1266" s="46">
        <f>IF(U1266&lt;&gt;"",VLOOKUP(U1266,'Tipo Projeto'!$A$3:$B$35,2,0),0)</f>
        <v>0</v>
      </c>
      <c r="W1266" s="47"/>
      <c r="X1266" s="49"/>
      <c r="Y1266" s="50"/>
      <c r="Z1266" s="51"/>
      <c r="AA1266" s="52"/>
      <c r="AB1266" s="53" t="str">
        <f t="shared" si="266"/>
        <v/>
      </c>
      <c r="AC1266" s="48" t="str">
        <f t="shared" si="267"/>
        <v/>
      </c>
      <c r="AD1266" s="54" t="str">
        <f t="shared" si="268"/>
        <v/>
      </c>
      <c r="AE1266" s="55">
        <f t="shared" si="269"/>
        <v>0</v>
      </c>
      <c r="AF1266" s="55">
        <f t="shared" si="270"/>
        <v>0</v>
      </c>
      <c r="AG1266" s="58">
        <f t="shared" si="271"/>
        <v>0</v>
      </c>
      <c r="AH1266" s="47"/>
      <c r="AJ1266" s="47"/>
      <c r="AL1266" s="47"/>
      <c r="AM1266" s="47" t="str">
        <f t="shared" si="272"/>
        <v/>
      </c>
    </row>
    <row r="1267" spans="1:39" s="56" customFormat="1" ht="24.75" customHeight="1">
      <c r="A1267" s="44"/>
      <c r="B1267" s="45"/>
      <c r="C1267" s="46">
        <f>IF(B1267&lt;&gt;"",VLOOKUP(B1267,'Tipo Projeto'!$A$3:$B$35,2,0),0)</f>
        <v>0</v>
      </c>
      <c r="D1267" s="47"/>
      <c r="E1267" s="47"/>
      <c r="F1267" s="48"/>
      <c r="G1267" s="47"/>
      <c r="H1267" s="49"/>
      <c r="I1267" s="50"/>
      <c r="J1267" s="51"/>
      <c r="K1267" s="52"/>
      <c r="L1267" s="53" t="str">
        <f t="shared" si="260"/>
        <v/>
      </c>
      <c r="M1267" s="48" t="str">
        <f t="shared" si="261"/>
        <v/>
      </c>
      <c r="N1267" s="54" t="str">
        <f t="shared" si="262"/>
        <v/>
      </c>
      <c r="O1267" s="55">
        <f t="shared" si="263"/>
        <v>0</v>
      </c>
      <c r="P1267" s="55">
        <f t="shared" si="264"/>
        <v>0</v>
      </c>
      <c r="Q1267" s="54">
        <f t="shared" si="265"/>
        <v>0</v>
      </c>
      <c r="R1267" s="47"/>
      <c r="T1267" s="57"/>
      <c r="U1267" s="45"/>
      <c r="V1267" s="46">
        <f>IF(U1267&lt;&gt;"",VLOOKUP(U1267,'Tipo Projeto'!$A$3:$B$35,2,0),0)</f>
        <v>0</v>
      </c>
      <c r="W1267" s="47"/>
      <c r="X1267" s="49"/>
      <c r="Y1267" s="50"/>
      <c r="Z1267" s="51"/>
      <c r="AA1267" s="52"/>
      <c r="AB1267" s="53" t="str">
        <f t="shared" si="266"/>
        <v/>
      </c>
      <c r="AC1267" s="48" t="str">
        <f t="shared" si="267"/>
        <v/>
      </c>
      <c r="AD1267" s="54" t="str">
        <f t="shared" si="268"/>
        <v/>
      </c>
      <c r="AE1267" s="55">
        <f t="shared" si="269"/>
        <v>0</v>
      </c>
      <c r="AF1267" s="55">
        <f t="shared" si="270"/>
        <v>0</v>
      </c>
      <c r="AG1267" s="58">
        <f t="shared" si="271"/>
        <v>0</v>
      </c>
      <c r="AH1267" s="47"/>
      <c r="AJ1267" s="47"/>
      <c r="AL1267" s="47"/>
      <c r="AM1267" s="47" t="str">
        <f t="shared" si="272"/>
        <v/>
      </c>
    </row>
    <row r="1268" spans="1:39" s="56" customFormat="1" ht="24.75" customHeight="1">
      <c r="A1268" s="44"/>
      <c r="B1268" s="45"/>
      <c r="C1268" s="46">
        <f>IF(B1268&lt;&gt;"",VLOOKUP(B1268,'Tipo Projeto'!$A$3:$B$35,2,0),0)</f>
        <v>0</v>
      </c>
      <c r="D1268" s="47"/>
      <c r="E1268" s="47"/>
      <c r="F1268" s="48"/>
      <c r="G1268" s="47"/>
      <c r="H1268" s="49"/>
      <c r="I1268" s="50"/>
      <c r="J1268" s="51"/>
      <c r="K1268" s="52"/>
      <c r="L1268" s="53" t="str">
        <f t="shared" si="260"/>
        <v/>
      </c>
      <c r="M1268" s="48" t="str">
        <f t="shared" si="261"/>
        <v/>
      </c>
      <c r="N1268" s="54" t="str">
        <f t="shared" si="262"/>
        <v/>
      </c>
      <c r="O1268" s="55">
        <f t="shared" si="263"/>
        <v>0</v>
      </c>
      <c r="P1268" s="55">
        <f t="shared" si="264"/>
        <v>0</v>
      </c>
      <c r="Q1268" s="54">
        <f t="shared" si="265"/>
        <v>0</v>
      </c>
      <c r="R1268" s="47"/>
      <c r="T1268" s="57"/>
      <c r="U1268" s="45"/>
      <c r="V1268" s="46">
        <f>IF(U1268&lt;&gt;"",VLOOKUP(U1268,'Tipo Projeto'!$A$3:$B$35,2,0),0)</f>
        <v>0</v>
      </c>
      <c r="W1268" s="47"/>
      <c r="X1268" s="49"/>
      <c r="Y1268" s="50"/>
      <c r="Z1268" s="51"/>
      <c r="AA1268" s="52"/>
      <c r="AB1268" s="53" t="str">
        <f t="shared" si="266"/>
        <v/>
      </c>
      <c r="AC1268" s="48" t="str">
        <f t="shared" si="267"/>
        <v/>
      </c>
      <c r="AD1268" s="54" t="str">
        <f t="shared" si="268"/>
        <v/>
      </c>
      <c r="AE1268" s="55">
        <f t="shared" si="269"/>
        <v>0</v>
      </c>
      <c r="AF1268" s="55">
        <f t="shared" si="270"/>
        <v>0</v>
      </c>
      <c r="AG1268" s="58">
        <f t="shared" si="271"/>
        <v>0</v>
      </c>
      <c r="AH1268" s="47"/>
      <c r="AJ1268" s="47"/>
      <c r="AL1268" s="47"/>
      <c r="AM1268" s="47" t="str">
        <f t="shared" si="272"/>
        <v/>
      </c>
    </row>
    <row r="1269" spans="1:39" s="56" customFormat="1" ht="24.75" customHeight="1">
      <c r="A1269" s="44"/>
      <c r="B1269" s="45"/>
      <c r="C1269" s="46">
        <f>IF(B1269&lt;&gt;"",VLOOKUP(B1269,'Tipo Projeto'!$A$3:$B$35,2,0),0)</f>
        <v>0</v>
      </c>
      <c r="D1269" s="47"/>
      <c r="E1269" s="47"/>
      <c r="F1269" s="48"/>
      <c r="G1269" s="47"/>
      <c r="H1269" s="49"/>
      <c r="I1269" s="50"/>
      <c r="J1269" s="51"/>
      <c r="K1269" s="52"/>
      <c r="L1269" s="53" t="str">
        <f t="shared" ref="L1269:L1323" si="273">IF(G1269="EE",IF(OR(AND(OR(J1269=1,J1269=0),H1269&gt;0,H1269&lt;5),AND(OR(J1269=1,J1269=0),H1269&gt;4,H1269&lt;16),AND(J1269=2,H1269&gt;0,H1269&lt;5)),"Simples",IF(OR(AND(OR(J1269=1,J1269=0),H1269&gt;15),AND(J1269=2,H1269&gt;4,H1269&lt;16),AND(J1269&gt;2,H1269&gt;0,H1269&lt;5)),"Médio",IF(OR(AND(J1269=2,H1269&gt;15),AND(J1269&gt;2,H1269&gt;4,H1269&lt;16),AND(J1269&gt;2,H1269&gt;15)),"Complexo",""))), IF(OR(G1269="CE",G1269="SE"),IF(OR(AND(OR(J1269=1,J1269=0),H1269&gt;0,H1269&lt;6),AND(OR(J1269=1,J1269=0),H1269&gt;5,H1269&lt;20),AND(J1269&gt;1,J1269&lt;4,H1269&gt;0,H1269&lt;6)),"Simples",IF(OR(AND(OR(J1269=1,J1269=0),H1269&gt;19),AND(J1269&gt;1,J1269&lt;4,H1269&gt;5,H1269&lt;20),AND(J1269&gt;3,H1269&gt;0,H1269&lt;6)),"Médio",IF(OR(AND(J1269&gt;1,J1269&lt;4,H1269&gt;19),AND(J1269&gt;3,H1269&gt;5,H1269&lt;20),AND(J1269&gt;3,H1269&gt;19)),"Complexo",""))),""))</f>
        <v/>
      </c>
      <c r="M1269" s="48" t="str">
        <f t="shared" ref="M1269:M1323" si="274">IF(G1269="ALI",IF(OR(AND(OR(J1269=1,J1269=0),H1269&gt;0,H1269&lt;20),AND(OR(J1269=1,J1269=0),H1269&gt;19,H1269&lt;51),AND(J1269&gt;1,J1269&lt;6,H1269&gt;0,H1269&lt;20)),"Simples",IF(OR(AND(OR(J1269=1,J1269=0),H1269&gt;50),AND(J1269&gt;1,J1269&lt;6,H1269&gt;19,H1269&lt;51),AND(J1269&gt;5,H1269&gt;0,H1269&lt;20)),"Médio",IF(OR(AND(J1269&gt;1,J1269&lt;6,H1269&gt;50),AND(J1269&gt;5,H1269&gt;19,H1269&lt;51),AND(J1269&gt;5,H1269&gt;50)),"Complexo",""))), IF(G1269="AIE",IF(OR(AND(OR(J1269=1, J1269=0),H1269&gt;0,H1269&lt;20),AND(OR(J1269=1, J1269=0),H1269&gt;19,H1269&lt;51),AND(J1269&gt;1,J1269&lt;6,H1269&gt;0,H1269&lt;20)),"Simples",IF(OR(AND(OR(J1269=1, J1269=0),H1269&gt;50),AND(J1269&gt;1,J1269&lt;6,H1269&gt;19,H1269&lt;51),AND(J1269&gt;5,H1269&gt;0,H1269&lt;20)),"Médio",IF(OR(AND(J1269&gt;1,J1269&lt;6,H1269&gt;50),AND(J1269&gt;5,H1269&gt;19,H1269&lt;51),AND(J1269&gt;5,H1269&gt;50)),"Complexo",""))),""))</f>
        <v/>
      </c>
      <c r="N1269" s="54" t="str">
        <f t="shared" ref="N1269:N1323" si="275">IF(L1269="",M1269,IF(M1269="",L1269,""))</f>
        <v/>
      </c>
      <c r="O1269" s="55">
        <f t="shared" ref="O1269:O1323" si="276">IF(AND(OR(G1269="EE",G1269="CE"),N1269="Simples"),3, IF(AND(OR(G1269="EE",G1269="CE"),N1269="Médio"),4, IF(AND(OR(G1269="EE",G1269="CE"),N1269="Complexo"),6, IF(AND(G1269="SE",N1269="Simples"),4, IF(AND(G1269="SE",N1269="Médio"),5, IF(AND(G1269="SE",N1269="Complexo"),7,0))))))</f>
        <v>0</v>
      </c>
      <c r="P1269" s="55">
        <f t="shared" ref="P1269:P1323" si="277">IF(AND(G1269="ALI",M1269="Simples"),7, IF(AND(G1269="ALI",M1269="Médio"),10, IF(AND(G1269="ALI",M1269="Complexo"),15, IF(AND(G1269="AIE",M1269="Simples"),5, IF(AND(G1269="AIE",M1269="Médio"),7, IF(AND(G1269="AIE",M1269="Complexo"),10,0))))))</f>
        <v>0</v>
      </c>
      <c r="Q1269" s="54">
        <f t="shared" ref="Q1269:Q1323" si="278">IF(B1269&lt;&gt;"Manutenção em interface",IF(B1269&lt;&gt;"Desenv., Manutenção e Publicação de Páginas Estáticas",(O1269+P1269)*C1269,C1269),C1269)</f>
        <v>0</v>
      </c>
      <c r="R1269" s="47"/>
      <c r="T1269" s="57"/>
      <c r="U1269" s="45"/>
      <c r="V1269" s="46">
        <f>IF(U1269&lt;&gt;"",VLOOKUP(U1269,'Tipo Projeto'!$A$3:$B$35,2,0),0)</f>
        <v>0</v>
      </c>
      <c r="W1269" s="47"/>
      <c r="X1269" s="49"/>
      <c r="Y1269" s="50"/>
      <c r="Z1269" s="51"/>
      <c r="AA1269" s="52"/>
      <c r="AB1269" s="53" t="str">
        <f t="shared" ref="AB1269:AB1323" si="279">IF(W1269="EE",IF(OR(AND(OR(Z1269=1,Z1269=0),X1269&gt;0,X1269&lt;5),AND(OR(Z1269=1,Z1269=0),X1269&gt;4,X1269&lt;16),AND(Z1269=2,X1269&gt;0,X1269&lt;5)),"Simples",IF(OR(AND(OR(Z1269=1,Z1269=0),X1269&gt;15),AND(Z1269=2,X1269&gt;4,X1269&lt;16),AND(Z1269&gt;2,X1269&gt;0,X1269&lt;5)),"Médio",IF(OR(AND(Z1269=2,X1269&gt;15),AND(Z1269&gt;2,X1269&gt;4,X1269&lt;16),AND(Z1269&gt;2,X1269&gt;15)),"Complexo",""))), IF(OR(W1269="CE",W1269="SE"),IF(OR(AND(OR(Z1269=1,Z1269=0),X1269&gt;0,X1269&lt;6),AND(OR(Z1269=1,Z1269=0),X1269&gt;5,X1269&lt;20),AND(Z1269&gt;1,Z1269&lt;4,X1269&gt;0,X1269&lt;6)),"Simples",IF(OR(AND(OR(Z1269=1,Z1269=0),X1269&gt;19),AND(Z1269&gt;1,Z1269&lt;4,X1269&gt;5,X1269&lt;20),AND(Z1269&gt;3,X1269&gt;0,X1269&lt;6)),"Médio",IF(OR(AND(Z1269&gt;1,Z1269&lt;4,X1269&gt;19),AND(Z1269&gt;3,X1269&gt;5,X1269&lt;20),AND(Z1269&gt;3,X1269&gt;19)),"Complexo",""))),""))</f>
        <v/>
      </c>
      <c r="AC1269" s="48" t="str">
        <f t="shared" ref="AC1269:AC1323" si="280">IF(W1269="ALI",IF(OR(AND(OR(Z1269=1,Z1269=0),X1269&gt;0,X1269&lt;20),AND(OR(Z1269=1,Z1269=0),X1269&gt;19,X1269&lt;51),AND(Z1269&gt;1,Z1269&lt;6,X1269&gt;0,X1269&lt;20)),"Simples",IF(OR(AND(OR(Z1269=1,Z1269=0),X1269&gt;50),AND(Z1269&gt;1,Z1269&lt;6,X1269&gt;19,X1269&lt;51),AND(Z1269&gt;5,X1269&gt;0,X1269&lt;20)),"Médio",IF(OR(AND(Z1269&gt;1,Z1269&lt;6,X1269&gt;50),AND(Z1269&gt;5,X1269&gt;19,X1269&lt;51),AND(Z1269&gt;5,X1269&gt;50)),"Complexo",""))), IF(W1269="AIE",IF(OR(AND(OR(Z1269=1, Z1269=0),X1269&gt;0,X1269&lt;20),AND(OR(Z1269=1, Z1269=0),X1269&gt;19,X1269&lt;51),AND(Z1269&gt;1,Z1269&lt;6,X1269&gt;0,X1269&lt;20)),"Simples",IF(OR(AND(OR(Z1269=1, Z1269=0),X1269&gt;50),AND(Z1269&gt;1,Z1269&lt;6,X1269&gt;19,X1269&lt;51),AND(Z1269&gt;5,X1269&gt;0,X1269&lt;20)),"Médio",IF(OR(AND(Z1269&gt;1,Z1269&lt;6,X1269&gt;50),AND(Z1269&gt;5,X1269&gt;19,X1269&lt;51),AND(Z1269&gt;5,X1269&gt;50)),"Complexo",""))),""))</f>
        <v/>
      </c>
      <c r="AD1269" s="54" t="str">
        <f t="shared" ref="AD1269:AD1323" si="281">IF(AB1269="",AC1269,IF(AC1269="",AB1269,""))</f>
        <v/>
      </c>
      <c r="AE1269" s="55">
        <f t="shared" ref="AE1269:AE1323" si="282">IF(AND(OR(W1269="EE",W1269="CE"),AD1269="Simples"),3, IF(AND(OR(W1269="EE",W1269="CE"),AD1269="Médio"),4, IF(AND(OR(W1269="EE",W1269="CE"),AD1269="Complexo"),6, IF(AND(W1269="SE",AD1269="Simples"),4, IF(AND(W1269="SE",AD1269="Médio"),5, IF(AND(W1269="SE",AD1269="Complexo"),7,0))))))</f>
        <v>0</v>
      </c>
      <c r="AF1269" s="55">
        <f t="shared" ref="AF1269:AF1323" si="283">IF(AND(W1269="ALI",AC1269="Simples"),7, IF(AND(W1269="ALI",AC1269="Médio"),10, IF(AND(W1269="ALI",AC1269="Complexo"),15, IF(AND(W1269="AIE",AC1269="Simples"),5, IF(AND(W1269="AIE",AC1269="Médio"),7, IF(AND(W1269="AIE",AC1269="Complexo"),10,0))))))</f>
        <v>0</v>
      </c>
      <c r="AG1269" s="58">
        <f t="shared" ref="AG1269:AG1323" si="284">IF(T1269="OK",Q1269,( IF(U1269&lt;&gt;"Manutenção em interface",IF(U1269&lt;&gt;"Desenv., Manutenção e Publicação de Páginas Estáticas",(AE1269+AF1269)*V1269,V1269),V1269)))</f>
        <v>0</v>
      </c>
      <c r="AH1269" s="47"/>
      <c r="AJ1269" s="47"/>
      <c r="AL1269" s="47"/>
      <c r="AM1269" s="47" t="str">
        <f t="shared" ref="AM1269:AM1323" si="285">IF(AG1269=0,"",IF(AG1269=Q1269,"OK","Divergente"))</f>
        <v/>
      </c>
    </row>
    <row r="1270" spans="1:39" s="56" customFormat="1" ht="24.75" customHeight="1">
      <c r="A1270" s="44"/>
      <c r="B1270" s="45"/>
      <c r="C1270" s="46">
        <f>IF(B1270&lt;&gt;"",VLOOKUP(B1270,'Tipo Projeto'!$A$3:$B$35,2,0),0)</f>
        <v>0</v>
      </c>
      <c r="D1270" s="47"/>
      <c r="E1270" s="47"/>
      <c r="F1270" s="48"/>
      <c r="G1270" s="47"/>
      <c r="H1270" s="49"/>
      <c r="I1270" s="50"/>
      <c r="J1270" s="51"/>
      <c r="K1270" s="52"/>
      <c r="L1270" s="53" t="str">
        <f t="shared" si="273"/>
        <v/>
      </c>
      <c r="M1270" s="48" t="str">
        <f t="shared" si="274"/>
        <v/>
      </c>
      <c r="N1270" s="54" t="str">
        <f t="shared" si="275"/>
        <v/>
      </c>
      <c r="O1270" s="55">
        <f t="shared" si="276"/>
        <v>0</v>
      </c>
      <c r="P1270" s="55">
        <f t="shared" si="277"/>
        <v>0</v>
      </c>
      <c r="Q1270" s="54">
        <f t="shared" si="278"/>
        <v>0</v>
      </c>
      <c r="R1270" s="47"/>
      <c r="T1270" s="57"/>
      <c r="U1270" s="45"/>
      <c r="V1270" s="46">
        <f>IF(U1270&lt;&gt;"",VLOOKUP(U1270,'Tipo Projeto'!$A$3:$B$35,2,0),0)</f>
        <v>0</v>
      </c>
      <c r="W1270" s="47"/>
      <c r="X1270" s="49"/>
      <c r="Y1270" s="50"/>
      <c r="Z1270" s="51"/>
      <c r="AA1270" s="52"/>
      <c r="AB1270" s="53" t="str">
        <f t="shared" si="279"/>
        <v/>
      </c>
      <c r="AC1270" s="48" t="str">
        <f t="shared" si="280"/>
        <v/>
      </c>
      <c r="AD1270" s="54" t="str">
        <f t="shared" si="281"/>
        <v/>
      </c>
      <c r="AE1270" s="55">
        <f t="shared" si="282"/>
        <v>0</v>
      </c>
      <c r="AF1270" s="55">
        <f t="shared" si="283"/>
        <v>0</v>
      </c>
      <c r="AG1270" s="58">
        <f t="shared" si="284"/>
        <v>0</v>
      </c>
      <c r="AH1270" s="47"/>
      <c r="AJ1270" s="47"/>
      <c r="AL1270" s="47"/>
      <c r="AM1270" s="47" t="str">
        <f t="shared" si="285"/>
        <v/>
      </c>
    </row>
    <row r="1271" spans="1:39" s="56" customFormat="1" ht="24.75" customHeight="1">
      <c r="A1271" s="44"/>
      <c r="B1271" s="45"/>
      <c r="C1271" s="46">
        <f>IF(B1271&lt;&gt;"",VLOOKUP(B1271,'Tipo Projeto'!$A$3:$B$35,2,0),0)</f>
        <v>0</v>
      </c>
      <c r="D1271" s="47"/>
      <c r="E1271" s="47"/>
      <c r="F1271" s="48"/>
      <c r="G1271" s="47"/>
      <c r="H1271" s="49"/>
      <c r="I1271" s="50"/>
      <c r="J1271" s="51"/>
      <c r="K1271" s="52"/>
      <c r="L1271" s="53" t="str">
        <f t="shared" si="273"/>
        <v/>
      </c>
      <c r="M1271" s="48" t="str">
        <f t="shared" si="274"/>
        <v/>
      </c>
      <c r="N1271" s="54" t="str">
        <f t="shared" si="275"/>
        <v/>
      </c>
      <c r="O1271" s="55">
        <f t="shared" si="276"/>
        <v>0</v>
      </c>
      <c r="P1271" s="55">
        <f t="shared" si="277"/>
        <v>0</v>
      </c>
      <c r="Q1271" s="54">
        <f t="shared" si="278"/>
        <v>0</v>
      </c>
      <c r="R1271" s="47"/>
      <c r="T1271" s="57"/>
      <c r="U1271" s="45"/>
      <c r="V1271" s="46">
        <f>IF(U1271&lt;&gt;"",VLOOKUP(U1271,'Tipo Projeto'!$A$3:$B$35,2,0),0)</f>
        <v>0</v>
      </c>
      <c r="W1271" s="47"/>
      <c r="X1271" s="49"/>
      <c r="Y1271" s="50"/>
      <c r="Z1271" s="51"/>
      <c r="AA1271" s="52"/>
      <c r="AB1271" s="53" t="str">
        <f t="shared" si="279"/>
        <v/>
      </c>
      <c r="AC1271" s="48" t="str">
        <f t="shared" si="280"/>
        <v/>
      </c>
      <c r="AD1271" s="54" t="str">
        <f t="shared" si="281"/>
        <v/>
      </c>
      <c r="AE1271" s="55">
        <f t="shared" si="282"/>
        <v>0</v>
      </c>
      <c r="AF1271" s="55">
        <f t="shared" si="283"/>
        <v>0</v>
      </c>
      <c r="AG1271" s="58">
        <f t="shared" si="284"/>
        <v>0</v>
      </c>
      <c r="AH1271" s="47"/>
      <c r="AJ1271" s="47"/>
      <c r="AL1271" s="47"/>
      <c r="AM1271" s="47" t="str">
        <f t="shared" si="285"/>
        <v/>
      </c>
    </row>
    <row r="1272" spans="1:39" s="56" customFormat="1" ht="24.75" customHeight="1">
      <c r="A1272" s="44"/>
      <c r="B1272" s="45"/>
      <c r="C1272" s="46">
        <f>IF(B1272&lt;&gt;"",VLOOKUP(B1272,'Tipo Projeto'!$A$3:$B$35,2,0),0)</f>
        <v>0</v>
      </c>
      <c r="D1272" s="47"/>
      <c r="E1272" s="47"/>
      <c r="F1272" s="48"/>
      <c r="G1272" s="47"/>
      <c r="H1272" s="49"/>
      <c r="I1272" s="50"/>
      <c r="J1272" s="51"/>
      <c r="K1272" s="52"/>
      <c r="L1272" s="53" t="str">
        <f t="shared" si="273"/>
        <v/>
      </c>
      <c r="M1272" s="48" t="str">
        <f t="shared" si="274"/>
        <v/>
      </c>
      <c r="N1272" s="54" t="str">
        <f t="shared" si="275"/>
        <v/>
      </c>
      <c r="O1272" s="55">
        <f t="shared" si="276"/>
        <v>0</v>
      </c>
      <c r="P1272" s="55">
        <f t="shared" si="277"/>
        <v>0</v>
      </c>
      <c r="Q1272" s="54">
        <f t="shared" si="278"/>
        <v>0</v>
      </c>
      <c r="R1272" s="47"/>
      <c r="T1272" s="57"/>
      <c r="U1272" s="45"/>
      <c r="V1272" s="46">
        <f>IF(U1272&lt;&gt;"",VLOOKUP(U1272,'Tipo Projeto'!$A$3:$B$35,2,0),0)</f>
        <v>0</v>
      </c>
      <c r="W1272" s="47"/>
      <c r="X1272" s="49"/>
      <c r="Y1272" s="50"/>
      <c r="Z1272" s="51"/>
      <c r="AA1272" s="52"/>
      <c r="AB1272" s="53" t="str">
        <f t="shared" si="279"/>
        <v/>
      </c>
      <c r="AC1272" s="48" t="str">
        <f t="shared" si="280"/>
        <v/>
      </c>
      <c r="AD1272" s="54" t="str">
        <f t="shared" si="281"/>
        <v/>
      </c>
      <c r="AE1272" s="55">
        <f t="shared" si="282"/>
        <v>0</v>
      </c>
      <c r="AF1272" s="55">
        <f t="shared" si="283"/>
        <v>0</v>
      </c>
      <c r="AG1272" s="58">
        <f t="shared" si="284"/>
        <v>0</v>
      </c>
      <c r="AH1272" s="47"/>
      <c r="AJ1272" s="47"/>
      <c r="AL1272" s="47"/>
      <c r="AM1272" s="47" t="str">
        <f t="shared" si="285"/>
        <v/>
      </c>
    </row>
    <row r="1273" spans="1:39" s="56" customFormat="1" ht="24.75" customHeight="1">
      <c r="A1273" s="44"/>
      <c r="B1273" s="45"/>
      <c r="C1273" s="46">
        <f>IF(B1273&lt;&gt;"",VLOOKUP(B1273,'Tipo Projeto'!$A$3:$B$35,2,0),0)</f>
        <v>0</v>
      </c>
      <c r="D1273" s="47"/>
      <c r="E1273" s="47"/>
      <c r="F1273" s="48"/>
      <c r="G1273" s="47"/>
      <c r="H1273" s="49"/>
      <c r="I1273" s="50"/>
      <c r="J1273" s="51"/>
      <c r="K1273" s="52"/>
      <c r="L1273" s="53" t="str">
        <f t="shared" si="273"/>
        <v/>
      </c>
      <c r="M1273" s="48" t="str">
        <f t="shared" si="274"/>
        <v/>
      </c>
      <c r="N1273" s="54" t="str">
        <f t="shared" si="275"/>
        <v/>
      </c>
      <c r="O1273" s="55">
        <f t="shared" si="276"/>
        <v>0</v>
      </c>
      <c r="P1273" s="55">
        <f t="shared" si="277"/>
        <v>0</v>
      </c>
      <c r="Q1273" s="54">
        <f t="shared" si="278"/>
        <v>0</v>
      </c>
      <c r="R1273" s="47"/>
      <c r="T1273" s="57"/>
      <c r="U1273" s="45"/>
      <c r="V1273" s="46">
        <f>IF(U1273&lt;&gt;"",VLOOKUP(U1273,'Tipo Projeto'!$A$3:$B$35,2,0),0)</f>
        <v>0</v>
      </c>
      <c r="W1273" s="47"/>
      <c r="X1273" s="49"/>
      <c r="Y1273" s="50"/>
      <c r="Z1273" s="51"/>
      <c r="AA1273" s="52"/>
      <c r="AB1273" s="53" t="str">
        <f t="shared" si="279"/>
        <v/>
      </c>
      <c r="AC1273" s="48" t="str">
        <f t="shared" si="280"/>
        <v/>
      </c>
      <c r="AD1273" s="54" t="str">
        <f t="shared" si="281"/>
        <v/>
      </c>
      <c r="AE1273" s="55">
        <f t="shared" si="282"/>
        <v>0</v>
      </c>
      <c r="AF1273" s="55">
        <f t="shared" si="283"/>
        <v>0</v>
      </c>
      <c r="AG1273" s="58">
        <f t="shared" si="284"/>
        <v>0</v>
      </c>
      <c r="AH1273" s="47"/>
      <c r="AJ1273" s="47"/>
      <c r="AL1273" s="47"/>
      <c r="AM1273" s="47" t="str">
        <f t="shared" si="285"/>
        <v/>
      </c>
    </row>
    <row r="1274" spans="1:39" s="56" customFormat="1" ht="24.75" customHeight="1">
      <c r="A1274" s="44"/>
      <c r="B1274" s="45"/>
      <c r="C1274" s="46">
        <f>IF(B1274&lt;&gt;"",VLOOKUP(B1274,'Tipo Projeto'!$A$3:$B$35,2,0),0)</f>
        <v>0</v>
      </c>
      <c r="D1274" s="47"/>
      <c r="E1274" s="47"/>
      <c r="F1274" s="48"/>
      <c r="G1274" s="47"/>
      <c r="H1274" s="49"/>
      <c r="I1274" s="50"/>
      <c r="J1274" s="51"/>
      <c r="K1274" s="52"/>
      <c r="L1274" s="53" t="str">
        <f t="shared" si="273"/>
        <v/>
      </c>
      <c r="M1274" s="48" t="str">
        <f t="shared" si="274"/>
        <v/>
      </c>
      <c r="N1274" s="54" t="str">
        <f t="shared" si="275"/>
        <v/>
      </c>
      <c r="O1274" s="55">
        <f t="shared" si="276"/>
        <v>0</v>
      </c>
      <c r="P1274" s="55">
        <f t="shared" si="277"/>
        <v>0</v>
      </c>
      <c r="Q1274" s="54">
        <f t="shared" si="278"/>
        <v>0</v>
      </c>
      <c r="R1274" s="47"/>
      <c r="T1274" s="57"/>
      <c r="U1274" s="45"/>
      <c r="V1274" s="46">
        <f>IF(U1274&lt;&gt;"",VLOOKUP(U1274,'Tipo Projeto'!$A$3:$B$35,2,0),0)</f>
        <v>0</v>
      </c>
      <c r="W1274" s="47"/>
      <c r="X1274" s="49"/>
      <c r="Y1274" s="50"/>
      <c r="Z1274" s="51"/>
      <c r="AA1274" s="52"/>
      <c r="AB1274" s="53" t="str">
        <f t="shared" si="279"/>
        <v/>
      </c>
      <c r="AC1274" s="48" t="str">
        <f t="shared" si="280"/>
        <v/>
      </c>
      <c r="AD1274" s="54" t="str">
        <f t="shared" si="281"/>
        <v/>
      </c>
      <c r="AE1274" s="55">
        <f t="shared" si="282"/>
        <v>0</v>
      </c>
      <c r="AF1274" s="55">
        <f t="shared" si="283"/>
        <v>0</v>
      </c>
      <c r="AG1274" s="58">
        <f t="shared" si="284"/>
        <v>0</v>
      </c>
      <c r="AH1274" s="47"/>
      <c r="AJ1274" s="47"/>
      <c r="AL1274" s="47"/>
      <c r="AM1274" s="47" t="str">
        <f t="shared" si="285"/>
        <v/>
      </c>
    </row>
    <row r="1275" spans="1:39" s="56" customFormat="1" ht="24.75" customHeight="1">
      <c r="A1275" s="44"/>
      <c r="B1275" s="45"/>
      <c r="C1275" s="46">
        <f>IF(B1275&lt;&gt;"",VLOOKUP(B1275,'Tipo Projeto'!$A$3:$B$35,2,0),0)</f>
        <v>0</v>
      </c>
      <c r="D1275" s="47"/>
      <c r="E1275" s="47"/>
      <c r="F1275" s="48"/>
      <c r="G1275" s="47"/>
      <c r="H1275" s="49"/>
      <c r="I1275" s="50"/>
      <c r="J1275" s="51"/>
      <c r="K1275" s="52"/>
      <c r="L1275" s="53" t="str">
        <f t="shared" si="273"/>
        <v/>
      </c>
      <c r="M1275" s="48" t="str">
        <f t="shared" si="274"/>
        <v/>
      </c>
      <c r="N1275" s="54" t="str">
        <f t="shared" si="275"/>
        <v/>
      </c>
      <c r="O1275" s="55">
        <f t="shared" si="276"/>
        <v>0</v>
      </c>
      <c r="P1275" s="55">
        <f t="shared" si="277"/>
        <v>0</v>
      </c>
      <c r="Q1275" s="54">
        <f t="shared" si="278"/>
        <v>0</v>
      </c>
      <c r="R1275" s="47"/>
      <c r="T1275" s="57"/>
      <c r="U1275" s="45"/>
      <c r="V1275" s="46">
        <f>IF(U1275&lt;&gt;"",VLOOKUP(U1275,'Tipo Projeto'!$A$3:$B$35,2,0),0)</f>
        <v>0</v>
      </c>
      <c r="W1275" s="47"/>
      <c r="X1275" s="49"/>
      <c r="Y1275" s="50"/>
      <c r="Z1275" s="51"/>
      <c r="AA1275" s="52"/>
      <c r="AB1275" s="53" t="str">
        <f t="shared" si="279"/>
        <v/>
      </c>
      <c r="AC1275" s="48" t="str">
        <f t="shared" si="280"/>
        <v/>
      </c>
      <c r="AD1275" s="54" t="str">
        <f t="shared" si="281"/>
        <v/>
      </c>
      <c r="AE1275" s="55">
        <f t="shared" si="282"/>
        <v>0</v>
      </c>
      <c r="AF1275" s="55">
        <f t="shared" si="283"/>
        <v>0</v>
      </c>
      <c r="AG1275" s="58">
        <f t="shared" si="284"/>
        <v>0</v>
      </c>
      <c r="AH1275" s="47"/>
      <c r="AJ1275" s="47"/>
      <c r="AL1275" s="47"/>
      <c r="AM1275" s="47" t="str">
        <f t="shared" si="285"/>
        <v/>
      </c>
    </row>
    <row r="1276" spans="1:39" s="56" customFormat="1" ht="24.75" customHeight="1">
      <c r="A1276" s="44"/>
      <c r="B1276" s="45"/>
      <c r="C1276" s="46">
        <f>IF(B1276&lt;&gt;"",VLOOKUP(B1276,'Tipo Projeto'!$A$3:$B$35,2,0),0)</f>
        <v>0</v>
      </c>
      <c r="D1276" s="47"/>
      <c r="E1276" s="47"/>
      <c r="F1276" s="48"/>
      <c r="G1276" s="47"/>
      <c r="H1276" s="49"/>
      <c r="I1276" s="50"/>
      <c r="J1276" s="51"/>
      <c r="K1276" s="52"/>
      <c r="L1276" s="53" t="str">
        <f t="shared" si="273"/>
        <v/>
      </c>
      <c r="M1276" s="48" t="str">
        <f t="shared" si="274"/>
        <v/>
      </c>
      <c r="N1276" s="54" t="str">
        <f t="shared" si="275"/>
        <v/>
      </c>
      <c r="O1276" s="55">
        <f t="shared" si="276"/>
        <v>0</v>
      </c>
      <c r="P1276" s="55">
        <f t="shared" si="277"/>
        <v>0</v>
      </c>
      <c r="Q1276" s="54">
        <f t="shared" si="278"/>
        <v>0</v>
      </c>
      <c r="R1276" s="47"/>
      <c r="T1276" s="57"/>
      <c r="U1276" s="45"/>
      <c r="V1276" s="46">
        <f>IF(U1276&lt;&gt;"",VLOOKUP(U1276,'Tipo Projeto'!$A$3:$B$35,2,0),0)</f>
        <v>0</v>
      </c>
      <c r="W1276" s="47"/>
      <c r="X1276" s="49"/>
      <c r="Y1276" s="50"/>
      <c r="Z1276" s="51"/>
      <c r="AA1276" s="52"/>
      <c r="AB1276" s="53" t="str">
        <f t="shared" si="279"/>
        <v/>
      </c>
      <c r="AC1276" s="48" t="str">
        <f t="shared" si="280"/>
        <v/>
      </c>
      <c r="AD1276" s="54" t="str">
        <f t="shared" si="281"/>
        <v/>
      </c>
      <c r="AE1276" s="55">
        <f t="shared" si="282"/>
        <v>0</v>
      </c>
      <c r="AF1276" s="55">
        <f t="shared" si="283"/>
        <v>0</v>
      </c>
      <c r="AG1276" s="58">
        <f t="shared" si="284"/>
        <v>0</v>
      </c>
      <c r="AH1276" s="47"/>
      <c r="AJ1276" s="47"/>
      <c r="AL1276" s="47"/>
      <c r="AM1276" s="47" t="str">
        <f t="shared" si="285"/>
        <v/>
      </c>
    </row>
    <row r="1277" spans="1:39" s="56" customFormat="1" ht="24.75" customHeight="1">
      <c r="A1277" s="44"/>
      <c r="B1277" s="45"/>
      <c r="C1277" s="46">
        <f>IF(B1277&lt;&gt;"",VLOOKUP(B1277,'Tipo Projeto'!$A$3:$B$35,2,0),0)</f>
        <v>0</v>
      </c>
      <c r="D1277" s="47"/>
      <c r="E1277" s="47"/>
      <c r="F1277" s="48"/>
      <c r="G1277" s="47"/>
      <c r="H1277" s="49"/>
      <c r="I1277" s="50"/>
      <c r="J1277" s="51"/>
      <c r="K1277" s="52"/>
      <c r="L1277" s="53" t="str">
        <f t="shared" si="273"/>
        <v/>
      </c>
      <c r="M1277" s="48" t="str">
        <f t="shared" si="274"/>
        <v/>
      </c>
      <c r="N1277" s="54" t="str">
        <f t="shared" si="275"/>
        <v/>
      </c>
      <c r="O1277" s="55">
        <f t="shared" si="276"/>
        <v>0</v>
      </c>
      <c r="P1277" s="55">
        <f t="shared" si="277"/>
        <v>0</v>
      </c>
      <c r="Q1277" s="54">
        <f t="shared" si="278"/>
        <v>0</v>
      </c>
      <c r="R1277" s="47"/>
      <c r="T1277" s="57"/>
      <c r="U1277" s="45"/>
      <c r="V1277" s="46">
        <f>IF(U1277&lt;&gt;"",VLOOKUP(U1277,'Tipo Projeto'!$A$3:$B$35,2,0),0)</f>
        <v>0</v>
      </c>
      <c r="W1277" s="47"/>
      <c r="X1277" s="49"/>
      <c r="Y1277" s="50"/>
      <c r="Z1277" s="51"/>
      <c r="AA1277" s="52"/>
      <c r="AB1277" s="53" t="str">
        <f t="shared" si="279"/>
        <v/>
      </c>
      <c r="AC1277" s="48" t="str">
        <f t="shared" si="280"/>
        <v/>
      </c>
      <c r="AD1277" s="54" t="str">
        <f t="shared" si="281"/>
        <v/>
      </c>
      <c r="AE1277" s="55">
        <f t="shared" si="282"/>
        <v>0</v>
      </c>
      <c r="AF1277" s="55">
        <f t="shared" si="283"/>
        <v>0</v>
      </c>
      <c r="AG1277" s="58">
        <f t="shared" si="284"/>
        <v>0</v>
      </c>
      <c r="AH1277" s="47"/>
      <c r="AJ1277" s="47"/>
      <c r="AL1277" s="47"/>
      <c r="AM1277" s="47" t="str">
        <f t="shared" si="285"/>
        <v/>
      </c>
    </row>
    <row r="1278" spans="1:39" s="56" customFormat="1" ht="24.75" customHeight="1">
      <c r="A1278" s="44"/>
      <c r="B1278" s="45"/>
      <c r="C1278" s="46">
        <f>IF(B1278&lt;&gt;"",VLOOKUP(B1278,'Tipo Projeto'!$A$3:$B$35,2,0),0)</f>
        <v>0</v>
      </c>
      <c r="D1278" s="47"/>
      <c r="E1278" s="47"/>
      <c r="F1278" s="48"/>
      <c r="G1278" s="47"/>
      <c r="H1278" s="49"/>
      <c r="I1278" s="50"/>
      <c r="J1278" s="51"/>
      <c r="K1278" s="52"/>
      <c r="L1278" s="53" t="str">
        <f t="shared" si="273"/>
        <v/>
      </c>
      <c r="M1278" s="48" t="str">
        <f t="shared" si="274"/>
        <v/>
      </c>
      <c r="N1278" s="54" t="str">
        <f t="shared" si="275"/>
        <v/>
      </c>
      <c r="O1278" s="55">
        <f t="shared" si="276"/>
        <v>0</v>
      </c>
      <c r="P1278" s="55">
        <f t="shared" si="277"/>
        <v>0</v>
      </c>
      <c r="Q1278" s="54">
        <f t="shared" si="278"/>
        <v>0</v>
      </c>
      <c r="R1278" s="47"/>
      <c r="T1278" s="57"/>
      <c r="U1278" s="45"/>
      <c r="V1278" s="46">
        <f>IF(U1278&lt;&gt;"",VLOOKUP(U1278,'Tipo Projeto'!$A$3:$B$35,2,0),0)</f>
        <v>0</v>
      </c>
      <c r="W1278" s="47"/>
      <c r="X1278" s="49"/>
      <c r="Y1278" s="50"/>
      <c r="Z1278" s="51"/>
      <c r="AA1278" s="52"/>
      <c r="AB1278" s="53" t="str">
        <f t="shared" si="279"/>
        <v/>
      </c>
      <c r="AC1278" s="48" t="str">
        <f t="shared" si="280"/>
        <v/>
      </c>
      <c r="AD1278" s="54" t="str">
        <f t="shared" si="281"/>
        <v/>
      </c>
      <c r="AE1278" s="55">
        <f t="shared" si="282"/>
        <v>0</v>
      </c>
      <c r="AF1278" s="55">
        <f t="shared" si="283"/>
        <v>0</v>
      </c>
      <c r="AG1278" s="58">
        <f t="shared" si="284"/>
        <v>0</v>
      </c>
      <c r="AH1278" s="47"/>
      <c r="AJ1278" s="47"/>
      <c r="AL1278" s="47"/>
      <c r="AM1278" s="47" t="str">
        <f t="shared" si="285"/>
        <v/>
      </c>
    </row>
    <row r="1279" spans="1:39" s="56" customFormat="1" ht="24.75" customHeight="1">
      <c r="A1279" s="44"/>
      <c r="B1279" s="45"/>
      <c r="C1279" s="46">
        <f>IF(B1279&lt;&gt;"",VLOOKUP(B1279,'Tipo Projeto'!$A$3:$B$35,2,0),0)</f>
        <v>0</v>
      </c>
      <c r="D1279" s="47"/>
      <c r="E1279" s="47"/>
      <c r="F1279" s="48"/>
      <c r="G1279" s="47"/>
      <c r="H1279" s="49"/>
      <c r="I1279" s="50"/>
      <c r="J1279" s="51"/>
      <c r="K1279" s="52"/>
      <c r="L1279" s="53" t="str">
        <f t="shared" si="273"/>
        <v/>
      </c>
      <c r="M1279" s="48" t="str">
        <f t="shared" si="274"/>
        <v/>
      </c>
      <c r="N1279" s="54" t="str">
        <f t="shared" si="275"/>
        <v/>
      </c>
      <c r="O1279" s="55">
        <f t="shared" si="276"/>
        <v>0</v>
      </c>
      <c r="P1279" s="55">
        <f t="shared" si="277"/>
        <v>0</v>
      </c>
      <c r="Q1279" s="54">
        <f t="shared" si="278"/>
        <v>0</v>
      </c>
      <c r="R1279" s="47"/>
      <c r="T1279" s="57"/>
      <c r="U1279" s="45"/>
      <c r="V1279" s="46">
        <f>IF(U1279&lt;&gt;"",VLOOKUP(U1279,'Tipo Projeto'!$A$3:$B$35,2,0),0)</f>
        <v>0</v>
      </c>
      <c r="W1279" s="47"/>
      <c r="X1279" s="49"/>
      <c r="Y1279" s="50"/>
      <c r="Z1279" s="51"/>
      <c r="AA1279" s="52"/>
      <c r="AB1279" s="53" t="str">
        <f t="shared" si="279"/>
        <v/>
      </c>
      <c r="AC1279" s="48" t="str">
        <f t="shared" si="280"/>
        <v/>
      </c>
      <c r="AD1279" s="54" t="str">
        <f t="shared" si="281"/>
        <v/>
      </c>
      <c r="AE1279" s="55">
        <f t="shared" si="282"/>
        <v>0</v>
      </c>
      <c r="AF1279" s="55">
        <f t="shared" si="283"/>
        <v>0</v>
      </c>
      <c r="AG1279" s="58">
        <f t="shared" si="284"/>
        <v>0</v>
      </c>
      <c r="AH1279" s="47"/>
      <c r="AJ1279" s="47"/>
      <c r="AL1279" s="47"/>
      <c r="AM1279" s="47" t="str">
        <f t="shared" si="285"/>
        <v/>
      </c>
    </row>
    <row r="1280" spans="1:39" s="56" customFormat="1" ht="24.75" customHeight="1">
      <c r="A1280" s="44"/>
      <c r="B1280" s="45"/>
      <c r="C1280" s="46">
        <f>IF(B1280&lt;&gt;"",VLOOKUP(B1280,'Tipo Projeto'!$A$3:$B$35,2,0),0)</f>
        <v>0</v>
      </c>
      <c r="D1280" s="47"/>
      <c r="E1280" s="47"/>
      <c r="F1280" s="48"/>
      <c r="G1280" s="47"/>
      <c r="H1280" s="49"/>
      <c r="I1280" s="50"/>
      <c r="J1280" s="51"/>
      <c r="K1280" s="52"/>
      <c r="L1280" s="53" t="str">
        <f t="shared" si="273"/>
        <v/>
      </c>
      <c r="M1280" s="48" t="str">
        <f t="shared" si="274"/>
        <v/>
      </c>
      <c r="N1280" s="54" t="str">
        <f t="shared" si="275"/>
        <v/>
      </c>
      <c r="O1280" s="55">
        <f t="shared" si="276"/>
        <v>0</v>
      </c>
      <c r="P1280" s="55">
        <f t="shared" si="277"/>
        <v>0</v>
      </c>
      <c r="Q1280" s="54">
        <f t="shared" si="278"/>
        <v>0</v>
      </c>
      <c r="R1280" s="47"/>
      <c r="T1280" s="57"/>
      <c r="U1280" s="45"/>
      <c r="V1280" s="46">
        <f>IF(U1280&lt;&gt;"",VLOOKUP(U1280,'Tipo Projeto'!$A$3:$B$35,2,0),0)</f>
        <v>0</v>
      </c>
      <c r="W1280" s="47"/>
      <c r="X1280" s="49"/>
      <c r="Y1280" s="50"/>
      <c r="Z1280" s="51"/>
      <c r="AA1280" s="52"/>
      <c r="AB1280" s="53" t="str">
        <f t="shared" si="279"/>
        <v/>
      </c>
      <c r="AC1280" s="48" t="str">
        <f t="shared" si="280"/>
        <v/>
      </c>
      <c r="AD1280" s="54" t="str">
        <f t="shared" si="281"/>
        <v/>
      </c>
      <c r="AE1280" s="55">
        <f t="shared" si="282"/>
        <v>0</v>
      </c>
      <c r="AF1280" s="55">
        <f t="shared" si="283"/>
        <v>0</v>
      </c>
      <c r="AG1280" s="58">
        <f t="shared" si="284"/>
        <v>0</v>
      </c>
      <c r="AH1280" s="47"/>
      <c r="AJ1280" s="47"/>
      <c r="AL1280" s="47"/>
      <c r="AM1280" s="47" t="str">
        <f t="shared" si="285"/>
        <v/>
      </c>
    </row>
    <row r="1281" spans="1:39" s="56" customFormat="1" ht="24.75" customHeight="1">
      <c r="A1281" s="44"/>
      <c r="B1281" s="45"/>
      <c r="C1281" s="46">
        <f>IF(B1281&lt;&gt;"",VLOOKUP(B1281,'Tipo Projeto'!$A$3:$B$35,2,0),0)</f>
        <v>0</v>
      </c>
      <c r="D1281" s="47"/>
      <c r="E1281" s="47"/>
      <c r="F1281" s="48"/>
      <c r="G1281" s="47"/>
      <c r="H1281" s="49"/>
      <c r="I1281" s="50"/>
      <c r="J1281" s="51"/>
      <c r="K1281" s="52"/>
      <c r="L1281" s="53" t="str">
        <f t="shared" si="273"/>
        <v/>
      </c>
      <c r="M1281" s="48" t="str">
        <f t="shared" si="274"/>
        <v/>
      </c>
      <c r="N1281" s="54" t="str">
        <f t="shared" si="275"/>
        <v/>
      </c>
      <c r="O1281" s="55">
        <f t="shared" si="276"/>
        <v>0</v>
      </c>
      <c r="P1281" s="55">
        <f t="shared" si="277"/>
        <v>0</v>
      </c>
      <c r="Q1281" s="54">
        <f t="shared" si="278"/>
        <v>0</v>
      </c>
      <c r="R1281" s="47"/>
      <c r="T1281" s="57"/>
      <c r="U1281" s="45"/>
      <c r="V1281" s="46">
        <f>IF(U1281&lt;&gt;"",VLOOKUP(U1281,'Tipo Projeto'!$A$3:$B$35,2,0),0)</f>
        <v>0</v>
      </c>
      <c r="W1281" s="47"/>
      <c r="X1281" s="49"/>
      <c r="Y1281" s="50"/>
      <c r="Z1281" s="51"/>
      <c r="AA1281" s="52"/>
      <c r="AB1281" s="53" t="str">
        <f t="shared" si="279"/>
        <v/>
      </c>
      <c r="AC1281" s="48" t="str">
        <f t="shared" si="280"/>
        <v/>
      </c>
      <c r="AD1281" s="54" t="str">
        <f t="shared" si="281"/>
        <v/>
      </c>
      <c r="AE1281" s="55">
        <f t="shared" si="282"/>
        <v>0</v>
      </c>
      <c r="AF1281" s="55">
        <f t="shared" si="283"/>
        <v>0</v>
      </c>
      <c r="AG1281" s="58">
        <f t="shared" si="284"/>
        <v>0</v>
      </c>
      <c r="AH1281" s="47"/>
      <c r="AJ1281" s="47"/>
      <c r="AL1281" s="47"/>
      <c r="AM1281" s="47" t="str">
        <f t="shared" si="285"/>
        <v/>
      </c>
    </row>
    <row r="1282" spans="1:39" s="56" customFormat="1" ht="24.75" customHeight="1">
      <c r="A1282" s="44"/>
      <c r="B1282" s="45"/>
      <c r="C1282" s="46">
        <f>IF(B1282&lt;&gt;"",VLOOKUP(B1282,'Tipo Projeto'!$A$3:$B$35,2,0),0)</f>
        <v>0</v>
      </c>
      <c r="D1282" s="47"/>
      <c r="E1282" s="47"/>
      <c r="F1282" s="48"/>
      <c r="G1282" s="47"/>
      <c r="H1282" s="49"/>
      <c r="I1282" s="50"/>
      <c r="J1282" s="51"/>
      <c r="K1282" s="52"/>
      <c r="L1282" s="53" t="str">
        <f t="shared" si="273"/>
        <v/>
      </c>
      <c r="M1282" s="48" t="str">
        <f t="shared" si="274"/>
        <v/>
      </c>
      <c r="N1282" s="54" t="str">
        <f t="shared" si="275"/>
        <v/>
      </c>
      <c r="O1282" s="55">
        <f t="shared" si="276"/>
        <v>0</v>
      </c>
      <c r="P1282" s="55">
        <f t="shared" si="277"/>
        <v>0</v>
      </c>
      <c r="Q1282" s="54">
        <f t="shared" si="278"/>
        <v>0</v>
      </c>
      <c r="R1282" s="47"/>
      <c r="T1282" s="57"/>
      <c r="U1282" s="45"/>
      <c r="V1282" s="46">
        <f>IF(U1282&lt;&gt;"",VLOOKUP(U1282,'Tipo Projeto'!$A$3:$B$35,2,0),0)</f>
        <v>0</v>
      </c>
      <c r="W1282" s="47"/>
      <c r="X1282" s="49"/>
      <c r="Y1282" s="50"/>
      <c r="Z1282" s="51"/>
      <c r="AA1282" s="52"/>
      <c r="AB1282" s="53" t="str">
        <f t="shared" si="279"/>
        <v/>
      </c>
      <c r="AC1282" s="48" t="str">
        <f t="shared" si="280"/>
        <v/>
      </c>
      <c r="AD1282" s="54" t="str">
        <f t="shared" si="281"/>
        <v/>
      </c>
      <c r="AE1282" s="55">
        <f t="shared" si="282"/>
        <v>0</v>
      </c>
      <c r="AF1282" s="55">
        <f t="shared" si="283"/>
        <v>0</v>
      </c>
      <c r="AG1282" s="58">
        <f t="shared" si="284"/>
        <v>0</v>
      </c>
      <c r="AH1282" s="47"/>
      <c r="AJ1282" s="47"/>
      <c r="AL1282" s="47"/>
      <c r="AM1282" s="47" t="str">
        <f t="shared" si="285"/>
        <v/>
      </c>
    </row>
    <row r="1283" spans="1:39" s="56" customFormat="1" ht="24.75" customHeight="1">
      <c r="A1283" s="44"/>
      <c r="B1283" s="45"/>
      <c r="C1283" s="46">
        <f>IF(B1283&lt;&gt;"",VLOOKUP(B1283,'Tipo Projeto'!$A$3:$B$35,2,0),0)</f>
        <v>0</v>
      </c>
      <c r="D1283" s="47"/>
      <c r="E1283" s="47"/>
      <c r="F1283" s="48"/>
      <c r="G1283" s="47"/>
      <c r="H1283" s="49"/>
      <c r="I1283" s="50"/>
      <c r="J1283" s="51"/>
      <c r="K1283" s="52"/>
      <c r="L1283" s="53" t="str">
        <f t="shared" si="273"/>
        <v/>
      </c>
      <c r="M1283" s="48" t="str">
        <f t="shared" si="274"/>
        <v/>
      </c>
      <c r="N1283" s="54" t="str">
        <f t="shared" si="275"/>
        <v/>
      </c>
      <c r="O1283" s="55">
        <f t="shared" si="276"/>
        <v>0</v>
      </c>
      <c r="P1283" s="55">
        <f t="shared" si="277"/>
        <v>0</v>
      </c>
      <c r="Q1283" s="54">
        <f t="shared" si="278"/>
        <v>0</v>
      </c>
      <c r="R1283" s="47"/>
      <c r="T1283" s="57"/>
      <c r="U1283" s="45"/>
      <c r="V1283" s="46">
        <f>IF(U1283&lt;&gt;"",VLOOKUP(U1283,'Tipo Projeto'!$A$3:$B$35,2,0),0)</f>
        <v>0</v>
      </c>
      <c r="W1283" s="47"/>
      <c r="X1283" s="49"/>
      <c r="Y1283" s="50"/>
      <c r="Z1283" s="51"/>
      <c r="AA1283" s="52"/>
      <c r="AB1283" s="53" t="str">
        <f t="shared" si="279"/>
        <v/>
      </c>
      <c r="AC1283" s="48" t="str">
        <f t="shared" si="280"/>
        <v/>
      </c>
      <c r="AD1283" s="54" t="str">
        <f t="shared" si="281"/>
        <v/>
      </c>
      <c r="AE1283" s="55">
        <f t="shared" si="282"/>
        <v>0</v>
      </c>
      <c r="AF1283" s="55">
        <f t="shared" si="283"/>
        <v>0</v>
      </c>
      <c r="AG1283" s="58">
        <f t="shared" si="284"/>
        <v>0</v>
      </c>
      <c r="AH1283" s="47"/>
      <c r="AJ1283" s="47"/>
      <c r="AL1283" s="47"/>
      <c r="AM1283" s="47" t="str">
        <f t="shared" si="285"/>
        <v/>
      </c>
    </row>
    <row r="1284" spans="1:39" s="56" customFormat="1" ht="24.75" customHeight="1">
      <c r="A1284" s="44"/>
      <c r="B1284" s="45"/>
      <c r="C1284" s="46">
        <f>IF(B1284&lt;&gt;"",VLOOKUP(B1284,'Tipo Projeto'!$A$3:$B$35,2,0),0)</f>
        <v>0</v>
      </c>
      <c r="D1284" s="47"/>
      <c r="E1284" s="47"/>
      <c r="F1284" s="48"/>
      <c r="G1284" s="47"/>
      <c r="H1284" s="49"/>
      <c r="I1284" s="50"/>
      <c r="J1284" s="51"/>
      <c r="K1284" s="52"/>
      <c r="L1284" s="53" t="str">
        <f t="shared" si="273"/>
        <v/>
      </c>
      <c r="M1284" s="48" t="str">
        <f t="shared" si="274"/>
        <v/>
      </c>
      <c r="N1284" s="54" t="str">
        <f t="shared" si="275"/>
        <v/>
      </c>
      <c r="O1284" s="55">
        <f t="shared" si="276"/>
        <v>0</v>
      </c>
      <c r="P1284" s="55">
        <f t="shared" si="277"/>
        <v>0</v>
      </c>
      <c r="Q1284" s="54">
        <f t="shared" si="278"/>
        <v>0</v>
      </c>
      <c r="R1284" s="47"/>
      <c r="T1284" s="57"/>
      <c r="U1284" s="45"/>
      <c r="V1284" s="46">
        <f>IF(U1284&lt;&gt;"",VLOOKUP(U1284,'Tipo Projeto'!$A$3:$B$35,2,0),0)</f>
        <v>0</v>
      </c>
      <c r="W1284" s="47"/>
      <c r="X1284" s="49"/>
      <c r="Y1284" s="50"/>
      <c r="Z1284" s="51"/>
      <c r="AA1284" s="52"/>
      <c r="AB1284" s="53" t="str">
        <f t="shared" si="279"/>
        <v/>
      </c>
      <c r="AC1284" s="48" t="str">
        <f t="shared" si="280"/>
        <v/>
      </c>
      <c r="AD1284" s="54" t="str">
        <f t="shared" si="281"/>
        <v/>
      </c>
      <c r="AE1284" s="55">
        <f t="shared" si="282"/>
        <v>0</v>
      </c>
      <c r="AF1284" s="55">
        <f t="shared" si="283"/>
        <v>0</v>
      </c>
      <c r="AG1284" s="58">
        <f t="shared" si="284"/>
        <v>0</v>
      </c>
      <c r="AH1284" s="47"/>
      <c r="AJ1284" s="47"/>
      <c r="AL1284" s="47"/>
      <c r="AM1284" s="47" t="str">
        <f t="shared" si="285"/>
        <v/>
      </c>
    </row>
    <row r="1285" spans="1:39" s="56" customFormat="1" ht="24.75" customHeight="1">
      <c r="A1285" s="44"/>
      <c r="B1285" s="45"/>
      <c r="C1285" s="46">
        <f>IF(B1285&lt;&gt;"",VLOOKUP(B1285,'Tipo Projeto'!$A$3:$B$35,2,0),0)</f>
        <v>0</v>
      </c>
      <c r="D1285" s="47"/>
      <c r="E1285" s="47"/>
      <c r="F1285" s="48"/>
      <c r="G1285" s="47"/>
      <c r="H1285" s="49"/>
      <c r="I1285" s="50"/>
      <c r="J1285" s="51"/>
      <c r="K1285" s="52"/>
      <c r="L1285" s="53" t="str">
        <f t="shared" si="273"/>
        <v/>
      </c>
      <c r="M1285" s="48" t="str">
        <f t="shared" si="274"/>
        <v/>
      </c>
      <c r="N1285" s="54" t="str">
        <f t="shared" si="275"/>
        <v/>
      </c>
      <c r="O1285" s="55">
        <f t="shared" si="276"/>
        <v>0</v>
      </c>
      <c r="P1285" s="55">
        <f t="shared" si="277"/>
        <v>0</v>
      </c>
      <c r="Q1285" s="54">
        <f t="shared" si="278"/>
        <v>0</v>
      </c>
      <c r="R1285" s="47"/>
      <c r="T1285" s="57"/>
      <c r="U1285" s="45"/>
      <c r="V1285" s="46">
        <f>IF(U1285&lt;&gt;"",VLOOKUP(U1285,'Tipo Projeto'!$A$3:$B$35,2,0),0)</f>
        <v>0</v>
      </c>
      <c r="W1285" s="47"/>
      <c r="X1285" s="49"/>
      <c r="Y1285" s="50"/>
      <c r="Z1285" s="51"/>
      <c r="AA1285" s="52"/>
      <c r="AB1285" s="53" t="str">
        <f t="shared" si="279"/>
        <v/>
      </c>
      <c r="AC1285" s="48" t="str">
        <f t="shared" si="280"/>
        <v/>
      </c>
      <c r="AD1285" s="54" t="str">
        <f t="shared" si="281"/>
        <v/>
      </c>
      <c r="AE1285" s="55">
        <f t="shared" si="282"/>
        <v>0</v>
      </c>
      <c r="AF1285" s="55">
        <f t="shared" si="283"/>
        <v>0</v>
      </c>
      <c r="AG1285" s="58">
        <f t="shared" si="284"/>
        <v>0</v>
      </c>
      <c r="AH1285" s="47"/>
      <c r="AJ1285" s="47"/>
      <c r="AL1285" s="47"/>
      <c r="AM1285" s="47" t="str">
        <f t="shared" si="285"/>
        <v/>
      </c>
    </row>
    <row r="1286" spans="1:39" s="56" customFormat="1" ht="24.75" customHeight="1">
      <c r="A1286" s="44"/>
      <c r="B1286" s="45"/>
      <c r="C1286" s="46">
        <f>IF(B1286&lt;&gt;"",VLOOKUP(B1286,'Tipo Projeto'!$A$3:$B$35,2,0),0)</f>
        <v>0</v>
      </c>
      <c r="D1286" s="47"/>
      <c r="E1286" s="47"/>
      <c r="F1286" s="48"/>
      <c r="G1286" s="47"/>
      <c r="H1286" s="49"/>
      <c r="I1286" s="50"/>
      <c r="J1286" s="51"/>
      <c r="K1286" s="52"/>
      <c r="L1286" s="53" t="str">
        <f t="shared" si="273"/>
        <v/>
      </c>
      <c r="M1286" s="48" t="str">
        <f t="shared" si="274"/>
        <v/>
      </c>
      <c r="N1286" s="54" t="str">
        <f t="shared" si="275"/>
        <v/>
      </c>
      <c r="O1286" s="55">
        <f t="shared" si="276"/>
        <v>0</v>
      </c>
      <c r="P1286" s="55">
        <f t="shared" si="277"/>
        <v>0</v>
      </c>
      <c r="Q1286" s="54">
        <f t="shared" si="278"/>
        <v>0</v>
      </c>
      <c r="R1286" s="47"/>
      <c r="T1286" s="57"/>
      <c r="U1286" s="45"/>
      <c r="V1286" s="46">
        <f>IF(U1286&lt;&gt;"",VLOOKUP(U1286,'Tipo Projeto'!$A$3:$B$35,2,0),0)</f>
        <v>0</v>
      </c>
      <c r="W1286" s="47"/>
      <c r="X1286" s="49"/>
      <c r="Y1286" s="50"/>
      <c r="Z1286" s="51"/>
      <c r="AA1286" s="52"/>
      <c r="AB1286" s="53" t="str">
        <f t="shared" si="279"/>
        <v/>
      </c>
      <c r="AC1286" s="48" t="str">
        <f t="shared" si="280"/>
        <v/>
      </c>
      <c r="AD1286" s="54" t="str">
        <f t="shared" si="281"/>
        <v/>
      </c>
      <c r="AE1286" s="55">
        <f t="shared" si="282"/>
        <v>0</v>
      </c>
      <c r="AF1286" s="55">
        <f t="shared" si="283"/>
        <v>0</v>
      </c>
      <c r="AG1286" s="58">
        <f t="shared" si="284"/>
        <v>0</v>
      </c>
      <c r="AH1286" s="47"/>
      <c r="AJ1286" s="47"/>
      <c r="AL1286" s="47"/>
      <c r="AM1286" s="47" t="str">
        <f t="shared" si="285"/>
        <v/>
      </c>
    </row>
    <row r="1287" spans="1:39" s="56" customFormat="1" ht="24.75" customHeight="1">
      <c r="A1287" s="44"/>
      <c r="B1287" s="45"/>
      <c r="C1287" s="46">
        <f>IF(B1287&lt;&gt;"",VLOOKUP(B1287,'Tipo Projeto'!$A$3:$B$35,2,0),0)</f>
        <v>0</v>
      </c>
      <c r="D1287" s="47"/>
      <c r="E1287" s="47"/>
      <c r="F1287" s="48"/>
      <c r="G1287" s="47"/>
      <c r="H1287" s="49"/>
      <c r="I1287" s="50"/>
      <c r="J1287" s="51"/>
      <c r="K1287" s="52"/>
      <c r="L1287" s="53" t="str">
        <f t="shared" si="273"/>
        <v/>
      </c>
      <c r="M1287" s="48" t="str">
        <f t="shared" si="274"/>
        <v/>
      </c>
      <c r="N1287" s="54" t="str">
        <f t="shared" si="275"/>
        <v/>
      </c>
      <c r="O1287" s="55">
        <f t="shared" si="276"/>
        <v>0</v>
      </c>
      <c r="P1287" s="55">
        <f t="shared" si="277"/>
        <v>0</v>
      </c>
      <c r="Q1287" s="54">
        <f t="shared" si="278"/>
        <v>0</v>
      </c>
      <c r="R1287" s="47"/>
      <c r="T1287" s="57"/>
      <c r="U1287" s="45"/>
      <c r="V1287" s="46">
        <f>IF(U1287&lt;&gt;"",VLOOKUP(U1287,'Tipo Projeto'!$A$3:$B$35,2,0),0)</f>
        <v>0</v>
      </c>
      <c r="W1287" s="47"/>
      <c r="X1287" s="49"/>
      <c r="Y1287" s="50"/>
      <c r="Z1287" s="51"/>
      <c r="AA1287" s="52"/>
      <c r="AB1287" s="53" t="str">
        <f t="shared" si="279"/>
        <v/>
      </c>
      <c r="AC1287" s="48" t="str">
        <f t="shared" si="280"/>
        <v/>
      </c>
      <c r="AD1287" s="54" t="str">
        <f t="shared" si="281"/>
        <v/>
      </c>
      <c r="AE1287" s="55">
        <f t="shared" si="282"/>
        <v>0</v>
      </c>
      <c r="AF1287" s="55">
        <f t="shared" si="283"/>
        <v>0</v>
      </c>
      <c r="AG1287" s="58">
        <f t="shared" si="284"/>
        <v>0</v>
      </c>
      <c r="AH1287" s="47"/>
      <c r="AJ1287" s="47"/>
      <c r="AL1287" s="47"/>
      <c r="AM1287" s="47" t="str">
        <f t="shared" si="285"/>
        <v/>
      </c>
    </row>
    <row r="1288" spans="1:39" s="56" customFormat="1" ht="24.75" customHeight="1">
      <c r="A1288" s="44"/>
      <c r="B1288" s="45"/>
      <c r="C1288" s="46">
        <f>IF(B1288&lt;&gt;"",VLOOKUP(B1288,'Tipo Projeto'!$A$3:$B$35,2,0),0)</f>
        <v>0</v>
      </c>
      <c r="D1288" s="47"/>
      <c r="E1288" s="47"/>
      <c r="F1288" s="48"/>
      <c r="G1288" s="47"/>
      <c r="H1288" s="49"/>
      <c r="I1288" s="50"/>
      <c r="J1288" s="51"/>
      <c r="K1288" s="52"/>
      <c r="L1288" s="53" t="str">
        <f t="shared" si="273"/>
        <v/>
      </c>
      <c r="M1288" s="48" t="str">
        <f t="shared" si="274"/>
        <v/>
      </c>
      <c r="N1288" s="54" t="str">
        <f t="shared" si="275"/>
        <v/>
      </c>
      <c r="O1288" s="55">
        <f t="shared" si="276"/>
        <v>0</v>
      </c>
      <c r="P1288" s="55">
        <f t="shared" si="277"/>
        <v>0</v>
      </c>
      <c r="Q1288" s="54">
        <f t="shared" si="278"/>
        <v>0</v>
      </c>
      <c r="R1288" s="47"/>
      <c r="T1288" s="57"/>
      <c r="U1288" s="45"/>
      <c r="V1288" s="46">
        <f>IF(U1288&lt;&gt;"",VLOOKUP(U1288,'Tipo Projeto'!$A$3:$B$35,2,0),0)</f>
        <v>0</v>
      </c>
      <c r="W1288" s="47"/>
      <c r="X1288" s="49"/>
      <c r="Y1288" s="50"/>
      <c r="Z1288" s="51"/>
      <c r="AA1288" s="52"/>
      <c r="AB1288" s="53" t="str">
        <f t="shared" si="279"/>
        <v/>
      </c>
      <c r="AC1288" s="48" t="str">
        <f t="shared" si="280"/>
        <v/>
      </c>
      <c r="AD1288" s="54" t="str">
        <f t="shared" si="281"/>
        <v/>
      </c>
      <c r="AE1288" s="55">
        <f t="shared" si="282"/>
        <v>0</v>
      </c>
      <c r="AF1288" s="55">
        <f t="shared" si="283"/>
        <v>0</v>
      </c>
      <c r="AG1288" s="58">
        <f t="shared" si="284"/>
        <v>0</v>
      </c>
      <c r="AH1288" s="47"/>
      <c r="AJ1288" s="47"/>
      <c r="AL1288" s="47"/>
      <c r="AM1288" s="47" t="str">
        <f t="shared" si="285"/>
        <v/>
      </c>
    </row>
    <row r="1289" spans="1:39" s="56" customFormat="1" ht="24.75" customHeight="1">
      <c r="A1289" s="44"/>
      <c r="B1289" s="45"/>
      <c r="C1289" s="46">
        <f>IF(B1289&lt;&gt;"",VLOOKUP(B1289,'Tipo Projeto'!$A$3:$B$35,2,0),0)</f>
        <v>0</v>
      </c>
      <c r="D1289" s="47"/>
      <c r="E1289" s="47"/>
      <c r="F1289" s="48"/>
      <c r="G1289" s="47"/>
      <c r="H1289" s="49"/>
      <c r="I1289" s="50"/>
      <c r="J1289" s="51"/>
      <c r="K1289" s="52"/>
      <c r="L1289" s="53" t="str">
        <f t="shared" si="273"/>
        <v/>
      </c>
      <c r="M1289" s="48" t="str">
        <f t="shared" si="274"/>
        <v/>
      </c>
      <c r="N1289" s="54" t="str">
        <f t="shared" si="275"/>
        <v/>
      </c>
      <c r="O1289" s="55">
        <f t="shared" si="276"/>
        <v>0</v>
      </c>
      <c r="P1289" s="55">
        <f t="shared" si="277"/>
        <v>0</v>
      </c>
      <c r="Q1289" s="54">
        <f t="shared" si="278"/>
        <v>0</v>
      </c>
      <c r="R1289" s="47"/>
      <c r="T1289" s="57"/>
      <c r="U1289" s="45"/>
      <c r="V1289" s="46">
        <f>IF(U1289&lt;&gt;"",VLOOKUP(U1289,'Tipo Projeto'!$A$3:$B$35,2,0),0)</f>
        <v>0</v>
      </c>
      <c r="W1289" s="47"/>
      <c r="X1289" s="49"/>
      <c r="Y1289" s="50"/>
      <c r="Z1289" s="51"/>
      <c r="AA1289" s="52"/>
      <c r="AB1289" s="53" t="str">
        <f t="shared" si="279"/>
        <v/>
      </c>
      <c r="AC1289" s="48" t="str">
        <f t="shared" si="280"/>
        <v/>
      </c>
      <c r="AD1289" s="54" t="str">
        <f t="shared" si="281"/>
        <v/>
      </c>
      <c r="AE1289" s="55">
        <f t="shared" si="282"/>
        <v>0</v>
      </c>
      <c r="AF1289" s="55">
        <f t="shared" si="283"/>
        <v>0</v>
      </c>
      <c r="AG1289" s="58">
        <f t="shared" si="284"/>
        <v>0</v>
      </c>
      <c r="AH1289" s="47"/>
      <c r="AJ1289" s="47"/>
      <c r="AL1289" s="47"/>
      <c r="AM1289" s="47" t="str">
        <f t="shared" si="285"/>
        <v/>
      </c>
    </row>
    <row r="1290" spans="1:39" s="56" customFormat="1" ht="24.75" customHeight="1">
      <c r="A1290" s="44"/>
      <c r="B1290" s="45"/>
      <c r="C1290" s="46">
        <f>IF(B1290&lt;&gt;"",VLOOKUP(B1290,'Tipo Projeto'!$A$3:$B$35,2,0),0)</f>
        <v>0</v>
      </c>
      <c r="D1290" s="47"/>
      <c r="E1290" s="47"/>
      <c r="F1290" s="48"/>
      <c r="G1290" s="47"/>
      <c r="H1290" s="49"/>
      <c r="I1290" s="50"/>
      <c r="J1290" s="51"/>
      <c r="K1290" s="52"/>
      <c r="L1290" s="53" t="str">
        <f t="shared" si="273"/>
        <v/>
      </c>
      <c r="M1290" s="48" t="str">
        <f t="shared" si="274"/>
        <v/>
      </c>
      <c r="N1290" s="54" t="str">
        <f t="shared" si="275"/>
        <v/>
      </c>
      <c r="O1290" s="55">
        <f t="shared" si="276"/>
        <v>0</v>
      </c>
      <c r="P1290" s="55">
        <f t="shared" si="277"/>
        <v>0</v>
      </c>
      <c r="Q1290" s="54">
        <f t="shared" si="278"/>
        <v>0</v>
      </c>
      <c r="R1290" s="47"/>
      <c r="T1290" s="57"/>
      <c r="U1290" s="45"/>
      <c r="V1290" s="46">
        <f>IF(U1290&lt;&gt;"",VLOOKUP(U1290,'Tipo Projeto'!$A$3:$B$35,2,0),0)</f>
        <v>0</v>
      </c>
      <c r="W1290" s="47"/>
      <c r="X1290" s="49"/>
      <c r="Y1290" s="50"/>
      <c r="Z1290" s="51"/>
      <c r="AA1290" s="52"/>
      <c r="AB1290" s="53" t="str">
        <f t="shared" si="279"/>
        <v/>
      </c>
      <c r="AC1290" s="48" t="str">
        <f t="shared" si="280"/>
        <v/>
      </c>
      <c r="AD1290" s="54" t="str">
        <f t="shared" si="281"/>
        <v/>
      </c>
      <c r="AE1290" s="55">
        <f t="shared" si="282"/>
        <v>0</v>
      </c>
      <c r="AF1290" s="55">
        <f t="shared" si="283"/>
        <v>0</v>
      </c>
      <c r="AG1290" s="58">
        <f t="shared" si="284"/>
        <v>0</v>
      </c>
      <c r="AH1290" s="47"/>
      <c r="AJ1290" s="47"/>
      <c r="AL1290" s="47"/>
      <c r="AM1290" s="47" t="str">
        <f t="shared" si="285"/>
        <v/>
      </c>
    </row>
    <row r="1291" spans="1:39" s="56" customFormat="1" ht="24.75" customHeight="1">
      <c r="A1291" s="44"/>
      <c r="B1291" s="45"/>
      <c r="C1291" s="46">
        <f>IF(B1291&lt;&gt;"",VLOOKUP(B1291,'Tipo Projeto'!$A$3:$B$35,2,0),0)</f>
        <v>0</v>
      </c>
      <c r="D1291" s="47"/>
      <c r="E1291" s="47"/>
      <c r="F1291" s="48"/>
      <c r="G1291" s="47"/>
      <c r="H1291" s="49"/>
      <c r="I1291" s="50"/>
      <c r="J1291" s="51"/>
      <c r="K1291" s="52"/>
      <c r="L1291" s="53" t="str">
        <f t="shared" si="273"/>
        <v/>
      </c>
      <c r="M1291" s="48" t="str">
        <f t="shared" si="274"/>
        <v/>
      </c>
      <c r="N1291" s="54" t="str">
        <f t="shared" si="275"/>
        <v/>
      </c>
      <c r="O1291" s="55">
        <f t="shared" si="276"/>
        <v>0</v>
      </c>
      <c r="P1291" s="55">
        <f t="shared" si="277"/>
        <v>0</v>
      </c>
      <c r="Q1291" s="54">
        <f t="shared" si="278"/>
        <v>0</v>
      </c>
      <c r="R1291" s="47"/>
      <c r="T1291" s="57"/>
      <c r="U1291" s="45"/>
      <c r="V1291" s="46">
        <f>IF(U1291&lt;&gt;"",VLOOKUP(U1291,'Tipo Projeto'!$A$3:$B$35,2,0),0)</f>
        <v>0</v>
      </c>
      <c r="W1291" s="47"/>
      <c r="X1291" s="49"/>
      <c r="Y1291" s="50"/>
      <c r="Z1291" s="51"/>
      <c r="AA1291" s="52"/>
      <c r="AB1291" s="53" t="str">
        <f t="shared" si="279"/>
        <v/>
      </c>
      <c r="AC1291" s="48" t="str">
        <f t="shared" si="280"/>
        <v/>
      </c>
      <c r="AD1291" s="54" t="str">
        <f t="shared" si="281"/>
        <v/>
      </c>
      <c r="AE1291" s="55">
        <f t="shared" si="282"/>
        <v>0</v>
      </c>
      <c r="AF1291" s="55">
        <f t="shared" si="283"/>
        <v>0</v>
      </c>
      <c r="AG1291" s="58">
        <f t="shared" si="284"/>
        <v>0</v>
      </c>
      <c r="AH1291" s="47"/>
      <c r="AJ1291" s="47"/>
      <c r="AL1291" s="47"/>
      <c r="AM1291" s="47" t="str">
        <f t="shared" si="285"/>
        <v/>
      </c>
    </row>
    <row r="1292" spans="1:39" s="56" customFormat="1" ht="24.75" customHeight="1">
      <c r="A1292" s="44"/>
      <c r="B1292" s="45"/>
      <c r="C1292" s="46">
        <f>IF(B1292&lt;&gt;"",VLOOKUP(B1292,'Tipo Projeto'!$A$3:$B$35,2,0),0)</f>
        <v>0</v>
      </c>
      <c r="D1292" s="47"/>
      <c r="E1292" s="47"/>
      <c r="F1292" s="48"/>
      <c r="G1292" s="47"/>
      <c r="H1292" s="49"/>
      <c r="I1292" s="50"/>
      <c r="J1292" s="51"/>
      <c r="K1292" s="52"/>
      <c r="L1292" s="53" t="str">
        <f t="shared" si="273"/>
        <v/>
      </c>
      <c r="M1292" s="48" t="str">
        <f t="shared" si="274"/>
        <v/>
      </c>
      <c r="N1292" s="54" t="str">
        <f t="shared" si="275"/>
        <v/>
      </c>
      <c r="O1292" s="55">
        <f t="shared" si="276"/>
        <v>0</v>
      </c>
      <c r="P1292" s="55">
        <f t="shared" si="277"/>
        <v>0</v>
      </c>
      <c r="Q1292" s="54">
        <f t="shared" si="278"/>
        <v>0</v>
      </c>
      <c r="R1292" s="47"/>
      <c r="T1292" s="57"/>
      <c r="U1292" s="45"/>
      <c r="V1292" s="46">
        <f>IF(U1292&lt;&gt;"",VLOOKUP(U1292,'Tipo Projeto'!$A$3:$B$35,2,0),0)</f>
        <v>0</v>
      </c>
      <c r="W1292" s="47"/>
      <c r="X1292" s="49"/>
      <c r="Y1292" s="50"/>
      <c r="Z1292" s="51"/>
      <c r="AA1292" s="52"/>
      <c r="AB1292" s="53" t="str">
        <f t="shared" si="279"/>
        <v/>
      </c>
      <c r="AC1292" s="48" t="str">
        <f t="shared" si="280"/>
        <v/>
      </c>
      <c r="AD1292" s="54" t="str">
        <f t="shared" si="281"/>
        <v/>
      </c>
      <c r="AE1292" s="55">
        <f t="shared" si="282"/>
        <v>0</v>
      </c>
      <c r="AF1292" s="55">
        <f t="shared" si="283"/>
        <v>0</v>
      </c>
      <c r="AG1292" s="58">
        <f t="shared" si="284"/>
        <v>0</v>
      </c>
      <c r="AH1292" s="47"/>
      <c r="AJ1292" s="47"/>
      <c r="AL1292" s="47"/>
      <c r="AM1292" s="47" t="str">
        <f t="shared" si="285"/>
        <v/>
      </c>
    </row>
    <row r="1293" spans="1:39" s="56" customFormat="1" ht="24.75" customHeight="1">
      <c r="A1293" s="44"/>
      <c r="B1293" s="45"/>
      <c r="C1293" s="46">
        <f>IF(B1293&lt;&gt;"",VLOOKUP(B1293,'Tipo Projeto'!$A$3:$B$35,2,0),0)</f>
        <v>0</v>
      </c>
      <c r="D1293" s="47"/>
      <c r="E1293" s="47"/>
      <c r="F1293" s="48"/>
      <c r="G1293" s="47"/>
      <c r="H1293" s="49"/>
      <c r="I1293" s="50"/>
      <c r="J1293" s="51"/>
      <c r="K1293" s="52"/>
      <c r="L1293" s="53" t="str">
        <f t="shared" si="273"/>
        <v/>
      </c>
      <c r="M1293" s="48" t="str">
        <f t="shared" si="274"/>
        <v/>
      </c>
      <c r="N1293" s="54" t="str">
        <f t="shared" si="275"/>
        <v/>
      </c>
      <c r="O1293" s="55">
        <f t="shared" si="276"/>
        <v>0</v>
      </c>
      <c r="P1293" s="55">
        <f t="shared" si="277"/>
        <v>0</v>
      </c>
      <c r="Q1293" s="54">
        <f t="shared" si="278"/>
        <v>0</v>
      </c>
      <c r="R1293" s="47"/>
      <c r="T1293" s="57"/>
      <c r="U1293" s="45"/>
      <c r="V1293" s="46">
        <f>IF(U1293&lt;&gt;"",VLOOKUP(U1293,'Tipo Projeto'!$A$3:$B$35,2,0),0)</f>
        <v>0</v>
      </c>
      <c r="W1293" s="47"/>
      <c r="X1293" s="49"/>
      <c r="Y1293" s="50"/>
      <c r="Z1293" s="51"/>
      <c r="AA1293" s="52"/>
      <c r="AB1293" s="53" t="str">
        <f t="shared" si="279"/>
        <v/>
      </c>
      <c r="AC1293" s="48" t="str">
        <f t="shared" si="280"/>
        <v/>
      </c>
      <c r="AD1293" s="54" t="str">
        <f t="shared" si="281"/>
        <v/>
      </c>
      <c r="AE1293" s="55">
        <f t="shared" si="282"/>
        <v>0</v>
      </c>
      <c r="AF1293" s="55">
        <f t="shared" si="283"/>
        <v>0</v>
      </c>
      <c r="AG1293" s="58">
        <f t="shared" si="284"/>
        <v>0</v>
      </c>
      <c r="AH1293" s="47"/>
      <c r="AJ1293" s="47"/>
      <c r="AL1293" s="47"/>
      <c r="AM1293" s="47" t="str">
        <f t="shared" si="285"/>
        <v/>
      </c>
    </row>
    <row r="1294" spans="1:39" s="56" customFormat="1" ht="24.75" customHeight="1">
      <c r="A1294" s="44"/>
      <c r="B1294" s="45"/>
      <c r="C1294" s="46">
        <f>IF(B1294&lt;&gt;"",VLOOKUP(B1294,'Tipo Projeto'!$A$3:$B$35,2,0),0)</f>
        <v>0</v>
      </c>
      <c r="D1294" s="47"/>
      <c r="E1294" s="47"/>
      <c r="F1294" s="48"/>
      <c r="G1294" s="47"/>
      <c r="H1294" s="49"/>
      <c r="I1294" s="50"/>
      <c r="J1294" s="51"/>
      <c r="K1294" s="52"/>
      <c r="L1294" s="53" t="str">
        <f t="shared" si="273"/>
        <v/>
      </c>
      <c r="M1294" s="48" t="str">
        <f t="shared" si="274"/>
        <v/>
      </c>
      <c r="N1294" s="54" t="str">
        <f t="shared" si="275"/>
        <v/>
      </c>
      <c r="O1294" s="55">
        <f t="shared" si="276"/>
        <v>0</v>
      </c>
      <c r="P1294" s="55">
        <f t="shared" si="277"/>
        <v>0</v>
      </c>
      <c r="Q1294" s="54">
        <f t="shared" si="278"/>
        <v>0</v>
      </c>
      <c r="R1294" s="47"/>
      <c r="T1294" s="57"/>
      <c r="U1294" s="45"/>
      <c r="V1294" s="46">
        <f>IF(U1294&lt;&gt;"",VLOOKUP(U1294,'Tipo Projeto'!$A$3:$B$35,2,0),0)</f>
        <v>0</v>
      </c>
      <c r="W1294" s="47"/>
      <c r="X1294" s="49"/>
      <c r="Y1294" s="50"/>
      <c r="Z1294" s="51"/>
      <c r="AA1294" s="52"/>
      <c r="AB1294" s="53" t="str">
        <f t="shared" si="279"/>
        <v/>
      </c>
      <c r="AC1294" s="48" t="str">
        <f t="shared" si="280"/>
        <v/>
      </c>
      <c r="AD1294" s="54" t="str">
        <f t="shared" si="281"/>
        <v/>
      </c>
      <c r="AE1294" s="55">
        <f t="shared" si="282"/>
        <v>0</v>
      </c>
      <c r="AF1294" s="55">
        <f t="shared" si="283"/>
        <v>0</v>
      </c>
      <c r="AG1294" s="58">
        <f t="shared" si="284"/>
        <v>0</v>
      </c>
      <c r="AH1294" s="47"/>
      <c r="AJ1294" s="47"/>
      <c r="AL1294" s="47"/>
      <c r="AM1294" s="47" t="str">
        <f t="shared" si="285"/>
        <v/>
      </c>
    </row>
    <row r="1295" spans="1:39" s="56" customFormat="1" ht="24.75" customHeight="1">
      <c r="A1295" s="44"/>
      <c r="B1295" s="45"/>
      <c r="C1295" s="46">
        <f>IF(B1295&lt;&gt;"",VLOOKUP(B1295,'Tipo Projeto'!$A$3:$B$35,2,0),0)</f>
        <v>0</v>
      </c>
      <c r="D1295" s="47"/>
      <c r="E1295" s="47"/>
      <c r="F1295" s="48"/>
      <c r="G1295" s="47"/>
      <c r="H1295" s="49"/>
      <c r="I1295" s="50"/>
      <c r="J1295" s="51"/>
      <c r="K1295" s="52"/>
      <c r="L1295" s="53" t="str">
        <f t="shared" si="273"/>
        <v/>
      </c>
      <c r="M1295" s="48" t="str">
        <f t="shared" si="274"/>
        <v/>
      </c>
      <c r="N1295" s="54" t="str">
        <f t="shared" si="275"/>
        <v/>
      </c>
      <c r="O1295" s="55">
        <f t="shared" si="276"/>
        <v>0</v>
      </c>
      <c r="P1295" s="55">
        <f t="shared" si="277"/>
        <v>0</v>
      </c>
      <c r="Q1295" s="54">
        <f t="shared" si="278"/>
        <v>0</v>
      </c>
      <c r="R1295" s="47"/>
      <c r="T1295" s="57"/>
      <c r="U1295" s="45"/>
      <c r="V1295" s="46">
        <f>IF(U1295&lt;&gt;"",VLOOKUP(U1295,'Tipo Projeto'!$A$3:$B$35,2,0),0)</f>
        <v>0</v>
      </c>
      <c r="W1295" s="47"/>
      <c r="X1295" s="49"/>
      <c r="Y1295" s="50"/>
      <c r="Z1295" s="51"/>
      <c r="AA1295" s="52"/>
      <c r="AB1295" s="53" t="str">
        <f t="shared" si="279"/>
        <v/>
      </c>
      <c r="AC1295" s="48" t="str">
        <f t="shared" si="280"/>
        <v/>
      </c>
      <c r="AD1295" s="54" t="str">
        <f t="shared" si="281"/>
        <v/>
      </c>
      <c r="AE1295" s="55">
        <f t="shared" si="282"/>
        <v>0</v>
      </c>
      <c r="AF1295" s="55">
        <f t="shared" si="283"/>
        <v>0</v>
      </c>
      <c r="AG1295" s="58">
        <f t="shared" si="284"/>
        <v>0</v>
      </c>
      <c r="AH1295" s="47"/>
      <c r="AJ1295" s="47"/>
      <c r="AL1295" s="47"/>
      <c r="AM1295" s="47" t="str">
        <f t="shared" si="285"/>
        <v/>
      </c>
    </row>
    <row r="1296" spans="1:39" s="56" customFormat="1" ht="24.75" customHeight="1">
      <c r="A1296" s="44"/>
      <c r="B1296" s="45"/>
      <c r="C1296" s="46">
        <f>IF(B1296&lt;&gt;"",VLOOKUP(B1296,'Tipo Projeto'!$A$3:$B$35,2,0),0)</f>
        <v>0</v>
      </c>
      <c r="D1296" s="47"/>
      <c r="E1296" s="47"/>
      <c r="F1296" s="48"/>
      <c r="G1296" s="47"/>
      <c r="H1296" s="49"/>
      <c r="I1296" s="50"/>
      <c r="J1296" s="51"/>
      <c r="K1296" s="52"/>
      <c r="L1296" s="53" t="str">
        <f t="shared" si="273"/>
        <v/>
      </c>
      <c r="M1296" s="48" t="str">
        <f t="shared" si="274"/>
        <v/>
      </c>
      <c r="N1296" s="54" t="str">
        <f t="shared" si="275"/>
        <v/>
      </c>
      <c r="O1296" s="55">
        <f t="shared" si="276"/>
        <v>0</v>
      </c>
      <c r="P1296" s="55">
        <f t="shared" si="277"/>
        <v>0</v>
      </c>
      <c r="Q1296" s="54">
        <f t="shared" si="278"/>
        <v>0</v>
      </c>
      <c r="R1296" s="47"/>
      <c r="T1296" s="57"/>
      <c r="U1296" s="45"/>
      <c r="V1296" s="46">
        <f>IF(U1296&lt;&gt;"",VLOOKUP(U1296,'Tipo Projeto'!$A$3:$B$35,2,0),0)</f>
        <v>0</v>
      </c>
      <c r="W1296" s="47"/>
      <c r="X1296" s="49"/>
      <c r="Y1296" s="50"/>
      <c r="Z1296" s="51"/>
      <c r="AA1296" s="52"/>
      <c r="AB1296" s="53" t="str">
        <f t="shared" si="279"/>
        <v/>
      </c>
      <c r="AC1296" s="48" t="str">
        <f t="shared" si="280"/>
        <v/>
      </c>
      <c r="AD1296" s="54" t="str">
        <f t="shared" si="281"/>
        <v/>
      </c>
      <c r="AE1296" s="55">
        <f t="shared" si="282"/>
        <v>0</v>
      </c>
      <c r="AF1296" s="55">
        <f t="shared" si="283"/>
        <v>0</v>
      </c>
      <c r="AG1296" s="58">
        <f t="shared" si="284"/>
        <v>0</v>
      </c>
      <c r="AH1296" s="47"/>
      <c r="AJ1296" s="47"/>
      <c r="AL1296" s="47"/>
      <c r="AM1296" s="47" t="str">
        <f t="shared" si="285"/>
        <v/>
      </c>
    </row>
    <row r="1297" spans="1:39" s="56" customFormat="1" ht="24.75" customHeight="1">
      <c r="A1297" s="44"/>
      <c r="B1297" s="45"/>
      <c r="C1297" s="46">
        <f>IF(B1297&lt;&gt;"",VLOOKUP(B1297,'Tipo Projeto'!$A$3:$B$35,2,0),0)</f>
        <v>0</v>
      </c>
      <c r="D1297" s="47"/>
      <c r="E1297" s="47"/>
      <c r="F1297" s="48"/>
      <c r="G1297" s="47"/>
      <c r="H1297" s="49"/>
      <c r="I1297" s="50"/>
      <c r="J1297" s="51"/>
      <c r="K1297" s="52"/>
      <c r="L1297" s="53" t="str">
        <f t="shared" si="273"/>
        <v/>
      </c>
      <c r="M1297" s="48" t="str">
        <f t="shared" si="274"/>
        <v/>
      </c>
      <c r="N1297" s="54" t="str">
        <f t="shared" si="275"/>
        <v/>
      </c>
      <c r="O1297" s="55">
        <f t="shared" si="276"/>
        <v>0</v>
      </c>
      <c r="P1297" s="55">
        <f t="shared" si="277"/>
        <v>0</v>
      </c>
      <c r="Q1297" s="54">
        <f t="shared" si="278"/>
        <v>0</v>
      </c>
      <c r="R1297" s="47"/>
      <c r="T1297" s="57"/>
      <c r="U1297" s="45"/>
      <c r="V1297" s="46">
        <f>IF(U1297&lt;&gt;"",VLOOKUP(U1297,'Tipo Projeto'!$A$3:$B$35,2,0),0)</f>
        <v>0</v>
      </c>
      <c r="W1297" s="47"/>
      <c r="X1297" s="49"/>
      <c r="Y1297" s="50"/>
      <c r="Z1297" s="51"/>
      <c r="AA1297" s="52"/>
      <c r="AB1297" s="53" t="str">
        <f t="shared" si="279"/>
        <v/>
      </c>
      <c r="AC1297" s="48" t="str">
        <f t="shared" si="280"/>
        <v/>
      </c>
      <c r="AD1297" s="54" t="str">
        <f t="shared" si="281"/>
        <v/>
      </c>
      <c r="AE1297" s="55">
        <f t="shared" si="282"/>
        <v>0</v>
      </c>
      <c r="AF1297" s="55">
        <f t="shared" si="283"/>
        <v>0</v>
      </c>
      <c r="AG1297" s="58">
        <f t="shared" si="284"/>
        <v>0</v>
      </c>
      <c r="AH1297" s="47"/>
      <c r="AJ1297" s="47"/>
      <c r="AL1297" s="47"/>
      <c r="AM1297" s="47" t="str">
        <f t="shared" si="285"/>
        <v/>
      </c>
    </row>
    <row r="1298" spans="1:39" s="56" customFormat="1" ht="24.75" customHeight="1">
      <c r="A1298" s="44"/>
      <c r="B1298" s="45"/>
      <c r="C1298" s="46">
        <f>IF(B1298&lt;&gt;"",VLOOKUP(B1298,'Tipo Projeto'!$A$3:$B$35,2,0),0)</f>
        <v>0</v>
      </c>
      <c r="D1298" s="47"/>
      <c r="E1298" s="47"/>
      <c r="F1298" s="48"/>
      <c r="G1298" s="47"/>
      <c r="H1298" s="49"/>
      <c r="I1298" s="50"/>
      <c r="J1298" s="51"/>
      <c r="K1298" s="52"/>
      <c r="L1298" s="53" t="str">
        <f t="shared" si="273"/>
        <v/>
      </c>
      <c r="M1298" s="48" t="str">
        <f t="shared" si="274"/>
        <v/>
      </c>
      <c r="N1298" s="54" t="str">
        <f t="shared" si="275"/>
        <v/>
      </c>
      <c r="O1298" s="55">
        <f t="shared" si="276"/>
        <v>0</v>
      </c>
      <c r="P1298" s="55">
        <f t="shared" si="277"/>
        <v>0</v>
      </c>
      <c r="Q1298" s="54">
        <f t="shared" si="278"/>
        <v>0</v>
      </c>
      <c r="R1298" s="47"/>
      <c r="T1298" s="57"/>
      <c r="U1298" s="45"/>
      <c r="V1298" s="46">
        <f>IF(U1298&lt;&gt;"",VLOOKUP(U1298,'Tipo Projeto'!$A$3:$B$35,2,0),0)</f>
        <v>0</v>
      </c>
      <c r="W1298" s="47"/>
      <c r="X1298" s="49"/>
      <c r="Y1298" s="50"/>
      <c r="Z1298" s="51"/>
      <c r="AA1298" s="52"/>
      <c r="AB1298" s="53" t="str">
        <f t="shared" si="279"/>
        <v/>
      </c>
      <c r="AC1298" s="48" t="str">
        <f t="shared" si="280"/>
        <v/>
      </c>
      <c r="AD1298" s="54" t="str">
        <f t="shared" si="281"/>
        <v/>
      </c>
      <c r="AE1298" s="55">
        <f t="shared" si="282"/>
        <v>0</v>
      </c>
      <c r="AF1298" s="55">
        <f t="shared" si="283"/>
        <v>0</v>
      </c>
      <c r="AG1298" s="58">
        <f t="shared" si="284"/>
        <v>0</v>
      </c>
      <c r="AH1298" s="47"/>
      <c r="AJ1298" s="47"/>
      <c r="AL1298" s="47"/>
      <c r="AM1298" s="47" t="str">
        <f t="shared" si="285"/>
        <v/>
      </c>
    </row>
    <row r="1299" spans="1:39" s="56" customFormat="1" ht="24.75" customHeight="1">
      <c r="A1299" s="44"/>
      <c r="B1299" s="45"/>
      <c r="C1299" s="46">
        <f>IF(B1299&lt;&gt;"",VLOOKUP(B1299,'Tipo Projeto'!$A$3:$B$35,2,0),0)</f>
        <v>0</v>
      </c>
      <c r="D1299" s="47"/>
      <c r="E1299" s="47"/>
      <c r="F1299" s="48"/>
      <c r="G1299" s="47"/>
      <c r="H1299" s="49"/>
      <c r="I1299" s="50"/>
      <c r="J1299" s="51"/>
      <c r="K1299" s="52"/>
      <c r="L1299" s="53" t="str">
        <f t="shared" si="273"/>
        <v/>
      </c>
      <c r="M1299" s="48" t="str">
        <f t="shared" si="274"/>
        <v/>
      </c>
      <c r="N1299" s="54" t="str">
        <f t="shared" si="275"/>
        <v/>
      </c>
      <c r="O1299" s="55">
        <f t="shared" si="276"/>
        <v>0</v>
      </c>
      <c r="P1299" s="55">
        <f t="shared" si="277"/>
        <v>0</v>
      </c>
      <c r="Q1299" s="54">
        <f t="shared" si="278"/>
        <v>0</v>
      </c>
      <c r="R1299" s="47"/>
      <c r="T1299" s="57"/>
      <c r="U1299" s="45"/>
      <c r="V1299" s="46">
        <f>IF(U1299&lt;&gt;"",VLOOKUP(U1299,'Tipo Projeto'!$A$3:$B$35,2,0),0)</f>
        <v>0</v>
      </c>
      <c r="W1299" s="47"/>
      <c r="X1299" s="49"/>
      <c r="Y1299" s="50"/>
      <c r="Z1299" s="51"/>
      <c r="AA1299" s="52"/>
      <c r="AB1299" s="53" t="str">
        <f t="shared" si="279"/>
        <v/>
      </c>
      <c r="AC1299" s="48" t="str">
        <f t="shared" si="280"/>
        <v/>
      </c>
      <c r="AD1299" s="54" t="str">
        <f t="shared" si="281"/>
        <v/>
      </c>
      <c r="AE1299" s="55">
        <f t="shared" si="282"/>
        <v>0</v>
      </c>
      <c r="AF1299" s="55">
        <f t="shared" si="283"/>
        <v>0</v>
      </c>
      <c r="AG1299" s="58">
        <f t="shared" si="284"/>
        <v>0</v>
      </c>
      <c r="AH1299" s="47"/>
      <c r="AJ1299" s="47"/>
      <c r="AL1299" s="47"/>
      <c r="AM1299" s="47" t="str">
        <f t="shared" si="285"/>
        <v/>
      </c>
    </row>
    <row r="1300" spans="1:39" s="56" customFormat="1" ht="24.75" customHeight="1">
      <c r="A1300" s="44"/>
      <c r="B1300" s="45"/>
      <c r="C1300" s="46">
        <f>IF(B1300&lt;&gt;"",VLOOKUP(B1300,'Tipo Projeto'!$A$3:$B$35,2,0),0)</f>
        <v>0</v>
      </c>
      <c r="D1300" s="47"/>
      <c r="E1300" s="47"/>
      <c r="F1300" s="48"/>
      <c r="G1300" s="47"/>
      <c r="H1300" s="49"/>
      <c r="I1300" s="50"/>
      <c r="J1300" s="51"/>
      <c r="K1300" s="52"/>
      <c r="L1300" s="53" t="str">
        <f t="shared" si="273"/>
        <v/>
      </c>
      <c r="M1300" s="48" t="str">
        <f t="shared" si="274"/>
        <v/>
      </c>
      <c r="N1300" s="54" t="str">
        <f t="shared" si="275"/>
        <v/>
      </c>
      <c r="O1300" s="55">
        <f t="shared" si="276"/>
        <v>0</v>
      </c>
      <c r="P1300" s="55">
        <f t="shared" si="277"/>
        <v>0</v>
      </c>
      <c r="Q1300" s="54">
        <f t="shared" si="278"/>
        <v>0</v>
      </c>
      <c r="R1300" s="47"/>
      <c r="T1300" s="57"/>
      <c r="U1300" s="45"/>
      <c r="V1300" s="46">
        <f>IF(U1300&lt;&gt;"",VLOOKUP(U1300,'Tipo Projeto'!$A$3:$B$35,2,0),0)</f>
        <v>0</v>
      </c>
      <c r="W1300" s="47"/>
      <c r="X1300" s="49"/>
      <c r="Y1300" s="50"/>
      <c r="Z1300" s="51"/>
      <c r="AA1300" s="52"/>
      <c r="AB1300" s="53" t="str">
        <f t="shared" si="279"/>
        <v/>
      </c>
      <c r="AC1300" s="48" t="str">
        <f t="shared" si="280"/>
        <v/>
      </c>
      <c r="AD1300" s="54" t="str">
        <f t="shared" si="281"/>
        <v/>
      </c>
      <c r="AE1300" s="55">
        <f t="shared" si="282"/>
        <v>0</v>
      </c>
      <c r="AF1300" s="55">
        <f t="shared" si="283"/>
        <v>0</v>
      </c>
      <c r="AG1300" s="58">
        <f t="shared" si="284"/>
        <v>0</v>
      </c>
      <c r="AH1300" s="47"/>
      <c r="AJ1300" s="47"/>
      <c r="AL1300" s="47"/>
      <c r="AM1300" s="47" t="str">
        <f t="shared" si="285"/>
        <v/>
      </c>
    </row>
    <row r="1301" spans="1:39" s="56" customFormat="1" ht="24.75" customHeight="1">
      <c r="A1301" s="44"/>
      <c r="B1301" s="45"/>
      <c r="C1301" s="46">
        <f>IF(B1301&lt;&gt;"",VLOOKUP(B1301,'Tipo Projeto'!$A$3:$B$35,2,0),0)</f>
        <v>0</v>
      </c>
      <c r="D1301" s="47"/>
      <c r="E1301" s="47"/>
      <c r="F1301" s="48"/>
      <c r="G1301" s="47"/>
      <c r="H1301" s="49"/>
      <c r="I1301" s="50"/>
      <c r="J1301" s="51"/>
      <c r="K1301" s="52"/>
      <c r="L1301" s="53" t="str">
        <f t="shared" si="273"/>
        <v/>
      </c>
      <c r="M1301" s="48" t="str">
        <f t="shared" si="274"/>
        <v/>
      </c>
      <c r="N1301" s="54" t="str">
        <f t="shared" si="275"/>
        <v/>
      </c>
      <c r="O1301" s="55">
        <f t="shared" si="276"/>
        <v>0</v>
      </c>
      <c r="P1301" s="55">
        <f t="shared" si="277"/>
        <v>0</v>
      </c>
      <c r="Q1301" s="54">
        <f t="shared" si="278"/>
        <v>0</v>
      </c>
      <c r="R1301" s="47"/>
      <c r="T1301" s="57"/>
      <c r="U1301" s="45"/>
      <c r="V1301" s="46">
        <f>IF(U1301&lt;&gt;"",VLOOKUP(U1301,'Tipo Projeto'!$A$3:$B$35,2,0),0)</f>
        <v>0</v>
      </c>
      <c r="W1301" s="47"/>
      <c r="X1301" s="49"/>
      <c r="Y1301" s="50"/>
      <c r="Z1301" s="51"/>
      <c r="AA1301" s="52"/>
      <c r="AB1301" s="53" t="str">
        <f t="shared" si="279"/>
        <v/>
      </c>
      <c r="AC1301" s="48" t="str">
        <f t="shared" si="280"/>
        <v/>
      </c>
      <c r="AD1301" s="54" t="str">
        <f t="shared" si="281"/>
        <v/>
      </c>
      <c r="AE1301" s="55">
        <f t="shared" si="282"/>
        <v>0</v>
      </c>
      <c r="AF1301" s="55">
        <f t="shared" si="283"/>
        <v>0</v>
      </c>
      <c r="AG1301" s="58">
        <f t="shared" si="284"/>
        <v>0</v>
      </c>
      <c r="AH1301" s="47"/>
      <c r="AJ1301" s="47"/>
      <c r="AL1301" s="47"/>
      <c r="AM1301" s="47" t="str">
        <f t="shared" si="285"/>
        <v/>
      </c>
    </row>
    <row r="1302" spans="1:39" s="56" customFormat="1" ht="24.75" customHeight="1">
      <c r="A1302" s="44"/>
      <c r="B1302" s="45"/>
      <c r="C1302" s="46">
        <f>IF(B1302&lt;&gt;"",VLOOKUP(B1302,'Tipo Projeto'!$A$3:$B$35,2,0),0)</f>
        <v>0</v>
      </c>
      <c r="D1302" s="47"/>
      <c r="E1302" s="47"/>
      <c r="F1302" s="48"/>
      <c r="G1302" s="47"/>
      <c r="H1302" s="49"/>
      <c r="I1302" s="50"/>
      <c r="J1302" s="51"/>
      <c r="K1302" s="52"/>
      <c r="L1302" s="53" t="str">
        <f t="shared" si="273"/>
        <v/>
      </c>
      <c r="M1302" s="48" t="str">
        <f t="shared" si="274"/>
        <v/>
      </c>
      <c r="N1302" s="54" t="str">
        <f t="shared" si="275"/>
        <v/>
      </c>
      <c r="O1302" s="55">
        <f t="shared" si="276"/>
        <v>0</v>
      </c>
      <c r="P1302" s="55">
        <f t="shared" si="277"/>
        <v>0</v>
      </c>
      <c r="Q1302" s="54">
        <f t="shared" si="278"/>
        <v>0</v>
      </c>
      <c r="R1302" s="47"/>
      <c r="T1302" s="57"/>
      <c r="U1302" s="45"/>
      <c r="V1302" s="46">
        <f>IF(U1302&lt;&gt;"",VLOOKUP(U1302,'Tipo Projeto'!$A$3:$B$35,2,0),0)</f>
        <v>0</v>
      </c>
      <c r="W1302" s="47"/>
      <c r="X1302" s="49"/>
      <c r="Y1302" s="50"/>
      <c r="Z1302" s="51"/>
      <c r="AA1302" s="52"/>
      <c r="AB1302" s="53" t="str">
        <f t="shared" si="279"/>
        <v/>
      </c>
      <c r="AC1302" s="48" t="str">
        <f t="shared" si="280"/>
        <v/>
      </c>
      <c r="AD1302" s="54" t="str">
        <f t="shared" si="281"/>
        <v/>
      </c>
      <c r="AE1302" s="55">
        <f t="shared" si="282"/>
        <v>0</v>
      </c>
      <c r="AF1302" s="55">
        <f t="shared" si="283"/>
        <v>0</v>
      </c>
      <c r="AG1302" s="58">
        <f t="shared" si="284"/>
        <v>0</v>
      </c>
      <c r="AH1302" s="47"/>
      <c r="AJ1302" s="47"/>
      <c r="AL1302" s="47"/>
      <c r="AM1302" s="47" t="str">
        <f t="shared" si="285"/>
        <v/>
      </c>
    </row>
    <row r="1303" spans="1:39" s="56" customFormat="1" ht="24.75" customHeight="1">
      <c r="A1303" s="44"/>
      <c r="B1303" s="45"/>
      <c r="C1303" s="46">
        <f>IF(B1303&lt;&gt;"",VLOOKUP(B1303,'Tipo Projeto'!$A$3:$B$35,2,0),0)</f>
        <v>0</v>
      </c>
      <c r="D1303" s="47"/>
      <c r="E1303" s="47"/>
      <c r="F1303" s="48"/>
      <c r="G1303" s="47"/>
      <c r="H1303" s="49"/>
      <c r="I1303" s="50"/>
      <c r="J1303" s="51"/>
      <c r="K1303" s="52"/>
      <c r="L1303" s="53" t="str">
        <f t="shared" si="273"/>
        <v/>
      </c>
      <c r="M1303" s="48" t="str">
        <f t="shared" si="274"/>
        <v/>
      </c>
      <c r="N1303" s="54" t="str">
        <f t="shared" si="275"/>
        <v/>
      </c>
      <c r="O1303" s="55">
        <f t="shared" si="276"/>
        <v>0</v>
      </c>
      <c r="P1303" s="55">
        <f t="shared" si="277"/>
        <v>0</v>
      </c>
      <c r="Q1303" s="54">
        <f t="shared" si="278"/>
        <v>0</v>
      </c>
      <c r="R1303" s="47"/>
      <c r="T1303" s="57"/>
      <c r="U1303" s="45"/>
      <c r="V1303" s="46">
        <f>IF(U1303&lt;&gt;"",VLOOKUP(U1303,'Tipo Projeto'!$A$3:$B$35,2,0),0)</f>
        <v>0</v>
      </c>
      <c r="W1303" s="47"/>
      <c r="X1303" s="49"/>
      <c r="Y1303" s="50"/>
      <c r="Z1303" s="51"/>
      <c r="AA1303" s="52"/>
      <c r="AB1303" s="53" t="str">
        <f t="shared" si="279"/>
        <v/>
      </c>
      <c r="AC1303" s="48" t="str">
        <f t="shared" si="280"/>
        <v/>
      </c>
      <c r="AD1303" s="54" t="str">
        <f t="shared" si="281"/>
        <v/>
      </c>
      <c r="AE1303" s="55">
        <f t="shared" si="282"/>
        <v>0</v>
      </c>
      <c r="AF1303" s="55">
        <f t="shared" si="283"/>
        <v>0</v>
      </c>
      <c r="AG1303" s="58">
        <f t="shared" si="284"/>
        <v>0</v>
      </c>
      <c r="AH1303" s="47"/>
      <c r="AJ1303" s="47"/>
      <c r="AL1303" s="47"/>
      <c r="AM1303" s="47" t="str">
        <f t="shared" si="285"/>
        <v/>
      </c>
    </row>
    <row r="1304" spans="1:39" s="56" customFormat="1" ht="24.75" customHeight="1">
      <c r="A1304" s="44"/>
      <c r="B1304" s="45"/>
      <c r="C1304" s="46">
        <f>IF(B1304&lt;&gt;"",VLOOKUP(B1304,'Tipo Projeto'!$A$3:$B$35,2,0),0)</f>
        <v>0</v>
      </c>
      <c r="D1304" s="47"/>
      <c r="E1304" s="47"/>
      <c r="F1304" s="48"/>
      <c r="G1304" s="47"/>
      <c r="H1304" s="49"/>
      <c r="I1304" s="50"/>
      <c r="J1304" s="51"/>
      <c r="K1304" s="52"/>
      <c r="L1304" s="53" t="str">
        <f t="shared" si="273"/>
        <v/>
      </c>
      <c r="M1304" s="48" t="str">
        <f t="shared" si="274"/>
        <v/>
      </c>
      <c r="N1304" s="54" t="str">
        <f t="shared" si="275"/>
        <v/>
      </c>
      <c r="O1304" s="55">
        <f t="shared" si="276"/>
        <v>0</v>
      </c>
      <c r="P1304" s="55">
        <f t="shared" si="277"/>
        <v>0</v>
      </c>
      <c r="Q1304" s="54">
        <f t="shared" si="278"/>
        <v>0</v>
      </c>
      <c r="R1304" s="47"/>
      <c r="T1304" s="57"/>
      <c r="U1304" s="45"/>
      <c r="V1304" s="46">
        <f>IF(U1304&lt;&gt;"",VLOOKUP(U1304,'Tipo Projeto'!$A$3:$B$35,2,0),0)</f>
        <v>0</v>
      </c>
      <c r="W1304" s="47"/>
      <c r="X1304" s="49"/>
      <c r="Y1304" s="50"/>
      <c r="Z1304" s="51"/>
      <c r="AA1304" s="52"/>
      <c r="AB1304" s="53" t="str">
        <f t="shared" si="279"/>
        <v/>
      </c>
      <c r="AC1304" s="48" t="str">
        <f t="shared" si="280"/>
        <v/>
      </c>
      <c r="AD1304" s="54" t="str">
        <f t="shared" si="281"/>
        <v/>
      </c>
      <c r="AE1304" s="55">
        <f t="shared" si="282"/>
        <v>0</v>
      </c>
      <c r="AF1304" s="55">
        <f t="shared" si="283"/>
        <v>0</v>
      </c>
      <c r="AG1304" s="58">
        <f t="shared" si="284"/>
        <v>0</v>
      </c>
      <c r="AH1304" s="47"/>
      <c r="AJ1304" s="47"/>
      <c r="AL1304" s="47"/>
      <c r="AM1304" s="47" t="str">
        <f t="shared" si="285"/>
        <v/>
      </c>
    </row>
    <row r="1305" spans="1:39" s="56" customFormat="1" ht="24.75" customHeight="1">
      <c r="A1305" s="44"/>
      <c r="B1305" s="45"/>
      <c r="C1305" s="46">
        <f>IF(B1305&lt;&gt;"",VLOOKUP(B1305,'Tipo Projeto'!$A$3:$B$35,2,0),0)</f>
        <v>0</v>
      </c>
      <c r="D1305" s="47"/>
      <c r="E1305" s="47"/>
      <c r="F1305" s="48"/>
      <c r="G1305" s="47"/>
      <c r="H1305" s="49"/>
      <c r="I1305" s="50"/>
      <c r="J1305" s="51"/>
      <c r="K1305" s="52"/>
      <c r="L1305" s="53" t="str">
        <f t="shared" si="273"/>
        <v/>
      </c>
      <c r="M1305" s="48" t="str">
        <f t="shared" si="274"/>
        <v/>
      </c>
      <c r="N1305" s="54" t="str">
        <f t="shared" si="275"/>
        <v/>
      </c>
      <c r="O1305" s="55">
        <f t="shared" si="276"/>
        <v>0</v>
      </c>
      <c r="P1305" s="55">
        <f t="shared" si="277"/>
        <v>0</v>
      </c>
      <c r="Q1305" s="54">
        <f t="shared" si="278"/>
        <v>0</v>
      </c>
      <c r="R1305" s="47"/>
      <c r="T1305" s="57"/>
      <c r="U1305" s="45"/>
      <c r="V1305" s="46">
        <f>IF(U1305&lt;&gt;"",VLOOKUP(U1305,'Tipo Projeto'!$A$3:$B$35,2,0),0)</f>
        <v>0</v>
      </c>
      <c r="W1305" s="47"/>
      <c r="X1305" s="49"/>
      <c r="Y1305" s="50"/>
      <c r="Z1305" s="51"/>
      <c r="AA1305" s="52"/>
      <c r="AB1305" s="53" t="str">
        <f t="shared" si="279"/>
        <v/>
      </c>
      <c r="AC1305" s="48" t="str">
        <f t="shared" si="280"/>
        <v/>
      </c>
      <c r="AD1305" s="54" t="str">
        <f t="shared" si="281"/>
        <v/>
      </c>
      <c r="AE1305" s="55">
        <f t="shared" si="282"/>
        <v>0</v>
      </c>
      <c r="AF1305" s="55">
        <f t="shared" si="283"/>
        <v>0</v>
      </c>
      <c r="AG1305" s="58">
        <f t="shared" si="284"/>
        <v>0</v>
      </c>
      <c r="AH1305" s="47"/>
      <c r="AJ1305" s="47"/>
      <c r="AL1305" s="47"/>
      <c r="AM1305" s="47" t="str">
        <f t="shared" si="285"/>
        <v/>
      </c>
    </row>
    <row r="1306" spans="1:39" s="56" customFormat="1" ht="24.75" customHeight="1">
      <c r="A1306" s="44"/>
      <c r="B1306" s="45"/>
      <c r="C1306" s="46">
        <f>IF(B1306&lt;&gt;"",VLOOKUP(B1306,'Tipo Projeto'!$A$3:$B$35,2,0),0)</f>
        <v>0</v>
      </c>
      <c r="D1306" s="47"/>
      <c r="E1306" s="47"/>
      <c r="F1306" s="48"/>
      <c r="G1306" s="47"/>
      <c r="H1306" s="49"/>
      <c r="I1306" s="50"/>
      <c r="J1306" s="51"/>
      <c r="K1306" s="52"/>
      <c r="L1306" s="53" t="str">
        <f t="shared" si="273"/>
        <v/>
      </c>
      <c r="M1306" s="48" t="str">
        <f t="shared" si="274"/>
        <v/>
      </c>
      <c r="N1306" s="54" t="str">
        <f t="shared" si="275"/>
        <v/>
      </c>
      <c r="O1306" s="55">
        <f t="shared" si="276"/>
        <v>0</v>
      </c>
      <c r="P1306" s="55">
        <f t="shared" si="277"/>
        <v>0</v>
      </c>
      <c r="Q1306" s="54">
        <f t="shared" si="278"/>
        <v>0</v>
      </c>
      <c r="R1306" s="47"/>
      <c r="T1306" s="57"/>
      <c r="U1306" s="45"/>
      <c r="V1306" s="46">
        <f>IF(U1306&lt;&gt;"",VLOOKUP(U1306,'Tipo Projeto'!$A$3:$B$35,2,0),0)</f>
        <v>0</v>
      </c>
      <c r="W1306" s="47"/>
      <c r="X1306" s="49"/>
      <c r="Y1306" s="50"/>
      <c r="Z1306" s="51"/>
      <c r="AA1306" s="52"/>
      <c r="AB1306" s="53" t="str">
        <f t="shared" si="279"/>
        <v/>
      </c>
      <c r="AC1306" s="48" t="str">
        <f t="shared" si="280"/>
        <v/>
      </c>
      <c r="AD1306" s="54" t="str">
        <f t="shared" si="281"/>
        <v/>
      </c>
      <c r="AE1306" s="55">
        <f t="shared" si="282"/>
        <v>0</v>
      </c>
      <c r="AF1306" s="55">
        <f t="shared" si="283"/>
        <v>0</v>
      </c>
      <c r="AG1306" s="58">
        <f t="shared" si="284"/>
        <v>0</v>
      </c>
      <c r="AH1306" s="47"/>
      <c r="AJ1306" s="47"/>
      <c r="AL1306" s="47"/>
      <c r="AM1306" s="47" t="str">
        <f t="shared" si="285"/>
        <v/>
      </c>
    </row>
    <row r="1307" spans="1:39" s="56" customFormat="1" ht="24.75" customHeight="1">
      <c r="A1307" s="44"/>
      <c r="B1307" s="45"/>
      <c r="C1307" s="46">
        <f>IF(B1307&lt;&gt;"",VLOOKUP(B1307,'Tipo Projeto'!$A$3:$B$35,2,0),0)</f>
        <v>0</v>
      </c>
      <c r="D1307" s="47"/>
      <c r="E1307" s="47"/>
      <c r="F1307" s="48"/>
      <c r="G1307" s="47"/>
      <c r="H1307" s="49"/>
      <c r="I1307" s="50"/>
      <c r="J1307" s="51"/>
      <c r="K1307" s="52"/>
      <c r="L1307" s="53" t="str">
        <f t="shared" si="273"/>
        <v/>
      </c>
      <c r="M1307" s="48" t="str">
        <f t="shared" si="274"/>
        <v/>
      </c>
      <c r="N1307" s="54" t="str">
        <f t="shared" si="275"/>
        <v/>
      </c>
      <c r="O1307" s="55">
        <f t="shared" si="276"/>
        <v>0</v>
      </c>
      <c r="P1307" s="55">
        <f t="shared" si="277"/>
        <v>0</v>
      </c>
      <c r="Q1307" s="54">
        <f t="shared" si="278"/>
        <v>0</v>
      </c>
      <c r="R1307" s="47"/>
      <c r="T1307" s="57"/>
      <c r="U1307" s="45"/>
      <c r="V1307" s="46">
        <f>IF(U1307&lt;&gt;"",VLOOKUP(U1307,'Tipo Projeto'!$A$3:$B$35,2,0),0)</f>
        <v>0</v>
      </c>
      <c r="W1307" s="47"/>
      <c r="X1307" s="49"/>
      <c r="Y1307" s="50"/>
      <c r="Z1307" s="51"/>
      <c r="AA1307" s="52"/>
      <c r="AB1307" s="53" t="str">
        <f t="shared" si="279"/>
        <v/>
      </c>
      <c r="AC1307" s="48" t="str">
        <f t="shared" si="280"/>
        <v/>
      </c>
      <c r="AD1307" s="54" t="str">
        <f t="shared" si="281"/>
        <v/>
      </c>
      <c r="AE1307" s="55">
        <f t="shared" si="282"/>
        <v>0</v>
      </c>
      <c r="AF1307" s="55">
        <f t="shared" si="283"/>
        <v>0</v>
      </c>
      <c r="AG1307" s="58">
        <f t="shared" si="284"/>
        <v>0</v>
      </c>
      <c r="AH1307" s="47"/>
      <c r="AJ1307" s="47"/>
      <c r="AL1307" s="47"/>
      <c r="AM1307" s="47" t="str">
        <f t="shared" si="285"/>
        <v/>
      </c>
    </row>
    <row r="1308" spans="1:39" s="56" customFormat="1" ht="24.75" customHeight="1">
      <c r="A1308" s="44"/>
      <c r="B1308" s="45"/>
      <c r="C1308" s="46">
        <f>IF(B1308&lt;&gt;"",VLOOKUP(B1308,'Tipo Projeto'!$A$3:$B$35,2,0),0)</f>
        <v>0</v>
      </c>
      <c r="D1308" s="47"/>
      <c r="E1308" s="47"/>
      <c r="F1308" s="48"/>
      <c r="G1308" s="47"/>
      <c r="H1308" s="49"/>
      <c r="I1308" s="50"/>
      <c r="J1308" s="51"/>
      <c r="K1308" s="52"/>
      <c r="L1308" s="53" t="str">
        <f t="shared" si="273"/>
        <v/>
      </c>
      <c r="M1308" s="48" t="str">
        <f t="shared" si="274"/>
        <v/>
      </c>
      <c r="N1308" s="54" t="str">
        <f t="shared" si="275"/>
        <v/>
      </c>
      <c r="O1308" s="55">
        <f t="shared" si="276"/>
        <v>0</v>
      </c>
      <c r="P1308" s="55">
        <f t="shared" si="277"/>
        <v>0</v>
      </c>
      <c r="Q1308" s="54">
        <f t="shared" si="278"/>
        <v>0</v>
      </c>
      <c r="R1308" s="47"/>
      <c r="T1308" s="57"/>
      <c r="U1308" s="45"/>
      <c r="V1308" s="46">
        <f>IF(U1308&lt;&gt;"",VLOOKUP(U1308,'Tipo Projeto'!$A$3:$B$35,2,0),0)</f>
        <v>0</v>
      </c>
      <c r="W1308" s="47"/>
      <c r="X1308" s="49"/>
      <c r="Y1308" s="50"/>
      <c r="Z1308" s="51"/>
      <c r="AA1308" s="52"/>
      <c r="AB1308" s="53" t="str">
        <f t="shared" si="279"/>
        <v/>
      </c>
      <c r="AC1308" s="48" t="str">
        <f t="shared" si="280"/>
        <v/>
      </c>
      <c r="AD1308" s="54" t="str">
        <f t="shared" si="281"/>
        <v/>
      </c>
      <c r="AE1308" s="55">
        <f t="shared" si="282"/>
        <v>0</v>
      </c>
      <c r="AF1308" s="55">
        <f t="shared" si="283"/>
        <v>0</v>
      </c>
      <c r="AG1308" s="58">
        <f t="shared" si="284"/>
        <v>0</v>
      </c>
      <c r="AH1308" s="47"/>
      <c r="AJ1308" s="47"/>
      <c r="AL1308" s="47"/>
      <c r="AM1308" s="47" t="str">
        <f t="shared" si="285"/>
        <v/>
      </c>
    </row>
    <row r="1309" spans="1:39" s="56" customFormat="1" ht="24.75" customHeight="1">
      <c r="A1309" s="44"/>
      <c r="B1309" s="45"/>
      <c r="C1309" s="46">
        <f>IF(B1309&lt;&gt;"",VLOOKUP(B1309,'Tipo Projeto'!$A$3:$B$35,2,0),0)</f>
        <v>0</v>
      </c>
      <c r="D1309" s="47"/>
      <c r="E1309" s="47"/>
      <c r="F1309" s="48"/>
      <c r="G1309" s="47"/>
      <c r="H1309" s="49"/>
      <c r="I1309" s="50"/>
      <c r="J1309" s="51"/>
      <c r="K1309" s="52"/>
      <c r="L1309" s="53" t="str">
        <f t="shared" si="273"/>
        <v/>
      </c>
      <c r="M1309" s="48" t="str">
        <f t="shared" si="274"/>
        <v/>
      </c>
      <c r="N1309" s="54" t="str">
        <f t="shared" si="275"/>
        <v/>
      </c>
      <c r="O1309" s="55">
        <f t="shared" si="276"/>
        <v>0</v>
      </c>
      <c r="P1309" s="55">
        <f t="shared" si="277"/>
        <v>0</v>
      </c>
      <c r="Q1309" s="54">
        <f t="shared" si="278"/>
        <v>0</v>
      </c>
      <c r="R1309" s="47"/>
      <c r="T1309" s="57"/>
      <c r="U1309" s="45"/>
      <c r="V1309" s="46">
        <f>IF(U1309&lt;&gt;"",VLOOKUP(U1309,'Tipo Projeto'!$A$3:$B$35,2,0),0)</f>
        <v>0</v>
      </c>
      <c r="W1309" s="47"/>
      <c r="X1309" s="49"/>
      <c r="Y1309" s="50"/>
      <c r="Z1309" s="51"/>
      <c r="AA1309" s="52"/>
      <c r="AB1309" s="53" t="str">
        <f t="shared" si="279"/>
        <v/>
      </c>
      <c r="AC1309" s="48" t="str">
        <f t="shared" si="280"/>
        <v/>
      </c>
      <c r="AD1309" s="54" t="str">
        <f t="shared" si="281"/>
        <v/>
      </c>
      <c r="AE1309" s="55">
        <f t="shared" si="282"/>
        <v>0</v>
      </c>
      <c r="AF1309" s="55">
        <f t="shared" si="283"/>
        <v>0</v>
      </c>
      <c r="AG1309" s="58">
        <f t="shared" si="284"/>
        <v>0</v>
      </c>
      <c r="AH1309" s="47"/>
      <c r="AJ1309" s="47"/>
      <c r="AL1309" s="47"/>
      <c r="AM1309" s="47" t="str">
        <f t="shared" si="285"/>
        <v/>
      </c>
    </row>
    <row r="1310" spans="1:39" s="56" customFormat="1" ht="24.75" customHeight="1">
      <c r="A1310" s="44"/>
      <c r="B1310" s="45"/>
      <c r="C1310" s="46">
        <f>IF(B1310&lt;&gt;"",VLOOKUP(B1310,'Tipo Projeto'!$A$3:$B$35,2,0),0)</f>
        <v>0</v>
      </c>
      <c r="D1310" s="47"/>
      <c r="E1310" s="47"/>
      <c r="F1310" s="48"/>
      <c r="G1310" s="47"/>
      <c r="H1310" s="49"/>
      <c r="I1310" s="50"/>
      <c r="J1310" s="51"/>
      <c r="K1310" s="52"/>
      <c r="L1310" s="53" t="str">
        <f t="shared" si="273"/>
        <v/>
      </c>
      <c r="M1310" s="48" t="str">
        <f t="shared" si="274"/>
        <v/>
      </c>
      <c r="N1310" s="54" t="str">
        <f t="shared" si="275"/>
        <v/>
      </c>
      <c r="O1310" s="55">
        <f t="shared" si="276"/>
        <v>0</v>
      </c>
      <c r="P1310" s="55">
        <f t="shared" si="277"/>
        <v>0</v>
      </c>
      <c r="Q1310" s="54">
        <f t="shared" si="278"/>
        <v>0</v>
      </c>
      <c r="R1310" s="47"/>
      <c r="T1310" s="57"/>
      <c r="U1310" s="45"/>
      <c r="V1310" s="46">
        <f>IF(U1310&lt;&gt;"",VLOOKUP(U1310,'Tipo Projeto'!$A$3:$B$35,2,0),0)</f>
        <v>0</v>
      </c>
      <c r="W1310" s="47"/>
      <c r="X1310" s="49"/>
      <c r="Y1310" s="50"/>
      <c r="Z1310" s="51"/>
      <c r="AA1310" s="52"/>
      <c r="AB1310" s="53" t="str">
        <f t="shared" si="279"/>
        <v/>
      </c>
      <c r="AC1310" s="48" t="str">
        <f t="shared" si="280"/>
        <v/>
      </c>
      <c r="AD1310" s="54" t="str">
        <f t="shared" si="281"/>
        <v/>
      </c>
      <c r="AE1310" s="55">
        <f t="shared" si="282"/>
        <v>0</v>
      </c>
      <c r="AF1310" s="55">
        <f t="shared" si="283"/>
        <v>0</v>
      </c>
      <c r="AG1310" s="58">
        <f t="shared" si="284"/>
        <v>0</v>
      </c>
      <c r="AH1310" s="47"/>
      <c r="AJ1310" s="47"/>
      <c r="AL1310" s="47"/>
      <c r="AM1310" s="47" t="str">
        <f t="shared" si="285"/>
        <v/>
      </c>
    </row>
    <row r="1311" spans="1:39" s="56" customFormat="1" ht="24.75" customHeight="1">
      <c r="A1311" s="44"/>
      <c r="B1311" s="45"/>
      <c r="C1311" s="46">
        <f>IF(B1311&lt;&gt;"",VLOOKUP(B1311,'Tipo Projeto'!$A$3:$B$35,2,0),0)</f>
        <v>0</v>
      </c>
      <c r="D1311" s="47"/>
      <c r="E1311" s="47"/>
      <c r="F1311" s="48"/>
      <c r="G1311" s="47"/>
      <c r="H1311" s="49"/>
      <c r="I1311" s="50"/>
      <c r="J1311" s="51"/>
      <c r="K1311" s="52"/>
      <c r="L1311" s="53" t="str">
        <f t="shared" si="273"/>
        <v/>
      </c>
      <c r="M1311" s="48" t="str">
        <f t="shared" si="274"/>
        <v/>
      </c>
      <c r="N1311" s="54" t="str">
        <f t="shared" si="275"/>
        <v/>
      </c>
      <c r="O1311" s="55">
        <f t="shared" si="276"/>
        <v>0</v>
      </c>
      <c r="P1311" s="55">
        <f t="shared" si="277"/>
        <v>0</v>
      </c>
      <c r="Q1311" s="54">
        <f t="shared" si="278"/>
        <v>0</v>
      </c>
      <c r="R1311" s="47"/>
      <c r="T1311" s="57"/>
      <c r="U1311" s="45"/>
      <c r="V1311" s="46">
        <f>IF(U1311&lt;&gt;"",VLOOKUP(U1311,'Tipo Projeto'!$A$3:$B$35,2,0),0)</f>
        <v>0</v>
      </c>
      <c r="W1311" s="47"/>
      <c r="X1311" s="49"/>
      <c r="Y1311" s="50"/>
      <c r="Z1311" s="51"/>
      <c r="AA1311" s="52"/>
      <c r="AB1311" s="53" t="str">
        <f t="shared" si="279"/>
        <v/>
      </c>
      <c r="AC1311" s="48" t="str">
        <f t="shared" si="280"/>
        <v/>
      </c>
      <c r="AD1311" s="54" t="str">
        <f t="shared" si="281"/>
        <v/>
      </c>
      <c r="AE1311" s="55">
        <f t="shared" si="282"/>
        <v>0</v>
      </c>
      <c r="AF1311" s="55">
        <f t="shared" si="283"/>
        <v>0</v>
      </c>
      <c r="AG1311" s="58">
        <f t="shared" si="284"/>
        <v>0</v>
      </c>
      <c r="AH1311" s="47"/>
      <c r="AJ1311" s="47"/>
      <c r="AL1311" s="47"/>
      <c r="AM1311" s="47" t="str">
        <f t="shared" si="285"/>
        <v/>
      </c>
    </row>
    <row r="1312" spans="1:39" s="56" customFormat="1" ht="24.75" customHeight="1">
      <c r="A1312" s="44"/>
      <c r="B1312" s="45"/>
      <c r="C1312" s="46">
        <f>IF(B1312&lt;&gt;"",VLOOKUP(B1312,'Tipo Projeto'!$A$3:$B$35,2,0),0)</f>
        <v>0</v>
      </c>
      <c r="D1312" s="47"/>
      <c r="E1312" s="47"/>
      <c r="F1312" s="48"/>
      <c r="G1312" s="47"/>
      <c r="H1312" s="49"/>
      <c r="I1312" s="50"/>
      <c r="J1312" s="51"/>
      <c r="K1312" s="52"/>
      <c r="L1312" s="53" t="str">
        <f t="shared" si="273"/>
        <v/>
      </c>
      <c r="M1312" s="48" t="str">
        <f t="shared" si="274"/>
        <v/>
      </c>
      <c r="N1312" s="54" t="str">
        <f t="shared" si="275"/>
        <v/>
      </c>
      <c r="O1312" s="55">
        <f t="shared" si="276"/>
        <v>0</v>
      </c>
      <c r="P1312" s="55">
        <f t="shared" si="277"/>
        <v>0</v>
      </c>
      <c r="Q1312" s="54">
        <f t="shared" si="278"/>
        <v>0</v>
      </c>
      <c r="R1312" s="47"/>
      <c r="T1312" s="57"/>
      <c r="U1312" s="45"/>
      <c r="V1312" s="46">
        <f>IF(U1312&lt;&gt;"",VLOOKUP(U1312,'Tipo Projeto'!$A$3:$B$35,2,0),0)</f>
        <v>0</v>
      </c>
      <c r="W1312" s="47"/>
      <c r="X1312" s="49"/>
      <c r="Y1312" s="50"/>
      <c r="Z1312" s="51"/>
      <c r="AA1312" s="52"/>
      <c r="AB1312" s="53" t="str">
        <f t="shared" si="279"/>
        <v/>
      </c>
      <c r="AC1312" s="48" t="str">
        <f t="shared" si="280"/>
        <v/>
      </c>
      <c r="AD1312" s="54" t="str">
        <f t="shared" si="281"/>
        <v/>
      </c>
      <c r="AE1312" s="55">
        <f t="shared" si="282"/>
        <v>0</v>
      </c>
      <c r="AF1312" s="55">
        <f t="shared" si="283"/>
        <v>0</v>
      </c>
      <c r="AG1312" s="58">
        <f t="shared" si="284"/>
        <v>0</v>
      </c>
      <c r="AH1312" s="47"/>
      <c r="AJ1312" s="47"/>
      <c r="AL1312" s="47"/>
      <c r="AM1312" s="47" t="str">
        <f t="shared" si="285"/>
        <v/>
      </c>
    </row>
    <row r="1313" spans="1:39" s="56" customFormat="1" ht="24.75" customHeight="1">
      <c r="A1313" s="44"/>
      <c r="B1313" s="45"/>
      <c r="C1313" s="46">
        <f>IF(B1313&lt;&gt;"",VLOOKUP(B1313,'Tipo Projeto'!$A$3:$B$35,2,0),0)</f>
        <v>0</v>
      </c>
      <c r="D1313" s="47"/>
      <c r="E1313" s="47"/>
      <c r="F1313" s="48"/>
      <c r="G1313" s="47"/>
      <c r="H1313" s="49"/>
      <c r="I1313" s="50"/>
      <c r="J1313" s="51"/>
      <c r="K1313" s="52"/>
      <c r="L1313" s="53" t="str">
        <f t="shared" si="273"/>
        <v/>
      </c>
      <c r="M1313" s="48" t="str">
        <f t="shared" si="274"/>
        <v/>
      </c>
      <c r="N1313" s="54" t="str">
        <f t="shared" si="275"/>
        <v/>
      </c>
      <c r="O1313" s="55">
        <f t="shared" si="276"/>
        <v>0</v>
      </c>
      <c r="P1313" s="55">
        <f t="shared" si="277"/>
        <v>0</v>
      </c>
      <c r="Q1313" s="54">
        <f t="shared" si="278"/>
        <v>0</v>
      </c>
      <c r="R1313" s="47"/>
      <c r="T1313" s="57"/>
      <c r="U1313" s="45"/>
      <c r="V1313" s="46">
        <f>IF(U1313&lt;&gt;"",VLOOKUP(U1313,'Tipo Projeto'!$A$3:$B$35,2,0),0)</f>
        <v>0</v>
      </c>
      <c r="W1313" s="47"/>
      <c r="X1313" s="49"/>
      <c r="Y1313" s="50"/>
      <c r="Z1313" s="51"/>
      <c r="AA1313" s="52"/>
      <c r="AB1313" s="53" t="str">
        <f t="shared" si="279"/>
        <v/>
      </c>
      <c r="AC1313" s="48" t="str">
        <f t="shared" si="280"/>
        <v/>
      </c>
      <c r="AD1313" s="54" t="str">
        <f t="shared" si="281"/>
        <v/>
      </c>
      <c r="AE1313" s="55">
        <f t="shared" si="282"/>
        <v>0</v>
      </c>
      <c r="AF1313" s="55">
        <f t="shared" si="283"/>
        <v>0</v>
      </c>
      <c r="AG1313" s="58">
        <f t="shared" si="284"/>
        <v>0</v>
      </c>
      <c r="AH1313" s="47"/>
      <c r="AJ1313" s="47"/>
      <c r="AL1313" s="47"/>
      <c r="AM1313" s="47" t="str">
        <f t="shared" si="285"/>
        <v/>
      </c>
    </row>
    <row r="1314" spans="1:39" s="56" customFormat="1" ht="24.75" customHeight="1">
      <c r="A1314" s="44"/>
      <c r="B1314" s="45"/>
      <c r="C1314" s="46">
        <f>IF(B1314&lt;&gt;"",VLOOKUP(B1314,'Tipo Projeto'!$A$3:$B$35,2,0),0)</f>
        <v>0</v>
      </c>
      <c r="D1314" s="47"/>
      <c r="E1314" s="47"/>
      <c r="F1314" s="48"/>
      <c r="G1314" s="47"/>
      <c r="H1314" s="49"/>
      <c r="I1314" s="50"/>
      <c r="J1314" s="51"/>
      <c r="K1314" s="52"/>
      <c r="L1314" s="53" t="str">
        <f t="shared" si="273"/>
        <v/>
      </c>
      <c r="M1314" s="48" t="str">
        <f t="shared" si="274"/>
        <v/>
      </c>
      <c r="N1314" s="54" t="str">
        <f t="shared" si="275"/>
        <v/>
      </c>
      <c r="O1314" s="55">
        <f t="shared" si="276"/>
        <v>0</v>
      </c>
      <c r="P1314" s="55">
        <f t="shared" si="277"/>
        <v>0</v>
      </c>
      <c r="Q1314" s="54">
        <f t="shared" si="278"/>
        <v>0</v>
      </c>
      <c r="R1314" s="47"/>
      <c r="T1314" s="57"/>
      <c r="U1314" s="45"/>
      <c r="V1314" s="46">
        <f>IF(U1314&lt;&gt;"",VLOOKUP(U1314,'Tipo Projeto'!$A$3:$B$35,2,0),0)</f>
        <v>0</v>
      </c>
      <c r="W1314" s="47"/>
      <c r="X1314" s="49"/>
      <c r="Y1314" s="50"/>
      <c r="Z1314" s="51"/>
      <c r="AA1314" s="52"/>
      <c r="AB1314" s="53" t="str">
        <f t="shared" si="279"/>
        <v/>
      </c>
      <c r="AC1314" s="48" t="str">
        <f t="shared" si="280"/>
        <v/>
      </c>
      <c r="AD1314" s="54" t="str">
        <f t="shared" si="281"/>
        <v/>
      </c>
      <c r="AE1314" s="55">
        <f t="shared" si="282"/>
        <v>0</v>
      </c>
      <c r="AF1314" s="55">
        <f t="shared" si="283"/>
        <v>0</v>
      </c>
      <c r="AG1314" s="58">
        <f t="shared" si="284"/>
        <v>0</v>
      </c>
      <c r="AH1314" s="47"/>
      <c r="AJ1314" s="47"/>
      <c r="AL1314" s="47"/>
      <c r="AM1314" s="47" t="str">
        <f t="shared" si="285"/>
        <v/>
      </c>
    </row>
    <row r="1315" spans="1:39" s="56" customFormat="1" ht="24.75" customHeight="1">
      <c r="A1315" s="44"/>
      <c r="B1315" s="45"/>
      <c r="C1315" s="46">
        <f>IF(B1315&lt;&gt;"",VLOOKUP(B1315,'Tipo Projeto'!$A$3:$B$35,2,0),0)</f>
        <v>0</v>
      </c>
      <c r="D1315" s="47"/>
      <c r="E1315" s="47"/>
      <c r="F1315" s="48"/>
      <c r="G1315" s="47"/>
      <c r="H1315" s="49"/>
      <c r="I1315" s="50"/>
      <c r="J1315" s="51"/>
      <c r="K1315" s="52"/>
      <c r="L1315" s="53" t="str">
        <f t="shared" si="273"/>
        <v/>
      </c>
      <c r="M1315" s="48" t="str">
        <f t="shared" si="274"/>
        <v/>
      </c>
      <c r="N1315" s="54" t="str">
        <f t="shared" si="275"/>
        <v/>
      </c>
      <c r="O1315" s="55">
        <f t="shared" si="276"/>
        <v>0</v>
      </c>
      <c r="P1315" s="55">
        <f t="shared" si="277"/>
        <v>0</v>
      </c>
      <c r="Q1315" s="54">
        <f t="shared" si="278"/>
        <v>0</v>
      </c>
      <c r="R1315" s="47"/>
      <c r="T1315" s="57"/>
      <c r="U1315" s="45"/>
      <c r="V1315" s="46">
        <f>IF(U1315&lt;&gt;"",VLOOKUP(U1315,'Tipo Projeto'!$A$3:$B$35,2,0),0)</f>
        <v>0</v>
      </c>
      <c r="W1315" s="47"/>
      <c r="X1315" s="49"/>
      <c r="Y1315" s="50"/>
      <c r="Z1315" s="51"/>
      <c r="AA1315" s="52"/>
      <c r="AB1315" s="53" t="str">
        <f t="shared" si="279"/>
        <v/>
      </c>
      <c r="AC1315" s="48" t="str">
        <f t="shared" si="280"/>
        <v/>
      </c>
      <c r="AD1315" s="54" t="str">
        <f t="shared" si="281"/>
        <v/>
      </c>
      <c r="AE1315" s="55">
        <f t="shared" si="282"/>
        <v>0</v>
      </c>
      <c r="AF1315" s="55">
        <f t="shared" si="283"/>
        <v>0</v>
      </c>
      <c r="AG1315" s="58">
        <f t="shared" si="284"/>
        <v>0</v>
      </c>
      <c r="AH1315" s="47"/>
      <c r="AJ1315" s="47"/>
      <c r="AL1315" s="47"/>
      <c r="AM1315" s="47" t="str">
        <f t="shared" si="285"/>
        <v/>
      </c>
    </row>
    <row r="1316" spans="1:39" s="56" customFormat="1" ht="24.75" customHeight="1">
      <c r="A1316" s="44"/>
      <c r="B1316" s="45"/>
      <c r="C1316" s="46">
        <f>IF(B1316&lt;&gt;"",VLOOKUP(B1316,'Tipo Projeto'!$A$3:$B$35,2,0),0)</f>
        <v>0</v>
      </c>
      <c r="D1316" s="47"/>
      <c r="E1316" s="47"/>
      <c r="F1316" s="48"/>
      <c r="G1316" s="47"/>
      <c r="H1316" s="49"/>
      <c r="I1316" s="50"/>
      <c r="J1316" s="51"/>
      <c r="K1316" s="52"/>
      <c r="L1316" s="53" t="str">
        <f t="shared" si="273"/>
        <v/>
      </c>
      <c r="M1316" s="48" t="str">
        <f t="shared" si="274"/>
        <v/>
      </c>
      <c r="N1316" s="54" t="str">
        <f t="shared" si="275"/>
        <v/>
      </c>
      <c r="O1316" s="55">
        <f t="shared" si="276"/>
        <v>0</v>
      </c>
      <c r="P1316" s="55">
        <f t="shared" si="277"/>
        <v>0</v>
      </c>
      <c r="Q1316" s="54">
        <f t="shared" si="278"/>
        <v>0</v>
      </c>
      <c r="R1316" s="47"/>
      <c r="T1316" s="57"/>
      <c r="U1316" s="45"/>
      <c r="V1316" s="46">
        <f>IF(U1316&lt;&gt;"",VLOOKUP(U1316,'Tipo Projeto'!$A$3:$B$35,2,0),0)</f>
        <v>0</v>
      </c>
      <c r="W1316" s="47"/>
      <c r="X1316" s="49"/>
      <c r="Y1316" s="50"/>
      <c r="Z1316" s="51"/>
      <c r="AA1316" s="52"/>
      <c r="AB1316" s="53" t="str">
        <f t="shared" si="279"/>
        <v/>
      </c>
      <c r="AC1316" s="48" t="str">
        <f t="shared" si="280"/>
        <v/>
      </c>
      <c r="AD1316" s="54" t="str">
        <f t="shared" si="281"/>
        <v/>
      </c>
      <c r="AE1316" s="55">
        <f t="shared" si="282"/>
        <v>0</v>
      </c>
      <c r="AF1316" s="55">
        <f t="shared" si="283"/>
        <v>0</v>
      </c>
      <c r="AG1316" s="58">
        <f t="shared" si="284"/>
        <v>0</v>
      </c>
      <c r="AH1316" s="47"/>
      <c r="AJ1316" s="47"/>
      <c r="AL1316" s="47"/>
      <c r="AM1316" s="47" t="str">
        <f t="shared" si="285"/>
        <v/>
      </c>
    </row>
    <row r="1317" spans="1:39" s="56" customFormat="1" ht="24.75" customHeight="1">
      <c r="A1317" s="44"/>
      <c r="B1317" s="45"/>
      <c r="C1317" s="46">
        <f>IF(B1317&lt;&gt;"",VLOOKUP(B1317,'Tipo Projeto'!$A$3:$B$35,2,0),0)</f>
        <v>0</v>
      </c>
      <c r="D1317" s="47"/>
      <c r="E1317" s="47"/>
      <c r="F1317" s="48"/>
      <c r="G1317" s="47"/>
      <c r="H1317" s="49"/>
      <c r="I1317" s="50"/>
      <c r="J1317" s="51"/>
      <c r="K1317" s="52"/>
      <c r="L1317" s="53" t="str">
        <f t="shared" si="273"/>
        <v/>
      </c>
      <c r="M1317" s="48" t="str">
        <f t="shared" si="274"/>
        <v/>
      </c>
      <c r="N1317" s="54" t="str">
        <f t="shared" si="275"/>
        <v/>
      </c>
      <c r="O1317" s="55">
        <f t="shared" si="276"/>
        <v>0</v>
      </c>
      <c r="P1317" s="55">
        <f t="shared" si="277"/>
        <v>0</v>
      </c>
      <c r="Q1317" s="54">
        <f t="shared" si="278"/>
        <v>0</v>
      </c>
      <c r="R1317" s="47"/>
      <c r="T1317" s="57"/>
      <c r="U1317" s="45"/>
      <c r="V1317" s="46">
        <f>IF(U1317&lt;&gt;"",VLOOKUP(U1317,'Tipo Projeto'!$A$3:$B$35,2,0),0)</f>
        <v>0</v>
      </c>
      <c r="W1317" s="47"/>
      <c r="X1317" s="49"/>
      <c r="Y1317" s="50"/>
      <c r="Z1317" s="51"/>
      <c r="AA1317" s="52"/>
      <c r="AB1317" s="53" t="str">
        <f t="shared" si="279"/>
        <v/>
      </c>
      <c r="AC1317" s="48" t="str">
        <f t="shared" si="280"/>
        <v/>
      </c>
      <c r="AD1317" s="54" t="str">
        <f t="shared" si="281"/>
        <v/>
      </c>
      <c r="AE1317" s="55">
        <f t="shared" si="282"/>
        <v>0</v>
      </c>
      <c r="AF1317" s="55">
        <f t="shared" si="283"/>
        <v>0</v>
      </c>
      <c r="AG1317" s="58">
        <f t="shared" si="284"/>
        <v>0</v>
      </c>
      <c r="AH1317" s="47"/>
      <c r="AJ1317" s="47"/>
      <c r="AL1317" s="47"/>
      <c r="AM1317" s="47" t="str">
        <f t="shared" si="285"/>
        <v/>
      </c>
    </row>
    <row r="1318" spans="1:39" s="56" customFormat="1" ht="24.75" customHeight="1">
      <c r="A1318" s="44"/>
      <c r="B1318" s="45"/>
      <c r="C1318" s="46">
        <f>IF(B1318&lt;&gt;"",VLOOKUP(B1318,'Tipo Projeto'!$A$3:$B$35,2,0),0)</f>
        <v>0</v>
      </c>
      <c r="D1318" s="47"/>
      <c r="E1318" s="47"/>
      <c r="F1318" s="48"/>
      <c r="G1318" s="47"/>
      <c r="H1318" s="49"/>
      <c r="I1318" s="50"/>
      <c r="J1318" s="51"/>
      <c r="K1318" s="52"/>
      <c r="L1318" s="53" t="str">
        <f t="shared" si="273"/>
        <v/>
      </c>
      <c r="M1318" s="48" t="str">
        <f t="shared" si="274"/>
        <v/>
      </c>
      <c r="N1318" s="54" t="str">
        <f t="shared" si="275"/>
        <v/>
      </c>
      <c r="O1318" s="55">
        <f t="shared" si="276"/>
        <v>0</v>
      </c>
      <c r="P1318" s="55">
        <f t="shared" si="277"/>
        <v>0</v>
      </c>
      <c r="Q1318" s="54">
        <f t="shared" si="278"/>
        <v>0</v>
      </c>
      <c r="R1318" s="47"/>
      <c r="T1318" s="57"/>
      <c r="U1318" s="45"/>
      <c r="V1318" s="46">
        <f>IF(U1318&lt;&gt;"",VLOOKUP(U1318,'Tipo Projeto'!$A$3:$B$35,2,0),0)</f>
        <v>0</v>
      </c>
      <c r="W1318" s="47"/>
      <c r="X1318" s="49"/>
      <c r="Y1318" s="50"/>
      <c r="Z1318" s="51"/>
      <c r="AA1318" s="52"/>
      <c r="AB1318" s="53" t="str">
        <f t="shared" si="279"/>
        <v/>
      </c>
      <c r="AC1318" s="48" t="str">
        <f t="shared" si="280"/>
        <v/>
      </c>
      <c r="AD1318" s="54" t="str">
        <f t="shared" si="281"/>
        <v/>
      </c>
      <c r="AE1318" s="55">
        <f t="shared" si="282"/>
        <v>0</v>
      </c>
      <c r="AF1318" s="55">
        <f t="shared" si="283"/>
        <v>0</v>
      </c>
      <c r="AG1318" s="58">
        <f t="shared" si="284"/>
        <v>0</v>
      </c>
      <c r="AH1318" s="47"/>
      <c r="AJ1318" s="47"/>
      <c r="AL1318" s="47"/>
      <c r="AM1318" s="47" t="str">
        <f t="shared" si="285"/>
        <v/>
      </c>
    </row>
    <row r="1319" spans="1:39" s="56" customFormat="1" ht="24.75" customHeight="1">
      <c r="A1319" s="44"/>
      <c r="B1319" s="45"/>
      <c r="C1319" s="46">
        <f>IF(B1319&lt;&gt;"",VLOOKUP(B1319,'Tipo Projeto'!$A$3:$B$35,2,0),0)</f>
        <v>0</v>
      </c>
      <c r="D1319" s="47"/>
      <c r="E1319" s="47"/>
      <c r="F1319" s="48"/>
      <c r="G1319" s="47"/>
      <c r="H1319" s="49"/>
      <c r="I1319" s="50"/>
      <c r="J1319" s="51"/>
      <c r="K1319" s="52"/>
      <c r="L1319" s="53" t="str">
        <f t="shared" si="273"/>
        <v/>
      </c>
      <c r="M1319" s="48" t="str">
        <f t="shared" si="274"/>
        <v/>
      </c>
      <c r="N1319" s="54" t="str">
        <f t="shared" si="275"/>
        <v/>
      </c>
      <c r="O1319" s="55">
        <f t="shared" si="276"/>
        <v>0</v>
      </c>
      <c r="P1319" s="55">
        <f t="shared" si="277"/>
        <v>0</v>
      </c>
      <c r="Q1319" s="54">
        <f t="shared" si="278"/>
        <v>0</v>
      </c>
      <c r="R1319" s="47"/>
      <c r="T1319" s="57"/>
      <c r="U1319" s="45"/>
      <c r="V1319" s="46">
        <f>IF(U1319&lt;&gt;"",VLOOKUP(U1319,'Tipo Projeto'!$A$3:$B$35,2,0),0)</f>
        <v>0</v>
      </c>
      <c r="W1319" s="47"/>
      <c r="X1319" s="49"/>
      <c r="Y1319" s="50"/>
      <c r="Z1319" s="51"/>
      <c r="AA1319" s="52"/>
      <c r="AB1319" s="53" t="str">
        <f t="shared" si="279"/>
        <v/>
      </c>
      <c r="AC1319" s="48" t="str">
        <f t="shared" si="280"/>
        <v/>
      </c>
      <c r="AD1319" s="54" t="str">
        <f t="shared" si="281"/>
        <v/>
      </c>
      <c r="AE1319" s="55">
        <f t="shared" si="282"/>
        <v>0</v>
      </c>
      <c r="AF1319" s="55">
        <f t="shared" si="283"/>
        <v>0</v>
      </c>
      <c r="AG1319" s="58">
        <f t="shared" si="284"/>
        <v>0</v>
      </c>
      <c r="AH1319" s="47"/>
      <c r="AJ1319" s="47"/>
      <c r="AL1319" s="47"/>
      <c r="AM1319" s="47" t="str">
        <f t="shared" si="285"/>
        <v/>
      </c>
    </row>
    <row r="1320" spans="1:39" s="56" customFormat="1" ht="24.75" customHeight="1">
      <c r="A1320" s="44"/>
      <c r="B1320" s="45"/>
      <c r="C1320" s="46">
        <f>IF(B1320&lt;&gt;"",VLOOKUP(B1320,'Tipo Projeto'!$A$3:$B$35,2,0),0)</f>
        <v>0</v>
      </c>
      <c r="D1320" s="47"/>
      <c r="E1320" s="47"/>
      <c r="F1320" s="48"/>
      <c r="G1320" s="47"/>
      <c r="H1320" s="49"/>
      <c r="I1320" s="50"/>
      <c r="J1320" s="51"/>
      <c r="K1320" s="52"/>
      <c r="L1320" s="53" t="str">
        <f t="shared" si="273"/>
        <v/>
      </c>
      <c r="M1320" s="48" t="str">
        <f t="shared" si="274"/>
        <v/>
      </c>
      <c r="N1320" s="54" t="str">
        <f t="shared" si="275"/>
        <v/>
      </c>
      <c r="O1320" s="55">
        <f t="shared" si="276"/>
        <v>0</v>
      </c>
      <c r="P1320" s="55">
        <f t="shared" si="277"/>
        <v>0</v>
      </c>
      <c r="Q1320" s="54">
        <f t="shared" si="278"/>
        <v>0</v>
      </c>
      <c r="R1320" s="47"/>
      <c r="T1320" s="57"/>
      <c r="U1320" s="45"/>
      <c r="V1320" s="46">
        <f>IF(U1320&lt;&gt;"",VLOOKUP(U1320,'Tipo Projeto'!$A$3:$B$35,2,0),0)</f>
        <v>0</v>
      </c>
      <c r="W1320" s="47"/>
      <c r="X1320" s="49"/>
      <c r="Y1320" s="50"/>
      <c r="Z1320" s="51"/>
      <c r="AA1320" s="52"/>
      <c r="AB1320" s="53" t="str">
        <f t="shared" si="279"/>
        <v/>
      </c>
      <c r="AC1320" s="48" t="str">
        <f t="shared" si="280"/>
        <v/>
      </c>
      <c r="AD1320" s="54" t="str">
        <f t="shared" si="281"/>
        <v/>
      </c>
      <c r="AE1320" s="55">
        <f t="shared" si="282"/>
        <v>0</v>
      </c>
      <c r="AF1320" s="55">
        <f t="shared" si="283"/>
        <v>0</v>
      </c>
      <c r="AG1320" s="58">
        <f t="shared" si="284"/>
        <v>0</v>
      </c>
      <c r="AH1320" s="47"/>
      <c r="AJ1320" s="47"/>
      <c r="AL1320" s="47"/>
      <c r="AM1320" s="47" t="str">
        <f t="shared" si="285"/>
        <v/>
      </c>
    </row>
    <row r="1321" spans="1:39" s="56" customFormat="1" ht="24.75" customHeight="1">
      <c r="A1321" s="44"/>
      <c r="B1321" s="45"/>
      <c r="C1321" s="46">
        <f>IF(B1321&lt;&gt;"",VLOOKUP(B1321,'Tipo Projeto'!$A$3:$B$35,2,0),0)</f>
        <v>0</v>
      </c>
      <c r="D1321" s="47"/>
      <c r="E1321" s="47"/>
      <c r="F1321" s="48"/>
      <c r="G1321" s="47"/>
      <c r="H1321" s="49"/>
      <c r="I1321" s="50"/>
      <c r="J1321" s="51"/>
      <c r="K1321" s="52"/>
      <c r="L1321" s="53" t="str">
        <f t="shared" si="273"/>
        <v/>
      </c>
      <c r="M1321" s="48" t="str">
        <f t="shared" si="274"/>
        <v/>
      </c>
      <c r="N1321" s="54" t="str">
        <f t="shared" si="275"/>
        <v/>
      </c>
      <c r="O1321" s="55">
        <f t="shared" si="276"/>
        <v>0</v>
      </c>
      <c r="P1321" s="55">
        <f t="shared" si="277"/>
        <v>0</v>
      </c>
      <c r="Q1321" s="54">
        <f t="shared" si="278"/>
        <v>0</v>
      </c>
      <c r="R1321" s="47"/>
      <c r="T1321" s="57"/>
      <c r="U1321" s="45"/>
      <c r="V1321" s="46">
        <f>IF(U1321&lt;&gt;"",VLOOKUP(U1321,'Tipo Projeto'!$A$3:$B$35,2,0),0)</f>
        <v>0</v>
      </c>
      <c r="W1321" s="47"/>
      <c r="X1321" s="49"/>
      <c r="Y1321" s="50"/>
      <c r="Z1321" s="51"/>
      <c r="AA1321" s="52"/>
      <c r="AB1321" s="53" t="str">
        <f t="shared" si="279"/>
        <v/>
      </c>
      <c r="AC1321" s="48" t="str">
        <f t="shared" si="280"/>
        <v/>
      </c>
      <c r="AD1321" s="54" t="str">
        <f t="shared" si="281"/>
        <v/>
      </c>
      <c r="AE1321" s="55">
        <f t="shared" si="282"/>
        <v>0</v>
      </c>
      <c r="AF1321" s="55">
        <f t="shared" si="283"/>
        <v>0</v>
      </c>
      <c r="AG1321" s="58">
        <f t="shared" si="284"/>
        <v>0</v>
      </c>
      <c r="AH1321" s="47"/>
      <c r="AJ1321" s="47"/>
      <c r="AL1321" s="47"/>
      <c r="AM1321" s="47" t="str">
        <f t="shared" si="285"/>
        <v/>
      </c>
    </row>
    <row r="1322" spans="1:39" s="56" customFormat="1" ht="24.75" customHeight="1">
      <c r="A1322" s="44"/>
      <c r="B1322" s="45"/>
      <c r="C1322" s="46">
        <f>IF(B1322&lt;&gt;"",VLOOKUP(B1322,'Tipo Projeto'!$A$3:$B$35,2,0),0)</f>
        <v>0</v>
      </c>
      <c r="D1322" s="47"/>
      <c r="E1322" s="47"/>
      <c r="F1322" s="48"/>
      <c r="G1322" s="47"/>
      <c r="H1322" s="49"/>
      <c r="I1322" s="50"/>
      <c r="J1322" s="51"/>
      <c r="K1322" s="52"/>
      <c r="L1322" s="53" t="str">
        <f t="shared" si="273"/>
        <v/>
      </c>
      <c r="M1322" s="48" t="str">
        <f t="shared" si="274"/>
        <v/>
      </c>
      <c r="N1322" s="54" t="str">
        <f t="shared" si="275"/>
        <v/>
      </c>
      <c r="O1322" s="55">
        <f t="shared" si="276"/>
        <v>0</v>
      </c>
      <c r="P1322" s="55">
        <f t="shared" si="277"/>
        <v>0</v>
      </c>
      <c r="Q1322" s="54">
        <f t="shared" si="278"/>
        <v>0</v>
      </c>
      <c r="R1322" s="47"/>
      <c r="T1322" s="57"/>
      <c r="U1322" s="45"/>
      <c r="V1322" s="46">
        <f>IF(U1322&lt;&gt;"",VLOOKUP(U1322,'Tipo Projeto'!$A$3:$B$35,2,0),0)</f>
        <v>0</v>
      </c>
      <c r="W1322" s="47"/>
      <c r="X1322" s="49"/>
      <c r="Y1322" s="50"/>
      <c r="Z1322" s="51"/>
      <c r="AA1322" s="52"/>
      <c r="AB1322" s="53" t="str">
        <f t="shared" si="279"/>
        <v/>
      </c>
      <c r="AC1322" s="48" t="str">
        <f t="shared" si="280"/>
        <v/>
      </c>
      <c r="AD1322" s="54" t="str">
        <f t="shared" si="281"/>
        <v/>
      </c>
      <c r="AE1322" s="55">
        <f t="shared" si="282"/>
        <v>0</v>
      </c>
      <c r="AF1322" s="55">
        <f t="shared" si="283"/>
        <v>0</v>
      </c>
      <c r="AG1322" s="58">
        <f t="shared" si="284"/>
        <v>0</v>
      </c>
      <c r="AH1322" s="47"/>
      <c r="AJ1322" s="47"/>
      <c r="AL1322" s="47"/>
      <c r="AM1322" s="47" t="str">
        <f t="shared" si="285"/>
        <v/>
      </c>
    </row>
    <row r="1323" spans="1:39" s="56" customFormat="1" ht="24.75" customHeight="1">
      <c r="A1323" s="44"/>
      <c r="B1323" s="45"/>
      <c r="C1323" s="46">
        <f>IF(B1323&lt;&gt;"",VLOOKUP(B1323,'Tipo Projeto'!$A$3:$B$35,2,0),0)</f>
        <v>0</v>
      </c>
      <c r="D1323" s="47"/>
      <c r="E1323" s="47"/>
      <c r="F1323" s="48"/>
      <c r="G1323" s="47"/>
      <c r="H1323" s="49"/>
      <c r="I1323" s="50"/>
      <c r="J1323" s="51"/>
      <c r="K1323" s="52"/>
      <c r="L1323" s="53" t="str">
        <f t="shared" si="273"/>
        <v/>
      </c>
      <c r="M1323" s="48" t="str">
        <f t="shared" si="274"/>
        <v/>
      </c>
      <c r="N1323" s="54" t="str">
        <f t="shared" si="275"/>
        <v/>
      </c>
      <c r="O1323" s="55">
        <f t="shared" si="276"/>
        <v>0</v>
      </c>
      <c r="P1323" s="55">
        <f t="shared" si="277"/>
        <v>0</v>
      </c>
      <c r="Q1323" s="54">
        <f t="shared" si="278"/>
        <v>0</v>
      </c>
      <c r="R1323" s="47"/>
      <c r="T1323" s="57"/>
      <c r="U1323" s="45"/>
      <c r="V1323" s="46">
        <f>IF(U1323&lt;&gt;"",VLOOKUP(U1323,'Tipo Projeto'!$A$3:$B$35,2,0),0)</f>
        <v>0</v>
      </c>
      <c r="W1323" s="47"/>
      <c r="X1323" s="49"/>
      <c r="Y1323" s="50"/>
      <c r="Z1323" s="51"/>
      <c r="AA1323" s="52"/>
      <c r="AB1323" s="53" t="str">
        <f t="shared" si="279"/>
        <v/>
      </c>
      <c r="AC1323" s="48" t="str">
        <f t="shared" si="280"/>
        <v/>
      </c>
      <c r="AD1323" s="54" t="str">
        <f t="shared" si="281"/>
        <v/>
      </c>
      <c r="AE1323" s="55">
        <f t="shared" si="282"/>
        <v>0</v>
      </c>
      <c r="AF1323" s="55">
        <f t="shared" si="283"/>
        <v>0</v>
      </c>
      <c r="AG1323" s="58">
        <f t="shared" si="284"/>
        <v>0</v>
      </c>
      <c r="AH1323" s="47"/>
      <c r="AJ1323" s="47"/>
      <c r="AL1323" s="47"/>
      <c r="AM1323" s="47" t="str">
        <f t="shared" si="285"/>
        <v/>
      </c>
    </row>
    <row r="1324" spans="1:39" s="56" customFormat="1" ht="14">
      <c r="A1324" s="59" t="s">
        <v>66</v>
      </c>
      <c r="B1324" s="60"/>
      <c r="C1324" s="60"/>
      <c r="D1324" s="60"/>
      <c r="E1324" s="60"/>
      <c r="F1324" s="60"/>
      <c r="G1324" s="60"/>
      <c r="H1324" s="60"/>
      <c r="I1324" s="61"/>
      <c r="J1324" s="62"/>
      <c r="K1324" s="63"/>
      <c r="L1324" s="60"/>
      <c r="M1324" s="60"/>
      <c r="N1324" s="60"/>
      <c r="O1324" s="60"/>
      <c r="P1324" s="60"/>
      <c r="Q1324" s="60"/>
      <c r="R1324" s="64"/>
      <c r="T1324" s="59" t="s">
        <v>66</v>
      </c>
      <c r="U1324" s="60"/>
      <c r="V1324" s="60"/>
      <c r="W1324" s="60"/>
      <c r="X1324" s="60"/>
      <c r="Y1324" s="60"/>
      <c r="Z1324" s="60"/>
      <c r="AA1324" s="60"/>
      <c r="AB1324" s="60"/>
      <c r="AC1324" s="60"/>
      <c r="AD1324" s="60"/>
      <c r="AE1324" s="60"/>
      <c r="AF1324" s="60"/>
      <c r="AG1324" s="60"/>
      <c r="AH1324" s="60"/>
      <c r="AJ1324" s="60"/>
      <c r="AL1324" s="60"/>
      <c r="AM1324" s="60"/>
    </row>
    <row r="1325" spans="1:39" ht="26">
      <c r="A1325" s="65"/>
      <c r="B1325" s="66"/>
      <c r="C1325" s="66"/>
      <c r="D1325" s="67"/>
      <c r="E1325" s="67"/>
      <c r="G1325" s="65"/>
      <c r="H1325" s="65"/>
      <c r="I1325" s="68"/>
      <c r="J1325" s="65"/>
      <c r="K1325" s="68"/>
      <c r="L1325" s="66"/>
      <c r="M1325" s="66"/>
      <c r="N1325" s="69" t="s">
        <v>67</v>
      </c>
      <c r="O1325" s="66"/>
      <c r="P1325" s="48">
        <f>IF(AND(G1325="ALI",M1325="Simples"),7, IF(AND(G1325="ALI",M1325="Médio"),10, IF(AND(G1325="ALI",M1325="Complexo"),15, IF(AND(G1325="AIE",M1325="Simples"),5, IF(AND(G1325="AIE",M1325="Médio"),7, IF(AND(G1325="AIE",M1325="Complexo"),10,0))))))</f>
        <v>0</v>
      </c>
      <c r="Q1325" s="70">
        <f>SUM(Q10:Q1324)</f>
        <v>0</v>
      </c>
      <c r="R1325" s="71"/>
      <c r="AD1325" s="69" t="s">
        <v>67</v>
      </c>
      <c r="AE1325" s="66"/>
      <c r="AF1325" s="48">
        <f>IF(AND(W1325="ALI",AC1325="Simples"),7, IF(AND(W1325="ALI",AC1325="Médio"),10, IF(AND(W1325="ALI",AC1325="Complexo"),15, IF(AND(W1325="AIE",AC1325="Simples"),5, IF(AND(W1325="AIE",AC1325="Médio"),7, IF(AND(W1325="AIE",AC1325="Complexo"),10,0))))))</f>
        <v>0</v>
      </c>
      <c r="AG1325" s="70">
        <f>SUM(AG10:AG1323)</f>
        <v>0</v>
      </c>
      <c r="AH1325" s="71"/>
      <c r="AJ1325" s="71"/>
      <c r="AL1325" s="71"/>
      <c r="AM1325" s="71"/>
    </row>
  </sheetData>
  <mergeCells count="45">
    <mergeCell ref="AL8:AL9"/>
    <mergeCell ref="AM8:AM9"/>
    <mergeCell ref="W8:W9"/>
    <mergeCell ref="X8:Y8"/>
    <mergeCell ref="Z8:AA8"/>
    <mergeCell ref="AD8:AD9"/>
    <mergeCell ref="AG8:AG9"/>
    <mergeCell ref="AJ8:AJ9"/>
    <mergeCell ref="AH8:AH9"/>
    <mergeCell ref="C1:R1"/>
    <mergeCell ref="G3:K3"/>
    <mergeCell ref="N3:R3"/>
    <mergeCell ref="V8:V9"/>
    <mergeCell ref="F8:F9"/>
    <mergeCell ref="G8:G9"/>
    <mergeCell ref="H8:I8"/>
    <mergeCell ref="J8:K8"/>
    <mergeCell ref="Q8:Q9"/>
    <mergeCell ref="N8:N9"/>
    <mergeCell ref="R8:R9"/>
    <mergeCell ref="T8:T9"/>
    <mergeCell ref="U8:U9"/>
    <mergeCell ref="A6:C6"/>
    <mergeCell ref="G6:K6"/>
    <mergeCell ref="N6:R6"/>
    <mergeCell ref="A5:C5"/>
    <mergeCell ref="E5:E6"/>
    <mergeCell ref="G5:K5"/>
    <mergeCell ref="N5:R5"/>
    <mergeCell ref="A8:A9"/>
    <mergeCell ref="B8:B9"/>
    <mergeCell ref="C8:C9"/>
    <mergeCell ref="D8:D9"/>
    <mergeCell ref="E8:E9"/>
    <mergeCell ref="AD6:AH6"/>
    <mergeCell ref="W5:AA5"/>
    <mergeCell ref="AD3:AH3"/>
    <mergeCell ref="G4:K4"/>
    <mergeCell ref="N4:R4"/>
    <mergeCell ref="W4:AA4"/>
    <mergeCell ref="AD4:AH4"/>
    <mergeCell ref="AD5:AH5"/>
    <mergeCell ref="T3:V6"/>
    <mergeCell ref="W3:AA3"/>
    <mergeCell ref="W6:AA6"/>
  </mergeCells>
  <conditionalFormatting sqref="G10:G1323">
    <cfRule type="cellIs" dxfId="14" priority="5" operator="between">
      <formula>"Desenvolvimento"</formula>
      <formula>"Manutenção"</formula>
    </cfRule>
  </conditionalFormatting>
  <conditionalFormatting sqref="U10:AD1323">
    <cfRule type="expression" dxfId="13" priority="7">
      <formula>$T10="OK"</formula>
    </cfRule>
  </conditionalFormatting>
  <conditionalFormatting sqref="W10:W1323">
    <cfRule type="cellIs" dxfId="12" priority="6" operator="between">
      <formula>"Desenvolvimento"</formula>
      <formula>"Manutenção"</formula>
    </cfRule>
  </conditionalFormatting>
  <dataValidations count="3">
    <dataValidation type="list" allowBlank="1" showInputMessage="1" showErrorMessage="1" errorTitle="Erro" error="Selecione uma das opções apresentada" sqref="W10:W1323 G10:G1323" xr:uid="{00000000-0002-0000-0200-000000000000}">
      <formula1>"-------,EE,SE,CE,ALI,AIE"</formula1>
      <formula2>0</formula2>
    </dataValidation>
    <dataValidation type="list" allowBlank="1" showInputMessage="1" showErrorMessage="1" sqref="U10:U1323 B10:B1323" xr:uid="{00000000-0002-0000-0200-000001000000}">
      <formula1>TipoProjeto</formula1>
      <formula2>0</formula2>
    </dataValidation>
    <dataValidation type="list" allowBlank="1" showInputMessage="1" showErrorMessage="1" sqref="T10:T1323" xr:uid="{00000000-0002-0000-0200-000002000000}">
      <formula1>"OK,Divergente,Novo"</formula1>
      <formula2>0</formula2>
    </dataValidation>
  </dataValidations>
  <pageMargins left="0.196527777777778" right="0.196527777777778" top="0.32986111111111099" bottom="0.42986111111111103" header="0.179861111111111" footer="0.27569444444444402"/>
  <pageSetup paperSize="9" firstPageNumber="0" fitToHeight="10" orientation="landscape" horizontalDpi="300" verticalDpi="300"/>
  <headerFooter>
    <oddHeader>&amp;C&amp;A</oddHeader>
    <oddFooter>&amp;CPágina &amp;P de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BE385"/>
  <sheetViews>
    <sheetView showGridLines="0" zoomScaleNormal="100" workbookViewId="0">
      <selection activeCell="AL22" sqref="AL22"/>
    </sheetView>
  </sheetViews>
  <sheetFormatPr defaultColWidth="8.81640625" defaultRowHeight="12.5"/>
  <cols>
    <col min="1" max="1" width="5.54296875" style="15" customWidth="1" collapsed="1"/>
    <col min="2" max="2" width="37.1796875" style="16" customWidth="1" collapsed="1"/>
    <col min="3" max="3" width="8.453125" style="16" customWidth="1" collapsed="1"/>
    <col min="4" max="4" width="7.54296875" style="17" customWidth="1" collapsed="1"/>
    <col min="5" max="5" width="9.54296875" style="17" customWidth="1" collapsed="1"/>
    <col min="6" max="6" width="11.54296875" style="17" customWidth="1" collapsed="1"/>
    <col min="7" max="7" width="16.453125" style="17" customWidth="1" collapsed="1"/>
    <col min="8" max="8" width="38.453125" style="18" customWidth="1" collapsed="1"/>
    <col min="9" max="9" width="6.453125" style="15" customWidth="1" collapsed="1"/>
    <col min="10" max="11" width="8.1796875" style="15" customWidth="1" collapsed="1"/>
    <col min="12" max="12" width="7.81640625" style="15" customWidth="1" collapsed="1"/>
    <col min="13" max="13" width="12.453125" style="15" customWidth="1" collapsed="1"/>
    <col min="14" max="15" width="15.54296875" style="16" hidden="1" customWidth="1" collapsed="1"/>
    <col min="16" max="16" width="15.1796875" style="15" customWidth="1" collapsed="1"/>
    <col min="17" max="18" width="16.54296875" style="16" hidden="1" customWidth="1" collapsed="1"/>
    <col min="19" max="19" width="8.453125" style="16" customWidth="1" collapsed="1"/>
    <col min="20" max="20" width="46" style="16" customWidth="1" collapsed="1"/>
    <col min="21" max="21" width="9.1796875" style="16" customWidth="1" collapsed="1"/>
    <col min="22" max="22" width="16.453125" style="16" customWidth="1" collapsed="1"/>
    <col min="23" max="23" width="37.1796875" style="16" customWidth="1" collapsed="1"/>
    <col min="24" max="24" width="8.453125" style="16" customWidth="1" collapsed="1"/>
    <col min="25" max="25" width="6.453125" style="15" customWidth="1" collapsed="1"/>
    <col min="26" max="27" width="8.1796875" style="15" customWidth="1" collapsed="1"/>
    <col min="28" max="28" width="7.81640625" style="15" customWidth="1" collapsed="1"/>
    <col min="29" max="29" width="12.453125" style="15" customWidth="1" collapsed="1"/>
    <col min="30" max="31" width="15.54296875" style="16" hidden="1" customWidth="1" collapsed="1"/>
    <col min="32" max="32" width="15.1796875" style="15" customWidth="1" collapsed="1"/>
    <col min="33" max="34" width="16.54296875" style="16" hidden="1" customWidth="1" collapsed="1"/>
    <col min="35" max="35" width="8.453125" style="16" customWidth="1" collapsed="1"/>
    <col min="36" max="36" width="45.453125" style="16" customWidth="1" collapsed="1"/>
    <col min="37" max="37" width="6.453125" style="16" customWidth="1"/>
    <col min="38" max="38" width="40.1796875" style="16" customWidth="1" collapsed="1"/>
    <col min="39" max="39" width="5.453125" style="16" customWidth="1" collapsed="1"/>
    <col min="40" max="40" width="45.54296875" style="16" customWidth="1" collapsed="1"/>
    <col min="41" max="41" width="12.1796875" style="16" customWidth="1" collapsed="1"/>
    <col min="42" max="16384" width="8.81640625" style="16"/>
  </cols>
  <sheetData>
    <row r="1" spans="1:57" ht="69" customHeight="1">
      <c r="A1" s="2" t="str">
        <f>Resumo!A1</f>
        <v>Template V.2.0</v>
      </c>
      <c r="B1" s="20"/>
      <c r="C1" s="219" t="s">
        <v>68</v>
      </c>
      <c r="D1" s="219"/>
      <c r="E1" s="219"/>
      <c r="F1" s="219"/>
      <c r="G1" s="219"/>
      <c r="H1" s="219"/>
      <c r="I1" s="219"/>
      <c r="J1" s="219"/>
      <c r="K1" s="219"/>
      <c r="L1" s="219"/>
      <c r="M1" s="219"/>
      <c r="N1" s="219"/>
      <c r="O1" s="219"/>
      <c r="P1" s="219"/>
      <c r="Q1" s="219"/>
      <c r="R1" s="219"/>
      <c r="S1" s="219"/>
      <c r="T1" s="219"/>
      <c r="Y1" s="16"/>
      <c r="Z1" s="16"/>
      <c r="AA1" s="16"/>
      <c r="AB1" s="16"/>
      <c r="AC1" s="16"/>
      <c r="AF1" s="16"/>
    </row>
    <row r="2" spans="1:57" ht="9" customHeight="1">
      <c r="A2" s="21"/>
      <c r="B2" s="21"/>
      <c r="C2" s="22"/>
      <c r="D2" s="22"/>
      <c r="E2" s="22"/>
      <c r="F2" s="22"/>
      <c r="G2" s="22"/>
      <c r="H2" s="22"/>
      <c r="I2" s="22"/>
      <c r="J2" s="22"/>
      <c r="K2" s="22"/>
      <c r="L2" s="22"/>
      <c r="M2" s="22"/>
      <c r="N2" s="22"/>
      <c r="O2" s="22"/>
      <c r="P2" s="22"/>
      <c r="Q2" s="22"/>
      <c r="R2" s="22"/>
      <c r="S2" s="22"/>
      <c r="T2" s="22"/>
      <c r="Y2" s="22"/>
      <c r="Z2" s="22"/>
      <c r="AA2" s="22"/>
      <c r="AB2" s="22"/>
      <c r="AC2" s="22"/>
      <c r="AD2" s="22"/>
      <c r="AE2" s="22"/>
      <c r="AF2" s="22"/>
      <c r="AG2" s="22"/>
      <c r="AH2" s="22"/>
      <c r="AI2" s="22"/>
      <c r="AJ2" s="22"/>
      <c r="AP2" s="43"/>
      <c r="AQ2" s="43"/>
      <c r="AR2" s="43"/>
      <c r="AS2" s="43"/>
      <c r="AT2" s="43"/>
      <c r="AU2" s="43"/>
      <c r="AV2" s="43"/>
      <c r="AW2" s="43"/>
      <c r="AX2" s="43"/>
      <c r="AY2" s="43"/>
      <c r="AZ2" s="43"/>
      <c r="BA2" s="43"/>
      <c r="BB2" s="43"/>
      <c r="BC2" s="43"/>
      <c r="BD2" s="43"/>
      <c r="BE2" s="43"/>
    </row>
    <row r="3" spans="1:57" ht="18.649999999999999" customHeight="1">
      <c r="A3" s="16"/>
      <c r="B3" s="24"/>
      <c r="C3" s="22"/>
      <c r="D3" s="22"/>
      <c r="E3" s="22"/>
      <c r="F3" s="22"/>
      <c r="G3" s="22"/>
      <c r="H3" s="22"/>
      <c r="I3" s="22"/>
      <c r="J3" s="22"/>
      <c r="K3" s="212" t="s">
        <v>7</v>
      </c>
      <c r="L3" s="212"/>
      <c r="M3" s="212"/>
      <c r="N3" s="25"/>
      <c r="O3" s="25"/>
      <c r="P3" s="213"/>
      <c r="Q3" s="213"/>
      <c r="R3" s="213"/>
      <c r="S3" s="213"/>
      <c r="T3" s="213"/>
      <c r="V3" s="214" t="s">
        <v>38</v>
      </c>
      <c r="W3" s="214"/>
      <c r="X3" s="214"/>
      <c r="Y3" s="228" t="s">
        <v>7</v>
      </c>
      <c r="Z3" s="229"/>
      <c r="AA3" s="229"/>
      <c r="AB3" s="229"/>
      <c r="AC3" s="230"/>
      <c r="AD3" s="25"/>
      <c r="AE3" s="25"/>
      <c r="AF3" s="231"/>
      <c r="AG3" s="232"/>
      <c r="AH3" s="232"/>
      <c r="AI3" s="232"/>
      <c r="AJ3" s="233"/>
      <c r="AP3" s="43"/>
      <c r="AQ3" s="43"/>
      <c r="AR3" s="43"/>
      <c r="AS3" s="43"/>
      <c r="AT3" s="43"/>
      <c r="AU3" s="43"/>
      <c r="AV3" s="43"/>
      <c r="AW3" s="43"/>
      <c r="AX3" s="43"/>
      <c r="AY3" s="43"/>
      <c r="AZ3" s="43"/>
      <c r="BA3" s="43"/>
      <c r="BB3" s="43"/>
      <c r="BC3" s="43"/>
      <c r="BD3" s="43"/>
      <c r="BE3" s="43"/>
    </row>
    <row r="4" spans="1:57" ht="18.649999999999999" customHeight="1">
      <c r="A4" s="16"/>
      <c r="B4" s="24"/>
      <c r="C4" s="22"/>
      <c r="D4" s="22"/>
      <c r="E4" s="22"/>
      <c r="F4" s="22"/>
      <c r="G4" s="22"/>
      <c r="H4" s="22"/>
      <c r="I4" s="22"/>
      <c r="J4" s="22"/>
      <c r="K4" s="212" t="s">
        <v>8</v>
      </c>
      <c r="L4" s="212"/>
      <c r="M4" s="212"/>
      <c r="N4" s="25"/>
      <c r="O4" s="25"/>
      <c r="P4" s="211"/>
      <c r="Q4" s="211"/>
      <c r="R4" s="211"/>
      <c r="S4" s="211"/>
      <c r="T4" s="211"/>
      <c r="V4" s="214"/>
      <c r="W4" s="214"/>
      <c r="X4" s="214"/>
      <c r="Y4" s="228" t="s">
        <v>8</v>
      </c>
      <c r="Z4" s="229"/>
      <c r="AA4" s="229"/>
      <c r="AB4" s="229"/>
      <c r="AC4" s="230"/>
      <c r="AD4" s="25"/>
      <c r="AE4" s="25"/>
      <c r="AF4" s="231"/>
      <c r="AG4" s="232"/>
      <c r="AH4" s="232"/>
      <c r="AI4" s="232"/>
      <c r="AJ4" s="233"/>
      <c r="AP4" s="43"/>
      <c r="AQ4" s="43"/>
      <c r="AR4" s="43"/>
      <c r="AS4" s="43"/>
      <c r="AT4" s="43"/>
      <c r="AU4" s="43"/>
      <c r="AV4" s="43"/>
      <c r="AW4" s="43"/>
      <c r="AX4" s="43"/>
      <c r="AY4" s="43"/>
      <c r="AZ4" s="43"/>
      <c r="BA4" s="43"/>
      <c r="BB4" s="43"/>
      <c r="BC4" s="43"/>
      <c r="BD4" s="43"/>
      <c r="BE4" s="43"/>
    </row>
    <row r="5" spans="1:57" ht="18.649999999999999" customHeight="1">
      <c r="A5" s="215" t="s">
        <v>41</v>
      </c>
      <c r="B5" s="215"/>
      <c r="C5" s="215"/>
      <c r="D5" s="242">
        <f>PF_INM</f>
        <v>0</v>
      </c>
      <c r="E5" s="243"/>
      <c r="F5" s="22"/>
      <c r="G5" s="22"/>
      <c r="H5" s="22"/>
      <c r="I5" s="22"/>
      <c r="J5" s="22"/>
      <c r="K5" s="212" t="s">
        <v>9</v>
      </c>
      <c r="L5" s="212"/>
      <c r="M5" s="212"/>
      <c r="N5" s="25"/>
      <c r="O5" s="25"/>
      <c r="P5" s="213"/>
      <c r="Q5" s="213"/>
      <c r="R5" s="213"/>
      <c r="S5" s="213"/>
      <c r="T5" s="213"/>
      <c r="V5" s="214"/>
      <c r="W5" s="214"/>
      <c r="X5" s="214"/>
      <c r="Y5" s="228" t="s">
        <v>9</v>
      </c>
      <c r="Z5" s="229"/>
      <c r="AA5" s="229"/>
      <c r="AB5" s="229"/>
      <c r="AC5" s="230"/>
      <c r="AD5" s="25"/>
      <c r="AE5" s="25"/>
      <c r="AF5" s="231"/>
      <c r="AG5" s="232"/>
      <c r="AH5" s="232"/>
      <c r="AI5" s="232"/>
      <c r="AJ5" s="233"/>
      <c r="AP5" s="43"/>
      <c r="AQ5" s="43"/>
      <c r="AR5" s="43"/>
      <c r="AS5" s="43"/>
      <c r="AT5" s="43"/>
      <c r="AU5" s="43"/>
      <c r="AV5" s="43"/>
      <c r="AW5" s="43"/>
      <c r="AX5" s="43"/>
      <c r="AY5" s="43"/>
      <c r="AZ5" s="43"/>
      <c r="BA5" s="43"/>
      <c r="BB5" s="43"/>
      <c r="BC5" s="43"/>
      <c r="BD5" s="43"/>
      <c r="BE5" s="43"/>
    </row>
    <row r="6" spans="1:57" ht="18.649999999999999" customHeight="1">
      <c r="A6" s="215" t="s">
        <v>42</v>
      </c>
      <c r="B6" s="215"/>
      <c r="C6" s="215"/>
      <c r="D6" s="242">
        <f>AI385</f>
        <v>0</v>
      </c>
      <c r="E6" s="243"/>
      <c r="F6" s="22"/>
      <c r="G6" s="22"/>
      <c r="H6" s="22"/>
      <c r="I6" s="22"/>
      <c r="J6" s="22"/>
      <c r="K6" s="212" t="s">
        <v>10</v>
      </c>
      <c r="L6" s="212"/>
      <c r="M6" s="212"/>
      <c r="N6" s="25"/>
      <c r="O6" s="25"/>
      <c r="P6" s="211"/>
      <c r="Q6" s="211"/>
      <c r="R6" s="211"/>
      <c r="S6" s="211"/>
      <c r="T6" s="211"/>
      <c r="V6" s="214"/>
      <c r="W6" s="214"/>
      <c r="X6" s="214"/>
      <c r="Y6" s="228" t="s">
        <v>10</v>
      </c>
      <c r="Z6" s="229"/>
      <c r="AA6" s="229"/>
      <c r="AB6" s="229"/>
      <c r="AC6" s="230"/>
      <c r="AD6" s="25"/>
      <c r="AE6" s="25"/>
      <c r="AF6" s="231"/>
      <c r="AG6" s="232"/>
      <c r="AH6" s="232"/>
      <c r="AI6" s="232"/>
      <c r="AJ6" s="233"/>
      <c r="AP6" s="43"/>
      <c r="AQ6" s="43"/>
      <c r="AR6" s="43"/>
      <c r="AS6" s="43"/>
      <c r="AT6" s="43"/>
      <c r="AU6" s="43"/>
      <c r="AV6" s="43"/>
      <c r="AW6" s="43"/>
      <c r="AX6" s="43"/>
      <c r="AY6" s="43"/>
      <c r="AZ6" s="43"/>
      <c r="BA6" s="43"/>
      <c r="BB6" s="43"/>
      <c r="BC6" s="43"/>
      <c r="BD6" s="43"/>
      <c r="BE6" s="43"/>
    </row>
    <row r="7" spans="1:57" ht="9" customHeight="1">
      <c r="A7" s="236"/>
      <c r="B7" s="236"/>
      <c r="C7" s="236"/>
      <c r="D7" s="236"/>
      <c r="E7" s="236"/>
      <c r="F7" s="236"/>
      <c r="G7" s="236"/>
      <c r="H7" s="236"/>
      <c r="I7" s="236"/>
      <c r="J7" s="236"/>
      <c r="K7" s="236"/>
      <c r="L7" s="236"/>
      <c r="M7" s="236"/>
      <c r="N7" s="236"/>
      <c r="O7" s="236"/>
      <c r="P7" s="236"/>
      <c r="Q7" s="236"/>
      <c r="R7" s="236"/>
      <c r="S7" s="236"/>
      <c r="T7" s="236"/>
      <c r="W7" s="234"/>
      <c r="X7" s="235"/>
      <c r="Y7" s="235"/>
      <c r="Z7" s="235"/>
      <c r="AA7" s="235"/>
      <c r="AB7" s="235"/>
      <c r="AC7" s="235"/>
      <c r="AD7" s="235"/>
      <c r="AE7" s="235"/>
      <c r="AF7" s="235"/>
      <c r="AG7" s="235"/>
      <c r="AH7" s="235"/>
      <c r="AI7" s="235"/>
      <c r="AJ7" s="236"/>
      <c r="AP7" s="43"/>
      <c r="AQ7" s="43"/>
      <c r="AR7" s="43"/>
      <c r="AS7" s="43"/>
      <c r="AT7" s="43"/>
      <c r="AU7" s="43"/>
      <c r="AV7" s="43"/>
      <c r="AW7" s="43"/>
      <c r="AX7" s="43"/>
      <c r="AY7" s="43"/>
      <c r="AZ7" s="43"/>
      <c r="BA7" s="43"/>
      <c r="BB7" s="43"/>
      <c r="BC7" s="43"/>
      <c r="BD7" s="43"/>
      <c r="BE7" s="43"/>
    </row>
    <row r="8" spans="1:57" s="38" customFormat="1" ht="18.649999999999999" customHeight="1">
      <c r="A8" s="217" t="s">
        <v>43</v>
      </c>
      <c r="B8" s="218" t="s">
        <v>44</v>
      </c>
      <c r="C8" s="218" t="s">
        <v>45</v>
      </c>
      <c r="D8" s="218" t="s">
        <v>70</v>
      </c>
      <c r="E8" s="237" t="s">
        <v>71</v>
      </c>
      <c r="F8" s="218" t="s">
        <v>46</v>
      </c>
      <c r="G8" s="218" t="s">
        <v>47</v>
      </c>
      <c r="H8" s="220" t="s">
        <v>48</v>
      </c>
      <c r="I8" s="73"/>
      <c r="J8" s="221" t="s">
        <v>72</v>
      </c>
      <c r="K8" s="221"/>
      <c r="L8" s="221"/>
      <c r="M8" s="221"/>
      <c r="N8" s="221"/>
      <c r="O8" s="221"/>
      <c r="P8" s="221"/>
      <c r="Q8" s="221"/>
      <c r="R8" s="221"/>
      <c r="S8" s="221"/>
      <c r="T8" s="221" t="s">
        <v>73</v>
      </c>
      <c r="V8" s="237" t="s">
        <v>55</v>
      </c>
      <c r="W8" s="237" t="s">
        <v>44</v>
      </c>
      <c r="X8" s="237" t="s">
        <v>45</v>
      </c>
      <c r="Y8" s="72"/>
      <c r="Z8" s="221" t="s">
        <v>72</v>
      </c>
      <c r="AA8" s="221"/>
      <c r="AB8" s="221"/>
      <c r="AC8" s="221"/>
      <c r="AD8" s="221"/>
      <c r="AE8" s="221"/>
      <c r="AF8" s="221"/>
      <c r="AG8" s="221"/>
      <c r="AH8" s="221"/>
      <c r="AI8" s="221"/>
      <c r="AJ8" s="221" t="s">
        <v>73</v>
      </c>
      <c r="AL8" s="221" t="s">
        <v>57</v>
      </c>
      <c r="AN8" s="224" t="s">
        <v>58</v>
      </c>
      <c r="AO8" s="225" t="s">
        <v>59</v>
      </c>
      <c r="AP8" s="43"/>
      <c r="AQ8" s="43"/>
      <c r="AR8" s="43"/>
      <c r="AS8" s="43"/>
      <c r="AT8" s="43"/>
      <c r="AU8" s="43"/>
      <c r="AV8" s="43"/>
      <c r="AW8" s="43"/>
      <c r="AX8" s="43"/>
      <c r="AY8" s="43"/>
      <c r="AZ8" s="43"/>
      <c r="BA8" s="43"/>
      <c r="BB8" s="43"/>
      <c r="BC8" s="43"/>
      <c r="BD8" s="43"/>
      <c r="BE8" s="43"/>
    </row>
    <row r="9" spans="1:57" s="43" customFormat="1" ht="15.5">
      <c r="A9" s="217"/>
      <c r="B9" s="218"/>
      <c r="C9" s="218"/>
      <c r="D9" s="218"/>
      <c r="E9" s="218"/>
      <c r="F9" s="218"/>
      <c r="G9" s="218"/>
      <c r="H9" s="220"/>
      <c r="I9" s="72" t="s">
        <v>49</v>
      </c>
      <c r="J9" s="72" t="s">
        <v>74</v>
      </c>
      <c r="K9" s="72" t="s">
        <v>75</v>
      </c>
      <c r="L9" s="72" t="s">
        <v>76</v>
      </c>
      <c r="M9" s="35" t="s">
        <v>49</v>
      </c>
      <c r="N9" s="35" t="s">
        <v>62</v>
      </c>
      <c r="O9" s="35" t="s">
        <v>63</v>
      </c>
      <c r="P9" s="35" t="s">
        <v>52</v>
      </c>
      <c r="Q9" s="35" t="s">
        <v>64</v>
      </c>
      <c r="R9" s="35" t="s">
        <v>65</v>
      </c>
      <c r="S9" s="35" t="s">
        <v>53</v>
      </c>
      <c r="T9" s="221"/>
      <c r="V9" s="237"/>
      <c r="W9" s="237"/>
      <c r="X9" s="237"/>
      <c r="Y9" s="72" t="s">
        <v>49</v>
      </c>
      <c r="Z9" s="72" t="s">
        <v>74</v>
      </c>
      <c r="AA9" s="72" t="s">
        <v>75</v>
      </c>
      <c r="AB9" s="72" t="s">
        <v>76</v>
      </c>
      <c r="AC9" s="35" t="s">
        <v>49</v>
      </c>
      <c r="AD9" s="35" t="s">
        <v>62</v>
      </c>
      <c r="AE9" s="35" t="s">
        <v>63</v>
      </c>
      <c r="AF9" s="35" t="s">
        <v>52</v>
      </c>
      <c r="AG9" s="35" t="s">
        <v>64</v>
      </c>
      <c r="AH9" s="35" t="s">
        <v>65</v>
      </c>
      <c r="AI9" s="35" t="s">
        <v>53</v>
      </c>
      <c r="AJ9" s="221"/>
      <c r="AL9" s="221"/>
      <c r="AN9" s="224"/>
      <c r="AO9" s="225"/>
    </row>
    <row r="10" spans="1:57" s="56" customFormat="1" ht="14">
      <c r="A10" s="241" t="s">
        <v>77</v>
      </c>
      <c r="B10" s="241"/>
      <c r="C10" s="241"/>
      <c r="D10" s="241"/>
      <c r="E10" s="241"/>
      <c r="F10" s="241"/>
      <c r="G10" s="241"/>
      <c r="H10" s="241"/>
      <c r="I10" s="241"/>
      <c r="J10" s="241"/>
      <c r="K10" s="241"/>
      <c r="L10" s="241"/>
      <c r="M10" s="241"/>
      <c r="N10" s="241"/>
      <c r="O10" s="241"/>
      <c r="P10" s="241"/>
      <c r="Q10" s="241"/>
      <c r="R10" s="241"/>
      <c r="S10" s="241"/>
      <c r="T10" s="241"/>
      <c r="V10" s="238" t="s">
        <v>77</v>
      </c>
      <c r="W10" s="239"/>
      <c r="X10" s="239"/>
      <c r="Y10" s="239"/>
      <c r="Z10" s="239"/>
      <c r="AA10" s="239"/>
      <c r="AB10" s="239"/>
      <c r="AC10" s="239"/>
      <c r="AD10" s="239"/>
      <c r="AE10" s="239"/>
      <c r="AF10" s="239"/>
      <c r="AG10" s="239"/>
      <c r="AH10" s="239"/>
      <c r="AI10" s="239"/>
      <c r="AJ10" s="240"/>
      <c r="AL10" s="197"/>
      <c r="AN10" s="197"/>
      <c r="AO10" s="197"/>
    </row>
    <row r="11" spans="1:57" s="56" customFormat="1" ht="14">
      <c r="A11" s="44"/>
      <c r="B11" s="45"/>
      <c r="C11" s="46">
        <f t="shared" ref="C11:C74" si="0">IF($B11&lt;&gt;"",VLOOKUP($B11,Matriz_INM,2,0),0)</f>
        <v>0</v>
      </c>
      <c r="D11" s="47"/>
      <c r="E11" s="47"/>
      <c r="F11" s="47"/>
      <c r="G11" s="47"/>
      <c r="H11" s="48"/>
      <c r="I11" s="74" t="str">
        <f t="shared" ref="I11:I74" si="1">IFERROR(VLOOKUP($B11,Matriz_INM,3,0),"")</f>
        <v/>
      </c>
      <c r="J11" s="49"/>
      <c r="K11" s="49"/>
      <c r="L11" s="49"/>
      <c r="M11" s="47"/>
      <c r="N11" s="48" t="str">
        <f t="shared" ref="N11:N74" si="2">IF(M11="EE",IF(OR(AND(OR(L11=1,L11=0),K11&gt;0,K11&lt;5),AND(OR(L11=1,L11=0),K11&gt;4,K11&lt;16),AND(L11=2,K11&gt;0,K11&lt;5)),"Simples",IF(OR(AND(OR(L11=1,L11=0),K11&gt;15),AND(L11=2,K11&gt;4,K11&lt;16),AND(L11&gt;2,K11&gt;0,K11&lt;5)),"Médio",IF(OR(AND(L11=2,K11&gt;15),AND(L11&gt;2,K11&gt;4,K11&lt;16),AND(L11&gt;2,K11&gt;15)),"Complexo",""))), IF(OR(M11="CE",M11="SE"),IF(OR(AND(OR(L11=1,L11=0),K11&gt;0,K11&lt;6),AND(OR(L11=1,L11=0),K11&gt;5,K11&lt;20),AND(L11&gt;1,L11&lt;4,K11&gt;0,K11&lt;6)),"Simples",IF(OR(AND(OR(L11=1,L11=0),K11&gt;19),AND(L11&gt;1,L11&lt;4,K11&gt;5,K11&lt;20),AND(L11&gt;3,K11&gt;0,K11&lt;6)),"Médio",IF(OR(AND(L11&gt;1,L11&lt;4,K11&gt;19),AND(L11&gt;3,K11&gt;5,K11&lt;20),AND(L11&gt;3,K11&gt;19)),"Complexo",""))),""))</f>
        <v/>
      </c>
      <c r="O11" s="48" t="str">
        <f t="shared" ref="O11:O74" si="3">IF(M11="ALI",IF(OR(AND(OR(L11=1,L11=0),K11&gt;0,K11&lt;20),AND(OR(L11=1,L11=0),K11&gt;19,K11&lt;51),AND(L11&gt;1,L11&lt;6,K11&gt;0,K11&lt;20)),"Simples",IF(OR(AND(OR(L11=1,L11=0),K11&gt;50),AND(L11&gt;1,L11&lt;6,K11&gt;19,K11&lt;51),AND(L11&gt;5,K11&gt;0,K11&lt;20)),"Médio",IF(OR(AND(L11&gt;1,L11&lt;6,K11&gt;50),AND(L11&gt;5,K11&gt;19,K11&lt;51),AND(L11&gt;5,K11&gt;50)),"Complexo",""))), IF(M11="AIE",IF(OR(AND(OR(L11=1, L11=0),K11&gt;0,K11&lt;20),AND(OR(L11=1, L11=0),K11&gt;19,K11&lt;51),AND(L11&gt;1,L11&lt;6,K11&gt;0,K11&lt;20)),"Simples",IF(OR(AND(OR(L11=1, L11=0),K11&gt;50),AND(L11&gt;1,L11&lt;6,K11&gt;19,K11&lt;51),AND(L11&gt;5,K11&gt;0,K11&lt;20)),"Médio",IF(OR(AND(L11&gt;1,L11&lt;6,K11&gt;50),AND(L11&gt;5,K11&gt;19,K11&lt;51),AND(L11&gt;5,K11&gt;50)),"Complexo",""))),""))</f>
        <v/>
      </c>
      <c r="P11" s="75" t="str">
        <f t="shared" ref="P11:P74" si="4">IF(N11="",O11,IF(O11="",N11,""))</f>
        <v/>
      </c>
      <c r="Q11" s="76">
        <f t="shared" ref="Q11:Q74" si="5">IF(AND(OR(M11="EE",M11="CE"),P11="Simples"),3, IF(AND(OR(M11="EE",M11="CE"),P11="Médio"),4, IF(AND(OR(M11="EE",M11="CE"),P11="Complexo"),6, IF(AND(M11="SE",P11="Simples"),4, IF(AND(M11="SE",P11="Médio"),5, IF(AND(M11="SE",P11="Complexo"),7,0))))))</f>
        <v>0</v>
      </c>
      <c r="R11" s="76">
        <f t="shared" ref="R11:R74" si="6">IF(AND(M11="ALI",O11="Simples"),7, IF(AND(M11="ALI",O11="Médio"),10, IF(AND(M11="ALI",O11="Complexo"),15, IF(AND(M11="AIE",O11="Simples"),5, IF(AND(M11="AIE",O11="Médio"),7, IF(AND(M11="AIE",O11="Complexo"),10,0))))))</f>
        <v>0</v>
      </c>
      <c r="S11" s="75">
        <f>IF($I11="%",($Q11+$R11)*$C11,$C11*J11)</f>
        <v>0</v>
      </c>
      <c r="T11" s="47"/>
      <c r="V11" s="57"/>
      <c r="W11" s="45"/>
      <c r="X11" s="46">
        <f t="shared" ref="X11:X74" si="7">IF($W11&lt;&gt;"",VLOOKUP($W11,Matriz_INM,2,0),0)</f>
        <v>0</v>
      </c>
      <c r="Y11" s="74" t="str">
        <f t="shared" ref="Y11:Y74" si="8">IFERROR(VLOOKUP($W11,Matriz_INM,3,0),"")</f>
        <v/>
      </c>
      <c r="Z11" s="49"/>
      <c r="AA11" s="49"/>
      <c r="AB11" s="49"/>
      <c r="AC11" s="47"/>
      <c r="AD11" s="48" t="str">
        <f>IF(AC11="EE",IF(OR(AND(OR(AB11=1,AB11=0),AA11&gt;0,AA11&lt;5),AND(OR(AB11=1,AB11=0),AA11&gt;4,AA11&lt;16),AND(AB11=2,AA11&gt;0,AA11&lt;5)),"Simples",IF(OR(AND(OR(AB11=1,AB11=0),AA11&gt;15),AND(AB11=2,AA11&gt;4,AA11&lt;16),AND(AB11&gt;2,AA11&gt;0,AA11&lt;5)),"Médio",IF(OR(AND(AB11=2,AA11&gt;15),AND(AB11&gt;2,AA11&gt;4,AA11&lt;16),AND(AB11&gt;2,AA11&gt;15)),"Complexo",""))), IF(OR(AC11="CE",AC11="SE"),IF(OR(AND(OR(AB11=1,AB11=0),AA11&gt;0,AA11&lt;6),AND(OR(AB11=1,AB11=0),AA11&gt;5,AA11&lt;20),AND(AB11&gt;1,AB11&lt;4,AA11&gt;0,AA11&lt;6)),"Simples",IF(OR(AND(OR(AB11=1,AB11=0),AA11&gt;19),AND(AB11&gt;1,AB11&lt;4,AA11&gt;5,AA11&lt;20),AND(AB11&gt;3,AA11&gt;0,AA11&lt;6)),"Médio",IF(OR(AND(AB11&gt;1,AB11&lt;4,AA11&gt;19),AND(AB11&gt;3,AA11&gt;5,AA11&lt;20),AND(AB11&gt;3,AA11&gt;19)),"Complexo",""))),""))</f>
        <v/>
      </c>
      <c r="AE11" s="48" t="str">
        <f>IF(AC11="ALI",IF(OR(AND(OR(AB11=1,AB11=0),AA11&gt;0,AA11&lt;20),AND(OR(AB11=1,AB11=0),AA11&gt;19,AA11&lt;51),AND(AB11&gt;1,AB11&lt;6,AA11&gt;0,AA11&lt;20)),"Simples",IF(OR(AND(OR(AB11=1,AB11=0),AA11&gt;50),AND(AB11&gt;1,AB11&lt;6,AA11&gt;19,AA11&lt;51),AND(AB11&gt;5,AA11&gt;0,AA11&lt;20)),"Médio",IF(OR(AND(AB11&gt;1,AB11&lt;6,AA11&gt;50),AND(AB11&gt;5,AA11&gt;19,AA11&lt;51),AND(AB11&gt;5,AA11&gt;50)),"Complexo",""))), IF(AC11="AIE",IF(OR(AND(OR(AB11=1, AB11=0),AA11&gt;0,AA11&lt;20),AND(OR(AB11=1, AB11=0),AA11&gt;19,AA11&lt;51),AND(AB11&gt;1,AB11&lt;6,AA11&gt;0,AA11&lt;20)),"Simples",IF(OR(AND(OR(AB11=1, AB11=0),AA11&gt;50),AND(AB11&gt;1,AB11&lt;6,AA11&gt;19,AA11&lt;51),AND(AB11&gt;5,AA11&gt;0,AA11&lt;20)),"Médio",IF(OR(AND(AB11&gt;1,AB11&lt;6,AA11&gt;50),AND(AB11&gt;5,AA11&gt;19,AA11&lt;51),AND(AB11&gt;5,AA11&gt;50)),"Complexo",""))),""))</f>
        <v/>
      </c>
      <c r="AF11" s="75" t="str">
        <f>IF(AD11="",AE11,IF(AE11="",AD11,""))</f>
        <v/>
      </c>
      <c r="AG11" s="76">
        <f>IF(AND(OR(AC11="EE",AC11="CE"),AF11="Simples"),3, IF(AND(OR(AC11="EE",AC11="CE"),AF11="Médio"),4, IF(AND(OR(AC11="EE",AC11="CE"),AF11="Complexo"),6, IF(AND(AC11="SE",AF11="Simples"),4, IF(AND(AC11="SE",AF11="Médio"),5, IF(AND(AC11="SE",AF11="Complexo"),7,0))))))</f>
        <v>0</v>
      </c>
      <c r="AH11" s="76">
        <f>IF(AND(AC11="ALI",AE11="Simples"),7, IF(AND(AC11="ALI",AE11="Médio"),10, IF(AND(AC11="ALI",AE11="Complexo"),15, IF(AND(AC11="AIE",AE11="Simples"),5, IF(AND(AC11="AIE",AE11="Médio"),7, IF(AND(AC11="AIE",AE11="Complexo"),10,0))))))</f>
        <v>0</v>
      </c>
      <c r="AI11" s="75">
        <f>IF(V11="OK",S11,IF($Y11="%",($AG11+$AH11)*$X11,$X11*Z11))</f>
        <v>0</v>
      </c>
      <c r="AJ11" s="47"/>
      <c r="AL11" s="47"/>
      <c r="AN11" s="47"/>
      <c r="AO11" s="47" t="str">
        <f t="shared" ref="AO11:AO74" si="9">IF(AI11=0,"",IF(AI11=S11,"OK","Divergente"))</f>
        <v/>
      </c>
    </row>
    <row r="12" spans="1:57" s="56" customFormat="1" ht="14">
      <c r="A12" s="44"/>
      <c r="B12" s="45"/>
      <c r="C12" s="46">
        <f t="shared" si="0"/>
        <v>0</v>
      </c>
      <c r="D12" s="47"/>
      <c r="E12" s="47"/>
      <c r="F12" s="47"/>
      <c r="G12" s="47"/>
      <c r="H12" s="48"/>
      <c r="I12" s="74" t="str">
        <f t="shared" si="1"/>
        <v/>
      </c>
      <c r="J12" s="49"/>
      <c r="K12" s="49"/>
      <c r="L12" s="49"/>
      <c r="M12" s="47"/>
      <c r="N12" s="48" t="str">
        <f t="shared" si="2"/>
        <v/>
      </c>
      <c r="O12" s="48" t="str">
        <f t="shared" si="3"/>
        <v/>
      </c>
      <c r="P12" s="75" t="str">
        <f t="shared" si="4"/>
        <v/>
      </c>
      <c r="Q12" s="76">
        <f t="shared" si="5"/>
        <v>0</v>
      </c>
      <c r="R12" s="76">
        <f t="shared" si="6"/>
        <v>0</v>
      </c>
      <c r="S12" s="75">
        <f t="shared" ref="S12:S75" si="10">IF($I12="%",($Q12+$R12)*$C12,$C12*J12)</f>
        <v>0</v>
      </c>
      <c r="T12" s="47"/>
      <c r="V12" s="57"/>
      <c r="W12" s="45"/>
      <c r="X12" s="46">
        <f t="shared" si="7"/>
        <v>0</v>
      </c>
      <c r="Y12" s="74" t="str">
        <f t="shared" si="8"/>
        <v/>
      </c>
      <c r="Z12" s="49"/>
      <c r="AA12" s="49"/>
      <c r="AB12" s="49"/>
      <c r="AC12" s="47"/>
      <c r="AD12" s="48" t="str">
        <f t="shared" ref="AD12:AD75" si="11">IF(AC12="EE",IF(OR(AND(OR(AB12=1,AB12=0),AA12&gt;0,AA12&lt;5),AND(OR(AB12=1,AB12=0),AA12&gt;4,AA12&lt;16),AND(AB12=2,AA12&gt;0,AA12&lt;5)),"Simples",IF(OR(AND(OR(AB12=1,AB12=0),AA12&gt;15),AND(AB12=2,AA12&gt;4,AA12&lt;16),AND(AB12&gt;2,AA12&gt;0,AA12&lt;5)),"Médio",IF(OR(AND(AB12=2,AA12&gt;15),AND(AB12&gt;2,AA12&gt;4,AA12&lt;16),AND(AB12&gt;2,AA12&gt;15)),"Complexo",""))), IF(OR(AC12="CE",AC12="SE"),IF(OR(AND(OR(AB12=1,AB12=0),AA12&gt;0,AA12&lt;6),AND(OR(AB12=1,AB12=0),AA12&gt;5,AA12&lt;20),AND(AB12&gt;1,AB12&lt;4,AA12&gt;0,AA12&lt;6)),"Simples",IF(OR(AND(OR(AB12=1,AB12=0),AA12&gt;19),AND(AB12&gt;1,AB12&lt;4,AA12&gt;5,AA12&lt;20),AND(AB12&gt;3,AA12&gt;0,AA12&lt;6)),"Médio",IF(OR(AND(AB12&gt;1,AB12&lt;4,AA12&gt;19),AND(AB12&gt;3,AA12&gt;5,AA12&lt;20),AND(AB12&gt;3,AA12&gt;19)),"Complexo",""))),""))</f>
        <v/>
      </c>
      <c r="AE12" s="48" t="str">
        <f t="shared" ref="AE12:AE75" si="12">IF(AC12="ALI",IF(OR(AND(OR(AB12=1,AB12=0),AA12&gt;0,AA12&lt;20),AND(OR(AB12=1,AB12=0),AA12&gt;19,AA12&lt;51),AND(AB12&gt;1,AB12&lt;6,AA12&gt;0,AA12&lt;20)),"Simples",IF(OR(AND(OR(AB12=1,AB12=0),AA12&gt;50),AND(AB12&gt;1,AB12&lt;6,AA12&gt;19,AA12&lt;51),AND(AB12&gt;5,AA12&gt;0,AA12&lt;20)),"Médio",IF(OR(AND(AB12&gt;1,AB12&lt;6,AA12&gt;50),AND(AB12&gt;5,AA12&gt;19,AA12&lt;51),AND(AB12&gt;5,AA12&gt;50)),"Complexo",""))), IF(AC12="AIE",IF(OR(AND(OR(AB12=1, AB12=0),AA12&gt;0,AA12&lt;20),AND(OR(AB12=1, AB12=0),AA12&gt;19,AA12&lt;51),AND(AB12&gt;1,AB12&lt;6,AA12&gt;0,AA12&lt;20)),"Simples",IF(OR(AND(OR(AB12=1, AB12=0),AA12&gt;50),AND(AB12&gt;1,AB12&lt;6,AA12&gt;19,AA12&lt;51),AND(AB12&gt;5,AA12&gt;0,AA12&lt;20)),"Médio",IF(OR(AND(AB12&gt;1,AB12&lt;6,AA12&gt;50),AND(AB12&gt;5,AA12&gt;19,AA12&lt;51),AND(AB12&gt;5,AA12&gt;50)),"Complexo",""))),""))</f>
        <v/>
      </c>
      <c r="AF12" s="75" t="str">
        <f t="shared" ref="AF12:AF75" si="13">IF(AD12="",AE12,IF(AE12="",AD12,""))</f>
        <v/>
      </c>
      <c r="AG12" s="76">
        <f t="shared" ref="AG12:AG75" si="14">IF(AND(OR(AC12="EE",AC12="CE"),AF12="Simples"),3, IF(AND(OR(AC12="EE",AC12="CE"),AF12="Médio"),4, IF(AND(OR(AC12="EE",AC12="CE"),AF12="Complexo"),6, IF(AND(AC12="SE",AF12="Simples"),4, IF(AND(AC12="SE",AF12="Médio"),5, IF(AND(AC12="SE",AF12="Complexo"),7,0))))))</f>
        <v>0</v>
      </c>
      <c r="AH12" s="76">
        <f t="shared" ref="AH12:AH75" si="15">IF(AND(AC12="ALI",AE12="Simples"),7, IF(AND(AC12="ALI",AE12="Médio"),10, IF(AND(AC12="ALI",AE12="Complexo"),15, IF(AND(AC12="AIE",AE12="Simples"),5, IF(AND(AC12="AIE",AE12="Médio"),7, IF(AND(AC12="AIE",AE12="Complexo"),10,0))))))</f>
        <v>0</v>
      </c>
      <c r="AI12" s="75">
        <f t="shared" ref="AI12:AI75" si="16">IF(V12="OK",S12,IF($Y12="%",($AG12+$AH12)*$X12,$X12*Z12))</f>
        <v>0</v>
      </c>
      <c r="AJ12" s="47"/>
      <c r="AL12" s="47"/>
      <c r="AN12" s="47"/>
      <c r="AO12" s="47" t="str">
        <f t="shared" si="9"/>
        <v/>
      </c>
    </row>
    <row r="13" spans="1:57" s="56" customFormat="1" ht="14">
      <c r="A13" s="44"/>
      <c r="B13" s="45"/>
      <c r="C13" s="46">
        <f t="shared" si="0"/>
        <v>0</v>
      </c>
      <c r="D13" s="47"/>
      <c r="E13" s="47"/>
      <c r="F13" s="47"/>
      <c r="G13" s="47"/>
      <c r="H13" s="48"/>
      <c r="I13" s="74" t="str">
        <f t="shared" si="1"/>
        <v/>
      </c>
      <c r="J13" s="49"/>
      <c r="K13" s="49"/>
      <c r="L13" s="49"/>
      <c r="M13" s="47"/>
      <c r="N13" s="48" t="str">
        <f t="shared" si="2"/>
        <v/>
      </c>
      <c r="O13" s="48" t="str">
        <f t="shared" si="3"/>
        <v/>
      </c>
      <c r="P13" s="75" t="str">
        <f t="shared" si="4"/>
        <v/>
      </c>
      <c r="Q13" s="76">
        <f t="shared" si="5"/>
        <v>0</v>
      </c>
      <c r="R13" s="76">
        <f t="shared" si="6"/>
        <v>0</v>
      </c>
      <c r="S13" s="75">
        <f t="shared" si="10"/>
        <v>0</v>
      </c>
      <c r="T13" s="47"/>
      <c r="V13" s="57"/>
      <c r="W13" s="45"/>
      <c r="X13" s="46">
        <f t="shared" si="7"/>
        <v>0</v>
      </c>
      <c r="Y13" s="74" t="str">
        <f t="shared" si="8"/>
        <v/>
      </c>
      <c r="Z13" s="49"/>
      <c r="AA13" s="49"/>
      <c r="AB13" s="49"/>
      <c r="AC13" s="47"/>
      <c r="AD13" s="48" t="str">
        <f t="shared" si="11"/>
        <v/>
      </c>
      <c r="AE13" s="48" t="str">
        <f t="shared" si="12"/>
        <v/>
      </c>
      <c r="AF13" s="75" t="str">
        <f t="shared" si="13"/>
        <v/>
      </c>
      <c r="AG13" s="76">
        <f t="shared" si="14"/>
        <v>0</v>
      </c>
      <c r="AH13" s="76">
        <f t="shared" si="15"/>
        <v>0</v>
      </c>
      <c r="AI13" s="75">
        <f t="shared" si="16"/>
        <v>0</v>
      </c>
      <c r="AJ13" s="47"/>
      <c r="AL13" s="47"/>
      <c r="AN13" s="47"/>
      <c r="AO13" s="47" t="str">
        <f t="shared" si="9"/>
        <v/>
      </c>
    </row>
    <row r="14" spans="1:57" s="56" customFormat="1" ht="14">
      <c r="A14" s="44"/>
      <c r="B14" s="45"/>
      <c r="C14" s="46">
        <f t="shared" si="0"/>
        <v>0</v>
      </c>
      <c r="D14" s="47"/>
      <c r="E14" s="47"/>
      <c r="F14" s="47"/>
      <c r="G14" s="47"/>
      <c r="H14" s="48"/>
      <c r="I14" s="74" t="str">
        <f t="shared" si="1"/>
        <v/>
      </c>
      <c r="J14" s="49"/>
      <c r="K14" s="49"/>
      <c r="L14" s="49"/>
      <c r="M14" s="47"/>
      <c r="N14" s="48" t="str">
        <f t="shared" si="2"/>
        <v/>
      </c>
      <c r="O14" s="48" t="str">
        <f t="shared" si="3"/>
        <v/>
      </c>
      <c r="P14" s="75" t="str">
        <f t="shared" si="4"/>
        <v/>
      </c>
      <c r="Q14" s="76">
        <f t="shared" si="5"/>
        <v>0</v>
      </c>
      <c r="R14" s="76">
        <f t="shared" si="6"/>
        <v>0</v>
      </c>
      <c r="S14" s="75">
        <f t="shared" si="10"/>
        <v>0</v>
      </c>
      <c r="T14" s="47"/>
      <c r="V14" s="57"/>
      <c r="W14" s="45"/>
      <c r="X14" s="46">
        <f t="shared" si="7"/>
        <v>0</v>
      </c>
      <c r="Y14" s="74" t="str">
        <f t="shared" si="8"/>
        <v/>
      </c>
      <c r="Z14" s="49"/>
      <c r="AA14" s="49"/>
      <c r="AB14" s="49"/>
      <c r="AC14" s="47"/>
      <c r="AD14" s="48" t="str">
        <f t="shared" si="11"/>
        <v/>
      </c>
      <c r="AE14" s="48" t="str">
        <f t="shared" si="12"/>
        <v/>
      </c>
      <c r="AF14" s="75" t="str">
        <f t="shared" si="13"/>
        <v/>
      </c>
      <c r="AG14" s="76">
        <f t="shared" si="14"/>
        <v>0</v>
      </c>
      <c r="AH14" s="76">
        <f t="shared" si="15"/>
        <v>0</v>
      </c>
      <c r="AI14" s="75">
        <f t="shared" si="16"/>
        <v>0</v>
      </c>
      <c r="AJ14" s="47"/>
      <c r="AL14" s="47"/>
      <c r="AN14" s="47"/>
      <c r="AO14" s="47" t="str">
        <f t="shared" si="9"/>
        <v/>
      </c>
    </row>
    <row r="15" spans="1:57" s="56" customFormat="1" ht="14">
      <c r="A15" s="44"/>
      <c r="B15" s="45"/>
      <c r="C15" s="46">
        <f t="shared" si="0"/>
        <v>0</v>
      </c>
      <c r="D15" s="47"/>
      <c r="E15" s="47"/>
      <c r="F15" s="47"/>
      <c r="G15" s="47"/>
      <c r="H15" s="48"/>
      <c r="I15" s="74" t="str">
        <f t="shared" si="1"/>
        <v/>
      </c>
      <c r="J15" s="49"/>
      <c r="K15" s="49"/>
      <c r="L15" s="49"/>
      <c r="M15" s="47"/>
      <c r="N15" s="48" t="str">
        <f t="shared" si="2"/>
        <v/>
      </c>
      <c r="O15" s="48" t="str">
        <f t="shared" si="3"/>
        <v/>
      </c>
      <c r="P15" s="75" t="str">
        <f t="shared" si="4"/>
        <v/>
      </c>
      <c r="Q15" s="76">
        <f t="shared" si="5"/>
        <v>0</v>
      </c>
      <c r="R15" s="76">
        <f t="shared" si="6"/>
        <v>0</v>
      </c>
      <c r="S15" s="75">
        <f t="shared" si="10"/>
        <v>0</v>
      </c>
      <c r="T15" s="47"/>
      <c r="V15" s="57"/>
      <c r="W15" s="45"/>
      <c r="X15" s="46">
        <f t="shared" si="7"/>
        <v>0</v>
      </c>
      <c r="Y15" s="74" t="str">
        <f t="shared" si="8"/>
        <v/>
      </c>
      <c r="Z15" s="49"/>
      <c r="AA15" s="49"/>
      <c r="AB15" s="49"/>
      <c r="AC15" s="47"/>
      <c r="AD15" s="48" t="str">
        <f t="shared" si="11"/>
        <v/>
      </c>
      <c r="AE15" s="48" t="str">
        <f t="shared" si="12"/>
        <v/>
      </c>
      <c r="AF15" s="75" t="str">
        <f t="shared" si="13"/>
        <v/>
      </c>
      <c r="AG15" s="76">
        <f t="shared" si="14"/>
        <v>0</v>
      </c>
      <c r="AH15" s="76">
        <f t="shared" si="15"/>
        <v>0</v>
      </c>
      <c r="AI15" s="75">
        <f t="shared" si="16"/>
        <v>0</v>
      </c>
      <c r="AJ15" s="47"/>
      <c r="AL15" s="47"/>
      <c r="AN15" s="47"/>
      <c r="AO15" s="47" t="str">
        <f t="shared" si="9"/>
        <v/>
      </c>
    </row>
    <row r="16" spans="1:57" s="56" customFormat="1" ht="14">
      <c r="A16" s="44"/>
      <c r="B16" s="45"/>
      <c r="C16" s="46">
        <f t="shared" si="0"/>
        <v>0</v>
      </c>
      <c r="D16" s="47"/>
      <c r="E16" s="47"/>
      <c r="F16" s="47"/>
      <c r="G16" s="47"/>
      <c r="H16" s="48"/>
      <c r="I16" s="74" t="str">
        <f t="shared" si="1"/>
        <v/>
      </c>
      <c r="J16" s="49"/>
      <c r="K16" s="49"/>
      <c r="L16" s="49"/>
      <c r="M16" s="47"/>
      <c r="N16" s="48" t="str">
        <f t="shared" si="2"/>
        <v/>
      </c>
      <c r="O16" s="48" t="str">
        <f t="shared" si="3"/>
        <v/>
      </c>
      <c r="P16" s="75" t="str">
        <f t="shared" si="4"/>
        <v/>
      </c>
      <c r="Q16" s="76">
        <f t="shared" si="5"/>
        <v>0</v>
      </c>
      <c r="R16" s="76">
        <f t="shared" si="6"/>
        <v>0</v>
      </c>
      <c r="S16" s="75">
        <f t="shared" si="10"/>
        <v>0</v>
      </c>
      <c r="T16" s="47"/>
      <c r="V16" s="57"/>
      <c r="W16" s="45"/>
      <c r="X16" s="46">
        <f t="shared" si="7"/>
        <v>0</v>
      </c>
      <c r="Y16" s="74" t="str">
        <f t="shared" si="8"/>
        <v/>
      </c>
      <c r="Z16" s="49"/>
      <c r="AA16" s="49"/>
      <c r="AB16" s="49"/>
      <c r="AC16" s="47"/>
      <c r="AD16" s="48" t="str">
        <f t="shared" si="11"/>
        <v/>
      </c>
      <c r="AE16" s="48" t="str">
        <f t="shared" si="12"/>
        <v/>
      </c>
      <c r="AF16" s="75" t="str">
        <f t="shared" si="13"/>
        <v/>
      </c>
      <c r="AG16" s="76">
        <f t="shared" si="14"/>
        <v>0</v>
      </c>
      <c r="AH16" s="76">
        <f t="shared" si="15"/>
        <v>0</v>
      </c>
      <c r="AI16" s="75">
        <f t="shared" si="16"/>
        <v>0</v>
      </c>
      <c r="AJ16" s="47"/>
      <c r="AL16" s="47"/>
      <c r="AN16" s="47"/>
      <c r="AO16" s="47" t="str">
        <f t="shared" si="9"/>
        <v/>
      </c>
    </row>
    <row r="17" spans="1:41" s="56" customFormat="1" ht="14">
      <c r="A17" s="44"/>
      <c r="B17" s="45"/>
      <c r="C17" s="46">
        <f t="shared" si="0"/>
        <v>0</v>
      </c>
      <c r="D17" s="47"/>
      <c r="E17" s="47"/>
      <c r="F17" s="47"/>
      <c r="G17" s="47"/>
      <c r="H17" s="48"/>
      <c r="I17" s="74" t="str">
        <f t="shared" si="1"/>
        <v/>
      </c>
      <c r="J17" s="49"/>
      <c r="K17" s="49"/>
      <c r="L17" s="49"/>
      <c r="M17" s="47"/>
      <c r="N17" s="48" t="str">
        <f t="shared" si="2"/>
        <v/>
      </c>
      <c r="O17" s="48" t="str">
        <f t="shared" si="3"/>
        <v/>
      </c>
      <c r="P17" s="75" t="str">
        <f t="shared" si="4"/>
        <v/>
      </c>
      <c r="Q17" s="76">
        <f t="shared" si="5"/>
        <v>0</v>
      </c>
      <c r="R17" s="76">
        <f t="shared" si="6"/>
        <v>0</v>
      </c>
      <c r="S17" s="75">
        <f t="shared" si="10"/>
        <v>0</v>
      </c>
      <c r="T17" s="47"/>
      <c r="V17" s="57"/>
      <c r="W17" s="45"/>
      <c r="X17" s="46">
        <f t="shared" si="7"/>
        <v>0</v>
      </c>
      <c r="Y17" s="74" t="str">
        <f t="shared" si="8"/>
        <v/>
      </c>
      <c r="Z17" s="49"/>
      <c r="AA17" s="49"/>
      <c r="AB17" s="49"/>
      <c r="AC17" s="47"/>
      <c r="AD17" s="48" t="str">
        <f t="shared" si="11"/>
        <v/>
      </c>
      <c r="AE17" s="48" t="str">
        <f t="shared" si="12"/>
        <v/>
      </c>
      <c r="AF17" s="75" t="str">
        <f t="shared" si="13"/>
        <v/>
      </c>
      <c r="AG17" s="76">
        <f t="shared" si="14"/>
        <v>0</v>
      </c>
      <c r="AH17" s="76">
        <f t="shared" si="15"/>
        <v>0</v>
      </c>
      <c r="AI17" s="75">
        <f t="shared" si="16"/>
        <v>0</v>
      </c>
      <c r="AJ17" s="47"/>
      <c r="AL17" s="47"/>
      <c r="AN17" s="47"/>
      <c r="AO17" s="47" t="str">
        <f t="shared" si="9"/>
        <v/>
      </c>
    </row>
    <row r="18" spans="1:41" s="56" customFormat="1" ht="14">
      <c r="A18" s="44"/>
      <c r="B18" s="45"/>
      <c r="C18" s="46">
        <f t="shared" si="0"/>
        <v>0</v>
      </c>
      <c r="D18" s="47"/>
      <c r="E18" s="47"/>
      <c r="F18" s="47"/>
      <c r="G18" s="47"/>
      <c r="H18" s="48"/>
      <c r="I18" s="74" t="str">
        <f t="shared" si="1"/>
        <v/>
      </c>
      <c r="J18" s="49"/>
      <c r="K18" s="49"/>
      <c r="L18" s="49"/>
      <c r="M18" s="47"/>
      <c r="N18" s="48" t="str">
        <f t="shared" si="2"/>
        <v/>
      </c>
      <c r="O18" s="48" t="str">
        <f t="shared" si="3"/>
        <v/>
      </c>
      <c r="P18" s="75" t="str">
        <f t="shared" si="4"/>
        <v/>
      </c>
      <c r="Q18" s="76">
        <f t="shared" si="5"/>
        <v>0</v>
      </c>
      <c r="R18" s="76">
        <f t="shared" si="6"/>
        <v>0</v>
      </c>
      <c r="S18" s="75">
        <f t="shared" si="10"/>
        <v>0</v>
      </c>
      <c r="T18" s="47"/>
      <c r="V18" s="57"/>
      <c r="W18" s="45"/>
      <c r="X18" s="46">
        <f t="shared" si="7"/>
        <v>0</v>
      </c>
      <c r="Y18" s="74" t="str">
        <f t="shared" si="8"/>
        <v/>
      </c>
      <c r="Z18" s="49"/>
      <c r="AA18" s="49"/>
      <c r="AB18" s="49"/>
      <c r="AC18" s="47"/>
      <c r="AD18" s="48" t="str">
        <f t="shared" si="11"/>
        <v/>
      </c>
      <c r="AE18" s="48" t="str">
        <f t="shared" si="12"/>
        <v/>
      </c>
      <c r="AF18" s="75" t="str">
        <f t="shared" si="13"/>
        <v/>
      </c>
      <c r="AG18" s="76">
        <f t="shared" si="14"/>
        <v>0</v>
      </c>
      <c r="AH18" s="76">
        <f t="shared" si="15"/>
        <v>0</v>
      </c>
      <c r="AI18" s="75">
        <f t="shared" si="16"/>
        <v>0</v>
      </c>
      <c r="AJ18" s="47"/>
      <c r="AL18" s="47"/>
      <c r="AN18" s="47"/>
      <c r="AO18" s="47" t="str">
        <f t="shared" si="9"/>
        <v/>
      </c>
    </row>
    <row r="19" spans="1:41" s="56" customFormat="1" ht="14">
      <c r="A19" s="44"/>
      <c r="B19" s="45"/>
      <c r="C19" s="46">
        <f t="shared" si="0"/>
        <v>0</v>
      </c>
      <c r="D19" s="47"/>
      <c r="E19" s="47"/>
      <c r="F19" s="47"/>
      <c r="G19" s="47"/>
      <c r="H19" s="48"/>
      <c r="I19" s="74" t="str">
        <f t="shared" si="1"/>
        <v/>
      </c>
      <c r="J19" s="49"/>
      <c r="K19" s="49"/>
      <c r="L19" s="49"/>
      <c r="M19" s="47"/>
      <c r="N19" s="48" t="str">
        <f t="shared" si="2"/>
        <v/>
      </c>
      <c r="O19" s="48" t="str">
        <f t="shared" si="3"/>
        <v/>
      </c>
      <c r="P19" s="75" t="str">
        <f t="shared" si="4"/>
        <v/>
      </c>
      <c r="Q19" s="76">
        <f t="shared" si="5"/>
        <v>0</v>
      </c>
      <c r="R19" s="76">
        <f t="shared" si="6"/>
        <v>0</v>
      </c>
      <c r="S19" s="75">
        <f t="shared" si="10"/>
        <v>0</v>
      </c>
      <c r="T19" s="47"/>
      <c r="V19" s="57"/>
      <c r="W19" s="45"/>
      <c r="X19" s="46">
        <f t="shared" si="7"/>
        <v>0</v>
      </c>
      <c r="Y19" s="74" t="str">
        <f t="shared" si="8"/>
        <v/>
      </c>
      <c r="Z19" s="49"/>
      <c r="AA19" s="49"/>
      <c r="AB19" s="49"/>
      <c r="AC19" s="47"/>
      <c r="AD19" s="48" t="str">
        <f t="shared" si="11"/>
        <v/>
      </c>
      <c r="AE19" s="48" t="str">
        <f t="shared" si="12"/>
        <v/>
      </c>
      <c r="AF19" s="75" t="str">
        <f t="shared" si="13"/>
        <v/>
      </c>
      <c r="AG19" s="76">
        <f t="shared" si="14"/>
        <v>0</v>
      </c>
      <c r="AH19" s="76">
        <f t="shared" si="15"/>
        <v>0</v>
      </c>
      <c r="AI19" s="75">
        <f t="shared" si="16"/>
        <v>0</v>
      </c>
      <c r="AJ19" s="47"/>
      <c r="AL19" s="47"/>
      <c r="AN19" s="47"/>
      <c r="AO19" s="47" t="str">
        <f t="shared" si="9"/>
        <v/>
      </c>
    </row>
    <row r="20" spans="1:41" s="56" customFormat="1" ht="14">
      <c r="A20" s="44"/>
      <c r="B20" s="45"/>
      <c r="C20" s="46">
        <f t="shared" si="0"/>
        <v>0</v>
      </c>
      <c r="D20" s="47"/>
      <c r="E20" s="47"/>
      <c r="F20" s="47"/>
      <c r="G20" s="47"/>
      <c r="H20" s="48"/>
      <c r="I20" s="74" t="str">
        <f t="shared" si="1"/>
        <v/>
      </c>
      <c r="J20" s="49"/>
      <c r="K20" s="49"/>
      <c r="L20" s="49"/>
      <c r="M20" s="47"/>
      <c r="N20" s="48" t="str">
        <f t="shared" si="2"/>
        <v/>
      </c>
      <c r="O20" s="48" t="str">
        <f t="shared" si="3"/>
        <v/>
      </c>
      <c r="P20" s="75" t="str">
        <f t="shared" si="4"/>
        <v/>
      </c>
      <c r="Q20" s="76">
        <f t="shared" si="5"/>
        <v>0</v>
      </c>
      <c r="R20" s="76">
        <f t="shared" si="6"/>
        <v>0</v>
      </c>
      <c r="S20" s="75">
        <f t="shared" si="10"/>
        <v>0</v>
      </c>
      <c r="T20" s="47"/>
      <c r="V20" s="57"/>
      <c r="W20" s="45"/>
      <c r="X20" s="46">
        <f t="shared" si="7"/>
        <v>0</v>
      </c>
      <c r="Y20" s="74" t="str">
        <f t="shared" si="8"/>
        <v/>
      </c>
      <c r="Z20" s="49"/>
      <c r="AA20" s="49"/>
      <c r="AB20" s="49"/>
      <c r="AC20" s="47"/>
      <c r="AD20" s="48" t="str">
        <f t="shared" si="11"/>
        <v/>
      </c>
      <c r="AE20" s="48" t="str">
        <f t="shared" si="12"/>
        <v/>
      </c>
      <c r="AF20" s="75" t="str">
        <f t="shared" si="13"/>
        <v/>
      </c>
      <c r="AG20" s="76">
        <f t="shared" si="14"/>
        <v>0</v>
      </c>
      <c r="AH20" s="76">
        <f t="shared" si="15"/>
        <v>0</v>
      </c>
      <c r="AI20" s="75">
        <f t="shared" si="16"/>
        <v>0</v>
      </c>
      <c r="AJ20" s="47"/>
      <c r="AL20" s="47"/>
      <c r="AN20" s="47"/>
      <c r="AO20" s="47" t="str">
        <f t="shared" si="9"/>
        <v/>
      </c>
    </row>
    <row r="21" spans="1:41" s="56" customFormat="1" ht="14">
      <c r="A21" s="44"/>
      <c r="B21" s="45"/>
      <c r="C21" s="46">
        <f t="shared" si="0"/>
        <v>0</v>
      </c>
      <c r="D21" s="47"/>
      <c r="E21" s="47"/>
      <c r="F21" s="47"/>
      <c r="G21" s="47"/>
      <c r="H21" s="48"/>
      <c r="I21" s="74" t="str">
        <f t="shared" si="1"/>
        <v/>
      </c>
      <c r="J21" s="49"/>
      <c r="K21" s="49"/>
      <c r="L21" s="49"/>
      <c r="M21" s="47"/>
      <c r="N21" s="48" t="str">
        <f t="shared" si="2"/>
        <v/>
      </c>
      <c r="O21" s="48" t="str">
        <f t="shared" si="3"/>
        <v/>
      </c>
      <c r="P21" s="75" t="str">
        <f t="shared" si="4"/>
        <v/>
      </c>
      <c r="Q21" s="76">
        <f t="shared" si="5"/>
        <v>0</v>
      </c>
      <c r="R21" s="76">
        <f t="shared" si="6"/>
        <v>0</v>
      </c>
      <c r="S21" s="75">
        <f t="shared" si="10"/>
        <v>0</v>
      </c>
      <c r="T21" s="47"/>
      <c r="V21" s="57"/>
      <c r="W21" s="45"/>
      <c r="X21" s="46">
        <f t="shared" si="7"/>
        <v>0</v>
      </c>
      <c r="Y21" s="74" t="str">
        <f t="shared" si="8"/>
        <v/>
      </c>
      <c r="Z21" s="49"/>
      <c r="AA21" s="49"/>
      <c r="AB21" s="49"/>
      <c r="AC21" s="47"/>
      <c r="AD21" s="48" t="str">
        <f t="shared" si="11"/>
        <v/>
      </c>
      <c r="AE21" s="48" t="str">
        <f t="shared" si="12"/>
        <v/>
      </c>
      <c r="AF21" s="75" t="str">
        <f t="shared" si="13"/>
        <v/>
      </c>
      <c r="AG21" s="76">
        <f t="shared" si="14"/>
        <v>0</v>
      </c>
      <c r="AH21" s="76">
        <f t="shared" si="15"/>
        <v>0</v>
      </c>
      <c r="AI21" s="75">
        <f t="shared" si="16"/>
        <v>0</v>
      </c>
      <c r="AJ21" s="47"/>
      <c r="AL21" s="47"/>
      <c r="AN21" s="47"/>
      <c r="AO21" s="47" t="str">
        <f t="shared" si="9"/>
        <v/>
      </c>
    </row>
    <row r="22" spans="1:41" s="56" customFormat="1" ht="14">
      <c r="A22" s="44"/>
      <c r="B22" s="45"/>
      <c r="C22" s="46">
        <f t="shared" si="0"/>
        <v>0</v>
      </c>
      <c r="D22" s="47"/>
      <c r="E22" s="47"/>
      <c r="F22" s="47"/>
      <c r="G22" s="47"/>
      <c r="H22" s="48"/>
      <c r="I22" s="74" t="str">
        <f t="shared" si="1"/>
        <v/>
      </c>
      <c r="J22" s="49"/>
      <c r="K22" s="49"/>
      <c r="L22" s="49"/>
      <c r="M22" s="47"/>
      <c r="N22" s="48" t="str">
        <f t="shared" si="2"/>
        <v/>
      </c>
      <c r="O22" s="48" t="str">
        <f t="shared" si="3"/>
        <v/>
      </c>
      <c r="P22" s="75" t="str">
        <f t="shared" si="4"/>
        <v/>
      </c>
      <c r="Q22" s="76">
        <f t="shared" si="5"/>
        <v>0</v>
      </c>
      <c r="R22" s="76">
        <f t="shared" si="6"/>
        <v>0</v>
      </c>
      <c r="S22" s="75">
        <f t="shared" si="10"/>
        <v>0</v>
      </c>
      <c r="T22" s="47"/>
      <c r="V22" s="57"/>
      <c r="W22" s="45"/>
      <c r="X22" s="46">
        <f t="shared" si="7"/>
        <v>0</v>
      </c>
      <c r="Y22" s="74" t="str">
        <f t="shared" si="8"/>
        <v/>
      </c>
      <c r="Z22" s="49"/>
      <c r="AA22" s="49"/>
      <c r="AB22" s="49"/>
      <c r="AC22" s="47"/>
      <c r="AD22" s="48" t="str">
        <f t="shared" si="11"/>
        <v/>
      </c>
      <c r="AE22" s="48" t="str">
        <f t="shared" si="12"/>
        <v/>
      </c>
      <c r="AF22" s="75" t="str">
        <f t="shared" si="13"/>
        <v/>
      </c>
      <c r="AG22" s="76">
        <f t="shared" si="14"/>
        <v>0</v>
      </c>
      <c r="AH22" s="76">
        <f t="shared" si="15"/>
        <v>0</v>
      </c>
      <c r="AI22" s="75">
        <f t="shared" si="16"/>
        <v>0</v>
      </c>
      <c r="AJ22" s="47"/>
      <c r="AL22" s="47"/>
      <c r="AN22" s="47"/>
      <c r="AO22" s="47" t="str">
        <f t="shared" si="9"/>
        <v/>
      </c>
    </row>
    <row r="23" spans="1:41" s="56" customFormat="1" ht="14">
      <c r="A23" s="44"/>
      <c r="B23" s="45"/>
      <c r="C23" s="46">
        <f t="shared" si="0"/>
        <v>0</v>
      </c>
      <c r="D23" s="47"/>
      <c r="E23" s="47"/>
      <c r="F23" s="47"/>
      <c r="G23" s="47"/>
      <c r="H23" s="48"/>
      <c r="I23" s="74" t="str">
        <f t="shared" si="1"/>
        <v/>
      </c>
      <c r="J23" s="49"/>
      <c r="K23" s="49"/>
      <c r="L23" s="49"/>
      <c r="M23" s="47"/>
      <c r="N23" s="48" t="str">
        <f t="shared" si="2"/>
        <v/>
      </c>
      <c r="O23" s="48" t="str">
        <f t="shared" si="3"/>
        <v/>
      </c>
      <c r="P23" s="75" t="str">
        <f t="shared" si="4"/>
        <v/>
      </c>
      <c r="Q23" s="76">
        <f t="shared" si="5"/>
        <v>0</v>
      </c>
      <c r="R23" s="76">
        <f t="shared" si="6"/>
        <v>0</v>
      </c>
      <c r="S23" s="75">
        <f t="shared" si="10"/>
        <v>0</v>
      </c>
      <c r="T23" s="47"/>
      <c r="V23" s="57"/>
      <c r="W23" s="45"/>
      <c r="X23" s="46">
        <f t="shared" si="7"/>
        <v>0</v>
      </c>
      <c r="Y23" s="74" t="str">
        <f t="shared" si="8"/>
        <v/>
      </c>
      <c r="Z23" s="49"/>
      <c r="AA23" s="49"/>
      <c r="AB23" s="49"/>
      <c r="AC23" s="47"/>
      <c r="AD23" s="48" t="str">
        <f t="shared" si="11"/>
        <v/>
      </c>
      <c r="AE23" s="48" t="str">
        <f t="shared" si="12"/>
        <v/>
      </c>
      <c r="AF23" s="75" t="str">
        <f t="shared" si="13"/>
        <v/>
      </c>
      <c r="AG23" s="76">
        <f t="shared" si="14"/>
        <v>0</v>
      </c>
      <c r="AH23" s="76">
        <f t="shared" si="15"/>
        <v>0</v>
      </c>
      <c r="AI23" s="75">
        <f t="shared" si="16"/>
        <v>0</v>
      </c>
      <c r="AJ23" s="47"/>
      <c r="AL23" s="47"/>
      <c r="AN23" s="47"/>
      <c r="AO23" s="47" t="str">
        <f t="shared" si="9"/>
        <v/>
      </c>
    </row>
    <row r="24" spans="1:41" s="56" customFormat="1" ht="14">
      <c r="A24" s="44"/>
      <c r="B24" s="45"/>
      <c r="C24" s="46">
        <f t="shared" si="0"/>
        <v>0</v>
      </c>
      <c r="D24" s="47"/>
      <c r="E24" s="47"/>
      <c r="F24" s="47"/>
      <c r="G24" s="47"/>
      <c r="H24" s="48"/>
      <c r="I24" s="74" t="str">
        <f t="shared" si="1"/>
        <v/>
      </c>
      <c r="J24" s="49"/>
      <c r="K24" s="49"/>
      <c r="L24" s="49"/>
      <c r="M24" s="47"/>
      <c r="N24" s="48" t="str">
        <f t="shared" si="2"/>
        <v/>
      </c>
      <c r="O24" s="48" t="str">
        <f t="shared" si="3"/>
        <v/>
      </c>
      <c r="P24" s="75" t="str">
        <f t="shared" si="4"/>
        <v/>
      </c>
      <c r="Q24" s="76">
        <f t="shared" si="5"/>
        <v>0</v>
      </c>
      <c r="R24" s="76">
        <f t="shared" si="6"/>
        <v>0</v>
      </c>
      <c r="S24" s="75">
        <f t="shared" si="10"/>
        <v>0</v>
      </c>
      <c r="T24" s="47"/>
      <c r="V24" s="57"/>
      <c r="W24" s="45"/>
      <c r="X24" s="46">
        <f t="shared" si="7"/>
        <v>0</v>
      </c>
      <c r="Y24" s="74" t="str">
        <f t="shared" si="8"/>
        <v/>
      </c>
      <c r="Z24" s="49"/>
      <c r="AA24" s="49"/>
      <c r="AB24" s="49"/>
      <c r="AC24" s="47"/>
      <c r="AD24" s="48" t="str">
        <f t="shared" si="11"/>
        <v/>
      </c>
      <c r="AE24" s="48" t="str">
        <f t="shared" si="12"/>
        <v/>
      </c>
      <c r="AF24" s="75" t="str">
        <f t="shared" si="13"/>
        <v/>
      </c>
      <c r="AG24" s="76">
        <f t="shared" si="14"/>
        <v>0</v>
      </c>
      <c r="AH24" s="76">
        <f t="shared" si="15"/>
        <v>0</v>
      </c>
      <c r="AI24" s="75">
        <f t="shared" si="16"/>
        <v>0</v>
      </c>
      <c r="AJ24" s="47"/>
      <c r="AL24" s="47"/>
      <c r="AN24" s="47"/>
      <c r="AO24" s="47" t="str">
        <f t="shared" si="9"/>
        <v/>
      </c>
    </row>
    <row r="25" spans="1:41" s="56" customFormat="1" ht="14">
      <c r="A25" s="44"/>
      <c r="B25" s="45"/>
      <c r="C25" s="46">
        <f t="shared" si="0"/>
        <v>0</v>
      </c>
      <c r="D25" s="47"/>
      <c r="E25" s="47"/>
      <c r="F25" s="47"/>
      <c r="G25" s="47"/>
      <c r="H25" s="48"/>
      <c r="I25" s="74" t="str">
        <f t="shared" si="1"/>
        <v/>
      </c>
      <c r="J25" s="49"/>
      <c r="K25" s="49"/>
      <c r="L25" s="49"/>
      <c r="M25" s="47"/>
      <c r="N25" s="48" t="str">
        <f t="shared" si="2"/>
        <v/>
      </c>
      <c r="O25" s="48" t="str">
        <f t="shared" si="3"/>
        <v/>
      </c>
      <c r="P25" s="75" t="str">
        <f t="shared" si="4"/>
        <v/>
      </c>
      <c r="Q25" s="76">
        <f t="shared" si="5"/>
        <v>0</v>
      </c>
      <c r="R25" s="76">
        <f t="shared" si="6"/>
        <v>0</v>
      </c>
      <c r="S25" s="75">
        <f t="shared" si="10"/>
        <v>0</v>
      </c>
      <c r="T25" s="47"/>
      <c r="V25" s="57"/>
      <c r="W25" s="45"/>
      <c r="X25" s="46">
        <f t="shared" si="7"/>
        <v>0</v>
      </c>
      <c r="Y25" s="74" t="str">
        <f t="shared" si="8"/>
        <v/>
      </c>
      <c r="Z25" s="49"/>
      <c r="AA25" s="49"/>
      <c r="AB25" s="49"/>
      <c r="AC25" s="47"/>
      <c r="AD25" s="48" t="str">
        <f t="shared" si="11"/>
        <v/>
      </c>
      <c r="AE25" s="48" t="str">
        <f t="shared" si="12"/>
        <v/>
      </c>
      <c r="AF25" s="75" t="str">
        <f t="shared" si="13"/>
        <v/>
      </c>
      <c r="AG25" s="76">
        <f t="shared" si="14"/>
        <v>0</v>
      </c>
      <c r="AH25" s="76">
        <f t="shared" si="15"/>
        <v>0</v>
      </c>
      <c r="AI25" s="75">
        <f t="shared" si="16"/>
        <v>0</v>
      </c>
      <c r="AJ25" s="47"/>
      <c r="AL25" s="47"/>
      <c r="AN25" s="47"/>
      <c r="AO25" s="47" t="str">
        <f t="shared" si="9"/>
        <v/>
      </c>
    </row>
    <row r="26" spans="1:41" s="56" customFormat="1" ht="14">
      <c r="A26" s="44"/>
      <c r="B26" s="45"/>
      <c r="C26" s="46">
        <f t="shared" si="0"/>
        <v>0</v>
      </c>
      <c r="D26" s="47"/>
      <c r="E26" s="47"/>
      <c r="F26" s="47"/>
      <c r="G26" s="47"/>
      <c r="H26" s="48"/>
      <c r="I26" s="74" t="str">
        <f t="shared" si="1"/>
        <v/>
      </c>
      <c r="J26" s="49"/>
      <c r="K26" s="49"/>
      <c r="L26" s="49"/>
      <c r="M26" s="47"/>
      <c r="N26" s="48" t="str">
        <f t="shared" si="2"/>
        <v/>
      </c>
      <c r="O26" s="48" t="str">
        <f t="shared" si="3"/>
        <v/>
      </c>
      <c r="P26" s="75" t="str">
        <f t="shared" si="4"/>
        <v/>
      </c>
      <c r="Q26" s="76">
        <f t="shared" si="5"/>
        <v>0</v>
      </c>
      <c r="R26" s="76">
        <f t="shared" si="6"/>
        <v>0</v>
      </c>
      <c r="S26" s="75">
        <f t="shared" si="10"/>
        <v>0</v>
      </c>
      <c r="T26" s="47"/>
      <c r="V26" s="57"/>
      <c r="W26" s="45"/>
      <c r="X26" s="46">
        <f t="shared" si="7"/>
        <v>0</v>
      </c>
      <c r="Y26" s="74" t="str">
        <f t="shared" si="8"/>
        <v/>
      </c>
      <c r="Z26" s="49"/>
      <c r="AA26" s="49"/>
      <c r="AB26" s="49"/>
      <c r="AC26" s="47"/>
      <c r="AD26" s="48" t="str">
        <f t="shared" si="11"/>
        <v/>
      </c>
      <c r="AE26" s="48" t="str">
        <f t="shared" si="12"/>
        <v/>
      </c>
      <c r="AF26" s="75" t="str">
        <f t="shared" si="13"/>
        <v/>
      </c>
      <c r="AG26" s="76">
        <f t="shared" si="14"/>
        <v>0</v>
      </c>
      <c r="AH26" s="76">
        <f t="shared" si="15"/>
        <v>0</v>
      </c>
      <c r="AI26" s="75">
        <f t="shared" si="16"/>
        <v>0</v>
      </c>
      <c r="AJ26" s="47"/>
      <c r="AL26" s="47"/>
      <c r="AN26" s="47"/>
      <c r="AO26" s="47" t="str">
        <f t="shared" si="9"/>
        <v/>
      </c>
    </row>
    <row r="27" spans="1:41" s="56" customFormat="1" ht="14">
      <c r="A27" s="44"/>
      <c r="B27" s="45"/>
      <c r="C27" s="46">
        <f t="shared" si="0"/>
        <v>0</v>
      </c>
      <c r="D27" s="47"/>
      <c r="E27" s="47"/>
      <c r="F27" s="47"/>
      <c r="G27" s="47"/>
      <c r="H27" s="48"/>
      <c r="I27" s="74" t="str">
        <f t="shared" si="1"/>
        <v/>
      </c>
      <c r="J27" s="49"/>
      <c r="K27" s="49"/>
      <c r="L27" s="49"/>
      <c r="M27" s="47"/>
      <c r="N27" s="48" t="str">
        <f t="shared" si="2"/>
        <v/>
      </c>
      <c r="O27" s="48" t="str">
        <f t="shared" si="3"/>
        <v/>
      </c>
      <c r="P27" s="75" t="str">
        <f t="shared" si="4"/>
        <v/>
      </c>
      <c r="Q27" s="76">
        <f t="shared" si="5"/>
        <v>0</v>
      </c>
      <c r="R27" s="76">
        <f t="shared" si="6"/>
        <v>0</v>
      </c>
      <c r="S27" s="75">
        <f t="shared" si="10"/>
        <v>0</v>
      </c>
      <c r="T27" s="47"/>
      <c r="V27" s="57"/>
      <c r="W27" s="45"/>
      <c r="X27" s="46">
        <f t="shared" si="7"/>
        <v>0</v>
      </c>
      <c r="Y27" s="74" t="str">
        <f t="shared" si="8"/>
        <v/>
      </c>
      <c r="Z27" s="49"/>
      <c r="AA27" s="49"/>
      <c r="AB27" s="49"/>
      <c r="AC27" s="47"/>
      <c r="AD27" s="48" t="str">
        <f t="shared" si="11"/>
        <v/>
      </c>
      <c r="AE27" s="48" t="str">
        <f t="shared" si="12"/>
        <v/>
      </c>
      <c r="AF27" s="75" t="str">
        <f t="shared" si="13"/>
        <v/>
      </c>
      <c r="AG27" s="76">
        <f t="shared" si="14"/>
        <v>0</v>
      </c>
      <c r="AH27" s="76">
        <f t="shared" si="15"/>
        <v>0</v>
      </c>
      <c r="AI27" s="75">
        <f t="shared" si="16"/>
        <v>0</v>
      </c>
      <c r="AJ27" s="47"/>
      <c r="AL27" s="47"/>
      <c r="AN27" s="47"/>
      <c r="AO27" s="47" t="str">
        <f t="shared" si="9"/>
        <v/>
      </c>
    </row>
    <row r="28" spans="1:41" s="56" customFormat="1" ht="14">
      <c r="A28" s="44"/>
      <c r="B28" s="45"/>
      <c r="C28" s="46">
        <f t="shared" si="0"/>
        <v>0</v>
      </c>
      <c r="D28" s="47"/>
      <c r="E28" s="47"/>
      <c r="F28" s="47"/>
      <c r="G28" s="47"/>
      <c r="H28" s="48"/>
      <c r="I28" s="74" t="str">
        <f t="shared" si="1"/>
        <v/>
      </c>
      <c r="J28" s="49"/>
      <c r="K28" s="49"/>
      <c r="L28" s="49"/>
      <c r="M28" s="47"/>
      <c r="N28" s="48" t="str">
        <f t="shared" si="2"/>
        <v/>
      </c>
      <c r="O28" s="48" t="str">
        <f t="shared" si="3"/>
        <v/>
      </c>
      <c r="P28" s="75" t="str">
        <f t="shared" si="4"/>
        <v/>
      </c>
      <c r="Q28" s="76">
        <f t="shared" si="5"/>
        <v>0</v>
      </c>
      <c r="R28" s="76">
        <f t="shared" si="6"/>
        <v>0</v>
      </c>
      <c r="S28" s="75">
        <f t="shared" si="10"/>
        <v>0</v>
      </c>
      <c r="T28" s="47"/>
      <c r="V28" s="57"/>
      <c r="W28" s="45"/>
      <c r="X28" s="46">
        <f t="shared" si="7"/>
        <v>0</v>
      </c>
      <c r="Y28" s="74" t="str">
        <f t="shared" si="8"/>
        <v/>
      </c>
      <c r="Z28" s="49"/>
      <c r="AA28" s="49"/>
      <c r="AB28" s="49"/>
      <c r="AC28" s="47"/>
      <c r="AD28" s="48" t="str">
        <f t="shared" si="11"/>
        <v/>
      </c>
      <c r="AE28" s="48" t="str">
        <f t="shared" si="12"/>
        <v/>
      </c>
      <c r="AF28" s="75" t="str">
        <f t="shared" si="13"/>
        <v/>
      </c>
      <c r="AG28" s="76">
        <f t="shared" si="14"/>
        <v>0</v>
      </c>
      <c r="AH28" s="76">
        <f t="shared" si="15"/>
        <v>0</v>
      </c>
      <c r="AI28" s="75">
        <f t="shared" si="16"/>
        <v>0</v>
      </c>
      <c r="AJ28" s="47"/>
      <c r="AL28" s="47"/>
      <c r="AN28" s="47"/>
      <c r="AO28" s="47" t="str">
        <f t="shared" si="9"/>
        <v/>
      </c>
    </row>
    <row r="29" spans="1:41" s="56" customFormat="1" ht="14">
      <c r="A29" s="44"/>
      <c r="B29" s="45"/>
      <c r="C29" s="46">
        <f t="shared" si="0"/>
        <v>0</v>
      </c>
      <c r="D29" s="47"/>
      <c r="E29" s="47"/>
      <c r="F29" s="47"/>
      <c r="G29" s="47"/>
      <c r="H29" s="48"/>
      <c r="I29" s="74" t="str">
        <f t="shared" si="1"/>
        <v/>
      </c>
      <c r="J29" s="49"/>
      <c r="K29" s="49"/>
      <c r="L29" s="49"/>
      <c r="M29" s="47"/>
      <c r="N29" s="48" t="str">
        <f t="shared" si="2"/>
        <v/>
      </c>
      <c r="O29" s="48" t="str">
        <f t="shared" si="3"/>
        <v/>
      </c>
      <c r="P29" s="75" t="str">
        <f t="shared" si="4"/>
        <v/>
      </c>
      <c r="Q29" s="76">
        <f t="shared" si="5"/>
        <v>0</v>
      </c>
      <c r="R29" s="76">
        <f t="shared" si="6"/>
        <v>0</v>
      </c>
      <c r="S29" s="75">
        <f t="shared" si="10"/>
        <v>0</v>
      </c>
      <c r="T29" s="47"/>
      <c r="V29" s="57"/>
      <c r="W29" s="45"/>
      <c r="X29" s="46">
        <f t="shared" si="7"/>
        <v>0</v>
      </c>
      <c r="Y29" s="74" t="str">
        <f t="shared" si="8"/>
        <v/>
      </c>
      <c r="Z29" s="49"/>
      <c r="AA29" s="49"/>
      <c r="AB29" s="49"/>
      <c r="AC29" s="47"/>
      <c r="AD29" s="48" t="str">
        <f t="shared" si="11"/>
        <v/>
      </c>
      <c r="AE29" s="48" t="str">
        <f t="shared" si="12"/>
        <v/>
      </c>
      <c r="AF29" s="75" t="str">
        <f t="shared" si="13"/>
        <v/>
      </c>
      <c r="AG29" s="76">
        <f t="shared" si="14"/>
        <v>0</v>
      </c>
      <c r="AH29" s="76">
        <f t="shared" si="15"/>
        <v>0</v>
      </c>
      <c r="AI29" s="75">
        <f t="shared" si="16"/>
        <v>0</v>
      </c>
      <c r="AJ29" s="47"/>
      <c r="AL29" s="47"/>
      <c r="AN29" s="47"/>
      <c r="AO29" s="47" t="str">
        <f t="shared" si="9"/>
        <v/>
      </c>
    </row>
    <row r="30" spans="1:41" s="56" customFormat="1" ht="14">
      <c r="A30" s="44"/>
      <c r="B30" s="45"/>
      <c r="C30" s="46">
        <f t="shared" si="0"/>
        <v>0</v>
      </c>
      <c r="D30" s="47"/>
      <c r="E30" s="47"/>
      <c r="F30" s="47"/>
      <c r="G30" s="47"/>
      <c r="H30" s="48"/>
      <c r="I30" s="74" t="str">
        <f t="shared" si="1"/>
        <v/>
      </c>
      <c r="J30" s="49"/>
      <c r="K30" s="49"/>
      <c r="L30" s="49"/>
      <c r="M30" s="47"/>
      <c r="N30" s="48" t="str">
        <f t="shared" si="2"/>
        <v/>
      </c>
      <c r="O30" s="48" t="str">
        <f t="shared" si="3"/>
        <v/>
      </c>
      <c r="P30" s="75" t="str">
        <f t="shared" si="4"/>
        <v/>
      </c>
      <c r="Q30" s="76">
        <f t="shared" si="5"/>
        <v>0</v>
      </c>
      <c r="R30" s="76">
        <f t="shared" si="6"/>
        <v>0</v>
      </c>
      <c r="S30" s="75">
        <f t="shared" si="10"/>
        <v>0</v>
      </c>
      <c r="T30" s="47"/>
      <c r="V30" s="57"/>
      <c r="W30" s="45"/>
      <c r="X30" s="46">
        <f t="shared" si="7"/>
        <v>0</v>
      </c>
      <c r="Y30" s="74" t="str">
        <f t="shared" si="8"/>
        <v/>
      </c>
      <c r="Z30" s="49"/>
      <c r="AA30" s="49"/>
      <c r="AB30" s="49"/>
      <c r="AC30" s="47"/>
      <c r="AD30" s="48" t="str">
        <f t="shared" si="11"/>
        <v/>
      </c>
      <c r="AE30" s="48" t="str">
        <f t="shared" si="12"/>
        <v/>
      </c>
      <c r="AF30" s="75" t="str">
        <f t="shared" si="13"/>
        <v/>
      </c>
      <c r="AG30" s="76">
        <f t="shared" si="14"/>
        <v>0</v>
      </c>
      <c r="AH30" s="76">
        <f t="shared" si="15"/>
        <v>0</v>
      </c>
      <c r="AI30" s="75">
        <f t="shared" si="16"/>
        <v>0</v>
      </c>
      <c r="AJ30" s="47"/>
      <c r="AL30" s="47"/>
      <c r="AN30" s="47"/>
      <c r="AO30" s="47" t="str">
        <f t="shared" si="9"/>
        <v/>
      </c>
    </row>
    <row r="31" spans="1:41" s="56" customFormat="1" ht="14">
      <c r="A31" s="44"/>
      <c r="B31" s="45"/>
      <c r="C31" s="46">
        <f t="shared" si="0"/>
        <v>0</v>
      </c>
      <c r="D31" s="47"/>
      <c r="E31" s="47"/>
      <c r="F31" s="47"/>
      <c r="G31" s="47"/>
      <c r="H31" s="48"/>
      <c r="I31" s="74" t="str">
        <f t="shared" si="1"/>
        <v/>
      </c>
      <c r="J31" s="49"/>
      <c r="K31" s="49"/>
      <c r="L31" s="49"/>
      <c r="M31" s="47"/>
      <c r="N31" s="48" t="str">
        <f t="shared" si="2"/>
        <v/>
      </c>
      <c r="O31" s="48" t="str">
        <f t="shared" si="3"/>
        <v/>
      </c>
      <c r="P31" s="75" t="str">
        <f t="shared" si="4"/>
        <v/>
      </c>
      <c r="Q31" s="76">
        <f t="shared" si="5"/>
        <v>0</v>
      </c>
      <c r="R31" s="76">
        <f t="shared" si="6"/>
        <v>0</v>
      </c>
      <c r="S31" s="75">
        <f t="shared" si="10"/>
        <v>0</v>
      </c>
      <c r="T31" s="47"/>
      <c r="V31" s="57"/>
      <c r="W31" s="45"/>
      <c r="X31" s="46">
        <f t="shared" si="7"/>
        <v>0</v>
      </c>
      <c r="Y31" s="74" t="str">
        <f t="shared" si="8"/>
        <v/>
      </c>
      <c r="Z31" s="49"/>
      <c r="AA31" s="49"/>
      <c r="AB31" s="49"/>
      <c r="AC31" s="47"/>
      <c r="AD31" s="48" t="str">
        <f t="shared" si="11"/>
        <v/>
      </c>
      <c r="AE31" s="48" t="str">
        <f t="shared" si="12"/>
        <v/>
      </c>
      <c r="AF31" s="75" t="str">
        <f t="shared" si="13"/>
        <v/>
      </c>
      <c r="AG31" s="76">
        <f t="shared" si="14"/>
        <v>0</v>
      </c>
      <c r="AH31" s="76">
        <f t="shared" si="15"/>
        <v>0</v>
      </c>
      <c r="AI31" s="75">
        <f t="shared" si="16"/>
        <v>0</v>
      </c>
      <c r="AJ31" s="47"/>
      <c r="AL31" s="47"/>
      <c r="AN31" s="47"/>
      <c r="AO31" s="47" t="str">
        <f t="shared" si="9"/>
        <v/>
      </c>
    </row>
    <row r="32" spans="1:41" s="56" customFormat="1" ht="14">
      <c r="A32" s="44"/>
      <c r="B32" s="45"/>
      <c r="C32" s="46">
        <f t="shared" si="0"/>
        <v>0</v>
      </c>
      <c r="D32" s="47"/>
      <c r="E32" s="47"/>
      <c r="F32" s="47"/>
      <c r="G32" s="47"/>
      <c r="H32" s="48"/>
      <c r="I32" s="74" t="str">
        <f t="shared" si="1"/>
        <v/>
      </c>
      <c r="J32" s="49"/>
      <c r="K32" s="49"/>
      <c r="L32" s="49"/>
      <c r="M32" s="47"/>
      <c r="N32" s="48" t="str">
        <f t="shared" si="2"/>
        <v/>
      </c>
      <c r="O32" s="48" t="str">
        <f t="shared" si="3"/>
        <v/>
      </c>
      <c r="P32" s="75" t="str">
        <f t="shared" si="4"/>
        <v/>
      </c>
      <c r="Q32" s="76">
        <f t="shared" si="5"/>
        <v>0</v>
      </c>
      <c r="R32" s="76">
        <f t="shared" si="6"/>
        <v>0</v>
      </c>
      <c r="S32" s="75">
        <f t="shared" si="10"/>
        <v>0</v>
      </c>
      <c r="T32" s="47"/>
      <c r="V32" s="57"/>
      <c r="W32" s="45"/>
      <c r="X32" s="46">
        <f t="shared" si="7"/>
        <v>0</v>
      </c>
      <c r="Y32" s="74" t="str">
        <f t="shared" si="8"/>
        <v/>
      </c>
      <c r="Z32" s="49"/>
      <c r="AA32" s="49"/>
      <c r="AB32" s="49"/>
      <c r="AC32" s="47"/>
      <c r="AD32" s="48" t="str">
        <f t="shared" si="11"/>
        <v/>
      </c>
      <c r="AE32" s="48" t="str">
        <f t="shared" si="12"/>
        <v/>
      </c>
      <c r="AF32" s="75" t="str">
        <f t="shared" si="13"/>
        <v/>
      </c>
      <c r="AG32" s="76">
        <f t="shared" si="14"/>
        <v>0</v>
      </c>
      <c r="AH32" s="76">
        <f t="shared" si="15"/>
        <v>0</v>
      </c>
      <c r="AI32" s="75">
        <f t="shared" si="16"/>
        <v>0</v>
      </c>
      <c r="AJ32" s="47"/>
      <c r="AL32" s="47"/>
      <c r="AN32" s="47"/>
      <c r="AO32" s="47" t="str">
        <f t="shared" si="9"/>
        <v/>
      </c>
    </row>
    <row r="33" spans="1:41" s="56" customFormat="1" ht="14">
      <c r="A33" s="44"/>
      <c r="B33" s="45"/>
      <c r="C33" s="46">
        <f t="shared" si="0"/>
        <v>0</v>
      </c>
      <c r="D33" s="47"/>
      <c r="E33" s="47"/>
      <c r="F33" s="47"/>
      <c r="G33" s="47"/>
      <c r="H33" s="48"/>
      <c r="I33" s="74" t="str">
        <f t="shared" si="1"/>
        <v/>
      </c>
      <c r="J33" s="49"/>
      <c r="K33" s="49"/>
      <c r="L33" s="49"/>
      <c r="M33" s="47"/>
      <c r="N33" s="48" t="str">
        <f t="shared" si="2"/>
        <v/>
      </c>
      <c r="O33" s="48" t="str">
        <f t="shared" si="3"/>
        <v/>
      </c>
      <c r="P33" s="75" t="str">
        <f t="shared" si="4"/>
        <v/>
      </c>
      <c r="Q33" s="76">
        <f t="shared" si="5"/>
        <v>0</v>
      </c>
      <c r="R33" s="76">
        <f t="shared" si="6"/>
        <v>0</v>
      </c>
      <c r="S33" s="75">
        <f t="shared" si="10"/>
        <v>0</v>
      </c>
      <c r="T33" s="47"/>
      <c r="V33" s="57"/>
      <c r="W33" s="45"/>
      <c r="X33" s="46">
        <f t="shared" si="7"/>
        <v>0</v>
      </c>
      <c r="Y33" s="74" t="str">
        <f t="shared" si="8"/>
        <v/>
      </c>
      <c r="Z33" s="49"/>
      <c r="AA33" s="49"/>
      <c r="AB33" s="49"/>
      <c r="AC33" s="47"/>
      <c r="AD33" s="48" t="str">
        <f t="shared" si="11"/>
        <v/>
      </c>
      <c r="AE33" s="48" t="str">
        <f t="shared" si="12"/>
        <v/>
      </c>
      <c r="AF33" s="75" t="str">
        <f t="shared" si="13"/>
        <v/>
      </c>
      <c r="AG33" s="76">
        <f t="shared" si="14"/>
        <v>0</v>
      </c>
      <c r="AH33" s="76">
        <f t="shared" si="15"/>
        <v>0</v>
      </c>
      <c r="AI33" s="75">
        <f t="shared" si="16"/>
        <v>0</v>
      </c>
      <c r="AJ33" s="47"/>
      <c r="AL33" s="47"/>
      <c r="AN33" s="47"/>
      <c r="AO33" s="47" t="str">
        <f t="shared" si="9"/>
        <v/>
      </c>
    </row>
    <row r="34" spans="1:41" s="56" customFormat="1" ht="14">
      <c r="A34" s="44"/>
      <c r="B34" s="45"/>
      <c r="C34" s="46">
        <f t="shared" si="0"/>
        <v>0</v>
      </c>
      <c r="D34" s="47"/>
      <c r="E34" s="47"/>
      <c r="F34" s="47"/>
      <c r="G34" s="47"/>
      <c r="H34" s="48"/>
      <c r="I34" s="74" t="str">
        <f t="shared" si="1"/>
        <v/>
      </c>
      <c r="J34" s="49"/>
      <c r="K34" s="49"/>
      <c r="L34" s="49"/>
      <c r="M34" s="47"/>
      <c r="N34" s="48" t="str">
        <f t="shared" si="2"/>
        <v/>
      </c>
      <c r="O34" s="48" t="str">
        <f t="shared" si="3"/>
        <v/>
      </c>
      <c r="P34" s="75" t="str">
        <f t="shared" si="4"/>
        <v/>
      </c>
      <c r="Q34" s="76">
        <f t="shared" si="5"/>
        <v>0</v>
      </c>
      <c r="R34" s="76">
        <f t="shared" si="6"/>
        <v>0</v>
      </c>
      <c r="S34" s="75">
        <f t="shared" si="10"/>
        <v>0</v>
      </c>
      <c r="T34" s="47"/>
      <c r="V34" s="57"/>
      <c r="W34" s="45"/>
      <c r="X34" s="46">
        <f t="shared" si="7"/>
        <v>0</v>
      </c>
      <c r="Y34" s="74" t="str">
        <f t="shared" si="8"/>
        <v/>
      </c>
      <c r="Z34" s="49"/>
      <c r="AA34" s="49"/>
      <c r="AB34" s="49"/>
      <c r="AC34" s="47"/>
      <c r="AD34" s="48" t="str">
        <f t="shared" si="11"/>
        <v/>
      </c>
      <c r="AE34" s="48" t="str">
        <f t="shared" si="12"/>
        <v/>
      </c>
      <c r="AF34" s="75" t="str">
        <f t="shared" si="13"/>
        <v/>
      </c>
      <c r="AG34" s="76">
        <f t="shared" si="14"/>
        <v>0</v>
      </c>
      <c r="AH34" s="76">
        <f t="shared" si="15"/>
        <v>0</v>
      </c>
      <c r="AI34" s="75">
        <f t="shared" si="16"/>
        <v>0</v>
      </c>
      <c r="AJ34" s="47"/>
      <c r="AL34" s="47"/>
      <c r="AN34" s="47"/>
      <c r="AO34" s="47" t="str">
        <f t="shared" si="9"/>
        <v/>
      </c>
    </row>
    <row r="35" spans="1:41" s="56" customFormat="1" ht="14">
      <c r="A35" s="44"/>
      <c r="B35" s="45"/>
      <c r="C35" s="46">
        <f t="shared" si="0"/>
        <v>0</v>
      </c>
      <c r="D35" s="47"/>
      <c r="E35" s="47"/>
      <c r="F35" s="47"/>
      <c r="G35" s="47"/>
      <c r="H35" s="48"/>
      <c r="I35" s="74" t="str">
        <f t="shared" si="1"/>
        <v/>
      </c>
      <c r="J35" s="49"/>
      <c r="K35" s="49"/>
      <c r="L35" s="49"/>
      <c r="M35" s="47"/>
      <c r="N35" s="48" t="str">
        <f t="shared" si="2"/>
        <v/>
      </c>
      <c r="O35" s="48" t="str">
        <f t="shared" si="3"/>
        <v/>
      </c>
      <c r="P35" s="75" t="str">
        <f t="shared" si="4"/>
        <v/>
      </c>
      <c r="Q35" s="76">
        <f t="shared" si="5"/>
        <v>0</v>
      </c>
      <c r="R35" s="76">
        <f t="shared" si="6"/>
        <v>0</v>
      </c>
      <c r="S35" s="75">
        <f t="shared" si="10"/>
        <v>0</v>
      </c>
      <c r="T35" s="47"/>
      <c r="V35" s="57"/>
      <c r="W35" s="45"/>
      <c r="X35" s="46">
        <f t="shared" si="7"/>
        <v>0</v>
      </c>
      <c r="Y35" s="74" t="str">
        <f t="shared" si="8"/>
        <v/>
      </c>
      <c r="Z35" s="49"/>
      <c r="AA35" s="49"/>
      <c r="AB35" s="49"/>
      <c r="AC35" s="47"/>
      <c r="AD35" s="48" t="str">
        <f t="shared" si="11"/>
        <v/>
      </c>
      <c r="AE35" s="48" t="str">
        <f t="shared" si="12"/>
        <v/>
      </c>
      <c r="AF35" s="75" t="str">
        <f t="shared" si="13"/>
        <v/>
      </c>
      <c r="AG35" s="76">
        <f t="shared" si="14"/>
        <v>0</v>
      </c>
      <c r="AH35" s="76">
        <f t="shared" si="15"/>
        <v>0</v>
      </c>
      <c r="AI35" s="75">
        <f t="shared" si="16"/>
        <v>0</v>
      </c>
      <c r="AJ35" s="47"/>
      <c r="AL35" s="47"/>
      <c r="AN35" s="47"/>
      <c r="AO35" s="47" t="str">
        <f t="shared" si="9"/>
        <v/>
      </c>
    </row>
    <row r="36" spans="1:41" s="56" customFormat="1" ht="14">
      <c r="A36" s="44"/>
      <c r="B36" s="45"/>
      <c r="C36" s="46">
        <f t="shared" si="0"/>
        <v>0</v>
      </c>
      <c r="D36" s="47"/>
      <c r="E36" s="47"/>
      <c r="F36" s="47"/>
      <c r="G36" s="47"/>
      <c r="H36" s="48"/>
      <c r="I36" s="74" t="str">
        <f t="shared" si="1"/>
        <v/>
      </c>
      <c r="J36" s="49"/>
      <c r="K36" s="49"/>
      <c r="L36" s="49"/>
      <c r="M36" s="47"/>
      <c r="N36" s="48" t="str">
        <f t="shared" si="2"/>
        <v/>
      </c>
      <c r="O36" s="48" t="str">
        <f t="shared" si="3"/>
        <v/>
      </c>
      <c r="P36" s="75" t="str">
        <f t="shared" si="4"/>
        <v/>
      </c>
      <c r="Q36" s="76">
        <f t="shared" si="5"/>
        <v>0</v>
      </c>
      <c r="R36" s="76">
        <f t="shared" si="6"/>
        <v>0</v>
      </c>
      <c r="S36" s="75">
        <f t="shared" si="10"/>
        <v>0</v>
      </c>
      <c r="T36" s="47"/>
      <c r="V36" s="57"/>
      <c r="W36" s="45"/>
      <c r="X36" s="46">
        <f t="shared" si="7"/>
        <v>0</v>
      </c>
      <c r="Y36" s="74" t="str">
        <f t="shared" si="8"/>
        <v/>
      </c>
      <c r="Z36" s="49"/>
      <c r="AA36" s="49"/>
      <c r="AB36" s="49"/>
      <c r="AC36" s="47"/>
      <c r="AD36" s="48" t="str">
        <f t="shared" si="11"/>
        <v/>
      </c>
      <c r="AE36" s="48" t="str">
        <f t="shared" si="12"/>
        <v/>
      </c>
      <c r="AF36" s="75" t="str">
        <f t="shared" si="13"/>
        <v/>
      </c>
      <c r="AG36" s="76">
        <f t="shared" si="14"/>
        <v>0</v>
      </c>
      <c r="AH36" s="76">
        <f t="shared" si="15"/>
        <v>0</v>
      </c>
      <c r="AI36" s="75">
        <f t="shared" si="16"/>
        <v>0</v>
      </c>
      <c r="AJ36" s="47"/>
      <c r="AL36" s="47"/>
      <c r="AN36" s="47"/>
      <c r="AO36" s="47" t="str">
        <f t="shared" si="9"/>
        <v/>
      </c>
    </row>
    <row r="37" spans="1:41" s="56" customFormat="1" ht="14">
      <c r="A37" s="44"/>
      <c r="B37" s="45"/>
      <c r="C37" s="46">
        <f t="shared" si="0"/>
        <v>0</v>
      </c>
      <c r="D37" s="47"/>
      <c r="E37" s="47"/>
      <c r="F37" s="47"/>
      <c r="G37" s="47"/>
      <c r="H37" s="48"/>
      <c r="I37" s="74" t="str">
        <f t="shared" si="1"/>
        <v/>
      </c>
      <c r="J37" s="49"/>
      <c r="K37" s="49"/>
      <c r="L37" s="49"/>
      <c r="M37" s="47"/>
      <c r="N37" s="48" t="str">
        <f t="shared" si="2"/>
        <v/>
      </c>
      <c r="O37" s="48" t="str">
        <f t="shared" si="3"/>
        <v/>
      </c>
      <c r="P37" s="75" t="str">
        <f t="shared" si="4"/>
        <v/>
      </c>
      <c r="Q37" s="76">
        <f t="shared" si="5"/>
        <v>0</v>
      </c>
      <c r="R37" s="76">
        <f t="shared" si="6"/>
        <v>0</v>
      </c>
      <c r="S37" s="75">
        <f t="shared" si="10"/>
        <v>0</v>
      </c>
      <c r="T37" s="47"/>
      <c r="V37" s="57"/>
      <c r="W37" s="45"/>
      <c r="X37" s="46">
        <f t="shared" si="7"/>
        <v>0</v>
      </c>
      <c r="Y37" s="74" t="str">
        <f t="shared" si="8"/>
        <v/>
      </c>
      <c r="Z37" s="49"/>
      <c r="AA37" s="49"/>
      <c r="AB37" s="49"/>
      <c r="AC37" s="47"/>
      <c r="AD37" s="48" t="str">
        <f t="shared" si="11"/>
        <v/>
      </c>
      <c r="AE37" s="48" t="str">
        <f t="shared" si="12"/>
        <v/>
      </c>
      <c r="AF37" s="75" t="str">
        <f t="shared" si="13"/>
        <v/>
      </c>
      <c r="AG37" s="76">
        <f t="shared" si="14"/>
        <v>0</v>
      </c>
      <c r="AH37" s="76">
        <f t="shared" si="15"/>
        <v>0</v>
      </c>
      <c r="AI37" s="75">
        <f t="shared" si="16"/>
        <v>0</v>
      </c>
      <c r="AJ37" s="47"/>
      <c r="AL37" s="47"/>
      <c r="AN37" s="47"/>
      <c r="AO37" s="47" t="str">
        <f t="shared" si="9"/>
        <v/>
      </c>
    </row>
    <row r="38" spans="1:41" s="56" customFormat="1" ht="14">
      <c r="A38" s="44"/>
      <c r="B38" s="45"/>
      <c r="C38" s="46">
        <f t="shared" si="0"/>
        <v>0</v>
      </c>
      <c r="D38" s="47"/>
      <c r="E38" s="47"/>
      <c r="F38" s="47"/>
      <c r="G38" s="47"/>
      <c r="H38" s="48"/>
      <c r="I38" s="74" t="str">
        <f t="shared" si="1"/>
        <v/>
      </c>
      <c r="J38" s="49"/>
      <c r="K38" s="49"/>
      <c r="L38" s="49"/>
      <c r="M38" s="47"/>
      <c r="N38" s="48" t="str">
        <f t="shared" si="2"/>
        <v/>
      </c>
      <c r="O38" s="48" t="str">
        <f t="shared" si="3"/>
        <v/>
      </c>
      <c r="P38" s="75" t="str">
        <f t="shared" si="4"/>
        <v/>
      </c>
      <c r="Q38" s="76">
        <f t="shared" si="5"/>
        <v>0</v>
      </c>
      <c r="R38" s="76">
        <f t="shared" si="6"/>
        <v>0</v>
      </c>
      <c r="S38" s="75">
        <f t="shared" si="10"/>
        <v>0</v>
      </c>
      <c r="T38" s="47"/>
      <c r="V38" s="57"/>
      <c r="W38" s="45"/>
      <c r="X38" s="46">
        <f t="shared" si="7"/>
        <v>0</v>
      </c>
      <c r="Y38" s="74" t="str">
        <f t="shared" si="8"/>
        <v/>
      </c>
      <c r="Z38" s="49"/>
      <c r="AA38" s="49"/>
      <c r="AB38" s="49"/>
      <c r="AC38" s="47"/>
      <c r="AD38" s="48" t="str">
        <f t="shared" si="11"/>
        <v/>
      </c>
      <c r="AE38" s="48" t="str">
        <f t="shared" si="12"/>
        <v/>
      </c>
      <c r="AF38" s="75" t="str">
        <f t="shared" si="13"/>
        <v/>
      </c>
      <c r="AG38" s="76">
        <f t="shared" si="14"/>
        <v>0</v>
      </c>
      <c r="AH38" s="76">
        <f t="shared" si="15"/>
        <v>0</v>
      </c>
      <c r="AI38" s="75">
        <f t="shared" si="16"/>
        <v>0</v>
      </c>
      <c r="AJ38" s="47"/>
      <c r="AL38" s="47"/>
      <c r="AN38" s="47"/>
      <c r="AO38" s="47" t="str">
        <f t="shared" si="9"/>
        <v/>
      </c>
    </row>
    <row r="39" spans="1:41" s="56" customFormat="1" ht="14">
      <c r="A39" s="44"/>
      <c r="B39" s="45"/>
      <c r="C39" s="46">
        <f t="shared" si="0"/>
        <v>0</v>
      </c>
      <c r="D39" s="47"/>
      <c r="E39" s="47"/>
      <c r="F39" s="47"/>
      <c r="G39" s="47"/>
      <c r="H39" s="48"/>
      <c r="I39" s="74" t="str">
        <f t="shared" si="1"/>
        <v/>
      </c>
      <c r="J39" s="49"/>
      <c r="K39" s="49"/>
      <c r="L39" s="49"/>
      <c r="M39" s="47"/>
      <c r="N39" s="48" t="str">
        <f t="shared" si="2"/>
        <v/>
      </c>
      <c r="O39" s="48" t="str">
        <f t="shared" si="3"/>
        <v/>
      </c>
      <c r="P39" s="75" t="str">
        <f t="shared" si="4"/>
        <v/>
      </c>
      <c r="Q39" s="76">
        <f t="shared" si="5"/>
        <v>0</v>
      </c>
      <c r="R39" s="76">
        <f t="shared" si="6"/>
        <v>0</v>
      </c>
      <c r="S39" s="75">
        <f t="shared" si="10"/>
        <v>0</v>
      </c>
      <c r="T39" s="47"/>
      <c r="V39" s="57"/>
      <c r="W39" s="45"/>
      <c r="X39" s="46">
        <f t="shared" si="7"/>
        <v>0</v>
      </c>
      <c r="Y39" s="74" t="str">
        <f t="shared" si="8"/>
        <v/>
      </c>
      <c r="Z39" s="49"/>
      <c r="AA39" s="49"/>
      <c r="AB39" s="49"/>
      <c r="AC39" s="47"/>
      <c r="AD39" s="48" t="str">
        <f t="shared" si="11"/>
        <v/>
      </c>
      <c r="AE39" s="48" t="str">
        <f t="shared" si="12"/>
        <v/>
      </c>
      <c r="AF39" s="75" t="str">
        <f t="shared" si="13"/>
        <v/>
      </c>
      <c r="AG39" s="76">
        <f t="shared" si="14"/>
        <v>0</v>
      </c>
      <c r="AH39" s="76">
        <f t="shared" si="15"/>
        <v>0</v>
      </c>
      <c r="AI39" s="75">
        <f t="shared" si="16"/>
        <v>0</v>
      </c>
      <c r="AJ39" s="47"/>
      <c r="AL39" s="47"/>
      <c r="AN39" s="47"/>
      <c r="AO39" s="47" t="str">
        <f t="shared" si="9"/>
        <v/>
      </c>
    </row>
    <row r="40" spans="1:41" s="56" customFormat="1" ht="14">
      <c r="A40" s="44"/>
      <c r="B40" s="45"/>
      <c r="C40" s="46">
        <f t="shared" si="0"/>
        <v>0</v>
      </c>
      <c r="D40" s="47"/>
      <c r="E40" s="47"/>
      <c r="F40" s="47"/>
      <c r="G40" s="47"/>
      <c r="H40" s="48"/>
      <c r="I40" s="74" t="str">
        <f t="shared" si="1"/>
        <v/>
      </c>
      <c r="J40" s="49"/>
      <c r="K40" s="49"/>
      <c r="L40" s="49"/>
      <c r="M40" s="47"/>
      <c r="N40" s="48" t="str">
        <f t="shared" si="2"/>
        <v/>
      </c>
      <c r="O40" s="48" t="str">
        <f t="shared" si="3"/>
        <v/>
      </c>
      <c r="P40" s="75" t="str">
        <f t="shared" si="4"/>
        <v/>
      </c>
      <c r="Q40" s="76">
        <f t="shared" si="5"/>
        <v>0</v>
      </c>
      <c r="R40" s="76">
        <f t="shared" si="6"/>
        <v>0</v>
      </c>
      <c r="S40" s="75">
        <f t="shared" si="10"/>
        <v>0</v>
      </c>
      <c r="T40" s="47"/>
      <c r="V40" s="57"/>
      <c r="W40" s="45"/>
      <c r="X40" s="46">
        <f t="shared" si="7"/>
        <v>0</v>
      </c>
      <c r="Y40" s="74" t="str">
        <f t="shared" si="8"/>
        <v/>
      </c>
      <c r="Z40" s="49"/>
      <c r="AA40" s="49"/>
      <c r="AB40" s="49"/>
      <c r="AC40" s="47"/>
      <c r="AD40" s="48" t="str">
        <f t="shared" si="11"/>
        <v/>
      </c>
      <c r="AE40" s="48" t="str">
        <f t="shared" si="12"/>
        <v/>
      </c>
      <c r="AF40" s="75" t="str">
        <f t="shared" si="13"/>
        <v/>
      </c>
      <c r="AG40" s="76">
        <f t="shared" si="14"/>
        <v>0</v>
      </c>
      <c r="AH40" s="76">
        <f t="shared" si="15"/>
        <v>0</v>
      </c>
      <c r="AI40" s="75">
        <f t="shared" si="16"/>
        <v>0</v>
      </c>
      <c r="AJ40" s="47"/>
      <c r="AL40" s="47"/>
      <c r="AN40" s="47"/>
      <c r="AO40" s="47" t="str">
        <f t="shared" si="9"/>
        <v/>
      </c>
    </row>
    <row r="41" spans="1:41" s="56" customFormat="1" ht="14">
      <c r="A41" s="44"/>
      <c r="B41" s="45"/>
      <c r="C41" s="46">
        <f t="shared" si="0"/>
        <v>0</v>
      </c>
      <c r="D41" s="47"/>
      <c r="E41" s="47"/>
      <c r="F41" s="47"/>
      <c r="G41" s="47"/>
      <c r="H41" s="48"/>
      <c r="I41" s="74" t="str">
        <f t="shared" si="1"/>
        <v/>
      </c>
      <c r="J41" s="49"/>
      <c r="K41" s="49"/>
      <c r="L41" s="49"/>
      <c r="M41" s="47"/>
      <c r="N41" s="48" t="str">
        <f t="shared" si="2"/>
        <v/>
      </c>
      <c r="O41" s="48" t="str">
        <f t="shared" si="3"/>
        <v/>
      </c>
      <c r="P41" s="75" t="str">
        <f t="shared" si="4"/>
        <v/>
      </c>
      <c r="Q41" s="76">
        <f t="shared" si="5"/>
        <v>0</v>
      </c>
      <c r="R41" s="76">
        <f t="shared" si="6"/>
        <v>0</v>
      </c>
      <c r="S41" s="75">
        <f t="shared" si="10"/>
        <v>0</v>
      </c>
      <c r="T41" s="47"/>
      <c r="V41" s="57"/>
      <c r="W41" s="45"/>
      <c r="X41" s="46">
        <f t="shared" si="7"/>
        <v>0</v>
      </c>
      <c r="Y41" s="74" t="str">
        <f t="shared" si="8"/>
        <v/>
      </c>
      <c r="Z41" s="49"/>
      <c r="AA41" s="49"/>
      <c r="AB41" s="49"/>
      <c r="AC41" s="47"/>
      <c r="AD41" s="48" t="str">
        <f t="shared" si="11"/>
        <v/>
      </c>
      <c r="AE41" s="48" t="str">
        <f t="shared" si="12"/>
        <v/>
      </c>
      <c r="AF41" s="75" t="str">
        <f t="shared" si="13"/>
        <v/>
      </c>
      <c r="AG41" s="76">
        <f t="shared" si="14"/>
        <v>0</v>
      </c>
      <c r="AH41" s="76">
        <f t="shared" si="15"/>
        <v>0</v>
      </c>
      <c r="AI41" s="75">
        <f t="shared" si="16"/>
        <v>0</v>
      </c>
      <c r="AJ41" s="47"/>
      <c r="AL41" s="47"/>
      <c r="AN41" s="47"/>
      <c r="AO41" s="47" t="str">
        <f t="shared" si="9"/>
        <v/>
      </c>
    </row>
    <row r="42" spans="1:41" s="56" customFormat="1" ht="14">
      <c r="A42" s="44"/>
      <c r="B42" s="45"/>
      <c r="C42" s="46">
        <f t="shared" si="0"/>
        <v>0</v>
      </c>
      <c r="D42" s="47"/>
      <c r="E42" s="47"/>
      <c r="F42" s="47"/>
      <c r="G42" s="47"/>
      <c r="H42" s="48"/>
      <c r="I42" s="74" t="str">
        <f t="shared" si="1"/>
        <v/>
      </c>
      <c r="J42" s="49"/>
      <c r="K42" s="49"/>
      <c r="L42" s="49"/>
      <c r="M42" s="47"/>
      <c r="N42" s="48" t="str">
        <f t="shared" si="2"/>
        <v/>
      </c>
      <c r="O42" s="48" t="str">
        <f t="shared" si="3"/>
        <v/>
      </c>
      <c r="P42" s="75" t="str">
        <f t="shared" si="4"/>
        <v/>
      </c>
      <c r="Q42" s="76">
        <f t="shared" si="5"/>
        <v>0</v>
      </c>
      <c r="R42" s="76">
        <f t="shared" si="6"/>
        <v>0</v>
      </c>
      <c r="S42" s="75">
        <f t="shared" si="10"/>
        <v>0</v>
      </c>
      <c r="T42" s="47"/>
      <c r="V42" s="57"/>
      <c r="W42" s="45"/>
      <c r="X42" s="46">
        <f t="shared" si="7"/>
        <v>0</v>
      </c>
      <c r="Y42" s="74" t="str">
        <f t="shared" si="8"/>
        <v/>
      </c>
      <c r="Z42" s="49"/>
      <c r="AA42" s="49"/>
      <c r="AB42" s="49"/>
      <c r="AC42" s="47"/>
      <c r="AD42" s="48" t="str">
        <f t="shared" si="11"/>
        <v/>
      </c>
      <c r="AE42" s="48" t="str">
        <f t="shared" si="12"/>
        <v/>
      </c>
      <c r="AF42" s="75" t="str">
        <f t="shared" si="13"/>
        <v/>
      </c>
      <c r="AG42" s="76">
        <f t="shared" si="14"/>
        <v>0</v>
      </c>
      <c r="AH42" s="76">
        <f t="shared" si="15"/>
        <v>0</v>
      </c>
      <c r="AI42" s="75">
        <f t="shared" si="16"/>
        <v>0</v>
      </c>
      <c r="AJ42" s="47"/>
      <c r="AL42" s="47"/>
      <c r="AN42" s="47"/>
      <c r="AO42" s="47" t="str">
        <f t="shared" si="9"/>
        <v/>
      </c>
    </row>
    <row r="43" spans="1:41" s="56" customFormat="1" ht="14">
      <c r="A43" s="44"/>
      <c r="B43" s="45"/>
      <c r="C43" s="46">
        <f t="shared" si="0"/>
        <v>0</v>
      </c>
      <c r="D43" s="47"/>
      <c r="E43" s="47"/>
      <c r="F43" s="47"/>
      <c r="G43" s="47"/>
      <c r="H43" s="48"/>
      <c r="I43" s="74" t="str">
        <f t="shared" si="1"/>
        <v/>
      </c>
      <c r="J43" s="49"/>
      <c r="K43" s="49"/>
      <c r="L43" s="49"/>
      <c r="M43" s="47"/>
      <c r="N43" s="48" t="str">
        <f t="shared" si="2"/>
        <v/>
      </c>
      <c r="O43" s="48" t="str">
        <f t="shared" si="3"/>
        <v/>
      </c>
      <c r="P43" s="75" t="str">
        <f t="shared" si="4"/>
        <v/>
      </c>
      <c r="Q43" s="76">
        <f t="shared" si="5"/>
        <v>0</v>
      </c>
      <c r="R43" s="76">
        <f t="shared" si="6"/>
        <v>0</v>
      </c>
      <c r="S43" s="75">
        <f t="shared" si="10"/>
        <v>0</v>
      </c>
      <c r="T43" s="47"/>
      <c r="V43" s="57"/>
      <c r="W43" s="45"/>
      <c r="X43" s="46">
        <f t="shared" si="7"/>
        <v>0</v>
      </c>
      <c r="Y43" s="74" t="str">
        <f t="shared" si="8"/>
        <v/>
      </c>
      <c r="Z43" s="49"/>
      <c r="AA43" s="49"/>
      <c r="AB43" s="49"/>
      <c r="AC43" s="47"/>
      <c r="AD43" s="48" t="str">
        <f t="shared" si="11"/>
        <v/>
      </c>
      <c r="AE43" s="48" t="str">
        <f t="shared" si="12"/>
        <v/>
      </c>
      <c r="AF43" s="75" t="str">
        <f t="shared" si="13"/>
        <v/>
      </c>
      <c r="AG43" s="76">
        <f t="shared" si="14"/>
        <v>0</v>
      </c>
      <c r="AH43" s="76">
        <f t="shared" si="15"/>
        <v>0</v>
      </c>
      <c r="AI43" s="75">
        <f t="shared" si="16"/>
        <v>0</v>
      </c>
      <c r="AJ43" s="47"/>
      <c r="AL43" s="47"/>
      <c r="AN43" s="47"/>
      <c r="AO43" s="47" t="str">
        <f t="shared" si="9"/>
        <v/>
      </c>
    </row>
    <row r="44" spans="1:41" s="56" customFormat="1" ht="14">
      <c r="A44" s="44"/>
      <c r="B44" s="45"/>
      <c r="C44" s="46">
        <f t="shared" si="0"/>
        <v>0</v>
      </c>
      <c r="D44" s="47"/>
      <c r="E44" s="47"/>
      <c r="F44" s="47"/>
      <c r="G44" s="47"/>
      <c r="H44" s="48"/>
      <c r="I44" s="74" t="str">
        <f t="shared" si="1"/>
        <v/>
      </c>
      <c r="J44" s="49"/>
      <c r="K44" s="49"/>
      <c r="L44" s="49"/>
      <c r="M44" s="47"/>
      <c r="N44" s="48" t="str">
        <f t="shared" si="2"/>
        <v/>
      </c>
      <c r="O44" s="48" t="str">
        <f t="shared" si="3"/>
        <v/>
      </c>
      <c r="P44" s="75" t="str">
        <f t="shared" si="4"/>
        <v/>
      </c>
      <c r="Q44" s="76">
        <f t="shared" si="5"/>
        <v>0</v>
      </c>
      <c r="R44" s="76">
        <f t="shared" si="6"/>
        <v>0</v>
      </c>
      <c r="S44" s="75">
        <f t="shared" si="10"/>
        <v>0</v>
      </c>
      <c r="T44" s="47"/>
      <c r="V44" s="57"/>
      <c r="W44" s="45"/>
      <c r="X44" s="46">
        <f t="shared" si="7"/>
        <v>0</v>
      </c>
      <c r="Y44" s="74" t="str">
        <f t="shared" si="8"/>
        <v/>
      </c>
      <c r="Z44" s="49"/>
      <c r="AA44" s="49"/>
      <c r="AB44" s="49"/>
      <c r="AC44" s="47"/>
      <c r="AD44" s="48" t="str">
        <f t="shared" si="11"/>
        <v/>
      </c>
      <c r="AE44" s="48" t="str">
        <f t="shared" si="12"/>
        <v/>
      </c>
      <c r="AF44" s="75" t="str">
        <f t="shared" si="13"/>
        <v/>
      </c>
      <c r="AG44" s="76">
        <f t="shared" si="14"/>
        <v>0</v>
      </c>
      <c r="AH44" s="76">
        <f t="shared" si="15"/>
        <v>0</v>
      </c>
      <c r="AI44" s="75">
        <f t="shared" si="16"/>
        <v>0</v>
      </c>
      <c r="AJ44" s="47"/>
      <c r="AL44" s="47"/>
      <c r="AN44" s="47"/>
      <c r="AO44" s="47" t="str">
        <f t="shared" si="9"/>
        <v/>
      </c>
    </row>
    <row r="45" spans="1:41" s="56" customFormat="1" ht="14">
      <c r="A45" s="44"/>
      <c r="B45" s="45"/>
      <c r="C45" s="46">
        <f t="shared" si="0"/>
        <v>0</v>
      </c>
      <c r="D45" s="47"/>
      <c r="E45" s="47"/>
      <c r="F45" s="47"/>
      <c r="G45" s="47"/>
      <c r="H45" s="48"/>
      <c r="I45" s="74" t="str">
        <f t="shared" si="1"/>
        <v/>
      </c>
      <c r="J45" s="49"/>
      <c r="K45" s="49"/>
      <c r="L45" s="49"/>
      <c r="M45" s="47"/>
      <c r="N45" s="48" t="str">
        <f t="shared" si="2"/>
        <v/>
      </c>
      <c r="O45" s="48" t="str">
        <f t="shared" si="3"/>
        <v/>
      </c>
      <c r="P45" s="75" t="str">
        <f t="shared" si="4"/>
        <v/>
      </c>
      <c r="Q45" s="76">
        <f t="shared" si="5"/>
        <v>0</v>
      </c>
      <c r="R45" s="76">
        <f t="shared" si="6"/>
        <v>0</v>
      </c>
      <c r="S45" s="75">
        <f t="shared" si="10"/>
        <v>0</v>
      </c>
      <c r="T45" s="47"/>
      <c r="V45" s="57"/>
      <c r="W45" s="45"/>
      <c r="X45" s="46">
        <f t="shared" si="7"/>
        <v>0</v>
      </c>
      <c r="Y45" s="74" t="str">
        <f t="shared" si="8"/>
        <v/>
      </c>
      <c r="Z45" s="49"/>
      <c r="AA45" s="49"/>
      <c r="AB45" s="49"/>
      <c r="AC45" s="47"/>
      <c r="AD45" s="48" t="str">
        <f t="shared" si="11"/>
        <v/>
      </c>
      <c r="AE45" s="48" t="str">
        <f t="shared" si="12"/>
        <v/>
      </c>
      <c r="AF45" s="75" t="str">
        <f t="shared" si="13"/>
        <v/>
      </c>
      <c r="AG45" s="76">
        <f t="shared" si="14"/>
        <v>0</v>
      </c>
      <c r="AH45" s="76">
        <f t="shared" si="15"/>
        <v>0</v>
      </c>
      <c r="AI45" s="75">
        <f t="shared" si="16"/>
        <v>0</v>
      </c>
      <c r="AJ45" s="47"/>
      <c r="AL45" s="47"/>
      <c r="AN45" s="47"/>
      <c r="AO45" s="47" t="str">
        <f t="shared" si="9"/>
        <v/>
      </c>
    </row>
    <row r="46" spans="1:41" s="56" customFormat="1" ht="14">
      <c r="A46" s="44"/>
      <c r="B46" s="45"/>
      <c r="C46" s="46">
        <f t="shared" si="0"/>
        <v>0</v>
      </c>
      <c r="D46" s="47"/>
      <c r="E46" s="47"/>
      <c r="F46" s="47"/>
      <c r="G46" s="47"/>
      <c r="H46" s="48"/>
      <c r="I46" s="74" t="str">
        <f t="shared" si="1"/>
        <v/>
      </c>
      <c r="J46" s="49"/>
      <c r="K46" s="49"/>
      <c r="L46" s="49"/>
      <c r="M46" s="47"/>
      <c r="N46" s="48" t="str">
        <f t="shared" si="2"/>
        <v/>
      </c>
      <c r="O46" s="48" t="str">
        <f t="shared" si="3"/>
        <v/>
      </c>
      <c r="P46" s="75" t="str">
        <f t="shared" si="4"/>
        <v/>
      </c>
      <c r="Q46" s="76">
        <f t="shared" si="5"/>
        <v>0</v>
      </c>
      <c r="R46" s="76">
        <f t="shared" si="6"/>
        <v>0</v>
      </c>
      <c r="S46" s="75">
        <f t="shared" si="10"/>
        <v>0</v>
      </c>
      <c r="T46" s="47"/>
      <c r="V46" s="57"/>
      <c r="W46" s="45"/>
      <c r="X46" s="46">
        <f t="shared" si="7"/>
        <v>0</v>
      </c>
      <c r="Y46" s="74" t="str">
        <f t="shared" si="8"/>
        <v/>
      </c>
      <c r="Z46" s="49"/>
      <c r="AA46" s="49"/>
      <c r="AB46" s="49"/>
      <c r="AC46" s="47"/>
      <c r="AD46" s="48" t="str">
        <f t="shared" si="11"/>
        <v/>
      </c>
      <c r="AE46" s="48" t="str">
        <f t="shared" si="12"/>
        <v/>
      </c>
      <c r="AF46" s="75" t="str">
        <f t="shared" si="13"/>
        <v/>
      </c>
      <c r="AG46" s="76">
        <f t="shared" si="14"/>
        <v>0</v>
      </c>
      <c r="AH46" s="76">
        <f t="shared" si="15"/>
        <v>0</v>
      </c>
      <c r="AI46" s="75">
        <f t="shared" si="16"/>
        <v>0</v>
      </c>
      <c r="AJ46" s="47"/>
      <c r="AL46" s="47"/>
      <c r="AN46" s="47"/>
      <c r="AO46" s="47" t="str">
        <f t="shared" si="9"/>
        <v/>
      </c>
    </row>
    <row r="47" spans="1:41" s="56" customFormat="1" ht="14">
      <c r="A47" s="44"/>
      <c r="B47" s="45"/>
      <c r="C47" s="46">
        <f t="shared" si="0"/>
        <v>0</v>
      </c>
      <c r="D47" s="47"/>
      <c r="E47" s="47"/>
      <c r="F47" s="47"/>
      <c r="G47" s="47"/>
      <c r="H47" s="48"/>
      <c r="I47" s="74" t="str">
        <f t="shared" si="1"/>
        <v/>
      </c>
      <c r="J47" s="49"/>
      <c r="K47" s="49"/>
      <c r="L47" s="49"/>
      <c r="M47" s="47"/>
      <c r="N47" s="48" t="str">
        <f t="shared" si="2"/>
        <v/>
      </c>
      <c r="O47" s="48" t="str">
        <f t="shared" si="3"/>
        <v/>
      </c>
      <c r="P47" s="75" t="str">
        <f t="shared" si="4"/>
        <v/>
      </c>
      <c r="Q47" s="76">
        <f t="shared" si="5"/>
        <v>0</v>
      </c>
      <c r="R47" s="76">
        <f t="shared" si="6"/>
        <v>0</v>
      </c>
      <c r="S47" s="75">
        <f t="shared" si="10"/>
        <v>0</v>
      </c>
      <c r="T47" s="47"/>
      <c r="V47" s="57"/>
      <c r="W47" s="45"/>
      <c r="X47" s="46">
        <f t="shared" si="7"/>
        <v>0</v>
      </c>
      <c r="Y47" s="74" t="str">
        <f t="shared" si="8"/>
        <v/>
      </c>
      <c r="Z47" s="49"/>
      <c r="AA47" s="49"/>
      <c r="AB47" s="49"/>
      <c r="AC47" s="47"/>
      <c r="AD47" s="48" t="str">
        <f t="shared" si="11"/>
        <v/>
      </c>
      <c r="AE47" s="48" t="str">
        <f t="shared" si="12"/>
        <v/>
      </c>
      <c r="AF47" s="75" t="str">
        <f t="shared" si="13"/>
        <v/>
      </c>
      <c r="AG47" s="76">
        <f t="shared" si="14"/>
        <v>0</v>
      </c>
      <c r="AH47" s="76">
        <f t="shared" si="15"/>
        <v>0</v>
      </c>
      <c r="AI47" s="75">
        <f t="shared" si="16"/>
        <v>0</v>
      </c>
      <c r="AJ47" s="47"/>
      <c r="AL47" s="47"/>
      <c r="AN47" s="47"/>
      <c r="AO47" s="47" t="str">
        <f t="shared" si="9"/>
        <v/>
      </c>
    </row>
    <row r="48" spans="1:41" s="56" customFormat="1" ht="14">
      <c r="A48" s="44"/>
      <c r="B48" s="45"/>
      <c r="C48" s="46">
        <f t="shared" si="0"/>
        <v>0</v>
      </c>
      <c r="D48" s="47"/>
      <c r="E48" s="47"/>
      <c r="F48" s="47"/>
      <c r="G48" s="47"/>
      <c r="H48" s="48"/>
      <c r="I48" s="74" t="str">
        <f t="shared" si="1"/>
        <v/>
      </c>
      <c r="J48" s="49"/>
      <c r="K48" s="49"/>
      <c r="L48" s="49"/>
      <c r="M48" s="47"/>
      <c r="N48" s="48" t="str">
        <f t="shared" si="2"/>
        <v/>
      </c>
      <c r="O48" s="48" t="str">
        <f t="shared" si="3"/>
        <v/>
      </c>
      <c r="P48" s="75" t="str">
        <f t="shared" si="4"/>
        <v/>
      </c>
      <c r="Q48" s="76">
        <f t="shared" si="5"/>
        <v>0</v>
      </c>
      <c r="R48" s="76">
        <f t="shared" si="6"/>
        <v>0</v>
      </c>
      <c r="S48" s="75">
        <f t="shared" si="10"/>
        <v>0</v>
      </c>
      <c r="T48" s="47"/>
      <c r="V48" s="57"/>
      <c r="W48" s="45"/>
      <c r="X48" s="46">
        <f t="shared" si="7"/>
        <v>0</v>
      </c>
      <c r="Y48" s="74" t="str">
        <f t="shared" si="8"/>
        <v/>
      </c>
      <c r="Z48" s="49"/>
      <c r="AA48" s="49"/>
      <c r="AB48" s="49"/>
      <c r="AC48" s="47"/>
      <c r="AD48" s="48" t="str">
        <f t="shared" si="11"/>
        <v/>
      </c>
      <c r="AE48" s="48" t="str">
        <f t="shared" si="12"/>
        <v/>
      </c>
      <c r="AF48" s="75" t="str">
        <f t="shared" si="13"/>
        <v/>
      </c>
      <c r="AG48" s="76">
        <f t="shared" si="14"/>
        <v>0</v>
      </c>
      <c r="AH48" s="76">
        <f t="shared" si="15"/>
        <v>0</v>
      </c>
      <c r="AI48" s="75">
        <f t="shared" si="16"/>
        <v>0</v>
      </c>
      <c r="AJ48" s="47"/>
      <c r="AL48" s="47"/>
      <c r="AN48" s="47"/>
      <c r="AO48" s="47" t="str">
        <f t="shared" si="9"/>
        <v/>
      </c>
    </row>
    <row r="49" spans="1:41" s="56" customFormat="1" ht="14">
      <c r="A49" s="44"/>
      <c r="B49" s="45"/>
      <c r="C49" s="46">
        <f t="shared" si="0"/>
        <v>0</v>
      </c>
      <c r="D49" s="47"/>
      <c r="E49" s="47"/>
      <c r="F49" s="47"/>
      <c r="G49" s="47"/>
      <c r="H49" s="48"/>
      <c r="I49" s="74" t="str">
        <f t="shared" si="1"/>
        <v/>
      </c>
      <c r="J49" s="49"/>
      <c r="K49" s="49"/>
      <c r="L49" s="49"/>
      <c r="M49" s="47"/>
      <c r="N49" s="48" t="str">
        <f t="shared" si="2"/>
        <v/>
      </c>
      <c r="O49" s="48" t="str">
        <f t="shared" si="3"/>
        <v/>
      </c>
      <c r="P49" s="75" t="str">
        <f t="shared" si="4"/>
        <v/>
      </c>
      <c r="Q49" s="76">
        <f t="shared" si="5"/>
        <v>0</v>
      </c>
      <c r="R49" s="76">
        <f t="shared" si="6"/>
        <v>0</v>
      </c>
      <c r="S49" s="75">
        <f t="shared" si="10"/>
        <v>0</v>
      </c>
      <c r="T49" s="47"/>
      <c r="V49" s="57"/>
      <c r="W49" s="45"/>
      <c r="X49" s="46">
        <f t="shared" si="7"/>
        <v>0</v>
      </c>
      <c r="Y49" s="74" t="str">
        <f t="shared" si="8"/>
        <v/>
      </c>
      <c r="Z49" s="49"/>
      <c r="AA49" s="49"/>
      <c r="AB49" s="49"/>
      <c r="AC49" s="47"/>
      <c r="AD49" s="48" t="str">
        <f t="shared" si="11"/>
        <v/>
      </c>
      <c r="AE49" s="48" t="str">
        <f t="shared" si="12"/>
        <v/>
      </c>
      <c r="AF49" s="75" t="str">
        <f t="shared" si="13"/>
        <v/>
      </c>
      <c r="AG49" s="76">
        <f t="shared" si="14"/>
        <v>0</v>
      </c>
      <c r="AH49" s="76">
        <f t="shared" si="15"/>
        <v>0</v>
      </c>
      <c r="AI49" s="75">
        <f t="shared" si="16"/>
        <v>0</v>
      </c>
      <c r="AJ49" s="47"/>
      <c r="AL49" s="47"/>
      <c r="AN49" s="47"/>
      <c r="AO49" s="47" t="str">
        <f t="shared" si="9"/>
        <v/>
      </c>
    </row>
    <row r="50" spans="1:41" s="56" customFormat="1" ht="14">
      <c r="A50" s="44"/>
      <c r="B50" s="45"/>
      <c r="C50" s="46">
        <f t="shared" si="0"/>
        <v>0</v>
      </c>
      <c r="D50" s="47"/>
      <c r="E50" s="47"/>
      <c r="F50" s="47"/>
      <c r="G50" s="47"/>
      <c r="H50" s="48"/>
      <c r="I50" s="74" t="str">
        <f t="shared" si="1"/>
        <v/>
      </c>
      <c r="J50" s="49"/>
      <c r="K50" s="49"/>
      <c r="L50" s="49"/>
      <c r="M50" s="47"/>
      <c r="N50" s="48" t="str">
        <f t="shared" si="2"/>
        <v/>
      </c>
      <c r="O50" s="48" t="str">
        <f t="shared" si="3"/>
        <v/>
      </c>
      <c r="P50" s="75" t="str">
        <f t="shared" si="4"/>
        <v/>
      </c>
      <c r="Q50" s="76">
        <f t="shared" si="5"/>
        <v>0</v>
      </c>
      <c r="R50" s="76">
        <f t="shared" si="6"/>
        <v>0</v>
      </c>
      <c r="S50" s="75">
        <f t="shared" si="10"/>
        <v>0</v>
      </c>
      <c r="T50" s="47"/>
      <c r="V50" s="57"/>
      <c r="W50" s="45"/>
      <c r="X50" s="46">
        <f t="shared" si="7"/>
        <v>0</v>
      </c>
      <c r="Y50" s="74" t="str">
        <f t="shared" si="8"/>
        <v/>
      </c>
      <c r="Z50" s="49"/>
      <c r="AA50" s="49"/>
      <c r="AB50" s="49"/>
      <c r="AC50" s="47"/>
      <c r="AD50" s="48" t="str">
        <f t="shared" si="11"/>
        <v/>
      </c>
      <c r="AE50" s="48" t="str">
        <f t="shared" si="12"/>
        <v/>
      </c>
      <c r="AF50" s="75" t="str">
        <f t="shared" si="13"/>
        <v/>
      </c>
      <c r="AG50" s="76">
        <f t="shared" si="14"/>
        <v>0</v>
      </c>
      <c r="AH50" s="76">
        <f t="shared" si="15"/>
        <v>0</v>
      </c>
      <c r="AI50" s="75">
        <f t="shared" si="16"/>
        <v>0</v>
      </c>
      <c r="AJ50" s="47"/>
      <c r="AL50" s="47"/>
      <c r="AN50" s="47"/>
      <c r="AO50" s="47" t="str">
        <f t="shared" si="9"/>
        <v/>
      </c>
    </row>
    <row r="51" spans="1:41" s="56" customFormat="1" ht="14">
      <c r="A51" s="44"/>
      <c r="B51" s="45"/>
      <c r="C51" s="46">
        <f t="shared" si="0"/>
        <v>0</v>
      </c>
      <c r="D51" s="47"/>
      <c r="E51" s="47"/>
      <c r="F51" s="47"/>
      <c r="G51" s="47"/>
      <c r="H51" s="48"/>
      <c r="I51" s="74" t="str">
        <f t="shared" si="1"/>
        <v/>
      </c>
      <c r="J51" s="49"/>
      <c r="K51" s="49"/>
      <c r="L51" s="49"/>
      <c r="M51" s="47"/>
      <c r="N51" s="48" t="str">
        <f t="shared" si="2"/>
        <v/>
      </c>
      <c r="O51" s="48" t="str">
        <f t="shared" si="3"/>
        <v/>
      </c>
      <c r="P51" s="75" t="str">
        <f t="shared" si="4"/>
        <v/>
      </c>
      <c r="Q51" s="76">
        <f t="shared" si="5"/>
        <v>0</v>
      </c>
      <c r="R51" s="76">
        <f t="shared" si="6"/>
        <v>0</v>
      </c>
      <c r="S51" s="75">
        <f t="shared" si="10"/>
        <v>0</v>
      </c>
      <c r="T51" s="47"/>
      <c r="V51" s="57"/>
      <c r="W51" s="45"/>
      <c r="X51" s="46">
        <f t="shared" si="7"/>
        <v>0</v>
      </c>
      <c r="Y51" s="74" t="str">
        <f t="shared" si="8"/>
        <v/>
      </c>
      <c r="Z51" s="49"/>
      <c r="AA51" s="49"/>
      <c r="AB51" s="49"/>
      <c r="AC51" s="47"/>
      <c r="AD51" s="48" t="str">
        <f t="shared" si="11"/>
        <v/>
      </c>
      <c r="AE51" s="48" t="str">
        <f t="shared" si="12"/>
        <v/>
      </c>
      <c r="AF51" s="75" t="str">
        <f t="shared" si="13"/>
        <v/>
      </c>
      <c r="AG51" s="76">
        <f t="shared" si="14"/>
        <v>0</v>
      </c>
      <c r="AH51" s="76">
        <f t="shared" si="15"/>
        <v>0</v>
      </c>
      <c r="AI51" s="75">
        <f t="shared" si="16"/>
        <v>0</v>
      </c>
      <c r="AJ51" s="47"/>
      <c r="AL51" s="47"/>
      <c r="AN51" s="47"/>
      <c r="AO51" s="47" t="str">
        <f t="shared" si="9"/>
        <v/>
      </c>
    </row>
    <row r="52" spans="1:41" s="56" customFormat="1" ht="14">
      <c r="A52" s="44"/>
      <c r="B52" s="45"/>
      <c r="C52" s="46">
        <f t="shared" si="0"/>
        <v>0</v>
      </c>
      <c r="D52" s="47"/>
      <c r="E52" s="47"/>
      <c r="F52" s="47"/>
      <c r="G52" s="47"/>
      <c r="H52" s="48"/>
      <c r="I52" s="74" t="str">
        <f t="shared" si="1"/>
        <v/>
      </c>
      <c r="J52" s="49"/>
      <c r="K52" s="49"/>
      <c r="L52" s="49"/>
      <c r="M52" s="47"/>
      <c r="N52" s="48" t="str">
        <f t="shared" si="2"/>
        <v/>
      </c>
      <c r="O52" s="48" t="str">
        <f t="shared" si="3"/>
        <v/>
      </c>
      <c r="P52" s="75" t="str">
        <f t="shared" si="4"/>
        <v/>
      </c>
      <c r="Q52" s="76">
        <f t="shared" si="5"/>
        <v>0</v>
      </c>
      <c r="R52" s="76">
        <f t="shared" si="6"/>
        <v>0</v>
      </c>
      <c r="S52" s="75">
        <f t="shared" si="10"/>
        <v>0</v>
      </c>
      <c r="T52" s="47"/>
      <c r="V52" s="57"/>
      <c r="W52" s="45"/>
      <c r="X52" s="46">
        <f t="shared" si="7"/>
        <v>0</v>
      </c>
      <c r="Y52" s="74" t="str">
        <f t="shared" si="8"/>
        <v/>
      </c>
      <c r="Z52" s="49"/>
      <c r="AA52" s="49"/>
      <c r="AB52" s="49"/>
      <c r="AC52" s="47"/>
      <c r="AD52" s="48" t="str">
        <f t="shared" si="11"/>
        <v/>
      </c>
      <c r="AE52" s="48" t="str">
        <f t="shared" si="12"/>
        <v/>
      </c>
      <c r="AF52" s="75" t="str">
        <f t="shared" si="13"/>
        <v/>
      </c>
      <c r="AG52" s="76">
        <f t="shared" si="14"/>
        <v>0</v>
      </c>
      <c r="AH52" s="76">
        <f t="shared" si="15"/>
        <v>0</v>
      </c>
      <c r="AI52" s="75">
        <f t="shared" si="16"/>
        <v>0</v>
      </c>
      <c r="AJ52" s="47"/>
      <c r="AL52" s="47"/>
      <c r="AN52" s="47"/>
      <c r="AO52" s="47" t="str">
        <f t="shared" si="9"/>
        <v/>
      </c>
    </row>
    <row r="53" spans="1:41" s="56" customFormat="1" ht="14">
      <c r="A53" s="44"/>
      <c r="B53" s="45"/>
      <c r="C53" s="46">
        <f t="shared" si="0"/>
        <v>0</v>
      </c>
      <c r="D53" s="47"/>
      <c r="E53" s="47"/>
      <c r="F53" s="47"/>
      <c r="G53" s="47"/>
      <c r="H53" s="48"/>
      <c r="I53" s="74" t="str">
        <f t="shared" si="1"/>
        <v/>
      </c>
      <c r="J53" s="49"/>
      <c r="K53" s="49"/>
      <c r="L53" s="49"/>
      <c r="M53" s="47"/>
      <c r="N53" s="48" t="str">
        <f t="shared" si="2"/>
        <v/>
      </c>
      <c r="O53" s="48" t="str">
        <f t="shared" si="3"/>
        <v/>
      </c>
      <c r="P53" s="75" t="str">
        <f t="shared" si="4"/>
        <v/>
      </c>
      <c r="Q53" s="76">
        <f t="shared" si="5"/>
        <v>0</v>
      </c>
      <c r="R53" s="76">
        <f t="shared" si="6"/>
        <v>0</v>
      </c>
      <c r="S53" s="75">
        <f t="shared" si="10"/>
        <v>0</v>
      </c>
      <c r="T53" s="47"/>
      <c r="V53" s="57"/>
      <c r="W53" s="45"/>
      <c r="X53" s="46">
        <f t="shared" si="7"/>
        <v>0</v>
      </c>
      <c r="Y53" s="74" t="str">
        <f t="shared" si="8"/>
        <v/>
      </c>
      <c r="Z53" s="49"/>
      <c r="AA53" s="49"/>
      <c r="AB53" s="49"/>
      <c r="AC53" s="47"/>
      <c r="AD53" s="48" t="str">
        <f t="shared" si="11"/>
        <v/>
      </c>
      <c r="AE53" s="48" t="str">
        <f t="shared" si="12"/>
        <v/>
      </c>
      <c r="AF53" s="75" t="str">
        <f t="shared" si="13"/>
        <v/>
      </c>
      <c r="AG53" s="76">
        <f t="shared" si="14"/>
        <v>0</v>
      </c>
      <c r="AH53" s="76">
        <f t="shared" si="15"/>
        <v>0</v>
      </c>
      <c r="AI53" s="75">
        <f t="shared" si="16"/>
        <v>0</v>
      </c>
      <c r="AJ53" s="47"/>
      <c r="AL53" s="47"/>
      <c r="AN53" s="47"/>
      <c r="AO53" s="47" t="str">
        <f t="shared" si="9"/>
        <v/>
      </c>
    </row>
    <row r="54" spans="1:41" s="56" customFormat="1" ht="14">
      <c r="A54" s="44"/>
      <c r="B54" s="45"/>
      <c r="C54" s="46">
        <f t="shared" si="0"/>
        <v>0</v>
      </c>
      <c r="D54" s="47"/>
      <c r="E54" s="47"/>
      <c r="F54" s="47"/>
      <c r="G54" s="47"/>
      <c r="H54" s="48"/>
      <c r="I54" s="74" t="str">
        <f t="shared" si="1"/>
        <v/>
      </c>
      <c r="J54" s="49"/>
      <c r="K54" s="49"/>
      <c r="L54" s="49"/>
      <c r="M54" s="47"/>
      <c r="N54" s="48" t="str">
        <f t="shared" si="2"/>
        <v/>
      </c>
      <c r="O54" s="48" t="str">
        <f t="shared" si="3"/>
        <v/>
      </c>
      <c r="P54" s="75" t="str">
        <f t="shared" si="4"/>
        <v/>
      </c>
      <c r="Q54" s="76">
        <f t="shared" si="5"/>
        <v>0</v>
      </c>
      <c r="R54" s="76">
        <f t="shared" si="6"/>
        <v>0</v>
      </c>
      <c r="S54" s="75">
        <f t="shared" si="10"/>
        <v>0</v>
      </c>
      <c r="T54" s="47"/>
      <c r="V54" s="57"/>
      <c r="W54" s="45"/>
      <c r="X54" s="46">
        <f t="shared" si="7"/>
        <v>0</v>
      </c>
      <c r="Y54" s="74" t="str">
        <f t="shared" si="8"/>
        <v/>
      </c>
      <c r="Z54" s="49"/>
      <c r="AA54" s="49"/>
      <c r="AB54" s="49"/>
      <c r="AC54" s="47"/>
      <c r="AD54" s="48" t="str">
        <f t="shared" si="11"/>
        <v/>
      </c>
      <c r="AE54" s="48" t="str">
        <f t="shared" si="12"/>
        <v/>
      </c>
      <c r="AF54" s="75" t="str">
        <f t="shared" si="13"/>
        <v/>
      </c>
      <c r="AG54" s="76">
        <f t="shared" si="14"/>
        <v>0</v>
      </c>
      <c r="AH54" s="76">
        <f t="shared" si="15"/>
        <v>0</v>
      </c>
      <c r="AI54" s="75">
        <f t="shared" si="16"/>
        <v>0</v>
      </c>
      <c r="AJ54" s="47"/>
      <c r="AL54" s="47"/>
      <c r="AN54" s="47"/>
      <c r="AO54" s="47" t="str">
        <f t="shared" si="9"/>
        <v/>
      </c>
    </row>
    <row r="55" spans="1:41" s="56" customFormat="1" ht="14">
      <c r="A55" s="44"/>
      <c r="B55" s="45"/>
      <c r="C55" s="46">
        <f t="shared" si="0"/>
        <v>0</v>
      </c>
      <c r="D55" s="47"/>
      <c r="E55" s="47"/>
      <c r="F55" s="47"/>
      <c r="G55" s="47"/>
      <c r="H55" s="48"/>
      <c r="I55" s="74" t="str">
        <f t="shared" si="1"/>
        <v/>
      </c>
      <c r="J55" s="49"/>
      <c r="K55" s="49"/>
      <c r="L55" s="49"/>
      <c r="M55" s="47"/>
      <c r="N55" s="48" t="str">
        <f t="shared" si="2"/>
        <v/>
      </c>
      <c r="O55" s="48" t="str">
        <f t="shared" si="3"/>
        <v/>
      </c>
      <c r="P55" s="75" t="str">
        <f t="shared" si="4"/>
        <v/>
      </c>
      <c r="Q55" s="76">
        <f t="shared" si="5"/>
        <v>0</v>
      </c>
      <c r="R55" s="76">
        <f t="shared" si="6"/>
        <v>0</v>
      </c>
      <c r="S55" s="75">
        <f t="shared" si="10"/>
        <v>0</v>
      </c>
      <c r="T55" s="47"/>
      <c r="V55" s="57"/>
      <c r="W55" s="45"/>
      <c r="X55" s="46">
        <f t="shared" si="7"/>
        <v>0</v>
      </c>
      <c r="Y55" s="74" t="str">
        <f t="shared" si="8"/>
        <v/>
      </c>
      <c r="Z55" s="49"/>
      <c r="AA55" s="49"/>
      <c r="AB55" s="49"/>
      <c r="AC55" s="47"/>
      <c r="AD55" s="48" t="str">
        <f t="shared" si="11"/>
        <v/>
      </c>
      <c r="AE55" s="48" t="str">
        <f t="shared" si="12"/>
        <v/>
      </c>
      <c r="AF55" s="75" t="str">
        <f t="shared" si="13"/>
        <v/>
      </c>
      <c r="AG55" s="76">
        <f t="shared" si="14"/>
        <v>0</v>
      </c>
      <c r="AH55" s="76">
        <f t="shared" si="15"/>
        <v>0</v>
      </c>
      <c r="AI55" s="75">
        <f t="shared" si="16"/>
        <v>0</v>
      </c>
      <c r="AJ55" s="47"/>
      <c r="AL55" s="47"/>
      <c r="AN55" s="47"/>
      <c r="AO55" s="47" t="str">
        <f t="shared" si="9"/>
        <v/>
      </c>
    </row>
    <row r="56" spans="1:41" s="56" customFormat="1" ht="14">
      <c r="A56" s="44"/>
      <c r="B56" s="45"/>
      <c r="C56" s="46">
        <f t="shared" si="0"/>
        <v>0</v>
      </c>
      <c r="D56" s="47"/>
      <c r="E56" s="47"/>
      <c r="F56" s="47"/>
      <c r="G56" s="47"/>
      <c r="H56" s="48"/>
      <c r="I56" s="74" t="str">
        <f t="shared" si="1"/>
        <v/>
      </c>
      <c r="J56" s="49"/>
      <c r="K56" s="49"/>
      <c r="L56" s="49"/>
      <c r="M56" s="47"/>
      <c r="N56" s="48" t="str">
        <f t="shared" si="2"/>
        <v/>
      </c>
      <c r="O56" s="48" t="str">
        <f t="shared" si="3"/>
        <v/>
      </c>
      <c r="P56" s="75" t="str">
        <f t="shared" si="4"/>
        <v/>
      </c>
      <c r="Q56" s="76">
        <f t="shared" si="5"/>
        <v>0</v>
      </c>
      <c r="R56" s="76">
        <f t="shared" si="6"/>
        <v>0</v>
      </c>
      <c r="S56" s="75">
        <f t="shared" si="10"/>
        <v>0</v>
      </c>
      <c r="T56" s="47"/>
      <c r="V56" s="57"/>
      <c r="W56" s="45"/>
      <c r="X56" s="46">
        <f t="shared" si="7"/>
        <v>0</v>
      </c>
      <c r="Y56" s="74" t="str">
        <f t="shared" si="8"/>
        <v/>
      </c>
      <c r="Z56" s="49"/>
      <c r="AA56" s="49"/>
      <c r="AB56" s="49"/>
      <c r="AC56" s="47"/>
      <c r="AD56" s="48" t="str">
        <f t="shared" si="11"/>
        <v/>
      </c>
      <c r="AE56" s="48" t="str">
        <f t="shared" si="12"/>
        <v/>
      </c>
      <c r="AF56" s="75" t="str">
        <f t="shared" si="13"/>
        <v/>
      </c>
      <c r="AG56" s="76">
        <f t="shared" si="14"/>
        <v>0</v>
      </c>
      <c r="AH56" s="76">
        <f t="shared" si="15"/>
        <v>0</v>
      </c>
      <c r="AI56" s="75">
        <f t="shared" si="16"/>
        <v>0</v>
      </c>
      <c r="AJ56" s="47"/>
      <c r="AL56" s="47"/>
      <c r="AN56" s="47"/>
      <c r="AO56" s="47" t="str">
        <f t="shared" si="9"/>
        <v/>
      </c>
    </row>
    <row r="57" spans="1:41" s="56" customFormat="1" ht="14">
      <c r="A57" s="44"/>
      <c r="B57" s="45"/>
      <c r="C57" s="46">
        <f t="shared" si="0"/>
        <v>0</v>
      </c>
      <c r="D57" s="47"/>
      <c r="E57" s="47"/>
      <c r="F57" s="47"/>
      <c r="G57" s="47"/>
      <c r="H57" s="48"/>
      <c r="I57" s="74" t="str">
        <f t="shared" si="1"/>
        <v/>
      </c>
      <c r="J57" s="49"/>
      <c r="K57" s="49"/>
      <c r="L57" s="49"/>
      <c r="M57" s="47"/>
      <c r="N57" s="48" t="str">
        <f t="shared" si="2"/>
        <v/>
      </c>
      <c r="O57" s="48" t="str">
        <f t="shared" si="3"/>
        <v/>
      </c>
      <c r="P57" s="75" t="str">
        <f t="shared" si="4"/>
        <v/>
      </c>
      <c r="Q57" s="76">
        <f t="shared" si="5"/>
        <v>0</v>
      </c>
      <c r="R57" s="76">
        <f t="shared" si="6"/>
        <v>0</v>
      </c>
      <c r="S57" s="75">
        <f t="shared" si="10"/>
        <v>0</v>
      </c>
      <c r="T57" s="47"/>
      <c r="V57" s="57"/>
      <c r="W57" s="45"/>
      <c r="X57" s="46">
        <f t="shared" si="7"/>
        <v>0</v>
      </c>
      <c r="Y57" s="74" t="str">
        <f t="shared" si="8"/>
        <v/>
      </c>
      <c r="Z57" s="49"/>
      <c r="AA57" s="49"/>
      <c r="AB57" s="49"/>
      <c r="AC57" s="47"/>
      <c r="AD57" s="48" t="str">
        <f t="shared" si="11"/>
        <v/>
      </c>
      <c r="AE57" s="48" t="str">
        <f t="shared" si="12"/>
        <v/>
      </c>
      <c r="AF57" s="75" t="str">
        <f t="shared" si="13"/>
        <v/>
      </c>
      <c r="AG57" s="76">
        <f t="shared" si="14"/>
        <v>0</v>
      </c>
      <c r="AH57" s="76">
        <f t="shared" si="15"/>
        <v>0</v>
      </c>
      <c r="AI57" s="75">
        <f t="shared" si="16"/>
        <v>0</v>
      </c>
      <c r="AJ57" s="47"/>
      <c r="AL57" s="47"/>
      <c r="AN57" s="47"/>
      <c r="AO57" s="47" t="str">
        <f t="shared" si="9"/>
        <v/>
      </c>
    </row>
    <row r="58" spans="1:41" s="56" customFormat="1" ht="14">
      <c r="A58" s="44"/>
      <c r="B58" s="45"/>
      <c r="C58" s="46">
        <f t="shared" si="0"/>
        <v>0</v>
      </c>
      <c r="D58" s="47"/>
      <c r="E58" s="47"/>
      <c r="F58" s="47"/>
      <c r="G58" s="47"/>
      <c r="H58" s="48"/>
      <c r="I58" s="74" t="str">
        <f t="shared" si="1"/>
        <v/>
      </c>
      <c r="J58" s="49"/>
      <c r="K58" s="49"/>
      <c r="L58" s="49"/>
      <c r="M58" s="47"/>
      <c r="N58" s="48" t="str">
        <f t="shared" si="2"/>
        <v/>
      </c>
      <c r="O58" s="48" t="str">
        <f t="shared" si="3"/>
        <v/>
      </c>
      <c r="P58" s="75" t="str">
        <f t="shared" si="4"/>
        <v/>
      </c>
      <c r="Q58" s="76">
        <f t="shared" si="5"/>
        <v>0</v>
      </c>
      <c r="R58" s="76">
        <f t="shared" si="6"/>
        <v>0</v>
      </c>
      <c r="S58" s="75">
        <f t="shared" si="10"/>
        <v>0</v>
      </c>
      <c r="T58" s="47"/>
      <c r="V58" s="57"/>
      <c r="W58" s="45"/>
      <c r="X58" s="46">
        <f t="shared" si="7"/>
        <v>0</v>
      </c>
      <c r="Y58" s="74" t="str">
        <f t="shared" si="8"/>
        <v/>
      </c>
      <c r="Z58" s="49"/>
      <c r="AA58" s="49"/>
      <c r="AB58" s="49"/>
      <c r="AC58" s="47"/>
      <c r="AD58" s="48" t="str">
        <f t="shared" si="11"/>
        <v/>
      </c>
      <c r="AE58" s="48" t="str">
        <f t="shared" si="12"/>
        <v/>
      </c>
      <c r="AF58" s="75" t="str">
        <f t="shared" si="13"/>
        <v/>
      </c>
      <c r="AG58" s="76">
        <f t="shared" si="14"/>
        <v>0</v>
      </c>
      <c r="AH58" s="76">
        <f t="shared" si="15"/>
        <v>0</v>
      </c>
      <c r="AI58" s="75">
        <f t="shared" si="16"/>
        <v>0</v>
      </c>
      <c r="AJ58" s="47"/>
      <c r="AL58" s="47"/>
      <c r="AN58" s="47"/>
      <c r="AO58" s="47" t="str">
        <f t="shared" si="9"/>
        <v/>
      </c>
    </row>
    <row r="59" spans="1:41" s="56" customFormat="1" ht="14">
      <c r="A59" s="44"/>
      <c r="B59" s="45"/>
      <c r="C59" s="46">
        <f t="shared" si="0"/>
        <v>0</v>
      </c>
      <c r="D59" s="47"/>
      <c r="E59" s="47"/>
      <c r="F59" s="47"/>
      <c r="G59" s="47"/>
      <c r="H59" s="48"/>
      <c r="I59" s="74" t="str">
        <f t="shared" si="1"/>
        <v/>
      </c>
      <c r="J59" s="49"/>
      <c r="K59" s="49"/>
      <c r="L59" s="49"/>
      <c r="M59" s="47"/>
      <c r="N59" s="48" t="str">
        <f t="shared" si="2"/>
        <v/>
      </c>
      <c r="O59" s="48" t="str">
        <f t="shared" si="3"/>
        <v/>
      </c>
      <c r="P59" s="75" t="str">
        <f t="shared" si="4"/>
        <v/>
      </c>
      <c r="Q59" s="76">
        <f t="shared" si="5"/>
        <v>0</v>
      </c>
      <c r="R59" s="76">
        <f t="shared" si="6"/>
        <v>0</v>
      </c>
      <c r="S59" s="75">
        <f t="shared" si="10"/>
        <v>0</v>
      </c>
      <c r="T59" s="47"/>
      <c r="V59" s="57"/>
      <c r="W59" s="45"/>
      <c r="X59" s="46">
        <f t="shared" si="7"/>
        <v>0</v>
      </c>
      <c r="Y59" s="74" t="str">
        <f t="shared" si="8"/>
        <v/>
      </c>
      <c r="Z59" s="49"/>
      <c r="AA59" s="49"/>
      <c r="AB59" s="49"/>
      <c r="AC59" s="47"/>
      <c r="AD59" s="48" t="str">
        <f t="shared" si="11"/>
        <v/>
      </c>
      <c r="AE59" s="48" t="str">
        <f t="shared" si="12"/>
        <v/>
      </c>
      <c r="AF59" s="75" t="str">
        <f t="shared" si="13"/>
        <v/>
      </c>
      <c r="AG59" s="76">
        <f t="shared" si="14"/>
        <v>0</v>
      </c>
      <c r="AH59" s="76">
        <f t="shared" si="15"/>
        <v>0</v>
      </c>
      <c r="AI59" s="75">
        <f t="shared" si="16"/>
        <v>0</v>
      </c>
      <c r="AJ59" s="47"/>
      <c r="AL59" s="47"/>
      <c r="AN59" s="47"/>
      <c r="AO59" s="47" t="str">
        <f t="shared" si="9"/>
        <v/>
      </c>
    </row>
    <row r="60" spans="1:41" s="56" customFormat="1" ht="14">
      <c r="A60" s="44"/>
      <c r="B60" s="45"/>
      <c r="C60" s="46">
        <f t="shared" si="0"/>
        <v>0</v>
      </c>
      <c r="D60" s="47"/>
      <c r="E60" s="47"/>
      <c r="F60" s="47"/>
      <c r="G60" s="47"/>
      <c r="H60" s="48"/>
      <c r="I60" s="74" t="str">
        <f t="shared" si="1"/>
        <v/>
      </c>
      <c r="J60" s="49"/>
      <c r="K60" s="49"/>
      <c r="L60" s="49"/>
      <c r="M60" s="47"/>
      <c r="N60" s="48" t="str">
        <f t="shared" si="2"/>
        <v/>
      </c>
      <c r="O60" s="48" t="str">
        <f t="shared" si="3"/>
        <v/>
      </c>
      <c r="P60" s="75" t="str">
        <f t="shared" si="4"/>
        <v/>
      </c>
      <c r="Q60" s="76">
        <f t="shared" si="5"/>
        <v>0</v>
      </c>
      <c r="R60" s="76">
        <f t="shared" si="6"/>
        <v>0</v>
      </c>
      <c r="S60" s="75">
        <f t="shared" si="10"/>
        <v>0</v>
      </c>
      <c r="T60" s="47"/>
      <c r="V60" s="57"/>
      <c r="W60" s="45"/>
      <c r="X60" s="46">
        <f t="shared" si="7"/>
        <v>0</v>
      </c>
      <c r="Y60" s="74" t="str">
        <f t="shared" si="8"/>
        <v/>
      </c>
      <c r="Z60" s="49"/>
      <c r="AA60" s="49"/>
      <c r="AB60" s="49"/>
      <c r="AC60" s="47"/>
      <c r="AD60" s="48" t="str">
        <f t="shared" si="11"/>
        <v/>
      </c>
      <c r="AE60" s="48" t="str">
        <f t="shared" si="12"/>
        <v/>
      </c>
      <c r="AF60" s="75" t="str">
        <f t="shared" si="13"/>
        <v/>
      </c>
      <c r="AG60" s="76">
        <f t="shared" si="14"/>
        <v>0</v>
      </c>
      <c r="AH60" s="76">
        <f t="shared" si="15"/>
        <v>0</v>
      </c>
      <c r="AI60" s="75">
        <f t="shared" si="16"/>
        <v>0</v>
      </c>
      <c r="AJ60" s="47"/>
      <c r="AL60" s="47"/>
      <c r="AN60" s="47"/>
      <c r="AO60" s="47" t="str">
        <f t="shared" si="9"/>
        <v/>
      </c>
    </row>
    <row r="61" spans="1:41" s="56" customFormat="1" ht="14">
      <c r="A61" s="44"/>
      <c r="B61" s="45"/>
      <c r="C61" s="46">
        <f t="shared" si="0"/>
        <v>0</v>
      </c>
      <c r="D61" s="47"/>
      <c r="E61" s="47"/>
      <c r="F61" s="47"/>
      <c r="G61" s="47"/>
      <c r="H61" s="48"/>
      <c r="I61" s="74" t="str">
        <f t="shared" si="1"/>
        <v/>
      </c>
      <c r="J61" s="49"/>
      <c r="K61" s="49"/>
      <c r="L61" s="49"/>
      <c r="M61" s="47"/>
      <c r="N61" s="48" t="str">
        <f t="shared" si="2"/>
        <v/>
      </c>
      <c r="O61" s="48" t="str">
        <f t="shared" si="3"/>
        <v/>
      </c>
      <c r="P61" s="75" t="str">
        <f t="shared" si="4"/>
        <v/>
      </c>
      <c r="Q61" s="76">
        <f t="shared" si="5"/>
        <v>0</v>
      </c>
      <c r="R61" s="76">
        <f t="shared" si="6"/>
        <v>0</v>
      </c>
      <c r="S61" s="75">
        <f t="shared" si="10"/>
        <v>0</v>
      </c>
      <c r="T61" s="47"/>
      <c r="V61" s="57"/>
      <c r="W61" s="45"/>
      <c r="X61" s="46">
        <f t="shared" si="7"/>
        <v>0</v>
      </c>
      <c r="Y61" s="74" t="str">
        <f t="shared" si="8"/>
        <v/>
      </c>
      <c r="Z61" s="49"/>
      <c r="AA61" s="49"/>
      <c r="AB61" s="49"/>
      <c r="AC61" s="47"/>
      <c r="AD61" s="48" t="str">
        <f t="shared" si="11"/>
        <v/>
      </c>
      <c r="AE61" s="48" t="str">
        <f t="shared" si="12"/>
        <v/>
      </c>
      <c r="AF61" s="75" t="str">
        <f t="shared" si="13"/>
        <v/>
      </c>
      <c r="AG61" s="76">
        <f t="shared" si="14"/>
        <v>0</v>
      </c>
      <c r="AH61" s="76">
        <f t="shared" si="15"/>
        <v>0</v>
      </c>
      <c r="AI61" s="75">
        <f t="shared" si="16"/>
        <v>0</v>
      </c>
      <c r="AJ61" s="47"/>
      <c r="AL61" s="47"/>
      <c r="AN61" s="47"/>
      <c r="AO61" s="47" t="str">
        <f t="shared" si="9"/>
        <v/>
      </c>
    </row>
    <row r="62" spans="1:41" s="56" customFormat="1" ht="14">
      <c r="A62" s="44"/>
      <c r="B62" s="45"/>
      <c r="C62" s="46">
        <f t="shared" si="0"/>
        <v>0</v>
      </c>
      <c r="D62" s="47"/>
      <c r="E62" s="47"/>
      <c r="F62" s="47"/>
      <c r="G62" s="47"/>
      <c r="H62" s="48"/>
      <c r="I62" s="74" t="str">
        <f t="shared" si="1"/>
        <v/>
      </c>
      <c r="J62" s="49"/>
      <c r="K62" s="49"/>
      <c r="L62" s="49"/>
      <c r="M62" s="47"/>
      <c r="N62" s="48" t="str">
        <f t="shared" si="2"/>
        <v/>
      </c>
      <c r="O62" s="48" t="str">
        <f t="shared" si="3"/>
        <v/>
      </c>
      <c r="P62" s="75" t="str">
        <f t="shared" si="4"/>
        <v/>
      </c>
      <c r="Q62" s="76">
        <f t="shared" si="5"/>
        <v>0</v>
      </c>
      <c r="R62" s="76">
        <f t="shared" si="6"/>
        <v>0</v>
      </c>
      <c r="S62" s="75">
        <f t="shared" si="10"/>
        <v>0</v>
      </c>
      <c r="T62" s="47"/>
      <c r="V62" s="57"/>
      <c r="W62" s="45"/>
      <c r="X62" s="46">
        <f t="shared" si="7"/>
        <v>0</v>
      </c>
      <c r="Y62" s="74" t="str">
        <f t="shared" si="8"/>
        <v/>
      </c>
      <c r="Z62" s="49"/>
      <c r="AA62" s="49"/>
      <c r="AB62" s="49"/>
      <c r="AC62" s="47"/>
      <c r="AD62" s="48" t="str">
        <f t="shared" si="11"/>
        <v/>
      </c>
      <c r="AE62" s="48" t="str">
        <f t="shared" si="12"/>
        <v/>
      </c>
      <c r="AF62" s="75" t="str">
        <f t="shared" si="13"/>
        <v/>
      </c>
      <c r="AG62" s="76">
        <f t="shared" si="14"/>
        <v>0</v>
      </c>
      <c r="AH62" s="76">
        <f t="shared" si="15"/>
        <v>0</v>
      </c>
      <c r="AI62" s="75">
        <f t="shared" si="16"/>
        <v>0</v>
      </c>
      <c r="AJ62" s="47"/>
      <c r="AL62" s="47"/>
      <c r="AN62" s="47"/>
      <c r="AO62" s="47" t="str">
        <f t="shared" si="9"/>
        <v/>
      </c>
    </row>
    <row r="63" spans="1:41" s="56" customFormat="1" ht="14">
      <c r="A63" s="44"/>
      <c r="B63" s="45"/>
      <c r="C63" s="46">
        <f t="shared" si="0"/>
        <v>0</v>
      </c>
      <c r="D63" s="47"/>
      <c r="E63" s="47"/>
      <c r="F63" s="47"/>
      <c r="G63" s="47"/>
      <c r="H63" s="48"/>
      <c r="I63" s="74" t="str">
        <f t="shared" si="1"/>
        <v/>
      </c>
      <c r="J63" s="49"/>
      <c r="K63" s="49"/>
      <c r="L63" s="49"/>
      <c r="M63" s="47"/>
      <c r="N63" s="48" t="str">
        <f t="shared" si="2"/>
        <v/>
      </c>
      <c r="O63" s="48" t="str">
        <f t="shared" si="3"/>
        <v/>
      </c>
      <c r="P63" s="75" t="str">
        <f t="shared" si="4"/>
        <v/>
      </c>
      <c r="Q63" s="76">
        <f t="shared" si="5"/>
        <v>0</v>
      </c>
      <c r="R63" s="76">
        <f t="shared" si="6"/>
        <v>0</v>
      </c>
      <c r="S63" s="75">
        <f t="shared" si="10"/>
        <v>0</v>
      </c>
      <c r="T63" s="47"/>
      <c r="V63" s="57"/>
      <c r="W63" s="45"/>
      <c r="X63" s="46">
        <f t="shared" si="7"/>
        <v>0</v>
      </c>
      <c r="Y63" s="74" t="str">
        <f t="shared" si="8"/>
        <v/>
      </c>
      <c r="Z63" s="49"/>
      <c r="AA63" s="49"/>
      <c r="AB63" s="49"/>
      <c r="AC63" s="47"/>
      <c r="AD63" s="48" t="str">
        <f t="shared" si="11"/>
        <v/>
      </c>
      <c r="AE63" s="48" t="str">
        <f t="shared" si="12"/>
        <v/>
      </c>
      <c r="AF63" s="75" t="str">
        <f t="shared" si="13"/>
        <v/>
      </c>
      <c r="AG63" s="76">
        <f t="shared" si="14"/>
        <v>0</v>
      </c>
      <c r="AH63" s="76">
        <f t="shared" si="15"/>
        <v>0</v>
      </c>
      <c r="AI63" s="75">
        <f t="shared" si="16"/>
        <v>0</v>
      </c>
      <c r="AJ63" s="47"/>
      <c r="AL63" s="47"/>
      <c r="AN63" s="47"/>
      <c r="AO63" s="47" t="str">
        <f t="shared" si="9"/>
        <v/>
      </c>
    </row>
    <row r="64" spans="1:41" s="56" customFormat="1" ht="14">
      <c r="A64" s="44"/>
      <c r="B64" s="45"/>
      <c r="C64" s="46">
        <f t="shared" si="0"/>
        <v>0</v>
      </c>
      <c r="D64" s="47"/>
      <c r="E64" s="47"/>
      <c r="F64" s="47"/>
      <c r="G64" s="47"/>
      <c r="H64" s="48"/>
      <c r="I64" s="74" t="str">
        <f t="shared" si="1"/>
        <v/>
      </c>
      <c r="J64" s="49"/>
      <c r="K64" s="49"/>
      <c r="L64" s="49"/>
      <c r="M64" s="47"/>
      <c r="N64" s="48" t="str">
        <f t="shared" si="2"/>
        <v/>
      </c>
      <c r="O64" s="48" t="str">
        <f t="shared" si="3"/>
        <v/>
      </c>
      <c r="P64" s="75" t="str">
        <f t="shared" si="4"/>
        <v/>
      </c>
      <c r="Q64" s="76">
        <f t="shared" si="5"/>
        <v>0</v>
      </c>
      <c r="R64" s="76">
        <f t="shared" si="6"/>
        <v>0</v>
      </c>
      <c r="S64" s="75">
        <f t="shared" si="10"/>
        <v>0</v>
      </c>
      <c r="T64" s="47"/>
      <c r="V64" s="57"/>
      <c r="W64" s="45"/>
      <c r="X64" s="46">
        <f t="shared" si="7"/>
        <v>0</v>
      </c>
      <c r="Y64" s="74" t="str">
        <f t="shared" si="8"/>
        <v/>
      </c>
      <c r="Z64" s="49"/>
      <c r="AA64" s="49"/>
      <c r="AB64" s="49"/>
      <c r="AC64" s="47"/>
      <c r="AD64" s="48" t="str">
        <f t="shared" si="11"/>
        <v/>
      </c>
      <c r="AE64" s="48" t="str">
        <f t="shared" si="12"/>
        <v/>
      </c>
      <c r="AF64" s="75" t="str">
        <f t="shared" si="13"/>
        <v/>
      </c>
      <c r="AG64" s="76">
        <f t="shared" si="14"/>
        <v>0</v>
      </c>
      <c r="AH64" s="76">
        <f t="shared" si="15"/>
        <v>0</v>
      </c>
      <c r="AI64" s="75">
        <f t="shared" si="16"/>
        <v>0</v>
      </c>
      <c r="AJ64" s="47"/>
      <c r="AL64" s="47"/>
      <c r="AN64" s="47"/>
      <c r="AO64" s="47" t="str">
        <f t="shared" si="9"/>
        <v/>
      </c>
    </row>
    <row r="65" spans="1:41" s="56" customFormat="1" ht="14">
      <c r="A65" s="44"/>
      <c r="B65" s="45"/>
      <c r="C65" s="46">
        <f t="shared" si="0"/>
        <v>0</v>
      </c>
      <c r="D65" s="47"/>
      <c r="E65" s="47"/>
      <c r="F65" s="47"/>
      <c r="G65" s="47"/>
      <c r="H65" s="48"/>
      <c r="I65" s="74" t="str">
        <f t="shared" si="1"/>
        <v/>
      </c>
      <c r="J65" s="49"/>
      <c r="K65" s="49"/>
      <c r="L65" s="49"/>
      <c r="M65" s="47"/>
      <c r="N65" s="48" t="str">
        <f t="shared" si="2"/>
        <v/>
      </c>
      <c r="O65" s="48" t="str">
        <f t="shared" si="3"/>
        <v/>
      </c>
      <c r="P65" s="75" t="str">
        <f t="shared" si="4"/>
        <v/>
      </c>
      <c r="Q65" s="76">
        <f t="shared" si="5"/>
        <v>0</v>
      </c>
      <c r="R65" s="76">
        <f t="shared" si="6"/>
        <v>0</v>
      </c>
      <c r="S65" s="75">
        <f t="shared" si="10"/>
        <v>0</v>
      </c>
      <c r="T65" s="47"/>
      <c r="V65" s="57"/>
      <c r="W65" s="45"/>
      <c r="X65" s="46">
        <f t="shared" si="7"/>
        <v>0</v>
      </c>
      <c r="Y65" s="74" t="str">
        <f t="shared" si="8"/>
        <v/>
      </c>
      <c r="Z65" s="49"/>
      <c r="AA65" s="49"/>
      <c r="AB65" s="49"/>
      <c r="AC65" s="47"/>
      <c r="AD65" s="48" t="str">
        <f t="shared" si="11"/>
        <v/>
      </c>
      <c r="AE65" s="48" t="str">
        <f t="shared" si="12"/>
        <v/>
      </c>
      <c r="AF65" s="75" t="str">
        <f t="shared" si="13"/>
        <v/>
      </c>
      <c r="AG65" s="76">
        <f t="shared" si="14"/>
        <v>0</v>
      </c>
      <c r="AH65" s="76">
        <f t="shared" si="15"/>
        <v>0</v>
      </c>
      <c r="AI65" s="75">
        <f t="shared" si="16"/>
        <v>0</v>
      </c>
      <c r="AJ65" s="47"/>
      <c r="AL65" s="47"/>
      <c r="AN65" s="47"/>
      <c r="AO65" s="47" t="str">
        <f t="shared" si="9"/>
        <v/>
      </c>
    </row>
    <row r="66" spans="1:41" s="56" customFormat="1" ht="14">
      <c r="A66" s="44"/>
      <c r="B66" s="45"/>
      <c r="C66" s="46">
        <f t="shared" si="0"/>
        <v>0</v>
      </c>
      <c r="D66" s="47"/>
      <c r="E66" s="47"/>
      <c r="F66" s="47"/>
      <c r="G66" s="47"/>
      <c r="H66" s="48"/>
      <c r="I66" s="74" t="str">
        <f t="shared" si="1"/>
        <v/>
      </c>
      <c r="J66" s="49"/>
      <c r="K66" s="49"/>
      <c r="L66" s="49"/>
      <c r="M66" s="47"/>
      <c r="N66" s="48" t="str">
        <f t="shared" si="2"/>
        <v/>
      </c>
      <c r="O66" s="48" t="str">
        <f t="shared" si="3"/>
        <v/>
      </c>
      <c r="P66" s="75" t="str">
        <f t="shared" si="4"/>
        <v/>
      </c>
      <c r="Q66" s="76">
        <f t="shared" si="5"/>
        <v>0</v>
      </c>
      <c r="R66" s="76">
        <f t="shared" si="6"/>
        <v>0</v>
      </c>
      <c r="S66" s="75">
        <f t="shared" si="10"/>
        <v>0</v>
      </c>
      <c r="T66" s="47"/>
      <c r="V66" s="57"/>
      <c r="W66" s="45"/>
      <c r="X66" s="46">
        <f t="shared" si="7"/>
        <v>0</v>
      </c>
      <c r="Y66" s="74" t="str">
        <f t="shared" si="8"/>
        <v/>
      </c>
      <c r="Z66" s="49"/>
      <c r="AA66" s="49"/>
      <c r="AB66" s="49"/>
      <c r="AC66" s="47"/>
      <c r="AD66" s="48" t="str">
        <f t="shared" si="11"/>
        <v/>
      </c>
      <c r="AE66" s="48" t="str">
        <f t="shared" si="12"/>
        <v/>
      </c>
      <c r="AF66" s="75" t="str">
        <f t="shared" si="13"/>
        <v/>
      </c>
      <c r="AG66" s="76">
        <f t="shared" si="14"/>
        <v>0</v>
      </c>
      <c r="AH66" s="76">
        <f t="shared" si="15"/>
        <v>0</v>
      </c>
      <c r="AI66" s="75">
        <f t="shared" si="16"/>
        <v>0</v>
      </c>
      <c r="AJ66" s="47"/>
      <c r="AL66" s="47"/>
      <c r="AN66" s="47"/>
      <c r="AO66" s="47" t="str">
        <f t="shared" si="9"/>
        <v/>
      </c>
    </row>
    <row r="67" spans="1:41" s="56" customFormat="1" ht="14">
      <c r="A67" s="44"/>
      <c r="B67" s="45"/>
      <c r="C67" s="46">
        <f t="shared" si="0"/>
        <v>0</v>
      </c>
      <c r="D67" s="47"/>
      <c r="E67" s="47"/>
      <c r="F67" s="47"/>
      <c r="G67" s="47"/>
      <c r="H67" s="48"/>
      <c r="I67" s="74" t="str">
        <f t="shared" si="1"/>
        <v/>
      </c>
      <c r="J67" s="49"/>
      <c r="K67" s="49"/>
      <c r="L67" s="49"/>
      <c r="M67" s="47"/>
      <c r="N67" s="48" t="str">
        <f t="shared" si="2"/>
        <v/>
      </c>
      <c r="O67" s="48" t="str">
        <f t="shared" si="3"/>
        <v/>
      </c>
      <c r="P67" s="75" t="str">
        <f t="shared" si="4"/>
        <v/>
      </c>
      <c r="Q67" s="76">
        <f t="shared" si="5"/>
        <v>0</v>
      </c>
      <c r="R67" s="76">
        <f t="shared" si="6"/>
        <v>0</v>
      </c>
      <c r="S67" s="75">
        <f t="shared" si="10"/>
        <v>0</v>
      </c>
      <c r="T67" s="47"/>
      <c r="V67" s="57"/>
      <c r="W67" s="45"/>
      <c r="X67" s="46">
        <f t="shared" si="7"/>
        <v>0</v>
      </c>
      <c r="Y67" s="74" t="str">
        <f t="shared" si="8"/>
        <v/>
      </c>
      <c r="Z67" s="49"/>
      <c r="AA67" s="49"/>
      <c r="AB67" s="49"/>
      <c r="AC67" s="47"/>
      <c r="AD67" s="48" t="str">
        <f t="shared" si="11"/>
        <v/>
      </c>
      <c r="AE67" s="48" t="str">
        <f t="shared" si="12"/>
        <v/>
      </c>
      <c r="AF67" s="75" t="str">
        <f t="shared" si="13"/>
        <v/>
      </c>
      <c r="AG67" s="76">
        <f t="shared" si="14"/>
        <v>0</v>
      </c>
      <c r="AH67" s="76">
        <f t="shared" si="15"/>
        <v>0</v>
      </c>
      <c r="AI67" s="75">
        <f t="shared" si="16"/>
        <v>0</v>
      </c>
      <c r="AJ67" s="47"/>
      <c r="AL67" s="47"/>
      <c r="AN67" s="47"/>
      <c r="AO67" s="47" t="str">
        <f t="shared" si="9"/>
        <v/>
      </c>
    </row>
    <row r="68" spans="1:41" s="56" customFormat="1" ht="14">
      <c r="A68" s="44"/>
      <c r="B68" s="45"/>
      <c r="C68" s="46">
        <f t="shared" si="0"/>
        <v>0</v>
      </c>
      <c r="D68" s="47"/>
      <c r="E68" s="47"/>
      <c r="F68" s="47"/>
      <c r="G68" s="47"/>
      <c r="H68" s="48"/>
      <c r="I68" s="74" t="str">
        <f t="shared" si="1"/>
        <v/>
      </c>
      <c r="J68" s="49"/>
      <c r="K68" s="49"/>
      <c r="L68" s="49"/>
      <c r="M68" s="47"/>
      <c r="N68" s="48" t="str">
        <f t="shared" si="2"/>
        <v/>
      </c>
      <c r="O68" s="48" t="str">
        <f t="shared" si="3"/>
        <v/>
      </c>
      <c r="P68" s="75" t="str">
        <f t="shared" si="4"/>
        <v/>
      </c>
      <c r="Q68" s="76">
        <f t="shared" si="5"/>
        <v>0</v>
      </c>
      <c r="R68" s="76">
        <f t="shared" si="6"/>
        <v>0</v>
      </c>
      <c r="S68" s="75">
        <f t="shared" si="10"/>
        <v>0</v>
      </c>
      <c r="T68" s="47"/>
      <c r="V68" s="57"/>
      <c r="W68" s="45"/>
      <c r="X68" s="46">
        <f t="shared" si="7"/>
        <v>0</v>
      </c>
      <c r="Y68" s="74" t="str">
        <f t="shared" si="8"/>
        <v/>
      </c>
      <c r="Z68" s="49"/>
      <c r="AA68" s="49"/>
      <c r="AB68" s="49"/>
      <c r="AC68" s="47"/>
      <c r="AD68" s="48" t="str">
        <f t="shared" si="11"/>
        <v/>
      </c>
      <c r="AE68" s="48" t="str">
        <f t="shared" si="12"/>
        <v/>
      </c>
      <c r="AF68" s="75" t="str">
        <f t="shared" si="13"/>
        <v/>
      </c>
      <c r="AG68" s="76">
        <f t="shared" si="14"/>
        <v>0</v>
      </c>
      <c r="AH68" s="76">
        <f t="shared" si="15"/>
        <v>0</v>
      </c>
      <c r="AI68" s="75">
        <f t="shared" si="16"/>
        <v>0</v>
      </c>
      <c r="AJ68" s="47"/>
      <c r="AL68" s="47"/>
      <c r="AN68" s="47"/>
      <c r="AO68" s="47" t="str">
        <f t="shared" si="9"/>
        <v/>
      </c>
    </row>
    <row r="69" spans="1:41" s="56" customFormat="1" ht="14">
      <c r="A69" s="44"/>
      <c r="B69" s="45"/>
      <c r="C69" s="46">
        <f t="shared" si="0"/>
        <v>0</v>
      </c>
      <c r="D69" s="47"/>
      <c r="E69" s="47"/>
      <c r="F69" s="47"/>
      <c r="G69" s="47"/>
      <c r="H69" s="48"/>
      <c r="I69" s="74" t="str">
        <f t="shared" si="1"/>
        <v/>
      </c>
      <c r="J69" s="49"/>
      <c r="K69" s="49"/>
      <c r="L69" s="49"/>
      <c r="M69" s="47"/>
      <c r="N69" s="48" t="str">
        <f t="shared" si="2"/>
        <v/>
      </c>
      <c r="O69" s="48" t="str">
        <f t="shared" si="3"/>
        <v/>
      </c>
      <c r="P69" s="75" t="str">
        <f t="shared" si="4"/>
        <v/>
      </c>
      <c r="Q69" s="76">
        <f t="shared" si="5"/>
        <v>0</v>
      </c>
      <c r="R69" s="76">
        <f t="shared" si="6"/>
        <v>0</v>
      </c>
      <c r="S69" s="75">
        <f t="shared" si="10"/>
        <v>0</v>
      </c>
      <c r="T69" s="47"/>
      <c r="V69" s="57"/>
      <c r="W69" s="45"/>
      <c r="X69" s="46">
        <f t="shared" si="7"/>
        <v>0</v>
      </c>
      <c r="Y69" s="74" t="str">
        <f t="shared" si="8"/>
        <v/>
      </c>
      <c r="Z69" s="49"/>
      <c r="AA69" s="49"/>
      <c r="AB69" s="49"/>
      <c r="AC69" s="47"/>
      <c r="AD69" s="48" t="str">
        <f t="shared" si="11"/>
        <v/>
      </c>
      <c r="AE69" s="48" t="str">
        <f t="shared" si="12"/>
        <v/>
      </c>
      <c r="AF69" s="75" t="str">
        <f t="shared" si="13"/>
        <v/>
      </c>
      <c r="AG69" s="76">
        <f t="shared" si="14"/>
        <v>0</v>
      </c>
      <c r="AH69" s="76">
        <f t="shared" si="15"/>
        <v>0</v>
      </c>
      <c r="AI69" s="75">
        <f t="shared" si="16"/>
        <v>0</v>
      </c>
      <c r="AJ69" s="47"/>
      <c r="AL69" s="47"/>
      <c r="AN69" s="47"/>
      <c r="AO69" s="47" t="str">
        <f t="shared" si="9"/>
        <v/>
      </c>
    </row>
    <row r="70" spans="1:41" s="56" customFormat="1" ht="14">
      <c r="A70" s="44"/>
      <c r="B70" s="45"/>
      <c r="C70" s="46">
        <f t="shared" si="0"/>
        <v>0</v>
      </c>
      <c r="D70" s="47"/>
      <c r="E70" s="47"/>
      <c r="F70" s="47"/>
      <c r="G70" s="47"/>
      <c r="H70" s="48"/>
      <c r="I70" s="74" t="str">
        <f t="shared" si="1"/>
        <v/>
      </c>
      <c r="J70" s="49"/>
      <c r="K70" s="49"/>
      <c r="L70" s="49"/>
      <c r="M70" s="47"/>
      <c r="N70" s="48" t="str">
        <f t="shared" si="2"/>
        <v/>
      </c>
      <c r="O70" s="48" t="str">
        <f t="shared" si="3"/>
        <v/>
      </c>
      <c r="P70" s="75" t="str">
        <f t="shared" si="4"/>
        <v/>
      </c>
      <c r="Q70" s="76">
        <f t="shared" si="5"/>
        <v>0</v>
      </c>
      <c r="R70" s="76">
        <f t="shared" si="6"/>
        <v>0</v>
      </c>
      <c r="S70" s="75">
        <f t="shared" si="10"/>
        <v>0</v>
      </c>
      <c r="T70" s="47"/>
      <c r="V70" s="57"/>
      <c r="W70" s="45"/>
      <c r="X70" s="46">
        <f t="shared" si="7"/>
        <v>0</v>
      </c>
      <c r="Y70" s="74" t="str">
        <f t="shared" si="8"/>
        <v/>
      </c>
      <c r="Z70" s="49"/>
      <c r="AA70" s="49"/>
      <c r="AB70" s="49"/>
      <c r="AC70" s="47"/>
      <c r="AD70" s="48" t="str">
        <f t="shared" si="11"/>
        <v/>
      </c>
      <c r="AE70" s="48" t="str">
        <f t="shared" si="12"/>
        <v/>
      </c>
      <c r="AF70" s="75" t="str">
        <f t="shared" si="13"/>
        <v/>
      </c>
      <c r="AG70" s="76">
        <f t="shared" si="14"/>
        <v>0</v>
      </c>
      <c r="AH70" s="76">
        <f t="shared" si="15"/>
        <v>0</v>
      </c>
      <c r="AI70" s="75">
        <f t="shared" si="16"/>
        <v>0</v>
      </c>
      <c r="AJ70" s="47"/>
      <c r="AL70" s="47"/>
      <c r="AN70" s="47"/>
      <c r="AO70" s="47" t="str">
        <f t="shared" si="9"/>
        <v/>
      </c>
    </row>
    <row r="71" spans="1:41" s="56" customFormat="1" ht="14">
      <c r="A71" s="44"/>
      <c r="B71" s="45"/>
      <c r="C71" s="46">
        <f t="shared" si="0"/>
        <v>0</v>
      </c>
      <c r="D71" s="47"/>
      <c r="E71" s="47"/>
      <c r="F71" s="47"/>
      <c r="G71" s="47"/>
      <c r="H71" s="48"/>
      <c r="I71" s="74" t="str">
        <f t="shared" si="1"/>
        <v/>
      </c>
      <c r="J71" s="49"/>
      <c r="K71" s="49"/>
      <c r="L71" s="49"/>
      <c r="M71" s="47"/>
      <c r="N71" s="48" t="str">
        <f t="shared" si="2"/>
        <v/>
      </c>
      <c r="O71" s="48" t="str">
        <f t="shared" si="3"/>
        <v/>
      </c>
      <c r="P71" s="75" t="str">
        <f t="shared" si="4"/>
        <v/>
      </c>
      <c r="Q71" s="76">
        <f t="shared" si="5"/>
        <v>0</v>
      </c>
      <c r="R71" s="76">
        <f t="shared" si="6"/>
        <v>0</v>
      </c>
      <c r="S71" s="75">
        <f t="shared" si="10"/>
        <v>0</v>
      </c>
      <c r="T71" s="47"/>
      <c r="V71" s="57"/>
      <c r="W71" s="45"/>
      <c r="X71" s="46">
        <f t="shared" si="7"/>
        <v>0</v>
      </c>
      <c r="Y71" s="74" t="str">
        <f t="shared" si="8"/>
        <v/>
      </c>
      <c r="Z71" s="49"/>
      <c r="AA71" s="49"/>
      <c r="AB71" s="49"/>
      <c r="AC71" s="47"/>
      <c r="AD71" s="48" t="str">
        <f t="shared" si="11"/>
        <v/>
      </c>
      <c r="AE71" s="48" t="str">
        <f t="shared" si="12"/>
        <v/>
      </c>
      <c r="AF71" s="75" t="str">
        <f t="shared" si="13"/>
        <v/>
      </c>
      <c r="AG71" s="76">
        <f t="shared" si="14"/>
        <v>0</v>
      </c>
      <c r="AH71" s="76">
        <f t="shared" si="15"/>
        <v>0</v>
      </c>
      <c r="AI71" s="75">
        <f t="shared" si="16"/>
        <v>0</v>
      </c>
      <c r="AJ71" s="47"/>
      <c r="AL71" s="47"/>
      <c r="AN71" s="47"/>
      <c r="AO71" s="47" t="str">
        <f t="shared" si="9"/>
        <v/>
      </c>
    </row>
    <row r="72" spans="1:41" s="56" customFormat="1" ht="14">
      <c r="A72" s="44"/>
      <c r="B72" s="45"/>
      <c r="C72" s="46">
        <f t="shared" si="0"/>
        <v>0</v>
      </c>
      <c r="D72" s="47"/>
      <c r="E72" s="47"/>
      <c r="F72" s="47"/>
      <c r="G72" s="47"/>
      <c r="H72" s="48"/>
      <c r="I72" s="74" t="str">
        <f t="shared" si="1"/>
        <v/>
      </c>
      <c r="J72" s="49"/>
      <c r="K72" s="49"/>
      <c r="L72" s="49"/>
      <c r="M72" s="47"/>
      <c r="N72" s="48" t="str">
        <f t="shared" si="2"/>
        <v/>
      </c>
      <c r="O72" s="48" t="str">
        <f t="shared" si="3"/>
        <v/>
      </c>
      <c r="P72" s="75" t="str">
        <f t="shared" si="4"/>
        <v/>
      </c>
      <c r="Q72" s="76">
        <f t="shared" si="5"/>
        <v>0</v>
      </c>
      <c r="R72" s="76">
        <f t="shared" si="6"/>
        <v>0</v>
      </c>
      <c r="S72" s="75">
        <f t="shared" si="10"/>
        <v>0</v>
      </c>
      <c r="T72" s="47"/>
      <c r="V72" s="57"/>
      <c r="W72" s="45"/>
      <c r="X72" s="46">
        <f t="shared" si="7"/>
        <v>0</v>
      </c>
      <c r="Y72" s="74" t="str">
        <f t="shared" si="8"/>
        <v/>
      </c>
      <c r="Z72" s="49"/>
      <c r="AA72" s="49"/>
      <c r="AB72" s="49"/>
      <c r="AC72" s="47"/>
      <c r="AD72" s="48" t="str">
        <f t="shared" si="11"/>
        <v/>
      </c>
      <c r="AE72" s="48" t="str">
        <f t="shared" si="12"/>
        <v/>
      </c>
      <c r="AF72" s="75" t="str">
        <f t="shared" si="13"/>
        <v/>
      </c>
      <c r="AG72" s="76">
        <f t="shared" si="14"/>
        <v>0</v>
      </c>
      <c r="AH72" s="76">
        <f t="shared" si="15"/>
        <v>0</v>
      </c>
      <c r="AI72" s="75">
        <f t="shared" si="16"/>
        <v>0</v>
      </c>
      <c r="AJ72" s="47"/>
      <c r="AL72" s="47"/>
      <c r="AN72" s="47"/>
      <c r="AO72" s="47" t="str">
        <f t="shared" si="9"/>
        <v/>
      </c>
    </row>
    <row r="73" spans="1:41" s="56" customFormat="1" ht="14">
      <c r="A73" s="44"/>
      <c r="B73" s="45"/>
      <c r="C73" s="46">
        <f t="shared" si="0"/>
        <v>0</v>
      </c>
      <c r="D73" s="47"/>
      <c r="E73" s="47"/>
      <c r="F73" s="47"/>
      <c r="G73" s="47"/>
      <c r="H73" s="48"/>
      <c r="I73" s="74" t="str">
        <f t="shared" si="1"/>
        <v/>
      </c>
      <c r="J73" s="49"/>
      <c r="K73" s="49"/>
      <c r="L73" s="49"/>
      <c r="M73" s="47"/>
      <c r="N73" s="48" t="str">
        <f t="shared" si="2"/>
        <v/>
      </c>
      <c r="O73" s="48" t="str">
        <f t="shared" si="3"/>
        <v/>
      </c>
      <c r="P73" s="75" t="str">
        <f t="shared" si="4"/>
        <v/>
      </c>
      <c r="Q73" s="76">
        <f t="shared" si="5"/>
        <v>0</v>
      </c>
      <c r="R73" s="76">
        <f t="shared" si="6"/>
        <v>0</v>
      </c>
      <c r="S73" s="75">
        <f t="shared" si="10"/>
        <v>0</v>
      </c>
      <c r="T73" s="47"/>
      <c r="V73" s="57"/>
      <c r="W73" s="45"/>
      <c r="X73" s="46">
        <f t="shared" si="7"/>
        <v>0</v>
      </c>
      <c r="Y73" s="74" t="str">
        <f t="shared" si="8"/>
        <v/>
      </c>
      <c r="Z73" s="49"/>
      <c r="AA73" s="49"/>
      <c r="AB73" s="49"/>
      <c r="AC73" s="47"/>
      <c r="AD73" s="48" t="str">
        <f t="shared" si="11"/>
        <v/>
      </c>
      <c r="AE73" s="48" t="str">
        <f t="shared" si="12"/>
        <v/>
      </c>
      <c r="AF73" s="75" t="str">
        <f t="shared" si="13"/>
        <v/>
      </c>
      <c r="AG73" s="76">
        <f t="shared" si="14"/>
        <v>0</v>
      </c>
      <c r="AH73" s="76">
        <f t="shared" si="15"/>
        <v>0</v>
      </c>
      <c r="AI73" s="75">
        <f t="shared" si="16"/>
        <v>0</v>
      </c>
      <c r="AJ73" s="47"/>
      <c r="AL73" s="47"/>
      <c r="AN73" s="47"/>
      <c r="AO73" s="47" t="str">
        <f t="shared" si="9"/>
        <v/>
      </c>
    </row>
    <row r="74" spans="1:41" s="56" customFormat="1" ht="14">
      <c r="A74" s="44"/>
      <c r="B74" s="45"/>
      <c r="C74" s="46">
        <f t="shared" si="0"/>
        <v>0</v>
      </c>
      <c r="D74" s="47"/>
      <c r="E74" s="47"/>
      <c r="F74" s="47"/>
      <c r="G74" s="47"/>
      <c r="H74" s="48"/>
      <c r="I74" s="74" t="str">
        <f t="shared" si="1"/>
        <v/>
      </c>
      <c r="J74" s="49"/>
      <c r="K74" s="49"/>
      <c r="L74" s="49"/>
      <c r="M74" s="47"/>
      <c r="N74" s="48" t="str">
        <f t="shared" si="2"/>
        <v/>
      </c>
      <c r="O74" s="48" t="str">
        <f t="shared" si="3"/>
        <v/>
      </c>
      <c r="P74" s="75" t="str">
        <f t="shared" si="4"/>
        <v/>
      </c>
      <c r="Q74" s="76">
        <f t="shared" si="5"/>
        <v>0</v>
      </c>
      <c r="R74" s="76">
        <f t="shared" si="6"/>
        <v>0</v>
      </c>
      <c r="S74" s="75">
        <f t="shared" si="10"/>
        <v>0</v>
      </c>
      <c r="T74" s="47"/>
      <c r="V74" s="57"/>
      <c r="W74" s="45"/>
      <c r="X74" s="46">
        <f t="shared" si="7"/>
        <v>0</v>
      </c>
      <c r="Y74" s="74" t="str">
        <f t="shared" si="8"/>
        <v/>
      </c>
      <c r="Z74" s="49"/>
      <c r="AA74" s="49"/>
      <c r="AB74" s="49"/>
      <c r="AC74" s="47"/>
      <c r="AD74" s="48" t="str">
        <f t="shared" si="11"/>
        <v/>
      </c>
      <c r="AE74" s="48" t="str">
        <f t="shared" si="12"/>
        <v/>
      </c>
      <c r="AF74" s="75" t="str">
        <f t="shared" si="13"/>
        <v/>
      </c>
      <c r="AG74" s="76">
        <f t="shared" si="14"/>
        <v>0</v>
      </c>
      <c r="AH74" s="76">
        <f t="shared" si="15"/>
        <v>0</v>
      </c>
      <c r="AI74" s="75">
        <f t="shared" si="16"/>
        <v>0</v>
      </c>
      <c r="AJ74" s="47"/>
      <c r="AL74" s="47"/>
      <c r="AN74" s="47"/>
      <c r="AO74" s="47" t="str">
        <f t="shared" si="9"/>
        <v/>
      </c>
    </row>
    <row r="75" spans="1:41" s="56" customFormat="1" ht="14">
      <c r="A75" s="44"/>
      <c r="B75" s="45"/>
      <c r="C75" s="46">
        <f t="shared" ref="C75:C138" si="17">IF($B75&lt;&gt;"",VLOOKUP($B75,Matriz_INM,2,0),0)</f>
        <v>0</v>
      </c>
      <c r="D75" s="47"/>
      <c r="E75" s="47"/>
      <c r="F75" s="47"/>
      <c r="G75" s="47"/>
      <c r="H75" s="48"/>
      <c r="I75" s="74" t="str">
        <f t="shared" ref="I75:I138" si="18">IFERROR(VLOOKUP($B75,Matriz_INM,3,0),"")</f>
        <v/>
      </c>
      <c r="J75" s="49"/>
      <c r="K75" s="49"/>
      <c r="L75" s="49"/>
      <c r="M75" s="47"/>
      <c r="N75" s="48" t="str">
        <f t="shared" ref="N75:N138" si="19">IF(M75="EE",IF(OR(AND(OR(L75=1,L75=0),K75&gt;0,K75&lt;5),AND(OR(L75=1,L75=0),K75&gt;4,K75&lt;16),AND(L75=2,K75&gt;0,K75&lt;5)),"Simples",IF(OR(AND(OR(L75=1,L75=0),K75&gt;15),AND(L75=2,K75&gt;4,K75&lt;16),AND(L75&gt;2,K75&gt;0,K75&lt;5)),"Médio",IF(OR(AND(L75=2,K75&gt;15),AND(L75&gt;2,K75&gt;4,K75&lt;16),AND(L75&gt;2,K75&gt;15)),"Complexo",""))), IF(OR(M75="CE",M75="SE"),IF(OR(AND(OR(L75=1,L75=0),K75&gt;0,K75&lt;6),AND(OR(L75=1,L75=0),K75&gt;5,K75&lt;20),AND(L75&gt;1,L75&lt;4,K75&gt;0,K75&lt;6)),"Simples",IF(OR(AND(OR(L75=1,L75=0),K75&gt;19),AND(L75&gt;1,L75&lt;4,K75&gt;5,K75&lt;20),AND(L75&gt;3,K75&gt;0,K75&lt;6)),"Médio",IF(OR(AND(L75&gt;1,L75&lt;4,K75&gt;19),AND(L75&gt;3,K75&gt;5,K75&lt;20),AND(L75&gt;3,K75&gt;19)),"Complexo",""))),""))</f>
        <v/>
      </c>
      <c r="O75" s="48" t="str">
        <f t="shared" ref="O75:O138" si="20">IF(M75="ALI",IF(OR(AND(OR(L75=1,L75=0),K75&gt;0,K75&lt;20),AND(OR(L75=1,L75=0),K75&gt;19,K75&lt;51),AND(L75&gt;1,L75&lt;6,K75&gt;0,K75&lt;20)),"Simples",IF(OR(AND(OR(L75=1,L75=0),K75&gt;50),AND(L75&gt;1,L75&lt;6,K75&gt;19,K75&lt;51),AND(L75&gt;5,K75&gt;0,K75&lt;20)),"Médio",IF(OR(AND(L75&gt;1,L75&lt;6,K75&gt;50),AND(L75&gt;5,K75&gt;19,K75&lt;51),AND(L75&gt;5,K75&gt;50)),"Complexo",""))), IF(M75="AIE",IF(OR(AND(OR(L75=1, L75=0),K75&gt;0,K75&lt;20),AND(OR(L75=1, L75=0),K75&gt;19,K75&lt;51),AND(L75&gt;1,L75&lt;6,K75&gt;0,K75&lt;20)),"Simples",IF(OR(AND(OR(L75=1, L75=0),K75&gt;50),AND(L75&gt;1,L75&lt;6,K75&gt;19,K75&lt;51),AND(L75&gt;5,K75&gt;0,K75&lt;20)),"Médio",IF(OR(AND(L75&gt;1,L75&lt;6,K75&gt;50),AND(L75&gt;5,K75&gt;19,K75&lt;51),AND(L75&gt;5,K75&gt;50)),"Complexo",""))),""))</f>
        <v/>
      </c>
      <c r="P75" s="75" t="str">
        <f t="shared" ref="P75:P138" si="21">IF(N75="",O75,IF(O75="",N75,""))</f>
        <v/>
      </c>
      <c r="Q75" s="76">
        <f t="shared" ref="Q75:Q138" si="22">IF(AND(OR(M75="EE",M75="CE"),P75="Simples"),3, IF(AND(OR(M75="EE",M75="CE"),P75="Médio"),4, IF(AND(OR(M75="EE",M75="CE"),P75="Complexo"),6, IF(AND(M75="SE",P75="Simples"),4, IF(AND(M75="SE",P75="Médio"),5, IF(AND(M75="SE",P75="Complexo"),7,0))))))</f>
        <v>0</v>
      </c>
      <c r="R75" s="76">
        <f t="shared" ref="R75:R138" si="23">IF(AND(M75="ALI",O75="Simples"),7, IF(AND(M75="ALI",O75="Médio"),10, IF(AND(M75="ALI",O75="Complexo"),15, IF(AND(M75="AIE",O75="Simples"),5, IF(AND(M75="AIE",O75="Médio"),7, IF(AND(M75="AIE",O75="Complexo"),10,0))))))</f>
        <v>0</v>
      </c>
      <c r="S75" s="75">
        <f t="shared" si="10"/>
        <v>0</v>
      </c>
      <c r="T75" s="47"/>
      <c r="V75" s="57"/>
      <c r="W75" s="45"/>
      <c r="X75" s="46">
        <f t="shared" ref="X75:X138" si="24">IF($W75&lt;&gt;"",VLOOKUP($W75,Matriz_INM,2,0),0)</f>
        <v>0</v>
      </c>
      <c r="Y75" s="74" t="str">
        <f t="shared" ref="Y75:Y138" si="25">IFERROR(VLOOKUP($W75,Matriz_INM,3,0),"")</f>
        <v/>
      </c>
      <c r="Z75" s="49"/>
      <c r="AA75" s="49"/>
      <c r="AB75" s="49"/>
      <c r="AC75" s="47"/>
      <c r="AD75" s="48" t="str">
        <f t="shared" si="11"/>
        <v/>
      </c>
      <c r="AE75" s="48" t="str">
        <f t="shared" si="12"/>
        <v/>
      </c>
      <c r="AF75" s="75" t="str">
        <f t="shared" si="13"/>
        <v/>
      </c>
      <c r="AG75" s="76">
        <f t="shared" si="14"/>
        <v>0</v>
      </c>
      <c r="AH75" s="76">
        <f t="shared" si="15"/>
        <v>0</v>
      </c>
      <c r="AI75" s="75">
        <f t="shared" si="16"/>
        <v>0</v>
      </c>
      <c r="AJ75" s="47"/>
      <c r="AL75" s="47"/>
      <c r="AN75" s="47"/>
      <c r="AO75" s="47" t="str">
        <f t="shared" ref="AO75:AO138" si="26">IF(AI75=0,"",IF(AI75=S75,"OK","Divergente"))</f>
        <v/>
      </c>
    </row>
    <row r="76" spans="1:41" s="56" customFormat="1" ht="14">
      <c r="A76" s="44"/>
      <c r="B76" s="45"/>
      <c r="C76" s="46">
        <f t="shared" si="17"/>
        <v>0</v>
      </c>
      <c r="D76" s="47"/>
      <c r="E76" s="47"/>
      <c r="F76" s="47"/>
      <c r="G76" s="47"/>
      <c r="H76" s="48"/>
      <c r="I76" s="74" t="str">
        <f t="shared" si="18"/>
        <v/>
      </c>
      <c r="J76" s="49"/>
      <c r="K76" s="49"/>
      <c r="L76" s="49"/>
      <c r="M76" s="47"/>
      <c r="N76" s="48" t="str">
        <f t="shared" si="19"/>
        <v/>
      </c>
      <c r="O76" s="48" t="str">
        <f t="shared" si="20"/>
        <v/>
      </c>
      <c r="P76" s="75" t="str">
        <f t="shared" si="21"/>
        <v/>
      </c>
      <c r="Q76" s="76">
        <f t="shared" si="22"/>
        <v>0</v>
      </c>
      <c r="R76" s="76">
        <f t="shared" si="23"/>
        <v>0</v>
      </c>
      <c r="S76" s="75">
        <f t="shared" ref="S76:S139" si="27">IF($I76="%",($Q76+$R76)*$C76,$C76*J76)</f>
        <v>0</v>
      </c>
      <c r="T76" s="47"/>
      <c r="V76" s="57"/>
      <c r="W76" s="45"/>
      <c r="X76" s="46">
        <f t="shared" si="24"/>
        <v>0</v>
      </c>
      <c r="Y76" s="74" t="str">
        <f t="shared" si="25"/>
        <v/>
      </c>
      <c r="Z76" s="49"/>
      <c r="AA76" s="49"/>
      <c r="AB76" s="49"/>
      <c r="AC76" s="47"/>
      <c r="AD76" s="48" t="str">
        <f t="shared" ref="AD76:AD139" si="28">IF(AC76="EE",IF(OR(AND(OR(AB76=1,AB76=0),AA76&gt;0,AA76&lt;5),AND(OR(AB76=1,AB76=0),AA76&gt;4,AA76&lt;16),AND(AB76=2,AA76&gt;0,AA76&lt;5)),"Simples",IF(OR(AND(OR(AB76=1,AB76=0),AA76&gt;15),AND(AB76=2,AA76&gt;4,AA76&lt;16),AND(AB76&gt;2,AA76&gt;0,AA76&lt;5)),"Médio",IF(OR(AND(AB76=2,AA76&gt;15),AND(AB76&gt;2,AA76&gt;4,AA76&lt;16),AND(AB76&gt;2,AA76&gt;15)),"Complexo",""))), IF(OR(AC76="CE",AC76="SE"),IF(OR(AND(OR(AB76=1,AB76=0),AA76&gt;0,AA76&lt;6),AND(OR(AB76=1,AB76=0),AA76&gt;5,AA76&lt;20),AND(AB76&gt;1,AB76&lt;4,AA76&gt;0,AA76&lt;6)),"Simples",IF(OR(AND(OR(AB76=1,AB76=0),AA76&gt;19),AND(AB76&gt;1,AB76&lt;4,AA76&gt;5,AA76&lt;20),AND(AB76&gt;3,AA76&gt;0,AA76&lt;6)),"Médio",IF(OR(AND(AB76&gt;1,AB76&lt;4,AA76&gt;19),AND(AB76&gt;3,AA76&gt;5,AA76&lt;20),AND(AB76&gt;3,AA76&gt;19)),"Complexo",""))),""))</f>
        <v/>
      </c>
      <c r="AE76" s="48" t="str">
        <f t="shared" ref="AE76:AE139" si="29">IF(AC76="ALI",IF(OR(AND(OR(AB76=1,AB76=0),AA76&gt;0,AA76&lt;20),AND(OR(AB76=1,AB76=0),AA76&gt;19,AA76&lt;51),AND(AB76&gt;1,AB76&lt;6,AA76&gt;0,AA76&lt;20)),"Simples",IF(OR(AND(OR(AB76=1,AB76=0),AA76&gt;50),AND(AB76&gt;1,AB76&lt;6,AA76&gt;19,AA76&lt;51),AND(AB76&gt;5,AA76&gt;0,AA76&lt;20)),"Médio",IF(OR(AND(AB76&gt;1,AB76&lt;6,AA76&gt;50),AND(AB76&gt;5,AA76&gt;19,AA76&lt;51),AND(AB76&gt;5,AA76&gt;50)),"Complexo",""))), IF(AC76="AIE",IF(OR(AND(OR(AB76=1, AB76=0),AA76&gt;0,AA76&lt;20),AND(OR(AB76=1, AB76=0),AA76&gt;19,AA76&lt;51),AND(AB76&gt;1,AB76&lt;6,AA76&gt;0,AA76&lt;20)),"Simples",IF(OR(AND(OR(AB76=1, AB76=0),AA76&gt;50),AND(AB76&gt;1,AB76&lt;6,AA76&gt;19,AA76&lt;51),AND(AB76&gt;5,AA76&gt;0,AA76&lt;20)),"Médio",IF(OR(AND(AB76&gt;1,AB76&lt;6,AA76&gt;50),AND(AB76&gt;5,AA76&gt;19,AA76&lt;51),AND(AB76&gt;5,AA76&gt;50)),"Complexo",""))),""))</f>
        <v/>
      </c>
      <c r="AF76" s="75" t="str">
        <f t="shared" ref="AF76:AF139" si="30">IF(AD76="",AE76,IF(AE76="",AD76,""))</f>
        <v/>
      </c>
      <c r="AG76" s="76">
        <f t="shared" ref="AG76:AG139" si="31">IF(AND(OR(AC76="EE",AC76="CE"),AF76="Simples"),3, IF(AND(OR(AC76="EE",AC76="CE"),AF76="Médio"),4, IF(AND(OR(AC76="EE",AC76="CE"),AF76="Complexo"),6, IF(AND(AC76="SE",AF76="Simples"),4, IF(AND(AC76="SE",AF76="Médio"),5, IF(AND(AC76="SE",AF76="Complexo"),7,0))))))</f>
        <v>0</v>
      </c>
      <c r="AH76" s="76">
        <f t="shared" ref="AH76:AH139" si="32">IF(AND(AC76="ALI",AE76="Simples"),7, IF(AND(AC76="ALI",AE76="Médio"),10, IF(AND(AC76="ALI",AE76="Complexo"),15, IF(AND(AC76="AIE",AE76="Simples"),5, IF(AND(AC76="AIE",AE76="Médio"),7, IF(AND(AC76="AIE",AE76="Complexo"),10,0))))))</f>
        <v>0</v>
      </c>
      <c r="AI76" s="75">
        <f t="shared" ref="AI76:AI139" si="33">IF(V76="OK",S76,IF($Y76="%",($AG76+$AH76)*$X76,$X76*Z76))</f>
        <v>0</v>
      </c>
      <c r="AJ76" s="47"/>
      <c r="AL76" s="47"/>
      <c r="AN76" s="47"/>
      <c r="AO76" s="47" t="str">
        <f t="shared" si="26"/>
        <v/>
      </c>
    </row>
    <row r="77" spans="1:41" s="56" customFormat="1" ht="14">
      <c r="A77" s="44"/>
      <c r="B77" s="45"/>
      <c r="C77" s="46">
        <f t="shared" si="17"/>
        <v>0</v>
      </c>
      <c r="D77" s="47"/>
      <c r="E77" s="47"/>
      <c r="F77" s="47"/>
      <c r="G77" s="47"/>
      <c r="H77" s="48"/>
      <c r="I77" s="74" t="str">
        <f t="shared" si="18"/>
        <v/>
      </c>
      <c r="J77" s="49"/>
      <c r="K77" s="49"/>
      <c r="L77" s="49"/>
      <c r="M77" s="47"/>
      <c r="N77" s="48" t="str">
        <f t="shared" si="19"/>
        <v/>
      </c>
      <c r="O77" s="48" t="str">
        <f t="shared" si="20"/>
        <v/>
      </c>
      <c r="P77" s="75" t="str">
        <f t="shared" si="21"/>
        <v/>
      </c>
      <c r="Q77" s="76">
        <f t="shared" si="22"/>
        <v>0</v>
      </c>
      <c r="R77" s="76">
        <f t="shared" si="23"/>
        <v>0</v>
      </c>
      <c r="S77" s="75">
        <f t="shared" si="27"/>
        <v>0</v>
      </c>
      <c r="T77" s="47"/>
      <c r="V77" s="57"/>
      <c r="W77" s="45"/>
      <c r="X77" s="46">
        <f t="shared" si="24"/>
        <v>0</v>
      </c>
      <c r="Y77" s="74" t="str">
        <f t="shared" si="25"/>
        <v/>
      </c>
      <c r="Z77" s="49"/>
      <c r="AA77" s="49"/>
      <c r="AB77" s="49"/>
      <c r="AC77" s="47"/>
      <c r="AD77" s="48" t="str">
        <f t="shared" si="28"/>
        <v/>
      </c>
      <c r="AE77" s="48" t="str">
        <f t="shared" si="29"/>
        <v/>
      </c>
      <c r="AF77" s="75" t="str">
        <f t="shared" si="30"/>
        <v/>
      </c>
      <c r="AG77" s="76">
        <f t="shared" si="31"/>
        <v>0</v>
      </c>
      <c r="AH77" s="76">
        <f t="shared" si="32"/>
        <v>0</v>
      </c>
      <c r="AI77" s="75">
        <f t="shared" si="33"/>
        <v>0</v>
      </c>
      <c r="AJ77" s="47"/>
      <c r="AL77" s="47"/>
      <c r="AN77" s="47"/>
      <c r="AO77" s="47" t="str">
        <f t="shared" si="26"/>
        <v/>
      </c>
    </row>
    <row r="78" spans="1:41" s="56" customFormat="1" ht="14">
      <c r="A78" s="44"/>
      <c r="B78" s="45"/>
      <c r="C78" s="46">
        <f t="shared" si="17"/>
        <v>0</v>
      </c>
      <c r="D78" s="47"/>
      <c r="E78" s="47"/>
      <c r="F78" s="47"/>
      <c r="G78" s="47"/>
      <c r="H78" s="48"/>
      <c r="I78" s="74" t="str">
        <f t="shared" si="18"/>
        <v/>
      </c>
      <c r="J78" s="49"/>
      <c r="K78" s="49"/>
      <c r="L78" s="49"/>
      <c r="M78" s="47"/>
      <c r="N78" s="48" t="str">
        <f t="shared" si="19"/>
        <v/>
      </c>
      <c r="O78" s="48" t="str">
        <f t="shared" si="20"/>
        <v/>
      </c>
      <c r="P78" s="75" t="str">
        <f t="shared" si="21"/>
        <v/>
      </c>
      <c r="Q78" s="76">
        <f t="shared" si="22"/>
        <v>0</v>
      </c>
      <c r="R78" s="76">
        <f t="shared" si="23"/>
        <v>0</v>
      </c>
      <c r="S78" s="75">
        <f t="shared" si="27"/>
        <v>0</v>
      </c>
      <c r="T78" s="47"/>
      <c r="V78" s="57"/>
      <c r="W78" s="45"/>
      <c r="X78" s="46">
        <f t="shared" si="24"/>
        <v>0</v>
      </c>
      <c r="Y78" s="74" t="str">
        <f t="shared" si="25"/>
        <v/>
      </c>
      <c r="Z78" s="49"/>
      <c r="AA78" s="49"/>
      <c r="AB78" s="49"/>
      <c r="AC78" s="47"/>
      <c r="AD78" s="48" t="str">
        <f t="shared" si="28"/>
        <v/>
      </c>
      <c r="AE78" s="48" t="str">
        <f t="shared" si="29"/>
        <v/>
      </c>
      <c r="AF78" s="75" t="str">
        <f t="shared" si="30"/>
        <v/>
      </c>
      <c r="AG78" s="76">
        <f t="shared" si="31"/>
        <v>0</v>
      </c>
      <c r="AH78" s="76">
        <f t="shared" si="32"/>
        <v>0</v>
      </c>
      <c r="AI78" s="75">
        <f t="shared" si="33"/>
        <v>0</v>
      </c>
      <c r="AJ78" s="47"/>
      <c r="AL78" s="47"/>
      <c r="AN78" s="47"/>
      <c r="AO78" s="47" t="str">
        <f t="shared" si="26"/>
        <v/>
      </c>
    </row>
    <row r="79" spans="1:41" s="56" customFormat="1" ht="14">
      <c r="A79" s="44"/>
      <c r="B79" s="45"/>
      <c r="C79" s="46">
        <f t="shared" si="17"/>
        <v>0</v>
      </c>
      <c r="D79" s="47"/>
      <c r="E79" s="47"/>
      <c r="F79" s="47"/>
      <c r="G79" s="47"/>
      <c r="H79" s="48"/>
      <c r="I79" s="74" t="str">
        <f t="shared" si="18"/>
        <v/>
      </c>
      <c r="J79" s="49"/>
      <c r="K79" s="49"/>
      <c r="L79" s="49"/>
      <c r="M79" s="47"/>
      <c r="N79" s="48" t="str">
        <f t="shared" si="19"/>
        <v/>
      </c>
      <c r="O79" s="48" t="str">
        <f t="shared" si="20"/>
        <v/>
      </c>
      <c r="P79" s="75" t="str">
        <f t="shared" si="21"/>
        <v/>
      </c>
      <c r="Q79" s="76">
        <f t="shared" si="22"/>
        <v>0</v>
      </c>
      <c r="R79" s="76">
        <f t="shared" si="23"/>
        <v>0</v>
      </c>
      <c r="S79" s="75">
        <f t="shared" si="27"/>
        <v>0</v>
      </c>
      <c r="T79" s="47"/>
      <c r="V79" s="57"/>
      <c r="W79" s="45"/>
      <c r="X79" s="46">
        <f t="shared" si="24"/>
        <v>0</v>
      </c>
      <c r="Y79" s="74" t="str">
        <f t="shared" si="25"/>
        <v/>
      </c>
      <c r="Z79" s="49"/>
      <c r="AA79" s="49"/>
      <c r="AB79" s="49"/>
      <c r="AC79" s="47"/>
      <c r="AD79" s="48" t="str">
        <f t="shared" si="28"/>
        <v/>
      </c>
      <c r="AE79" s="48" t="str">
        <f t="shared" si="29"/>
        <v/>
      </c>
      <c r="AF79" s="75" t="str">
        <f t="shared" si="30"/>
        <v/>
      </c>
      <c r="AG79" s="76">
        <f t="shared" si="31"/>
        <v>0</v>
      </c>
      <c r="AH79" s="76">
        <f t="shared" si="32"/>
        <v>0</v>
      </c>
      <c r="AI79" s="75">
        <f t="shared" si="33"/>
        <v>0</v>
      </c>
      <c r="AJ79" s="47"/>
      <c r="AL79" s="47"/>
      <c r="AN79" s="47"/>
      <c r="AO79" s="47" t="str">
        <f t="shared" si="26"/>
        <v/>
      </c>
    </row>
    <row r="80" spans="1:41" s="56" customFormat="1" ht="14">
      <c r="A80" s="44"/>
      <c r="B80" s="45"/>
      <c r="C80" s="46">
        <f t="shared" si="17"/>
        <v>0</v>
      </c>
      <c r="D80" s="47"/>
      <c r="E80" s="47"/>
      <c r="F80" s="47"/>
      <c r="G80" s="47"/>
      <c r="H80" s="48"/>
      <c r="I80" s="74" t="str">
        <f t="shared" si="18"/>
        <v/>
      </c>
      <c r="J80" s="49"/>
      <c r="K80" s="49"/>
      <c r="L80" s="49"/>
      <c r="M80" s="47"/>
      <c r="N80" s="48" t="str">
        <f t="shared" si="19"/>
        <v/>
      </c>
      <c r="O80" s="48" t="str">
        <f t="shared" si="20"/>
        <v/>
      </c>
      <c r="P80" s="75" t="str">
        <f t="shared" si="21"/>
        <v/>
      </c>
      <c r="Q80" s="76">
        <f t="shared" si="22"/>
        <v>0</v>
      </c>
      <c r="R80" s="76">
        <f t="shared" si="23"/>
        <v>0</v>
      </c>
      <c r="S80" s="75">
        <f t="shared" si="27"/>
        <v>0</v>
      </c>
      <c r="T80" s="47"/>
      <c r="V80" s="57"/>
      <c r="W80" s="45"/>
      <c r="X80" s="46">
        <f t="shared" si="24"/>
        <v>0</v>
      </c>
      <c r="Y80" s="74" t="str">
        <f t="shared" si="25"/>
        <v/>
      </c>
      <c r="Z80" s="49"/>
      <c r="AA80" s="49"/>
      <c r="AB80" s="49"/>
      <c r="AC80" s="47"/>
      <c r="AD80" s="48" t="str">
        <f t="shared" si="28"/>
        <v/>
      </c>
      <c r="AE80" s="48" t="str">
        <f t="shared" si="29"/>
        <v/>
      </c>
      <c r="AF80" s="75" t="str">
        <f t="shared" si="30"/>
        <v/>
      </c>
      <c r="AG80" s="76">
        <f t="shared" si="31"/>
        <v>0</v>
      </c>
      <c r="AH80" s="76">
        <f t="shared" si="32"/>
        <v>0</v>
      </c>
      <c r="AI80" s="75">
        <f t="shared" si="33"/>
        <v>0</v>
      </c>
      <c r="AJ80" s="47"/>
      <c r="AL80" s="47"/>
      <c r="AN80" s="47"/>
      <c r="AO80" s="47" t="str">
        <f t="shared" si="26"/>
        <v/>
      </c>
    </row>
    <row r="81" spans="1:41" s="56" customFormat="1" ht="14">
      <c r="A81" s="44"/>
      <c r="B81" s="45"/>
      <c r="C81" s="46">
        <f t="shared" si="17"/>
        <v>0</v>
      </c>
      <c r="D81" s="47"/>
      <c r="E81" s="47"/>
      <c r="F81" s="47"/>
      <c r="G81" s="47"/>
      <c r="H81" s="48"/>
      <c r="I81" s="74" t="str">
        <f t="shared" si="18"/>
        <v/>
      </c>
      <c r="J81" s="49"/>
      <c r="K81" s="49"/>
      <c r="L81" s="49"/>
      <c r="M81" s="47"/>
      <c r="N81" s="48" t="str">
        <f t="shared" si="19"/>
        <v/>
      </c>
      <c r="O81" s="48" t="str">
        <f t="shared" si="20"/>
        <v/>
      </c>
      <c r="P81" s="75" t="str">
        <f t="shared" si="21"/>
        <v/>
      </c>
      <c r="Q81" s="76">
        <f t="shared" si="22"/>
        <v>0</v>
      </c>
      <c r="R81" s="76">
        <f t="shared" si="23"/>
        <v>0</v>
      </c>
      <c r="S81" s="75">
        <f t="shared" si="27"/>
        <v>0</v>
      </c>
      <c r="T81" s="47"/>
      <c r="V81" s="57"/>
      <c r="W81" s="45"/>
      <c r="X81" s="46">
        <f t="shared" si="24"/>
        <v>0</v>
      </c>
      <c r="Y81" s="74" t="str">
        <f t="shared" si="25"/>
        <v/>
      </c>
      <c r="Z81" s="49"/>
      <c r="AA81" s="49"/>
      <c r="AB81" s="49"/>
      <c r="AC81" s="47"/>
      <c r="AD81" s="48" t="str">
        <f t="shared" si="28"/>
        <v/>
      </c>
      <c r="AE81" s="48" t="str">
        <f t="shared" si="29"/>
        <v/>
      </c>
      <c r="AF81" s="75" t="str">
        <f t="shared" si="30"/>
        <v/>
      </c>
      <c r="AG81" s="76">
        <f t="shared" si="31"/>
        <v>0</v>
      </c>
      <c r="AH81" s="76">
        <f t="shared" si="32"/>
        <v>0</v>
      </c>
      <c r="AI81" s="75">
        <f t="shared" si="33"/>
        <v>0</v>
      </c>
      <c r="AJ81" s="47"/>
      <c r="AL81" s="47"/>
      <c r="AN81" s="47"/>
      <c r="AO81" s="47" t="str">
        <f t="shared" si="26"/>
        <v/>
      </c>
    </row>
    <row r="82" spans="1:41" s="56" customFormat="1" ht="14">
      <c r="A82" s="44"/>
      <c r="B82" s="45"/>
      <c r="C82" s="46">
        <f t="shared" si="17"/>
        <v>0</v>
      </c>
      <c r="D82" s="47"/>
      <c r="E82" s="47"/>
      <c r="F82" s="47"/>
      <c r="G82" s="47"/>
      <c r="H82" s="48"/>
      <c r="I82" s="74" t="str">
        <f t="shared" si="18"/>
        <v/>
      </c>
      <c r="J82" s="49"/>
      <c r="K82" s="49"/>
      <c r="L82" s="49"/>
      <c r="M82" s="47"/>
      <c r="N82" s="48" t="str">
        <f t="shared" si="19"/>
        <v/>
      </c>
      <c r="O82" s="48" t="str">
        <f t="shared" si="20"/>
        <v/>
      </c>
      <c r="P82" s="75" t="str">
        <f t="shared" si="21"/>
        <v/>
      </c>
      <c r="Q82" s="76">
        <f t="shared" si="22"/>
        <v>0</v>
      </c>
      <c r="R82" s="76">
        <f t="shared" si="23"/>
        <v>0</v>
      </c>
      <c r="S82" s="75">
        <f t="shared" si="27"/>
        <v>0</v>
      </c>
      <c r="T82" s="47"/>
      <c r="V82" s="57"/>
      <c r="W82" s="45"/>
      <c r="X82" s="46">
        <f t="shared" si="24"/>
        <v>0</v>
      </c>
      <c r="Y82" s="74" t="str">
        <f t="shared" si="25"/>
        <v/>
      </c>
      <c r="Z82" s="49"/>
      <c r="AA82" s="49"/>
      <c r="AB82" s="49"/>
      <c r="AC82" s="47"/>
      <c r="AD82" s="48" t="str">
        <f t="shared" si="28"/>
        <v/>
      </c>
      <c r="AE82" s="48" t="str">
        <f t="shared" si="29"/>
        <v/>
      </c>
      <c r="AF82" s="75" t="str">
        <f t="shared" si="30"/>
        <v/>
      </c>
      <c r="AG82" s="76">
        <f t="shared" si="31"/>
        <v>0</v>
      </c>
      <c r="AH82" s="76">
        <f t="shared" si="32"/>
        <v>0</v>
      </c>
      <c r="AI82" s="75">
        <f t="shared" si="33"/>
        <v>0</v>
      </c>
      <c r="AJ82" s="47"/>
      <c r="AL82" s="47"/>
      <c r="AN82" s="47"/>
      <c r="AO82" s="47" t="str">
        <f t="shared" si="26"/>
        <v/>
      </c>
    </row>
    <row r="83" spans="1:41" s="56" customFormat="1" ht="14">
      <c r="A83" s="44"/>
      <c r="B83" s="45"/>
      <c r="C83" s="46">
        <f t="shared" si="17"/>
        <v>0</v>
      </c>
      <c r="D83" s="47"/>
      <c r="E83" s="47"/>
      <c r="F83" s="47"/>
      <c r="G83" s="47"/>
      <c r="H83" s="48"/>
      <c r="I83" s="74" t="str">
        <f t="shared" si="18"/>
        <v/>
      </c>
      <c r="J83" s="49"/>
      <c r="K83" s="49"/>
      <c r="L83" s="49"/>
      <c r="M83" s="47"/>
      <c r="N83" s="48" t="str">
        <f t="shared" si="19"/>
        <v/>
      </c>
      <c r="O83" s="48" t="str">
        <f t="shared" si="20"/>
        <v/>
      </c>
      <c r="P83" s="75" t="str">
        <f t="shared" si="21"/>
        <v/>
      </c>
      <c r="Q83" s="76">
        <f t="shared" si="22"/>
        <v>0</v>
      </c>
      <c r="R83" s="76">
        <f t="shared" si="23"/>
        <v>0</v>
      </c>
      <c r="S83" s="75">
        <f t="shared" si="27"/>
        <v>0</v>
      </c>
      <c r="T83" s="47"/>
      <c r="V83" s="57"/>
      <c r="W83" s="45"/>
      <c r="X83" s="46">
        <f t="shared" si="24"/>
        <v>0</v>
      </c>
      <c r="Y83" s="74" t="str">
        <f t="shared" si="25"/>
        <v/>
      </c>
      <c r="Z83" s="49"/>
      <c r="AA83" s="49"/>
      <c r="AB83" s="49"/>
      <c r="AC83" s="47"/>
      <c r="AD83" s="48" t="str">
        <f t="shared" si="28"/>
        <v/>
      </c>
      <c r="AE83" s="48" t="str">
        <f t="shared" si="29"/>
        <v/>
      </c>
      <c r="AF83" s="75" t="str">
        <f t="shared" si="30"/>
        <v/>
      </c>
      <c r="AG83" s="76">
        <f t="shared" si="31"/>
        <v>0</v>
      </c>
      <c r="AH83" s="76">
        <f t="shared" si="32"/>
        <v>0</v>
      </c>
      <c r="AI83" s="75">
        <f t="shared" si="33"/>
        <v>0</v>
      </c>
      <c r="AJ83" s="47"/>
      <c r="AL83" s="47"/>
      <c r="AN83" s="47"/>
      <c r="AO83" s="47" t="str">
        <f t="shared" si="26"/>
        <v/>
      </c>
    </row>
    <row r="84" spans="1:41" s="56" customFormat="1" ht="14">
      <c r="A84" s="44"/>
      <c r="B84" s="45"/>
      <c r="C84" s="46">
        <f t="shared" si="17"/>
        <v>0</v>
      </c>
      <c r="D84" s="47"/>
      <c r="E84" s="47"/>
      <c r="F84" s="47"/>
      <c r="G84" s="47"/>
      <c r="H84" s="48"/>
      <c r="I84" s="74" t="str">
        <f t="shared" si="18"/>
        <v/>
      </c>
      <c r="J84" s="49"/>
      <c r="K84" s="49"/>
      <c r="L84" s="49"/>
      <c r="M84" s="47"/>
      <c r="N84" s="48" t="str">
        <f t="shared" si="19"/>
        <v/>
      </c>
      <c r="O84" s="48" t="str">
        <f t="shared" si="20"/>
        <v/>
      </c>
      <c r="P84" s="75" t="str">
        <f t="shared" si="21"/>
        <v/>
      </c>
      <c r="Q84" s="76">
        <f t="shared" si="22"/>
        <v>0</v>
      </c>
      <c r="R84" s="76">
        <f t="shared" si="23"/>
        <v>0</v>
      </c>
      <c r="S84" s="75">
        <f t="shared" si="27"/>
        <v>0</v>
      </c>
      <c r="T84" s="47"/>
      <c r="V84" s="57"/>
      <c r="W84" s="45"/>
      <c r="X84" s="46">
        <f t="shared" si="24"/>
        <v>0</v>
      </c>
      <c r="Y84" s="74" t="str">
        <f t="shared" si="25"/>
        <v/>
      </c>
      <c r="Z84" s="49"/>
      <c r="AA84" s="49"/>
      <c r="AB84" s="49"/>
      <c r="AC84" s="47"/>
      <c r="AD84" s="48" t="str">
        <f t="shared" si="28"/>
        <v/>
      </c>
      <c r="AE84" s="48" t="str">
        <f t="shared" si="29"/>
        <v/>
      </c>
      <c r="AF84" s="75" t="str">
        <f t="shared" si="30"/>
        <v/>
      </c>
      <c r="AG84" s="76">
        <f t="shared" si="31"/>
        <v>0</v>
      </c>
      <c r="AH84" s="76">
        <f t="shared" si="32"/>
        <v>0</v>
      </c>
      <c r="AI84" s="75">
        <f t="shared" si="33"/>
        <v>0</v>
      </c>
      <c r="AJ84" s="47"/>
      <c r="AL84" s="47"/>
      <c r="AN84" s="47"/>
      <c r="AO84" s="47" t="str">
        <f t="shared" si="26"/>
        <v/>
      </c>
    </row>
    <row r="85" spans="1:41" s="56" customFormat="1" ht="14">
      <c r="A85" s="44"/>
      <c r="B85" s="45"/>
      <c r="C85" s="46">
        <f t="shared" si="17"/>
        <v>0</v>
      </c>
      <c r="D85" s="47"/>
      <c r="E85" s="47"/>
      <c r="F85" s="47"/>
      <c r="G85" s="47"/>
      <c r="H85" s="48"/>
      <c r="I85" s="74" t="str">
        <f t="shared" si="18"/>
        <v/>
      </c>
      <c r="J85" s="49"/>
      <c r="K85" s="49"/>
      <c r="L85" s="49"/>
      <c r="M85" s="47"/>
      <c r="N85" s="48" t="str">
        <f t="shared" si="19"/>
        <v/>
      </c>
      <c r="O85" s="48" t="str">
        <f t="shared" si="20"/>
        <v/>
      </c>
      <c r="P85" s="75" t="str">
        <f t="shared" si="21"/>
        <v/>
      </c>
      <c r="Q85" s="76">
        <f t="shared" si="22"/>
        <v>0</v>
      </c>
      <c r="R85" s="76">
        <f t="shared" si="23"/>
        <v>0</v>
      </c>
      <c r="S85" s="75">
        <f t="shared" si="27"/>
        <v>0</v>
      </c>
      <c r="T85" s="47"/>
      <c r="V85" s="57"/>
      <c r="W85" s="45"/>
      <c r="X85" s="46">
        <f t="shared" si="24"/>
        <v>0</v>
      </c>
      <c r="Y85" s="74" t="str">
        <f t="shared" si="25"/>
        <v/>
      </c>
      <c r="Z85" s="49"/>
      <c r="AA85" s="49"/>
      <c r="AB85" s="49"/>
      <c r="AC85" s="47"/>
      <c r="AD85" s="48" t="str">
        <f t="shared" si="28"/>
        <v/>
      </c>
      <c r="AE85" s="48" t="str">
        <f t="shared" si="29"/>
        <v/>
      </c>
      <c r="AF85" s="75" t="str">
        <f t="shared" si="30"/>
        <v/>
      </c>
      <c r="AG85" s="76">
        <f t="shared" si="31"/>
        <v>0</v>
      </c>
      <c r="AH85" s="76">
        <f t="shared" si="32"/>
        <v>0</v>
      </c>
      <c r="AI85" s="75">
        <f t="shared" si="33"/>
        <v>0</v>
      </c>
      <c r="AJ85" s="47"/>
      <c r="AL85" s="47"/>
      <c r="AN85" s="47"/>
      <c r="AO85" s="47" t="str">
        <f t="shared" si="26"/>
        <v/>
      </c>
    </row>
    <row r="86" spans="1:41" s="56" customFormat="1" ht="14">
      <c r="A86" s="44"/>
      <c r="B86" s="45"/>
      <c r="C86" s="46">
        <f t="shared" si="17"/>
        <v>0</v>
      </c>
      <c r="D86" s="47"/>
      <c r="E86" s="47"/>
      <c r="F86" s="47"/>
      <c r="G86" s="47"/>
      <c r="H86" s="48"/>
      <c r="I86" s="74" t="str">
        <f t="shared" si="18"/>
        <v/>
      </c>
      <c r="J86" s="49"/>
      <c r="K86" s="49"/>
      <c r="L86" s="49"/>
      <c r="M86" s="47"/>
      <c r="N86" s="48" t="str">
        <f t="shared" si="19"/>
        <v/>
      </c>
      <c r="O86" s="48" t="str">
        <f t="shared" si="20"/>
        <v/>
      </c>
      <c r="P86" s="75" t="str">
        <f t="shared" si="21"/>
        <v/>
      </c>
      <c r="Q86" s="76">
        <f t="shared" si="22"/>
        <v>0</v>
      </c>
      <c r="R86" s="76">
        <f t="shared" si="23"/>
        <v>0</v>
      </c>
      <c r="S86" s="75">
        <f t="shared" si="27"/>
        <v>0</v>
      </c>
      <c r="T86" s="47"/>
      <c r="V86" s="57"/>
      <c r="W86" s="45"/>
      <c r="X86" s="46">
        <f t="shared" si="24"/>
        <v>0</v>
      </c>
      <c r="Y86" s="74" t="str">
        <f t="shared" si="25"/>
        <v/>
      </c>
      <c r="Z86" s="49"/>
      <c r="AA86" s="49"/>
      <c r="AB86" s="49"/>
      <c r="AC86" s="47"/>
      <c r="AD86" s="48" t="str">
        <f t="shared" si="28"/>
        <v/>
      </c>
      <c r="AE86" s="48" t="str">
        <f t="shared" si="29"/>
        <v/>
      </c>
      <c r="AF86" s="75" t="str">
        <f t="shared" si="30"/>
        <v/>
      </c>
      <c r="AG86" s="76">
        <f t="shared" si="31"/>
        <v>0</v>
      </c>
      <c r="AH86" s="76">
        <f t="shared" si="32"/>
        <v>0</v>
      </c>
      <c r="AI86" s="75">
        <f t="shared" si="33"/>
        <v>0</v>
      </c>
      <c r="AJ86" s="47"/>
      <c r="AL86" s="47"/>
      <c r="AN86" s="47"/>
      <c r="AO86" s="47" t="str">
        <f t="shared" si="26"/>
        <v/>
      </c>
    </row>
    <row r="87" spans="1:41" s="56" customFormat="1" ht="14">
      <c r="A87" s="44"/>
      <c r="B87" s="45"/>
      <c r="C87" s="46">
        <f t="shared" si="17"/>
        <v>0</v>
      </c>
      <c r="D87" s="47"/>
      <c r="E87" s="47"/>
      <c r="F87" s="47"/>
      <c r="G87" s="47"/>
      <c r="H87" s="48"/>
      <c r="I87" s="74" t="str">
        <f t="shared" si="18"/>
        <v/>
      </c>
      <c r="J87" s="49"/>
      <c r="K87" s="49"/>
      <c r="L87" s="49"/>
      <c r="M87" s="47"/>
      <c r="N87" s="48" t="str">
        <f t="shared" si="19"/>
        <v/>
      </c>
      <c r="O87" s="48" t="str">
        <f t="shared" si="20"/>
        <v/>
      </c>
      <c r="P87" s="75" t="str">
        <f t="shared" si="21"/>
        <v/>
      </c>
      <c r="Q87" s="76">
        <f t="shared" si="22"/>
        <v>0</v>
      </c>
      <c r="R87" s="76">
        <f t="shared" si="23"/>
        <v>0</v>
      </c>
      <c r="S87" s="75">
        <f t="shared" si="27"/>
        <v>0</v>
      </c>
      <c r="T87" s="47"/>
      <c r="V87" s="57"/>
      <c r="W87" s="45"/>
      <c r="X87" s="46">
        <f t="shared" si="24"/>
        <v>0</v>
      </c>
      <c r="Y87" s="74" t="str">
        <f t="shared" si="25"/>
        <v/>
      </c>
      <c r="Z87" s="49"/>
      <c r="AA87" s="49"/>
      <c r="AB87" s="49"/>
      <c r="AC87" s="47"/>
      <c r="AD87" s="48" t="str">
        <f t="shared" si="28"/>
        <v/>
      </c>
      <c r="AE87" s="48" t="str">
        <f t="shared" si="29"/>
        <v/>
      </c>
      <c r="AF87" s="75" t="str">
        <f t="shared" si="30"/>
        <v/>
      </c>
      <c r="AG87" s="76">
        <f t="shared" si="31"/>
        <v>0</v>
      </c>
      <c r="AH87" s="76">
        <f t="shared" si="32"/>
        <v>0</v>
      </c>
      <c r="AI87" s="75">
        <f t="shared" si="33"/>
        <v>0</v>
      </c>
      <c r="AJ87" s="47"/>
      <c r="AL87" s="47"/>
      <c r="AN87" s="47"/>
      <c r="AO87" s="47" t="str">
        <f t="shared" si="26"/>
        <v/>
      </c>
    </row>
    <row r="88" spans="1:41" s="56" customFormat="1" ht="14">
      <c r="A88" s="44"/>
      <c r="B88" s="45"/>
      <c r="C88" s="46">
        <f t="shared" si="17"/>
        <v>0</v>
      </c>
      <c r="D88" s="47"/>
      <c r="E88" s="47"/>
      <c r="F88" s="47"/>
      <c r="G88" s="47"/>
      <c r="H88" s="48"/>
      <c r="I88" s="74" t="str">
        <f t="shared" si="18"/>
        <v/>
      </c>
      <c r="J88" s="49"/>
      <c r="K88" s="49"/>
      <c r="L88" s="49"/>
      <c r="M88" s="47"/>
      <c r="N88" s="48" t="str">
        <f t="shared" si="19"/>
        <v/>
      </c>
      <c r="O88" s="48" t="str">
        <f t="shared" si="20"/>
        <v/>
      </c>
      <c r="P88" s="75" t="str">
        <f t="shared" si="21"/>
        <v/>
      </c>
      <c r="Q88" s="76">
        <f t="shared" si="22"/>
        <v>0</v>
      </c>
      <c r="R88" s="76">
        <f t="shared" si="23"/>
        <v>0</v>
      </c>
      <c r="S88" s="75">
        <f t="shared" si="27"/>
        <v>0</v>
      </c>
      <c r="T88" s="47"/>
      <c r="V88" s="57"/>
      <c r="W88" s="45"/>
      <c r="X88" s="46">
        <f t="shared" si="24"/>
        <v>0</v>
      </c>
      <c r="Y88" s="74" t="str">
        <f t="shared" si="25"/>
        <v/>
      </c>
      <c r="Z88" s="49"/>
      <c r="AA88" s="49"/>
      <c r="AB88" s="49"/>
      <c r="AC88" s="47"/>
      <c r="AD88" s="48" t="str">
        <f t="shared" si="28"/>
        <v/>
      </c>
      <c r="AE88" s="48" t="str">
        <f t="shared" si="29"/>
        <v/>
      </c>
      <c r="AF88" s="75" t="str">
        <f t="shared" si="30"/>
        <v/>
      </c>
      <c r="AG88" s="76">
        <f t="shared" si="31"/>
        <v>0</v>
      </c>
      <c r="AH88" s="76">
        <f t="shared" si="32"/>
        <v>0</v>
      </c>
      <c r="AI88" s="75">
        <f t="shared" si="33"/>
        <v>0</v>
      </c>
      <c r="AJ88" s="47"/>
      <c r="AL88" s="47"/>
      <c r="AN88" s="47"/>
      <c r="AO88" s="47" t="str">
        <f t="shared" si="26"/>
        <v/>
      </c>
    </row>
    <row r="89" spans="1:41" s="56" customFormat="1" ht="14">
      <c r="A89" s="44"/>
      <c r="B89" s="45"/>
      <c r="C89" s="46">
        <f t="shared" si="17"/>
        <v>0</v>
      </c>
      <c r="D89" s="47"/>
      <c r="E89" s="47"/>
      <c r="F89" s="47"/>
      <c r="G89" s="47"/>
      <c r="H89" s="48"/>
      <c r="I89" s="74" t="str">
        <f t="shared" si="18"/>
        <v/>
      </c>
      <c r="J89" s="49"/>
      <c r="K89" s="49"/>
      <c r="L89" s="49"/>
      <c r="M89" s="47"/>
      <c r="N89" s="48" t="str">
        <f t="shared" si="19"/>
        <v/>
      </c>
      <c r="O89" s="48" t="str">
        <f t="shared" si="20"/>
        <v/>
      </c>
      <c r="P89" s="75" t="str">
        <f t="shared" si="21"/>
        <v/>
      </c>
      <c r="Q89" s="76">
        <f t="shared" si="22"/>
        <v>0</v>
      </c>
      <c r="R89" s="76">
        <f t="shared" si="23"/>
        <v>0</v>
      </c>
      <c r="S89" s="75">
        <f t="shared" si="27"/>
        <v>0</v>
      </c>
      <c r="T89" s="47"/>
      <c r="V89" s="57"/>
      <c r="W89" s="45"/>
      <c r="X89" s="46">
        <f t="shared" si="24"/>
        <v>0</v>
      </c>
      <c r="Y89" s="74" t="str">
        <f t="shared" si="25"/>
        <v/>
      </c>
      <c r="Z89" s="49"/>
      <c r="AA89" s="49"/>
      <c r="AB89" s="49"/>
      <c r="AC89" s="47"/>
      <c r="AD89" s="48" t="str">
        <f t="shared" si="28"/>
        <v/>
      </c>
      <c r="AE89" s="48" t="str">
        <f t="shared" si="29"/>
        <v/>
      </c>
      <c r="AF89" s="75" t="str">
        <f t="shared" si="30"/>
        <v/>
      </c>
      <c r="AG89" s="76">
        <f t="shared" si="31"/>
        <v>0</v>
      </c>
      <c r="AH89" s="76">
        <f t="shared" si="32"/>
        <v>0</v>
      </c>
      <c r="AI89" s="75">
        <f t="shared" si="33"/>
        <v>0</v>
      </c>
      <c r="AJ89" s="47"/>
      <c r="AL89" s="47"/>
      <c r="AN89" s="47"/>
      <c r="AO89" s="47" t="str">
        <f t="shared" si="26"/>
        <v/>
      </c>
    </row>
    <row r="90" spans="1:41" s="56" customFormat="1" ht="14">
      <c r="A90" s="44"/>
      <c r="B90" s="45"/>
      <c r="C90" s="46">
        <f t="shared" si="17"/>
        <v>0</v>
      </c>
      <c r="D90" s="47"/>
      <c r="E90" s="47"/>
      <c r="F90" s="47"/>
      <c r="G90" s="47"/>
      <c r="H90" s="48"/>
      <c r="I90" s="74" t="str">
        <f t="shared" si="18"/>
        <v/>
      </c>
      <c r="J90" s="49"/>
      <c r="K90" s="49"/>
      <c r="L90" s="49"/>
      <c r="M90" s="47"/>
      <c r="N90" s="48" t="str">
        <f t="shared" si="19"/>
        <v/>
      </c>
      <c r="O90" s="48" t="str">
        <f t="shared" si="20"/>
        <v/>
      </c>
      <c r="P90" s="75" t="str">
        <f t="shared" si="21"/>
        <v/>
      </c>
      <c r="Q90" s="76">
        <f t="shared" si="22"/>
        <v>0</v>
      </c>
      <c r="R90" s="76">
        <f t="shared" si="23"/>
        <v>0</v>
      </c>
      <c r="S90" s="75">
        <f t="shared" si="27"/>
        <v>0</v>
      </c>
      <c r="T90" s="47"/>
      <c r="V90" s="57"/>
      <c r="W90" s="45"/>
      <c r="X90" s="46">
        <f t="shared" si="24"/>
        <v>0</v>
      </c>
      <c r="Y90" s="74" t="str">
        <f t="shared" si="25"/>
        <v/>
      </c>
      <c r="Z90" s="49"/>
      <c r="AA90" s="49"/>
      <c r="AB90" s="49"/>
      <c r="AC90" s="47"/>
      <c r="AD90" s="48" t="str">
        <f t="shared" si="28"/>
        <v/>
      </c>
      <c r="AE90" s="48" t="str">
        <f t="shared" si="29"/>
        <v/>
      </c>
      <c r="AF90" s="75" t="str">
        <f t="shared" si="30"/>
        <v/>
      </c>
      <c r="AG90" s="76">
        <f t="shared" si="31"/>
        <v>0</v>
      </c>
      <c r="AH90" s="76">
        <f t="shared" si="32"/>
        <v>0</v>
      </c>
      <c r="AI90" s="75">
        <f t="shared" si="33"/>
        <v>0</v>
      </c>
      <c r="AJ90" s="47"/>
      <c r="AL90" s="47"/>
      <c r="AN90" s="47"/>
      <c r="AO90" s="47" t="str">
        <f t="shared" si="26"/>
        <v/>
      </c>
    </row>
    <row r="91" spans="1:41" s="56" customFormat="1" ht="14">
      <c r="A91" s="44"/>
      <c r="B91" s="45"/>
      <c r="C91" s="46">
        <f t="shared" si="17"/>
        <v>0</v>
      </c>
      <c r="D91" s="47"/>
      <c r="E91" s="47"/>
      <c r="F91" s="47"/>
      <c r="G91" s="47"/>
      <c r="H91" s="48"/>
      <c r="I91" s="74" t="str">
        <f t="shared" si="18"/>
        <v/>
      </c>
      <c r="J91" s="49"/>
      <c r="K91" s="49"/>
      <c r="L91" s="49"/>
      <c r="M91" s="47"/>
      <c r="N91" s="48" t="str">
        <f t="shared" si="19"/>
        <v/>
      </c>
      <c r="O91" s="48" t="str">
        <f t="shared" si="20"/>
        <v/>
      </c>
      <c r="P91" s="75" t="str">
        <f t="shared" si="21"/>
        <v/>
      </c>
      <c r="Q91" s="76">
        <f t="shared" si="22"/>
        <v>0</v>
      </c>
      <c r="R91" s="76">
        <f t="shared" si="23"/>
        <v>0</v>
      </c>
      <c r="S91" s="75">
        <f t="shared" si="27"/>
        <v>0</v>
      </c>
      <c r="T91" s="47"/>
      <c r="V91" s="57"/>
      <c r="W91" s="45"/>
      <c r="X91" s="46">
        <f t="shared" si="24"/>
        <v>0</v>
      </c>
      <c r="Y91" s="74" t="str">
        <f t="shared" si="25"/>
        <v/>
      </c>
      <c r="Z91" s="49"/>
      <c r="AA91" s="49"/>
      <c r="AB91" s="49"/>
      <c r="AC91" s="47"/>
      <c r="AD91" s="48" t="str">
        <f t="shared" si="28"/>
        <v/>
      </c>
      <c r="AE91" s="48" t="str">
        <f t="shared" si="29"/>
        <v/>
      </c>
      <c r="AF91" s="75" t="str">
        <f t="shared" si="30"/>
        <v/>
      </c>
      <c r="AG91" s="76">
        <f t="shared" si="31"/>
        <v>0</v>
      </c>
      <c r="AH91" s="76">
        <f t="shared" si="32"/>
        <v>0</v>
      </c>
      <c r="AI91" s="75">
        <f t="shared" si="33"/>
        <v>0</v>
      </c>
      <c r="AJ91" s="47"/>
      <c r="AL91" s="47"/>
      <c r="AN91" s="47"/>
      <c r="AO91" s="47" t="str">
        <f t="shared" si="26"/>
        <v/>
      </c>
    </row>
    <row r="92" spans="1:41" s="56" customFormat="1" ht="14">
      <c r="A92" s="44"/>
      <c r="B92" s="45"/>
      <c r="C92" s="46">
        <f t="shared" si="17"/>
        <v>0</v>
      </c>
      <c r="D92" s="47"/>
      <c r="E92" s="47"/>
      <c r="F92" s="47"/>
      <c r="G92" s="47"/>
      <c r="H92" s="48"/>
      <c r="I92" s="74" t="str">
        <f t="shared" si="18"/>
        <v/>
      </c>
      <c r="J92" s="49"/>
      <c r="K92" s="49"/>
      <c r="L92" s="49"/>
      <c r="M92" s="47"/>
      <c r="N92" s="48" t="str">
        <f t="shared" si="19"/>
        <v/>
      </c>
      <c r="O92" s="48" t="str">
        <f t="shared" si="20"/>
        <v/>
      </c>
      <c r="P92" s="75" t="str">
        <f t="shared" si="21"/>
        <v/>
      </c>
      <c r="Q92" s="76">
        <f t="shared" si="22"/>
        <v>0</v>
      </c>
      <c r="R92" s="76">
        <f t="shared" si="23"/>
        <v>0</v>
      </c>
      <c r="S92" s="75">
        <f t="shared" si="27"/>
        <v>0</v>
      </c>
      <c r="T92" s="47"/>
      <c r="V92" s="57"/>
      <c r="W92" s="45"/>
      <c r="X92" s="46">
        <f t="shared" si="24"/>
        <v>0</v>
      </c>
      <c r="Y92" s="74" t="str">
        <f t="shared" si="25"/>
        <v/>
      </c>
      <c r="Z92" s="49"/>
      <c r="AA92" s="49"/>
      <c r="AB92" s="49"/>
      <c r="AC92" s="47"/>
      <c r="AD92" s="48" t="str">
        <f t="shared" si="28"/>
        <v/>
      </c>
      <c r="AE92" s="48" t="str">
        <f t="shared" si="29"/>
        <v/>
      </c>
      <c r="AF92" s="75" t="str">
        <f t="shared" si="30"/>
        <v/>
      </c>
      <c r="AG92" s="76">
        <f t="shared" si="31"/>
        <v>0</v>
      </c>
      <c r="AH92" s="76">
        <f t="shared" si="32"/>
        <v>0</v>
      </c>
      <c r="AI92" s="75">
        <f t="shared" si="33"/>
        <v>0</v>
      </c>
      <c r="AJ92" s="47"/>
      <c r="AL92" s="47"/>
      <c r="AN92" s="47"/>
      <c r="AO92" s="47" t="str">
        <f t="shared" si="26"/>
        <v/>
      </c>
    </row>
    <row r="93" spans="1:41" s="56" customFormat="1" ht="14">
      <c r="A93" s="44"/>
      <c r="B93" s="45"/>
      <c r="C93" s="46">
        <f t="shared" si="17"/>
        <v>0</v>
      </c>
      <c r="D93" s="47"/>
      <c r="E93" s="47"/>
      <c r="F93" s="47"/>
      <c r="G93" s="47"/>
      <c r="H93" s="48"/>
      <c r="I93" s="74" t="str">
        <f t="shared" si="18"/>
        <v/>
      </c>
      <c r="J93" s="49"/>
      <c r="K93" s="49"/>
      <c r="L93" s="49"/>
      <c r="M93" s="47"/>
      <c r="N93" s="48" t="str">
        <f t="shared" si="19"/>
        <v/>
      </c>
      <c r="O93" s="48" t="str">
        <f t="shared" si="20"/>
        <v/>
      </c>
      <c r="P93" s="75" t="str">
        <f t="shared" si="21"/>
        <v/>
      </c>
      <c r="Q93" s="76">
        <f t="shared" si="22"/>
        <v>0</v>
      </c>
      <c r="R93" s="76">
        <f t="shared" si="23"/>
        <v>0</v>
      </c>
      <c r="S93" s="75">
        <f t="shared" si="27"/>
        <v>0</v>
      </c>
      <c r="T93" s="47"/>
      <c r="V93" s="57"/>
      <c r="W93" s="45"/>
      <c r="X93" s="46">
        <f t="shared" si="24"/>
        <v>0</v>
      </c>
      <c r="Y93" s="74" t="str">
        <f t="shared" si="25"/>
        <v/>
      </c>
      <c r="Z93" s="49"/>
      <c r="AA93" s="49"/>
      <c r="AB93" s="49"/>
      <c r="AC93" s="47"/>
      <c r="AD93" s="48" t="str">
        <f t="shared" si="28"/>
        <v/>
      </c>
      <c r="AE93" s="48" t="str">
        <f t="shared" si="29"/>
        <v/>
      </c>
      <c r="AF93" s="75" t="str">
        <f t="shared" si="30"/>
        <v/>
      </c>
      <c r="AG93" s="76">
        <f t="shared" si="31"/>
        <v>0</v>
      </c>
      <c r="AH93" s="76">
        <f t="shared" si="32"/>
        <v>0</v>
      </c>
      <c r="AI93" s="75">
        <f t="shared" si="33"/>
        <v>0</v>
      </c>
      <c r="AJ93" s="47"/>
      <c r="AL93" s="47"/>
      <c r="AN93" s="47"/>
      <c r="AO93" s="47" t="str">
        <f t="shared" si="26"/>
        <v/>
      </c>
    </row>
    <row r="94" spans="1:41" s="56" customFormat="1" ht="14">
      <c r="A94" s="44"/>
      <c r="B94" s="45"/>
      <c r="C94" s="46">
        <f t="shared" si="17"/>
        <v>0</v>
      </c>
      <c r="D94" s="47"/>
      <c r="E94" s="47"/>
      <c r="F94" s="47"/>
      <c r="G94" s="47"/>
      <c r="H94" s="48"/>
      <c r="I94" s="74" t="str">
        <f t="shared" si="18"/>
        <v/>
      </c>
      <c r="J94" s="49"/>
      <c r="K94" s="49"/>
      <c r="L94" s="49"/>
      <c r="M94" s="47"/>
      <c r="N94" s="48" t="str">
        <f t="shared" si="19"/>
        <v/>
      </c>
      <c r="O94" s="48" t="str">
        <f t="shared" si="20"/>
        <v/>
      </c>
      <c r="P94" s="75" t="str">
        <f t="shared" si="21"/>
        <v/>
      </c>
      <c r="Q94" s="76">
        <f t="shared" si="22"/>
        <v>0</v>
      </c>
      <c r="R94" s="76">
        <f t="shared" si="23"/>
        <v>0</v>
      </c>
      <c r="S94" s="75">
        <f t="shared" si="27"/>
        <v>0</v>
      </c>
      <c r="T94" s="47"/>
      <c r="V94" s="57"/>
      <c r="W94" s="45"/>
      <c r="X94" s="46">
        <f t="shared" si="24"/>
        <v>0</v>
      </c>
      <c r="Y94" s="74" t="str">
        <f t="shared" si="25"/>
        <v/>
      </c>
      <c r="Z94" s="49"/>
      <c r="AA94" s="49"/>
      <c r="AB94" s="49"/>
      <c r="AC94" s="47"/>
      <c r="AD94" s="48" t="str">
        <f t="shared" si="28"/>
        <v/>
      </c>
      <c r="AE94" s="48" t="str">
        <f t="shared" si="29"/>
        <v/>
      </c>
      <c r="AF94" s="75" t="str">
        <f t="shared" si="30"/>
        <v/>
      </c>
      <c r="AG94" s="76">
        <f t="shared" si="31"/>
        <v>0</v>
      </c>
      <c r="AH94" s="76">
        <f t="shared" si="32"/>
        <v>0</v>
      </c>
      <c r="AI94" s="75">
        <f t="shared" si="33"/>
        <v>0</v>
      </c>
      <c r="AJ94" s="47"/>
      <c r="AL94" s="47"/>
      <c r="AN94" s="47"/>
      <c r="AO94" s="47" t="str">
        <f t="shared" si="26"/>
        <v/>
      </c>
    </row>
    <row r="95" spans="1:41" s="56" customFormat="1" ht="14">
      <c r="A95" s="44"/>
      <c r="B95" s="45"/>
      <c r="C95" s="46">
        <f t="shared" si="17"/>
        <v>0</v>
      </c>
      <c r="D95" s="47"/>
      <c r="E95" s="47"/>
      <c r="F95" s="47"/>
      <c r="G95" s="47"/>
      <c r="H95" s="48"/>
      <c r="I95" s="74" t="str">
        <f t="shared" si="18"/>
        <v/>
      </c>
      <c r="J95" s="49"/>
      <c r="K95" s="49"/>
      <c r="L95" s="49"/>
      <c r="M95" s="47"/>
      <c r="N95" s="48" t="str">
        <f t="shared" si="19"/>
        <v/>
      </c>
      <c r="O95" s="48" t="str">
        <f t="shared" si="20"/>
        <v/>
      </c>
      <c r="P95" s="75" t="str">
        <f t="shared" si="21"/>
        <v/>
      </c>
      <c r="Q95" s="76">
        <f t="shared" si="22"/>
        <v>0</v>
      </c>
      <c r="R95" s="76">
        <f t="shared" si="23"/>
        <v>0</v>
      </c>
      <c r="S95" s="75">
        <f t="shared" si="27"/>
        <v>0</v>
      </c>
      <c r="T95" s="47"/>
      <c r="V95" s="57"/>
      <c r="W95" s="45"/>
      <c r="X95" s="46">
        <f t="shared" si="24"/>
        <v>0</v>
      </c>
      <c r="Y95" s="74" t="str">
        <f t="shared" si="25"/>
        <v/>
      </c>
      <c r="Z95" s="49"/>
      <c r="AA95" s="49"/>
      <c r="AB95" s="49"/>
      <c r="AC95" s="47"/>
      <c r="AD95" s="48" t="str">
        <f t="shared" si="28"/>
        <v/>
      </c>
      <c r="AE95" s="48" t="str">
        <f t="shared" si="29"/>
        <v/>
      </c>
      <c r="AF95" s="75" t="str">
        <f t="shared" si="30"/>
        <v/>
      </c>
      <c r="AG95" s="76">
        <f t="shared" si="31"/>
        <v>0</v>
      </c>
      <c r="AH95" s="76">
        <f t="shared" si="32"/>
        <v>0</v>
      </c>
      <c r="AI95" s="75">
        <f t="shared" si="33"/>
        <v>0</v>
      </c>
      <c r="AJ95" s="47"/>
      <c r="AL95" s="47"/>
      <c r="AN95" s="47"/>
      <c r="AO95" s="47" t="str">
        <f t="shared" si="26"/>
        <v/>
      </c>
    </row>
    <row r="96" spans="1:41" s="56" customFormat="1" ht="14">
      <c r="A96" s="44"/>
      <c r="B96" s="45"/>
      <c r="C96" s="46">
        <f t="shared" si="17"/>
        <v>0</v>
      </c>
      <c r="D96" s="47"/>
      <c r="E96" s="47"/>
      <c r="F96" s="47"/>
      <c r="G96" s="47"/>
      <c r="H96" s="48"/>
      <c r="I96" s="74" t="str">
        <f t="shared" si="18"/>
        <v/>
      </c>
      <c r="J96" s="49"/>
      <c r="K96" s="49"/>
      <c r="L96" s="49"/>
      <c r="M96" s="47"/>
      <c r="N96" s="48" t="str">
        <f t="shared" si="19"/>
        <v/>
      </c>
      <c r="O96" s="48" t="str">
        <f t="shared" si="20"/>
        <v/>
      </c>
      <c r="P96" s="75" t="str">
        <f t="shared" si="21"/>
        <v/>
      </c>
      <c r="Q96" s="76">
        <f t="shared" si="22"/>
        <v>0</v>
      </c>
      <c r="R96" s="76">
        <f t="shared" si="23"/>
        <v>0</v>
      </c>
      <c r="S96" s="75">
        <f t="shared" si="27"/>
        <v>0</v>
      </c>
      <c r="T96" s="47"/>
      <c r="V96" s="57"/>
      <c r="W96" s="45"/>
      <c r="X96" s="46">
        <f t="shared" si="24"/>
        <v>0</v>
      </c>
      <c r="Y96" s="74" t="str">
        <f t="shared" si="25"/>
        <v/>
      </c>
      <c r="Z96" s="49"/>
      <c r="AA96" s="49"/>
      <c r="AB96" s="49"/>
      <c r="AC96" s="47"/>
      <c r="AD96" s="48" t="str">
        <f t="shared" si="28"/>
        <v/>
      </c>
      <c r="AE96" s="48" t="str">
        <f t="shared" si="29"/>
        <v/>
      </c>
      <c r="AF96" s="75" t="str">
        <f t="shared" si="30"/>
        <v/>
      </c>
      <c r="AG96" s="76">
        <f t="shared" si="31"/>
        <v>0</v>
      </c>
      <c r="AH96" s="76">
        <f t="shared" si="32"/>
        <v>0</v>
      </c>
      <c r="AI96" s="75">
        <f t="shared" si="33"/>
        <v>0</v>
      </c>
      <c r="AJ96" s="47"/>
      <c r="AL96" s="47"/>
      <c r="AN96" s="47"/>
      <c r="AO96" s="47" t="str">
        <f t="shared" si="26"/>
        <v/>
      </c>
    </row>
    <row r="97" spans="1:41" s="56" customFormat="1" ht="14">
      <c r="A97" s="44"/>
      <c r="B97" s="45"/>
      <c r="C97" s="46">
        <f t="shared" si="17"/>
        <v>0</v>
      </c>
      <c r="D97" s="47"/>
      <c r="E97" s="47"/>
      <c r="F97" s="47"/>
      <c r="G97" s="47"/>
      <c r="H97" s="48"/>
      <c r="I97" s="74" t="str">
        <f t="shared" si="18"/>
        <v/>
      </c>
      <c r="J97" s="49"/>
      <c r="K97" s="49"/>
      <c r="L97" s="49"/>
      <c r="M97" s="47"/>
      <c r="N97" s="48" t="str">
        <f t="shared" si="19"/>
        <v/>
      </c>
      <c r="O97" s="48" t="str">
        <f t="shared" si="20"/>
        <v/>
      </c>
      <c r="P97" s="75" t="str">
        <f t="shared" si="21"/>
        <v/>
      </c>
      <c r="Q97" s="76">
        <f t="shared" si="22"/>
        <v>0</v>
      </c>
      <c r="R97" s="76">
        <f t="shared" si="23"/>
        <v>0</v>
      </c>
      <c r="S97" s="75">
        <f t="shared" si="27"/>
        <v>0</v>
      </c>
      <c r="T97" s="47"/>
      <c r="V97" s="57"/>
      <c r="W97" s="45"/>
      <c r="X97" s="46">
        <f t="shared" si="24"/>
        <v>0</v>
      </c>
      <c r="Y97" s="74" t="str">
        <f t="shared" si="25"/>
        <v/>
      </c>
      <c r="Z97" s="49"/>
      <c r="AA97" s="49"/>
      <c r="AB97" s="49"/>
      <c r="AC97" s="47"/>
      <c r="AD97" s="48" t="str">
        <f t="shared" si="28"/>
        <v/>
      </c>
      <c r="AE97" s="48" t="str">
        <f t="shared" si="29"/>
        <v/>
      </c>
      <c r="AF97" s="75" t="str">
        <f t="shared" si="30"/>
        <v/>
      </c>
      <c r="AG97" s="76">
        <f t="shared" si="31"/>
        <v>0</v>
      </c>
      <c r="AH97" s="76">
        <f t="shared" si="32"/>
        <v>0</v>
      </c>
      <c r="AI97" s="75">
        <f t="shared" si="33"/>
        <v>0</v>
      </c>
      <c r="AJ97" s="47"/>
      <c r="AL97" s="47"/>
      <c r="AN97" s="47"/>
      <c r="AO97" s="47" t="str">
        <f t="shared" si="26"/>
        <v/>
      </c>
    </row>
    <row r="98" spans="1:41" s="56" customFormat="1" ht="14">
      <c r="A98" s="44"/>
      <c r="B98" s="45"/>
      <c r="C98" s="46">
        <f t="shared" si="17"/>
        <v>0</v>
      </c>
      <c r="D98" s="47"/>
      <c r="E98" s="47"/>
      <c r="F98" s="47"/>
      <c r="G98" s="47"/>
      <c r="H98" s="48"/>
      <c r="I98" s="74" t="str">
        <f t="shared" si="18"/>
        <v/>
      </c>
      <c r="J98" s="49"/>
      <c r="K98" s="49"/>
      <c r="L98" s="49"/>
      <c r="M98" s="47"/>
      <c r="N98" s="48" t="str">
        <f t="shared" si="19"/>
        <v/>
      </c>
      <c r="O98" s="48" t="str">
        <f t="shared" si="20"/>
        <v/>
      </c>
      <c r="P98" s="75" t="str">
        <f t="shared" si="21"/>
        <v/>
      </c>
      <c r="Q98" s="76">
        <f t="shared" si="22"/>
        <v>0</v>
      </c>
      <c r="R98" s="76">
        <f t="shared" si="23"/>
        <v>0</v>
      </c>
      <c r="S98" s="75">
        <f t="shared" si="27"/>
        <v>0</v>
      </c>
      <c r="T98" s="47"/>
      <c r="V98" s="57"/>
      <c r="W98" s="45"/>
      <c r="X98" s="46">
        <f t="shared" si="24"/>
        <v>0</v>
      </c>
      <c r="Y98" s="74" t="str">
        <f t="shared" si="25"/>
        <v/>
      </c>
      <c r="Z98" s="49"/>
      <c r="AA98" s="49"/>
      <c r="AB98" s="49"/>
      <c r="AC98" s="47"/>
      <c r="AD98" s="48" t="str">
        <f t="shared" si="28"/>
        <v/>
      </c>
      <c r="AE98" s="48" t="str">
        <f t="shared" si="29"/>
        <v/>
      </c>
      <c r="AF98" s="75" t="str">
        <f t="shared" si="30"/>
        <v/>
      </c>
      <c r="AG98" s="76">
        <f t="shared" si="31"/>
        <v>0</v>
      </c>
      <c r="AH98" s="76">
        <f t="shared" si="32"/>
        <v>0</v>
      </c>
      <c r="AI98" s="75">
        <f t="shared" si="33"/>
        <v>0</v>
      </c>
      <c r="AJ98" s="47"/>
      <c r="AL98" s="47"/>
      <c r="AN98" s="47"/>
      <c r="AO98" s="47" t="str">
        <f t="shared" si="26"/>
        <v/>
      </c>
    </row>
    <row r="99" spans="1:41" s="56" customFormat="1" ht="14">
      <c r="A99" s="44"/>
      <c r="B99" s="45"/>
      <c r="C99" s="46">
        <f t="shared" si="17"/>
        <v>0</v>
      </c>
      <c r="D99" s="47"/>
      <c r="E99" s="47"/>
      <c r="F99" s="47"/>
      <c r="G99" s="47"/>
      <c r="H99" s="48"/>
      <c r="I99" s="74" t="str">
        <f t="shared" si="18"/>
        <v/>
      </c>
      <c r="J99" s="49"/>
      <c r="K99" s="49"/>
      <c r="L99" s="49"/>
      <c r="M99" s="47"/>
      <c r="N99" s="48" t="str">
        <f t="shared" si="19"/>
        <v/>
      </c>
      <c r="O99" s="48" t="str">
        <f t="shared" si="20"/>
        <v/>
      </c>
      <c r="P99" s="75" t="str">
        <f t="shared" si="21"/>
        <v/>
      </c>
      <c r="Q99" s="76">
        <f t="shared" si="22"/>
        <v>0</v>
      </c>
      <c r="R99" s="76">
        <f t="shared" si="23"/>
        <v>0</v>
      </c>
      <c r="S99" s="75">
        <f t="shared" si="27"/>
        <v>0</v>
      </c>
      <c r="T99" s="47"/>
      <c r="V99" s="57"/>
      <c r="W99" s="45"/>
      <c r="X99" s="46">
        <f t="shared" si="24"/>
        <v>0</v>
      </c>
      <c r="Y99" s="74" t="str">
        <f t="shared" si="25"/>
        <v/>
      </c>
      <c r="Z99" s="49"/>
      <c r="AA99" s="49"/>
      <c r="AB99" s="49"/>
      <c r="AC99" s="47"/>
      <c r="AD99" s="48" t="str">
        <f t="shared" si="28"/>
        <v/>
      </c>
      <c r="AE99" s="48" t="str">
        <f t="shared" si="29"/>
        <v/>
      </c>
      <c r="AF99" s="75" t="str">
        <f t="shared" si="30"/>
        <v/>
      </c>
      <c r="AG99" s="76">
        <f t="shared" si="31"/>
        <v>0</v>
      </c>
      <c r="AH99" s="76">
        <f t="shared" si="32"/>
        <v>0</v>
      </c>
      <c r="AI99" s="75">
        <f t="shared" si="33"/>
        <v>0</v>
      </c>
      <c r="AJ99" s="47"/>
      <c r="AL99" s="47"/>
      <c r="AN99" s="47"/>
      <c r="AO99" s="47" t="str">
        <f t="shared" si="26"/>
        <v/>
      </c>
    </row>
    <row r="100" spans="1:41" s="56" customFormat="1" ht="14">
      <c r="A100" s="44"/>
      <c r="B100" s="45"/>
      <c r="C100" s="46">
        <f t="shared" si="17"/>
        <v>0</v>
      </c>
      <c r="D100" s="47"/>
      <c r="E100" s="47"/>
      <c r="F100" s="47"/>
      <c r="G100" s="47"/>
      <c r="H100" s="48"/>
      <c r="I100" s="74" t="str">
        <f t="shared" si="18"/>
        <v/>
      </c>
      <c r="J100" s="49"/>
      <c r="K100" s="49"/>
      <c r="L100" s="49"/>
      <c r="M100" s="47"/>
      <c r="N100" s="48" t="str">
        <f t="shared" si="19"/>
        <v/>
      </c>
      <c r="O100" s="48" t="str">
        <f t="shared" si="20"/>
        <v/>
      </c>
      <c r="P100" s="75" t="str">
        <f t="shared" si="21"/>
        <v/>
      </c>
      <c r="Q100" s="76">
        <f t="shared" si="22"/>
        <v>0</v>
      </c>
      <c r="R100" s="76">
        <f t="shared" si="23"/>
        <v>0</v>
      </c>
      <c r="S100" s="75">
        <f t="shared" si="27"/>
        <v>0</v>
      </c>
      <c r="T100" s="47"/>
      <c r="V100" s="57"/>
      <c r="W100" s="45"/>
      <c r="X100" s="46">
        <f t="shared" si="24"/>
        <v>0</v>
      </c>
      <c r="Y100" s="74" t="str">
        <f t="shared" si="25"/>
        <v/>
      </c>
      <c r="Z100" s="49"/>
      <c r="AA100" s="49"/>
      <c r="AB100" s="49"/>
      <c r="AC100" s="47"/>
      <c r="AD100" s="48" t="str">
        <f t="shared" si="28"/>
        <v/>
      </c>
      <c r="AE100" s="48" t="str">
        <f t="shared" si="29"/>
        <v/>
      </c>
      <c r="AF100" s="75" t="str">
        <f t="shared" si="30"/>
        <v/>
      </c>
      <c r="AG100" s="76">
        <f t="shared" si="31"/>
        <v>0</v>
      </c>
      <c r="AH100" s="76">
        <f t="shared" si="32"/>
        <v>0</v>
      </c>
      <c r="AI100" s="75">
        <f t="shared" si="33"/>
        <v>0</v>
      </c>
      <c r="AJ100" s="47"/>
      <c r="AL100" s="47"/>
      <c r="AN100" s="47"/>
      <c r="AO100" s="47" t="str">
        <f t="shared" si="26"/>
        <v/>
      </c>
    </row>
    <row r="101" spans="1:41" s="56" customFormat="1" ht="14">
      <c r="A101" s="44"/>
      <c r="B101" s="45"/>
      <c r="C101" s="46">
        <f t="shared" si="17"/>
        <v>0</v>
      </c>
      <c r="D101" s="47"/>
      <c r="E101" s="47"/>
      <c r="F101" s="47"/>
      <c r="G101" s="47"/>
      <c r="H101" s="48"/>
      <c r="I101" s="74" t="str">
        <f t="shared" si="18"/>
        <v/>
      </c>
      <c r="J101" s="49"/>
      <c r="K101" s="49"/>
      <c r="L101" s="49"/>
      <c r="M101" s="47"/>
      <c r="N101" s="48" t="str">
        <f t="shared" si="19"/>
        <v/>
      </c>
      <c r="O101" s="48" t="str">
        <f t="shared" si="20"/>
        <v/>
      </c>
      <c r="P101" s="75" t="str">
        <f t="shared" si="21"/>
        <v/>
      </c>
      <c r="Q101" s="76">
        <f t="shared" si="22"/>
        <v>0</v>
      </c>
      <c r="R101" s="76">
        <f t="shared" si="23"/>
        <v>0</v>
      </c>
      <c r="S101" s="75">
        <f t="shared" si="27"/>
        <v>0</v>
      </c>
      <c r="T101" s="47"/>
      <c r="V101" s="57"/>
      <c r="W101" s="45"/>
      <c r="X101" s="46">
        <f t="shared" si="24"/>
        <v>0</v>
      </c>
      <c r="Y101" s="74" t="str">
        <f t="shared" si="25"/>
        <v/>
      </c>
      <c r="Z101" s="49"/>
      <c r="AA101" s="49"/>
      <c r="AB101" s="49"/>
      <c r="AC101" s="47"/>
      <c r="AD101" s="48" t="str">
        <f t="shared" si="28"/>
        <v/>
      </c>
      <c r="AE101" s="48" t="str">
        <f t="shared" si="29"/>
        <v/>
      </c>
      <c r="AF101" s="75" t="str">
        <f t="shared" si="30"/>
        <v/>
      </c>
      <c r="AG101" s="76">
        <f t="shared" si="31"/>
        <v>0</v>
      </c>
      <c r="AH101" s="76">
        <f t="shared" si="32"/>
        <v>0</v>
      </c>
      <c r="AI101" s="75">
        <f t="shared" si="33"/>
        <v>0</v>
      </c>
      <c r="AJ101" s="47"/>
      <c r="AL101" s="47"/>
      <c r="AN101" s="47"/>
      <c r="AO101" s="47" t="str">
        <f t="shared" si="26"/>
        <v/>
      </c>
    </row>
    <row r="102" spans="1:41" s="56" customFormat="1" ht="14">
      <c r="A102" s="44"/>
      <c r="B102" s="45"/>
      <c r="C102" s="46">
        <f t="shared" si="17"/>
        <v>0</v>
      </c>
      <c r="D102" s="47"/>
      <c r="E102" s="47"/>
      <c r="F102" s="47"/>
      <c r="G102" s="47"/>
      <c r="H102" s="48"/>
      <c r="I102" s="74" t="str">
        <f t="shared" si="18"/>
        <v/>
      </c>
      <c r="J102" s="49"/>
      <c r="K102" s="49"/>
      <c r="L102" s="49"/>
      <c r="M102" s="47"/>
      <c r="N102" s="48" t="str">
        <f t="shared" si="19"/>
        <v/>
      </c>
      <c r="O102" s="48" t="str">
        <f t="shared" si="20"/>
        <v/>
      </c>
      <c r="P102" s="75" t="str">
        <f t="shared" si="21"/>
        <v/>
      </c>
      <c r="Q102" s="76">
        <f t="shared" si="22"/>
        <v>0</v>
      </c>
      <c r="R102" s="76">
        <f t="shared" si="23"/>
        <v>0</v>
      </c>
      <c r="S102" s="75">
        <f t="shared" si="27"/>
        <v>0</v>
      </c>
      <c r="T102" s="47"/>
      <c r="V102" s="57"/>
      <c r="W102" s="45"/>
      <c r="X102" s="46">
        <f t="shared" si="24"/>
        <v>0</v>
      </c>
      <c r="Y102" s="74" t="str">
        <f t="shared" si="25"/>
        <v/>
      </c>
      <c r="Z102" s="49"/>
      <c r="AA102" s="49"/>
      <c r="AB102" s="49"/>
      <c r="AC102" s="47"/>
      <c r="AD102" s="48" t="str">
        <f t="shared" si="28"/>
        <v/>
      </c>
      <c r="AE102" s="48" t="str">
        <f t="shared" si="29"/>
        <v/>
      </c>
      <c r="AF102" s="75" t="str">
        <f t="shared" si="30"/>
        <v/>
      </c>
      <c r="AG102" s="76">
        <f t="shared" si="31"/>
        <v>0</v>
      </c>
      <c r="AH102" s="76">
        <f t="shared" si="32"/>
        <v>0</v>
      </c>
      <c r="AI102" s="75">
        <f t="shared" si="33"/>
        <v>0</v>
      </c>
      <c r="AJ102" s="47"/>
      <c r="AL102" s="47"/>
      <c r="AN102" s="47"/>
      <c r="AO102" s="47" t="str">
        <f t="shared" si="26"/>
        <v/>
      </c>
    </row>
    <row r="103" spans="1:41" s="56" customFormat="1" ht="14">
      <c r="A103" s="44"/>
      <c r="B103" s="45"/>
      <c r="C103" s="46">
        <f t="shared" si="17"/>
        <v>0</v>
      </c>
      <c r="D103" s="47"/>
      <c r="E103" s="47"/>
      <c r="F103" s="47"/>
      <c r="G103" s="47"/>
      <c r="H103" s="48"/>
      <c r="I103" s="74" t="str">
        <f t="shared" si="18"/>
        <v/>
      </c>
      <c r="J103" s="49"/>
      <c r="K103" s="49"/>
      <c r="L103" s="49"/>
      <c r="M103" s="47"/>
      <c r="N103" s="48" t="str">
        <f t="shared" si="19"/>
        <v/>
      </c>
      <c r="O103" s="48" t="str">
        <f t="shared" si="20"/>
        <v/>
      </c>
      <c r="P103" s="75" t="str">
        <f t="shared" si="21"/>
        <v/>
      </c>
      <c r="Q103" s="76">
        <f t="shared" si="22"/>
        <v>0</v>
      </c>
      <c r="R103" s="76">
        <f t="shared" si="23"/>
        <v>0</v>
      </c>
      <c r="S103" s="75">
        <f t="shared" si="27"/>
        <v>0</v>
      </c>
      <c r="T103" s="47"/>
      <c r="V103" s="57"/>
      <c r="W103" s="45"/>
      <c r="X103" s="46">
        <f t="shared" si="24"/>
        <v>0</v>
      </c>
      <c r="Y103" s="74" t="str">
        <f t="shared" si="25"/>
        <v/>
      </c>
      <c r="Z103" s="49"/>
      <c r="AA103" s="49"/>
      <c r="AB103" s="49"/>
      <c r="AC103" s="47"/>
      <c r="AD103" s="48" t="str">
        <f t="shared" si="28"/>
        <v/>
      </c>
      <c r="AE103" s="48" t="str">
        <f t="shared" si="29"/>
        <v/>
      </c>
      <c r="AF103" s="75" t="str">
        <f t="shared" si="30"/>
        <v/>
      </c>
      <c r="AG103" s="76">
        <f t="shared" si="31"/>
        <v>0</v>
      </c>
      <c r="AH103" s="76">
        <f t="shared" si="32"/>
        <v>0</v>
      </c>
      <c r="AI103" s="75">
        <f t="shared" si="33"/>
        <v>0</v>
      </c>
      <c r="AJ103" s="47"/>
      <c r="AL103" s="47"/>
      <c r="AN103" s="47"/>
      <c r="AO103" s="47" t="str">
        <f t="shared" si="26"/>
        <v/>
      </c>
    </row>
    <row r="104" spans="1:41" s="56" customFormat="1" ht="14">
      <c r="A104" s="44"/>
      <c r="B104" s="45"/>
      <c r="C104" s="46">
        <f t="shared" si="17"/>
        <v>0</v>
      </c>
      <c r="D104" s="47"/>
      <c r="E104" s="47"/>
      <c r="F104" s="47"/>
      <c r="G104" s="47"/>
      <c r="H104" s="48"/>
      <c r="I104" s="74" t="str">
        <f t="shared" si="18"/>
        <v/>
      </c>
      <c r="J104" s="49"/>
      <c r="K104" s="49"/>
      <c r="L104" s="49"/>
      <c r="M104" s="47"/>
      <c r="N104" s="48" t="str">
        <f t="shared" si="19"/>
        <v/>
      </c>
      <c r="O104" s="48" t="str">
        <f t="shared" si="20"/>
        <v/>
      </c>
      <c r="P104" s="75" t="str">
        <f t="shared" si="21"/>
        <v/>
      </c>
      <c r="Q104" s="76">
        <f t="shared" si="22"/>
        <v>0</v>
      </c>
      <c r="R104" s="76">
        <f t="shared" si="23"/>
        <v>0</v>
      </c>
      <c r="S104" s="75">
        <f t="shared" si="27"/>
        <v>0</v>
      </c>
      <c r="T104" s="47"/>
      <c r="V104" s="57"/>
      <c r="W104" s="45"/>
      <c r="X104" s="46">
        <f t="shared" si="24"/>
        <v>0</v>
      </c>
      <c r="Y104" s="74" t="str">
        <f t="shared" si="25"/>
        <v/>
      </c>
      <c r="Z104" s="49"/>
      <c r="AA104" s="49"/>
      <c r="AB104" s="49"/>
      <c r="AC104" s="47"/>
      <c r="AD104" s="48" t="str">
        <f t="shared" si="28"/>
        <v/>
      </c>
      <c r="AE104" s="48" t="str">
        <f t="shared" si="29"/>
        <v/>
      </c>
      <c r="AF104" s="75" t="str">
        <f t="shared" si="30"/>
        <v/>
      </c>
      <c r="AG104" s="76">
        <f t="shared" si="31"/>
        <v>0</v>
      </c>
      <c r="AH104" s="76">
        <f t="shared" si="32"/>
        <v>0</v>
      </c>
      <c r="AI104" s="75">
        <f t="shared" si="33"/>
        <v>0</v>
      </c>
      <c r="AJ104" s="47"/>
      <c r="AL104" s="47"/>
      <c r="AN104" s="47"/>
      <c r="AO104" s="47" t="str">
        <f t="shared" si="26"/>
        <v/>
      </c>
    </row>
    <row r="105" spans="1:41" s="56" customFormat="1" ht="14">
      <c r="A105" s="44"/>
      <c r="B105" s="45"/>
      <c r="C105" s="46">
        <f t="shared" si="17"/>
        <v>0</v>
      </c>
      <c r="D105" s="47"/>
      <c r="E105" s="47"/>
      <c r="F105" s="47"/>
      <c r="G105" s="47"/>
      <c r="H105" s="48"/>
      <c r="I105" s="74" t="str">
        <f t="shared" si="18"/>
        <v/>
      </c>
      <c r="J105" s="49"/>
      <c r="K105" s="49"/>
      <c r="L105" s="49"/>
      <c r="M105" s="47"/>
      <c r="N105" s="48" t="str">
        <f t="shared" si="19"/>
        <v/>
      </c>
      <c r="O105" s="48" t="str">
        <f t="shared" si="20"/>
        <v/>
      </c>
      <c r="P105" s="75" t="str">
        <f t="shared" si="21"/>
        <v/>
      </c>
      <c r="Q105" s="76">
        <f t="shared" si="22"/>
        <v>0</v>
      </c>
      <c r="R105" s="76">
        <f t="shared" si="23"/>
        <v>0</v>
      </c>
      <c r="S105" s="75">
        <f t="shared" si="27"/>
        <v>0</v>
      </c>
      <c r="T105" s="47"/>
      <c r="V105" s="57"/>
      <c r="W105" s="45"/>
      <c r="X105" s="46">
        <f t="shared" si="24"/>
        <v>0</v>
      </c>
      <c r="Y105" s="74" t="str">
        <f t="shared" si="25"/>
        <v/>
      </c>
      <c r="Z105" s="49"/>
      <c r="AA105" s="49"/>
      <c r="AB105" s="49"/>
      <c r="AC105" s="47"/>
      <c r="AD105" s="48" t="str">
        <f t="shared" si="28"/>
        <v/>
      </c>
      <c r="AE105" s="48" t="str">
        <f t="shared" si="29"/>
        <v/>
      </c>
      <c r="AF105" s="75" t="str">
        <f t="shared" si="30"/>
        <v/>
      </c>
      <c r="AG105" s="76">
        <f t="shared" si="31"/>
        <v>0</v>
      </c>
      <c r="AH105" s="76">
        <f t="shared" si="32"/>
        <v>0</v>
      </c>
      <c r="AI105" s="75">
        <f t="shared" si="33"/>
        <v>0</v>
      </c>
      <c r="AJ105" s="47"/>
      <c r="AL105" s="47"/>
      <c r="AN105" s="47"/>
      <c r="AO105" s="47" t="str">
        <f t="shared" si="26"/>
        <v/>
      </c>
    </row>
    <row r="106" spans="1:41" s="56" customFormat="1" ht="14">
      <c r="A106" s="44"/>
      <c r="B106" s="45"/>
      <c r="C106" s="46">
        <f t="shared" si="17"/>
        <v>0</v>
      </c>
      <c r="D106" s="47"/>
      <c r="E106" s="47"/>
      <c r="F106" s="47"/>
      <c r="G106" s="47"/>
      <c r="H106" s="48"/>
      <c r="I106" s="74" t="str">
        <f t="shared" si="18"/>
        <v/>
      </c>
      <c r="J106" s="49"/>
      <c r="K106" s="49"/>
      <c r="L106" s="49"/>
      <c r="M106" s="47"/>
      <c r="N106" s="48" t="str">
        <f t="shared" si="19"/>
        <v/>
      </c>
      <c r="O106" s="48" t="str">
        <f t="shared" si="20"/>
        <v/>
      </c>
      <c r="P106" s="75" t="str">
        <f t="shared" si="21"/>
        <v/>
      </c>
      <c r="Q106" s="76">
        <f t="shared" si="22"/>
        <v>0</v>
      </c>
      <c r="R106" s="76">
        <f t="shared" si="23"/>
        <v>0</v>
      </c>
      <c r="S106" s="75">
        <f t="shared" si="27"/>
        <v>0</v>
      </c>
      <c r="T106" s="47"/>
      <c r="V106" s="57"/>
      <c r="W106" s="45"/>
      <c r="X106" s="46">
        <f t="shared" si="24"/>
        <v>0</v>
      </c>
      <c r="Y106" s="74" t="str">
        <f t="shared" si="25"/>
        <v/>
      </c>
      <c r="Z106" s="49"/>
      <c r="AA106" s="49"/>
      <c r="AB106" s="49"/>
      <c r="AC106" s="47"/>
      <c r="AD106" s="48" t="str">
        <f t="shared" si="28"/>
        <v/>
      </c>
      <c r="AE106" s="48" t="str">
        <f t="shared" si="29"/>
        <v/>
      </c>
      <c r="AF106" s="75" t="str">
        <f t="shared" si="30"/>
        <v/>
      </c>
      <c r="AG106" s="76">
        <f t="shared" si="31"/>
        <v>0</v>
      </c>
      <c r="AH106" s="76">
        <f t="shared" si="32"/>
        <v>0</v>
      </c>
      <c r="AI106" s="75">
        <f t="shared" si="33"/>
        <v>0</v>
      </c>
      <c r="AJ106" s="47"/>
      <c r="AL106" s="47"/>
      <c r="AN106" s="47"/>
      <c r="AO106" s="47" t="str">
        <f t="shared" si="26"/>
        <v/>
      </c>
    </row>
    <row r="107" spans="1:41" s="56" customFormat="1" ht="14">
      <c r="A107" s="44"/>
      <c r="B107" s="45"/>
      <c r="C107" s="46">
        <f t="shared" si="17"/>
        <v>0</v>
      </c>
      <c r="D107" s="47"/>
      <c r="E107" s="47"/>
      <c r="F107" s="47"/>
      <c r="G107" s="47"/>
      <c r="H107" s="48"/>
      <c r="I107" s="74" t="str">
        <f t="shared" si="18"/>
        <v/>
      </c>
      <c r="J107" s="49"/>
      <c r="K107" s="49"/>
      <c r="L107" s="49"/>
      <c r="M107" s="47"/>
      <c r="N107" s="48" t="str">
        <f t="shared" si="19"/>
        <v/>
      </c>
      <c r="O107" s="48" t="str">
        <f t="shared" si="20"/>
        <v/>
      </c>
      <c r="P107" s="75" t="str">
        <f t="shared" si="21"/>
        <v/>
      </c>
      <c r="Q107" s="76">
        <f t="shared" si="22"/>
        <v>0</v>
      </c>
      <c r="R107" s="76">
        <f t="shared" si="23"/>
        <v>0</v>
      </c>
      <c r="S107" s="75">
        <f t="shared" si="27"/>
        <v>0</v>
      </c>
      <c r="T107" s="47"/>
      <c r="V107" s="57"/>
      <c r="W107" s="45"/>
      <c r="X107" s="46">
        <f t="shared" si="24"/>
        <v>0</v>
      </c>
      <c r="Y107" s="74" t="str">
        <f t="shared" si="25"/>
        <v/>
      </c>
      <c r="Z107" s="49"/>
      <c r="AA107" s="49"/>
      <c r="AB107" s="49"/>
      <c r="AC107" s="47"/>
      <c r="AD107" s="48" t="str">
        <f t="shared" si="28"/>
        <v/>
      </c>
      <c r="AE107" s="48" t="str">
        <f t="shared" si="29"/>
        <v/>
      </c>
      <c r="AF107" s="75" t="str">
        <f t="shared" si="30"/>
        <v/>
      </c>
      <c r="AG107" s="76">
        <f t="shared" si="31"/>
        <v>0</v>
      </c>
      <c r="AH107" s="76">
        <f t="shared" si="32"/>
        <v>0</v>
      </c>
      <c r="AI107" s="75">
        <f t="shared" si="33"/>
        <v>0</v>
      </c>
      <c r="AJ107" s="47"/>
      <c r="AL107" s="47"/>
      <c r="AN107" s="47"/>
      <c r="AO107" s="47" t="str">
        <f t="shared" si="26"/>
        <v/>
      </c>
    </row>
    <row r="108" spans="1:41" s="56" customFormat="1" ht="14">
      <c r="A108" s="44"/>
      <c r="B108" s="45"/>
      <c r="C108" s="46">
        <f t="shared" si="17"/>
        <v>0</v>
      </c>
      <c r="D108" s="47"/>
      <c r="E108" s="47"/>
      <c r="F108" s="47"/>
      <c r="G108" s="47"/>
      <c r="H108" s="48"/>
      <c r="I108" s="74" t="str">
        <f t="shared" si="18"/>
        <v/>
      </c>
      <c r="J108" s="49"/>
      <c r="K108" s="49"/>
      <c r="L108" s="49"/>
      <c r="M108" s="47"/>
      <c r="N108" s="48" t="str">
        <f t="shared" si="19"/>
        <v/>
      </c>
      <c r="O108" s="48" t="str">
        <f t="shared" si="20"/>
        <v/>
      </c>
      <c r="P108" s="75" t="str">
        <f t="shared" si="21"/>
        <v/>
      </c>
      <c r="Q108" s="76">
        <f t="shared" si="22"/>
        <v>0</v>
      </c>
      <c r="R108" s="76">
        <f t="shared" si="23"/>
        <v>0</v>
      </c>
      <c r="S108" s="75">
        <f t="shared" si="27"/>
        <v>0</v>
      </c>
      <c r="T108" s="47"/>
      <c r="V108" s="57"/>
      <c r="W108" s="45"/>
      <c r="X108" s="46">
        <f t="shared" si="24"/>
        <v>0</v>
      </c>
      <c r="Y108" s="74" t="str">
        <f t="shared" si="25"/>
        <v/>
      </c>
      <c r="Z108" s="49"/>
      <c r="AA108" s="49"/>
      <c r="AB108" s="49"/>
      <c r="AC108" s="47"/>
      <c r="AD108" s="48" t="str">
        <f t="shared" si="28"/>
        <v/>
      </c>
      <c r="AE108" s="48" t="str">
        <f t="shared" si="29"/>
        <v/>
      </c>
      <c r="AF108" s="75" t="str">
        <f t="shared" si="30"/>
        <v/>
      </c>
      <c r="AG108" s="76">
        <f t="shared" si="31"/>
        <v>0</v>
      </c>
      <c r="AH108" s="76">
        <f t="shared" si="32"/>
        <v>0</v>
      </c>
      <c r="AI108" s="75">
        <f t="shared" si="33"/>
        <v>0</v>
      </c>
      <c r="AJ108" s="47"/>
      <c r="AL108" s="47"/>
      <c r="AN108" s="47"/>
      <c r="AO108" s="47" t="str">
        <f t="shared" si="26"/>
        <v/>
      </c>
    </row>
    <row r="109" spans="1:41" s="56" customFormat="1" ht="14">
      <c r="A109" s="44"/>
      <c r="B109" s="45"/>
      <c r="C109" s="46">
        <f t="shared" si="17"/>
        <v>0</v>
      </c>
      <c r="D109" s="47"/>
      <c r="E109" s="47"/>
      <c r="F109" s="47"/>
      <c r="G109" s="47"/>
      <c r="H109" s="48"/>
      <c r="I109" s="74" t="str">
        <f t="shared" si="18"/>
        <v/>
      </c>
      <c r="J109" s="49"/>
      <c r="K109" s="49"/>
      <c r="L109" s="49"/>
      <c r="M109" s="47"/>
      <c r="N109" s="48" t="str">
        <f t="shared" si="19"/>
        <v/>
      </c>
      <c r="O109" s="48" t="str">
        <f t="shared" si="20"/>
        <v/>
      </c>
      <c r="P109" s="75" t="str">
        <f t="shared" si="21"/>
        <v/>
      </c>
      <c r="Q109" s="76">
        <f t="shared" si="22"/>
        <v>0</v>
      </c>
      <c r="R109" s="76">
        <f t="shared" si="23"/>
        <v>0</v>
      </c>
      <c r="S109" s="75">
        <f t="shared" si="27"/>
        <v>0</v>
      </c>
      <c r="T109" s="47"/>
      <c r="V109" s="57"/>
      <c r="W109" s="45"/>
      <c r="X109" s="46">
        <f t="shared" si="24"/>
        <v>0</v>
      </c>
      <c r="Y109" s="74" t="str">
        <f t="shared" si="25"/>
        <v/>
      </c>
      <c r="Z109" s="49"/>
      <c r="AA109" s="49"/>
      <c r="AB109" s="49"/>
      <c r="AC109" s="47"/>
      <c r="AD109" s="48" t="str">
        <f t="shared" si="28"/>
        <v/>
      </c>
      <c r="AE109" s="48" t="str">
        <f t="shared" si="29"/>
        <v/>
      </c>
      <c r="AF109" s="75" t="str">
        <f t="shared" si="30"/>
        <v/>
      </c>
      <c r="AG109" s="76">
        <f t="shared" si="31"/>
        <v>0</v>
      </c>
      <c r="AH109" s="76">
        <f t="shared" si="32"/>
        <v>0</v>
      </c>
      <c r="AI109" s="75">
        <f t="shared" si="33"/>
        <v>0</v>
      </c>
      <c r="AJ109" s="47"/>
      <c r="AL109" s="47"/>
      <c r="AN109" s="47"/>
      <c r="AO109" s="47" t="str">
        <f t="shared" si="26"/>
        <v/>
      </c>
    </row>
    <row r="110" spans="1:41" s="56" customFormat="1" ht="14">
      <c r="A110" s="44"/>
      <c r="B110" s="45"/>
      <c r="C110" s="46">
        <f t="shared" si="17"/>
        <v>0</v>
      </c>
      <c r="D110" s="47"/>
      <c r="E110" s="47"/>
      <c r="F110" s="47"/>
      <c r="G110" s="47"/>
      <c r="H110" s="48"/>
      <c r="I110" s="74" t="str">
        <f t="shared" si="18"/>
        <v/>
      </c>
      <c r="J110" s="49"/>
      <c r="K110" s="49"/>
      <c r="L110" s="49"/>
      <c r="M110" s="47"/>
      <c r="N110" s="48" t="str">
        <f t="shared" si="19"/>
        <v/>
      </c>
      <c r="O110" s="48" t="str">
        <f t="shared" si="20"/>
        <v/>
      </c>
      <c r="P110" s="75" t="str">
        <f t="shared" si="21"/>
        <v/>
      </c>
      <c r="Q110" s="76">
        <f t="shared" si="22"/>
        <v>0</v>
      </c>
      <c r="R110" s="76">
        <f t="shared" si="23"/>
        <v>0</v>
      </c>
      <c r="S110" s="75">
        <f t="shared" si="27"/>
        <v>0</v>
      </c>
      <c r="T110" s="47"/>
      <c r="V110" s="57"/>
      <c r="W110" s="45"/>
      <c r="X110" s="46">
        <f t="shared" si="24"/>
        <v>0</v>
      </c>
      <c r="Y110" s="74" t="str">
        <f t="shared" si="25"/>
        <v/>
      </c>
      <c r="Z110" s="49"/>
      <c r="AA110" s="49"/>
      <c r="AB110" s="49"/>
      <c r="AC110" s="47"/>
      <c r="AD110" s="48" t="str">
        <f t="shared" si="28"/>
        <v/>
      </c>
      <c r="AE110" s="48" t="str">
        <f t="shared" si="29"/>
        <v/>
      </c>
      <c r="AF110" s="75" t="str">
        <f t="shared" si="30"/>
        <v/>
      </c>
      <c r="AG110" s="76">
        <f t="shared" si="31"/>
        <v>0</v>
      </c>
      <c r="AH110" s="76">
        <f t="shared" si="32"/>
        <v>0</v>
      </c>
      <c r="AI110" s="75">
        <f t="shared" si="33"/>
        <v>0</v>
      </c>
      <c r="AJ110" s="47"/>
      <c r="AL110" s="47"/>
      <c r="AN110" s="47"/>
      <c r="AO110" s="47" t="str">
        <f t="shared" si="26"/>
        <v/>
      </c>
    </row>
    <row r="111" spans="1:41" s="56" customFormat="1" ht="14">
      <c r="A111" s="44"/>
      <c r="B111" s="45"/>
      <c r="C111" s="46">
        <f t="shared" si="17"/>
        <v>0</v>
      </c>
      <c r="D111" s="47"/>
      <c r="E111" s="47"/>
      <c r="F111" s="47"/>
      <c r="G111" s="47"/>
      <c r="H111" s="48"/>
      <c r="I111" s="74" t="str">
        <f t="shared" si="18"/>
        <v/>
      </c>
      <c r="J111" s="49"/>
      <c r="K111" s="49"/>
      <c r="L111" s="49"/>
      <c r="M111" s="47"/>
      <c r="N111" s="48" t="str">
        <f t="shared" si="19"/>
        <v/>
      </c>
      <c r="O111" s="48" t="str">
        <f t="shared" si="20"/>
        <v/>
      </c>
      <c r="P111" s="75" t="str">
        <f t="shared" si="21"/>
        <v/>
      </c>
      <c r="Q111" s="76">
        <f t="shared" si="22"/>
        <v>0</v>
      </c>
      <c r="R111" s="76">
        <f t="shared" si="23"/>
        <v>0</v>
      </c>
      <c r="S111" s="75">
        <f t="shared" si="27"/>
        <v>0</v>
      </c>
      <c r="T111" s="47"/>
      <c r="V111" s="57"/>
      <c r="W111" s="45"/>
      <c r="X111" s="46">
        <f t="shared" si="24"/>
        <v>0</v>
      </c>
      <c r="Y111" s="74" t="str">
        <f t="shared" si="25"/>
        <v/>
      </c>
      <c r="Z111" s="49"/>
      <c r="AA111" s="49"/>
      <c r="AB111" s="49"/>
      <c r="AC111" s="47"/>
      <c r="AD111" s="48" t="str">
        <f t="shared" si="28"/>
        <v/>
      </c>
      <c r="AE111" s="48" t="str">
        <f t="shared" si="29"/>
        <v/>
      </c>
      <c r="AF111" s="75" t="str">
        <f t="shared" si="30"/>
        <v/>
      </c>
      <c r="AG111" s="76">
        <f t="shared" si="31"/>
        <v>0</v>
      </c>
      <c r="AH111" s="76">
        <f t="shared" si="32"/>
        <v>0</v>
      </c>
      <c r="AI111" s="75">
        <f t="shared" si="33"/>
        <v>0</v>
      </c>
      <c r="AJ111" s="47"/>
      <c r="AL111" s="47"/>
      <c r="AN111" s="47"/>
      <c r="AO111" s="47" t="str">
        <f t="shared" si="26"/>
        <v/>
      </c>
    </row>
    <row r="112" spans="1:41" s="56" customFormat="1" ht="14">
      <c r="A112" s="44"/>
      <c r="B112" s="45"/>
      <c r="C112" s="46">
        <f t="shared" si="17"/>
        <v>0</v>
      </c>
      <c r="D112" s="47"/>
      <c r="E112" s="47"/>
      <c r="F112" s="47"/>
      <c r="G112" s="47"/>
      <c r="H112" s="48"/>
      <c r="I112" s="74" t="str">
        <f t="shared" si="18"/>
        <v/>
      </c>
      <c r="J112" s="49"/>
      <c r="K112" s="49"/>
      <c r="L112" s="49"/>
      <c r="M112" s="47"/>
      <c r="N112" s="48" t="str">
        <f t="shared" si="19"/>
        <v/>
      </c>
      <c r="O112" s="48" t="str">
        <f t="shared" si="20"/>
        <v/>
      </c>
      <c r="P112" s="75" t="str">
        <f t="shared" si="21"/>
        <v/>
      </c>
      <c r="Q112" s="76">
        <f t="shared" si="22"/>
        <v>0</v>
      </c>
      <c r="R112" s="76">
        <f t="shared" si="23"/>
        <v>0</v>
      </c>
      <c r="S112" s="75">
        <f t="shared" si="27"/>
        <v>0</v>
      </c>
      <c r="T112" s="47"/>
      <c r="V112" s="57"/>
      <c r="W112" s="45"/>
      <c r="X112" s="46">
        <f t="shared" si="24"/>
        <v>0</v>
      </c>
      <c r="Y112" s="74" t="str">
        <f t="shared" si="25"/>
        <v/>
      </c>
      <c r="Z112" s="49"/>
      <c r="AA112" s="49"/>
      <c r="AB112" s="49"/>
      <c r="AC112" s="47"/>
      <c r="AD112" s="48" t="str">
        <f t="shared" si="28"/>
        <v/>
      </c>
      <c r="AE112" s="48" t="str">
        <f t="shared" si="29"/>
        <v/>
      </c>
      <c r="AF112" s="75" t="str">
        <f t="shared" si="30"/>
        <v/>
      </c>
      <c r="AG112" s="76">
        <f t="shared" si="31"/>
        <v>0</v>
      </c>
      <c r="AH112" s="76">
        <f t="shared" si="32"/>
        <v>0</v>
      </c>
      <c r="AI112" s="75">
        <f t="shared" si="33"/>
        <v>0</v>
      </c>
      <c r="AJ112" s="47"/>
      <c r="AL112" s="47"/>
      <c r="AN112" s="47"/>
      <c r="AO112" s="47" t="str">
        <f t="shared" si="26"/>
        <v/>
      </c>
    </row>
    <row r="113" spans="1:41" s="56" customFormat="1" ht="14">
      <c r="A113" s="44"/>
      <c r="B113" s="45"/>
      <c r="C113" s="46">
        <f t="shared" si="17"/>
        <v>0</v>
      </c>
      <c r="D113" s="47"/>
      <c r="E113" s="47"/>
      <c r="F113" s="47"/>
      <c r="G113" s="47"/>
      <c r="H113" s="48"/>
      <c r="I113" s="74" t="str">
        <f t="shared" si="18"/>
        <v/>
      </c>
      <c r="J113" s="49"/>
      <c r="K113" s="49"/>
      <c r="L113" s="49"/>
      <c r="M113" s="47"/>
      <c r="N113" s="48" t="str">
        <f t="shared" si="19"/>
        <v/>
      </c>
      <c r="O113" s="48" t="str">
        <f t="shared" si="20"/>
        <v/>
      </c>
      <c r="P113" s="75" t="str">
        <f t="shared" si="21"/>
        <v/>
      </c>
      <c r="Q113" s="76">
        <f t="shared" si="22"/>
        <v>0</v>
      </c>
      <c r="R113" s="76">
        <f t="shared" si="23"/>
        <v>0</v>
      </c>
      <c r="S113" s="75">
        <f t="shared" si="27"/>
        <v>0</v>
      </c>
      <c r="T113" s="47"/>
      <c r="V113" s="57"/>
      <c r="W113" s="45"/>
      <c r="X113" s="46">
        <f t="shared" si="24"/>
        <v>0</v>
      </c>
      <c r="Y113" s="74" t="str">
        <f t="shared" si="25"/>
        <v/>
      </c>
      <c r="Z113" s="49"/>
      <c r="AA113" s="49"/>
      <c r="AB113" s="49"/>
      <c r="AC113" s="47"/>
      <c r="AD113" s="48" t="str">
        <f t="shared" si="28"/>
        <v/>
      </c>
      <c r="AE113" s="48" t="str">
        <f t="shared" si="29"/>
        <v/>
      </c>
      <c r="AF113" s="75" t="str">
        <f t="shared" si="30"/>
        <v/>
      </c>
      <c r="AG113" s="76">
        <f t="shared" si="31"/>
        <v>0</v>
      </c>
      <c r="AH113" s="76">
        <f t="shared" si="32"/>
        <v>0</v>
      </c>
      <c r="AI113" s="75">
        <f t="shared" si="33"/>
        <v>0</v>
      </c>
      <c r="AJ113" s="47"/>
      <c r="AL113" s="47"/>
      <c r="AN113" s="47"/>
      <c r="AO113" s="47" t="str">
        <f t="shared" si="26"/>
        <v/>
      </c>
    </row>
    <row r="114" spans="1:41" s="56" customFormat="1" ht="14">
      <c r="A114" s="44"/>
      <c r="B114" s="45"/>
      <c r="C114" s="46">
        <f t="shared" si="17"/>
        <v>0</v>
      </c>
      <c r="D114" s="47"/>
      <c r="E114" s="47"/>
      <c r="F114" s="47"/>
      <c r="G114" s="47"/>
      <c r="H114" s="48"/>
      <c r="I114" s="74" t="str">
        <f t="shared" si="18"/>
        <v/>
      </c>
      <c r="J114" s="49"/>
      <c r="K114" s="49"/>
      <c r="L114" s="49"/>
      <c r="M114" s="47"/>
      <c r="N114" s="48" t="str">
        <f t="shared" si="19"/>
        <v/>
      </c>
      <c r="O114" s="48" t="str">
        <f t="shared" si="20"/>
        <v/>
      </c>
      <c r="P114" s="75" t="str">
        <f t="shared" si="21"/>
        <v/>
      </c>
      <c r="Q114" s="76">
        <f t="shared" si="22"/>
        <v>0</v>
      </c>
      <c r="R114" s="76">
        <f t="shared" si="23"/>
        <v>0</v>
      </c>
      <c r="S114" s="75">
        <f t="shared" si="27"/>
        <v>0</v>
      </c>
      <c r="T114" s="47"/>
      <c r="V114" s="57"/>
      <c r="W114" s="45"/>
      <c r="X114" s="46">
        <f t="shared" si="24"/>
        <v>0</v>
      </c>
      <c r="Y114" s="74" t="str">
        <f t="shared" si="25"/>
        <v/>
      </c>
      <c r="Z114" s="49"/>
      <c r="AA114" s="49"/>
      <c r="AB114" s="49"/>
      <c r="AC114" s="47"/>
      <c r="AD114" s="48" t="str">
        <f t="shared" si="28"/>
        <v/>
      </c>
      <c r="AE114" s="48" t="str">
        <f t="shared" si="29"/>
        <v/>
      </c>
      <c r="AF114" s="75" t="str">
        <f t="shared" si="30"/>
        <v/>
      </c>
      <c r="AG114" s="76">
        <f t="shared" si="31"/>
        <v>0</v>
      </c>
      <c r="AH114" s="76">
        <f t="shared" si="32"/>
        <v>0</v>
      </c>
      <c r="AI114" s="75">
        <f t="shared" si="33"/>
        <v>0</v>
      </c>
      <c r="AJ114" s="47"/>
      <c r="AL114" s="47"/>
      <c r="AN114" s="47"/>
      <c r="AO114" s="47" t="str">
        <f t="shared" si="26"/>
        <v/>
      </c>
    </row>
    <row r="115" spans="1:41" s="56" customFormat="1" ht="14">
      <c r="A115" s="44"/>
      <c r="B115" s="45"/>
      <c r="C115" s="46">
        <f t="shared" si="17"/>
        <v>0</v>
      </c>
      <c r="D115" s="47"/>
      <c r="E115" s="47"/>
      <c r="F115" s="47"/>
      <c r="G115" s="47"/>
      <c r="H115" s="48"/>
      <c r="I115" s="74" t="str">
        <f t="shared" si="18"/>
        <v/>
      </c>
      <c r="J115" s="49"/>
      <c r="K115" s="49"/>
      <c r="L115" s="49"/>
      <c r="M115" s="47"/>
      <c r="N115" s="48" t="str">
        <f t="shared" si="19"/>
        <v/>
      </c>
      <c r="O115" s="48" t="str">
        <f t="shared" si="20"/>
        <v/>
      </c>
      <c r="P115" s="75" t="str">
        <f t="shared" si="21"/>
        <v/>
      </c>
      <c r="Q115" s="76">
        <f t="shared" si="22"/>
        <v>0</v>
      </c>
      <c r="R115" s="76">
        <f t="shared" si="23"/>
        <v>0</v>
      </c>
      <c r="S115" s="75">
        <f t="shared" si="27"/>
        <v>0</v>
      </c>
      <c r="T115" s="47"/>
      <c r="V115" s="57"/>
      <c r="W115" s="45"/>
      <c r="X115" s="46">
        <f t="shared" si="24"/>
        <v>0</v>
      </c>
      <c r="Y115" s="74" t="str">
        <f t="shared" si="25"/>
        <v/>
      </c>
      <c r="Z115" s="49"/>
      <c r="AA115" s="49"/>
      <c r="AB115" s="49"/>
      <c r="AC115" s="47"/>
      <c r="AD115" s="48" t="str">
        <f t="shared" si="28"/>
        <v/>
      </c>
      <c r="AE115" s="48" t="str">
        <f t="shared" si="29"/>
        <v/>
      </c>
      <c r="AF115" s="75" t="str">
        <f t="shared" si="30"/>
        <v/>
      </c>
      <c r="AG115" s="76">
        <f t="shared" si="31"/>
        <v>0</v>
      </c>
      <c r="AH115" s="76">
        <f t="shared" si="32"/>
        <v>0</v>
      </c>
      <c r="AI115" s="75">
        <f t="shared" si="33"/>
        <v>0</v>
      </c>
      <c r="AJ115" s="47"/>
      <c r="AL115" s="47"/>
      <c r="AN115" s="47"/>
      <c r="AO115" s="47" t="str">
        <f t="shared" si="26"/>
        <v/>
      </c>
    </row>
    <row r="116" spans="1:41" s="56" customFormat="1" ht="14">
      <c r="A116" s="44"/>
      <c r="B116" s="45"/>
      <c r="C116" s="46">
        <f t="shared" si="17"/>
        <v>0</v>
      </c>
      <c r="D116" s="47"/>
      <c r="E116" s="47"/>
      <c r="F116" s="47"/>
      <c r="G116" s="47"/>
      <c r="H116" s="48"/>
      <c r="I116" s="74" t="str">
        <f t="shared" si="18"/>
        <v/>
      </c>
      <c r="J116" s="49"/>
      <c r="K116" s="49"/>
      <c r="L116" s="49"/>
      <c r="M116" s="47"/>
      <c r="N116" s="48" t="str">
        <f t="shared" si="19"/>
        <v/>
      </c>
      <c r="O116" s="48" t="str">
        <f t="shared" si="20"/>
        <v/>
      </c>
      <c r="P116" s="75" t="str">
        <f t="shared" si="21"/>
        <v/>
      </c>
      <c r="Q116" s="76">
        <f t="shared" si="22"/>
        <v>0</v>
      </c>
      <c r="R116" s="76">
        <f t="shared" si="23"/>
        <v>0</v>
      </c>
      <c r="S116" s="75">
        <f t="shared" si="27"/>
        <v>0</v>
      </c>
      <c r="T116" s="47"/>
      <c r="V116" s="57"/>
      <c r="W116" s="45"/>
      <c r="X116" s="46">
        <f t="shared" si="24"/>
        <v>0</v>
      </c>
      <c r="Y116" s="74" t="str">
        <f t="shared" si="25"/>
        <v/>
      </c>
      <c r="Z116" s="49"/>
      <c r="AA116" s="49"/>
      <c r="AB116" s="49"/>
      <c r="AC116" s="47"/>
      <c r="AD116" s="48" t="str">
        <f t="shared" si="28"/>
        <v/>
      </c>
      <c r="AE116" s="48" t="str">
        <f t="shared" si="29"/>
        <v/>
      </c>
      <c r="AF116" s="75" t="str">
        <f t="shared" si="30"/>
        <v/>
      </c>
      <c r="AG116" s="76">
        <f t="shared" si="31"/>
        <v>0</v>
      </c>
      <c r="AH116" s="76">
        <f t="shared" si="32"/>
        <v>0</v>
      </c>
      <c r="AI116" s="75">
        <f t="shared" si="33"/>
        <v>0</v>
      </c>
      <c r="AJ116" s="47"/>
      <c r="AL116" s="47"/>
      <c r="AN116" s="47"/>
      <c r="AO116" s="47" t="str">
        <f t="shared" si="26"/>
        <v/>
      </c>
    </row>
    <row r="117" spans="1:41" s="56" customFormat="1" ht="14">
      <c r="A117" s="44"/>
      <c r="B117" s="45"/>
      <c r="C117" s="46">
        <f t="shared" si="17"/>
        <v>0</v>
      </c>
      <c r="D117" s="47"/>
      <c r="E117" s="47"/>
      <c r="F117" s="47"/>
      <c r="G117" s="47"/>
      <c r="H117" s="48"/>
      <c r="I117" s="74" t="str">
        <f t="shared" si="18"/>
        <v/>
      </c>
      <c r="J117" s="49"/>
      <c r="K117" s="49"/>
      <c r="L117" s="49"/>
      <c r="M117" s="47"/>
      <c r="N117" s="48" t="str">
        <f t="shared" si="19"/>
        <v/>
      </c>
      <c r="O117" s="48" t="str">
        <f t="shared" si="20"/>
        <v/>
      </c>
      <c r="P117" s="75" t="str">
        <f t="shared" si="21"/>
        <v/>
      </c>
      <c r="Q117" s="76">
        <f t="shared" si="22"/>
        <v>0</v>
      </c>
      <c r="R117" s="76">
        <f t="shared" si="23"/>
        <v>0</v>
      </c>
      <c r="S117" s="75">
        <f t="shared" si="27"/>
        <v>0</v>
      </c>
      <c r="T117" s="47"/>
      <c r="V117" s="57"/>
      <c r="W117" s="45"/>
      <c r="X117" s="46">
        <f t="shared" si="24"/>
        <v>0</v>
      </c>
      <c r="Y117" s="74" t="str">
        <f t="shared" si="25"/>
        <v/>
      </c>
      <c r="Z117" s="49"/>
      <c r="AA117" s="49"/>
      <c r="AB117" s="49"/>
      <c r="AC117" s="47"/>
      <c r="AD117" s="48" t="str">
        <f t="shared" si="28"/>
        <v/>
      </c>
      <c r="AE117" s="48" t="str">
        <f t="shared" si="29"/>
        <v/>
      </c>
      <c r="AF117" s="75" t="str">
        <f t="shared" si="30"/>
        <v/>
      </c>
      <c r="AG117" s="76">
        <f t="shared" si="31"/>
        <v>0</v>
      </c>
      <c r="AH117" s="76">
        <f t="shared" si="32"/>
        <v>0</v>
      </c>
      <c r="AI117" s="75">
        <f t="shared" si="33"/>
        <v>0</v>
      </c>
      <c r="AJ117" s="47"/>
      <c r="AL117" s="47"/>
      <c r="AN117" s="47"/>
      <c r="AO117" s="47" t="str">
        <f t="shared" si="26"/>
        <v/>
      </c>
    </row>
    <row r="118" spans="1:41" s="56" customFormat="1" ht="14">
      <c r="A118" s="44"/>
      <c r="B118" s="45"/>
      <c r="C118" s="46">
        <f t="shared" si="17"/>
        <v>0</v>
      </c>
      <c r="D118" s="47"/>
      <c r="E118" s="47"/>
      <c r="F118" s="47"/>
      <c r="G118" s="47"/>
      <c r="H118" s="48"/>
      <c r="I118" s="74" t="str">
        <f t="shared" si="18"/>
        <v/>
      </c>
      <c r="J118" s="49"/>
      <c r="K118" s="49"/>
      <c r="L118" s="49"/>
      <c r="M118" s="47"/>
      <c r="N118" s="48" t="str">
        <f t="shared" si="19"/>
        <v/>
      </c>
      <c r="O118" s="48" t="str">
        <f t="shared" si="20"/>
        <v/>
      </c>
      <c r="P118" s="75" t="str">
        <f t="shared" si="21"/>
        <v/>
      </c>
      <c r="Q118" s="76">
        <f t="shared" si="22"/>
        <v>0</v>
      </c>
      <c r="R118" s="76">
        <f t="shared" si="23"/>
        <v>0</v>
      </c>
      <c r="S118" s="75">
        <f t="shared" si="27"/>
        <v>0</v>
      </c>
      <c r="T118" s="47"/>
      <c r="V118" s="57"/>
      <c r="W118" s="45"/>
      <c r="X118" s="46">
        <f t="shared" si="24"/>
        <v>0</v>
      </c>
      <c r="Y118" s="74" t="str">
        <f t="shared" si="25"/>
        <v/>
      </c>
      <c r="Z118" s="49"/>
      <c r="AA118" s="49"/>
      <c r="AB118" s="49"/>
      <c r="AC118" s="47"/>
      <c r="AD118" s="48" t="str">
        <f t="shared" si="28"/>
        <v/>
      </c>
      <c r="AE118" s="48" t="str">
        <f t="shared" si="29"/>
        <v/>
      </c>
      <c r="AF118" s="75" t="str">
        <f t="shared" si="30"/>
        <v/>
      </c>
      <c r="AG118" s="76">
        <f t="shared" si="31"/>
        <v>0</v>
      </c>
      <c r="AH118" s="76">
        <f t="shared" si="32"/>
        <v>0</v>
      </c>
      <c r="AI118" s="75">
        <f t="shared" si="33"/>
        <v>0</v>
      </c>
      <c r="AJ118" s="47"/>
      <c r="AL118" s="47"/>
      <c r="AN118" s="47"/>
      <c r="AO118" s="47" t="str">
        <f t="shared" si="26"/>
        <v/>
      </c>
    </row>
    <row r="119" spans="1:41" s="56" customFormat="1" ht="14">
      <c r="A119" s="44"/>
      <c r="B119" s="45"/>
      <c r="C119" s="46">
        <f t="shared" si="17"/>
        <v>0</v>
      </c>
      <c r="D119" s="47"/>
      <c r="E119" s="47"/>
      <c r="F119" s="47"/>
      <c r="G119" s="47"/>
      <c r="H119" s="48"/>
      <c r="I119" s="74" t="str">
        <f t="shared" si="18"/>
        <v/>
      </c>
      <c r="J119" s="49"/>
      <c r="K119" s="49"/>
      <c r="L119" s="49"/>
      <c r="M119" s="47"/>
      <c r="N119" s="48" t="str">
        <f t="shared" si="19"/>
        <v/>
      </c>
      <c r="O119" s="48" t="str">
        <f t="shared" si="20"/>
        <v/>
      </c>
      <c r="P119" s="75" t="str">
        <f t="shared" si="21"/>
        <v/>
      </c>
      <c r="Q119" s="76">
        <f t="shared" si="22"/>
        <v>0</v>
      </c>
      <c r="R119" s="76">
        <f t="shared" si="23"/>
        <v>0</v>
      </c>
      <c r="S119" s="75">
        <f t="shared" si="27"/>
        <v>0</v>
      </c>
      <c r="T119" s="47"/>
      <c r="V119" s="57"/>
      <c r="W119" s="45"/>
      <c r="X119" s="46">
        <f t="shared" si="24"/>
        <v>0</v>
      </c>
      <c r="Y119" s="74" t="str">
        <f t="shared" si="25"/>
        <v/>
      </c>
      <c r="Z119" s="49"/>
      <c r="AA119" s="49"/>
      <c r="AB119" s="49"/>
      <c r="AC119" s="47"/>
      <c r="AD119" s="48" t="str">
        <f t="shared" si="28"/>
        <v/>
      </c>
      <c r="AE119" s="48" t="str">
        <f t="shared" si="29"/>
        <v/>
      </c>
      <c r="AF119" s="75" t="str">
        <f t="shared" si="30"/>
        <v/>
      </c>
      <c r="AG119" s="76">
        <f t="shared" si="31"/>
        <v>0</v>
      </c>
      <c r="AH119" s="76">
        <f t="shared" si="32"/>
        <v>0</v>
      </c>
      <c r="AI119" s="75">
        <f t="shared" si="33"/>
        <v>0</v>
      </c>
      <c r="AJ119" s="47"/>
      <c r="AL119" s="47"/>
      <c r="AN119" s="47"/>
      <c r="AO119" s="47" t="str">
        <f t="shared" si="26"/>
        <v/>
      </c>
    </row>
    <row r="120" spans="1:41" s="56" customFormat="1" ht="14">
      <c r="A120" s="44"/>
      <c r="B120" s="45"/>
      <c r="C120" s="46">
        <f t="shared" si="17"/>
        <v>0</v>
      </c>
      <c r="D120" s="47"/>
      <c r="E120" s="47"/>
      <c r="F120" s="47"/>
      <c r="G120" s="47"/>
      <c r="H120" s="48"/>
      <c r="I120" s="74" t="str">
        <f t="shared" si="18"/>
        <v/>
      </c>
      <c r="J120" s="49"/>
      <c r="K120" s="49"/>
      <c r="L120" s="49"/>
      <c r="M120" s="47"/>
      <c r="N120" s="48" t="str">
        <f t="shared" si="19"/>
        <v/>
      </c>
      <c r="O120" s="48" t="str">
        <f t="shared" si="20"/>
        <v/>
      </c>
      <c r="P120" s="75" t="str">
        <f t="shared" si="21"/>
        <v/>
      </c>
      <c r="Q120" s="76">
        <f t="shared" si="22"/>
        <v>0</v>
      </c>
      <c r="R120" s="76">
        <f t="shared" si="23"/>
        <v>0</v>
      </c>
      <c r="S120" s="75">
        <f t="shared" si="27"/>
        <v>0</v>
      </c>
      <c r="T120" s="47"/>
      <c r="V120" s="57"/>
      <c r="W120" s="45"/>
      <c r="X120" s="46">
        <f t="shared" si="24"/>
        <v>0</v>
      </c>
      <c r="Y120" s="74" t="str">
        <f t="shared" si="25"/>
        <v/>
      </c>
      <c r="Z120" s="49"/>
      <c r="AA120" s="49"/>
      <c r="AB120" s="49"/>
      <c r="AC120" s="47"/>
      <c r="AD120" s="48" t="str">
        <f t="shared" si="28"/>
        <v/>
      </c>
      <c r="AE120" s="48" t="str">
        <f t="shared" si="29"/>
        <v/>
      </c>
      <c r="AF120" s="75" t="str">
        <f t="shared" si="30"/>
        <v/>
      </c>
      <c r="AG120" s="76">
        <f t="shared" si="31"/>
        <v>0</v>
      </c>
      <c r="AH120" s="76">
        <f t="shared" si="32"/>
        <v>0</v>
      </c>
      <c r="AI120" s="75">
        <f t="shared" si="33"/>
        <v>0</v>
      </c>
      <c r="AJ120" s="47"/>
      <c r="AL120" s="47"/>
      <c r="AN120" s="47"/>
      <c r="AO120" s="47" t="str">
        <f t="shared" si="26"/>
        <v/>
      </c>
    </row>
    <row r="121" spans="1:41" s="56" customFormat="1" ht="14">
      <c r="A121" s="44"/>
      <c r="B121" s="45"/>
      <c r="C121" s="46">
        <f t="shared" si="17"/>
        <v>0</v>
      </c>
      <c r="D121" s="47"/>
      <c r="E121" s="47"/>
      <c r="F121" s="47"/>
      <c r="G121" s="47"/>
      <c r="H121" s="48"/>
      <c r="I121" s="74" t="str">
        <f t="shared" si="18"/>
        <v/>
      </c>
      <c r="J121" s="49"/>
      <c r="K121" s="49"/>
      <c r="L121" s="49"/>
      <c r="M121" s="47"/>
      <c r="N121" s="48" t="str">
        <f t="shared" si="19"/>
        <v/>
      </c>
      <c r="O121" s="48" t="str">
        <f t="shared" si="20"/>
        <v/>
      </c>
      <c r="P121" s="75" t="str">
        <f t="shared" si="21"/>
        <v/>
      </c>
      <c r="Q121" s="76">
        <f t="shared" si="22"/>
        <v>0</v>
      </c>
      <c r="R121" s="76">
        <f t="shared" si="23"/>
        <v>0</v>
      </c>
      <c r="S121" s="75">
        <f t="shared" si="27"/>
        <v>0</v>
      </c>
      <c r="T121" s="47"/>
      <c r="V121" s="57"/>
      <c r="W121" s="45"/>
      <c r="X121" s="46">
        <f t="shared" si="24"/>
        <v>0</v>
      </c>
      <c r="Y121" s="74" t="str">
        <f t="shared" si="25"/>
        <v/>
      </c>
      <c r="Z121" s="49"/>
      <c r="AA121" s="49"/>
      <c r="AB121" s="49"/>
      <c r="AC121" s="47"/>
      <c r="AD121" s="48" t="str">
        <f t="shared" si="28"/>
        <v/>
      </c>
      <c r="AE121" s="48" t="str">
        <f t="shared" si="29"/>
        <v/>
      </c>
      <c r="AF121" s="75" t="str">
        <f t="shared" si="30"/>
        <v/>
      </c>
      <c r="AG121" s="76">
        <f t="shared" si="31"/>
        <v>0</v>
      </c>
      <c r="AH121" s="76">
        <f t="shared" si="32"/>
        <v>0</v>
      </c>
      <c r="AI121" s="75">
        <f t="shared" si="33"/>
        <v>0</v>
      </c>
      <c r="AJ121" s="47"/>
      <c r="AL121" s="47"/>
      <c r="AN121" s="47"/>
      <c r="AO121" s="47" t="str">
        <f t="shared" si="26"/>
        <v/>
      </c>
    </row>
    <row r="122" spans="1:41" s="56" customFormat="1" ht="14">
      <c r="A122" s="44"/>
      <c r="B122" s="45"/>
      <c r="C122" s="46">
        <f t="shared" si="17"/>
        <v>0</v>
      </c>
      <c r="D122" s="47"/>
      <c r="E122" s="47"/>
      <c r="F122" s="47"/>
      <c r="G122" s="47"/>
      <c r="H122" s="48"/>
      <c r="I122" s="74" t="str">
        <f t="shared" si="18"/>
        <v/>
      </c>
      <c r="J122" s="49"/>
      <c r="K122" s="49"/>
      <c r="L122" s="49"/>
      <c r="M122" s="47"/>
      <c r="N122" s="48" t="str">
        <f t="shared" si="19"/>
        <v/>
      </c>
      <c r="O122" s="48" t="str">
        <f t="shared" si="20"/>
        <v/>
      </c>
      <c r="P122" s="75" t="str">
        <f t="shared" si="21"/>
        <v/>
      </c>
      <c r="Q122" s="76">
        <f t="shared" si="22"/>
        <v>0</v>
      </c>
      <c r="R122" s="76">
        <f t="shared" si="23"/>
        <v>0</v>
      </c>
      <c r="S122" s="75">
        <f t="shared" si="27"/>
        <v>0</v>
      </c>
      <c r="T122" s="47"/>
      <c r="V122" s="57"/>
      <c r="W122" s="45"/>
      <c r="X122" s="46">
        <f t="shared" si="24"/>
        <v>0</v>
      </c>
      <c r="Y122" s="74" t="str">
        <f t="shared" si="25"/>
        <v/>
      </c>
      <c r="Z122" s="49"/>
      <c r="AA122" s="49"/>
      <c r="AB122" s="49"/>
      <c r="AC122" s="47"/>
      <c r="AD122" s="48" t="str">
        <f t="shared" si="28"/>
        <v/>
      </c>
      <c r="AE122" s="48" t="str">
        <f t="shared" si="29"/>
        <v/>
      </c>
      <c r="AF122" s="75" t="str">
        <f t="shared" si="30"/>
        <v/>
      </c>
      <c r="AG122" s="76">
        <f t="shared" si="31"/>
        <v>0</v>
      </c>
      <c r="AH122" s="76">
        <f t="shared" si="32"/>
        <v>0</v>
      </c>
      <c r="AI122" s="75">
        <f t="shared" si="33"/>
        <v>0</v>
      </c>
      <c r="AJ122" s="47"/>
      <c r="AL122" s="47"/>
      <c r="AN122" s="47"/>
      <c r="AO122" s="47" t="str">
        <f t="shared" si="26"/>
        <v/>
      </c>
    </row>
    <row r="123" spans="1:41" s="56" customFormat="1" ht="14">
      <c r="A123" s="44"/>
      <c r="B123" s="45"/>
      <c r="C123" s="46">
        <f t="shared" si="17"/>
        <v>0</v>
      </c>
      <c r="D123" s="47"/>
      <c r="E123" s="47"/>
      <c r="F123" s="47"/>
      <c r="G123" s="47"/>
      <c r="H123" s="48"/>
      <c r="I123" s="74" t="str">
        <f t="shared" si="18"/>
        <v/>
      </c>
      <c r="J123" s="49"/>
      <c r="K123" s="49"/>
      <c r="L123" s="49"/>
      <c r="M123" s="47"/>
      <c r="N123" s="48" t="str">
        <f t="shared" si="19"/>
        <v/>
      </c>
      <c r="O123" s="48" t="str">
        <f t="shared" si="20"/>
        <v/>
      </c>
      <c r="P123" s="75" t="str">
        <f t="shared" si="21"/>
        <v/>
      </c>
      <c r="Q123" s="76">
        <f t="shared" si="22"/>
        <v>0</v>
      </c>
      <c r="R123" s="76">
        <f t="shared" si="23"/>
        <v>0</v>
      </c>
      <c r="S123" s="75">
        <f t="shared" si="27"/>
        <v>0</v>
      </c>
      <c r="T123" s="47"/>
      <c r="V123" s="57"/>
      <c r="W123" s="45"/>
      <c r="X123" s="46">
        <f t="shared" si="24"/>
        <v>0</v>
      </c>
      <c r="Y123" s="74" t="str">
        <f t="shared" si="25"/>
        <v/>
      </c>
      <c r="Z123" s="49"/>
      <c r="AA123" s="49"/>
      <c r="AB123" s="49"/>
      <c r="AC123" s="47"/>
      <c r="AD123" s="48" t="str">
        <f t="shared" si="28"/>
        <v/>
      </c>
      <c r="AE123" s="48" t="str">
        <f t="shared" si="29"/>
        <v/>
      </c>
      <c r="AF123" s="75" t="str">
        <f t="shared" si="30"/>
        <v/>
      </c>
      <c r="AG123" s="76">
        <f t="shared" si="31"/>
        <v>0</v>
      </c>
      <c r="AH123" s="76">
        <f t="shared" si="32"/>
        <v>0</v>
      </c>
      <c r="AI123" s="75">
        <f t="shared" si="33"/>
        <v>0</v>
      </c>
      <c r="AJ123" s="47"/>
      <c r="AL123" s="47"/>
      <c r="AN123" s="47"/>
      <c r="AO123" s="47" t="str">
        <f t="shared" si="26"/>
        <v/>
      </c>
    </row>
    <row r="124" spans="1:41" s="56" customFormat="1" ht="14">
      <c r="A124" s="44"/>
      <c r="B124" s="45"/>
      <c r="C124" s="46">
        <f t="shared" si="17"/>
        <v>0</v>
      </c>
      <c r="D124" s="47"/>
      <c r="E124" s="47"/>
      <c r="F124" s="47"/>
      <c r="G124" s="47"/>
      <c r="H124" s="48"/>
      <c r="I124" s="74" t="str">
        <f t="shared" si="18"/>
        <v/>
      </c>
      <c r="J124" s="49"/>
      <c r="K124" s="49"/>
      <c r="L124" s="49"/>
      <c r="M124" s="47"/>
      <c r="N124" s="48" t="str">
        <f t="shared" si="19"/>
        <v/>
      </c>
      <c r="O124" s="48" t="str">
        <f t="shared" si="20"/>
        <v/>
      </c>
      <c r="P124" s="75" t="str">
        <f t="shared" si="21"/>
        <v/>
      </c>
      <c r="Q124" s="76">
        <f t="shared" si="22"/>
        <v>0</v>
      </c>
      <c r="R124" s="76">
        <f t="shared" si="23"/>
        <v>0</v>
      </c>
      <c r="S124" s="75">
        <f t="shared" si="27"/>
        <v>0</v>
      </c>
      <c r="T124" s="47"/>
      <c r="V124" s="57"/>
      <c r="W124" s="45"/>
      <c r="X124" s="46">
        <f t="shared" si="24"/>
        <v>0</v>
      </c>
      <c r="Y124" s="74" t="str">
        <f t="shared" si="25"/>
        <v/>
      </c>
      <c r="Z124" s="49"/>
      <c r="AA124" s="49"/>
      <c r="AB124" s="49"/>
      <c r="AC124" s="47"/>
      <c r="AD124" s="48" t="str">
        <f t="shared" si="28"/>
        <v/>
      </c>
      <c r="AE124" s="48" t="str">
        <f t="shared" si="29"/>
        <v/>
      </c>
      <c r="AF124" s="75" t="str">
        <f t="shared" si="30"/>
        <v/>
      </c>
      <c r="AG124" s="76">
        <f t="shared" si="31"/>
        <v>0</v>
      </c>
      <c r="AH124" s="76">
        <f t="shared" si="32"/>
        <v>0</v>
      </c>
      <c r="AI124" s="75">
        <f t="shared" si="33"/>
        <v>0</v>
      </c>
      <c r="AJ124" s="47"/>
      <c r="AL124" s="47"/>
      <c r="AN124" s="47"/>
      <c r="AO124" s="47" t="str">
        <f t="shared" si="26"/>
        <v/>
      </c>
    </row>
    <row r="125" spans="1:41" s="56" customFormat="1" ht="14">
      <c r="A125" s="44"/>
      <c r="B125" s="45"/>
      <c r="C125" s="46">
        <f t="shared" si="17"/>
        <v>0</v>
      </c>
      <c r="D125" s="47"/>
      <c r="E125" s="47"/>
      <c r="F125" s="47"/>
      <c r="G125" s="47"/>
      <c r="H125" s="48"/>
      <c r="I125" s="74" t="str">
        <f t="shared" si="18"/>
        <v/>
      </c>
      <c r="J125" s="49"/>
      <c r="K125" s="49"/>
      <c r="L125" s="49"/>
      <c r="M125" s="47"/>
      <c r="N125" s="48" t="str">
        <f t="shared" si="19"/>
        <v/>
      </c>
      <c r="O125" s="48" t="str">
        <f t="shared" si="20"/>
        <v/>
      </c>
      <c r="P125" s="75" t="str">
        <f t="shared" si="21"/>
        <v/>
      </c>
      <c r="Q125" s="76">
        <f t="shared" si="22"/>
        <v>0</v>
      </c>
      <c r="R125" s="76">
        <f t="shared" si="23"/>
        <v>0</v>
      </c>
      <c r="S125" s="75">
        <f t="shared" si="27"/>
        <v>0</v>
      </c>
      <c r="T125" s="47"/>
      <c r="V125" s="57"/>
      <c r="W125" s="45"/>
      <c r="X125" s="46">
        <f t="shared" si="24"/>
        <v>0</v>
      </c>
      <c r="Y125" s="74" t="str">
        <f t="shared" si="25"/>
        <v/>
      </c>
      <c r="Z125" s="49"/>
      <c r="AA125" s="49"/>
      <c r="AB125" s="49"/>
      <c r="AC125" s="47"/>
      <c r="AD125" s="48" t="str">
        <f t="shared" si="28"/>
        <v/>
      </c>
      <c r="AE125" s="48" t="str">
        <f t="shared" si="29"/>
        <v/>
      </c>
      <c r="AF125" s="75" t="str">
        <f t="shared" si="30"/>
        <v/>
      </c>
      <c r="AG125" s="76">
        <f t="shared" si="31"/>
        <v>0</v>
      </c>
      <c r="AH125" s="76">
        <f t="shared" si="32"/>
        <v>0</v>
      </c>
      <c r="AI125" s="75">
        <f t="shared" si="33"/>
        <v>0</v>
      </c>
      <c r="AJ125" s="47"/>
      <c r="AL125" s="47"/>
      <c r="AN125" s="47"/>
      <c r="AO125" s="47" t="str">
        <f t="shared" si="26"/>
        <v/>
      </c>
    </row>
    <row r="126" spans="1:41" s="56" customFormat="1" ht="14">
      <c r="A126" s="44"/>
      <c r="B126" s="45"/>
      <c r="C126" s="46">
        <f t="shared" si="17"/>
        <v>0</v>
      </c>
      <c r="D126" s="47"/>
      <c r="E126" s="47"/>
      <c r="F126" s="47"/>
      <c r="G126" s="47"/>
      <c r="H126" s="48"/>
      <c r="I126" s="74" t="str">
        <f t="shared" si="18"/>
        <v/>
      </c>
      <c r="J126" s="49"/>
      <c r="K126" s="49"/>
      <c r="L126" s="49"/>
      <c r="M126" s="47"/>
      <c r="N126" s="48" t="str">
        <f t="shared" si="19"/>
        <v/>
      </c>
      <c r="O126" s="48" t="str">
        <f t="shared" si="20"/>
        <v/>
      </c>
      <c r="P126" s="75" t="str">
        <f t="shared" si="21"/>
        <v/>
      </c>
      <c r="Q126" s="76">
        <f t="shared" si="22"/>
        <v>0</v>
      </c>
      <c r="R126" s="76">
        <f t="shared" si="23"/>
        <v>0</v>
      </c>
      <c r="S126" s="75">
        <f t="shared" si="27"/>
        <v>0</v>
      </c>
      <c r="T126" s="47"/>
      <c r="V126" s="57"/>
      <c r="W126" s="45"/>
      <c r="X126" s="46">
        <f t="shared" si="24"/>
        <v>0</v>
      </c>
      <c r="Y126" s="74" t="str">
        <f t="shared" si="25"/>
        <v/>
      </c>
      <c r="Z126" s="49"/>
      <c r="AA126" s="49"/>
      <c r="AB126" s="49"/>
      <c r="AC126" s="47"/>
      <c r="AD126" s="48" t="str">
        <f t="shared" si="28"/>
        <v/>
      </c>
      <c r="AE126" s="48" t="str">
        <f t="shared" si="29"/>
        <v/>
      </c>
      <c r="AF126" s="75" t="str">
        <f t="shared" si="30"/>
        <v/>
      </c>
      <c r="AG126" s="76">
        <f t="shared" si="31"/>
        <v>0</v>
      </c>
      <c r="AH126" s="76">
        <f t="shared" si="32"/>
        <v>0</v>
      </c>
      <c r="AI126" s="75">
        <f t="shared" si="33"/>
        <v>0</v>
      </c>
      <c r="AJ126" s="47"/>
      <c r="AL126" s="47"/>
      <c r="AN126" s="47"/>
      <c r="AO126" s="47" t="str">
        <f t="shared" si="26"/>
        <v/>
      </c>
    </row>
    <row r="127" spans="1:41" s="56" customFormat="1" ht="14">
      <c r="A127" s="44"/>
      <c r="B127" s="45"/>
      <c r="C127" s="46">
        <f t="shared" si="17"/>
        <v>0</v>
      </c>
      <c r="D127" s="47"/>
      <c r="E127" s="47"/>
      <c r="F127" s="47"/>
      <c r="G127" s="47"/>
      <c r="H127" s="48"/>
      <c r="I127" s="74" t="str">
        <f t="shared" si="18"/>
        <v/>
      </c>
      <c r="J127" s="49"/>
      <c r="K127" s="49"/>
      <c r="L127" s="49"/>
      <c r="M127" s="47"/>
      <c r="N127" s="48" t="str">
        <f t="shared" si="19"/>
        <v/>
      </c>
      <c r="O127" s="48" t="str">
        <f t="shared" si="20"/>
        <v/>
      </c>
      <c r="P127" s="75" t="str">
        <f t="shared" si="21"/>
        <v/>
      </c>
      <c r="Q127" s="76">
        <f t="shared" si="22"/>
        <v>0</v>
      </c>
      <c r="R127" s="76">
        <f t="shared" si="23"/>
        <v>0</v>
      </c>
      <c r="S127" s="75">
        <f t="shared" si="27"/>
        <v>0</v>
      </c>
      <c r="T127" s="47"/>
      <c r="V127" s="57"/>
      <c r="W127" s="45"/>
      <c r="X127" s="46">
        <f t="shared" si="24"/>
        <v>0</v>
      </c>
      <c r="Y127" s="74" t="str">
        <f t="shared" si="25"/>
        <v/>
      </c>
      <c r="Z127" s="49"/>
      <c r="AA127" s="49"/>
      <c r="AB127" s="49"/>
      <c r="AC127" s="47"/>
      <c r="AD127" s="48" t="str">
        <f t="shared" si="28"/>
        <v/>
      </c>
      <c r="AE127" s="48" t="str">
        <f t="shared" si="29"/>
        <v/>
      </c>
      <c r="AF127" s="75" t="str">
        <f t="shared" si="30"/>
        <v/>
      </c>
      <c r="AG127" s="76">
        <f t="shared" si="31"/>
        <v>0</v>
      </c>
      <c r="AH127" s="76">
        <f t="shared" si="32"/>
        <v>0</v>
      </c>
      <c r="AI127" s="75">
        <f t="shared" si="33"/>
        <v>0</v>
      </c>
      <c r="AJ127" s="47"/>
      <c r="AL127" s="47"/>
      <c r="AN127" s="47"/>
      <c r="AO127" s="47" t="str">
        <f t="shared" si="26"/>
        <v/>
      </c>
    </row>
    <row r="128" spans="1:41" s="56" customFormat="1" ht="14">
      <c r="A128" s="44"/>
      <c r="B128" s="45"/>
      <c r="C128" s="46">
        <f t="shared" si="17"/>
        <v>0</v>
      </c>
      <c r="D128" s="47"/>
      <c r="E128" s="47"/>
      <c r="F128" s="47"/>
      <c r="G128" s="47"/>
      <c r="H128" s="48"/>
      <c r="I128" s="74" t="str">
        <f t="shared" si="18"/>
        <v/>
      </c>
      <c r="J128" s="49"/>
      <c r="K128" s="49"/>
      <c r="L128" s="49"/>
      <c r="M128" s="47"/>
      <c r="N128" s="48" t="str">
        <f t="shared" si="19"/>
        <v/>
      </c>
      <c r="O128" s="48" t="str">
        <f t="shared" si="20"/>
        <v/>
      </c>
      <c r="P128" s="75" t="str">
        <f t="shared" si="21"/>
        <v/>
      </c>
      <c r="Q128" s="76">
        <f t="shared" si="22"/>
        <v>0</v>
      </c>
      <c r="R128" s="76">
        <f t="shared" si="23"/>
        <v>0</v>
      </c>
      <c r="S128" s="75">
        <f t="shared" si="27"/>
        <v>0</v>
      </c>
      <c r="T128" s="47"/>
      <c r="V128" s="57"/>
      <c r="W128" s="45"/>
      <c r="X128" s="46">
        <f t="shared" si="24"/>
        <v>0</v>
      </c>
      <c r="Y128" s="74" t="str">
        <f t="shared" si="25"/>
        <v/>
      </c>
      <c r="Z128" s="49"/>
      <c r="AA128" s="49"/>
      <c r="AB128" s="49"/>
      <c r="AC128" s="47"/>
      <c r="AD128" s="48" t="str">
        <f t="shared" si="28"/>
        <v/>
      </c>
      <c r="AE128" s="48" t="str">
        <f t="shared" si="29"/>
        <v/>
      </c>
      <c r="AF128" s="75" t="str">
        <f t="shared" si="30"/>
        <v/>
      </c>
      <c r="AG128" s="76">
        <f t="shared" si="31"/>
        <v>0</v>
      </c>
      <c r="AH128" s="76">
        <f t="shared" si="32"/>
        <v>0</v>
      </c>
      <c r="AI128" s="75">
        <f t="shared" si="33"/>
        <v>0</v>
      </c>
      <c r="AJ128" s="47"/>
      <c r="AL128" s="47"/>
      <c r="AN128" s="47"/>
      <c r="AO128" s="47" t="str">
        <f t="shared" si="26"/>
        <v/>
      </c>
    </row>
    <row r="129" spans="1:41" s="56" customFormat="1" ht="14">
      <c r="A129" s="44"/>
      <c r="B129" s="45"/>
      <c r="C129" s="46">
        <f t="shared" si="17"/>
        <v>0</v>
      </c>
      <c r="D129" s="47"/>
      <c r="E129" s="47"/>
      <c r="F129" s="47"/>
      <c r="G129" s="47"/>
      <c r="H129" s="48"/>
      <c r="I129" s="74" t="str">
        <f t="shared" si="18"/>
        <v/>
      </c>
      <c r="J129" s="49"/>
      <c r="K129" s="49"/>
      <c r="L129" s="49"/>
      <c r="M129" s="47"/>
      <c r="N129" s="48" t="str">
        <f t="shared" si="19"/>
        <v/>
      </c>
      <c r="O129" s="48" t="str">
        <f t="shared" si="20"/>
        <v/>
      </c>
      <c r="P129" s="75" t="str">
        <f t="shared" si="21"/>
        <v/>
      </c>
      <c r="Q129" s="76">
        <f t="shared" si="22"/>
        <v>0</v>
      </c>
      <c r="R129" s="76">
        <f t="shared" si="23"/>
        <v>0</v>
      </c>
      <c r="S129" s="75">
        <f t="shared" si="27"/>
        <v>0</v>
      </c>
      <c r="T129" s="47"/>
      <c r="V129" s="57"/>
      <c r="W129" s="45"/>
      <c r="X129" s="46">
        <f t="shared" si="24"/>
        <v>0</v>
      </c>
      <c r="Y129" s="74" t="str">
        <f t="shared" si="25"/>
        <v/>
      </c>
      <c r="Z129" s="49"/>
      <c r="AA129" s="49"/>
      <c r="AB129" s="49"/>
      <c r="AC129" s="47"/>
      <c r="AD129" s="48" t="str">
        <f t="shared" si="28"/>
        <v/>
      </c>
      <c r="AE129" s="48" t="str">
        <f t="shared" si="29"/>
        <v/>
      </c>
      <c r="AF129" s="75" t="str">
        <f t="shared" si="30"/>
        <v/>
      </c>
      <c r="AG129" s="76">
        <f t="shared" si="31"/>
        <v>0</v>
      </c>
      <c r="AH129" s="76">
        <f t="shared" si="32"/>
        <v>0</v>
      </c>
      <c r="AI129" s="75">
        <f t="shared" si="33"/>
        <v>0</v>
      </c>
      <c r="AJ129" s="47"/>
      <c r="AL129" s="47"/>
      <c r="AN129" s="47"/>
      <c r="AO129" s="47" t="str">
        <f t="shared" si="26"/>
        <v/>
      </c>
    </row>
    <row r="130" spans="1:41" s="56" customFormat="1" ht="14">
      <c r="A130" s="44"/>
      <c r="B130" s="45"/>
      <c r="C130" s="46">
        <f t="shared" si="17"/>
        <v>0</v>
      </c>
      <c r="D130" s="47"/>
      <c r="E130" s="47"/>
      <c r="F130" s="47"/>
      <c r="G130" s="47"/>
      <c r="H130" s="48"/>
      <c r="I130" s="74" t="str">
        <f t="shared" si="18"/>
        <v/>
      </c>
      <c r="J130" s="49"/>
      <c r="K130" s="49"/>
      <c r="L130" s="49"/>
      <c r="M130" s="47"/>
      <c r="N130" s="48" t="str">
        <f t="shared" si="19"/>
        <v/>
      </c>
      <c r="O130" s="48" t="str">
        <f t="shared" si="20"/>
        <v/>
      </c>
      <c r="P130" s="75" t="str">
        <f t="shared" si="21"/>
        <v/>
      </c>
      <c r="Q130" s="76">
        <f t="shared" si="22"/>
        <v>0</v>
      </c>
      <c r="R130" s="76">
        <f t="shared" si="23"/>
        <v>0</v>
      </c>
      <c r="S130" s="75">
        <f t="shared" si="27"/>
        <v>0</v>
      </c>
      <c r="T130" s="47"/>
      <c r="V130" s="57"/>
      <c r="W130" s="45"/>
      <c r="X130" s="46">
        <f t="shared" si="24"/>
        <v>0</v>
      </c>
      <c r="Y130" s="74" t="str">
        <f t="shared" si="25"/>
        <v/>
      </c>
      <c r="Z130" s="49"/>
      <c r="AA130" s="49"/>
      <c r="AB130" s="49"/>
      <c r="AC130" s="47"/>
      <c r="AD130" s="48" t="str">
        <f t="shared" si="28"/>
        <v/>
      </c>
      <c r="AE130" s="48" t="str">
        <f t="shared" si="29"/>
        <v/>
      </c>
      <c r="AF130" s="75" t="str">
        <f t="shared" si="30"/>
        <v/>
      </c>
      <c r="AG130" s="76">
        <f t="shared" si="31"/>
        <v>0</v>
      </c>
      <c r="AH130" s="76">
        <f t="shared" si="32"/>
        <v>0</v>
      </c>
      <c r="AI130" s="75">
        <f t="shared" si="33"/>
        <v>0</v>
      </c>
      <c r="AJ130" s="47"/>
      <c r="AL130" s="47"/>
      <c r="AN130" s="47"/>
      <c r="AO130" s="47" t="str">
        <f t="shared" si="26"/>
        <v/>
      </c>
    </row>
    <row r="131" spans="1:41" s="56" customFormat="1" ht="14">
      <c r="A131" s="44"/>
      <c r="B131" s="45"/>
      <c r="C131" s="46">
        <f t="shared" si="17"/>
        <v>0</v>
      </c>
      <c r="D131" s="47"/>
      <c r="E131" s="47"/>
      <c r="F131" s="47"/>
      <c r="G131" s="47"/>
      <c r="H131" s="48"/>
      <c r="I131" s="74" t="str">
        <f t="shared" si="18"/>
        <v/>
      </c>
      <c r="J131" s="49"/>
      <c r="K131" s="49"/>
      <c r="L131" s="49"/>
      <c r="M131" s="47"/>
      <c r="N131" s="48" t="str">
        <f t="shared" si="19"/>
        <v/>
      </c>
      <c r="O131" s="48" t="str">
        <f t="shared" si="20"/>
        <v/>
      </c>
      <c r="P131" s="75" t="str">
        <f t="shared" si="21"/>
        <v/>
      </c>
      <c r="Q131" s="76">
        <f t="shared" si="22"/>
        <v>0</v>
      </c>
      <c r="R131" s="76">
        <f t="shared" si="23"/>
        <v>0</v>
      </c>
      <c r="S131" s="75">
        <f t="shared" si="27"/>
        <v>0</v>
      </c>
      <c r="T131" s="47"/>
      <c r="V131" s="57"/>
      <c r="W131" s="45"/>
      <c r="X131" s="46">
        <f t="shared" si="24"/>
        <v>0</v>
      </c>
      <c r="Y131" s="74" t="str">
        <f t="shared" si="25"/>
        <v/>
      </c>
      <c r="Z131" s="49"/>
      <c r="AA131" s="49"/>
      <c r="AB131" s="49"/>
      <c r="AC131" s="47"/>
      <c r="AD131" s="48" t="str">
        <f t="shared" si="28"/>
        <v/>
      </c>
      <c r="AE131" s="48" t="str">
        <f t="shared" si="29"/>
        <v/>
      </c>
      <c r="AF131" s="75" t="str">
        <f t="shared" si="30"/>
        <v/>
      </c>
      <c r="AG131" s="76">
        <f t="shared" si="31"/>
        <v>0</v>
      </c>
      <c r="AH131" s="76">
        <f t="shared" si="32"/>
        <v>0</v>
      </c>
      <c r="AI131" s="75">
        <f t="shared" si="33"/>
        <v>0</v>
      </c>
      <c r="AJ131" s="47"/>
      <c r="AL131" s="47"/>
      <c r="AN131" s="47"/>
      <c r="AO131" s="47" t="str">
        <f t="shared" si="26"/>
        <v/>
      </c>
    </row>
    <row r="132" spans="1:41" s="56" customFormat="1" ht="14">
      <c r="A132" s="44"/>
      <c r="B132" s="45"/>
      <c r="C132" s="46">
        <f t="shared" si="17"/>
        <v>0</v>
      </c>
      <c r="D132" s="47"/>
      <c r="E132" s="47"/>
      <c r="F132" s="47"/>
      <c r="G132" s="47"/>
      <c r="H132" s="48"/>
      <c r="I132" s="74" t="str">
        <f t="shared" si="18"/>
        <v/>
      </c>
      <c r="J132" s="49"/>
      <c r="K132" s="49"/>
      <c r="L132" s="49"/>
      <c r="M132" s="47"/>
      <c r="N132" s="48" t="str">
        <f t="shared" si="19"/>
        <v/>
      </c>
      <c r="O132" s="48" t="str">
        <f t="shared" si="20"/>
        <v/>
      </c>
      <c r="P132" s="75" t="str">
        <f t="shared" si="21"/>
        <v/>
      </c>
      <c r="Q132" s="76">
        <f t="shared" si="22"/>
        <v>0</v>
      </c>
      <c r="R132" s="76">
        <f t="shared" si="23"/>
        <v>0</v>
      </c>
      <c r="S132" s="75">
        <f t="shared" si="27"/>
        <v>0</v>
      </c>
      <c r="T132" s="47"/>
      <c r="V132" s="57"/>
      <c r="W132" s="45"/>
      <c r="X132" s="46">
        <f t="shared" si="24"/>
        <v>0</v>
      </c>
      <c r="Y132" s="74" t="str">
        <f t="shared" si="25"/>
        <v/>
      </c>
      <c r="Z132" s="49"/>
      <c r="AA132" s="49"/>
      <c r="AB132" s="49"/>
      <c r="AC132" s="47"/>
      <c r="AD132" s="48" t="str">
        <f t="shared" si="28"/>
        <v/>
      </c>
      <c r="AE132" s="48" t="str">
        <f t="shared" si="29"/>
        <v/>
      </c>
      <c r="AF132" s="75" t="str">
        <f t="shared" si="30"/>
        <v/>
      </c>
      <c r="AG132" s="76">
        <f t="shared" si="31"/>
        <v>0</v>
      </c>
      <c r="AH132" s="76">
        <f t="shared" si="32"/>
        <v>0</v>
      </c>
      <c r="AI132" s="75">
        <f t="shared" si="33"/>
        <v>0</v>
      </c>
      <c r="AJ132" s="47"/>
      <c r="AL132" s="47"/>
      <c r="AN132" s="47"/>
      <c r="AO132" s="47" t="str">
        <f t="shared" si="26"/>
        <v/>
      </c>
    </row>
    <row r="133" spans="1:41" s="56" customFormat="1" ht="14">
      <c r="A133" s="44"/>
      <c r="B133" s="45"/>
      <c r="C133" s="46">
        <f t="shared" si="17"/>
        <v>0</v>
      </c>
      <c r="D133" s="47"/>
      <c r="E133" s="47"/>
      <c r="F133" s="47"/>
      <c r="G133" s="47"/>
      <c r="H133" s="48"/>
      <c r="I133" s="74" t="str">
        <f t="shared" si="18"/>
        <v/>
      </c>
      <c r="J133" s="49"/>
      <c r="K133" s="49"/>
      <c r="L133" s="49"/>
      <c r="M133" s="47"/>
      <c r="N133" s="48" t="str">
        <f t="shared" si="19"/>
        <v/>
      </c>
      <c r="O133" s="48" t="str">
        <f t="shared" si="20"/>
        <v/>
      </c>
      <c r="P133" s="75" t="str">
        <f t="shared" si="21"/>
        <v/>
      </c>
      <c r="Q133" s="76">
        <f t="shared" si="22"/>
        <v>0</v>
      </c>
      <c r="R133" s="76">
        <f t="shared" si="23"/>
        <v>0</v>
      </c>
      <c r="S133" s="75">
        <f t="shared" si="27"/>
        <v>0</v>
      </c>
      <c r="T133" s="47"/>
      <c r="V133" s="57"/>
      <c r="W133" s="45"/>
      <c r="X133" s="46">
        <f t="shared" si="24"/>
        <v>0</v>
      </c>
      <c r="Y133" s="74" t="str">
        <f t="shared" si="25"/>
        <v/>
      </c>
      <c r="Z133" s="49"/>
      <c r="AA133" s="49"/>
      <c r="AB133" s="49"/>
      <c r="AC133" s="47"/>
      <c r="AD133" s="48" t="str">
        <f t="shared" si="28"/>
        <v/>
      </c>
      <c r="AE133" s="48" t="str">
        <f t="shared" si="29"/>
        <v/>
      </c>
      <c r="AF133" s="75" t="str">
        <f t="shared" si="30"/>
        <v/>
      </c>
      <c r="AG133" s="76">
        <f t="shared" si="31"/>
        <v>0</v>
      </c>
      <c r="AH133" s="76">
        <f t="shared" si="32"/>
        <v>0</v>
      </c>
      <c r="AI133" s="75">
        <f t="shared" si="33"/>
        <v>0</v>
      </c>
      <c r="AJ133" s="47"/>
      <c r="AL133" s="47"/>
      <c r="AN133" s="47"/>
      <c r="AO133" s="47" t="str">
        <f t="shared" si="26"/>
        <v/>
      </c>
    </row>
    <row r="134" spans="1:41" s="56" customFormat="1" ht="14">
      <c r="A134" s="44"/>
      <c r="B134" s="45"/>
      <c r="C134" s="46">
        <f t="shared" si="17"/>
        <v>0</v>
      </c>
      <c r="D134" s="47"/>
      <c r="E134" s="47"/>
      <c r="F134" s="47"/>
      <c r="G134" s="47"/>
      <c r="H134" s="48"/>
      <c r="I134" s="74" t="str">
        <f t="shared" si="18"/>
        <v/>
      </c>
      <c r="J134" s="49"/>
      <c r="K134" s="49"/>
      <c r="L134" s="49"/>
      <c r="M134" s="47"/>
      <c r="N134" s="48" t="str">
        <f t="shared" si="19"/>
        <v/>
      </c>
      <c r="O134" s="48" t="str">
        <f t="shared" si="20"/>
        <v/>
      </c>
      <c r="P134" s="75" t="str">
        <f t="shared" si="21"/>
        <v/>
      </c>
      <c r="Q134" s="76">
        <f t="shared" si="22"/>
        <v>0</v>
      </c>
      <c r="R134" s="76">
        <f t="shared" si="23"/>
        <v>0</v>
      </c>
      <c r="S134" s="75">
        <f t="shared" si="27"/>
        <v>0</v>
      </c>
      <c r="T134" s="47"/>
      <c r="V134" s="57"/>
      <c r="W134" s="45"/>
      <c r="X134" s="46">
        <f t="shared" si="24"/>
        <v>0</v>
      </c>
      <c r="Y134" s="74" t="str">
        <f t="shared" si="25"/>
        <v/>
      </c>
      <c r="Z134" s="49"/>
      <c r="AA134" s="49"/>
      <c r="AB134" s="49"/>
      <c r="AC134" s="47"/>
      <c r="AD134" s="48" t="str">
        <f t="shared" si="28"/>
        <v/>
      </c>
      <c r="AE134" s="48" t="str">
        <f t="shared" si="29"/>
        <v/>
      </c>
      <c r="AF134" s="75" t="str">
        <f t="shared" si="30"/>
        <v/>
      </c>
      <c r="AG134" s="76">
        <f t="shared" si="31"/>
        <v>0</v>
      </c>
      <c r="AH134" s="76">
        <f t="shared" si="32"/>
        <v>0</v>
      </c>
      <c r="AI134" s="75">
        <f t="shared" si="33"/>
        <v>0</v>
      </c>
      <c r="AJ134" s="47"/>
      <c r="AL134" s="47"/>
      <c r="AN134" s="47"/>
      <c r="AO134" s="47" t="str">
        <f t="shared" si="26"/>
        <v/>
      </c>
    </row>
    <row r="135" spans="1:41" s="56" customFormat="1" ht="14">
      <c r="A135" s="44"/>
      <c r="B135" s="45"/>
      <c r="C135" s="46">
        <f t="shared" si="17"/>
        <v>0</v>
      </c>
      <c r="D135" s="47"/>
      <c r="E135" s="47"/>
      <c r="F135" s="47"/>
      <c r="G135" s="47"/>
      <c r="H135" s="48"/>
      <c r="I135" s="74" t="str">
        <f t="shared" si="18"/>
        <v/>
      </c>
      <c r="J135" s="49"/>
      <c r="K135" s="49"/>
      <c r="L135" s="49"/>
      <c r="M135" s="47"/>
      <c r="N135" s="48" t="str">
        <f t="shared" si="19"/>
        <v/>
      </c>
      <c r="O135" s="48" t="str">
        <f t="shared" si="20"/>
        <v/>
      </c>
      <c r="P135" s="75" t="str">
        <f t="shared" si="21"/>
        <v/>
      </c>
      <c r="Q135" s="76">
        <f t="shared" si="22"/>
        <v>0</v>
      </c>
      <c r="R135" s="76">
        <f t="shared" si="23"/>
        <v>0</v>
      </c>
      <c r="S135" s="75">
        <f t="shared" si="27"/>
        <v>0</v>
      </c>
      <c r="T135" s="47"/>
      <c r="V135" s="57"/>
      <c r="W135" s="45"/>
      <c r="X135" s="46">
        <f t="shared" si="24"/>
        <v>0</v>
      </c>
      <c r="Y135" s="74" t="str">
        <f t="shared" si="25"/>
        <v/>
      </c>
      <c r="Z135" s="49"/>
      <c r="AA135" s="49"/>
      <c r="AB135" s="49"/>
      <c r="AC135" s="47"/>
      <c r="AD135" s="48" t="str">
        <f t="shared" si="28"/>
        <v/>
      </c>
      <c r="AE135" s="48" t="str">
        <f t="shared" si="29"/>
        <v/>
      </c>
      <c r="AF135" s="75" t="str">
        <f t="shared" si="30"/>
        <v/>
      </c>
      <c r="AG135" s="76">
        <f t="shared" si="31"/>
        <v>0</v>
      </c>
      <c r="AH135" s="76">
        <f t="shared" si="32"/>
        <v>0</v>
      </c>
      <c r="AI135" s="75">
        <f t="shared" si="33"/>
        <v>0</v>
      </c>
      <c r="AJ135" s="47"/>
      <c r="AL135" s="47"/>
      <c r="AN135" s="47"/>
      <c r="AO135" s="47" t="str">
        <f t="shared" si="26"/>
        <v/>
      </c>
    </row>
    <row r="136" spans="1:41" s="56" customFormat="1" ht="14">
      <c r="A136" s="44"/>
      <c r="B136" s="45"/>
      <c r="C136" s="46">
        <f t="shared" si="17"/>
        <v>0</v>
      </c>
      <c r="D136" s="47"/>
      <c r="E136" s="47"/>
      <c r="F136" s="47"/>
      <c r="G136" s="47"/>
      <c r="H136" s="48"/>
      <c r="I136" s="74" t="str">
        <f t="shared" si="18"/>
        <v/>
      </c>
      <c r="J136" s="49"/>
      <c r="K136" s="49"/>
      <c r="L136" s="49"/>
      <c r="M136" s="47"/>
      <c r="N136" s="48" t="str">
        <f t="shared" si="19"/>
        <v/>
      </c>
      <c r="O136" s="48" t="str">
        <f t="shared" si="20"/>
        <v/>
      </c>
      <c r="P136" s="75" t="str">
        <f t="shared" si="21"/>
        <v/>
      </c>
      <c r="Q136" s="76">
        <f t="shared" si="22"/>
        <v>0</v>
      </c>
      <c r="R136" s="76">
        <f t="shared" si="23"/>
        <v>0</v>
      </c>
      <c r="S136" s="75">
        <f t="shared" si="27"/>
        <v>0</v>
      </c>
      <c r="T136" s="47"/>
      <c r="V136" s="57"/>
      <c r="W136" s="45"/>
      <c r="X136" s="46">
        <f t="shared" si="24"/>
        <v>0</v>
      </c>
      <c r="Y136" s="74" t="str">
        <f t="shared" si="25"/>
        <v/>
      </c>
      <c r="Z136" s="49"/>
      <c r="AA136" s="49"/>
      <c r="AB136" s="49"/>
      <c r="AC136" s="47"/>
      <c r="AD136" s="48" t="str">
        <f t="shared" si="28"/>
        <v/>
      </c>
      <c r="AE136" s="48" t="str">
        <f t="shared" si="29"/>
        <v/>
      </c>
      <c r="AF136" s="75" t="str">
        <f t="shared" si="30"/>
        <v/>
      </c>
      <c r="AG136" s="76">
        <f t="shared" si="31"/>
        <v>0</v>
      </c>
      <c r="AH136" s="76">
        <f t="shared" si="32"/>
        <v>0</v>
      </c>
      <c r="AI136" s="75">
        <f t="shared" si="33"/>
        <v>0</v>
      </c>
      <c r="AJ136" s="47"/>
      <c r="AL136" s="47"/>
      <c r="AN136" s="47"/>
      <c r="AO136" s="47" t="str">
        <f t="shared" si="26"/>
        <v/>
      </c>
    </row>
    <row r="137" spans="1:41" s="56" customFormat="1" ht="14">
      <c r="A137" s="44"/>
      <c r="B137" s="45"/>
      <c r="C137" s="46">
        <f t="shared" si="17"/>
        <v>0</v>
      </c>
      <c r="D137" s="47"/>
      <c r="E137" s="47"/>
      <c r="F137" s="47"/>
      <c r="G137" s="47"/>
      <c r="H137" s="48"/>
      <c r="I137" s="74" t="str">
        <f t="shared" si="18"/>
        <v/>
      </c>
      <c r="J137" s="49"/>
      <c r="K137" s="49"/>
      <c r="L137" s="49"/>
      <c r="M137" s="47"/>
      <c r="N137" s="48" t="str">
        <f t="shared" si="19"/>
        <v/>
      </c>
      <c r="O137" s="48" t="str">
        <f t="shared" si="20"/>
        <v/>
      </c>
      <c r="P137" s="75" t="str">
        <f t="shared" si="21"/>
        <v/>
      </c>
      <c r="Q137" s="76">
        <f t="shared" si="22"/>
        <v>0</v>
      </c>
      <c r="R137" s="76">
        <f t="shared" si="23"/>
        <v>0</v>
      </c>
      <c r="S137" s="75">
        <f t="shared" si="27"/>
        <v>0</v>
      </c>
      <c r="T137" s="47"/>
      <c r="V137" s="57"/>
      <c r="W137" s="45"/>
      <c r="X137" s="46">
        <f t="shared" si="24"/>
        <v>0</v>
      </c>
      <c r="Y137" s="74" t="str">
        <f t="shared" si="25"/>
        <v/>
      </c>
      <c r="Z137" s="49"/>
      <c r="AA137" s="49"/>
      <c r="AB137" s="49"/>
      <c r="AC137" s="47"/>
      <c r="AD137" s="48" t="str">
        <f t="shared" si="28"/>
        <v/>
      </c>
      <c r="AE137" s="48" t="str">
        <f t="shared" si="29"/>
        <v/>
      </c>
      <c r="AF137" s="75" t="str">
        <f t="shared" si="30"/>
        <v/>
      </c>
      <c r="AG137" s="76">
        <f t="shared" si="31"/>
        <v>0</v>
      </c>
      <c r="AH137" s="76">
        <f t="shared" si="32"/>
        <v>0</v>
      </c>
      <c r="AI137" s="75">
        <f t="shared" si="33"/>
        <v>0</v>
      </c>
      <c r="AJ137" s="47"/>
      <c r="AL137" s="47"/>
      <c r="AN137" s="47"/>
      <c r="AO137" s="47" t="str">
        <f t="shared" si="26"/>
        <v/>
      </c>
    </row>
    <row r="138" spans="1:41" s="56" customFormat="1" ht="14">
      <c r="A138" s="44"/>
      <c r="B138" s="45"/>
      <c r="C138" s="46">
        <f t="shared" si="17"/>
        <v>0</v>
      </c>
      <c r="D138" s="47"/>
      <c r="E138" s="47"/>
      <c r="F138" s="47"/>
      <c r="G138" s="47"/>
      <c r="H138" s="48"/>
      <c r="I138" s="74" t="str">
        <f t="shared" si="18"/>
        <v/>
      </c>
      <c r="J138" s="49"/>
      <c r="K138" s="49"/>
      <c r="L138" s="49"/>
      <c r="M138" s="47"/>
      <c r="N138" s="48" t="str">
        <f t="shared" si="19"/>
        <v/>
      </c>
      <c r="O138" s="48" t="str">
        <f t="shared" si="20"/>
        <v/>
      </c>
      <c r="P138" s="75" t="str">
        <f t="shared" si="21"/>
        <v/>
      </c>
      <c r="Q138" s="76">
        <f t="shared" si="22"/>
        <v>0</v>
      </c>
      <c r="R138" s="76">
        <f t="shared" si="23"/>
        <v>0</v>
      </c>
      <c r="S138" s="75">
        <f t="shared" si="27"/>
        <v>0</v>
      </c>
      <c r="T138" s="47"/>
      <c r="V138" s="57"/>
      <c r="W138" s="45"/>
      <c r="X138" s="46">
        <f t="shared" si="24"/>
        <v>0</v>
      </c>
      <c r="Y138" s="74" t="str">
        <f t="shared" si="25"/>
        <v/>
      </c>
      <c r="Z138" s="49"/>
      <c r="AA138" s="49"/>
      <c r="AB138" s="49"/>
      <c r="AC138" s="47"/>
      <c r="AD138" s="48" t="str">
        <f t="shared" si="28"/>
        <v/>
      </c>
      <c r="AE138" s="48" t="str">
        <f t="shared" si="29"/>
        <v/>
      </c>
      <c r="AF138" s="75" t="str">
        <f t="shared" si="30"/>
        <v/>
      </c>
      <c r="AG138" s="76">
        <f t="shared" si="31"/>
        <v>0</v>
      </c>
      <c r="AH138" s="76">
        <f t="shared" si="32"/>
        <v>0</v>
      </c>
      <c r="AI138" s="75">
        <f t="shared" si="33"/>
        <v>0</v>
      </c>
      <c r="AJ138" s="47"/>
      <c r="AL138" s="47"/>
      <c r="AN138" s="47"/>
      <c r="AO138" s="47" t="str">
        <f t="shared" si="26"/>
        <v/>
      </c>
    </row>
    <row r="139" spans="1:41" s="56" customFormat="1" ht="14">
      <c r="A139" s="44"/>
      <c r="B139" s="45"/>
      <c r="C139" s="46">
        <f t="shared" ref="C139:C202" si="34">IF($B139&lt;&gt;"",VLOOKUP($B139,Matriz_INM,2,0),0)</f>
        <v>0</v>
      </c>
      <c r="D139" s="47"/>
      <c r="E139" s="47"/>
      <c r="F139" s="47"/>
      <c r="G139" s="47"/>
      <c r="H139" s="48"/>
      <c r="I139" s="74" t="str">
        <f t="shared" ref="I139:I202" si="35">IFERROR(VLOOKUP($B139,Matriz_INM,3,0),"")</f>
        <v/>
      </c>
      <c r="J139" s="49"/>
      <c r="K139" s="49"/>
      <c r="L139" s="49"/>
      <c r="M139" s="47"/>
      <c r="N139" s="48" t="str">
        <f t="shared" ref="N139:N202" si="36">IF(M139="EE",IF(OR(AND(OR(L139=1,L139=0),K139&gt;0,K139&lt;5),AND(OR(L139=1,L139=0),K139&gt;4,K139&lt;16),AND(L139=2,K139&gt;0,K139&lt;5)),"Simples",IF(OR(AND(OR(L139=1,L139=0),K139&gt;15),AND(L139=2,K139&gt;4,K139&lt;16),AND(L139&gt;2,K139&gt;0,K139&lt;5)),"Médio",IF(OR(AND(L139=2,K139&gt;15),AND(L139&gt;2,K139&gt;4,K139&lt;16),AND(L139&gt;2,K139&gt;15)),"Complexo",""))), IF(OR(M139="CE",M139="SE"),IF(OR(AND(OR(L139=1,L139=0),K139&gt;0,K139&lt;6),AND(OR(L139=1,L139=0),K139&gt;5,K139&lt;20),AND(L139&gt;1,L139&lt;4,K139&gt;0,K139&lt;6)),"Simples",IF(OR(AND(OR(L139=1,L139=0),K139&gt;19),AND(L139&gt;1,L139&lt;4,K139&gt;5,K139&lt;20),AND(L139&gt;3,K139&gt;0,K139&lt;6)),"Médio",IF(OR(AND(L139&gt;1,L139&lt;4,K139&gt;19),AND(L139&gt;3,K139&gt;5,K139&lt;20),AND(L139&gt;3,K139&gt;19)),"Complexo",""))),""))</f>
        <v/>
      </c>
      <c r="O139" s="48" t="str">
        <f t="shared" ref="O139:O202" si="37">IF(M139="ALI",IF(OR(AND(OR(L139=1,L139=0),K139&gt;0,K139&lt;20),AND(OR(L139=1,L139=0),K139&gt;19,K139&lt;51),AND(L139&gt;1,L139&lt;6,K139&gt;0,K139&lt;20)),"Simples",IF(OR(AND(OR(L139=1,L139=0),K139&gt;50),AND(L139&gt;1,L139&lt;6,K139&gt;19,K139&lt;51),AND(L139&gt;5,K139&gt;0,K139&lt;20)),"Médio",IF(OR(AND(L139&gt;1,L139&lt;6,K139&gt;50),AND(L139&gt;5,K139&gt;19,K139&lt;51),AND(L139&gt;5,K139&gt;50)),"Complexo",""))), IF(M139="AIE",IF(OR(AND(OR(L139=1, L139=0),K139&gt;0,K139&lt;20),AND(OR(L139=1, L139=0),K139&gt;19,K139&lt;51),AND(L139&gt;1,L139&lt;6,K139&gt;0,K139&lt;20)),"Simples",IF(OR(AND(OR(L139=1, L139=0),K139&gt;50),AND(L139&gt;1,L139&lt;6,K139&gt;19,K139&lt;51),AND(L139&gt;5,K139&gt;0,K139&lt;20)),"Médio",IF(OR(AND(L139&gt;1,L139&lt;6,K139&gt;50),AND(L139&gt;5,K139&gt;19,K139&lt;51),AND(L139&gt;5,K139&gt;50)),"Complexo",""))),""))</f>
        <v/>
      </c>
      <c r="P139" s="75" t="str">
        <f t="shared" ref="P139:P202" si="38">IF(N139="",O139,IF(O139="",N139,""))</f>
        <v/>
      </c>
      <c r="Q139" s="76">
        <f t="shared" ref="Q139:Q202" si="39">IF(AND(OR(M139="EE",M139="CE"),P139="Simples"),3, IF(AND(OR(M139="EE",M139="CE"),P139="Médio"),4, IF(AND(OR(M139="EE",M139="CE"),P139="Complexo"),6, IF(AND(M139="SE",P139="Simples"),4, IF(AND(M139="SE",P139="Médio"),5, IF(AND(M139="SE",P139="Complexo"),7,0))))))</f>
        <v>0</v>
      </c>
      <c r="R139" s="76">
        <f t="shared" ref="R139:R202" si="40">IF(AND(M139="ALI",O139="Simples"),7, IF(AND(M139="ALI",O139="Médio"),10, IF(AND(M139="ALI",O139="Complexo"),15, IF(AND(M139="AIE",O139="Simples"),5, IF(AND(M139="AIE",O139="Médio"),7, IF(AND(M139="AIE",O139="Complexo"),10,0))))))</f>
        <v>0</v>
      </c>
      <c r="S139" s="75">
        <f t="shared" si="27"/>
        <v>0</v>
      </c>
      <c r="T139" s="47"/>
      <c r="V139" s="57"/>
      <c r="W139" s="45"/>
      <c r="X139" s="46">
        <f t="shared" ref="X139:X202" si="41">IF($W139&lt;&gt;"",VLOOKUP($W139,Matriz_INM,2,0),0)</f>
        <v>0</v>
      </c>
      <c r="Y139" s="74" t="str">
        <f t="shared" ref="Y139:Y202" si="42">IFERROR(VLOOKUP($W139,Matriz_INM,3,0),"")</f>
        <v/>
      </c>
      <c r="Z139" s="49"/>
      <c r="AA139" s="49"/>
      <c r="AB139" s="49"/>
      <c r="AC139" s="47"/>
      <c r="AD139" s="48" t="str">
        <f t="shared" si="28"/>
        <v/>
      </c>
      <c r="AE139" s="48" t="str">
        <f t="shared" si="29"/>
        <v/>
      </c>
      <c r="AF139" s="75" t="str">
        <f t="shared" si="30"/>
        <v/>
      </c>
      <c r="AG139" s="76">
        <f t="shared" si="31"/>
        <v>0</v>
      </c>
      <c r="AH139" s="76">
        <f t="shared" si="32"/>
        <v>0</v>
      </c>
      <c r="AI139" s="75">
        <f t="shared" si="33"/>
        <v>0</v>
      </c>
      <c r="AJ139" s="47"/>
      <c r="AL139" s="47"/>
      <c r="AN139" s="47"/>
      <c r="AO139" s="47" t="str">
        <f t="shared" ref="AO139:AO202" si="43">IF(AI139=0,"",IF(AI139=S139,"OK","Divergente"))</f>
        <v/>
      </c>
    </row>
    <row r="140" spans="1:41" s="56" customFormat="1" ht="14">
      <c r="A140" s="44"/>
      <c r="B140" s="45"/>
      <c r="C140" s="46">
        <f t="shared" si="34"/>
        <v>0</v>
      </c>
      <c r="D140" s="47"/>
      <c r="E140" s="47"/>
      <c r="F140" s="47"/>
      <c r="G140" s="47"/>
      <c r="H140" s="48"/>
      <c r="I140" s="74" t="str">
        <f t="shared" si="35"/>
        <v/>
      </c>
      <c r="J140" s="49"/>
      <c r="K140" s="49"/>
      <c r="L140" s="49"/>
      <c r="M140" s="47"/>
      <c r="N140" s="48" t="str">
        <f t="shared" si="36"/>
        <v/>
      </c>
      <c r="O140" s="48" t="str">
        <f t="shared" si="37"/>
        <v/>
      </c>
      <c r="P140" s="75" t="str">
        <f t="shared" si="38"/>
        <v/>
      </c>
      <c r="Q140" s="76">
        <f t="shared" si="39"/>
        <v>0</v>
      </c>
      <c r="R140" s="76">
        <f t="shared" si="40"/>
        <v>0</v>
      </c>
      <c r="S140" s="75">
        <f t="shared" ref="S140:S203" si="44">IF($I140="%",($Q140+$R140)*$C140,$C140*J140)</f>
        <v>0</v>
      </c>
      <c r="T140" s="47"/>
      <c r="V140" s="57"/>
      <c r="W140" s="45"/>
      <c r="X140" s="46">
        <f t="shared" si="41"/>
        <v>0</v>
      </c>
      <c r="Y140" s="74" t="str">
        <f t="shared" si="42"/>
        <v/>
      </c>
      <c r="Z140" s="49"/>
      <c r="AA140" s="49"/>
      <c r="AB140" s="49"/>
      <c r="AC140" s="47"/>
      <c r="AD140" s="48" t="str">
        <f t="shared" ref="AD140:AD203" si="45">IF(AC140="EE",IF(OR(AND(OR(AB140=1,AB140=0),AA140&gt;0,AA140&lt;5),AND(OR(AB140=1,AB140=0),AA140&gt;4,AA140&lt;16),AND(AB140=2,AA140&gt;0,AA140&lt;5)),"Simples",IF(OR(AND(OR(AB140=1,AB140=0),AA140&gt;15),AND(AB140=2,AA140&gt;4,AA140&lt;16),AND(AB140&gt;2,AA140&gt;0,AA140&lt;5)),"Médio",IF(OR(AND(AB140=2,AA140&gt;15),AND(AB140&gt;2,AA140&gt;4,AA140&lt;16),AND(AB140&gt;2,AA140&gt;15)),"Complexo",""))), IF(OR(AC140="CE",AC140="SE"),IF(OR(AND(OR(AB140=1,AB140=0),AA140&gt;0,AA140&lt;6),AND(OR(AB140=1,AB140=0),AA140&gt;5,AA140&lt;20),AND(AB140&gt;1,AB140&lt;4,AA140&gt;0,AA140&lt;6)),"Simples",IF(OR(AND(OR(AB140=1,AB140=0),AA140&gt;19),AND(AB140&gt;1,AB140&lt;4,AA140&gt;5,AA140&lt;20),AND(AB140&gt;3,AA140&gt;0,AA140&lt;6)),"Médio",IF(OR(AND(AB140&gt;1,AB140&lt;4,AA140&gt;19),AND(AB140&gt;3,AA140&gt;5,AA140&lt;20),AND(AB140&gt;3,AA140&gt;19)),"Complexo",""))),""))</f>
        <v/>
      </c>
      <c r="AE140" s="48" t="str">
        <f t="shared" ref="AE140:AE203" si="46">IF(AC140="ALI",IF(OR(AND(OR(AB140=1,AB140=0),AA140&gt;0,AA140&lt;20),AND(OR(AB140=1,AB140=0),AA140&gt;19,AA140&lt;51),AND(AB140&gt;1,AB140&lt;6,AA140&gt;0,AA140&lt;20)),"Simples",IF(OR(AND(OR(AB140=1,AB140=0),AA140&gt;50),AND(AB140&gt;1,AB140&lt;6,AA140&gt;19,AA140&lt;51),AND(AB140&gt;5,AA140&gt;0,AA140&lt;20)),"Médio",IF(OR(AND(AB140&gt;1,AB140&lt;6,AA140&gt;50),AND(AB140&gt;5,AA140&gt;19,AA140&lt;51),AND(AB140&gt;5,AA140&gt;50)),"Complexo",""))), IF(AC140="AIE",IF(OR(AND(OR(AB140=1, AB140=0),AA140&gt;0,AA140&lt;20),AND(OR(AB140=1, AB140=0),AA140&gt;19,AA140&lt;51),AND(AB140&gt;1,AB140&lt;6,AA140&gt;0,AA140&lt;20)),"Simples",IF(OR(AND(OR(AB140=1, AB140=0),AA140&gt;50),AND(AB140&gt;1,AB140&lt;6,AA140&gt;19,AA140&lt;51),AND(AB140&gt;5,AA140&gt;0,AA140&lt;20)),"Médio",IF(OR(AND(AB140&gt;1,AB140&lt;6,AA140&gt;50),AND(AB140&gt;5,AA140&gt;19,AA140&lt;51),AND(AB140&gt;5,AA140&gt;50)),"Complexo",""))),""))</f>
        <v/>
      </c>
      <c r="AF140" s="75" t="str">
        <f t="shared" ref="AF140:AF203" si="47">IF(AD140="",AE140,IF(AE140="",AD140,""))</f>
        <v/>
      </c>
      <c r="AG140" s="76">
        <f t="shared" ref="AG140:AG203" si="48">IF(AND(OR(AC140="EE",AC140="CE"),AF140="Simples"),3, IF(AND(OR(AC140="EE",AC140="CE"),AF140="Médio"),4, IF(AND(OR(AC140="EE",AC140="CE"),AF140="Complexo"),6, IF(AND(AC140="SE",AF140="Simples"),4, IF(AND(AC140="SE",AF140="Médio"),5, IF(AND(AC140="SE",AF140="Complexo"),7,0))))))</f>
        <v>0</v>
      </c>
      <c r="AH140" s="76">
        <f t="shared" ref="AH140:AH203" si="49">IF(AND(AC140="ALI",AE140="Simples"),7, IF(AND(AC140="ALI",AE140="Médio"),10, IF(AND(AC140="ALI",AE140="Complexo"),15, IF(AND(AC140="AIE",AE140="Simples"),5, IF(AND(AC140="AIE",AE140="Médio"),7, IF(AND(AC140="AIE",AE140="Complexo"),10,0))))))</f>
        <v>0</v>
      </c>
      <c r="AI140" s="75">
        <f t="shared" ref="AI140:AI203" si="50">IF(V140="OK",S140,IF($Y140="%",($AG140+$AH140)*$X140,$X140*Z140))</f>
        <v>0</v>
      </c>
      <c r="AJ140" s="47"/>
      <c r="AL140" s="47"/>
      <c r="AN140" s="47"/>
      <c r="AO140" s="47" t="str">
        <f t="shared" si="43"/>
        <v/>
      </c>
    </row>
    <row r="141" spans="1:41" s="56" customFormat="1" ht="14">
      <c r="A141" s="44"/>
      <c r="B141" s="45"/>
      <c r="C141" s="46">
        <f t="shared" si="34"/>
        <v>0</v>
      </c>
      <c r="D141" s="47"/>
      <c r="E141" s="47"/>
      <c r="F141" s="47"/>
      <c r="G141" s="47"/>
      <c r="H141" s="48"/>
      <c r="I141" s="74" t="str">
        <f t="shared" si="35"/>
        <v/>
      </c>
      <c r="J141" s="49"/>
      <c r="K141" s="49"/>
      <c r="L141" s="49"/>
      <c r="M141" s="47"/>
      <c r="N141" s="48" t="str">
        <f t="shared" si="36"/>
        <v/>
      </c>
      <c r="O141" s="48" t="str">
        <f t="shared" si="37"/>
        <v/>
      </c>
      <c r="P141" s="75" t="str">
        <f t="shared" si="38"/>
        <v/>
      </c>
      <c r="Q141" s="76">
        <f t="shared" si="39"/>
        <v>0</v>
      </c>
      <c r="R141" s="76">
        <f t="shared" si="40"/>
        <v>0</v>
      </c>
      <c r="S141" s="75">
        <f t="shared" si="44"/>
        <v>0</v>
      </c>
      <c r="T141" s="47"/>
      <c r="V141" s="57"/>
      <c r="W141" s="45"/>
      <c r="X141" s="46">
        <f t="shared" si="41"/>
        <v>0</v>
      </c>
      <c r="Y141" s="74" t="str">
        <f t="shared" si="42"/>
        <v/>
      </c>
      <c r="Z141" s="49"/>
      <c r="AA141" s="49"/>
      <c r="AB141" s="49"/>
      <c r="AC141" s="47"/>
      <c r="AD141" s="48" t="str">
        <f t="shared" si="45"/>
        <v/>
      </c>
      <c r="AE141" s="48" t="str">
        <f t="shared" si="46"/>
        <v/>
      </c>
      <c r="AF141" s="75" t="str">
        <f t="shared" si="47"/>
        <v/>
      </c>
      <c r="AG141" s="76">
        <f t="shared" si="48"/>
        <v>0</v>
      </c>
      <c r="AH141" s="76">
        <f t="shared" si="49"/>
        <v>0</v>
      </c>
      <c r="AI141" s="75">
        <f t="shared" si="50"/>
        <v>0</v>
      </c>
      <c r="AJ141" s="47"/>
      <c r="AL141" s="47"/>
      <c r="AN141" s="47"/>
      <c r="AO141" s="47" t="str">
        <f t="shared" si="43"/>
        <v/>
      </c>
    </row>
    <row r="142" spans="1:41" s="56" customFormat="1" ht="14">
      <c r="A142" s="44"/>
      <c r="B142" s="45"/>
      <c r="C142" s="46">
        <f t="shared" si="34"/>
        <v>0</v>
      </c>
      <c r="D142" s="47"/>
      <c r="E142" s="47"/>
      <c r="F142" s="47"/>
      <c r="G142" s="47"/>
      <c r="H142" s="48"/>
      <c r="I142" s="74" t="str">
        <f t="shared" si="35"/>
        <v/>
      </c>
      <c r="J142" s="49"/>
      <c r="K142" s="49"/>
      <c r="L142" s="49"/>
      <c r="M142" s="47"/>
      <c r="N142" s="48" t="str">
        <f t="shared" si="36"/>
        <v/>
      </c>
      <c r="O142" s="48" t="str">
        <f t="shared" si="37"/>
        <v/>
      </c>
      <c r="P142" s="75" t="str">
        <f t="shared" si="38"/>
        <v/>
      </c>
      <c r="Q142" s="76">
        <f t="shared" si="39"/>
        <v>0</v>
      </c>
      <c r="R142" s="76">
        <f t="shared" si="40"/>
        <v>0</v>
      </c>
      <c r="S142" s="75">
        <f t="shared" si="44"/>
        <v>0</v>
      </c>
      <c r="T142" s="47"/>
      <c r="V142" s="57"/>
      <c r="W142" s="45"/>
      <c r="X142" s="46">
        <f t="shared" si="41"/>
        <v>0</v>
      </c>
      <c r="Y142" s="74" t="str">
        <f t="shared" si="42"/>
        <v/>
      </c>
      <c r="Z142" s="49"/>
      <c r="AA142" s="49"/>
      <c r="AB142" s="49"/>
      <c r="AC142" s="47"/>
      <c r="AD142" s="48" t="str">
        <f t="shared" si="45"/>
        <v/>
      </c>
      <c r="AE142" s="48" t="str">
        <f t="shared" si="46"/>
        <v/>
      </c>
      <c r="AF142" s="75" t="str">
        <f t="shared" si="47"/>
        <v/>
      </c>
      <c r="AG142" s="76">
        <f t="shared" si="48"/>
        <v>0</v>
      </c>
      <c r="AH142" s="76">
        <f t="shared" si="49"/>
        <v>0</v>
      </c>
      <c r="AI142" s="75">
        <f t="shared" si="50"/>
        <v>0</v>
      </c>
      <c r="AJ142" s="47"/>
      <c r="AL142" s="47"/>
      <c r="AN142" s="47"/>
      <c r="AO142" s="47" t="str">
        <f t="shared" si="43"/>
        <v/>
      </c>
    </row>
    <row r="143" spans="1:41" s="56" customFormat="1" ht="14">
      <c r="A143" s="44"/>
      <c r="B143" s="45"/>
      <c r="C143" s="46">
        <f t="shared" si="34"/>
        <v>0</v>
      </c>
      <c r="D143" s="47"/>
      <c r="E143" s="47"/>
      <c r="F143" s="47"/>
      <c r="G143" s="47"/>
      <c r="H143" s="48"/>
      <c r="I143" s="74" t="str">
        <f t="shared" si="35"/>
        <v/>
      </c>
      <c r="J143" s="49"/>
      <c r="K143" s="49"/>
      <c r="L143" s="49"/>
      <c r="M143" s="47"/>
      <c r="N143" s="48" t="str">
        <f t="shared" si="36"/>
        <v/>
      </c>
      <c r="O143" s="48" t="str">
        <f t="shared" si="37"/>
        <v/>
      </c>
      <c r="P143" s="75" t="str">
        <f t="shared" si="38"/>
        <v/>
      </c>
      <c r="Q143" s="76">
        <f t="shared" si="39"/>
        <v>0</v>
      </c>
      <c r="R143" s="76">
        <f t="shared" si="40"/>
        <v>0</v>
      </c>
      <c r="S143" s="75">
        <f t="shared" si="44"/>
        <v>0</v>
      </c>
      <c r="T143" s="47"/>
      <c r="V143" s="57"/>
      <c r="W143" s="45"/>
      <c r="X143" s="46">
        <f t="shared" si="41"/>
        <v>0</v>
      </c>
      <c r="Y143" s="74" t="str">
        <f t="shared" si="42"/>
        <v/>
      </c>
      <c r="Z143" s="49"/>
      <c r="AA143" s="49"/>
      <c r="AB143" s="49"/>
      <c r="AC143" s="47"/>
      <c r="AD143" s="48" t="str">
        <f t="shared" si="45"/>
        <v/>
      </c>
      <c r="AE143" s="48" t="str">
        <f t="shared" si="46"/>
        <v/>
      </c>
      <c r="AF143" s="75" t="str">
        <f t="shared" si="47"/>
        <v/>
      </c>
      <c r="AG143" s="76">
        <f t="shared" si="48"/>
        <v>0</v>
      </c>
      <c r="AH143" s="76">
        <f t="shared" si="49"/>
        <v>0</v>
      </c>
      <c r="AI143" s="75">
        <f t="shared" si="50"/>
        <v>0</v>
      </c>
      <c r="AJ143" s="47"/>
      <c r="AL143" s="47"/>
      <c r="AN143" s="47"/>
      <c r="AO143" s="47" t="str">
        <f t="shared" si="43"/>
        <v/>
      </c>
    </row>
    <row r="144" spans="1:41" s="56" customFormat="1" ht="14">
      <c r="A144" s="44"/>
      <c r="B144" s="45"/>
      <c r="C144" s="46">
        <f t="shared" si="34"/>
        <v>0</v>
      </c>
      <c r="D144" s="47"/>
      <c r="E144" s="47"/>
      <c r="F144" s="47"/>
      <c r="G144" s="47"/>
      <c r="H144" s="48"/>
      <c r="I144" s="74" t="str">
        <f t="shared" si="35"/>
        <v/>
      </c>
      <c r="J144" s="49"/>
      <c r="K144" s="49"/>
      <c r="L144" s="49"/>
      <c r="M144" s="47"/>
      <c r="N144" s="48" t="str">
        <f t="shared" si="36"/>
        <v/>
      </c>
      <c r="O144" s="48" t="str">
        <f t="shared" si="37"/>
        <v/>
      </c>
      <c r="P144" s="75" t="str">
        <f t="shared" si="38"/>
        <v/>
      </c>
      <c r="Q144" s="76">
        <f t="shared" si="39"/>
        <v>0</v>
      </c>
      <c r="R144" s="76">
        <f t="shared" si="40"/>
        <v>0</v>
      </c>
      <c r="S144" s="75">
        <f t="shared" si="44"/>
        <v>0</v>
      </c>
      <c r="T144" s="47"/>
      <c r="V144" s="57"/>
      <c r="W144" s="45"/>
      <c r="X144" s="46">
        <f t="shared" si="41"/>
        <v>0</v>
      </c>
      <c r="Y144" s="74" t="str">
        <f t="shared" si="42"/>
        <v/>
      </c>
      <c r="Z144" s="49"/>
      <c r="AA144" s="49"/>
      <c r="AB144" s="49"/>
      <c r="AC144" s="47"/>
      <c r="AD144" s="48" t="str">
        <f t="shared" si="45"/>
        <v/>
      </c>
      <c r="AE144" s="48" t="str">
        <f t="shared" si="46"/>
        <v/>
      </c>
      <c r="AF144" s="75" t="str">
        <f t="shared" si="47"/>
        <v/>
      </c>
      <c r="AG144" s="76">
        <f t="shared" si="48"/>
        <v>0</v>
      </c>
      <c r="AH144" s="76">
        <f t="shared" si="49"/>
        <v>0</v>
      </c>
      <c r="AI144" s="75">
        <f t="shared" si="50"/>
        <v>0</v>
      </c>
      <c r="AJ144" s="47"/>
      <c r="AL144" s="47"/>
      <c r="AN144" s="47"/>
      <c r="AO144" s="47" t="str">
        <f t="shared" si="43"/>
        <v/>
      </c>
    </row>
    <row r="145" spans="1:41" s="56" customFormat="1" ht="14">
      <c r="A145" s="44"/>
      <c r="B145" s="45"/>
      <c r="C145" s="46">
        <f t="shared" si="34"/>
        <v>0</v>
      </c>
      <c r="D145" s="47"/>
      <c r="E145" s="47"/>
      <c r="F145" s="47"/>
      <c r="G145" s="47"/>
      <c r="H145" s="48"/>
      <c r="I145" s="74" t="str">
        <f t="shared" si="35"/>
        <v/>
      </c>
      <c r="J145" s="49"/>
      <c r="K145" s="49"/>
      <c r="L145" s="49"/>
      <c r="M145" s="47"/>
      <c r="N145" s="48" t="str">
        <f t="shared" si="36"/>
        <v/>
      </c>
      <c r="O145" s="48" t="str">
        <f t="shared" si="37"/>
        <v/>
      </c>
      <c r="P145" s="75" t="str">
        <f t="shared" si="38"/>
        <v/>
      </c>
      <c r="Q145" s="76">
        <f t="shared" si="39"/>
        <v>0</v>
      </c>
      <c r="R145" s="76">
        <f t="shared" si="40"/>
        <v>0</v>
      </c>
      <c r="S145" s="75">
        <f t="shared" si="44"/>
        <v>0</v>
      </c>
      <c r="T145" s="47"/>
      <c r="V145" s="57"/>
      <c r="W145" s="45"/>
      <c r="X145" s="46">
        <f t="shared" si="41"/>
        <v>0</v>
      </c>
      <c r="Y145" s="74" t="str">
        <f t="shared" si="42"/>
        <v/>
      </c>
      <c r="Z145" s="49"/>
      <c r="AA145" s="49"/>
      <c r="AB145" s="49"/>
      <c r="AC145" s="47"/>
      <c r="AD145" s="48" t="str">
        <f t="shared" si="45"/>
        <v/>
      </c>
      <c r="AE145" s="48" t="str">
        <f t="shared" si="46"/>
        <v/>
      </c>
      <c r="AF145" s="75" t="str">
        <f t="shared" si="47"/>
        <v/>
      </c>
      <c r="AG145" s="76">
        <f t="shared" si="48"/>
        <v>0</v>
      </c>
      <c r="AH145" s="76">
        <f t="shared" si="49"/>
        <v>0</v>
      </c>
      <c r="AI145" s="75">
        <f t="shared" si="50"/>
        <v>0</v>
      </c>
      <c r="AJ145" s="47"/>
      <c r="AL145" s="47"/>
      <c r="AN145" s="47"/>
      <c r="AO145" s="47" t="str">
        <f t="shared" si="43"/>
        <v/>
      </c>
    </row>
    <row r="146" spans="1:41" s="56" customFormat="1" ht="14">
      <c r="A146" s="44"/>
      <c r="B146" s="45"/>
      <c r="C146" s="46">
        <f t="shared" si="34"/>
        <v>0</v>
      </c>
      <c r="D146" s="47"/>
      <c r="E146" s="47"/>
      <c r="F146" s="47"/>
      <c r="G146" s="47"/>
      <c r="H146" s="48"/>
      <c r="I146" s="74" t="str">
        <f t="shared" si="35"/>
        <v/>
      </c>
      <c r="J146" s="49"/>
      <c r="K146" s="49"/>
      <c r="L146" s="49"/>
      <c r="M146" s="47"/>
      <c r="N146" s="48" t="str">
        <f t="shared" si="36"/>
        <v/>
      </c>
      <c r="O146" s="48" t="str">
        <f t="shared" si="37"/>
        <v/>
      </c>
      <c r="P146" s="75" t="str">
        <f t="shared" si="38"/>
        <v/>
      </c>
      <c r="Q146" s="76">
        <f t="shared" si="39"/>
        <v>0</v>
      </c>
      <c r="R146" s="76">
        <f t="shared" si="40"/>
        <v>0</v>
      </c>
      <c r="S146" s="75">
        <f t="shared" si="44"/>
        <v>0</v>
      </c>
      <c r="T146" s="47"/>
      <c r="V146" s="57"/>
      <c r="W146" s="45"/>
      <c r="X146" s="46">
        <f t="shared" si="41"/>
        <v>0</v>
      </c>
      <c r="Y146" s="74" t="str">
        <f t="shared" si="42"/>
        <v/>
      </c>
      <c r="Z146" s="49"/>
      <c r="AA146" s="49"/>
      <c r="AB146" s="49"/>
      <c r="AC146" s="47"/>
      <c r="AD146" s="48" t="str">
        <f t="shared" si="45"/>
        <v/>
      </c>
      <c r="AE146" s="48" t="str">
        <f t="shared" si="46"/>
        <v/>
      </c>
      <c r="AF146" s="75" t="str">
        <f t="shared" si="47"/>
        <v/>
      </c>
      <c r="AG146" s="76">
        <f t="shared" si="48"/>
        <v>0</v>
      </c>
      <c r="AH146" s="76">
        <f t="shared" si="49"/>
        <v>0</v>
      </c>
      <c r="AI146" s="75">
        <f t="shared" si="50"/>
        <v>0</v>
      </c>
      <c r="AJ146" s="47"/>
      <c r="AL146" s="47"/>
      <c r="AN146" s="47"/>
      <c r="AO146" s="47" t="str">
        <f t="shared" si="43"/>
        <v/>
      </c>
    </row>
    <row r="147" spans="1:41" s="56" customFormat="1" ht="14">
      <c r="A147" s="44"/>
      <c r="B147" s="45"/>
      <c r="C147" s="46">
        <f t="shared" si="34"/>
        <v>0</v>
      </c>
      <c r="D147" s="47"/>
      <c r="E147" s="47"/>
      <c r="F147" s="47"/>
      <c r="G147" s="47"/>
      <c r="H147" s="48"/>
      <c r="I147" s="74" t="str">
        <f t="shared" si="35"/>
        <v/>
      </c>
      <c r="J147" s="49"/>
      <c r="K147" s="49"/>
      <c r="L147" s="49"/>
      <c r="M147" s="47"/>
      <c r="N147" s="48" t="str">
        <f t="shared" si="36"/>
        <v/>
      </c>
      <c r="O147" s="48" t="str">
        <f t="shared" si="37"/>
        <v/>
      </c>
      <c r="P147" s="75" t="str">
        <f t="shared" si="38"/>
        <v/>
      </c>
      <c r="Q147" s="76">
        <f t="shared" si="39"/>
        <v>0</v>
      </c>
      <c r="R147" s="76">
        <f t="shared" si="40"/>
        <v>0</v>
      </c>
      <c r="S147" s="75">
        <f t="shared" si="44"/>
        <v>0</v>
      </c>
      <c r="T147" s="47"/>
      <c r="V147" s="57"/>
      <c r="W147" s="45"/>
      <c r="X147" s="46">
        <f t="shared" si="41"/>
        <v>0</v>
      </c>
      <c r="Y147" s="74" t="str">
        <f t="shared" si="42"/>
        <v/>
      </c>
      <c r="Z147" s="49"/>
      <c r="AA147" s="49"/>
      <c r="AB147" s="49"/>
      <c r="AC147" s="47"/>
      <c r="AD147" s="48" t="str">
        <f t="shared" si="45"/>
        <v/>
      </c>
      <c r="AE147" s="48" t="str">
        <f t="shared" si="46"/>
        <v/>
      </c>
      <c r="AF147" s="75" t="str">
        <f t="shared" si="47"/>
        <v/>
      </c>
      <c r="AG147" s="76">
        <f t="shared" si="48"/>
        <v>0</v>
      </c>
      <c r="AH147" s="76">
        <f t="shared" si="49"/>
        <v>0</v>
      </c>
      <c r="AI147" s="75">
        <f t="shared" si="50"/>
        <v>0</v>
      </c>
      <c r="AJ147" s="47"/>
      <c r="AL147" s="47"/>
      <c r="AN147" s="47"/>
      <c r="AO147" s="47" t="str">
        <f t="shared" si="43"/>
        <v/>
      </c>
    </row>
    <row r="148" spans="1:41" s="56" customFormat="1" ht="14">
      <c r="A148" s="44"/>
      <c r="B148" s="45"/>
      <c r="C148" s="46">
        <f t="shared" si="34"/>
        <v>0</v>
      </c>
      <c r="D148" s="47"/>
      <c r="E148" s="47"/>
      <c r="F148" s="47"/>
      <c r="G148" s="47"/>
      <c r="H148" s="48"/>
      <c r="I148" s="74" t="str">
        <f t="shared" si="35"/>
        <v/>
      </c>
      <c r="J148" s="49"/>
      <c r="K148" s="49"/>
      <c r="L148" s="49"/>
      <c r="M148" s="47"/>
      <c r="N148" s="48" t="str">
        <f t="shared" si="36"/>
        <v/>
      </c>
      <c r="O148" s="48" t="str">
        <f t="shared" si="37"/>
        <v/>
      </c>
      <c r="P148" s="75" t="str">
        <f t="shared" si="38"/>
        <v/>
      </c>
      <c r="Q148" s="76">
        <f t="shared" si="39"/>
        <v>0</v>
      </c>
      <c r="R148" s="76">
        <f t="shared" si="40"/>
        <v>0</v>
      </c>
      <c r="S148" s="75">
        <f t="shared" si="44"/>
        <v>0</v>
      </c>
      <c r="T148" s="47"/>
      <c r="V148" s="57"/>
      <c r="W148" s="45"/>
      <c r="X148" s="46">
        <f t="shared" si="41"/>
        <v>0</v>
      </c>
      <c r="Y148" s="74" t="str">
        <f t="shared" si="42"/>
        <v/>
      </c>
      <c r="Z148" s="49"/>
      <c r="AA148" s="49"/>
      <c r="AB148" s="49"/>
      <c r="AC148" s="47"/>
      <c r="AD148" s="48" t="str">
        <f t="shared" si="45"/>
        <v/>
      </c>
      <c r="AE148" s="48" t="str">
        <f t="shared" si="46"/>
        <v/>
      </c>
      <c r="AF148" s="75" t="str">
        <f t="shared" si="47"/>
        <v/>
      </c>
      <c r="AG148" s="76">
        <f t="shared" si="48"/>
        <v>0</v>
      </c>
      <c r="AH148" s="76">
        <f t="shared" si="49"/>
        <v>0</v>
      </c>
      <c r="AI148" s="75">
        <f t="shared" si="50"/>
        <v>0</v>
      </c>
      <c r="AJ148" s="47"/>
      <c r="AL148" s="47"/>
      <c r="AN148" s="47"/>
      <c r="AO148" s="47" t="str">
        <f t="shared" si="43"/>
        <v/>
      </c>
    </row>
    <row r="149" spans="1:41" s="56" customFormat="1" ht="14">
      <c r="A149" s="44"/>
      <c r="B149" s="45"/>
      <c r="C149" s="46">
        <f t="shared" si="34"/>
        <v>0</v>
      </c>
      <c r="D149" s="47"/>
      <c r="E149" s="47"/>
      <c r="F149" s="47"/>
      <c r="G149" s="47"/>
      <c r="H149" s="48"/>
      <c r="I149" s="74" t="str">
        <f t="shared" si="35"/>
        <v/>
      </c>
      <c r="J149" s="49"/>
      <c r="K149" s="49"/>
      <c r="L149" s="49"/>
      <c r="M149" s="47"/>
      <c r="N149" s="48" t="str">
        <f t="shared" si="36"/>
        <v/>
      </c>
      <c r="O149" s="48" t="str">
        <f t="shared" si="37"/>
        <v/>
      </c>
      <c r="P149" s="75" t="str">
        <f t="shared" si="38"/>
        <v/>
      </c>
      <c r="Q149" s="76">
        <f t="shared" si="39"/>
        <v>0</v>
      </c>
      <c r="R149" s="76">
        <f t="shared" si="40"/>
        <v>0</v>
      </c>
      <c r="S149" s="75">
        <f t="shared" si="44"/>
        <v>0</v>
      </c>
      <c r="T149" s="47"/>
      <c r="V149" s="57"/>
      <c r="W149" s="45"/>
      <c r="X149" s="46">
        <f t="shared" si="41"/>
        <v>0</v>
      </c>
      <c r="Y149" s="74" t="str">
        <f t="shared" si="42"/>
        <v/>
      </c>
      <c r="Z149" s="49"/>
      <c r="AA149" s="49"/>
      <c r="AB149" s="49"/>
      <c r="AC149" s="47"/>
      <c r="AD149" s="48" t="str">
        <f t="shared" si="45"/>
        <v/>
      </c>
      <c r="AE149" s="48" t="str">
        <f t="shared" si="46"/>
        <v/>
      </c>
      <c r="AF149" s="75" t="str">
        <f t="shared" si="47"/>
        <v/>
      </c>
      <c r="AG149" s="76">
        <f t="shared" si="48"/>
        <v>0</v>
      </c>
      <c r="AH149" s="76">
        <f t="shared" si="49"/>
        <v>0</v>
      </c>
      <c r="AI149" s="75">
        <f t="shared" si="50"/>
        <v>0</v>
      </c>
      <c r="AJ149" s="47"/>
      <c r="AL149" s="47"/>
      <c r="AN149" s="47"/>
      <c r="AO149" s="47" t="str">
        <f t="shared" si="43"/>
        <v/>
      </c>
    </row>
    <row r="150" spans="1:41" s="56" customFormat="1" ht="14">
      <c r="A150" s="44"/>
      <c r="B150" s="45"/>
      <c r="C150" s="46">
        <f t="shared" si="34"/>
        <v>0</v>
      </c>
      <c r="D150" s="47"/>
      <c r="E150" s="47"/>
      <c r="F150" s="47"/>
      <c r="G150" s="47"/>
      <c r="H150" s="48"/>
      <c r="I150" s="74" t="str">
        <f t="shared" si="35"/>
        <v/>
      </c>
      <c r="J150" s="49"/>
      <c r="K150" s="49"/>
      <c r="L150" s="49"/>
      <c r="M150" s="47"/>
      <c r="N150" s="48" t="str">
        <f t="shared" si="36"/>
        <v/>
      </c>
      <c r="O150" s="48" t="str">
        <f t="shared" si="37"/>
        <v/>
      </c>
      <c r="P150" s="75" t="str">
        <f t="shared" si="38"/>
        <v/>
      </c>
      <c r="Q150" s="76">
        <f t="shared" si="39"/>
        <v>0</v>
      </c>
      <c r="R150" s="76">
        <f t="shared" si="40"/>
        <v>0</v>
      </c>
      <c r="S150" s="75">
        <f t="shared" si="44"/>
        <v>0</v>
      </c>
      <c r="T150" s="47"/>
      <c r="V150" s="57"/>
      <c r="W150" s="45"/>
      <c r="X150" s="46">
        <f t="shared" si="41"/>
        <v>0</v>
      </c>
      <c r="Y150" s="74" t="str">
        <f t="shared" si="42"/>
        <v/>
      </c>
      <c r="Z150" s="49"/>
      <c r="AA150" s="49"/>
      <c r="AB150" s="49"/>
      <c r="AC150" s="47"/>
      <c r="AD150" s="48" t="str">
        <f t="shared" si="45"/>
        <v/>
      </c>
      <c r="AE150" s="48" t="str">
        <f t="shared" si="46"/>
        <v/>
      </c>
      <c r="AF150" s="75" t="str">
        <f t="shared" si="47"/>
        <v/>
      </c>
      <c r="AG150" s="76">
        <f t="shared" si="48"/>
        <v>0</v>
      </c>
      <c r="AH150" s="76">
        <f t="shared" si="49"/>
        <v>0</v>
      </c>
      <c r="AI150" s="75">
        <f t="shared" si="50"/>
        <v>0</v>
      </c>
      <c r="AJ150" s="47"/>
      <c r="AL150" s="47"/>
      <c r="AN150" s="47"/>
      <c r="AO150" s="47" t="str">
        <f t="shared" si="43"/>
        <v/>
      </c>
    </row>
    <row r="151" spans="1:41" s="56" customFormat="1" ht="14">
      <c r="A151" s="44"/>
      <c r="B151" s="45"/>
      <c r="C151" s="46">
        <f t="shared" si="34"/>
        <v>0</v>
      </c>
      <c r="D151" s="47"/>
      <c r="E151" s="47"/>
      <c r="F151" s="47"/>
      <c r="G151" s="47"/>
      <c r="H151" s="48"/>
      <c r="I151" s="74" t="str">
        <f t="shared" si="35"/>
        <v/>
      </c>
      <c r="J151" s="49"/>
      <c r="K151" s="49"/>
      <c r="L151" s="49"/>
      <c r="M151" s="47"/>
      <c r="N151" s="48" t="str">
        <f t="shared" si="36"/>
        <v/>
      </c>
      <c r="O151" s="48" t="str">
        <f t="shared" si="37"/>
        <v/>
      </c>
      <c r="P151" s="75" t="str">
        <f t="shared" si="38"/>
        <v/>
      </c>
      <c r="Q151" s="76">
        <f t="shared" si="39"/>
        <v>0</v>
      </c>
      <c r="R151" s="76">
        <f t="shared" si="40"/>
        <v>0</v>
      </c>
      <c r="S151" s="75">
        <f t="shared" si="44"/>
        <v>0</v>
      </c>
      <c r="T151" s="47"/>
      <c r="V151" s="57"/>
      <c r="W151" s="45"/>
      <c r="X151" s="46">
        <f t="shared" si="41"/>
        <v>0</v>
      </c>
      <c r="Y151" s="74" t="str">
        <f t="shared" si="42"/>
        <v/>
      </c>
      <c r="Z151" s="49"/>
      <c r="AA151" s="49"/>
      <c r="AB151" s="49"/>
      <c r="AC151" s="47"/>
      <c r="AD151" s="48" t="str">
        <f t="shared" si="45"/>
        <v/>
      </c>
      <c r="AE151" s="48" t="str">
        <f t="shared" si="46"/>
        <v/>
      </c>
      <c r="AF151" s="75" t="str">
        <f t="shared" si="47"/>
        <v/>
      </c>
      <c r="AG151" s="76">
        <f t="shared" si="48"/>
        <v>0</v>
      </c>
      <c r="AH151" s="76">
        <f t="shared" si="49"/>
        <v>0</v>
      </c>
      <c r="AI151" s="75">
        <f t="shared" si="50"/>
        <v>0</v>
      </c>
      <c r="AJ151" s="47"/>
      <c r="AL151" s="47"/>
      <c r="AN151" s="47"/>
      <c r="AO151" s="47" t="str">
        <f t="shared" si="43"/>
        <v/>
      </c>
    </row>
    <row r="152" spans="1:41" s="56" customFormat="1" ht="14">
      <c r="A152" s="44"/>
      <c r="B152" s="45"/>
      <c r="C152" s="46">
        <f t="shared" si="34"/>
        <v>0</v>
      </c>
      <c r="D152" s="47"/>
      <c r="E152" s="47"/>
      <c r="F152" s="47"/>
      <c r="G152" s="47"/>
      <c r="H152" s="48"/>
      <c r="I152" s="74" t="str">
        <f t="shared" si="35"/>
        <v/>
      </c>
      <c r="J152" s="49"/>
      <c r="K152" s="49"/>
      <c r="L152" s="49"/>
      <c r="M152" s="47"/>
      <c r="N152" s="48" t="str">
        <f t="shared" si="36"/>
        <v/>
      </c>
      <c r="O152" s="48" t="str">
        <f t="shared" si="37"/>
        <v/>
      </c>
      <c r="P152" s="75" t="str">
        <f t="shared" si="38"/>
        <v/>
      </c>
      <c r="Q152" s="76">
        <f t="shared" si="39"/>
        <v>0</v>
      </c>
      <c r="R152" s="76">
        <f t="shared" si="40"/>
        <v>0</v>
      </c>
      <c r="S152" s="75">
        <f t="shared" si="44"/>
        <v>0</v>
      </c>
      <c r="T152" s="47"/>
      <c r="V152" s="57"/>
      <c r="W152" s="45"/>
      <c r="X152" s="46">
        <f t="shared" si="41"/>
        <v>0</v>
      </c>
      <c r="Y152" s="74" t="str">
        <f t="shared" si="42"/>
        <v/>
      </c>
      <c r="Z152" s="49"/>
      <c r="AA152" s="49"/>
      <c r="AB152" s="49"/>
      <c r="AC152" s="47"/>
      <c r="AD152" s="48" t="str">
        <f t="shared" si="45"/>
        <v/>
      </c>
      <c r="AE152" s="48" t="str">
        <f t="shared" si="46"/>
        <v/>
      </c>
      <c r="AF152" s="75" t="str">
        <f t="shared" si="47"/>
        <v/>
      </c>
      <c r="AG152" s="76">
        <f t="shared" si="48"/>
        <v>0</v>
      </c>
      <c r="AH152" s="76">
        <f t="shared" si="49"/>
        <v>0</v>
      </c>
      <c r="AI152" s="75">
        <f t="shared" si="50"/>
        <v>0</v>
      </c>
      <c r="AJ152" s="47"/>
      <c r="AL152" s="47"/>
      <c r="AN152" s="47"/>
      <c r="AO152" s="47" t="str">
        <f t="shared" si="43"/>
        <v/>
      </c>
    </row>
    <row r="153" spans="1:41" s="56" customFormat="1" ht="14">
      <c r="A153" s="44"/>
      <c r="B153" s="45"/>
      <c r="C153" s="46">
        <f t="shared" si="34"/>
        <v>0</v>
      </c>
      <c r="D153" s="47"/>
      <c r="E153" s="47"/>
      <c r="F153" s="47"/>
      <c r="G153" s="47"/>
      <c r="H153" s="48"/>
      <c r="I153" s="74" t="str">
        <f t="shared" si="35"/>
        <v/>
      </c>
      <c r="J153" s="49"/>
      <c r="K153" s="49"/>
      <c r="L153" s="49"/>
      <c r="M153" s="47"/>
      <c r="N153" s="48" t="str">
        <f t="shared" si="36"/>
        <v/>
      </c>
      <c r="O153" s="48" t="str">
        <f t="shared" si="37"/>
        <v/>
      </c>
      <c r="P153" s="75" t="str">
        <f t="shared" si="38"/>
        <v/>
      </c>
      <c r="Q153" s="76">
        <f t="shared" si="39"/>
        <v>0</v>
      </c>
      <c r="R153" s="76">
        <f t="shared" si="40"/>
        <v>0</v>
      </c>
      <c r="S153" s="75">
        <f t="shared" si="44"/>
        <v>0</v>
      </c>
      <c r="T153" s="47"/>
      <c r="V153" s="57"/>
      <c r="W153" s="45"/>
      <c r="X153" s="46">
        <f t="shared" si="41"/>
        <v>0</v>
      </c>
      <c r="Y153" s="74" t="str">
        <f t="shared" si="42"/>
        <v/>
      </c>
      <c r="Z153" s="49"/>
      <c r="AA153" s="49"/>
      <c r="AB153" s="49"/>
      <c r="AC153" s="47"/>
      <c r="AD153" s="48" t="str">
        <f t="shared" si="45"/>
        <v/>
      </c>
      <c r="AE153" s="48" t="str">
        <f t="shared" si="46"/>
        <v/>
      </c>
      <c r="AF153" s="75" t="str">
        <f t="shared" si="47"/>
        <v/>
      </c>
      <c r="AG153" s="76">
        <f t="shared" si="48"/>
        <v>0</v>
      </c>
      <c r="AH153" s="76">
        <f t="shared" si="49"/>
        <v>0</v>
      </c>
      <c r="AI153" s="75">
        <f t="shared" si="50"/>
        <v>0</v>
      </c>
      <c r="AJ153" s="47"/>
      <c r="AL153" s="47"/>
      <c r="AN153" s="47"/>
      <c r="AO153" s="47" t="str">
        <f t="shared" si="43"/>
        <v/>
      </c>
    </row>
    <row r="154" spans="1:41" s="56" customFormat="1" ht="14">
      <c r="A154" s="44"/>
      <c r="B154" s="45"/>
      <c r="C154" s="46">
        <f t="shared" si="34"/>
        <v>0</v>
      </c>
      <c r="D154" s="47"/>
      <c r="E154" s="47"/>
      <c r="F154" s="47"/>
      <c r="G154" s="47"/>
      <c r="H154" s="48"/>
      <c r="I154" s="74" t="str">
        <f t="shared" si="35"/>
        <v/>
      </c>
      <c r="J154" s="49"/>
      <c r="K154" s="49"/>
      <c r="L154" s="49"/>
      <c r="M154" s="47"/>
      <c r="N154" s="48" t="str">
        <f t="shared" si="36"/>
        <v/>
      </c>
      <c r="O154" s="48" t="str">
        <f t="shared" si="37"/>
        <v/>
      </c>
      <c r="P154" s="75" t="str">
        <f t="shared" si="38"/>
        <v/>
      </c>
      <c r="Q154" s="76">
        <f t="shared" si="39"/>
        <v>0</v>
      </c>
      <c r="R154" s="76">
        <f t="shared" si="40"/>
        <v>0</v>
      </c>
      <c r="S154" s="75">
        <f t="shared" si="44"/>
        <v>0</v>
      </c>
      <c r="T154" s="47"/>
      <c r="V154" s="57"/>
      <c r="W154" s="45"/>
      <c r="X154" s="46">
        <f t="shared" si="41"/>
        <v>0</v>
      </c>
      <c r="Y154" s="74" t="str">
        <f t="shared" si="42"/>
        <v/>
      </c>
      <c r="Z154" s="49"/>
      <c r="AA154" s="49"/>
      <c r="AB154" s="49"/>
      <c r="AC154" s="47"/>
      <c r="AD154" s="48" t="str">
        <f t="shared" si="45"/>
        <v/>
      </c>
      <c r="AE154" s="48" t="str">
        <f t="shared" si="46"/>
        <v/>
      </c>
      <c r="AF154" s="75" t="str">
        <f t="shared" si="47"/>
        <v/>
      </c>
      <c r="AG154" s="76">
        <f t="shared" si="48"/>
        <v>0</v>
      </c>
      <c r="AH154" s="76">
        <f t="shared" si="49"/>
        <v>0</v>
      </c>
      <c r="AI154" s="75">
        <f t="shared" si="50"/>
        <v>0</v>
      </c>
      <c r="AJ154" s="47"/>
      <c r="AL154" s="47"/>
      <c r="AN154" s="47"/>
      <c r="AO154" s="47" t="str">
        <f t="shared" si="43"/>
        <v/>
      </c>
    </row>
    <row r="155" spans="1:41" s="56" customFormat="1" ht="14">
      <c r="A155" s="44"/>
      <c r="B155" s="45"/>
      <c r="C155" s="46">
        <f t="shared" si="34"/>
        <v>0</v>
      </c>
      <c r="D155" s="47"/>
      <c r="E155" s="47"/>
      <c r="F155" s="47"/>
      <c r="G155" s="47"/>
      <c r="H155" s="48"/>
      <c r="I155" s="74" t="str">
        <f t="shared" si="35"/>
        <v/>
      </c>
      <c r="J155" s="49"/>
      <c r="K155" s="49"/>
      <c r="L155" s="49"/>
      <c r="M155" s="47"/>
      <c r="N155" s="48" t="str">
        <f t="shared" si="36"/>
        <v/>
      </c>
      <c r="O155" s="48" t="str">
        <f t="shared" si="37"/>
        <v/>
      </c>
      <c r="P155" s="75" t="str">
        <f t="shared" si="38"/>
        <v/>
      </c>
      <c r="Q155" s="76">
        <f t="shared" si="39"/>
        <v>0</v>
      </c>
      <c r="R155" s="76">
        <f t="shared" si="40"/>
        <v>0</v>
      </c>
      <c r="S155" s="75">
        <f t="shared" si="44"/>
        <v>0</v>
      </c>
      <c r="T155" s="47"/>
      <c r="V155" s="57"/>
      <c r="W155" s="45"/>
      <c r="X155" s="46">
        <f t="shared" si="41"/>
        <v>0</v>
      </c>
      <c r="Y155" s="74" t="str">
        <f t="shared" si="42"/>
        <v/>
      </c>
      <c r="Z155" s="49"/>
      <c r="AA155" s="49"/>
      <c r="AB155" s="49"/>
      <c r="AC155" s="47"/>
      <c r="AD155" s="48" t="str">
        <f t="shared" si="45"/>
        <v/>
      </c>
      <c r="AE155" s="48" t="str">
        <f t="shared" si="46"/>
        <v/>
      </c>
      <c r="AF155" s="75" t="str">
        <f t="shared" si="47"/>
        <v/>
      </c>
      <c r="AG155" s="76">
        <f t="shared" si="48"/>
        <v>0</v>
      </c>
      <c r="AH155" s="76">
        <f t="shared" si="49"/>
        <v>0</v>
      </c>
      <c r="AI155" s="75">
        <f t="shared" si="50"/>
        <v>0</v>
      </c>
      <c r="AJ155" s="47"/>
      <c r="AL155" s="47"/>
      <c r="AN155" s="47"/>
      <c r="AO155" s="47" t="str">
        <f t="shared" si="43"/>
        <v/>
      </c>
    </row>
    <row r="156" spans="1:41" s="56" customFormat="1" ht="14">
      <c r="A156" s="44"/>
      <c r="B156" s="45"/>
      <c r="C156" s="46">
        <f t="shared" si="34"/>
        <v>0</v>
      </c>
      <c r="D156" s="47"/>
      <c r="E156" s="47"/>
      <c r="F156" s="47"/>
      <c r="G156" s="47"/>
      <c r="H156" s="48"/>
      <c r="I156" s="74" t="str">
        <f t="shared" si="35"/>
        <v/>
      </c>
      <c r="J156" s="49"/>
      <c r="K156" s="49"/>
      <c r="L156" s="49"/>
      <c r="M156" s="47"/>
      <c r="N156" s="48" t="str">
        <f t="shared" si="36"/>
        <v/>
      </c>
      <c r="O156" s="48" t="str">
        <f t="shared" si="37"/>
        <v/>
      </c>
      <c r="P156" s="75" t="str">
        <f t="shared" si="38"/>
        <v/>
      </c>
      <c r="Q156" s="76">
        <f t="shared" si="39"/>
        <v>0</v>
      </c>
      <c r="R156" s="76">
        <f t="shared" si="40"/>
        <v>0</v>
      </c>
      <c r="S156" s="75">
        <f t="shared" si="44"/>
        <v>0</v>
      </c>
      <c r="T156" s="47"/>
      <c r="V156" s="57"/>
      <c r="W156" s="45"/>
      <c r="X156" s="46">
        <f t="shared" si="41"/>
        <v>0</v>
      </c>
      <c r="Y156" s="74" t="str">
        <f t="shared" si="42"/>
        <v/>
      </c>
      <c r="Z156" s="49"/>
      <c r="AA156" s="49"/>
      <c r="AB156" s="49"/>
      <c r="AC156" s="47"/>
      <c r="AD156" s="48" t="str">
        <f t="shared" si="45"/>
        <v/>
      </c>
      <c r="AE156" s="48" t="str">
        <f t="shared" si="46"/>
        <v/>
      </c>
      <c r="AF156" s="75" t="str">
        <f t="shared" si="47"/>
        <v/>
      </c>
      <c r="AG156" s="76">
        <f t="shared" si="48"/>
        <v>0</v>
      </c>
      <c r="AH156" s="76">
        <f t="shared" si="49"/>
        <v>0</v>
      </c>
      <c r="AI156" s="75">
        <f t="shared" si="50"/>
        <v>0</v>
      </c>
      <c r="AJ156" s="47"/>
      <c r="AL156" s="47"/>
      <c r="AN156" s="47"/>
      <c r="AO156" s="47" t="str">
        <f t="shared" si="43"/>
        <v/>
      </c>
    </row>
    <row r="157" spans="1:41" s="56" customFormat="1" ht="14">
      <c r="A157" s="44"/>
      <c r="B157" s="45"/>
      <c r="C157" s="46">
        <f t="shared" si="34"/>
        <v>0</v>
      </c>
      <c r="D157" s="47"/>
      <c r="E157" s="47"/>
      <c r="F157" s="47"/>
      <c r="G157" s="47"/>
      <c r="H157" s="48"/>
      <c r="I157" s="74" t="str">
        <f t="shared" si="35"/>
        <v/>
      </c>
      <c r="J157" s="49"/>
      <c r="K157" s="49"/>
      <c r="L157" s="49"/>
      <c r="M157" s="47"/>
      <c r="N157" s="48" t="str">
        <f t="shared" si="36"/>
        <v/>
      </c>
      <c r="O157" s="48" t="str">
        <f t="shared" si="37"/>
        <v/>
      </c>
      <c r="P157" s="75" t="str">
        <f t="shared" si="38"/>
        <v/>
      </c>
      <c r="Q157" s="76">
        <f t="shared" si="39"/>
        <v>0</v>
      </c>
      <c r="R157" s="76">
        <f t="shared" si="40"/>
        <v>0</v>
      </c>
      <c r="S157" s="75">
        <f t="shared" si="44"/>
        <v>0</v>
      </c>
      <c r="T157" s="47"/>
      <c r="V157" s="57"/>
      <c r="W157" s="45"/>
      <c r="X157" s="46">
        <f t="shared" si="41"/>
        <v>0</v>
      </c>
      <c r="Y157" s="74" t="str">
        <f t="shared" si="42"/>
        <v/>
      </c>
      <c r="Z157" s="49"/>
      <c r="AA157" s="49"/>
      <c r="AB157" s="49"/>
      <c r="AC157" s="47"/>
      <c r="AD157" s="48" t="str">
        <f t="shared" si="45"/>
        <v/>
      </c>
      <c r="AE157" s="48" t="str">
        <f t="shared" si="46"/>
        <v/>
      </c>
      <c r="AF157" s="75" t="str">
        <f t="shared" si="47"/>
        <v/>
      </c>
      <c r="AG157" s="76">
        <f t="shared" si="48"/>
        <v>0</v>
      </c>
      <c r="AH157" s="76">
        <f t="shared" si="49"/>
        <v>0</v>
      </c>
      <c r="AI157" s="75">
        <f t="shared" si="50"/>
        <v>0</v>
      </c>
      <c r="AJ157" s="47"/>
      <c r="AL157" s="47"/>
      <c r="AN157" s="47"/>
      <c r="AO157" s="47" t="str">
        <f t="shared" si="43"/>
        <v/>
      </c>
    </row>
    <row r="158" spans="1:41" s="56" customFormat="1" ht="14">
      <c r="A158" s="44"/>
      <c r="B158" s="45"/>
      <c r="C158" s="46">
        <f t="shared" si="34"/>
        <v>0</v>
      </c>
      <c r="D158" s="47"/>
      <c r="E158" s="47"/>
      <c r="F158" s="47"/>
      <c r="G158" s="47"/>
      <c r="H158" s="48"/>
      <c r="I158" s="74" t="str">
        <f t="shared" si="35"/>
        <v/>
      </c>
      <c r="J158" s="49"/>
      <c r="K158" s="49"/>
      <c r="L158" s="49"/>
      <c r="M158" s="47"/>
      <c r="N158" s="48" t="str">
        <f t="shared" si="36"/>
        <v/>
      </c>
      <c r="O158" s="48" t="str">
        <f t="shared" si="37"/>
        <v/>
      </c>
      <c r="P158" s="75" t="str">
        <f t="shared" si="38"/>
        <v/>
      </c>
      <c r="Q158" s="76">
        <f t="shared" si="39"/>
        <v>0</v>
      </c>
      <c r="R158" s="76">
        <f t="shared" si="40"/>
        <v>0</v>
      </c>
      <c r="S158" s="75">
        <f t="shared" si="44"/>
        <v>0</v>
      </c>
      <c r="T158" s="47"/>
      <c r="V158" s="57"/>
      <c r="W158" s="45"/>
      <c r="X158" s="46">
        <f t="shared" si="41"/>
        <v>0</v>
      </c>
      <c r="Y158" s="74" t="str">
        <f t="shared" si="42"/>
        <v/>
      </c>
      <c r="Z158" s="49"/>
      <c r="AA158" s="49"/>
      <c r="AB158" s="49"/>
      <c r="AC158" s="47"/>
      <c r="AD158" s="48" t="str">
        <f t="shared" si="45"/>
        <v/>
      </c>
      <c r="AE158" s="48" t="str">
        <f t="shared" si="46"/>
        <v/>
      </c>
      <c r="AF158" s="75" t="str">
        <f t="shared" si="47"/>
        <v/>
      </c>
      <c r="AG158" s="76">
        <f t="shared" si="48"/>
        <v>0</v>
      </c>
      <c r="AH158" s="76">
        <f t="shared" si="49"/>
        <v>0</v>
      </c>
      <c r="AI158" s="75">
        <f t="shared" si="50"/>
        <v>0</v>
      </c>
      <c r="AJ158" s="47"/>
      <c r="AL158" s="47"/>
      <c r="AN158" s="47"/>
      <c r="AO158" s="47" t="str">
        <f t="shared" si="43"/>
        <v/>
      </c>
    </row>
    <row r="159" spans="1:41" s="56" customFormat="1" ht="14">
      <c r="A159" s="44"/>
      <c r="B159" s="45"/>
      <c r="C159" s="46">
        <f t="shared" si="34"/>
        <v>0</v>
      </c>
      <c r="D159" s="47"/>
      <c r="E159" s="47"/>
      <c r="F159" s="47"/>
      <c r="G159" s="47"/>
      <c r="H159" s="48"/>
      <c r="I159" s="74" t="str">
        <f t="shared" si="35"/>
        <v/>
      </c>
      <c r="J159" s="49"/>
      <c r="K159" s="49"/>
      <c r="L159" s="49"/>
      <c r="M159" s="47"/>
      <c r="N159" s="48" t="str">
        <f t="shared" si="36"/>
        <v/>
      </c>
      <c r="O159" s="48" t="str">
        <f t="shared" si="37"/>
        <v/>
      </c>
      <c r="P159" s="75" t="str">
        <f t="shared" si="38"/>
        <v/>
      </c>
      <c r="Q159" s="76">
        <f t="shared" si="39"/>
        <v>0</v>
      </c>
      <c r="R159" s="76">
        <f t="shared" si="40"/>
        <v>0</v>
      </c>
      <c r="S159" s="75">
        <f t="shared" si="44"/>
        <v>0</v>
      </c>
      <c r="T159" s="47"/>
      <c r="V159" s="57"/>
      <c r="W159" s="45"/>
      <c r="X159" s="46">
        <f t="shared" si="41"/>
        <v>0</v>
      </c>
      <c r="Y159" s="74" t="str">
        <f t="shared" si="42"/>
        <v/>
      </c>
      <c r="Z159" s="49"/>
      <c r="AA159" s="49"/>
      <c r="AB159" s="49"/>
      <c r="AC159" s="47"/>
      <c r="AD159" s="48" t="str">
        <f t="shared" si="45"/>
        <v/>
      </c>
      <c r="AE159" s="48" t="str">
        <f t="shared" si="46"/>
        <v/>
      </c>
      <c r="AF159" s="75" t="str">
        <f t="shared" si="47"/>
        <v/>
      </c>
      <c r="AG159" s="76">
        <f t="shared" si="48"/>
        <v>0</v>
      </c>
      <c r="AH159" s="76">
        <f t="shared" si="49"/>
        <v>0</v>
      </c>
      <c r="AI159" s="75">
        <f t="shared" si="50"/>
        <v>0</v>
      </c>
      <c r="AJ159" s="47"/>
      <c r="AL159" s="47"/>
      <c r="AN159" s="47"/>
      <c r="AO159" s="47" t="str">
        <f t="shared" si="43"/>
        <v/>
      </c>
    </row>
    <row r="160" spans="1:41" s="56" customFormat="1" ht="14">
      <c r="A160" s="44"/>
      <c r="B160" s="45"/>
      <c r="C160" s="46">
        <f t="shared" si="34"/>
        <v>0</v>
      </c>
      <c r="D160" s="47"/>
      <c r="E160" s="47"/>
      <c r="F160" s="47"/>
      <c r="G160" s="47"/>
      <c r="H160" s="48"/>
      <c r="I160" s="74" t="str">
        <f t="shared" si="35"/>
        <v/>
      </c>
      <c r="J160" s="49"/>
      <c r="K160" s="49"/>
      <c r="L160" s="49"/>
      <c r="M160" s="47"/>
      <c r="N160" s="48" t="str">
        <f t="shared" si="36"/>
        <v/>
      </c>
      <c r="O160" s="48" t="str">
        <f t="shared" si="37"/>
        <v/>
      </c>
      <c r="P160" s="75" t="str">
        <f t="shared" si="38"/>
        <v/>
      </c>
      <c r="Q160" s="76">
        <f t="shared" si="39"/>
        <v>0</v>
      </c>
      <c r="R160" s="76">
        <f t="shared" si="40"/>
        <v>0</v>
      </c>
      <c r="S160" s="75">
        <f t="shared" si="44"/>
        <v>0</v>
      </c>
      <c r="T160" s="47"/>
      <c r="V160" s="57"/>
      <c r="W160" s="45"/>
      <c r="X160" s="46">
        <f t="shared" si="41"/>
        <v>0</v>
      </c>
      <c r="Y160" s="74" t="str">
        <f t="shared" si="42"/>
        <v/>
      </c>
      <c r="Z160" s="49"/>
      <c r="AA160" s="49"/>
      <c r="AB160" s="49"/>
      <c r="AC160" s="47"/>
      <c r="AD160" s="48" t="str">
        <f t="shared" si="45"/>
        <v/>
      </c>
      <c r="AE160" s="48" t="str">
        <f t="shared" si="46"/>
        <v/>
      </c>
      <c r="AF160" s="75" t="str">
        <f t="shared" si="47"/>
        <v/>
      </c>
      <c r="AG160" s="76">
        <f t="shared" si="48"/>
        <v>0</v>
      </c>
      <c r="AH160" s="76">
        <f t="shared" si="49"/>
        <v>0</v>
      </c>
      <c r="AI160" s="75">
        <f t="shared" si="50"/>
        <v>0</v>
      </c>
      <c r="AJ160" s="47"/>
      <c r="AL160" s="47"/>
      <c r="AN160" s="47"/>
      <c r="AO160" s="47" t="str">
        <f t="shared" si="43"/>
        <v/>
      </c>
    </row>
    <row r="161" spans="1:41" s="56" customFormat="1" ht="14">
      <c r="A161" s="44"/>
      <c r="B161" s="45"/>
      <c r="C161" s="46">
        <f t="shared" si="34"/>
        <v>0</v>
      </c>
      <c r="D161" s="47"/>
      <c r="E161" s="47"/>
      <c r="F161" s="47"/>
      <c r="G161" s="47"/>
      <c r="H161" s="48"/>
      <c r="I161" s="74" t="str">
        <f t="shared" si="35"/>
        <v/>
      </c>
      <c r="J161" s="49"/>
      <c r="K161" s="49"/>
      <c r="L161" s="49"/>
      <c r="M161" s="47"/>
      <c r="N161" s="48" t="str">
        <f t="shared" si="36"/>
        <v/>
      </c>
      <c r="O161" s="48" t="str">
        <f t="shared" si="37"/>
        <v/>
      </c>
      <c r="P161" s="75" t="str">
        <f t="shared" si="38"/>
        <v/>
      </c>
      <c r="Q161" s="76">
        <f t="shared" si="39"/>
        <v>0</v>
      </c>
      <c r="R161" s="76">
        <f t="shared" si="40"/>
        <v>0</v>
      </c>
      <c r="S161" s="75">
        <f t="shared" si="44"/>
        <v>0</v>
      </c>
      <c r="T161" s="47"/>
      <c r="V161" s="57"/>
      <c r="W161" s="45"/>
      <c r="X161" s="46">
        <f t="shared" si="41"/>
        <v>0</v>
      </c>
      <c r="Y161" s="74" t="str">
        <f t="shared" si="42"/>
        <v/>
      </c>
      <c r="Z161" s="49"/>
      <c r="AA161" s="49"/>
      <c r="AB161" s="49"/>
      <c r="AC161" s="47"/>
      <c r="AD161" s="48" t="str">
        <f t="shared" si="45"/>
        <v/>
      </c>
      <c r="AE161" s="48" t="str">
        <f t="shared" si="46"/>
        <v/>
      </c>
      <c r="AF161" s="75" t="str">
        <f t="shared" si="47"/>
        <v/>
      </c>
      <c r="AG161" s="76">
        <f t="shared" si="48"/>
        <v>0</v>
      </c>
      <c r="AH161" s="76">
        <f t="shared" si="49"/>
        <v>0</v>
      </c>
      <c r="AI161" s="75">
        <f t="shared" si="50"/>
        <v>0</v>
      </c>
      <c r="AJ161" s="47"/>
      <c r="AL161" s="47"/>
      <c r="AN161" s="47"/>
      <c r="AO161" s="47" t="str">
        <f t="shared" si="43"/>
        <v/>
      </c>
    </row>
    <row r="162" spans="1:41" s="56" customFormat="1" ht="14">
      <c r="A162" s="44"/>
      <c r="B162" s="45"/>
      <c r="C162" s="46">
        <f t="shared" si="34"/>
        <v>0</v>
      </c>
      <c r="D162" s="47"/>
      <c r="E162" s="47"/>
      <c r="F162" s="47"/>
      <c r="G162" s="47"/>
      <c r="H162" s="48"/>
      <c r="I162" s="74" t="str">
        <f t="shared" si="35"/>
        <v/>
      </c>
      <c r="J162" s="49"/>
      <c r="K162" s="49"/>
      <c r="L162" s="49"/>
      <c r="M162" s="47"/>
      <c r="N162" s="48" t="str">
        <f t="shared" si="36"/>
        <v/>
      </c>
      <c r="O162" s="48" t="str">
        <f t="shared" si="37"/>
        <v/>
      </c>
      <c r="P162" s="75" t="str">
        <f t="shared" si="38"/>
        <v/>
      </c>
      <c r="Q162" s="76">
        <f t="shared" si="39"/>
        <v>0</v>
      </c>
      <c r="R162" s="76">
        <f t="shared" si="40"/>
        <v>0</v>
      </c>
      <c r="S162" s="75">
        <f t="shared" si="44"/>
        <v>0</v>
      </c>
      <c r="T162" s="47"/>
      <c r="V162" s="57"/>
      <c r="W162" s="45"/>
      <c r="X162" s="46">
        <f t="shared" si="41"/>
        <v>0</v>
      </c>
      <c r="Y162" s="74" t="str">
        <f t="shared" si="42"/>
        <v/>
      </c>
      <c r="Z162" s="49"/>
      <c r="AA162" s="49"/>
      <c r="AB162" s="49"/>
      <c r="AC162" s="47"/>
      <c r="AD162" s="48" t="str">
        <f t="shared" si="45"/>
        <v/>
      </c>
      <c r="AE162" s="48" t="str">
        <f t="shared" si="46"/>
        <v/>
      </c>
      <c r="AF162" s="75" t="str">
        <f t="shared" si="47"/>
        <v/>
      </c>
      <c r="AG162" s="76">
        <f t="shared" si="48"/>
        <v>0</v>
      </c>
      <c r="AH162" s="76">
        <f t="shared" si="49"/>
        <v>0</v>
      </c>
      <c r="AI162" s="75">
        <f t="shared" si="50"/>
        <v>0</v>
      </c>
      <c r="AJ162" s="47"/>
      <c r="AL162" s="47"/>
      <c r="AN162" s="47"/>
      <c r="AO162" s="47" t="str">
        <f t="shared" si="43"/>
        <v/>
      </c>
    </row>
    <row r="163" spans="1:41" s="56" customFormat="1" ht="14">
      <c r="A163" s="44"/>
      <c r="B163" s="45"/>
      <c r="C163" s="46">
        <f t="shared" si="34"/>
        <v>0</v>
      </c>
      <c r="D163" s="47"/>
      <c r="E163" s="47"/>
      <c r="F163" s="47"/>
      <c r="G163" s="47"/>
      <c r="H163" s="48"/>
      <c r="I163" s="74" t="str">
        <f t="shared" si="35"/>
        <v/>
      </c>
      <c r="J163" s="49"/>
      <c r="K163" s="49"/>
      <c r="L163" s="49"/>
      <c r="M163" s="47"/>
      <c r="N163" s="48" t="str">
        <f t="shared" si="36"/>
        <v/>
      </c>
      <c r="O163" s="48" t="str">
        <f t="shared" si="37"/>
        <v/>
      </c>
      <c r="P163" s="75" t="str">
        <f t="shared" si="38"/>
        <v/>
      </c>
      <c r="Q163" s="76">
        <f t="shared" si="39"/>
        <v>0</v>
      </c>
      <c r="R163" s="76">
        <f t="shared" si="40"/>
        <v>0</v>
      </c>
      <c r="S163" s="75">
        <f t="shared" si="44"/>
        <v>0</v>
      </c>
      <c r="T163" s="47"/>
      <c r="V163" s="57"/>
      <c r="W163" s="45"/>
      <c r="X163" s="46">
        <f t="shared" si="41"/>
        <v>0</v>
      </c>
      <c r="Y163" s="74" t="str">
        <f t="shared" si="42"/>
        <v/>
      </c>
      <c r="Z163" s="49"/>
      <c r="AA163" s="49"/>
      <c r="AB163" s="49"/>
      <c r="AC163" s="47"/>
      <c r="AD163" s="48" t="str">
        <f t="shared" si="45"/>
        <v/>
      </c>
      <c r="AE163" s="48" t="str">
        <f t="shared" si="46"/>
        <v/>
      </c>
      <c r="AF163" s="75" t="str">
        <f t="shared" si="47"/>
        <v/>
      </c>
      <c r="AG163" s="76">
        <f t="shared" si="48"/>
        <v>0</v>
      </c>
      <c r="AH163" s="76">
        <f t="shared" si="49"/>
        <v>0</v>
      </c>
      <c r="AI163" s="75">
        <f t="shared" si="50"/>
        <v>0</v>
      </c>
      <c r="AJ163" s="47"/>
      <c r="AL163" s="47"/>
      <c r="AN163" s="47"/>
      <c r="AO163" s="47" t="str">
        <f t="shared" si="43"/>
        <v/>
      </c>
    </row>
    <row r="164" spans="1:41" s="56" customFormat="1" ht="14">
      <c r="A164" s="44"/>
      <c r="B164" s="45"/>
      <c r="C164" s="46">
        <f t="shared" si="34"/>
        <v>0</v>
      </c>
      <c r="D164" s="47"/>
      <c r="E164" s="47"/>
      <c r="F164" s="47"/>
      <c r="G164" s="47"/>
      <c r="H164" s="48"/>
      <c r="I164" s="74" t="str">
        <f t="shared" si="35"/>
        <v/>
      </c>
      <c r="J164" s="49"/>
      <c r="K164" s="49"/>
      <c r="L164" s="49"/>
      <c r="M164" s="47"/>
      <c r="N164" s="48" t="str">
        <f t="shared" si="36"/>
        <v/>
      </c>
      <c r="O164" s="48" t="str">
        <f t="shared" si="37"/>
        <v/>
      </c>
      <c r="P164" s="75" t="str">
        <f t="shared" si="38"/>
        <v/>
      </c>
      <c r="Q164" s="76">
        <f t="shared" si="39"/>
        <v>0</v>
      </c>
      <c r="R164" s="76">
        <f t="shared" si="40"/>
        <v>0</v>
      </c>
      <c r="S164" s="75">
        <f t="shared" si="44"/>
        <v>0</v>
      </c>
      <c r="T164" s="47"/>
      <c r="V164" s="57"/>
      <c r="W164" s="45"/>
      <c r="X164" s="46">
        <f t="shared" si="41"/>
        <v>0</v>
      </c>
      <c r="Y164" s="74" t="str">
        <f t="shared" si="42"/>
        <v/>
      </c>
      <c r="Z164" s="49"/>
      <c r="AA164" s="49"/>
      <c r="AB164" s="49"/>
      <c r="AC164" s="47"/>
      <c r="AD164" s="48" t="str">
        <f t="shared" si="45"/>
        <v/>
      </c>
      <c r="AE164" s="48" t="str">
        <f t="shared" si="46"/>
        <v/>
      </c>
      <c r="AF164" s="75" t="str">
        <f t="shared" si="47"/>
        <v/>
      </c>
      <c r="AG164" s="76">
        <f t="shared" si="48"/>
        <v>0</v>
      </c>
      <c r="AH164" s="76">
        <f t="shared" si="49"/>
        <v>0</v>
      </c>
      <c r="AI164" s="75">
        <f t="shared" si="50"/>
        <v>0</v>
      </c>
      <c r="AJ164" s="47"/>
      <c r="AL164" s="47"/>
      <c r="AN164" s="47"/>
      <c r="AO164" s="47" t="str">
        <f t="shared" si="43"/>
        <v/>
      </c>
    </row>
    <row r="165" spans="1:41" s="56" customFormat="1" ht="14">
      <c r="A165" s="44"/>
      <c r="B165" s="45"/>
      <c r="C165" s="46">
        <f t="shared" si="34"/>
        <v>0</v>
      </c>
      <c r="D165" s="47"/>
      <c r="E165" s="47"/>
      <c r="F165" s="47"/>
      <c r="G165" s="47"/>
      <c r="H165" s="48"/>
      <c r="I165" s="74" t="str">
        <f t="shared" si="35"/>
        <v/>
      </c>
      <c r="J165" s="49"/>
      <c r="K165" s="49"/>
      <c r="L165" s="49"/>
      <c r="M165" s="47"/>
      <c r="N165" s="48" t="str">
        <f t="shared" si="36"/>
        <v/>
      </c>
      <c r="O165" s="48" t="str">
        <f t="shared" si="37"/>
        <v/>
      </c>
      <c r="P165" s="75" t="str">
        <f t="shared" si="38"/>
        <v/>
      </c>
      <c r="Q165" s="76">
        <f t="shared" si="39"/>
        <v>0</v>
      </c>
      <c r="R165" s="76">
        <f t="shared" si="40"/>
        <v>0</v>
      </c>
      <c r="S165" s="75">
        <f t="shared" si="44"/>
        <v>0</v>
      </c>
      <c r="T165" s="47"/>
      <c r="V165" s="57"/>
      <c r="W165" s="45"/>
      <c r="X165" s="46">
        <f t="shared" si="41"/>
        <v>0</v>
      </c>
      <c r="Y165" s="74" t="str">
        <f t="shared" si="42"/>
        <v/>
      </c>
      <c r="Z165" s="49"/>
      <c r="AA165" s="49"/>
      <c r="AB165" s="49"/>
      <c r="AC165" s="47"/>
      <c r="AD165" s="48" t="str">
        <f t="shared" si="45"/>
        <v/>
      </c>
      <c r="AE165" s="48" t="str">
        <f t="shared" si="46"/>
        <v/>
      </c>
      <c r="AF165" s="75" t="str">
        <f t="shared" si="47"/>
        <v/>
      </c>
      <c r="AG165" s="76">
        <f t="shared" si="48"/>
        <v>0</v>
      </c>
      <c r="AH165" s="76">
        <f t="shared" si="49"/>
        <v>0</v>
      </c>
      <c r="AI165" s="75">
        <f t="shared" si="50"/>
        <v>0</v>
      </c>
      <c r="AJ165" s="47"/>
      <c r="AL165" s="47"/>
      <c r="AN165" s="47"/>
      <c r="AO165" s="47" t="str">
        <f t="shared" si="43"/>
        <v/>
      </c>
    </row>
    <row r="166" spans="1:41" s="56" customFormat="1" ht="14">
      <c r="A166" s="44"/>
      <c r="B166" s="45"/>
      <c r="C166" s="46">
        <f t="shared" si="34"/>
        <v>0</v>
      </c>
      <c r="D166" s="47"/>
      <c r="E166" s="47"/>
      <c r="F166" s="47"/>
      <c r="G166" s="47"/>
      <c r="H166" s="48"/>
      <c r="I166" s="74" t="str">
        <f t="shared" si="35"/>
        <v/>
      </c>
      <c r="J166" s="49"/>
      <c r="K166" s="49"/>
      <c r="L166" s="49"/>
      <c r="M166" s="47"/>
      <c r="N166" s="48" t="str">
        <f t="shared" si="36"/>
        <v/>
      </c>
      <c r="O166" s="48" t="str">
        <f t="shared" si="37"/>
        <v/>
      </c>
      <c r="P166" s="75" t="str">
        <f t="shared" si="38"/>
        <v/>
      </c>
      <c r="Q166" s="76">
        <f t="shared" si="39"/>
        <v>0</v>
      </c>
      <c r="R166" s="76">
        <f t="shared" si="40"/>
        <v>0</v>
      </c>
      <c r="S166" s="75">
        <f t="shared" si="44"/>
        <v>0</v>
      </c>
      <c r="T166" s="47"/>
      <c r="V166" s="57"/>
      <c r="W166" s="45"/>
      <c r="X166" s="46">
        <f t="shared" si="41"/>
        <v>0</v>
      </c>
      <c r="Y166" s="74" t="str">
        <f t="shared" si="42"/>
        <v/>
      </c>
      <c r="Z166" s="49"/>
      <c r="AA166" s="49"/>
      <c r="AB166" s="49"/>
      <c r="AC166" s="47"/>
      <c r="AD166" s="48" t="str">
        <f t="shared" si="45"/>
        <v/>
      </c>
      <c r="AE166" s="48" t="str">
        <f t="shared" si="46"/>
        <v/>
      </c>
      <c r="AF166" s="75" t="str">
        <f t="shared" si="47"/>
        <v/>
      </c>
      <c r="AG166" s="76">
        <f t="shared" si="48"/>
        <v>0</v>
      </c>
      <c r="AH166" s="76">
        <f t="shared" si="49"/>
        <v>0</v>
      </c>
      <c r="AI166" s="75">
        <f t="shared" si="50"/>
        <v>0</v>
      </c>
      <c r="AJ166" s="47"/>
      <c r="AL166" s="47"/>
      <c r="AN166" s="47"/>
      <c r="AO166" s="47" t="str">
        <f t="shared" si="43"/>
        <v/>
      </c>
    </row>
    <row r="167" spans="1:41" s="56" customFormat="1" ht="14">
      <c r="A167" s="44"/>
      <c r="B167" s="45"/>
      <c r="C167" s="46">
        <f t="shared" si="34"/>
        <v>0</v>
      </c>
      <c r="D167" s="47"/>
      <c r="E167" s="47"/>
      <c r="F167" s="47"/>
      <c r="G167" s="47"/>
      <c r="H167" s="48"/>
      <c r="I167" s="74" t="str">
        <f t="shared" si="35"/>
        <v/>
      </c>
      <c r="J167" s="49"/>
      <c r="K167" s="49"/>
      <c r="L167" s="49"/>
      <c r="M167" s="47"/>
      <c r="N167" s="48" t="str">
        <f t="shared" si="36"/>
        <v/>
      </c>
      <c r="O167" s="48" t="str">
        <f t="shared" si="37"/>
        <v/>
      </c>
      <c r="P167" s="75" t="str">
        <f t="shared" si="38"/>
        <v/>
      </c>
      <c r="Q167" s="76">
        <f t="shared" si="39"/>
        <v>0</v>
      </c>
      <c r="R167" s="76">
        <f t="shared" si="40"/>
        <v>0</v>
      </c>
      <c r="S167" s="75">
        <f t="shared" si="44"/>
        <v>0</v>
      </c>
      <c r="T167" s="47"/>
      <c r="V167" s="57"/>
      <c r="W167" s="45"/>
      <c r="X167" s="46">
        <f t="shared" si="41"/>
        <v>0</v>
      </c>
      <c r="Y167" s="74" t="str">
        <f t="shared" si="42"/>
        <v/>
      </c>
      <c r="Z167" s="49"/>
      <c r="AA167" s="49"/>
      <c r="AB167" s="49"/>
      <c r="AC167" s="47"/>
      <c r="AD167" s="48" t="str">
        <f t="shared" si="45"/>
        <v/>
      </c>
      <c r="AE167" s="48" t="str">
        <f t="shared" si="46"/>
        <v/>
      </c>
      <c r="AF167" s="75" t="str">
        <f t="shared" si="47"/>
        <v/>
      </c>
      <c r="AG167" s="76">
        <f t="shared" si="48"/>
        <v>0</v>
      </c>
      <c r="AH167" s="76">
        <f t="shared" si="49"/>
        <v>0</v>
      </c>
      <c r="AI167" s="75">
        <f t="shared" si="50"/>
        <v>0</v>
      </c>
      <c r="AJ167" s="47"/>
      <c r="AL167" s="47"/>
      <c r="AN167" s="47"/>
      <c r="AO167" s="47" t="str">
        <f t="shared" si="43"/>
        <v/>
      </c>
    </row>
    <row r="168" spans="1:41" s="56" customFormat="1" ht="14">
      <c r="A168" s="44"/>
      <c r="B168" s="45"/>
      <c r="C168" s="46">
        <f t="shared" si="34"/>
        <v>0</v>
      </c>
      <c r="D168" s="47"/>
      <c r="E168" s="47"/>
      <c r="F168" s="47"/>
      <c r="G168" s="47"/>
      <c r="H168" s="48"/>
      <c r="I168" s="74" t="str">
        <f t="shared" si="35"/>
        <v/>
      </c>
      <c r="J168" s="49"/>
      <c r="K168" s="49"/>
      <c r="L168" s="49"/>
      <c r="M168" s="47"/>
      <c r="N168" s="48" t="str">
        <f t="shared" si="36"/>
        <v/>
      </c>
      <c r="O168" s="48" t="str">
        <f t="shared" si="37"/>
        <v/>
      </c>
      <c r="P168" s="75" t="str">
        <f t="shared" si="38"/>
        <v/>
      </c>
      <c r="Q168" s="76">
        <f t="shared" si="39"/>
        <v>0</v>
      </c>
      <c r="R168" s="76">
        <f t="shared" si="40"/>
        <v>0</v>
      </c>
      <c r="S168" s="75">
        <f t="shared" si="44"/>
        <v>0</v>
      </c>
      <c r="T168" s="47"/>
      <c r="V168" s="57"/>
      <c r="W168" s="45"/>
      <c r="X168" s="46">
        <f t="shared" si="41"/>
        <v>0</v>
      </c>
      <c r="Y168" s="74" t="str">
        <f t="shared" si="42"/>
        <v/>
      </c>
      <c r="Z168" s="49"/>
      <c r="AA168" s="49"/>
      <c r="AB168" s="49"/>
      <c r="AC168" s="47"/>
      <c r="AD168" s="48" t="str">
        <f t="shared" si="45"/>
        <v/>
      </c>
      <c r="AE168" s="48" t="str">
        <f t="shared" si="46"/>
        <v/>
      </c>
      <c r="AF168" s="75" t="str">
        <f t="shared" si="47"/>
        <v/>
      </c>
      <c r="AG168" s="76">
        <f t="shared" si="48"/>
        <v>0</v>
      </c>
      <c r="AH168" s="76">
        <f t="shared" si="49"/>
        <v>0</v>
      </c>
      <c r="AI168" s="75">
        <f t="shared" si="50"/>
        <v>0</v>
      </c>
      <c r="AJ168" s="47"/>
      <c r="AL168" s="47"/>
      <c r="AN168" s="47"/>
      <c r="AO168" s="47" t="str">
        <f t="shared" si="43"/>
        <v/>
      </c>
    </row>
    <row r="169" spans="1:41" s="56" customFormat="1" ht="14">
      <c r="A169" s="44"/>
      <c r="B169" s="45"/>
      <c r="C169" s="46">
        <f t="shared" si="34"/>
        <v>0</v>
      </c>
      <c r="D169" s="47"/>
      <c r="E169" s="47"/>
      <c r="F169" s="47"/>
      <c r="G169" s="47"/>
      <c r="H169" s="48"/>
      <c r="I169" s="74" t="str">
        <f t="shared" si="35"/>
        <v/>
      </c>
      <c r="J169" s="49"/>
      <c r="K169" s="49"/>
      <c r="L169" s="49"/>
      <c r="M169" s="47"/>
      <c r="N169" s="48" t="str">
        <f t="shared" si="36"/>
        <v/>
      </c>
      <c r="O169" s="48" t="str">
        <f t="shared" si="37"/>
        <v/>
      </c>
      <c r="P169" s="75" t="str">
        <f t="shared" si="38"/>
        <v/>
      </c>
      <c r="Q169" s="76">
        <f t="shared" si="39"/>
        <v>0</v>
      </c>
      <c r="R169" s="76">
        <f t="shared" si="40"/>
        <v>0</v>
      </c>
      <c r="S169" s="75">
        <f t="shared" si="44"/>
        <v>0</v>
      </c>
      <c r="T169" s="47"/>
      <c r="V169" s="57"/>
      <c r="W169" s="45"/>
      <c r="X169" s="46">
        <f t="shared" si="41"/>
        <v>0</v>
      </c>
      <c r="Y169" s="74" t="str">
        <f t="shared" si="42"/>
        <v/>
      </c>
      <c r="Z169" s="49"/>
      <c r="AA169" s="49"/>
      <c r="AB169" s="49"/>
      <c r="AC169" s="47"/>
      <c r="AD169" s="48" t="str">
        <f t="shared" si="45"/>
        <v/>
      </c>
      <c r="AE169" s="48" t="str">
        <f t="shared" si="46"/>
        <v/>
      </c>
      <c r="AF169" s="75" t="str">
        <f t="shared" si="47"/>
        <v/>
      </c>
      <c r="AG169" s="76">
        <f t="shared" si="48"/>
        <v>0</v>
      </c>
      <c r="AH169" s="76">
        <f t="shared" si="49"/>
        <v>0</v>
      </c>
      <c r="AI169" s="75">
        <f t="shared" si="50"/>
        <v>0</v>
      </c>
      <c r="AJ169" s="47"/>
      <c r="AL169" s="47"/>
      <c r="AN169" s="47"/>
      <c r="AO169" s="47" t="str">
        <f t="shared" si="43"/>
        <v/>
      </c>
    </row>
    <row r="170" spans="1:41" s="56" customFormat="1" ht="14">
      <c r="A170" s="44"/>
      <c r="B170" s="45"/>
      <c r="C170" s="46">
        <f t="shared" si="34"/>
        <v>0</v>
      </c>
      <c r="D170" s="47"/>
      <c r="E170" s="47"/>
      <c r="F170" s="47"/>
      <c r="G170" s="47"/>
      <c r="H170" s="48"/>
      <c r="I170" s="74" t="str">
        <f t="shared" si="35"/>
        <v/>
      </c>
      <c r="J170" s="49"/>
      <c r="K170" s="49"/>
      <c r="L170" s="49"/>
      <c r="M170" s="47"/>
      <c r="N170" s="48" t="str">
        <f t="shared" si="36"/>
        <v/>
      </c>
      <c r="O170" s="48" t="str">
        <f t="shared" si="37"/>
        <v/>
      </c>
      <c r="P170" s="75" t="str">
        <f t="shared" si="38"/>
        <v/>
      </c>
      <c r="Q170" s="76">
        <f t="shared" si="39"/>
        <v>0</v>
      </c>
      <c r="R170" s="76">
        <f t="shared" si="40"/>
        <v>0</v>
      </c>
      <c r="S170" s="75">
        <f t="shared" si="44"/>
        <v>0</v>
      </c>
      <c r="T170" s="47"/>
      <c r="V170" s="57"/>
      <c r="W170" s="45"/>
      <c r="X170" s="46">
        <f t="shared" si="41"/>
        <v>0</v>
      </c>
      <c r="Y170" s="74" t="str">
        <f t="shared" si="42"/>
        <v/>
      </c>
      <c r="Z170" s="49"/>
      <c r="AA170" s="49"/>
      <c r="AB170" s="49"/>
      <c r="AC170" s="47"/>
      <c r="AD170" s="48" t="str">
        <f t="shared" si="45"/>
        <v/>
      </c>
      <c r="AE170" s="48" t="str">
        <f t="shared" si="46"/>
        <v/>
      </c>
      <c r="AF170" s="75" t="str">
        <f t="shared" si="47"/>
        <v/>
      </c>
      <c r="AG170" s="76">
        <f t="shared" si="48"/>
        <v>0</v>
      </c>
      <c r="AH170" s="76">
        <f t="shared" si="49"/>
        <v>0</v>
      </c>
      <c r="AI170" s="75">
        <f t="shared" si="50"/>
        <v>0</v>
      </c>
      <c r="AJ170" s="47"/>
      <c r="AL170" s="47"/>
      <c r="AN170" s="47"/>
      <c r="AO170" s="47" t="str">
        <f t="shared" si="43"/>
        <v/>
      </c>
    </row>
    <row r="171" spans="1:41" s="56" customFormat="1" ht="14">
      <c r="A171" s="44"/>
      <c r="B171" s="45"/>
      <c r="C171" s="46">
        <f t="shared" si="34"/>
        <v>0</v>
      </c>
      <c r="D171" s="47"/>
      <c r="E171" s="47"/>
      <c r="F171" s="47"/>
      <c r="G171" s="47"/>
      <c r="H171" s="48"/>
      <c r="I171" s="74" t="str">
        <f t="shared" si="35"/>
        <v/>
      </c>
      <c r="J171" s="49"/>
      <c r="K171" s="49"/>
      <c r="L171" s="49"/>
      <c r="M171" s="47"/>
      <c r="N171" s="48" t="str">
        <f t="shared" si="36"/>
        <v/>
      </c>
      <c r="O171" s="48" t="str">
        <f t="shared" si="37"/>
        <v/>
      </c>
      <c r="P171" s="75" t="str">
        <f t="shared" si="38"/>
        <v/>
      </c>
      <c r="Q171" s="76">
        <f t="shared" si="39"/>
        <v>0</v>
      </c>
      <c r="R171" s="76">
        <f t="shared" si="40"/>
        <v>0</v>
      </c>
      <c r="S171" s="75">
        <f t="shared" si="44"/>
        <v>0</v>
      </c>
      <c r="T171" s="47"/>
      <c r="V171" s="57"/>
      <c r="W171" s="45"/>
      <c r="X171" s="46">
        <f t="shared" si="41"/>
        <v>0</v>
      </c>
      <c r="Y171" s="74" t="str">
        <f t="shared" si="42"/>
        <v/>
      </c>
      <c r="Z171" s="49"/>
      <c r="AA171" s="49"/>
      <c r="AB171" s="49"/>
      <c r="AC171" s="47"/>
      <c r="AD171" s="48" t="str">
        <f t="shared" si="45"/>
        <v/>
      </c>
      <c r="AE171" s="48" t="str">
        <f t="shared" si="46"/>
        <v/>
      </c>
      <c r="AF171" s="75" t="str">
        <f t="shared" si="47"/>
        <v/>
      </c>
      <c r="AG171" s="76">
        <f t="shared" si="48"/>
        <v>0</v>
      </c>
      <c r="AH171" s="76">
        <f t="shared" si="49"/>
        <v>0</v>
      </c>
      <c r="AI171" s="75">
        <f t="shared" si="50"/>
        <v>0</v>
      </c>
      <c r="AJ171" s="47"/>
      <c r="AL171" s="47"/>
      <c r="AN171" s="47"/>
      <c r="AO171" s="47" t="str">
        <f t="shared" si="43"/>
        <v/>
      </c>
    </row>
    <row r="172" spans="1:41" s="56" customFormat="1" ht="14">
      <c r="A172" s="44"/>
      <c r="B172" s="45"/>
      <c r="C172" s="46">
        <f t="shared" si="34"/>
        <v>0</v>
      </c>
      <c r="D172" s="47"/>
      <c r="E172" s="47"/>
      <c r="F172" s="47"/>
      <c r="G172" s="47"/>
      <c r="H172" s="48"/>
      <c r="I172" s="74" t="str">
        <f t="shared" si="35"/>
        <v/>
      </c>
      <c r="J172" s="49"/>
      <c r="K172" s="49"/>
      <c r="L172" s="49"/>
      <c r="M172" s="47"/>
      <c r="N172" s="48" t="str">
        <f t="shared" si="36"/>
        <v/>
      </c>
      <c r="O172" s="48" t="str">
        <f t="shared" si="37"/>
        <v/>
      </c>
      <c r="P172" s="75" t="str">
        <f t="shared" si="38"/>
        <v/>
      </c>
      <c r="Q172" s="76">
        <f t="shared" si="39"/>
        <v>0</v>
      </c>
      <c r="R172" s="76">
        <f t="shared" si="40"/>
        <v>0</v>
      </c>
      <c r="S172" s="75">
        <f t="shared" si="44"/>
        <v>0</v>
      </c>
      <c r="T172" s="47"/>
      <c r="V172" s="57"/>
      <c r="W172" s="45"/>
      <c r="X172" s="46">
        <f t="shared" si="41"/>
        <v>0</v>
      </c>
      <c r="Y172" s="74" t="str">
        <f t="shared" si="42"/>
        <v/>
      </c>
      <c r="Z172" s="49"/>
      <c r="AA172" s="49"/>
      <c r="AB172" s="49"/>
      <c r="AC172" s="47"/>
      <c r="AD172" s="48" t="str">
        <f t="shared" si="45"/>
        <v/>
      </c>
      <c r="AE172" s="48" t="str">
        <f t="shared" si="46"/>
        <v/>
      </c>
      <c r="AF172" s="75" t="str">
        <f t="shared" si="47"/>
        <v/>
      </c>
      <c r="AG172" s="76">
        <f t="shared" si="48"/>
        <v>0</v>
      </c>
      <c r="AH172" s="76">
        <f t="shared" si="49"/>
        <v>0</v>
      </c>
      <c r="AI172" s="75">
        <f t="shared" si="50"/>
        <v>0</v>
      </c>
      <c r="AJ172" s="47"/>
      <c r="AL172" s="47"/>
      <c r="AN172" s="47"/>
      <c r="AO172" s="47" t="str">
        <f t="shared" si="43"/>
        <v/>
      </c>
    </row>
    <row r="173" spans="1:41" s="56" customFormat="1" ht="14">
      <c r="A173" s="44"/>
      <c r="B173" s="45"/>
      <c r="C173" s="46">
        <f t="shared" si="34"/>
        <v>0</v>
      </c>
      <c r="D173" s="47"/>
      <c r="E173" s="47"/>
      <c r="F173" s="47"/>
      <c r="G173" s="47"/>
      <c r="H173" s="48"/>
      <c r="I173" s="74" t="str">
        <f t="shared" si="35"/>
        <v/>
      </c>
      <c r="J173" s="49"/>
      <c r="K173" s="49"/>
      <c r="L173" s="49"/>
      <c r="M173" s="47"/>
      <c r="N173" s="48" t="str">
        <f t="shared" si="36"/>
        <v/>
      </c>
      <c r="O173" s="48" t="str">
        <f t="shared" si="37"/>
        <v/>
      </c>
      <c r="P173" s="75" t="str">
        <f t="shared" si="38"/>
        <v/>
      </c>
      <c r="Q173" s="76">
        <f t="shared" si="39"/>
        <v>0</v>
      </c>
      <c r="R173" s="76">
        <f t="shared" si="40"/>
        <v>0</v>
      </c>
      <c r="S173" s="75">
        <f t="shared" si="44"/>
        <v>0</v>
      </c>
      <c r="T173" s="47"/>
      <c r="V173" s="57"/>
      <c r="W173" s="45"/>
      <c r="X173" s="46">
        <f t="shared" si="41"/>
        <v>0</v>
      </c>
      <c r="Y173" s="74" t="str">
        <f t="shared" si="42"/>
        <v/>
      </c>
      <c r="Z173" s="49"/>
      <c r="AA173" s="49"/>
      <c r="AB173" s="49"/>
      <c r="AC173" s="47"/>
      <c r="AD173" s="48" t="str">
        <f t="shared" si="45"/>
        <v/>
      </c>
      <c r="AE173" s="48" t="str">
        <f t="shared" si="46"/>
        <v/>
      </c>
      <c r="AF173" s="75" t="str">
        <f t="shared" si="47"/>
        <v/>
      </c>
      <c r="AG173" s="76">
        <f t="shared" si="48"/>
        <v>0</v>
      </c>
      <c r="AH173" s="76">
        <f t="shared" si="49"/>
        <v>0</v>
      </c>
      <c r="AI173" s="75">
        <f t="shared" si="50"/>
        <v>0</v>
      </c>
      <c r="AJ173" s="47"/>
      <c r="AL173" s="47"/>
      <c r="AN173" s="47"/>
      <c r="AO173" s="47" t="str">
        <f t="shared" si="43"/>
        <v/>
      </c>
    </row>
    <row r="174" spans="1:41" s="56" customFormat="1" ht="14">
      <c r="A174" s="44"/>
      <c r="B174" s="45"/>
      <c r="C174" s="46">
        <f t="shared" si="34"/>
        <v>0</v>
      </c>
      <c r="D174" s="47"/>
      <c r="E174" s="47"/>
      <c r="F174" s="47"/>
      <c r="G174" s="47"/>
      <c r="H174" s="48"/>
      <c r="I174" s="74" t="str">
        <f t="shared" si="35"/>
        <v/>
      </c>
      <c r="J174" s="49"/>
      <c r="K174" s="49"/>
      <c r="L174" s="49"/>
      <c r="M174" s="47"/>
      <c r="N174" s="48" t="str">
        <f t="shared" si="36"/>
        <v/>
      </c>
      <c r="O174" s="48" t="str">
        <f t="shared" si="37"/>
        <v/>
      </c>
      <c r="P174" s="75" t="str">
        <f t="shared" si="38"/>
        <v/>
      </c>
      <c r="Q174" s="76">
        <f t="shared" si="39"/>
        <v>0</v>
      </c>
      <c r="R174" s="76">
        <f t="shared" si="40"/>
        <v>0</v>
      </c>
      <c r="S174" s="75">
        <f t="shared" si="44"/>
        <v>0</v>
      </c>
      <c r="T174" s="47"/>
      <c r="V174" s="57"/>
      <c r="W174" s="45"/>
      <c r="X174" s="46">
        <f t="shared" si="41"/>
        <v>0</v>
      </c>
      <c r="Y174" s="74" t="str">
        <f t="shared" si="42"/>
        <v/>
      </c>
      <c r="Z174" s="49"/>
      <c r="AA174" s="49"/>
      <c r="AB174" s="49"/>
      <c r="AC174" s="47"/>
      <c r="AD174" s="48" t="str">
        <f t="shared" si="45"/>
        <v/>
      </c>
      <c r="AE174" s="48" t="str">
        <f t="shared" si="46"/>
        <v/>
      </c>
      <c r="AF174" s="75" t="str">
        <f t="shared" si="47"/>
        <v/>
      </c>
      <c r="AG174" s="76">
        <f t="shared" si="48"/>
        <v>0</v>
      </c>
      <c r="AH174" s="76">
        <f t="shared" si="49"/>
        <v>0</v>
      </c>
      <c r="AI174" s="75">
        <f t="shared" si="50"/>
        <v>0</v>
      </c>
      <c r="AJ174" s="47"/>
      <c r="AL174" s="47"/>
      <c r="AN174" s="47"/>
      <c r="AO174" s="47" t="str">
        <f t="shared" si="43"/>
        <v/>
      </c>
    </row>
    <row r="175" spans="1:41" s="56" customFormat="1" ht="14">
      <c r="A175" s="44"/>
      <c r="B175" s="45"/>
      <c r="C175" s="46">
        <f t="shared" si="34"/>
        <v>0</v>
      </c>
      <c r="D175" s="47"/>
      <c r="E175" s="47"/>
      <c r="F175" s="47"/>
      <c r="G175" s="47"/>
      <c r="H175" s="48"/>
      <c r="I175" s="74" t="str">
        <f t="shared" si="35"/>
        <v/>
      </c>
      <c r="J175" s="49"/>
      <c r="K175" s="49"/>
      <c r="L175" s="49"/>
      <c r="M175" s="47"/>
      <c r="N175" s="48" t="str">
        <f t="shared" si="36"/>
        <v/>
      </c>
      <c r="O175" s="48" t="str">
        <f t="shared" si="37"/>
        <v/>
      </c>
      <c r="P175" s="75" t="str">
        <f t="shared" si="38"/>
        <v/>
      </c>
      <c r="Q175" s="76">
        <f t="shared" si="39"/>
        <v>0</v>
      </c>
      <c r="R175" s="76">
        <f t="shared" si="40"/>
        <v>0</v>
      </c>
      <c r="S175" s="75">
        <f t="shared" si="44"/>
        <v>0</v>
      </c>
      <c r="T175" s="47"/>
      <c r="V175" s="57"/>
      <c r="W175" s="45"/>
      <c r="X175" s="46">
        <f t="shared" si="41"/>
        <v>0</v>
      </c>
      <c r="Y175" s="74" t="str">
        <f t="shared" si="42"/>
        <v/>
      </c>
      <c r="Z175" s="49"/>
      <c r="AA175" s="49"/>
      <c r="AB175" s="49"/>
      <c r="AC175" s="47"/>
      <c r="AD175" s="48" t="str">
        <f t="shared" si="45"/>
        <v/>
      </c>
      <c r="AE175" s="48" t="str">
        <f t="shared" si="46"/>
        <v/>
      </c>
      <c r="AF175" s="75" t="str">
        <f t="shared" si="47"/>
        <v/>
      </c>
      <c r="AG175" s="76">
        <f t="shared" si="48"/>
        <v>0</v>
      </c>
      <c r="AH175" s="76">
        <f t="shared" si="49"/>
        <v>0</v>
      </c>
      <c r="AI175" s="75">
        <f t="shared" si="50"/>
        <v>0</v>
      </c>
      <c r="AJ175" s="47"/>
      <c r="AL175" s="47"/>
      <c r="AN175" s="47"/>
      <c r="AO175" s="47" t="str">
        <f t="shared" si="43"/>
        <v/>
      </c>
    </row>
    <row r="176" spans="1:41" s="56" customFormat="1" ht="14">
      <c r="A176" s="44"/>
      <c r="B176" s="45"/>
      <c r="C176" s="46">
        <f t="shared" si="34"/>
        <v>0</v>
      </c>
      <c r="D176" s="47"/>
      <c r="E176" s="47"/>
      <c r="F176" s="47"/>
      <c r="G176" s="47"/>
      <c r="H176" s="48"/>
      <c r="I176" s="74" t="str">
        <f t="shared" si="35"/>
        <v/>
      </c>
      <c r="J176" s="49"/>
      <c r="K176" s="49"/>
      <c r="L176" s="49"/>
      <c r="M176" s="47"/>
      <c r="N176" s="48" t="str">
        <f t="shared" si="36"/>
        <v/>
      </c>
      <c r="O176" s="48" t="str">
        <f t="shared" si="37"/>
        <v/>
      </c>
      <c r="P176" s="75" t="str">
        <f t="shared" si="38"/>
        <v/>
      </c>
      <c r="Q176" s="76">
        <f t="shared" si="39"/>
        <v>0</v>
      </c>
      <c r="R176" s="76">
        <f t="shared" si="40"/>
        <v>0</v>
      </c>
      <c r="S176" s="75">
        <f t="shared" si="44"/>
        <v>0</v>
      </c>
      <c r="T176" s="47"/>
      <c r="V176" s="57"/>
      <c r="W176" s="45"/>
      <c r="X176" s="46">
        <f t="shared" si="41"/>
        <v>0</v>
      </c>
      <c r="Y176" s="74" t="str">
        <f t="shared" si="42"/>
        <v/>
      </c>
      <c r="Z176" s="49"/>
      <c r="AA176" s="49"/>
      <c r="AB176" s="49"/>
      <c r="AC176" s="47"/>
      <c r="AD176" s="48" t="str">
        <f t="shared" si="45"/>
        <v/>
      </c>
      <c r="AE176" s="48" t="str">
        <f t="shared" si="46"/>
        <v/>
      </c>
      <c r="AF176" s="75" t="str">
        <f t="shared" si="47"/>
        <v/>
      </c>
      <c r="AG176" s="76">
        <f t="shared" si="48"/>
        <v>0</v>
      </c>
      <c r="AH176" s="76">
        <f t="shared" si="49"/>
        <v>0</v>
      </c>
      <c r="AI176" s="75">
        <f t="shared" si="50"/>
        <v>0</v>
      </c>
      <c r="AJ176" s="47"/>
      <c r="AL176" s="47"/>
      <c r="AN176" s="47"/>
      <c r="AO176" s="47" t="str">
        <f t="shared" si="43"/>
        <v/>
      </c>
    </row>
    <row r="177" spans="1:41" s="56" customFormat="1" ht="14">
      <c r="A177" s="44"/>
      <c r="B177" s="45"/>
      <c r="C177" s="46">
        <f t="shared" si="34"/>
        <v>0</v>
      </c>
      <c r="D177" s="47"/>
      <c r="E177" s="47"/>
      <c r="F177" s="47"/>
      <c r="G177" s="47"/>
      <c r="H177" s="48"/>
      <c r="I177" s="74" t="str">
        <f t="shared" si="35"/>
        <v/>
      </c>
      <c r="J177" s="49"/>
      <c r="K177" s="49"/>
      <c r="L177" s="49"/>
      <c r="M177" s="47"/>
      <c r="N177" s="48" t="str">
        <f t="shared" si="36"/>
        <v/>
      </c>
      <c r="O177" s="48" t="str">
        <f t="shared" si="37"/>
        <v/>
      </c>
      <c r="P177" s="75" t="str">
        <f t="shared" si="38"/>
        <v/>
      </c>
      <c r="Q177" s="76">
        <f t="shared" si="39"/>
        <v>0</v>
      </c>
      <c r="R177" s="76">
        <f t="shared" si="40"/>
        <v>0</v>
      </c>
      <c r="S177" s="75">
        <f t="shared" si="44"/>
        <v>0</v>
      </c>
      <c r="T177" s="47"/>
      <c r="V177" s="57"/>
      <c r="W177" s="45"/>
      <c r="X177" s="46">
        <f t="shared" si="41"/>
        <v>0</v>
      </c>
      <c r="Y177" s="74" t="str">
        <f t="shared" si="42"/>
        <v/>
      </c>
      <c r="Z177" s="49"/>
      <c r="AA177" s="49"/>
      <c r="AB177" s="49"/>
      <c r="AC177" s="47"/>
      <c r="AD177" s="48" t="str">
        <f t="shared" si="45"/>
        <v/>
      </c>
      <c r="AE177" s="48" t="str">
        <f t="shared" si="46"/>
        <v/>
      </c>
      <c r="AF177" s="75" t="str">
        <f t="shared" si="47"/>
        <v/>
      </c>
      <c r="AG177" s="76">
        <f t="shared" si="48"/>
        <v>0</v>
      </c>
      <c r="AH177" s="76">
        <f t="shared" si="49"/>
        <v>0</v>
      </c>
      <c r="AI177" s="75">
        <f t="shared" si="50"/>
        <v>0</v>
      </c>
      <c r="AJ177" s="47"/>
      <c r="AL177" s="47"/>
      <c r="AN177" s="47"/>
      <c r="AO177" s="47" t="str">
        <f t="shared" si="43"/>
        <v/>
      </c>
    </row>
    <row r="178" spans="1:41" s="56" customFormat="1" ht="14">
      <c r="A178" s="44"/>
      <c r="B178" s="45"/>
      <c r="C178" s="46">
        <f t="shared" si="34"/>
        <v>0</v>
      </c>
      <c r="D178" s="47"/>
      <c r="E178" s="47"/>
      <c r="F178" s="47"/>
      <c r="G178" s="47"/>
      <c r="H178" s="48"/>
      <c r="I178" s="74" t="str">
        <f t="shared" si="35"/>
        <v/>
      </c>
      <c r="J178" s="49"/>
      <c r="K178" s="49"/>
      <c r="L178" s="49"/>
      <c r="M178" s="47"/>
      <c r="N178" s="48" t="str">
        <f t="shared" si="36"/>
        <v/>
      </c>
      <c r="O178" s="48" t="str">
        <f t="shared" si="37"/>
        <v/>
      </c>
      <c r="P178" s="75" t="str">
        <f t="shared" si="38"/>
        <v/>
      </c>
      <c r="Q178" s="76">
        <f t="shared" si="39"/>
        <v>0</v>
      </c>
      <c r="R178" s="76">
        <f t="shared" si="40"/>
        <v>0</v>
      </c>
      <c r="S178" s="75">
        <f t="shared" si="44"/>
        <v>0</v>
      </c>
      <c r="T178" s="47"/>
      <c r="V178" s="57"/>
      <c r="W178" s="45"/>
      <c r="X178" s="46">
        <f t="shared" si="41"/>
        <v>0</v>
      </c>
      <c r="Y178" s="74" t="str">
        <f t="shared" si="42"/>
        <v/>
      </c>
      <c r="Z178" s="49"/>
      <c r="AA178" s="49"/>
      <c r="AB178" s="49"/>
      <c r="AC178" s="47"/>
      <c r="AD178" s="48" t="str">
        <f t="shared" si="45"/>
        <v/>
      </c>
      <c r="AE178" s="48" t="str">
        <f t="shared" si="46"/>
        <v/>
      </c>
      <c r="AF178" s="75" t="str">
        <f t="shared" si="47"/>
        <v/>
      </c>
      <c r="AG178" s="76">
        <f t="shared" si="48"/>
        <v>0</v>
      </c>
      <c r="AH178" s="76">
        <f t="shared" si="49"/>
        <v>0</v>
      </c>
      <c r="AI178" s="75">
        <f t="shared" si="50"/>
        <v>0</v>
      </c>
      <c r="AJ178" s="47"/>
      <c r="AL178" s="47"/>
      <c r="AN178" s="47"/>
      <c r="AO178" s="47" t="str">
        <f t="shared" si="43"/>
        <v/>
      </c>
    </row>
    <row r="179" spans="1:41" s="56" customFormat="1" ht="14">
      <c r="A179" s="44"/>
      <c r="B179" s="45"/>
      <c r="C179" s="46">
        <f t="shared" si="34"/>
        <v>0</v>
      </c>
      <c r="D179" s="47"/>
      <c r="E179" s="47"/>
      <c r="F179" s="47"/>
      <c r="G179" s="47"/>
      <c r="H179" s="48"/>
      <c r="I179" s="74" t="str">
        <f t="shared" si="35"/>
        <v/>
      </c>
      <c r="J179" s="49"/>
      <c r="K179" s="49"/>
      <c r="L179" s="49"/>
      <c r="M179" s="47"/>
      <c r="N179" s="48" t="str">
        <f t="shared" si="36"/>
        <v/>
      </c>
      <c r="O179" s="48" t="str">
        <f t="shared" si="37"/>
        <v/>
      </c>
      <c r="P179" s="75" t="str">
        <f t="shared" si="38"/>
        <v/>
      </c>
      <c r="Q179" s="76">
        <f t="shared" si="39"/>
        <v>0</v>
      </c>
      <c r="R179" s="76">
        <f t="shared" si="40"/>
        <v>0</v>
      </c>
      <c r="S179" s="75">
        <f t="shared" si="44"/>
        <v>0</v>
      </c>
      <c r="T179" s="47"/>
      <c r="V179" s="57"/>
      <c r="W179" s="45"/>
      <c r="X179" s="46">
        <f t="shared" si="41"/>
        <v>0</v>
      </c>
      <c r="Y179" s="74" t="str">
        <f t="shared" si="42"/>
        <v/>
      </c>
      <c r="Z179" s="49"/>
      <c r="AA179" s="49"/>
      <c r="AB179" s="49"/>
      <c r="AC179" s="47"/>
      <c r="AD179" s="48" t="str">
        <f t="shared" si="45"/>
        <v/>
      </c>
      <c r="AE179" s="48" t="str">
        <f t="shared" si="46"/>
        <v/>
      </c>
      <c r="AF179" s="75" t="str">
        <f t="shared" si="47"/>
        <v/>
      </c>
      <c r="AG179" s="76">
        <f t="shared" si="48"/>
        <v>0</v>
      </c>
      <c r="AH179" s="76">
        <f t="shared" si="49"/>
        <v>0</v>
      </c>
      <c r="AI179" s="75">
        <f t="shared" si="50"/>
        <v>0</v>
      </c>
      <c r="AJ179" s="47"/>
      <c r="AL179" s="47"/>
      <c r="AN179" s="47"/>
      <c r="AO179" s="47" t="str">
        <f t="shared" si="43"/>
        <v/>
      </c>
    </row>
    <row r="180" spans="1:41" s="56" customFormat="1" ht="14">
      <c r="A180" s="44"/>
      <c r="B180" s="45"/>
      <c r="C180" s="46">
        <f t="shared" si="34"/>
        <v>0</v>
      </c>
      <c r="D180" s="47"/>
      <c r="E180" s="47"/>
      <c r="F180" s="47"/>
      <c r="G180" s="47"/>
      <c r="H180" s="48"/>
      <c r="I180" s="74" t="str">
        <f t="shared" si="35"/>
        <v/>
      </c>
      <c r="J180" s="49"/>
      <c r="K180" s="49"/>
      <c r="L180" s="49"/>
      <c r="M180" s="47"/>
      <c r="N180" s="48" t="str">
        <f t="shared" si="36"/>
        <v/>
      </c>
      <c r="O180" s="48" t="str">
        <f t="shared" si="37"/>
        <v/>
      </c>
      <c r="P180" s="75" t="str">
        <f t="shared" si="38"/>
        <v/>
      </c>
      <c r="Q180" s="76">
        <f t="shared" si="39"/>
        <v>0</v>
      </c>
      <c r="R180" s="76">
        <f t="shared" si="40"/>
        <v>0</v>
      </c>
      <c r="S180" s="75">
        <f t="shared" si="44"/>
        <v>0</v>
      </c>
      <c r="T180" s="47"/>
      <c r="V180" s="57"/>
      <c r="W180" s="45"/>
      <c r="X180" s="46">
        <f t="shared" si="41"/>
        <v>0</v>
      </c>
      <c r="Y180" s="74" t="str">
        <f t="shared" si="42"/>
        <v/>
      </c>
      <c r="Z180" s="49"/>
      <c r="AA180" s="49"/>
      <c r="AB180" s="49"/>
      <c r="AC180" s="47"/>
      <c r="AD180" s="48" t="str">
        <f t="shared" si="45"/>
        <v/>
      </c>
      <c r="AE180" s="48" t="str">
        <f t="shared" si="46"/>
        <v/>
      </c>
      <c r="AF180" s="75" t="str">
        <f t="shared" si="47"/>
        <v/>
      </c>
      <c r="AG180" s="76">
        <f t="shared" si="48"/>
        <v>0</v>
      </c>
      <c r="AH180" s="76">
        <f t="shared" si="49"/>
        <v>0</v>
      </c>
      <c r="AI180" s="75">
        <f t="shared" si="50"/>
        <v>0</v>
      </c>
      <c r="AJ180" s="47"/>
      <c r="AL180" s="47"/>
      <c r="AN180" s="47"/>
      <c r="AO180" s="47" t="str">
        <f t="shared" si="43"/>
        <v/>
      </c>
    </row>
    <row r="181" spans="1:41" s="56" customFormat="1" ht="14">
      <c r="A181" s="44"/>
      <c r="B181" s="45"/>
      <c r="C181" s="46">
        <f t="shared" si="34"/>
        <v>0</v>
      </c>
      <c r="D181" s="47"/>
      <c r="E181" s="47"/>
      <c r="F181" s="47"/>
      <c r="G181" s="47"/>
      <c r="H181" s="48"/>
      <c r="I181" s="74" t="str">
        <f t="shared" si="35"/>
        <v/>
      </c>
      <c r="J181" s="49"/>
      <c r="K181" s="49"/>
      <c r="L181" s="49"/>
      <c r="M181" s="47"/>
      <c r="N181" s="48" t="str">
        <f t="shared" si="36"/>
        <v/>
      </c>
      <c r="O181" s="48" t="str">
        <f t="shared" si="37"/>
        <v/>
      </c>
      <c r="P181" s="75" t="str">
        <f t="shared" si="38"/>
        <v/>
      </c>
      <c r="Q181" s="76">
        <f t="shared" si="39"/>
        <v>0</v>
      </c>
      <c r="R181" s="76">
        <f t="shared" si="40"/>
        <v>0</v>
      </c>
      <c r="S181" s="75">
        <f t="shared" si="44"/>
        <v>0</v>
      </c>
      <c r="T181" s="47"/>
      <c r="V181" s="57"/>
      <c r="W181" s="45"/>
      <c r="X181" s="46">
        <f t="shared" si="41"/>
        <v>0</v>
      </c>
      <c r="Y181" s="74" t="str">
        <f t="shared" si="42"/>
        <v/>
      </c>
      <c r="Z181" s="49"/>
      <c r="AA181" s="49"/>
      <c r="AB181" s="49"/>
      <c r="AC181" s="47"/>
      <c r="AD181" s="48" t="str">
        <f t="shared" si="45"/>
        <v/>
      </c>
      <c r="AE181" s="48" t="str">
        <f t="shared" si="46"/>
        <v/>
      </c>
      <c r="AF181" s="75" t="str">
        <f t="shared" si="47"/>
        <v/>
      </c>
      <c r="AG181" s="76">
        <f t="shared" si="48"/>
        <v>0</v>
      </c>
      <c r="AH181" s="76">
        <f t="shared" si="49"/>
        <v>0</v>
      </c>
      <c r="AI181" s="75">
        <f t="shared" si="50"/>
        <v>0</v>
      </c>
      <c r="AJ181" s="47"/>
      <c r="AL181" s="47"/>
      <c r="AN181" s="47"/>
      <c r="AO181" s="47" t="str">
        <f t="shared" si="43"/>
        <v/>
      </c>
    </row>
    <row r="182" spans="1:41" s="56" customFormat="1" ht="14">
      <c r="A182" s="44"/>
      <c r="B182" s="45"/>
      <c r="C182" s="46">
        <f t="shared" si="34"/>
        <v>0</v>
      </c>
      <c r="D182" s="47"/>
      <c r="E182" s="47"/>
      <c r="F182" s="47"/>
      <c r="G182" s="47"/>
      <c r="H182" s="48"/>
      <c r="I182" s="74" t="str">
        <f t="shared" si="35"/>
        <v/>
      </c>
      <c r="J182" s="49"/>
      <c r="K182" s="49"/>
      <c r="L182" s="49"/>
      <c r="M182" s="47"/>
      <c r="N182" s="48" t="str">
        <f t="shared" si="36"/>
        <v/>
      </c>
      <c r="O182" s="48" t="str">
        <f t="shared" si="37"/>
        <v/>
      </c>
      <c r="P182" s="75" t="str">
        <f t="shared" si="38"/>
        <v/>
      </c>
      <c r="Q182" s="76">
        <f t="shared" si="39"/>
        <v>0</v>
      </c>
      <c r="R182" s="76">
        <f t="shared" si="40"/>
        <v>0</v>
      </c>
      <c r="S182" s="75">
        <f t="shared" si="44"/>
        <v>0</v>
      </c>
      <c r="T182" s="47"/>
      <c r="V182" s="57"/>
      <c r="W182" s="45"/>
      <c r="X182" s="46">
        <f t="shared" si="41"/>
        <v>0</v>
      </c>
      <c r="Y182" s="74" t="str">
        <f t="shared" si="42"/>
        <v/>
      </c>
      <c r="Z182" s="49"/>
      <c r="AA182" s="49"/>
      <c r="AB182" s="49"/>
      <c r="AC182" s="47"/>
      <c r="AD182" s="48" t="str">
        <f t="shared" si="45"/>
        <v/>
      </c>
      <c r="AE182" s="48" t="str">
        <f t="shared" si="46"/>
        <v/>
      </c>
      <c r="AF182" s="75" t="str">
        <f t="shared" si="47"/>
        <v/>
      </c>
      <c r="AG182" s="76">
        <f t="shared" si="48"/>
        <v>0</v>
      </c>
      <c r="AH182" s="76">
        <f t="shared" si="49"/>
        <v>0</v>
      </c>
      <c r="AI182" s="75">
        <f t="shared" si="50"/>
        <v>0</v>
      </c>
      <c r="AJ182" s="47"/>
      <c r="AL182" s="47"/>
      <c r="AN182" s="47"/>
      <c r="AO182" s="47" t="str">
        <f t="shared" si="43"/>
        <v/>
      </c>
    </row>
    <row r="183" spans="1:41" s="56" customFormat="1" ht="14">
      <c r="A183" s="44"/>
      <c r="B183" s="45"/>
      <c r="C183" s="46">
        <f t="shared" si="34"/>
        <v>0</v>
      </c>
      <c r="D183" s="47"/>
      <c r="E183" s="47"/>
      <c r="F183" s="47"/>
      <c r="G183" s="47"/>
      <c r="H183" s="48"/>
      <c r="I183" s="74" t="str">
        <f t="shared" si="35"/>
        <v/>
      </c>
      <c r="J183" s="49"/>
      <c r="K183" s="49"/>
      <c r="L183" s="49"/>
      <c r="M183" s="47"/>
      <c r="N183" s="48" t="str">
        <f t="shared" si="36"/>
        <v/>
      </c>
      <c r="O183" s="48" t="str">
        <f t="shared" si="37"/>
        <v/>
      </c>
      <c r="P183" s="75" t="str">
        <f t="shared" si="38"/>
        <v/>
      </c>
      <c r="Q183" s="76">
        <f t="shared" si="39"/>
        <v>0</v>
      </c>
      <c r="R183" s="76">
        <f t="shared" si="40"/>
        <v>0</v>
      </c>
      <c r="S183" s="75">
        <f t="shared" si="44"/>
        <v>0</v>
      </c>
      <c r="T183" s="47"/>
      <c r="V183" s="57"/>
      <c r="W183" s="45"/>
      <c r="X183" s="46">
        <f t="shared" si="41"/>
        <v>0</v>
      </c>
      <c r="Y183" s="74" t="str">
        <f t="shared" si="42"/>
        <v/>
      </c>
      <c r="Z183" s="49"/>
      <c r="AA183" s="49"/>
      <c r="AB183" s="49"/>
      <c r="AC183" s="47"/>
      <c r="AD183" s="48" t="str">
        <f t="shared" si="45"/>
        <v/>
      </c>
      <c r="AE183" s="48" t="str">
        <f t="shared" si="46"/>
        <v/>
      </c>
      <c r="AF183" s="75" t="str">
        <f t="shared" si="47"/>
        <v/>
      </c>
      <c r="AG183" s="76">
        <f t="shared" si="48"/>
        <v>0</v>
      </c>
      <c r="AH183" s="76">
        <f t="shared" si="49"/>
        <v>0</v>
      </c>
      <c r="AI183" s="75">
        <f t="shared" si="50"/>
        <v>0</v>
      </c>
      <c r="AJ183" s="47"/>
      <c r="AL183" s="47"/>
      <c r="AN183" s="47"/>
      <c r="AO183" s="47" t="str">
        <f t="shared" si="43"/>
        <v/>
      </c>
    </row>
    <row r="184" spans="1:41" s="56" customFormat="1" ht="14">
      <c r="A184" s="44"/>
      <c r="B184" s="45"/>
      <c r="C184" s="46">
        <f t="shared" si="34"/>
        <v>0</v>
      </c>
      <c r="D184" s="47"/>
      <c r="E184" s="47"/>
      <c r="F184" s="47"/>
      <c r="G184" s="47"/>
      <c r="H184" s="48"/>
      <c r="I184" s="74" t="str">
        <f t="shared" si="35"/>
        <v/>
      </c>
      <c r="J184" s="49"/>
      <c r="K184" s="49"/>
      <c r="L184" s="49"/>
      <c r="M184" s="47"/>
      <c r="N184" s="48" t="str">
        <f t="shared" si="36"/>
        <v/>
      </c>
      <c r="O184" s="48" t="str">
        <f t="shared" si="37"/>
        <v/>
      </c>
      <c r="P184" s="75" t="str">
        <f t="shared" si="38"/>
        <v/>
      </c>
      <c r="Q184" s="76">
        <f t="shared" si="39"/>
        <v>0</v>
      </c>
      <c r="R184" s="76">
        <f t="shared" si="40"/>
        <v>0</v>
      </c>
      <c r="S184" s="75">
        <f t="shared" si="44"/>
        <v>0</v>
      </c>
      <c r="T184" s="47"/>
      <c r="V184" s="57"/>
      <c r="W184" s="45"/>
      <c r="X184" s="46">
        <f t="shared" si="41"/>
        <v>0</v>
      </c>
      <c r="Y184" s="74" t="str">
        <f t="shared" si="42"/>
        <v/>
      </c>
      <c r="Z184" s="49"/>
      <c r="AA184" s="49"/>
      <c r="AB184" s="49"/>
      <c r="AC184" s="47"/>
      <c r="AD184" s="48" t="str">
        <f t="shared" si="45"/>
        <v/>
      </c>
      <c r="AE184" s="48" t="str">
        <f t="shared" si="46"/>
        <v/>
      </c>
      <c r="AF184" s="75" t="str">
        <f t="shared" si="47"/>
        <v/>
      </c>
      <c r="AG184" s="76">
        <f t="shared" si="48"/>
        <v>0</v>
      </c>
      <c r="AH184" s="76">
        <f t="shared" si="49"/>
        <v>0</v>
      </c>
      <c r="AI184" s="75">
        <f t="shared" si="50"/>
        <v>0</v>
      </c>
      <c r="AJ184" s="47"/>
      <c r="AL184" s="47"/>
      <c r="AN184" s="47"/>
      <c r="AO184" s="47" t="str">
        <f t="shared" si="43"/>
        <v/>
      </c>
    </row>
    <row r="185" spans="1:41" s="56" customFormat="1" ht="14">
      <c r="A185" s="44"/>
      <c r="B185" s="45"/>
      <c r="C185" s="46">
        <f t="shared" si="34"/>
        <v>0</v>
      </c>
      <c r="D185" s="47"/>
      <c r="E185" s="47"/>
      <c r="F185" s="47"/>
      <c r="G185" s="47"/>
      <c r="H185" s="48"/>
      <c r="I185" s="74" t="str">
        <f t="shared" si="35"/>
        <v/>
      </c>
      <c r="J185" s="49"/>
      <c r="K185" s="49"/>
      <c r="L185" s="49"/>
      <c r="M185" s="47"/>
      <c r="N185" s="48" t="str">
        <f t="shared" si="36"/>
        <v/>
      </c>
      <c r="O185" s="48" t="str">
        <f t="shared" si="37"/>
        <v/>
      </c>
      <c r="P185" s="75" t="str">
        <f t="shared" si="38"/>
        <v/>
      </c>
      <c r="Q185" s="76">
        <f t="shared" si="39"/>
        <v>0</v>
      </c>
      <c r="R185" s="76">
        <f t="shared" si="40"/>
        <v>0</v>
      </c>
      <c r="S185" s="75">
        <f t="shared" si="44"/>
        <v>0</v>
      </c>
      <c r="T185" s="47"/>
      <c r="V185" s="57"/>
      <c r="W185" s="45"/>
      <c r="X185" s="46">
        <f t="shared" si="41"/>
        <v>0</v>
      </c>
      <c r="Y185" s="74" t="str">
        <f t="shared" si="42"/>
        <v/>
      </c>
      <c r="Z185" s="49"/>
      <c r="AA185" s="49"/>
      <c r="AB185" s="49"/>
      <c r="AC185" s="47"/>
      <c r="AD185" s="48" t="str">
        <f t="shared" si="45"/>
        <v/>
      </c>
      <c r="AE185" s="48" t="str">
        <f t="shared" si="46"/>
        <v/>
      </c>
      <c r="AF185" s="75" t="str">
        <f t="shared" si="47"/>
        <v/>
      </c>
      <c r="AG185" s="76">
        <f t="shared" si="48"/>
        <v>0</v>
      </c>
      <c r="AH185" s="76">
        <f t="shared" si="49"/>
        <v>0</v>
      </c>
      <c r="AI185" s="75">
        <f t="shared" si="50"/>
        <v>0</v>
      </c>
      <c r="AJ185" s="47"/>
      <c r="AL185" s="47"/>
      <c r="AN185" s="47"/>
      <c r="AO185" s="47" t="str">
        <f t="shared" si="43"/>
        <v/>
      </c>
    </row>
    <row r="186" spans="1:41" s="56" customFormat="1" ht="14">
      <c r="A186" s="44"/>
      <c r="B186" s="45"/>
      <c r="C186" s="46">
        <f t="shared" si="34"/>
        <v>0</v>
      </c>
      <c r="D186" s="47"/>
      <c r="E186" s="47"/>
      <c r="F186" s="47"/>
      <c r="G186" s="47"/>
      <c r="H186" s="48"/>
      <c r="I186" s="74" t="str">
        <f t="shared" si="35"/>
        <v/>
      </c>
      <c r="J186" s="49"/>
      <c r="K186" s="49"/>
      <c r="L186" s="49"/>
      <c r="M186" s="47"/>
      <c r="N186" s="48" t="str">
        <f t="shared" si="36"/>
        <v/>
      </c>
      <c r="O186" s="48" t="str">
        <f t="shared" si="37"/>
        <v/>
      </c>
      <c r="P186" s="75" t="str">
        <f t="shared" si="38"/>
        <v/>
      </c>
      <c r="Q186" s="76">
        <f t="shared" si="39"/>
        <v>0</v>
      </c>
      <c r="R186" s="76">
        <f t="shared" si="40"/>
        <v>0</v>
      </c>
      <c r="S186" s="75">
        <f t="shared" si="44"/>
        <v>0</v>
      </c>
      <c r="T186" s="47"/>
      <c r="V186" s="57"/>
      <c r="W186" s="45"/>
      <c r="X186" s="46">
        <f t="shared" si="41"/>
        <v>0</v>
      </c>
      <c r="Y186" s="74" t="str">
        <f t="shared" si="42"/>
        <v/>
      </c>
      <c r="Z186" s="49"/>
      <c r="AA186" s="49"/>
      <c r="AB186" s="49"/>
      <c r="AC186" s="47"/>
      <c r="AD186" s="48" t="str">
        <f t="shared" si="45"/>
        <v/>
      </c>
      <c r="AE186" s="48" t="str">
        <f t="shared" si="46"/>
        <v/>
      </c>
      <c r="AF186" s="75" t="str">
        <f t="shared" si="47"/>
        <v/>
      </c>
      <c r="AG186" s="76">
        <f t="shared" si="48"/>
        <v>0</v>
      </c>
      <c r="AH186" s="76">
        <f t="shared" si="49"/>
        <v>0</v>
      </c>
      <c r="AI186" s="75">
        <f t="shared" si="50"/>
        <v>0</v>
      </c>
      <c r="AJ186" s="47"/>
      <c r="AL186" s="47"/>
      <c r="AN186" s="47"/>
      <c r="AO186" s="47" t="str">
        <f t="shared" si="43"/>
        <v/>
      </c>
    </row>
    <row r="187" spans="1:41" s="56" customFormat="1" ht="14">
      <c r="A187" s="44"/>
      <c r="B187" s="45"/>
      <c r="C187" s="46">
        <f t="shared" si="34"/>
        <v>0</v>
      </c>
      <c r="D187" s="47"/>
      <c r="E187" s="47"/>
      <c r="F187" s="47"/>
      <c r="G187" s="47"/>
      <c r="H187" s="48"/>
      <c r="I187" s="74" t="str">
        <f t="shared" si="35"/>
        <v/>
      </c>
      <c r="J187" s="49"/>
      <c r="K187" s="49"/>
      <c r="L187" s="49"/>
      <c r="M187" s="47"/>
      <c r="N187" s="48" t="str">
        <f t="shared" si="36"/>
        <v/>
      </c>
      <c r="O187" s="48" t="str">
        <f t="shared" si="37"/>
        <v/>
      </c>
      <c r="P187" s="75" t="str">
        <f t="shared" si="38"/>
        <v/>
      </c>
      <c r="Q187" s="76">
        <f t="shared" si="39"/>
        <v>0</v>
      </c>
      <c r="R187" s="76">
        <f t="shared" si="40"/>
        <v>0</v>
      </c>
      <c r="S187" s="75">
        <f t="shared" si="44"/>
        <v>0</v>
      </c>
      <c r="T187" s="47"/>
      <c r="V187" s="57"/>
      <c r="W187" s="45"/>
      <c r="X187" s="46">
        <f t="shared" si="41"/>
        <v>0</v>
      </c>
      <c r="Y187" s="74" t="str">
        <f t="shared" si="42"/>
        <v/>
      </c>
      <c r="Z187" s="49"/>
      <c r="AA187" s="49"/>
      <c r="AB187" s="49"/>
      <c r="AC187" s="47"/>
      <c r="AD187" s="48" t="str">
        <f t="shared" si="45"/>
        <v/>
      </c>
      <c r="AE187" s="48" t="str">
        <f t="shared" si="46"/>
        <v/>
      </c>
      <c r="AF187" s="75" t="str">
        <f t="shared" si="47"/>
        <v/>
      </c>
      <c r="AG187" s="76">
        <f t="shared" si="48"/>
        <v>0</v>
      </c>
      <c r="AH187" s="76">
        <f t="shared" si="49"/>
        <v>0</v>
      </c>
      <c r="AI187" s="75">
        <f t="shared" si="50"/>
        <v>0</v>
      </c>
      <c r="AJ187" s="47"/>
      <c r="AL187" s="47"/>
      <c r="AN187" s="47"/>
      <c r="AO187" s="47" t="str">
        <f t="shared" si="43"/>
        <v/>
      </c>
    </row>
    <row r="188" spans="1:41" s="56" customFormat="1" ht="14">
      <c r="A188" s="44"/>
      <c r="B188" s="45"/>
      <c r="C188" s="46">
        <f t="shared" si="34"/>
        <v>0</v>
      </c>
      <c r="D188" s="47"/>
      <c r="E188" s="47"/>
      <c r="F188" s="47"/>
      <c r="G188" s="47"/>
      <c r="H188" s="48"/>
      <c r="I188" s="74" t="str">
        <f t="shared" si="35"/>
        <v/>
      </c>
      <c r="J188" s="49"/>
      <c r="K188" s="49"/>
      <c r="L188" s="49"/>
      <c r="M188" s="47"/>
      <c r="N188" s="48" t="str">
        <f t="shared" si="36"/>
        <v/>
      </c>
      <c r="O188" s="48" t="str">
        <f t="shared" si="37"/>
        <v/>
      </c>
      <c r="P188" s="75" t="str">
        <f t="shared" si="38"/>
        <v/>
      </c>
      <c r="Q188" s="76">
        <f t="shared" si="39"/>
        <v>0</v>
      </c>
      <c r="R188" s="76">
        <f t="shared" si="40"/>
        <v>0</v>
      </c>
      <c r="S188" s="75">
        <f t="shared" si="44"/>
        <v>0</v>
      </c>
      <c r="T188" s="47"/>
      <c r="V188" s="57"/>
      <c r="W188" s="45"/>
      <c r="X188" s="46">
        <f t="shared" si="41"/>
        <v>0</v>
      </c>
      <c r="Y188" s="74" t="str">
        <f t="shared" si="42"/>
        <v/>
      </c>
      <c r="Z188" s="49"/>
      <c r="AA188" s="49"/>
      <c r="AB188" s="49"/>
      <c r="AC188" s="47"/>
      <c r="AD188" s="48" t="str">
        <f t="shared" si="45"/>
        <v/>
      </c>
      <c r="AE188" s="48" t="str">
        <f t="shared" si="46"/>
        <v/>
      </c>
      <c r="AF188" s="75" t="str">
        <f t="shared" si="47"/>
        <v/>
      </c>
      <c r="AG188" s="76">
        <f t="shared" si="48"/>
        <v>0</v>
      </c>
      <c r="AH188" s="76">
        <f t="shared" si="49"/>
        <v>0</v>
      </c>
      <c r="AI188" s="75">
        <f t="shared" si="50"/>
        <v>0</v>
      </c>
      <c r="AJ188" s="47"/>
      <c r="AL188" s="47"/>
      <c r="AN188" s="47"/>
      <c r="AO188" s="47" t="str">
        <f t="shared" si="43"/>
        <v/>
      </c>
    </row>
    <row r="189" spans="1:41" s="56" customFormat="1" ht="14">
      <c r="A189" s="44"/>
      <c r="B189" s="45"/>
      <c r="C189" s="46">
        <f t="shared" si="34"/>
        <v>0</v>
      </c>
      <c r="D189" s="47"/>
      <c r="E189" s="47"/>
      <c r="F189" s="47"/>
      <c r="G189" s="47"/>
      <c r="H189" s="48"/>
      <c r="I189" s="74" t="str">
        <f t="shared" si="35"/>
        <v/>
      </c>
      <c r="J189" s="49"/>
      <c r="K189" s="49"/>
      <c r="L189" s="49"/>
      <c r="M189" s="47"/>
      <c r="N189" s="48" t="str">
        <f t="shared" si="36"/>
        <v/>
      </c>
      <c r="O189" s="48" t="str">
        <f t="shared" si="37"/>
        <v/>
      </c>
      <c r="P189" s="75" t="str">
        <f t="shared" si="38"/>
        <v/>
      </c>
      <c r="Q189" s="76">
        <f t="shared" si="39"/>
        <v>0</v>
      </c>
      <c r="R189" s="76">
        <f t="shared" si="40"/>
        <v>0</v>
      </c>
      <c r="S189" s="75">
        <f t="shared" si="44"/>
        <v>0</v>
      </c>
      <c r="T189" s="47"/>
      <c r="V189" s="57"/>
      <c r="W189" s="45"/>
      <c r="X189" s="46">
        <f t="shared" si="41"/>
        <v>0</v>
      </c>
      <c r="Y189" s="74" t="str">
        <f t="shared" si="42"/>
        <v/>
      </c>
      <c r="Z189" s="49"/>
      <c r="AA189" s="49"/>
      <c r="AB189" s="49"/>
      <c r="AC189" s="47"/>
      <c r="AD189" s="48" t="str">
        <f t="shared" si="45"/>
        <v/>
      </c>
      <c r="AE189" s="48" t="str">
        <f t="shared" si="46"/>
        <v/>
      </c>
      <c r="AF189" s="75" t="str">
        <f t="shared" si="47"/>
        <v/>
      </c>
      <c r="AG189" s="76">
        <f t="shared" si="48"/>
        <v>0</v>
      </c>
      <c r="AH189" s="76">
        <f t="shared" si="49"/>
        <v>0</v>
      </c>
      <c r="AI189" s="75">
        <f t="shared" si="50"/>
        <v>0</v>
      </c>
      <c r="AJ189" s="47"/>
      <c r="AL189" s="47"/>
      <c r="AN189" s="47"/>
      <c r="AO189" s="47" t="str">
        <f t="shared" si="43"/>
        <v/>
      </c>
    </row>
    <row r="190" spans="1:41" s="56" customFormat="1" ht="14">
      <c r="A190" s="44"/>
      <c r="B190" s="45"/>
      <c r="C190" s="46">
        <f t="shared" si="34"/>
        <v>0</v>
      </c>
      <c r="D190" s="47"/>
      <c r="E190" s="47"/>
      <c r="F190" s="47"/>
      <c r="G190" s="47"/>
      <c r="H190" s="48"/>
      <c r="I190" s="74" t="str">
        <f t="shared" si="35"/>
        <v/>
      </c>
      <c r="J190" s="49"/>
      <c r="K190" s="49"/>
      <c r="L190" s="49"/>
      <c r="M190" s="47"/>
      <c r="N190" s="48" t="str">
        <f t="shared" si="36"/>
        <v/>
      </c>
      <c r="O190" s="48" t="str">
        <f t="shared" si="37"/>
        <v/>
      </c>
      <c r="P190" s="75" t="str">
        <f t="shared" si="38"/>
        <v/>
      </c>
      <c r="Q190" s="76">
        <f t="shared" si="39"/>
        <v>0</v>
      </c>
      <c r="R190" s="76">
        <f t="shared" si="40"/>
        <v>0</v>
      </c>
      <c r="S190" s="75">
        <f t="shared" si="44"/>
        <v>0</v>
      </c>
      <c r="T190" s="47"/>
      <c r="V190" s="57"/>
      <c r="W190" s="45"/>
      <c r="X190" s="46">
        <f t="shared" si="41"/>
        <v>0</v>
      </c>
      <c r="Y190" s="74" t="str">
        <f t="shared" si="42"/>
        <v/>
      </c>
      <c r="Z190" s="49"/>
      <c r="AA190" s="49"/>
      <c r="AB190" s="49"/>
      <c r="AC190" s="47"/>
      <c r="AD190" s="48" t="str">
        <f t="shared" si="45"/>
        <v/>
      </c>
      <c r="AE190" s="48" t="str">
        <f t="shared" si="46"/>
        <v/>
      </c>
      <c r="AF190" s="75" t="str">
        <f t="shared" si="47"/>
        <v/>
      </c>
      <c r="AG190" s="76">
        <f t="shared" si="48"/>
        <v>0</v>
      </c>
      <c r="AH190" s="76">
        <f t="shared" si="49"/>
        <v>0</v>
      </c>
      <c r="AI190" s="75">
        <f t="shared" si="50"/>
        <v>0</v>
      </c>
      <c r="AJ190" s="47"/>
      <c r="AL190" s="47"/>
      <c r="AN190" s="47"/>
      <c r="AO190" s="47" t="str">
        <f t="shared" si="43"/>
        <v/>
      </c>
    </row>
    <row r="191" spans="1:41" s="56" customFormat="1" ht="14">
      <c r="A191" s="44"/>
      <c r="B191" s="45"/>
      <c r="C191" s="46">
        <f t="shared" si="34"/>
        <v>0</v>
      </c>
      <c r="D191" s="47"/>
      <c r="E191" s="47"/>
      <c r="F191" s="47"/>
      <c r="G191" s="47"/>
      <c r="H191" s="48"/>
      <c r="I191" s="74" t="str">
        <f t="shared" si="35"/>
        <v/>
      </c>
      <c r="J191" s="49"/>
      <c r="K191" s="49"/>
      <c r="L191" s="49"/>
      <c r="M191" s="47"/>
      <c r="N191" s="48" t="str">
        <f t="shared" si="36"/>
        <v/>
      </c>
      <c r="O191" s="48" t="str">
        <f t="shared" si="37"/>
        <v/>
      </c>
      <c r="P191" s="75" t="str">
        <f t="shared" si="38"/>
        <v/>
      </c>
      <c r="Q191" s="76">
        <f t="shared" si="39"/>
        <v>0</v>
      </c>
      <c r="R191" s="76">
        <f t="shared" si="40"/>
        <v>0</v>
      </c>
      <c r="S191" s="75">
        <f t="shared" si="44"/>
        <v>0</v>
      </c>
      <c r="T191" s="47"/>
      <c r="V191" s="57"/>
      <c r="W191" s="45"/>
      <c r="X191" s="46">
        <f t="shared" si="41"/>
        <v>0</v>
      </c>
      <c r="Y191" s="74" t="str">
        <f t="shared" si="42"/>
        <v/>
      </c>
      <c r="Z191" s="49"/>
      <c r="AA191" s="49"/>
      <c r="AB191" s="49"/>
      <c r="AC191" s="47"/>
      <c r="AD191" s="48" t="str">
        <f t="shared" si="45"/>
        <v/>
      </c>
      <c r="AE191" s="48" t="str">
        <f t="shared" si="46"/>
        <v/>
      </c>
      <c r="AF191" s="75" t="str">
        <f t="shared" si="47"/>
        <v/>
      </c>
      <c r="AG191" s="76">
        <f t="shared" si="48"/>
        <v>0</v>
      </c>
      <c r="AH191" s="76">
        <f t="shared" si="49"/>
        <v>0</v>
      </c>
      <c r="AI191" s="75">
        <f t="shared" si="50"/>
        <v>0</v>
      </c>
      <c r="AJ191" s="47"/>
      <c r="AL191" s="47"/>
      <c r="AN191" s="47"/>
      <c r="AO191" s="47" t="str">
        <f t="shared" si="43"/>
        <v/>
      </c>
    </row>
    <row r="192" spans="1:41" s="56" customFormat="1" ht="14">
      <c r="A192" s="44"/>
      <c r="B192" s="45"/>
      <c r="C192" s="46">
        <f t="shared" si="34"/>
        <v>0</v>
      </c>
      <c r="D192" s="47"/>
      <c r="E192" s="47"/>
      <c r="F192" s="47"/>
      <c r="G192" s="47"/>
      <c r="H192" s="48"/>
      <c r="I192" s="74" t="str">
        <f t="shared" si="35"/>
        <v/>
      </c>
      <c r="J192" s="49"/>
      <c r="K192" s="49"/>
      <c r="L192" s="49"/>
      <c r="M192" s="47"/>
      <c r="N192" s="48" t="str">
        <f t="shared" si="36"/>
        <v/>
      </c>
      <c r="O192" s="48" t="str">
        <f t="shared" si="37"/>
        <v/>
      </c>
      <c r="P192" s="75" t="str">
        <f t="shared" si="38"/>
        <v/>
      </c>
      <c r="Q192" s="76">
        <f t="shared" si="39"/>
        <v>0</v>
      </c>
      <c r="R192" s="76">
        <f t="shared" si="40"/>
        <v>0</v>
      </c>
      <c r="S192" s="75">
        <f t="shared" si="44"/>
        <v>0</v>
      </c>
      <c r="T192" s="47"/>
      <c r="V192" s="57"/>
      <c r="W192" s="45"/>
      <c r="X192" s="46">
        <f t="shared" si="41"/>
        <v>0</v>
      </c>
      <c r="Y192" s="74" t="str">
        <f t="shared" si="42"/>
        <v/>
      </c>
      <c r="Z192" s="49"/>
      <c r="AA192" s="49"/>
      <c r="AB192" s="49"/>
      <c r="AC192" s="47"/>
      <c r="AD192" s="48" t="str">
        <f t="shared" si="45"/>
        <v/>
      </c>
      <c r="AE192" s="48" t="str">
        <f t="shared" si="46"/>
        <v/>
      </c>
      <c r="AF192" s="75" t="str">
        <f t="shared" si="47"/>
        <v/>
      </c>
      <c r="AG192" s="76">
        <f t="shared" si="48"/>
        <v>0</v>
      </c>
      <c r="AH192" s="76">
        <f t="shared" si="49"/>
        <v>0</v>
      </c>
      <c r="AI192" s="75">
        <f t="shared" si="50"/>
        <v>0</v>
      </c>
      <c r="AJ192" s="47"/>
      <c r="AL192" s="47"/>
      <c r="AN192" s="47"/>
      <c r="AO192" s="47" t="str">
        <f t="shared" si="43"/>
        <v/>
      </c>
    </row>
    <row r="193" spans="1:41" s="56" customFormat="1" ht="14">
      <c r="A193" s="44"/>
      <c r="B193" s="45"/>
      <c r="C193" s="46">
        <f t="shared" si="34"/>
        <v>0</v>
      </c>
      <c r="D193" s="47"/>
      <c r="E193" s="47"/>
      <c r="F193" s="47"/>
      <c r="G193" s="47"/>
      <c r="H193" s="48"/>
      <c r="I193" s="74" t="str">
        <f t="shared" si="35"/>
        <v/>
      </c>
      <c r="J193" s="49"/>
      <c r="K193" s="49"/>
      <c r="L193" s="49"/>
      <c r="M193" s="47"/>
      <c r="N193" s="48" t="str">
        <f t="shared" si="36"/>
        <v/>
      </c>
      <c r="O193" s="48" t="str">
        <f t="shared" si="37"/>
        <v/>
      </c>
      <c r="P193" s="75" t="str">
        <f t="shared" si="38"/>
        <v/>
      </c>
      <c r="Q193" s="76">
        <f t="shared" si="39"/>
        <v>0</v>
      </c>
      <c r="R193" s="76">
        <f t="shared" si="40"/>
        <v>0</v>
      </c>
      <c r="S193" s="75">
        <f t="shared" si="44"/>
        <v>0</v>
      </c>
      <c r="T193" s="47"/>
      <c r="V193" s="57"/>
      <c r="W193" s="45"/>
      <c r="X193" s="46">
        <f t="shared" si="41"/>
        <v>0</v>
      </c>
      <c r="Y193" s="74" t="str">
        <f t="shared" si="42"/>
        <v/>
      </c>
      <c r="Z193" s="49"/>
      <c r="AA193" s="49"/>
      <c r="AB193" s="49"/>
      <c r="AC193" s="47"/>
      <c r="AD193" s="48" t="str">
        <f t="shared" si="45"/>
        <v/>
      </c>
      <c r="AE193" s="48" t="str">
        <f t="shared" si="46"/>
        <v/>
      </c>
      <c r="AF193" s="75" t="str">
        <f t="shared" si="47"/>
        <v/>
      </c>
      <c r="AG193" s="76">
        <f t="shared" si="48"/>
        <v>0</v>
      </c>
      <c r="AH193" s="76">
        <f t="shared" si="49"/>
        <v>0</v>
      </c>
      <c r="AI193" s="75">
        <f t="shared" si="50"/>
        <v>0</v>
      </c>
      <c r="AJ193" s="47"/>
      <c r="AL193" s="47"/>
      <c r="AN193" s="47"/>
      <c r="AO193" s="47" t="str">
        <f t="shared" si="43"/>
        <v/>
      </c>
    </row>
    <row r="194" spans="1:41" s="56" customFormat="1" ht="14">
      <c r="A194" s="44"/>
      <c r="B194" s="45"/>
      <c r="C194" s="46">
        <f t="shared" si="34"/>
        <v>0</v>
      </c>
      <c r="D194" s="47"/>
      <c r="E194" s="47"/>
      <c r="F194" s="47"/>
      <c r="G194" s="47"/>
      <c r="H194" s="48"/>
      <c r="I194" s="74" t="str">
        <f t="shared" si="35"/>
        <v/>
      </c>
      <c r="J194" s="49"/>
      <c r="K194" s="49"/>
      <c r="L194" s="49"/>
      <c r="M194" s="47"/>
      <c r="N194" s="48" t="str">
        <f t="shared" si="36"/>
        <v/>
      </c>
      <c r="O194" s="48" t="str">
        <f t="shared" si="37"/>
        <v/>
      </c>
      <c r="P194" s="75" t="str">
        <f t="shared" si="38"/>
        <v/>
      </c>
      <c r="Q194" s="76">
        <f t="shared" si="39"/>
        <v>0</v>
      </c>
      <c r="R194" s="76">
        <f t="shared" si="40"/>
        <v>0</v>
      </c>
      <c r="S194" s="75">
        <f t="shared" si="44"/>
        <v>0</v>
      </c>
      <c r="T194" s="47"/>
      <c r="V194" s="57"/>
      <c r="W194" s="45"/>
      <c r="X194" s="46">
        <f t="shared" si="41"/>
        <v>0</v>
      </c>
      <c r="Y194" s="74" t="str">
        <f t="shared" si="42"/>
        <v/>
      </c>
      <c r="Z194" s="49"/>
      <c r="AA194" s="49"/>
      <c r="AB194" s="49"/>
      <c r="AC194" s="47"/>
      <c r="AD194" s="48" t="str">
        <f t="shared" si="45"/>
        <v/>
      </c>
      <c r="AE194" s="48" t="str">
        <f t="shared" si="46"/>
        <v/>
      </c>
      <c r="AF194" s="75" t="str">
        <f t="shared" si="47"/>
        <v/>
      </c>
      <c r="AG194" s="76">
        <f t="shared" si="48"/>
        <v>0</v>
      </c>
      <c r="AH194" s="76">
        <f t="shared" si="49"/>
        <v>0</v>
      </c>
      <c r="AI194" s="75">
        <f t="shared" si="50"/>
        <v>0</v>
      </c>
      <c r="AJ194" s="47"/>
      <c r="AL194" s="47"/>
      <c r="AN194" s="47"/>
      <c r="AO194" s="47" t="str">
        <f t="shared" si="43"/>
        <v/>
      </c>
    </row>
    <row r="195" spans="1:41" s="56" customFormat="1" ht="14">
      <c r="A195" s="44"/>
      <c r="B195" s="45"/>
      <c r="C195" s="46">
        <f t="shared" si="34"/>
        <v>0</v>
      </c>
      <c r="D195" s="47"/>
      <c r="E195" s="47"/>
      <c r="F195" s="47"/>
      <c r="G195" s="47"/>
      <c r="H195" s="48"/>
      <c r="I195" s="74" t="str">
        <f t="shared" si="35"/>
        <v/>
      </c>
      <c r="J195" s="49"/>
      <c r="K195" s="49"/>
      <c r="L195" s="49"/>
      <c r="M195" s="47"/>
      <c r="N195" s="48" t="str">
        <f t="shared" si="36"/>
        <v/>
      </c>
      <c r="O195" s="48" t="str">
        <f t="shared" si="37"/>
        <v/>
      </c>
      <c r="P195" s="75" t="str">
        <f t="shared" si="38"/>
        <v/>
      </c>
      <c r="Q195" s="76">
        <f t="shared" si="39"/>
        <v>0</v>
      </c>
      <c r="R195" s="76">
        <f t="shared" si="40"/>
        <v>0</v>
      </c>
      <c r="S195" s="75">
        <f t="shared" si="44"/>
        <v>0</v>
      </c>
      <c r="T195" s="47"/>
      <c r="V195" s="57"/>
      <c r="W195" s="45"/>
      <c r="X195" s="46">
        <f t="shared" si="41"/>
        <v>0</v>
      </c>
      <c r="Y195" s="74" t="str">
        <f t="shared" si="42"/>
        <v/>
      </c>
      <c r="Z195" s="49"/>
      <c r="AA195" s="49"/>
      <c r="AB195" s="49"/>
      <c r="AC195" s="47"/>
      <c r="AD195" s="48" t="str">
        <f t="shared" si="45"/>
        <v/>
      </c>
      <c r="AE195" s="48" t="str">
        <f t="shared" si="46"/>
        <v/>
      </c>
      <c r="AF195" s="75" t="str">
        <f t="shared" si="47"/>
        <v/>
      </c>
      <c r="AG195" s="76">
        <f t="shared" si="48"/>
        <v>0</v>
      </c>
      <c r="AH195" s="76">
        <f t="shared" si="49"/>
        <v>0</v>
      </c>
      <c r="AI195" s="75">
        <f t="shared" si="50"/>
        <v>0</v>
      </c>
      <c r="AJ195" s="47"/>
      <c r="AL195" s="47"/>
      <c r="AN195" s="47"/>
      <c r="AO195" s="47" t="str">
        <f t="shared" si="43"/>
        <v/>
      </c>
    </row>
    <row r="196" spans="1:41" s="56" customFormat="1" ht="14">
      <c r="A196" s="44"/>
      <c r="B196" s="45"/>
      <c r="C196" s="46">
        <f t="shared" si="34"/>
        <v>0</v>
      </c>
      <c r="D196" s="47"/>
      <c r="E196" s="47"/>
      <c r="F196" s="47"/>
      <c r="G196" s="47"/>
      <c r="H196" s="48"/>
      <c r="I196" s="74" t="str">
        <f t="shared" si="35"/>
        <v/>
      </c>
      <c r="J196" s="49"/>
      <c r="K196" s="49"/>
      <c r="L196" s="49"/>
      <c r="M196" s="47"/>
      <c r="N196" s="48" t="str">
        <f t="shared" si="36"/>
        <v/>
      </c>
      <c r="O196" s="48" t="str">
        <f t="shared" si="37"/>
        <v/>
      </c>
      <c r="P196" s="75" t="str">
        <f t="shared" si="38"/>
        <v/>
      </c>
      <c r="Q196" s="76">
        <f t="shared" si="39"/>
        <v>0</v>
      </c>
      <c r="R196" s="76">
        <f t="shared" si="40"/>
        <v>0</v>
      </c>
      <c r="S196" s="75">
        <f t="shared" si="44"/>
        <v>0</v>
      </c>
      <c r="T196" s="47"/>
      <c r="V196" s="57"/>
      <c r="W196" s="45"/>
      <c r="X196" s="46">
        <f t="shared" si="41"/>
        <v>0</v>
      </c>
      <c r="Y196" s="74" t="str">
        <f t="shared" si="42"/>
        <v/>
      </c>
      <c r="Z196" s="49"/>
      <c r="AA196" s="49"/>
      <c r="AB196" s="49"/>
      <c r="AC196" s="47"/>
      <c r="AD196" s="48" t="str">
        <f t="shared" si="45"/>
        <v/>
      </c>
      <c r="AE196" s="48" t="str">
        <f t="shared" si="46"/>
        <v/>
      </c>
      <c r="AF196" s="75" t="str">
        <f t="shared" si="47"/>
        <v/>
      </c>
      <c r="AG196" s="76">
        <f t="shared" si="48"/>
        <v>0</v>
      </c>
      <c r="AH196" s="76">
        <f t="shared" si="49"/>
        <v>0</v>
      </c>
      <c r="AI196" s="75">
        <f t="shared" si="50"/>
        <v>0</v>
      </c>
      <c r="AJ196" s="47"/>
      <c r="AL196" s="47"/>
      <c r="AN196" s="47"/>
      <c r="AO196" s="47" t="str">
        <f t="shared" si="43"/>
        <v/>
      </c>
    </row>
    <row r="197" spans="1:41" s="56" customFormat="1" ht="14">
      <c r="A197" s="44"/>
      <c r="B197" s="45"/>
      <c r="C197" s="46">
        <f t="shared" si="34"/>
        <v>0</v>
      </c>
      <c r="D197" s="47"/>
      <c r="E197" s="47"/>
      <c r="F197" s="47"/>
      <c r="G197" s="47"/>
      <c r="H197" s="48"/>
      <c r="I197" s="74" t="str">
        <f t="shared" si="35"/>
        <v/>
      </c>
      <c r="J197" s="49"/>
      <c r="K197" s="49"/>
      <c r="L197" s="49"/>
      <c r="M197" s="47"/>
      <c r="N197" s="48" t="str">
        <f t="shared" si="36"/>
        <v/>
      </c>
      <c r="O197" s="48" t="str">
        <f t="shared" si="37"/>
        <v/>
      </c>
      <c r="P197" s="75" t="str">
        <f t="shared" si="38"/>
        <v/>
      </c>
      <c r="Q197" s="76">
        <f t="shared" si="39"/>
        <v>0</v>
      </c>
      <c r="R197" s="76">
        <f t="shared" si="40"/>
        <v>0</v>
      </c>
      <c r="S197" s="75">
        <f t="shared" si="44"/>
        <v>0</v>
      </c>
      <c r="T197" s="47"/>
      <c r="V197" s="57"/>
      <c r="W197" s="45"/>
      <c r="X197" s="46">
        <f t="shared" si="41"/>
        <v>0</v>
      </c>
      <c r="Y197" s="74" t="str">
        <f t="shared" si="42"/>
        <v/>
      </c>
      <c r="Z197" s="49"/>
      <c r="AA197" s="49"/>
      <c r="AB197" s="49"/>
      <c r="AC197" s="47"/>
      <c r="AD197" s="48" t="str">
        <f t="shared" si="45"/>
        <v/>
      </c>
      <c r="AE197" s="48" t="str">
        <f t="shared" si="46"/>
        <v/>
      </c>
      <c r="AF197" s="75" t="str">
        <f t="shared" si="47"/>
        <v/>
      </c>
      <c r="AG197" s="76">
        <f t="shared" si="48"/>
        <v>0</v>
      </c>
      <c r="AH197" s="76">
        <f t="shared" si="49"/>
        <v>0</v>
      </c>
      <c r="AI197" s="75">
        <f t="shared" si="50"/>
        <v>0</v>
      </c>
      <c r="AJ197" s="47"/>
      <c r="AL197" s="47"/>
      <c r="AN197" s="47"/>
      <c r="AO197" s="47" t="str">
        <f t="shared" si="43"/>
        <v/>
      </c>
    </row>
    <row r="198" spans="1:41" s="56" customFormat="1" ht="14">
      <c r="A198" s="44"/>
      <c r="B198" s="45"/>
      <c r="C198" s="46">
        <f t="shared" si="34"/>
        <v>0</v>
      </c>
      <c r="D198" s="47"/>
      <c r="E198" s="47"/>
      <c r="F198" s="47"/>
      <c r="G198" s="47"/>
      <c r="H198" s="48"/>
      <c r="I198" s="74" t="str">
        <f t="shared" si="35"/>
        <v/>
      </c>
      <c r="J198" s="49"/>
      <c r="K198" s="49"/>
      <c r="L198" s="49"/>
      <c r="M198" s="47"/>
      <c r="N198" s="48" t="str">
        <f t="shared" si="36"/>
        <v/>
      </c>
      <c r="O198" s="48" t="str">
        <f t="shared" si="37"/>
        <v/>
      </c>
      <c r="P198" s="75" t="str">
        <f t="shared" si="38"/>
        <v/>
      </c>
      <c r="Q198" s="76">
        <f t="shared" si="39"/>
        <v>0</v>
      </c>
      <c r="R198" s="76">
        <f t="shared" si="40"/>
        <v>0</v>
      </c>
      <c r="S198" s="75">
        <f t="shared" si="44"/>
        <v>0</v>
      </c>
      <c r="T198" s="47"/>
      <c r="V198" s="57"/>
      <c r="W198" s="45"/>
      <c r="X198" s="46">
        <f t="shared" si="41"/>
        <v>0</v>
      </c>
      <c r="Y198" s="74" t="str">
        <f t="shared" si="42"/>
        <v/>
      </c>
      <c r="Z198" s="49"/>
      <c r="AA198" s="49"/>
      <c r="AB198" s="49"/>
      <c r="AC198" s="47"/>
      <c r="AD198" s="48" t="str">
        <f t="shared" si="45"/>
        <v/>
      </c>
      <c r="AE198" s="48" t="str">
        <f t="shared" si="46"/>
        <v/>
      </c>
      <c r="AF198" s="75" t="str">
        <f t="shared" si="47"/>
        <v/>
      </c>
      <c r="AG198" s="76">
        <f t="shared" si="48"/>
        <v>0</v>
      </c>
      <c r="AH198" s="76">
        <f t="shared" si="49"/>
        <v>0</v>
      </c>
      <c r="AI198" s="75">
        <f t="shared" si="50"/>
        <v>0</v>
      </c>
      <c r="AJ198" s="47"/>
      <c r="AL198" s="47"/>
      <c r="AN198" s="47"/>
      <c r="AO198" s="47" t="str">
        <f t="shared" si="43"/>
        <v/>
      </c>
    </row>
    <row r="199" spans="1:41" s="56" customFormat="1" ht="14">
      <c r="A199" s="44"/>
      <c r="B199" s="45"/>
      <c r="C199" s="46">
        <f t="shared" si="34"/>
        <v>0</v>
      </c>
      <c r="D199" s="47"/>
      <c r="E199" s="47"/>
      <c r="F199" s="47"/>
      <c r="G199" s="47"/>
      <c r="H199" s="48"/>
      <c r="I199" s="74" t="str">
        <f t="shared" si="35"/>
        <v/>
      </c>
      <c r="J199" s="49"/>
      <c r="K199" s="49"/>
      <c r="L199" s="49"/>
      <c r="M199" s="47"/>
      <c r="N199" s="48" t="str">
        <f t="shared" si="36"/>
        <v/>
      </c>
      <c r="O199" s="48" t="str">
        <f t="shared" si="37"/>
        <v/>
      </c>
      <c r="P199" s="75" t="str">
        <f t="shared" si="38"/>
        <v/>
      </c>
      <c r="Q199" s="76">
        <f t="shared" si="39"/>
        <v>0</v>
      </c>
      <c r="R199" s="76">
        <f t="shared" si="40"/>
        <v>0</v>
      </c>
      <c r="S199" s="75">
        <f t="shared" si="44"/>
        <v>0</v>
      </c>
      <c r="T199" s="47"/>
      <c r="V199" s="57"/>
      <c r="W199" s="45"/>
      <c r="X199" s="46">
        <f t="shared" si="41"/>
        <v>0</v>
      </c>
      <c r="Y199" s="74" t="str">
        <f t="shared" si="42"/>
        <v/>
      </c>
      <c r="Z199" s="49"/>
      <c r="AA199" s="49"/>
      <c r="AB199" s="49"/>
      <c r="AC199" s="47"/>
      <c r="AD199" s="48" t="str">
        <f t="shared" si="45"/>
        <v/>
      </c>
      <c r="AE199" s="48" t="str">
        <f t="shared" si="46"/>
        <v/>
      </c>
      <c r="AF199" s="75" t="str">
        <f t="shared" si="47"/>
        <v/>
      </c>
      <c r="AG199" s="76">
        <f t="shared" si="48"/>
        <v>0</v>
      </c>
      <c r="AH199" s="76">
        <f t="shared" si="49"/>
        <v>0</v>
      </c>
      <c r="AI199" s="75">
        <f t="shared" si="50"/>
        <v>0</v>
      </c>
      <c r="AJ199" s="47"/>
      <c r="AL199" s="47"/>
      <c r="AN199" s="47"/>
      <c r="AO199" s="47" t="str">
        <f t="shared" si="43"/>
        <v/>
      </c>
    </row>
    <row r="200" spans="1:41" s="56" customFormat="1" ht="14">
      <c r="A200" s="44"/>
      <c r="B200" s="45"/>
      <c r="C200" s="46">
        <f t="shared" si="34"/>
        <v>0</v>
      </c>
      <c r="D200" s="47"/>
      <c r="E200" s="47"/>
      <c r="F200" s="47"/>
      <c r="G200" s="47"/>
      <c r="H200" s="48"/>
      <c r="I200" s="74" t="str">
        <f t="shared" si="35"/>
        <v/>
      </c>
      <c r="J200" s="49"/>
      <c r="K200" s="49"/>
      <c r="L200" s="49"/>
      <c r="M200" s="47"/>
      <c r="N200" s="48" t="str">
        <f t="shared" si="36"/>
        <v/>
      </c>
      <c r="O200" s="48" t="str">
        <f t="shared" si="37"/>
        <v/>
      </c>
      <c r="P200" s="75" t="str">
        <f t="shared" si="38"/>
        <v/>
      </c>
      <c r="Q200" s="76">
        <f t="shared" si="39"/>
        <v>0</v>
      </c>
      <c r="R200" s="76">
        <f t="shared" si="40"/>
        <v>0</v>
      </c>
      <c r="S200" s="75">
        <f t="shared" si="44"/>
        <v>0</v>
      </c>
      <c r="T200" s="47"/>
      <c r="V200" s="57"/>
      <c r="W200" s="45"/>
      <c r="X200" s="46">
        <f t="shared" si="41"/>
        <v>0</v>
      </c>
      <c r="Y200" s="74" t="str">
        <f t="shared" si="42"/>
        <v/>
      </c>
      <c r="Z200" s="49"/>
      <c r="AA200" s="49"/>
      <c r="AB200" s="49"/>
      <c r="AC200" s="47"/>
      <c r="AD200" s="48" t="str">
        <f t="shared" si="45"/>
        <v/>
      </c>
      <c r="AE200" s="48" t="str">
        <f t="shared" si="46"/>
        <v/>
      </c>
      <c r="AF200" s="75" t="str">
        <f t="shared" si="47"/>
        <v/>
      </c>
      <c r="AG200" s="76">
        <f t="shared" si="48"/>
        <v>0</v>
      </c>
      <c r="AH200" s="76">
        <f t="shared" si="49"/>
        <v>0</v>
      </c>
      <c r="AI200" s="75">
        <f t="shared" si="50"/>
        <v>0</v>
      </c>
      <c r="AJ200" s="47"/>
      <c r="AL200" s="47"/>
      <c r="AN200" s="47"/>
      <c r="AO200" s="47" t="str">
        <f t="shared" si="43"/>
        <v/>
      </c>
    </row>
    <row r="201" spans="1:41" s="56" customFormat="1" ht="14">
      <c r="A201" s="44"/>
      <c r="B201" s="45"/>
      <c r="C201" s="46">
        <f t="shared" si="34"/>
        <v>0</v>
      </c>
      <c r="D201" s="47"/>
      <c r="E201" s="47"/>
      <c r="F201" s="47"/>
      <c r="G201" s="47"/>
      <c r="H201" s="48"/>
      <c r="I201" s="74" t="str">
        <f t="shared" si="35"/>
        <v/>
      </c>
      <c r="J201" s="49"/>
      <c r="K201" s="49"/>
      <c r="L201" s="49"/>
      <c r="M201" s="47"/>
      <c r="N201" s="48" t="str">
        <f t="shared" si="36"/>
        <v/>
      </c>
      <c r="O201" s="48" t="str">
        <f t="shared" si="37"/>
        <v/>
      </c>
      <c r="P201" s="75" t="str">
        <f t="shared" si="38"/>
        <v/>
      </c>
      <c r="Q201" s="76">
        <f t="shared" si="39"/>
        <v>0</v>
      </c>
      <c r="R201" s="76">
        <f t="shared" si="40"/>
        <v>0</v>
      </c>
      <c r="S201" s="75">
        <f t="shared" si="44"/>
        <v>0</v>
      </c>
      <c r="T201" s="47"/>
      <c r="V201" s="57"/>
      <c r="W201" s="45"/>
      <c r="X201" s="46">
        <f t="shared" si="41"/>
        <v>0</v>
      </c>
      <c r="Y201" s="74" t="str">
        <f t="shared" si="42"/>
        <v/>
      </c>
      <c r="Z201" s="49"/>
      <c r="AA201" s="49"/>
      <c r="AB201" s="49"/>
      <c r="AC201" s="47"/>
      <c r="AD201" s="48" t="str">
        <f t="shared" si="45"/>
        <v/>
      </c>
      <c r="AE201" s="48" t="str">
        <f t="shared" si="46"/>
        <v/>
      </c>
      <c r="AF201" s="75" t="str">
        <f t="shared" si="47"/>
        <v/>
      </c>
      <c r="AG201" s="76">
        <f t="shared" si="48"/>
        <v>0</v>
      </c>
      <c r="AH201" s="76">
        <f t="shared" si="49"/>
        <v>0</v>
      </c>
      <c r="AI201" s="75">
        <f t="shared" si="50"/>
        <v>0</v>
      </c>
      <c r="AJ201" s="47"/>
      <c r="AL201" s="47"/>
      <c r="AN201" s="47"/>
      <c r="AO201" s="47" t="str">
        <f t="shared" si="43"/>
        <v/>
      </c>
    </row>
    <row r="202" spans="1:41" s="56" customFormat="1" ht="14">
      <c r="A202" s="44"/>
      <c r="B202" s="45"/>
      <c r="C202" s="46">
        <f t="shared" si="34"/>
        <v>0</v>
      </c>
      <c r="D202" s="47"/>
      <c r="E202" s="47"/>
      <c r="F202" s="47"/>
      <c r="G202" s="47"/>
      <c r="H202" s="48"/>
      <c r="I202" s="74" t="str">
        <f t="shared" si="35"/>
        <v/>
      </c>
      <c r="J202" s="49"/>
      <c r="K202" s="49"/>
      <c r="L202" s="49"/>
      <c r="M202" s="47"/>
      <c r="N202" s="48" t="str">
        <f t="shared" si="36"/>
        <v/>
      </c>
      <c r="O202" s="48" t="str">
        <f t="shared" si="37"/>
        <v/>
      </c>
      <c r="P202" s="75" t="str">
        <f t="shared" si="38"/>
        <v/>
      </c>
      <c r="Q202" s="76">
        <f t="shared" si="39"/>
        <v>0</v>
      </c>
      <c r="R202" s="76">
        <f t="shared" si="40"/>
        <v>0</v>
      </c>
      <c r="S202" s="75">
        <f t="shared" si="44"/>
        <v>0</v>
      </c>
      <c r="T202" s="47"/>
      <c r="V202" s="57"/>
      <c r="W202" s="45"/>
      <c r="X202" s="46">
        <f t="shared" si="41"/>
        <v>0</v>
      </c>
      <c r="Y202" s="74" t="str">
        <f t="shared" si="42"/>
        <v/>
      </c>
      <c r="Z202" s="49"/>
      <c r="AA202" s="49"/>
      <c r="AB202" s="49"/>
      <c r="AC202" s="47"/>
      <c r="AD202" s="48" t="str">
        <f t="shared" si="45"/>
        <v/>
      </c>
      <c r="AE202" s="48" t="str">
        <f t="shared" si="46"/>
        <v/>
      </c>
      <c r="AF202" s="75" t="str">
        <f t="shared" si="47"/>
        <v/>
      </c>
      <c r="AG202" s="76">
        <f t="shared" si="48"/>
        <v>0</v>
      </c>
      <c r="AH202" s="76">
        <f t="shared" si="49"/>
        <v>0</v>
      </c>
      <c r="AI202" s="75">
        <f t="shared" si="50"/>
        <v>0</v>
      </c>
      <c r="AJ202" s="47"/>
      <c r="AL202" s="47"/>
      <c r="AN202" s="47"/>
      <c r="AO202" s="47" t="str">
        <f t="shared" si="43"/>
        <v/>
      </c>
    </row>
    <row r="203" spans="1:41" s="56" customFormat="1" ht="14">
      <c r="A203" s="44"/>
      <c r="B203" s="45"/>
      <c r="C203" s="46">
        <f t="shared" ref="C203:C266" si="51">IF($B203&lt;&gt;"",VLOOKUP($B203,Matriz_INM,2,0),0)</f>
        <v>0</v>
      </c>
      <c r="D203" s="47"/>
      <c r="E203" s="47"/>
      <c r="F203" s="47"/>
      <c r="G203" s="47"/>
      <c r="H203" s="48"/>
      <c r="I203" s="74" t="str">
        <f t="shared" ref="I203:I266" si="52">IFERROR(VLOOKUP($B203,Matriz_INM,3,0),"")</f>
        <v/>
      </c>
      <c r="J203" s="49"/>
      <c r="K203" s="49"/>
      <c r="L203" s="49"/>
      <c r="M203" s="47"/>
      <c r="N203" s="48" t="str">
        <f t="shared" ref="N203:N266" si="53">IF(M203="EE",IF(OR(AND(OR(L203=1,L203=0),K203&gt;0,K203&lt;5),AND(OR(L203=1,L203=0),K203&gt;4,K203&lt;16),AND(L203=2,K203&gt;0,K203&lt;5)),"Simples",IF(OR(AND(OR(L203=1,L203=0),K203&gt;15),AND(L203=2,K203&gt;4,K203&lt;16),AND(L203&gt;2,K203&gt;0,K203&lt;5)),"Médio",IF(OR(AND(L203=2,K203&gt;15),AND(L203&gt;2,K203&gt;4,K203&lt;16),AND(L203&gt;2,K203&gt;15)),"Complexo",""))), IF(OR(M203="CE",M203="SE"),IF(OR(AND(OR(L203=1,L203=0),K203&gt;0,K203&lt;6),AND(OR(L203=1,L203=0),K203&gt;5,K203&lt;20),AND(L203&gt;1,L203&lt;4,K203&gt;0,K203&lt;6)),"Simples",IF(OR(AND(OR(L203=1,L203=0),K203&gt;19),AND(L203&gt;1,L203&lt;4,K203&gt;5,K203&lt;20),AND(L203&gt;3,K203&gt;0,K203&lt;6)),"Médio",IF(OR(AND(L203&gt;1,L203&lt;4,K203&gt;19),AND(L203&gt;3,K203&gt;5,K203&lt;20),AND(L203&gt;3,K203&gt;19)),"Complexo",""))),""))</f>
        <v/>
      </c>
      <c r="O203" s="48" t="str">
        <f t="shared" ref="O203:O266" si="54">IF(M203="ALI",IF(OR(AND(OR(L203=1,L203=0),K203&gt;0,K203&lt;20),AND(OR(L203=1,L203=0),K203&gt;19,K203&lt;51),AND(L203&gt;1,L203&lt;6,K203&gt;0,K203&lt;20)),"Simples",IF(OR(AND(OR(L203=1,L203=0),K203&gt;50),AND(L203&gt;1,L203&lt;6,K203&gt;19,K203&lt;51),AND(L203&gt;5,K203&gt;0,K203&lt;20)),"Médio",IF(OR(AND(L203&gt;1,L203&lt;6,K203&gt;50),AND(L203&gt;5,K203&gt;19,K203&lt;51),AND(L203&gt;5,K203&gt;50)),"Complexo",""))), IF(M203="AIE",IF(OR(AND(OR(L203=1, L203=0),K203&gt;0,K203&lt;20),AND(OR(L203=1, L203=0),K203&gt;19,K203&lt;51),AND(L203&gt;1,L203&lt;6,K203&gt;0,K203&lt;20)),"Simples",IF(OR(AND(OR(L203=1, L203=0),K203&gt;50),AND(L203&gt;1,L203&lt;6,K203&gt;19,K203&lt;51),AND(L203&gt;5,K203&gt;0,K203&lt;20)),"Médio",IF(OR(AND(L203&gt;1,L203&lt;6,K203&gt;50),AND(L203&gt;5,K203&gt;19,K203&lt;51),AND(L203&gt;5,K203&gt;50)),"Complexo",""))),""))</f>
        <v/>
      </c>
      <c r="P203" s="75" t="str">
        <f t="shared" ref="P203:P266" si="55">IF(N203="",O203,IF(O203="",N203,""))</f>
        <v/>
      </c>
      <c r="Q203" s="76">
        <f t="shared" ref="Q203:Q266" si="56">IF(AND(OR(M203="EE",M203="CE"),P203="Simples"),3, IF(AND(OR(M203="EE",M203="CE"),P203="Médio"),4, IF(AND(OR(M203="EE",M203="CE"),P203="Complexo"),6, IF(AND(M203="SE",P203="Simples"),4, IF(AND(M203="SE",P203="Médio"),5, IF(AND(M203="SE",P203="Complexo"),7,0))))))</f>
        <v>0</v>
      </c>
      <c r="R203" s="76">
        <f t="shared" ref="R203:R266" si="57">IF(AND(M203="ALI",O203="Simples"),7, IF(AND(M203="ALI",O203="Médio"),10, IF(AND(M203="ALI",O203="Complexo"),15, IF(AND(M203="AIE",O203="Simples"),5, IF(AND(M203="AIE",O203="Médio"),7, IF(AND(M203="AIE",O203="Complexo"),10,0))))))</f>
        <v>0</v>
      </c>
      <c r="S203" s="75">
        <f t="shared" si="44"/>
        <v>0</v>
      </c>
      <c r="T203" s="47"/>
      <c r="V203" s="57"/>
      <c r="W203" s="45"/>
      <c r="X203" s="46">
        <f t="shared" ref="X203:X266" si="58">IF($W203&lt;&gt;"",VLOOKUP($W203,Matriz_INM,2,0),0)</f>
        <v>0</v>
      </c>
      <c r="Y203" s="74" t="str">
        <f t="shared" ref="Y203:Y266" si="59">IFERROR(VLOOKUP($W203,Matriz_INM,3,0),"")</f>
        <v/>
      </c>
      <c r="Z203" s="49"/>
      <c r="AA203" s="49"/>
      <c r="AB203" s="49"/>
      <c r="AC203" s="47"/>
      <c r="AD203" s="48" t="str">
        <f t="shared" si="45"/>
        <v/>
      </c>
      <c r="AE203" s="48" t="str">
        <f t="shared" si="46"/>
        <v/>
      </c>
      <c r="AF203" s="75" t="str">
        <f t="shared" si="47"/>
        <v/>
      </c>
      <c r="AG203" s="76">
        <f t="shared" si="48"/>
        <v>0</v>
      </c>
      <c r="AH203" s="76">
        <f t="shared" si="49"/>
        <v>0</v>
      </c>
      <c r="AI203" s="75">
        <f t="shared" si="50"/>
        <v>0</v>
      </c>
      <c r="AJ203" s="47"/>
      <c r="AL203" s="47"/>
      <c r="AN203" s="47"/>
      <c r="AO203" s="47" t="str">
        <f t="shared" ref="AO203:AO266" si="60">IF(AI203=0,"",IF(AI203=S203,"OK","Divergente"))</f>
        <v/>
      </c>
    </row>
    <row r="204" spans="1:41" s="56" customFormat="1" ht="14">
      <c r="A204" s="44"/>
      <c r="B204" s="45"/>
      <c r="C204" s="46">
        <f t="shared" si="51"/>
        <v>0</v>
      </c>
      <c r="D204" s="47"/>
      <c r="E204" s="47"/>
      <c r="F204" s="47"/>
      <c r="G204" s="47"/>
      <c r="H204" s="48"/>
      <c r="I204" s="74" t="str">
        <f t="shared" si="52"/>
        <v/>
      </c>
      <c r="J204" s="49"/>
      <c r="K204" s="49"/>
      <c r="L204" s="49"/>
      <c r="M204" s="47"/>
      <c r="N204" s="48" t="str">
        <f t="shared" si="53"/>
        <v/>
      </c>
      <c r="O204" s="48" t="str">
        <f t="shared" si="54"/>
        <v/>
      </c>
      <c r="P204" s="75" t="str">
        <f t="shared" si="55"/>
        <v/>
      </c>
      <c r="Q204" s="76">
        <f t="shared" si="56"/>
        <v>0</v>
      </c>
      <c r="R204" s="76">
        <f t="shared" si="57"/>
        <v>0</v>
      </c>
      <c r="S204" s="75">
        <f t="shared" ref="S204:S267" si="61">IF($I204="%",($Q204+$R204)*$C204,$C204*J204)</f>
        <v>0</v>
      </c>
      <c r="T204" s="47"/>
      <c r="V204" s="57"/>
      <c r="W204" s="45"/>
      <c r="X204" s="46">
        <f t="shared" si="58"/>
        <v>0</v>
      </c>
      <c r="Y204" s="74" t="str">
        <f t="shared" si="59"/>
        <v/>
      </c>
      <c r="Z204" s="49"/>
      <c r="AA204" s="49"/>
      <c r="AB204" s="49"/>
      <c r="AC204" s="47"/>
      <c r="AD204" s="48" t="str">
        <f t="shared" ref="AD204:AD267" si="62">IF(AC204="EE",IF(OR(AND(OR(AB204=1,AB204=0),AA204&gt;0,AA204&lt;5),AND(OR(AB204=1,AB204=0),AA204&gt;4,AA204&lt;16),AND(AB204=2,AA204&gt;0,AA204&lt;5)),"Simples",IF(OR(AND(OR(AB204=1,AB204=0),AA204&gt;15),AND(AB204=2,AA204&gt;4,AA204&lt;16),AND(AB204&gt;2,AA204&gt;0,AA204&lt;5)),"Médio",IF(OR(AND(AB204=2,AA204&gt;15),AND(AB204&gt;2,AA204&gt;4,AA204&lt;16),AND(AB204&gt;2,AA204&gt;15)),"Complexo",""))), IF(OR(AC204="CE",AC204="SE"),IF(OR(AND(OR(AB204=1,AB204=0),AA204&gt;0,AA204&lt;6),AND(OR(AB204=1,AB204=0),AA204&gt;5,AA204&lt;20),AND(AB204&gt;1,AB204&lt;4,AA204&gt;0,AA204&lt;6)),"Simples",IF(OR(AND(OR(AB204=1,AB204=0),AA204&gt;19),AND(AB204&gt;1,AB204&lt;4,AA204&gt;5,AA204&lt;20),AND(AB204&gt;3,AA204&gt;0,AA204&lt;6)),"Médio",IF(OR(AND(AB204&gt;1,AB204&lt;4,AA204&gt;19),AND(AB204&gt;3,AA204&gt;5,AA204&lt;20),AND(AB204&gt;3,AA204&gt;19)),"Complexo",""))),""))</f>
        <v/>
      </c>
      <c r="AE204" s="48" t="str">
        <f t="shared" ref="AE204:AE267" si="63">IF(AC204="ALI",IF(OR(AND(OR(AB204=1,AB204=0),AA204&gt;0,AA204&lt;20),AND(OR(AB204=1,AB204=0),AA204&gt;19,AA204&lt;51),AND(AB204&gt;1,AB204&lt;6,AA204&gt;0,AA204&lt;20)),"Simples",IF(OR(AND(OR(AB204=1,AB204=0),AA204&gt;50),AND(AB204&gt;1,AB204&lt;6,AA204&gt;19,AA204&lt;51),AND(AB204&gt;5,AA204&gt;0,AA204&lt;20)),"Médio",IF(OR(AND(AB204&gt;1,AB204&lt;6,AA204&gt;50),AND(AB204&gt;5,AA204&gt;19,AA204&lt;51),AND(AB204&gt;5,AA204&gt;50)),"Complexo",""))), IF(AC204="AIE",IF(OR(AND(OR(AB204=1, AB204=0),AA204&gt;0,AA204&lt;20),AND(OR(AB204=1, AB204=0),AA204&gt;19,AA204&lt;51),AND(AB204&gt;1,AB204&lt;6,AA204&gt;0,AA204&lt;20)),"Simples",IF(OR(AND(OR(AB204=1, AB204=0),AA204&gt;50),AND(AB204&gt;1,AB204&lt;6,AA204&gt;19,AA204&lt;51),AND(AB204&gt;5,AA204&gt;0,AA204&lt;20)),"Médio",IF(OR(AND(AB204&gt;1,AB204&lt;6,AA204&gt;50),AND(AB204&gt;5,AA204&gt;19,AA204&lt;51),AND(AB204&gt;5,AA204&gt;50)),"Complexo",""))),""))</f>
        <v/>
      </c>
      <c r="AF204" s="75" t="str">
        <f t="shared" ref="AF204:AF267" si="64">IF(AD204="",AE204,IF(AE204="",AD204,""))</f>
        <v/>
      </c>
      <c r="AG204" s="76">
        <f t="shared" ref="AG204:AG267" si="65">IF(AND(OR(AC204="EE",AC204="CE"),AF204="Simples"),3, IF(AND(OR(AC204="EE",AC204="CE"),AF204="Médio"),4, IF(AND(OR(AC204="EE",AC204="CE"),AF204="Complexo"),6, IF(AND(AC204="SE",AF204="Simples"),4, IF(AND(AC204="SE",AF204="Médio"),5, IF(AND(AC204="SE",AF204="Complexo"),7,0))))))</f>
        <v>0</v>
      </c>
      <c r="AH204" s="76">
        <f t="shared" ref="AH204:AH267" si="66">IF(AND(AC204="ALI",AE204="Simples"),7, IF(AND(AC204="ALI",AE204="Médio"),10, IF(AND(AC204="ALI",AE204="Complexo"),15, IF(AND(AC204="AIE",AE204="Simples"),5, IF(AND(AC204="AIE",AE204="Médio"),7, IF(AND(AC204="AIE",AE204="Complexo"),10,0))))))</f>
        <v>0</v>
      </c>
      <c r="AI204" s="75">
        <f t="shared" ref="AI204:AI267" si="67">IF(V204="OK",S204,IF($Y204="%",($AG204+$AH204)*$X204,$X204*Z204))</f>
        <v>0</v>
      </c>
      <c r="AJ204" s="47"/>
      <c r="AL204" s="47"/>
      <c r="AN204" s="47"/>
      <c r="AO204" s="47" t="str">
        <f t="shared" si="60"/>
        <v/>
      </c>
    </row>
    <row r="205" spans="1:41" s="56" customFormat="1" ht="14">
      <c r="A205" s="44"/>
      <c r="B205" s="45"/>
      <c r="C205" s="46">
        <f t="shared" si="51"/>
        <v>0</v>
      </c>
      <c r="D205" s="47"/>
      <c r="E205" s="47"/>
      <c r="F205" s="47"/>
      <c r="G205" s="47"/>
      <c r="H205" s="48"/>
      <c r="I205" s="74" t="str">
        <f t="shared" si="52"/>
        <v/>
      </c>
      <c r="J205" s="49"/>
      <c r="K205" s="49"/>
      <c r="L205" s="49"/>
      <c r="M205" s="47"/>
      <c r="N205" s="48" t="str">
        <f t="shared" si="53"/>
        <v/>
      </c>
      <c r="O205" s="48" t="str">
        <f t="shared" si="54"/>
        <v/>
      </c>
      <c r="P205" s="75" t="str">
        <f t="shared" si="55"/>
        <v/>
      </c>
      <c r="Q205" s="76">
        <f t="shared" si="56"/>
        <v>0</v>
      </c>
      <c r="R205" s="76">
        <f t="shared" si="57"/>
        <v>0</v>
      </c>
      <c r="S205" s="75">
        <f t="shared" si="61"/>
        <v>0</v>
      </c>
      <c r="T205" s="47"/>
      <c r="V205" s="57"/>
      <c r="W205" s="45"/>
      <c r="X205" s="46">
        <f t="shared" si="58"/>
        <v>0</v>
      </c>
      <c r="Y205" s="74" t="str">
        <f t="shared" si="59"/>
        <v/>
      </c>
      <c r="Z205" s="49"/>
      <c r="AA205" s="49"/>
      <c r="AB205" s="49"/>
      <c r="AC205" s="47"/>
      <c r="AD205" s="48" t="str">
        <f t="shared" si="62"/>
        <v/>
      </c>
      <c r="AE205" s="48" t="str">
        <f t="shared" si="63"/>
        <v/>
      </c>
      <c r="AF205" s="75" t="str">
        <f t="shared" si="64"/>
        <v/>
      </c>
      <c r="AG205" s="76">
        <f t="shared" si="65"/>
        <v>0</v>
      </c>
      <c r="AH205" s="76">
        <f t="shared" si="66"/>
        <v>0</v>
      </c>
      <c r="AI205" s="75">
        <f t="shared" si="67"/>
        <v>0</v>
      </c>
      <c r="AJ205" s="47"/>
      <c r="AL205" s="47"/>
      <c r="AN205" s="47"/>
      <c r="AO205" s="47" t="str">
        <f t="shared" si="60"/>
        <v/>
      </c>
    </row>
    <row r="206" spans="1:41" s="56" customFormat="1" ht="14">
      <c r="A206" s="44"/>
      <c r="B206" s="45"/>
      <c r="C206" s="46">
        <f t="shared" si="51"/>
        <v>0</v>
      </c>
      <c r="D206" s="47"/>
      <c r="E206" s="47"/>
      <c r="F206" s="47"/>
      <c r="G206" s="47"/>
      <c r="H206" s="48"/>
      <c r="I206" s="74" t="str">
        <f t="shared" si="52"/>
        <v/>
      </c>
      <c r="J206" s="49"/>
      <c r="K206" s="49"/>
      <c r="L206" s="49"/>
      <c r="M206" s="47"/>
      <c r="N206" s="48" t="str">
        <f t="shared" si="53"/>
        <v/>
      </c>
      <c r="O206" s="48" t="str">
        <f t="shared" si="54"/>
        <v/>
      </c>
      <c r="P206" s="75" t="str">
        <f t="shared" si="55"/>
        <v/>
      </c>
      <c r="Q206" s="76">
        <f t="shared" si="56"/>
        <v>0</v>
      </c>
      <c r="R206" s="76">
        <f t="shared" si="57"/>
        <v>0</v>
      </c>
      <c r="S206" s="75">
        <f t="shared" si="61"/>
        <v>0</v>
      </c>
      <c r="T206" s="47"/>
      <c r="V206" s="57"/>
      <c r="W206" s="45"/>
      <c r="X206" s="46">
        <f t="shared" si="58"/>
        <v>0</v>
      </c>
      <c r="Y206" s="74" t="str">
        <f t="shared" si="59"/>
        <v/>
      </c>
      <c r="Z206" s="49"/>
      <c r="AA206" s="49"/>
      <c r="AB206" s="49"/>
      <c r="AC206" s="47"/>
      <c r="AD206" s="48" t="str">
        <f t="shared" si="62"/>
        <v/>
      </c>
      <c r="AE206" s="48" t="str">
        <f t="shared" si="63"/>
        <v/>
      </c>
      <c r="AF206" s="75" t="str">
        <f t="shared" si="64"/>
        <v/>
      </c>
      <c r="AG206" s="76">
        <f t="shared" si="65"/>
        <v>0</v>
      </c>
      <c r="AH206" s="76">
        <f t="shared" si="66"/>
        <v>0</v>
      </c>
      <c r="AI206" s="75">
        <f t="shared" si="67"/>
        <v>0</v>
      </c>
      <c r="AJ206" s="47"/>
      <c r="AL206" s="47"/>
      <c r="AN206" s="47"/>
      <c r="AO206" s="47" t="str">
        <f t="shared" si="60"/>
        <v/>
      </c>
    </row>
    <row r="207" spans="1:41" s="56" customFormat="1" ht="14">
      <c r="A207" s="44"/>
      <c r="B207" s="45"/>
      <c r="C207" s="46">
        <f t="shared" si="51"/>
        <v>0</v>
      </c>
      <c r="D207" s="47"/>
      <c r="E207" s="47"/>
      <c r="F207" s="47"/>
      <c r="G207" s="47"/>
      <c r="H207" s="48"/>
      <c r="I207" s="74" t="str">
        <f t="shared" si="52"/>
        <v/>
      </c>
      <c r="J207" s="49"/>
      <c r="K207" s="49"/>
      <c r="L207" s="49"/>
      <c r="M207" s="47"/>
      <c r="N207" s="48" t="str">
        <f t="shared" si="53"/>
        <v/>
      </c>
      <c r="O207" s="48" t="str">
        <f t="shared" si="54"/>
        <v/>
      </c>
      <c r="P207" s="75" t="str">
        <f t="shared" si="55"/>
        <v/>
      </c>
      <c r="Q207" s="76">
        <f t="shared" si="56"/>
        <v>0</v>
      </c>
      <c r="R207" s="76">
        <f t="shared" si="57"/>
        <v>0</v>
      </c>
      <c r="S207" s="75">
        <f t="shared" si="61"/>
        <v>0</v>
      </c>
      <c r="T207" s="47"/>
      <c r="V207" s="57"/>
      <c r="W207" s="45"/>
      <c r="X207" s="46">
        <f t="shared" si="58"/>
        <v>0</v>
      </c>
      <c r="Y207" s="74" t="str">
        <f t="shared" si="59"/>
        <v/>
      </c>
      <c r="Z207" s="49"/>
      <c r="AA207" s="49"/>
      <c r="AB207" s="49"/>
      <c r="AC207" s="47"/>
      <c r="AD207" s="48" t="str">
        <f t="shared" si="62"/>
        <v/>
      </c>
      <c r="AE207" s="48" t="str">
        <f t="shared" si="63"/>
        <v/>
      </c>
      <c r="AF207" s="75" t="str">
        <f t="shared" si="64"/>
        <v/>
      </c>
      <c r="AG207" s="76">
        <f t="shared" si="65"/>
        <v>0</v>
      </c>
      <c r="AH207" s="76">
        <f t="shared" si="66"/>
        <v>0</v>
      </c>
      <c r="AI207" s="75">
        <f t="shared" si="67"/>
        <v>0</v>
      </c>
      <c r="AJ207" s="47"/>
      <c r="AL207" s="47"/>
      <c r="AN207" s="47"/>
      <c r="AO207" s="47" t="str">
        <f t="shared" si="60"/>
        <v/>
      </c>
    </row>
    <row r="208" spans="1:41" s="56" customFormat="1" ht="14">
      <c r="A208" s="44"/>
      <c r="B208" s="45"/>
      <c r="C208" s="46">
        <f t="shared" si="51"/>
        <v>0</v>
      </c>
      <c r="D208" s="47"/>
      <c r="E208" s="47"/>
      <c r="F208" s="47"/>
      <c r="G208" s="47"/>
      <c r="H208" s="48"/>
      <c r="I208" s="74" t="str">
        <f t="shared" si="52"/>
        <v/>
      </c>
      <c r="J208" s="49"/>
      <c r="K208" s="49"/>
      <c r="L208" s="49"/>
      <c r="M208" s="47"/>
      <c r="N208" s="48" t="str">
        <f t="shared" si="53"/>
        <v/>
      </c>
      <c r="O208" s="48" t="str">
        <f t="shared" si="54"/>
        <v/>
      </c>
      <c r="P208" s="75" t="str">
        <f t="shared" si="55"/>
        <v/>
      </c>
      <c r="Q208" s="76">
        <f t="shared" si="56"/>
        <v>0</v>
      </c>
      <c r="R208" s="76">
        <f t="shared" si="57"/>
        <v>0</v>
      </c>
      <c r="S208" s="75">
        <f t="shared" si="61"/>
        <v>0</v>
      </c>
      <c r="T208" s="47"/>
      <c r="V208" s="57"/>
      <c r="W208" s="45"/>
      <c r="X208" s="46">
        <f t="shared" si="58"/>
        <v>0</v>
      </c>
      <c r="Y208" s="74" t="str">
        <f t="shared" si="59"/>
        <v/>
      </c>
      <c r="Z208" s="49"/>
      <c r="AA208" s="49"/>
      <c r="AB208" s="49"/>
      <c r="AC208" s="47"/>
      <c r="AD208" s="48" t="str">
        <f t="shared" si="62"/>
        <v/>
      </c>
      <c r="AE208" s="48" t="str">
        <f t="shared" si="63"/>
        <v/>
      </c>
      <c r="AF208" s="75" t="str">
        <f t="shared" si="64"/>
        <v/>
      </c>
      <c r="AG208" s="76">
        <f t="shared" si="65"/>
        <v>0</v>
      </c>
      <c r="AH208" s="76">
        <f t="shared" si="66"/>
        <v>0</v>
      </c>
      <c r="AI208" s="75">
        <f t="shared" si="67"/>
        <v>0</v>
      </c>
      <c r="AJ208" s="47"/>
      <c r="AL208" s="47"/>
      <c r="AN208" s="47"/>
      <c r="AO208" s="47" t="str">
        <f t="shared" si="60"/>
        <v/>
      </c>
    </row>
    <row r="209" spans="1:41" s="56" customFormat="1" ht="14">
      <c r="A209" s="44"/>
      <c r="B209" s="45"/>
      <c r="C209" s="46">
        <f t="shared" si="51"/>
        <v>0</v>
      </c>
      <c r="D209" s="47"/>
      <c r="E209" s="47"/>
      <c r="F209" s="47"/>
      <c r="G209" s="47"/>
      <c r="H209" s="48"/>
      <c r="I209" s="74" t="str">
        <f t="shared" si="52"/>
        <v/>
      </c>
      <c r="J209" s="49"/>
      <c r="K209" s="49"/>
      <c r="L209" s="49"/>
      <c r="M209" s="47"/>
      <c r="N209" s="48" t="str">
        <f t="shared" si="53"/>
        <v/>
      </c>
      <c r="O209" s="48" t="str">
        <f t="shared" si="54"/>
        <v/>
      </c>
      <c r="P209" s="75" t="str">
        <f t="shared" si="55"/>
        <v/>
      </c>
      <c r="Q209" s="76">
        <f t="shared" si="56"/>
        <v>0</v>
      </c>
      <c r="R209" s="76">
        <f t="shared" si="57"/>
        <v>0</v>
      </c>
      <c r="S209" s="75">
        <f t="shared" si="61"/>
        <v>0</v>
      </c>
      <c r="T209" s="47"/>
      <c r="V209" s="57"/>
      <c r="W209" s="45"/>
      <c r="X209" s="46">
        <f t="shared" si="58"/>
        <v>0</v>
      </c>
      <c r="Y209" s="74" t="str">
        <f t="shared" si="59"/>
        <v/>
      </c>
      <c r="Z209" s="49"/>
      <c r="AA209" s="49"/>
      <c r="AB209" s="49"/>
      <c r="AC209" s="47"/>
      <c r="AD209" s="48" t="str">
        <f t="shared" si="62"/>
        <v/>
      </c>
      <c r="AE209" s="48" t="str">
        <f t="shared" si="63"/>
        <v/>
      </c>
      <c r="AF209" s="75" t="str">
        <f t="shared" si="64"/>
        <v/>
      </c>
      <c r="AG209" s="76">
        <f t="shared" si="65"/>
        <v>0</v>
      </c>
      <c r="AH209" s="76">
        <f t="shared" si="66"/>
        <v>0</v>
      </c>
      <c r="AI209" s="75">
        <f t="shared" si="67"/>
        <v>0</v>
      </c>
      <c r="AJ209" s="47"/>
      <c r="AL209" s="47"/>
      <c r="AN209" s="47"/>
      <c r="AO209" s="47" t="str">
        <f t="shared" si="60"/>
        <v/>
      </c>
    </row>
    <row r="210" spans="1:41" s="56" customFormat="1" ht="14">
      <c r="A210" s="44"/>
      <c r="B210" s="45"/>
      <c r="C210" s="46">
        <f t="shared" si="51"/>
        <v>0</v>
      </c>
      <c r="D210" s="47"/>
      <c r="E210" s="47"/>
      <c r="F210" s="47"/>
      <c r="G210" s="47"/>
      <c r="H210" s="48"/>
      <c r="I210" s="74" t="str">
        <f t="shared" si="52"/>
        <v/>
      </c>
      <c r="J210" s="49"/>
      <c r="K210" s="49"/>
      <c r="L210" s="49"/>
      <c r="M210" s="47"/>
      <c r="N210" s="48" t="str">
        <f t="shared" si="53"/>
        <v/>
      </c>
      <c r="O210" s="48" t="str">
        <f t="shared" si="54"/>
        <v/>
      </c>
      <c r="P210" s="75" t="str">
        <f t="shared" si="55"/>
        <v/>
      </c>
      <c r="Q210" s="76">
        <f t="shared" si="56"/>
        <v>0</v>
      </c>
      <c r="R210" s="76">
        <f t="shared" si="57"/>
        <v>0</v>
      </c>
      <c r="S210" s="75">
        <f t="shared" si="61"/>
        <v>0</v>
      </c>
      <c r="T210" s="47"/>
      <c r="V210" s="57"/>
      <c r="W210" s="45"/>
      <c r="X210" s="46">
        <f t="shared" si="58"/>
        <v>0</v>
      </c>
      <c r="Y210" s="74" t="str">
        <f t="shared" si="59"/>
        <v/>
      </c>
      <c r="Z210" s="49"/>
      <c r="AA210" s="49"/>
      <c r="AB210" s="49"/>
      <c r="AC210" s="47"/>
      <c r="AD210" s="48" t="str">
        <f t="shared" si="62"/>
        <v/>
      </c>
      <c r="AE210" s="48" t="str">
        <f t="shared" si="63"/>
        <v/>
      </c>
      <c r="AF210" s="75" t="str">
        <f t="shared" si="64"/>
        <v/>
      </c>
      <c r="AG210" s="76">
        <f t="shared" si="65"/>
        <v>0</v>
      </c>
      <c r="AH210" s="76">
        <f t="shared" si="66"/>
        <v>0</v>
      </c>
      <c r="AI210" s="75">
        <f t="shared" si="67"/>
        <v>0</v>
      </c>
      <c r="AJ210" s="47"/>
      <c r="AL210" s="47"/>
      <c r="AN210" s="47"/>
      <c r="AO210" s="47" t="str">
        <f t="shared" si="60"/>
        <v/>
      </c>
    </row>
    <row r="211" spans="1:41" s="56" customFormat="1" ht="14">
      <c r="A211" s="44"/>
      <c r="B211" s="45"/>
      <c r="C211" s="46">
        <f t="shared" si="51"/>
        <v>0</v>
      </c>
      <c r="D211" s="47"/>
      <c r="E211" s="47"/>
      <c r="F211" s="47"/>
      <c r="G211" s="47"/>
      <c r="H211" s="48"/>
      <c r="I211" s="74" t="str">
        <f t="shared" si="52"/>
        <v/>
      </c>
      <c r="J211" s="49"/>
      <c r="K211" s="49"/>
      <c r="L211" s="49"/>
      <c r="M211" s="47"/>
      <c r="N211" s="48" t="str">
        <f t="shared" si="53"/>
        <v/>
      </c>
      <c r="O211" s="48" t="str">
        <f t="shared" si="54"/>
        <v/>
      </c>
      <c r="P211" s="75" t="str">
        <f t="shared" si="55"/>
        <v/>
      </c>
      <c r="Q211" s="76">
        <f t="shared" si="56"/>
        <v>0</v>
      </c>
      <c r="R211" s="76">
        <f t="shared" si="57"/>
        <v>0</v>
      </c>
      <c r="S211" s="75">
        <f t="shared" si="61"/>
        <v>0</v>
      </c>
      <c r="T211" s="47"/>
      <c r="V211" s="57"/>
      <c r="W211" s="45"/>
      <c r="X211" s="46">
        <f t="shared" si="58"/>
        <v>0</v>
      </c>
      <c r="Y211" s="74" t="str">
        <f t="shared" si="59"/>
        <v/>
      </c>
      <c r="Z211" s="49"/>
      <c r="AA211" s="49"/>
      <c r="AB211" s="49"/>
      <c r="AC211" s="47"/>
      <c r="AD211" s="48" t="str">
        <f t="shared" si="62"/>
        <v/>
      </c>
      <c r="AE211" s="48" t="str">
        <f t="shared" si="63"/>
        <v/>
      </c>
      <c r="AF211" s="75" t="str">
        <f t="shared" si="64"/>
        <v/>
      </c>
      <c r="AG211" s="76">
        <f t="shared" si="65"/>
        <v>0</v>
      </c>
      <c r="AH211" s="76">
        <f t="shared" si="66"/>
        <v>0</v>
      </c>
      <c r="AI211" s="75">
        <f t="shared" si="67"/>
        <v>0</v>
      </c>
      <c r="AJ211" s="47"/>
      <c r="AL211" s="47"/>
      <c r="AN211" s="47"/>
      <c r="AO211" s="47" t="str">
        <f t="shared" si="60"/>
        <v/>
      </c>
    </row>
    <row r="212" spans="1:41" s="56" customFormat="1" ht="14">
      <c r="A212" s="44"/>
      <c r="B212" s="45"/>
      <c r="C212" s="46">
        <f t="shared" si="51"/>
        <v>0</v>
      </c>
      <c r="D212" s="47"/>
      <c r="E212" s="47"/>
      <c r="F212" s="47"/>
      <c r="G212" s="47"/>
      <c r="H212" s="48"/>
      <c r="I212" s="74" t="str">
        <f t="shared" si="52"/>
        <v/>
      </c>
      <c r="J212" s="49"/>
      <c r="K212" s="49"/>
      <c r="L212" s="49"/>
      <c r="M212" s="47"/>
      <c r="N212" s="48" t="str">
        <f t="shared" si="53"/>
        <v/>
      </c>
      <c r="O212" s="48" t="str">
        <f t="shared" si="54"/>
        <v/>
      </c>
      <c r="P212" s="75" t="str">
        <f t="shared" si="55"/>
        <v/>
      </c>
      <c r="Q212" s="76">
        <f t="shared" si="56"/>
        <v>0</v>
      </c>
      <c r="R212" s="76">
        <f t="shared" si="57"/>
        <v>0</v>
      </c>
      <c r="S212" s="75">
        <f t="shared" si="61"/>
        <v>0</v>
      </c>
      <c r="T212" s="47"/>
      <c r="V212" s="57"/>
      <c r="W212" s="45"/>
      <c r="X212" s="46">
        <f t="shared" si="58"/>
        <v>0</v>
      </c>
      <c r="Y212" s="74" t="str">
        <f t="shared" si="59"/>
        <v/>
      </c>
      <c r="Z212" s="49"/>
      <c r="AA212" s="49"/>
      <c r="AB212" s="49"/>
      <c r="AC212" s="47"/>
      <c r="AD212" s="48" t="str">
        <f t="shared" si="62"/>
        <v/>
      </c>
      <c r="AE212" s="48" t="str">
        <f t="shared" si="63"/>
        <v/>
      </c>
      <c r="AF212" s="75" t="str">
        <f t="shared" si="64"/>
        <v/>
      </c>
      <c r="AG212" s="76">
        <f t="shared" si="65"/>
        <v>0</v>
      </c>
      <c r="AH212" s="76">
        <f t="shared" si="66"/>
        <v>0</v>
      </c>
      <c r="AI212" s="75">
        <f t="shared" si="67"/>
        <v>0</v>
      </c>
      <c r="AJ212" s="47"/>
      <c r="AL212" s="47"/>
      <c r="AN212" s="47"/>
      <c r="AO212" s="47" t="str">
        <f t="shared" si="60"/>
        <v/>
      </c>
    </row>
    <row r="213" spans="1:41" s="56" customFormat="1" ht="14">
      <c r="A213" s="44"/>
      <c r="B213" s="45"/>
      <c r="C213" s="46">
        <f t="shared" si="51"/>
        <v>0</v>
      </c>
      <c r="D213" s="47"/>
      <c r="E213" s="47"/>
      <c r="F213" s="47"/>
      <c r="G213" s="47"/>
      <c r="H213" s="48"/>
      <c r="I213" s="74" t="str">
        <f t="shared" si="52"/>
        <v/>
      </c>
      <c r="J213" s="49"/>
      <c r="K213" s="49"/>
      <c r="L213" s="49"/>
      <c r="M213" s="47"/>
      <c r="N213" s="48" t="str">
        <f t="shared" si="53"/>
        <v/>
      </c>
      <c r="O213" s="48" t="str">
        <f t="shared" si="54"/>
        <v/>
      </c>
      <c r="P213" s="75" t="str">
        <f t="shared" si="55"/>
        <v/>
      </c>
      <c r="Q213" s="76">
        <f t="shared" si="56"/>
        <v>0</v>
      </c>
      <c r="R213" s="76">
        <f t="shared" si="57"/>
        <v>0</v>
      </c>
      <c r="S213" s="75">
        <f t="shared" si="61"/>
        <v>0</v>
      </c>
      <c r="T213" s="47"/>
      <c r="V213" s="57"/>
      <c r="W213" s="45"/>
      <c r="X213" s="46">
        <f t="shared" si="58"/>
        <v>0</v>
      </c>
      <c r="Y213" s="74" t="str">
        <f t="shared" si="59"/>
        <v/>
      </c>
      <c r="Z213" s="49"/>
      <c r="AA213" s="49"/>
      <c r="AB213" s="49"/>
      <c r="AC213" s="47"/>
      <c r="AD213" s="48" t="str">
        <f t="shared" si="62"/>
        <v/>
      </c>
      <c r="AE213" s="48" t="str">
        <f t="shared" si="63"/>
        <v/>
      </c>
      <c r="AF213" s="75" t="str">
        <f t="shared" si="64"/>
        <v/>
      </c>
      <c r="AG213" s="76">
        <f t="shared" si="65"/>
        <v>0</v>
      </c>
      <c r="AH213" s="76">
        <f t="shared" si="66"/>
        <v>0</v>
      </c>
      <c r="AI213" s="75">
        <f t="shared" si="67"/>
        <v>0</v>
      </c>
      <c r="AJ213" s="47"/>
      <c r="AL213" s="47"/>
      <c r="AN213" s="47"/>
      <c r="AO213" s="47" t="str">
        <f t="shared" si="60"/>
        <v/>
      </c>
    </row>
    <row r="214" spans="1:41" s="56" customFormat="1" ht="14">
      <c r="A214" s="44"/>
      <c r="B214" s="45"/>
      <c r="C214" s="46">
        <f t="shared" si="51"/>
        <v>0</v>
      </c>
      <c r="D214" s="47"/>
      <c r="E214" s="47"/>
      <c r="F214" s="47"/>
      <c r="G214" s="47"/>
      <c r="H214" s="48"/>
      <c r="I214" s="74" t="str">
        <f t="shared" si="52"/>
        <v/>
      </c>
      <c r="J214" s="49"/>
      <c r="K214" s="49"/>
      <c r="L214" s="49"/>
      <c r="M214" s="47"/>
      <c r="N214" s="48" t="str">
        <f t="shared" si="53"/>
        <v/>
      </c>
      <c r="O214" s="48" t="str">
        <f t="shared" si="54"/>
        <v/>
      </c>
      <c r="P214" s="75" t="str">
        <f t="shared" si="55"/>
        <v/>
      </c>
      <c r="Q214" s="76">
        <f t="shared" si="56"/>
        <v>0</v>
      </c>
      <c r="R214" s="76">
        <f t="shared" si="57"/>
        <v>0</v>
      </c>
      <c r="S214" s="75">
        <f t="shared" si="61"/>
        <v>0</v>
      </c>
      <c r="T214" s="47"/>
      <c r="V214" s="57"/>
      <c r="W214" s="45"/>
      <c r="X214" s="46">
        <f t="shared" si="58"/>
        <v>0</v>
      </c>
      <c r="Y214" s="74" t="str">
        <f t="shared" si="59"/>
        <v/>
      </c>
      <c r="Z214" s="49"/>
      <c r="AA214" s="49"/>
      <c r="AB214" s="49"/>
      <c r="AC214" s="47"/>
      <c r="AD214" s="48" t="str">
        <f t="shared" si="62"/>
        <v/>
      </c>
      <c r="AE214" s="48" t="str">
        <f t="shared" si="63"/>
        <v/>
      </c>
      <c r="AF214" s="75" t="str">
        <f t="shared" si="64"/>
        <v/>
      </c>
      <c r="AG214" s="76">
        <f t="shared" si="65"/>
        <v>0</v>
      </c>
      <c r="AH214" s="76">
        <f t="shared" si="66"/>
        <v>0</v>
      </c>
      <c r="AI214" s="75">
        <f t="shared" si="67"/>
        <v>0</v>
      </c>
      <c r="AJ214" s="47"/>
      <c r="AL214" s="47"/>
      <c r="AN214" s="47"/>
      <c r="AO214" s="47" t="str">
        <f t="shared" si="60"/>
        <v/>
      </c>
    </row>
    <row r="215" spans="1:41" s="56" customFormat="1" ht="14">
      <c r="A215" s="44"/>
      <c r="B215" s="45"/>
      <c r="C215" s="46">
        <f t="shared" si="51"/>
        <v>0</v>
      </c>
      <c r="D215" s="47"/>
      <c r="E215" s="47"/>
      <c r="F215" s="47"/>
      <c r="G215" s="47"/>
      <c r="H215" s="48"/>
      <c r="I215" s="74" t="str">
        <f t="shared" si="52"/>
        <v/>
      </c>
      <c r="J215" s="49"/>
      <c r="K215" s="49"/>
      <c r="L215" s="49"/>
      <c r="M215" s="47"/>
      <c r="N215" s="48" t="str">
        <f t="shared" si="53"/>
        <v/>
      </c>
      <c r="O215" s="48" t="str">
        <f t="shared" si="54"/>
        <v/>
      </c>
      <c r="P215" s="75" t="str">
        <f t="shared" si="55"/>
        <v/>
      </c>
      <c r="Q215" s="76">
        <f t="shared" si="56"/>
        <v>0</v>
      </c>
      <c r="R215" s="76">
        <f t="shared" si="57"/>
        <v>0</v>
      </c>
      <c r="S215" s="75">
        <f t="shared" si="61"/>
        <v>0</v>
      </c>
      <c r="T215" s="47"/>
      <c r="V215" s="57"/>
      <c r="W215" s="45"/>
      <c r="X215" s="46">
        <f t="shared" si="58"/>
        <v>0</v>
      </c>
      <c r="Y215" s="74" t="str">
        <f t="shared" si="59"/>
        <v/>
      </c>
      <c r="Z215" s="49"/>
      <c r="AA215" s="49"/>
      <c r="AB215" s="49"/>
      <c r="AC215" s="47"/>
      <c r="AD215" s="48" t="str">
        <f t="shared" si="62"/>
        <v/>
      </c>
      <c r="AE215" s="48" t="str">
        <f t="shared" si="63"/>
        <v/>
      </c>
      <c r="AF215" s="75" t="str">
        <f t="shared" si="64"/>
        <v/>
      </c>
      <c r="AG215" s="76">
        <f t="shared" si="65"/>
        <v>0</v>
      </c>
      <c r="AH215" s="76">
        <f t="shared" si="66"/>
        <v>0</v>
      </c>
      <c r="AI215" s="75">
        <f t="shared" si="67"/>
        <v>0</v>
      </c>
      <c r="AJ215" s="47"/>
      <c r="AL215" s="47"/>
      <c r="AN215" s="47"/>
      <c r="AO215" s="47" t="str">
        <f t="shared" si="60"/>
        <v/>
      </c>
    </row>
    <row r="216" spans="1:41" s="56" customFormat="1" ht="14">
      <c r="A216" s="44"/>
      <c r="B216" s="45"/>
      <c r="C216" s="46">
        <f t="shared" si="51"/>
        <v>0</v>
      </c>
      <c r="D216" s="47"/>
      <c r="E216" s="47"/>
      <c r="F216" s="47"/>
      <c r="G216" s="47"/>
      <c r="H216" s="48"/>
      <c r="I216" s="74" t="str">
        <f t="shared" si="52"/>
        <v/>
      </c>
      <c r="J216" s="49"/>
      <c r="K216" s="49"/>
      <c r="L216" s="49"/>
      <c r="M216" s="47"/>
      <c r="N216" s="48" t="str">
        <f t="shared" si="53"/>
        <v/>
      </c>
      <c r="O216" s="48" t="str">
        <f t="shared" si="54"/>
        <v/>
      </c>
      <c r="P216" s="75" t="str">
        <f t="shared" si="55"/>
        <v/>
      </c>
      <c r="Q216" s="76">
        <f t="shared" si="56"/>
        <v>0</v>
      </c>
      <c r="R216" s="76">
        <f t="shared" si="57"/>
        <v>0</v>
      </c>
      <c r="S216" s="75">
        <f t="shared" si="61"/>
        <v>0</v>
      </c>
      <c r="T216" s="47"/>
      <c r="V216" s="57"/>
      <c r="W216" s="45"/>
      <c r="X216" s="46">
        <f t="shared" si="58"/>
        <v>0</v>
      </c>
      <c r="Y216" s="74" t="str">
        <f t="shared" si="59"/>
        <v/>
      </c>
      <c r="Z216" s="49"/>
      <c r="AA216" s="49"/>
      <c r="AB216" s="49"/>
      <c r="AC216" s="47"/>
      <c r="AD216" s="48" t="str">
        <f t="shared" si="62"/>
        <v/>
      </c>
      <c r="AE216" s="48" t="str">
        <f t="shared" si="63"/>
        <v/>
      </c>
      <c r="AF216" s="75" t="str">
        <f t="shared" si="64"/>
        <v/>
      </c>
      <c r="AG216" s="76">
        <f t="shared" si="65"/>
        <v>0</v>
      </c>
      <c r="AH216" s="76">
        <f t="shared" si="66"/>
        <v>0</v>
      </c>
      <c r="AI216" s="75">
        <f t="shared" si="67"/>
        <v>0</v>
      </c>
      <c r="AJ216" s="47"/>
      <c r="AL216" s="47"/>
      <c r="AN216" s="47"/>
      <c r="AO216" s="47" t="str">
        <f t="shared" si="60"/>
        <v/>
      </c>
    </row>
    <row r="217" spans="1:41" s="56" customFormat="1" ht="14">
      <c r="A217" s="44"/>
      <c r="B217" s="45"/>
      <c r="C217" s="46">
        <f t="shared" si="51"/>
        <v>0</v>
      </c>
      <c r="D217" s="47"/>
      <c r="E217" s="47"/>
      <c r="F217" s="47"/>
      <c r="G217" s="47"/>
      <c r="H217" s="48"/>
      <c r="I217" s="74" t="str">
        <f t="shared" si="52"/>
        <v/>
      </c>
      <c r="J217" s="49"/>
      <c r="K217" s="49"/>
      <c r="L217" s="49"/>
      <c r="M217" s="47"/>
      <c r="N217" s="48" t="str">
        <f t="shared" si="53"/>
        <v/>
      </c>
      <c r="O217" s="48" t="str">
        <f t="shared" si="54"/>
        <v/>
      </c>
      <c r="P217" s="75" t="str">
        <f t="shared" si="55"/>
        <v/>
      </c>
      <c r="Q217" s="76">
        <f t="shared" si="56"/>
        <v>0</v>
      </c>
      <c r="R217" s="76">
        <f t="shared" si="57"/>
        <v>0</v>
      </c>
      <c r="S217" s="75">
        <f t="shared" si="61"/>
        <v>0</v>
      </c>
      <c r="T217" s="47"/>
      <c r="V217" s="57"/>
      <c r="W217" s="45"/>
      <c r="X217" s="46">
        <f t="shared" si="58"/>
        <v>0</v>
      </c>
      <c r="Y217" s="74" t="str">
        <f t="shared" si="59"/>
        <v/>
      </c>
      <c r="Z217" s="49"/>
      <c r="AA217" s="49"/>
      <c r="AB217" s="49"/>
      <c r="AC217" s="47"/>
      <c r="AD217" s="48" t="str">
        <f t="shared" si="62"/>
        <v/>
      </c>
      <c r="AE217" s="48" t="str">
        <f t="shared" si="63"/>
        <v/>
      </c>
      <c r="AF217" s="75" t="str">
        <f t="shared" si="64"/>
        <v/>
      </c>
      <c r="AG217" s="76">
        <f t="shared" si="65"/>
        <v>0</v>
      </c>
      <c r="AH217" s="76">
        <f t="shared" si="66"/>
        <v>0</v>
      </c>
      <c r="AI217" s="75">
        <f t="shared" si="67"/>
        <v>0</v>
      </c>
      <c r="AJ217" s="47"/>
      <c r="AL217" s="47"/>
      <c r="AN217" s="47"/>
      <c r="AO217" s="47" t="str">
        <f t="shared" si="60"/>
        <v/>
      </c>
    </row>
    <row r="218" spans="1:41" s="56" customFormat="1" ht="14">
      <c r="A218" s="44"/>
      <c r="B218" s="45"/>
      <c r="C218" s="46">
        <f t="shared" si="51"/>
        <v>0</v>
      </c>
      <c r="D218" s="47"/>
      <c r="E218" s="47"/>
      <c r="F218" s="47"/>
      <c r="G218" s="47"/>
      <c r="H218" s="48"/>
      <c r="I218" s="74" t="str">
        <f t="shared" si="52"/>
        <v/>
      </c>
      <c r="J218" s="49"/>
      <c r="K218" s="49"/>
      <c r="L218" s="49"/>
      <c r="M218" s="47"/>
      <c r="N218" s="48" t="str">
        <f t="shared" si="53"/>
        <v/>
      </c>
      <c r="O218" s="48" t="str">
        <f t="shared" si="54"/>
        <v/>
      </c>
      <c r="P218" s="75" t="str">
        <f t="shared" si="55"/>
        <v/>
      </c>
      <c r="Q218" s="76">
        <f t="shared" si="56"/>
        <v>0</v>
      </c>
      <c r="R218" s="76">
        <f t="shared" si="57"/>
        <v>0</v>
      </c>
      <c r="S218" s="75">
        <f t="shared" si="61"/>
        <v>0</v>
      </c>
      <c r="T218" s="47"/>
      <c r="V218" s="57"/>
      <c r="W218" s="45"/>
      <c r="X218" s="46">
        <f t="shared" si="58"/>
        <v>0</v>
      </c>
      <c r="Y218" s="74" t="str">
        <f t="shared" si="59"/>
        <v/>
      </c>
      <c r="Z218" s="49"/>
      <c r="AA218" s="49"/>
      <c r="AB218" s="49"/>
      <c r="AC218" s="47"/>
      <c r="AD218" s="48" t="str">
        <f t="shared" si="62"/>
        <v/>
      </c>
      <c r="AE218" s="48" t="str">
        <f t="shared" si="63"/>
        <v/>
      </c>
      <c r="AF218" s="75" t="str">
        <f t="shared" si="64"/>
        <v/>
      </c>
      <c r="AG218" s="76">
        <f t="shared" si="65"/>
        <v>0</v>
      </c>
      <c r="AH218" s="76">
        <f t="shared" si="66"/>
        <v>0</v>
      </c>
      <c r="AI218" s="75">
        <f t="shared" si="67"/>
        <v>0</v>
      </c>
      <c r="AJ218" s="47"/>
      <c r="AL218" s="47"/>
      <c r="AN218" s="47"/>
      <c r="AO218" s="47" t="str">
        <f t="shared" si="60"/>
        <v/>
      </c>
    </row>
    <row r="219" spans="1:41" s="56" customFormat="1" ht="14">
      <c r="A219" s="44"/>
      <c r="B219" s="45"/>
      <c r="C219" s="46">
        <f t="shared" si="51"/>
        <v>0</v>
      </c>
      <c r="D219" s="47"/>
      <c r="E219" s="47"/>
      <c r="F219" s="47"/>
      <c r="G219" s="47"/>
      <c r="H219" s="48"/>
      <c r="I219" s="74" t="str">
        <f t="shared" si="52"/>
        <v/>
      </c>
      <c r="J219" s="49"/>
      <c r="K219" s="49"/>
      <c r="L219" s="49"/>
      <c r="M219" s="47"/>
      <c r="N219" s="48" t="str">
        <f t="shared" si="53"/>
        <v/>
      </c>
      <c r="O219" s="48" t="str">
        <f t="shared" si="54"/>
        <v/>
      </c>
      <c r="P219" s="75" t="str">
        <f t="shared" si="55"/>
        <v/>
      </c>
      <c r="Q219" s="76">
        <f t="shared" si="56"/>
        <v>0</v>
      </c>
      <c r="R219" s="76">
        <f t="shared" si="57"/>
        <v>0</v>
      </c>
      <c r="S219" s="75">
        <f t="shared" si="61"/>
        <v>0</v>
      </c>
      <c r="T219" s="47"/>
      <c r="V219" s="57"/>
      <c r="W219" s="45"/>
      <c r="X219" s="46">
        <f t="shared" si="58"/>
        <v>0</v>
      </c>
      <c r="Y219" s="74" t="str">
        <f t="shared" si="59"/>
        <v/>
      </c>
      <c r="Z219" s="49"/>
      <c r="AA219" s="49"/>
      <c r="AB219" s="49"/>
      <c r="AC219" s="47"/>
      <c r="AD219" s="48" t="str">
        <f t="shared" si="62"/>
        <v/>
      </c>
      <c r="AE219" s="48" t="str">
        <f t="shared" si="63"/>
        <v/>
      </c>
      <c r="AF219" s="75" t="str">
        <f t="shared" si="64"/>
        <v/>
      </c>
      <c r="AG219" s="76">
        <f t="shared" si="65"/>
        <v>0</v>
      </c>
      <c r="AH219" s="76">
        <f t="shared" si="66"/>
        <v>0</v>
      </c>
      <c r="AI219" s="75">
        <f t="shared" si="67"/>
        <v>0</v>
      </c>
      <c r="AJ219" s="47"/>
      <c r="AL219" s="47"/>
      <c r="AN219" s="47"/>
      <c r="AO219" s="47" t="str">
        <f t="shared" si="60"/>
        <v/>
      </c>
    </row>
    <row r="220" spans="1:41" s="56" customFormat="1" ht="14">
      <c r="A220" s="44"/>
      <c r="B220" s="45"/>
      <c r="C220" s="46">
        <f t="shared" si="51"/>
        <v>0</v>
      </c>
      <c r="D220" s="47"/>
      <c r="E220" s="47"/>
      <c r="F220" s="47"/>
      <c r="G220" s="47"/>
      <c r="H220" s="48"/>
      <c r="I220" s="74" t="str">
        <f t="shared" si="52"/>
        <v/>
      </c>
      <c r="J220" s="49"/>
      <c r="K220" s="49"/>
      <c r="L220" s="49"/>
      <c r="M220" s="47"/>
      <c r="N220" s="48" t="str">
        <f t="shared" si="53"/>
        <v/>
      </c>
      <c r="O220" s="48" t="str">
        <f t="shared" si="54"/>
        <v/>
      </c>
      <c r="P220" s="75" t="str">
        <f t="shared" si="55"/>
        <v/>
      </c>
      <c r="Q220" s="76">
        <f t="shared" si="56"/>
        <v>0</v>
      </c>
      <c r="R220" s="76">
        <f t="shared" si="57"/>
        <v>0</v>
      </c>
      <c r="S220" s="75">
        <f t="shared" si="61"/>
        <v>0</v>
      </c>
      <c r="T220" s="47"/>
      <c r="V220" s="57"/>
      <c r="W220" s="45"/>
      <c r="X220" s="46">
        <f t="shared" si="58"/>
        <v>0</v>
      </c>
      <c r="Y220" s="74" t="str">
        <f t="shared" si="59"/>
        <v/>
      </c>
      <c r="Z220" s="49"/>
      <c r="AA220" s="49"/>
      <c r="AB220" s="49"/>
      <c r="AC220" s="47"/>
      <c r="AD220" s="48" t="str">
        <f t="shared" si="62"/>
        <v/>
      </c>
      <c r="AE220" s="48" t="str">
        <f t="shared" si="63"/>
        <v/>
      </c>
      <c r="AF220" s="75" t="str">
        <f t="shared" si="64"/>
        <v/>
      </c>
      <c r="AG220" s="76">
        <f t="shared" si="65"/>
        <v>0</v>
      </c>
      <c r="AH220" s="76">
        <f t="shared" si="66"/>
        <v>0</v>
      </c>
      <c r="AI220" s="75">
        <f t="shared" si="67"/>
        <v>0</v>
      </c>
      <c r="AJ220" s="47"/>
      <c r="AL220" s="47"/>
      <c r="AN220" s="47"/>
      <c r="AO220" s="47" t="str">
        <f t="shared" si="60"/>
        <v/>
      </c>
    </row>
    <row r="221" spans="1:41" s="56" customFormat="1" ht="14">
      <c r="A221" s="44"/>
      <c r="B221" s="45"/>
      <c r="C221" s="46">
        <f t="shared" si="51"/>
        <v>0</v>
      </c>
      <c r="D221" s="47"/>
      <c r="E221" s="47"/>
      <c r="F221" s="47"/>
      <c r="G221" s="47"/>
      <c r="H221" s="48"/>
      <c r="I221" s="74" t="str">
        <f t="shared" si="52"/>
        <v/>
      </c>
      <c r="J221" s="49"/>
      <c r="K221" s="49"/>
      <c r="L221" s="49"/>
      <c r="M221" s="47"/>
      <c r="N221" s="48" t="str">
        <f t="shared" si="53"/>
        <v/>
      </c>
      <c r="O221" s="48" t="str">
        <f t="shared" si="54"/>
        <v/>
      </c>
      <c r="P221" s="75" t="str">
        <f t="shared" si="55"/>
        <v/>
      </c>
      <c r="Q221" s="76">
        <f t="shared" si="56"/>
        <v>0</v>
      </c>
      <c r="R221" s="76">
        <f t="shared" si="57"/>
        <v>0</v>
      </c>
      <c r="S221" s="75">
        <f t="shared" si="61"/>
        <v>0</v>
      </c>
      <c r="T221" s="47"/>
      <c r="V221" s="57"/>
      <c r="W221" s="45"/>
      <c r="X221" s="46">
        <f t="shared" si="58"/>
        <v>0</v>
      </c>
      <c r="Y221" s="74" t="str">
        <f t="shared" si="59"/>
        <v/>
      </c>
      <c r="Z221" s="49"/>
      <c r="AA221" s="49"/>
      <c r="AB221" s="49"/>
      <c r="AC221" s="47"/>
      <c r="AD221" s="48" t="str">
        <f t="shared" si="62"/>
        <v/>
      </c>
      <c r="AE221" s="48" t="str">
        <f t="shared" si="63"/>
        <v/>
      </c>
      <c r="AF221" s="75" t="str">
        <f t="shared" si="64"/>
        <v/>
      </c>
      <c r="AG221" s="76">
        <f t="shared" si="65"/>
        <v>0</v>
      </c>
      <c r="AH221" s="76">
        <f t="shared" si="66"/>
        <v>0</v>
      </c>
      <c r="AI221" s="75">
        <f t="shared" si="67"/>
        <v>0</v>
      </c>
      <c r="AJ221" s="47"/>
      <c r="AL221" s="47"/>
      <c r="AN221" s="47"/>
      <c r="AO221" s="47" t="str">
        <f t="shared" si="60"/>
        <v/>
      </c>
    </row>
    <row r="222" spans="1:41" s="56" customFormat="1" ht="14">
      <c r="A222" s="44"/>
      <c r="B222" s="45"/>
      <c r="C222" s="46">
        <f t="shared" si="51"/>
        <v>0</v>
      </c>
      <c r="D222" s="47"/>
      <c r="E222" s="47"/>
      <c r="F222" s="47"/>
      <c r="G222" s="47"/>
      <c r="H222" s="48"/>
      <c r="I222" s="74" t="str">
        <f t="shared" si="52"/>
        <v/>
      </c>
      <c r="J222" s="49"/>
      <c r="K222" s="49"/>
      <c r="L222" s="49"/>
      <c r="M222" s="47"/>
      <c r="N222" s="48" t="str">
        <f t="shared" si="53"/>
        <v/>
      </c>
      <c r="O222" s="48" t="str">
        <f t="shared" si="54"/>
        <v/>
      </c>
      <c r="P222" s="75" t="str">
        <f t="shared" si="55"/>
        <v/>
      </c>
      <c r="Q222" s="76">
        <f t="shared" si="56"/>
        <v>0</v>
      </c>
      <c r="R222" s="76">
        <f t="shared" si="57"/>
        <v>0</v>
      </c>
      <c r="S222" s="75">
        <f t="shared" si="61"/>
        <v>0</v>
      </c>
      <c r="T222" s="47"/>
      <c r="V222" s="57"/>
      <c r="W222" s="45"/>
      <c r="X222" s="46">
        <f t="shared" si="58"/>
        <v>0</v>
      </c>
      <c r="Y222" s="74" t="str">
        <f t="shared" si="59"/>
        <v/>
      </c>
      <c r="Z222" s="49"/>
      <c r="AA222" s="49"/>
      <c r="AB222" s="49"/>
      <c r="AC222" s="47"/>
      <c r="AD222" s="48" t="str">
        <f t="shared" si="62"/>
        <v/>
      </c>
      <c r="AE222" s="48" t="str">
        <f t="shared" si="63"/>
        <v/>
      </c>
      <c r="AF222" s="75" t="str">
        <f t="shared" si="64"/>
        <v/>
      </c>
      <c r="AG222" s="76">
        <f t="shared" si="65"/>
        <v>0</v>
      </c>
      <c r="AH222" s="76">
        <f t="shared" si="66"/>
        <v>0</v>
      </c>
      <c r="AI222" s="75">
        <f t="shared" si="67"/>
        <v>0</v>
      </c>
      <c r="AJ222" s="47"/>
      <c r="AL222" s="47"/>
      <c r="AN222" s="47"/>
      <c r="AO222" s="47" t="str">
        <f t="shared" si="60"/>
        <v/>
      </c>
    </row>
    <row r="223" spans="1:41" s="56" customFormat="1" ht="14">
      <c r="A223" s="44"/>
      <c r="B223" s="45"/>
      <c r="C223" s="46">
        <f t="shared" si="51"/>
        <v>0</v>
      </c>
      <c r="D223" s="47"/>
      <c r="E223" s="47"/>
      <c r="F223" s="47"/>
      <c r="G223" s="47"/>
      <c r="H223" s="48"/>
      <c r="I223" s="74" t="str">
        <f t="shared" si="52"/>
        <v/>
      </c>
      <c r="J223" s="49"/>
      <c r="K223" s="49"/>
      <c r="L223" s="49"/>
      <c r="M223" s="47"/>
      <c r="N223" s="48" t="str">
        <f t="shared" si="53"/>
        <v/>
      </c>
      <c r="O223" s="48" t="str">
        <f t="shared" si="54"/>
        <v/>
      </c>
      <c r="P223" s="75" t="str">
        <f t="shared" si="55"/>
        <v/>
      </c>
      <c r="Q223" s="76">
        <f t="shared" si="56"/>
        <v>0</v>
      </c>
      <c r="R223" s="76">
        <f t="shared" si="57"/>
        <v>0</v>
      </c>
      <c r="S223" s="75">
        <f t="shared" si="61"/>
        <v>0</v>
      </c>
      <c r="T223" s="47"/>
      <c r="V223" s="57"/>
      <c r="W223" s="45"/>
      <c r="X223" s="46">
        <f t="shared" si="58"/>
        <v>0</v>
      </c>
      <c r="Y223" s="74" t="str">
        <f t="shared" si="59"/>
        <v/>
      </c>
      <c r="Z223" s="49"/>
      <c r="AA223" s="49"/>
      <c r="AB223" s="49"/>
      <c r="AC223" s="47"/>
      <c r="AD223" s="48" t="str">
        <f t="shared" si="62"/>
        <v/>
      </c>
      <c r="AE223" s="48" t="str">
        <f t="shared" si="63"/>
        <v/>
      </c>
      <c r="AF223" s="75" t="str">
        <f t="shared" si="64"/>
        <v/>
      </c>
      <c r="AG223" s="76">
        <f t="shared" si="65"/>
        <v>0</v>
      </c>
      <c r="AH223" s="76">
        <f t="shared" si="66"/>
        <v>0</v>
      </c>
      <c r="AI223" s="75">
        <f t="shared" si="67"/>
        <v>0</v>
      </c>
      <c r="AJ223" s="47"/>
      <c r="AL223" s="47"/>
      <c r="AN223" s="47"/>
      <c r="AO223" s="47" t="str">
        <f t="shared" si="60"/>
        <v/>
      </c>
    </row>
    <row r="224" spans="1:41" s="56" customFormat="1" ht="14">
      <c r="A224" s="44"/>
      <c r="B224" s="45"/>
      <c r="C224" s="46">
        <f t="shared" si="51"/>
        <v>0</v>
      </c>
      <c r="D224" s="47"/>
      <c r="E224" s="47"/>
      <c r="F224" s="47"/>
      <c r="G224" s="47"/>
      <c r="H224" s="48"/>
      <c r="I224" s="74" t="str">
        <f t="shared" si="52"/>
        <v/>
      </c>
      <c r="J224" s="49"/>
      <c r="K224" s="49"/>
      <c r="L224" s="49"/>
      <c r="M224" s="47"/>
      <c r="N224" s="48" t="str">
        <f t="shared" si="53"/>
        <v/>
      </c>
      <c r="O224" s="48" t="str">
        <f t="shared" si="54"/>
        <v/>
      </c>
      <c r="P224" s="75" t="str">
        <f t="shared" si="55"/>
        <v/>
      </c>
      <c r="Q224" s="76">
        <f t="shared" si="56"/>
        <v>0</v>
      </c>
      <c r="R224" s="76">
        <f t="shared" si="57"/>
        <v>0</v>
      </c>
      <c r="S224" s="75">
        <f t="shared" si="61"/>
        <v>0</v>
      </c>
      <c r="T224" s="47"/>
      <c r="V224" s="57"/>
      <c r="W224" s="45"/>
      <c r="X224" s="46">
        <f t="shared" si="58"/>
        <v>0</v>
      </c>
      <c r="Y224" s="74" t="str">
        <f t="shared" si="59"/>
        <v/>
      </c>
      <c r="Z224" s="49"/>
      <c r="AA224" s="49"/>
      <c r="AB224" s="49"/>
      <c r="AC224" s="47"/>
      <c r="AD224" s="48" t="str">
        <f t="shared" si="62"/>
        <v/>
      </c>
      <c r="AE224" s="48" t="str">
        <f t="shared" si="63"/>
        <v/>
      </c>
      <c r="AF224" s="75" t="str">
        <f t="shared" si="64"/>
        <v/>
      </c>
      <c r="AG224" s="76">
        <f t="shared" si="65"/>
        <v>0</v>
      </c>
      <c r="AH224" s="76">
        <f t="shared" si="66"/>
        <v>0</v>
      </c>
      <c r="AI224" s="75">
        <f t="shared" si="67"/>
        <v>0</v>
      </c>
      <c r="AJ224" s="47"/>
      <c r="AL224" s="47"/>
      <c r="AN224" s="47"/>
      <c r="AO224" s="47" t="str">
        <f t="shared" si="60"/>
        <v/>
      </c>
    </row>
    <row r="225" spans="1:41" s="56" customFormat="1" ht="14">
      <c r="A225" s="44"/>
      <c r="B225" s="45"/>
      <c r="C225" s="46">
        <f t="shared" si="51"/>
        <v>0</v>
      </c>
      <c r="D225" s="47"/>
      <c r="E225" s="47"/>
      <c r="F225" s="47"/>
      <c r="G225" s="47"/>
      <c r="H225" s="48"/>
      <c r="I225" s="74" t="str">
        <f t="shared" si="52"/>
        <v/>
      </c>
      <c r="J225" s="49"/>
      <c r="K225" s="49"/>
      <c r="L225" s="49"/>
      <c r="M225" s="47"/>
      <c r="N225" s="48" t="str">
        <f t="shared" si="53"/>
        <v/>
      </c>
      <c r="O225" s="48" t="str">
        <f t="shared" si="54"/>
        <v/>
      </c>
      <c r="P225" s="75" t="str">
        <f t="shared" si="55"/>
        <v/>
      </c>
      <c r="Q225" s="76">
        <f t="shared" si="56"/>
        <v>0</v>
      </c>
      <c r="R225" s="76">
        <f t="shared" si="57"/>
        <v>0</v>
      </c>
      <c r="S225" s="75">
        <f t="shared" si="61"/>
        <v>0</v>
      </c>
      <c r="T225" s="47"/>
      <c r="V225" s="57"/>
      <c r="W225" s="45"/>
      <c r="X225" s="46">
        <f t="shared" si="58"/>
        <v>0</v>
      </c>
      <c r="Y225" s="74" t="str">
        <f t="shared" si="59"/>
        <v/>
      </c>
      <c r="Z225" s="49"/>
      <c r="AA225" s="49"/>
      <c r="AB225" s="49"/>
      <c r="AC225" s="47"/>
      <c r="AD225" s="48" t="str">
        <f t="shared" si="62"/>
        <v/>
      </c>
      <c r="AE225" s="48" t="str">
        <f t="shared" si="63"/>
        <v/>
      </c>
      <c r="AF225" s="75" t="str">
        <f t="shared" si="64"/>
        <v/>
      </c>
      <c r="AG225" s="76">
        <f t="shared" si="65"/>
        <v>0</v>
      </c>
      <c r="AH225" s="76">
        <f t="shared" si="66"/>
        <v>0</v>
      </c>
      <c r="AI225" s="75">
        <f t="shared" si="67"/>
        <v>0</v>
      </c>
      <c r="AJ225" s="47"/>
      <c r="AL225" s="47"/>
      <c r="AN225" s="47"/>
      <c r="AO225" s="47" t="str">
        <f t="shared" si="60"/>
        <v/>
      </c>
    </row>
    <row r="226" spans="1:41" s="56" customFormat="1" ht="14">
      <c r="A226" s="44"/>
      <c r="B226" s="45"/>
      <c r="C226" s="46">
        <f t="shared" si="51"/>
        <v>0</v>
      </c>
      <c r="D226" s="47"/>
      <c r="E226" s="47"/>
      <c r="F226" s="47"/>
      <c r="G226" s="47"/>
      <c r="H226" s="48"/>
      <c r="I226" s="74" t="str">
        <f t="shared" si="52"/>
        <v/>
      </c>
      <c r="J226" s="49"/>
      <c r="K226" s="49"/>
      <c r="L226" s="49"/>
      <c r="M226" s="47"/>
      <c r="N226" s="48" t="str">
        <f t="shared" si="53"/>
        <v/>
      </c>
      <c r="O226" s="48" t="str">
        <f t="shared" si="54"/>
        <v/>
      </c>
      <c r="P226" s="75" t="str">
        <f t="shared" si="55"/>
        <v/>
      </c>
      <c r="Q226" s="76">
        <f t="shared" si="56"/>
        <v>0</v>
      </c>
      <c r="R226" s="76">
        <f t="shared" si="57"/>
        <v>0</v>
      </c>
      <c r="S226" s="75">
        <f t="shared" si="61"/>
        <v>0</v>
      </c>
      <c r="T226" s="47"/>
      <c r="V226" s="57"/>
      <c r="W226" s="45"/>
      <c r="X226" s="46">
        <f t="shared" si="58"/>
        <v>0</v>
      </c>
      <c r="Y226" s="74" t="str">
        <f t="shared" si="59"/>
        <v/>
      </c>
      <c r="Z226" s="49"/>
      <c r="AA226" s="49"/>
      <c r="AB226" s="49"/>
      <c r="AC226" s="47"/>
      <c r="AD226" s="48" t="str">
        <f t="shared" si="62"/>
        <v/>
      </c>
      <c r="AE226" s="48" t="str">
        <f t="shared" si="63"/>
        <v/>
      </c>
      <c r="AF226" s="75" t="str">
        <f t="shared" si="64"/>
        <v/>
      </c>
      <c r="AG226" s="76">
        <f t="shared" si="65"/>
        <v>0</v>
      </c>
      <c r="AH226" s="76">
        <f t="shared" si="66"/>
        <v>0</v>
      </c>
      <c r="AI226" s="75">
        <f t="shared" si="67"/>
        <v>0</v>
      </c>
      <c r="AJ226" s="47"/>
      <c r="AL226" s="47"/>
      <c r="AN226" s="47"/>
      <c r="AO226" s="47" t="str">
        <f t="shared" si="60"/>
        <v/>
      </c>
    </row>
    <row r="227" spans="1:41" s="56" customFormat="1" ht="14">
      <c r="A227" s="44"/>
      <c r="B227" s="45"/>
      <c r="C227" s="46">
        <f t="shared" si="51"/>
        <v>0</v>
      </c>
      <c r="D227" s="47"/>
      <c r="E227" s="47"/>
      <c r="F227" s="47"/>
      <c r="G227" s="47"/>
      <c r="H227" s="48"/>
      <c r="I227" s="74" t="str">
        <f t="shared" si="52"/>
        <v/>
      </c>
      <c r="J227" s="49"/>
      <c r="K227" s="49"/>
      <c r="L227" s="49"/>
      <c r="M227" s="47"/>
      <c r="N227" s="48" t="str">
        <f t="shared" si="53"/>
        <v/>
      </c>
      <c r="O227" s="48" t="str">
        <f t="shared" si="54"/>
        <v/>
      </c>
      <c r="P227" s="75" t="str">
        <f t="shared" si="55"/>
        <v/>
      </c>
      <c r="Q227" s="76">
        <f t="shared" si="56"/>
        <v>0</v>
      </c>
      <c r="R227" s="76">
        <f t="shared" si="57"/>
        <v>0</v>
      </c>
      <c r="S227" s="75">
        <f t="shared" si="61"/>
        <v>0</v>
      </c>
      <c r="T227" s="47"/>
      <c r="V227" s="57"/>
      <c r="W227" s="45"/>
      <c r="X227" s="46">
        <f t="shared" si="58"/>
        <v>0</v>
      </c>
      <c r="Y227" s="74" t="str">
        <f t="shared" si="59"/>
        <v/>
      </c>
      <c r="Z227" s="49"/>
      <c r="AA227" s="49"/>
      <c r="AB227" s="49"/>
      <c r="AC227" s="47"/>
      <c r="AD227" s="48" t="str">
        <f t="shared" si="62"/>
        <v/>
      </c>
      <c r="AE227" s="48" t="str">
        <f t="shared" si="63"/>
        <v/>
      </c>
      <c r="AF227" s="75" t="str">
        <f t="shared" si="64"/>
        <v/>
      </c>
      <c r="AG227" s="76">
        <f t="shared" si="65"/>
        <v>0</v>
      </c>
      <c r="AH227" s="76">
        <f t="shared" si="66"/>
        <v>0</v>
      </c>
      <c r="AI227" s="75">
        <f t="shared" si="67"/>
        <v>0</v>
      </c>
      <c r="AJ227" s="47"/>
      <c r="AL227" s="47"/>
      <c r="AN227" s="47"/>
      <c r="AO227" s="47" t="str">
        <f t="shared" si="60"/>
        <v/>
      </c>
    </row>
    <row r="228" spans="1:41" s="56" customFormat="1" ht="14">
      <c r="A228" s="44"/>
      <c r="B228" s="45"/>
      <c r="C228" s="46">
        <f t="shared" si="51"/>
        <v>0</v>
      </c>
      <c r="D228" s="47"/>
      <c r="E228" s="47"/>
      <c r="F228" s="47"/>
      <c r="G228" s="47"/>
      <c r="H228" s="48"/>
      <c r="I228" s="74" t="str">
        <f t="shared" si="52"/>
        <v/>
      </c>
      <c r="J228" s="49"/>
      <c r="K228" s="49"/>
      <c r="L228" s="49"/>
      <c r="M228" s="47"/>
      <c r="N228" s="48" t="str">
        <f t="shared" si="53"/>
        <v/>
      </c>
      <c r="O228" s="48" t="str">
        <f t="shared" si="54"/>
        <v/>
      </c>
      <c r="P228" s="75" t="str">
        <f t="shared" si="55"/>
        <v/>
      </c>
      <c r="Q228" s="76">
        <f t="shared" si="56"/>
        <v>0</v>
      </c>
      <c r="R228" s="76">
        <f t="shared" si="57"/>
        <v>0</v>
      </c>
      <c r="S228" s="75">
        <f t="shared" si="61"/>
        <v>0</v>
      </c>
      <c r="T228" s="47"/>
      <c r="V228" s="57"/>
      <c r="W228" s="45"/>
      <c r="X228" s="46">
        <f t="shared" si="58"/>
        <v>0</v>
      </c>
      <c r="Y228" s="74" t="str">
        <f t="shared" si="59"/>
        <v/>
      </c>
      <c r="Z228" s="49"/>
      <c r="AA228" s="49"/>
      <c r="AB228" s="49"/>
      <c r="AC228" s="47"/>
      <c r="AD228" s="48" t="str">
        <f t="shared" si="62"/>
        <v/>
      </c>
      <c r="AE228" s="48" t="str">
        <f t="shared" si="63"/>
        <v/>
      </c>
      <c r="AF228" s="75" t="str">
        <f t="shared" si="64"/>
        <v/>
      </c>
      <c r="AG228" s="76">
        <f t="shared" si="65"/>
        <v>0</v>
      </c>
      <c r="AH228" s="76">
        <f t="shared" si="66"/>
        <v>0</v>
      </c>
      <c r="AI228" s="75">
        <f t="shared" si="67"/>
        <v>0</v>
      </c>
      <c r="AJ228" s="47"/>
      <c r="AL228" s="47"/>
      <c r="AN228" s="47"/>
      <c r="AO228" s="47" t="str">
        <f t="shared" si="60"/>
        <v/>
      </c>
    </row>
    <row r="229" spans="1:41" s="56" customFormat="1" ht="14">
      <c r="A229" s="44"/>
      <c r="B229" s="45"/>
      <c r="C229" s="46">
        <f t="shared" si="51"/>
        <v>0</v>
      </c>
      <c r="D229" s="47"/>
      <c r="E229" s="47"/>
      <c r="F229" s="47"/>
      <c r="G229" s="47"/>
      <c r="H229" s="48"/>
      <c r="I229" s="74" t="str">
        <f t="shared" si="52"/>
        <v/>
      </c>
      <c r="J229" s="49"/>
      <c r="K229" s="49"/>
      <c r="L229" s="49"/>
      <c r="M229" s="47"/>
      <c r="N229" s="48" t="str">
        <f t="shared" si="53"/>
        <v/>
      </c>
      <c r="O229" s="48" t="str">
        <f t="shared" si="54"/>
        <v/>
      </c>
      <c r="P229" s="75" t="str">
        <f t="shared" si="55"/>
        <v/>
      </c>
      <c r="Q229" s="76">
        <f t="shared" si="56"/>
        <v>0</v>
      </c>
      <c r="R229" s="76">
        <f t="shared" si="57"/>
        <v>0</v>
      </c>
      <c r="S229" s="75">
        <f t="shared" si="61"/>
        <v>0</v>
      </c>
      <c r="T229" s="47"/>
      <c r="V229" s="57"/>
      <c r="W229" s="45"/>
      <c r="X229" s="46">
        <f t="shared" si="58"/>
        <v>0</v>
      </c>
      <c r="Y229" s="74" t="str">
        <f t="shared" si="59"/>
        <v/>
      </c>
      <c r="Z229" s="49"/>
      <c r="AA229" s="49"/>
      <c r="AB229" s="49"/>
      <c r="AC229" s="47"/>
      <c r="AD229" s="48" t="str">
        <f t="shared" si="62"/>
        <v/>
      </c>
      <c r="AE229" s="48" t="str">
        <f t="shared" si="63"/>
        <v/>
      </c>
      <c r="AF229" s="75" t="str">
        <f t="shared" si="64"/>
        <v/>
      </c>
      <c r="AG229" s="76">
        <f t="shared" si="65"/>
        <v>0</v>
      </c>
      <c r="AH229" s="76">
        <f t="shared" si="66"/>
        <v>0</v>
      </c>
      <c r="AI229" s="75">
        <f t="shared" si="67"/>
        <v>0</v>
      </c>
      <c r="AJ229" s="47"/>
      <c r="AL229" s="47"/>
      <c r="AN229" s="47"/>
      <c r="AO229" s="47" t="str">
        <f t="shared" si="60"/>
        <v/>
      </c>
    </row>
    <row r="230" spans="1:41" s="56" customFormat="1" ht="14">
      <c r="A230" s="44"/>
      <c r="B230" s="45"/>
      <c r="C230" s="46">
        <f t="shared" si="51"/>
        <v>0</v>
      </c>
      <c r="D230" s="47"/>
      <c r="E230" s="47"/>
      <c r="F230" s="47"/>
      <c r="G230" s="47"/>
      <c r="H230" s="48"/>
      <c r="I230" s="74" t="str">
        <f t="shared" si="52"/>
        <v/>
      </c>
      <c r="J230" s="49"/>
      <c r="K230" s="49"/>
      <c r="L230" s="49"/>
      <c r="M230" s="47"/>
      <c r="N230" s="48" t="str">
        <f t="shared" si="53"/>
        <v/>
      </c>
      <c r="O230" s="48" t="str">
        <f t="shared" si="54"/>
        <v/>
      </c>
      <c r="P230" s="75" t="str">
        <f t="shared" si="55"/>
        <v/>
      </c>
      <c r="Q230" s="76">
        <f t="shared" si="56"/>
        <v>0</v>
      </c>
      <c r="R230" s="76">
        <f t="shared" si="57"/>
        <v>0</v>
      </c>
      <c r="S230" s="75">
        <f t="shared" si="61"/>
        <v>0</v>
      </c>
      <c r="T230" s="47"/>
      <c r="V230" s="57"/>
      <c r="W230" s="45"/>
      <c r="X230" s="46">
        <f t="shared" si="58"/>
        <v>0</v>
      </c>
      <c r="Y230" s="74" t="str">
        <f t="shared" si="59"/>
        <v/>
      </c>
      <c r="Z230" s="49"/>
      <c r="AA230" s="49"/>
      <c r="AB230" s="49"/>
      <c r="AC230" s="47"/>
      <c r="AD230" s="48" t="str">
        <f t="shared" si="62"/>
        <v/>
      </c>
      <c r="AE230" s="48" t="str">
        <f t="shared" si="63"/>
        <v/>
      </c>
      <c r="AF230" s="75" t="str">
        <f t="shared" si="64"/>
        <v/>
      </c>
      <c r="AG230" s="76">
        <f t="shared" si="65"/>
        <v>0</v>
      </c>
      <c r="AH230" s="76">
        <f t="shared" si="66"/>
        <v>0</v>
      </c>
      <c r="AI230" s="75">
        <f t="shared" si="67"/>
        <v>0</v>
      </c>
      <c r="AJ230" s="47"/>
      <c r="AL230" s="47"/>
      <c r="AN230" s="47"/>
      <c r="AO230" s="47" t="str">
        <f t="shared" si="60"/>
        <v/>
      </c>
    </row>
    <row r="231" spans="1:41" s="56" customFormat="1" ht="14">
      <c r="A231" s="44"/>
      <c r="B231" s="45"/>
      <c r="C231" s="46">
        <f t="shared" si="51"/>
        <v>0</v>
      </c>
      <c r="D231" s="47"/>
      <c r="E231" s="47"/>
      <c r="F231" s="47"/>
      <c r="G231" s="47"/>
      <c r="H231" s="48"/>
      <c r="I231" s="74" t="str">
        <f t="shared" si="52"/>
        <v/>
      </c>
      <c r="J231" s="49"/>
      <c r="K231" s="49"/>
      <c r="L231" s="49"/>
      <c r="M231" s="47"/>
      <c r="N231" s="48" t="str">
        <f t="shared" si="53"/>
        <v/>
      </c>
      <c r="O231" s="48" t="str">
        <f t="shared" si="54"/>
        <v/>
      </c>
      <c r="P231" s="75" t="str">
        <f t="shared" si="55"/>
        <v/>
      </c>
      <c r="Q231" s="76">
        <f t="shared" si="56"/>
        <v>0</v>
      </c>
      <c r="R231" s="76">
        <f t="shared" si="57"/>
        <v>0</v>
      </c>
      <c r="S231" s="75">
        <f t="shared" si="61"/>
        <v>0</v>
      </c>
      <c r="T231" s="47"/>
      <c r="V231" s="57"/>
      <c r="W231" s="45"/>
      <c r="X231" s="46">
        <f t="shared" si="58"/>
        <v>0</v>
      </c>
      <c r="Y231" s="74" t="str">
        <f t="shared" si="59"/>
        <v/>
      </c>
      <c r="Z231" s="49"/>
      <c r="AA231" s="49"/>
      <c r="AB231" s="49"/>
      <c r="AC231" s="47"/>
      <c r="AD231" s="48" t="str">
        <f t="shared" si="62"/>
        <v/>
      </c>
      <c r="AE231" s="48" t="str">
        <f t="shared" si="63"/>
        <v/>
      </c>
      <c r="AF231" s="75" t="str">
        <f t="shared" si="64"/>
        <v/>
      </c>
      <c r="AG231" s="76">
        <f t="shared" si="65"/>
        <v>0</v>
      </c>
      <c r="AH231" s="76">
        <f t="shared" si="66"/>
        <v>0</v>
      </c>
      <c r="AI231" s="75">
        <f t="shared" si="67"/>
        <v>0</v>
      </c>
      <c r="AJ231" s="47"/>
      <c r="AL231" s="47"/>
      <c r="AN231" s="47"/>
      <c r="AO231" s="47" t="str">
        <f t="shared" si="60"/>
        <v/>
      </c>
    </row>
    <row r="232" spans="1:41" s="56" customFormat="1" ht="14">
      <c r="A232" s="44"/>
      <c r="B232" s="45"/>
      <c r="C232" s="46">
        <f t="shared" si="51"/>
        <v>0</v>
      </c>
      <c r="D232" s="47"/>
      <c r="E232" s="47"/>
      <c r="F232" s="47"/>
      <c r="G232" s="47"/>
      <c r="H232" s="48"/>
      <c r="I232" s="74" t="str">
        <f t="shared" si="52"/>
        <v/>
      </c>
      <c r="J232" s="49"/>
      <c r="K232" s="49"/>
      <c r="L232" s="49"/>
      <c r="M232" s="47"/>
      <c r="N232" s="48" t="str">
        <f t="shared" si="53"/>
        <v/>
      </c>
      <c r="O232" s="48" t="str">
        <f t="shared" si="54"/>
        <v/>
      </c>
      <c r="P232" s="75" t="str">
        <f t="shared" si="55"/>
        <v/>
      </c>
      <c r="Q232" s="76">
        <f t="shared" si="56"/>
        <v>0</v>
      </c>
      <c r="R232" s="76">
        <f t="shared" si="57"/>
        <v>0</v>
      </c>
      <c r="S232" s="75">
        <f t="shared" si="61"/>
        <v>0</v>
      </c>
      <c r="T232" s="47"/>
      <c r="V232" s="57"/>
      <c r="W232" s="45"/>
      <c r="X232" s="46">
        <f t="shared" si="58"/>
        <v>0</v>
      </c>
      <c r="Y232" s="74" t="str">
        <f t="shared" si="59"/>
        <v/>
      </c>
      <c r="Z232" s="49"/>
      <c r="AA232" s="49"/>
      <c r="AB232" s="49"/>
      <c r="AC232" s="47"/>
      <c r="AD232" s="48" t="str">
        <f t="shared" si="62"/>
        <v/>
      </c>
      <c r="AE232" s="48" t="str">
        <f t="shared" si="63"/>
        <v/>
      </c>
      <c r="AF232" s="75" t="str">
        <f t="shared" si="64"/>
        <v/>
      </c>
      <c r="AG232" s="76">
        <f t="shared" si="65"/>
        <v>0</v>
      </c>
      <c r="AH232" s="76">
        <f t="shared" si="66"/>
        <v>0</v>
      </c>
      <c r="AI232" s="75">
        <f t="shared" si="67"/>
        <v>0</v>
      </c>
      <c r="AJ232" s="47"/>
      <c r="AL232" s="47"/>
      <c r="AN232" s="47"/>
      <c r="AO232" s="47" t="str">
        <f t="shared" si="60"/>
        <v/>
      </c>
    </row>
    <row r="233" spans="1:41" s="56" customFormat="1" ht="14">
      <c r="A233" s="44"/>
      <c r="B233" s="45"/>
      <c r="C233" s="46">
        <f t="shared" si="51"/>
        <v>0</v>
      </c>
      <c r="D233" s="47"/>
      <c r="E233" s="47"/>
      <c r="F233" s="47"/>
      <c r="G233" s="47"/>
      <c r="H233" s="48"/>
      <c r="I233" s="74" t="str">
        <f t="shared" si="52"/>
        <v/>
      </c>
      <c r="J233" s="49"/>
      <c r="K233" s="49"/>
      <c r="L233" s="49"/>
      <c r="M233" s="47"/>
      <c r="N233" s="48" t="str">
        <f t="shared" si="53"/>
        <v/>
      </c>
      <c r="O233" s="48" t="str">
        <f t="shared" si="54"/>
        <v/>
      </c>
      <c r="P233" s="75" t="str">
        <f t="shared" si="55"/>
        <v/>
      </c>
      <c r="Q233" s="76">
        <f t="shared" si="56"/>
        <v>0</v>
      </c>
      <c r="R233" s="76">
        <f t="shared" si="57"/>
        <v>0</v>
      </c>
      <c r="S233" s="75">
        <f t="shared" si="61"/>
        <v>0</v>
      </c>
      <c r="T233" s="47"/>
      <c r="V233" s="57"/>
      <c r="W233" s="45"/>
      <c r="X233" s="46">
        <f t="shared" si="58"/>
        <v>0</v>
      </c>
      <c r="Y233" s="74" t="str">
        <f t="shared" si="59"/>
        <v/>
      </c>
      <c r="Z233" s="49"/>
      <c r="AA233" s="49"/>
      <c r="AB233" s="49"/>
      <c r="AC233" s="47"/>
      <c r="AD233" s="48" t="str">
        <f t="shared" si="62"/>
        <v/>
      </c>
      <c r="AE233" s="48" t="str">
        <f t="shared" si="63"/>
        <v/>
      </c>
      <c r="AF233" s="75" t="str">
        <f t="shared" si="64"/>
        <v/>
      </c>
      <c r="AG233" s="76">
        <f t="shared" si="65"/>
        <v>0</v>
      </c>
      <c r="AH233" s="76">
        <f t="shared" si="66"/>
        <v>0</v>
      </c>
      <c r="AI233" s="75">
        <f t="shared" si="67"/>
        <v>0</v>
      </c>
      <c r="AJ233" s="47"/>
      <c r="AL233" s="47"/>
      <c r="AN233" s="47"/>
      <c r="AO233" s="47" t="str">
        <f t="shared" si="60"/>
        <v/>
      </c>
    </row>
    <row r="234" spans="1:41" s="56" customFormat="1" ht="14">
      <c r="A234" s="44"/>
      <c r="B234" s="45"/>
      <c r="C234" s="46">
        <f t="shared" si="51"/>
        <v>0</v>
      </c>
      <c r="D234" s="47"/>
      <c r="E234" s="47"/>
      <c r="F234" s="47"/>
      <c r="G234" s="47"/>
      <c r="H234" s="48"/>
      <c r="I234" s="74" t="str">
        <f t="shared" si="52"/>
        <v/>
      </c>
      <c r="J234" s="49"/>
      <c r="K234" s="49"/>
      <c r="L234" s="49"/>
      <c r="M234" s="47"/>
      <c r="N234" s="48" t="str">
        <f t="shared" si="53"/>
        <v/>
      </c>
      <c r="O234" s="48" t="str">
        <f t="shared" si="54"/>
        <v/>
      </c>
      <c r="P234" s="75" t="str">
        <f t="shared" si="55"/>
        <v/>
      </c>
      <c r="Q234" s="76">
        <f t="shared" si="56"/>
        <v>0</v>
      </c>
      <c r="R234" s="76">
        <f t="shared" si="57"/>
        <v>0</v>
      </c>
      <c r="S234" s="75">
        <f t="shared" si="61"/>
        <v>0</v>
      </c>
      <c r="T234" s="47"/>
      <c r="V234" s="57"/>
      <c r="W234" s="45"/>
      <c r="X234" s="46">
        <f t="shared" si="58"/>
        <v>0</v>
      </c>
      <c r="Y234" s="74" t="str">
        <f t="shared" si="59"/>
        <v/>
      </c>
      <c r="Z234" s="49"/>
      <c r="AA234" s="49"/>
      <c r="AB234" s="49"/>
      <c r="AC234" s="47"/>
      <c r="AD234" s="48" t="str">
        <f t="shared" si="62"/>
        <v/>
      </c>
      <c r="AE234" s="48" t="str">
        <f t="shared" si="63"/>
        <v/>
      </c>
      <c r="AF234" s="75" t="str">
        <f t="shared" si="64"/>
        <v/>
      </c>
      <c r="AG234" s="76">
        <f t="shared" si="65"/>
        <v>0</v>
      </c>
      <c r="AH234" s="76">
        <f t="shared" si="66"/>
        <v>0</v>
      </c>
      <c r="AI234" s="75">
        <f t="shared" si="67"/>
        <v>0</v>
      </c>
      <c r="AJ234" s="47"/>
      <c r="AL234" s="47"/>
      <c r="AN234" s="47"/>
      <c r="AO234" s="47" t="str">
        <f t="shared" si="60"/>
        <v/>
      </c>
    </row>
    <row r="235" spans="1:41" s="56" customFormat="1" ht="14">
      <c r="A235" s="44"/>
      <c r="B235" s="45"/>
      <c r="C235" s="46">
        <f t="shared" si="51"/>
        <v>0</v>
      </c>
      <c r="D235" s="47"/>
      <c r="E235" s="47"/>
      <c r="F235" s="47"/>
      <c r="G235" s="47"/>
      <c r="H235" s="48"/>
      <c r="I235" s="74" t="str">
        <f t="shared" si="52"/>
        <v/>
      </c>
      <c r="J235" s="49"/>
      <c r="K235" s="49"/>
      <c r="L235" s="49"/>
      <c r="M235" s="47"/>
      <c r="N235" s="48" t="str">
        <f t="shared" si="53"/>
        <v/>
      </c>
      <c r="O235" s="48" t="str">
        <f t="shared" si="54"/>
        <v/>
      </c>
      <c r="P235" s="75" t="str">
        <f t="shared" si="55"/>
        <v/>
      </c>
      <c r="Q235" s="76">
        <f t="shared" si="56"/>
        <v>0</v>
      </c>
      <c r="R235" s="76">
        <f t="shared" si="57"/>
        <v>0</v>
      </c>
      <c r="S235" s="75">
        <f t="shared" si="61"/>
        <v>0</v>
      </c>
      <c r="T235" s="47"/>
      <c r="V235" s="57"/>
      <c r="W235" s="45"/>
      <c r="X235" s="46">
        <f t="shared" si="58"/>
        <v>0</v>
      </c>
      <c r="Y235" s="74" t="str">
        <f t="shared" si="59"/>
        <v/>
      </c>
      <c r="Z235" s="49"/>
      <c r="AA235" s="49"/>
      <c r="AB235" s="49"/>
      <c r="AC235" s="47"/>
      <c r="AD235" s="48" t="str">
        <f t="shared" si="62"/>
        <v/>
      </c>
      <c r="AE235" s="48" t="str">
        <f t="shared" si="63"/>
        <v/>
      </c>
      <c r="AF235" s="75" t="str">
        <f t="shared" si="64"/>
        <v/>
      </c>
      <c r="AG235" s="76">
        <f t="shared" si="65"/>
        <v>0</v>
      </c>
      <c r="AH235" s="76">
        <f t="shared" si="66"/>
        <v>0</v>
      </c>
      <c r="AI235" s="75">
        <f t="shared" si="67"/>
        <v>0</v>
      </c>
      <c r="AJ235" s="47"/>
      <c r="AL235" s="47"/>
      <c r="AN235" s="47"/>
      <c r="AO235" s="47" t="str">
        <f t="shared" si="60"/>
        <v/>
      </c>
    </row>
    <row r="236" spans="1:41" s="56" customFormat="1" ht="14">
      <c r="A236" s="44"/>
      <c r="B236" s="45"/>
      <c r="C236" s="46">
        <f t="shared" si="51"/>
        <v>0</v>
      </c>
      <c r="D236" s="47"/>
      <c r="E236" s="47"/>
      <c r="F236" s="47"/>
      <c r="G236" s="47"/>
      <c r="H236" s="48"/>
      <c r="I236" s="74" t="str">
        <f t="shared" si="52"/>
        <v/>
      </c>
      <c r="J236" s="49"/>
      <c r="K236" s="49"/>
      <c r="L236" s="49"/>
      <c r="M236" s="47"/>
      <c r="N236" s="48" t="str">
        <f t="shared" si="53"/>
        <v/>
      </c>
      <c r="O236" s="48" t="str">
        <f t="shared" si="54"/>
        <v/>
      </c>
      <c r="P236" s="75" t="str">
        <f t="shared" si="55"/>
        <v/>
      </c>
      <c r="Q236" s="76">
        <f t="shared" si="56"/>
        <v>0</v>
      </c>
      <c r="R236" s="76">
        <f t="shared" si="57"/>
        <v>0</v>
      </c>
      <c r="S236" s="75">
        <f t="shared" si="61"/>
        <v>0</v>
      </c>
      <c r="T236" s="47"/>
      <c r="V236" s="57"/>
      <c r="W236" s="45"/>
      <c r="X236" s="46">
        <f t="shared" si="58"/>
        <v>0</v>
      </c>
      <c r="Y236" s="74" t="str">
        <f t="shared" si="59"/>
        <v/>
      </c>
      <c r="Z236" s="49"/>
      <c r="AA236" s="49"/>
      <c r="AB236" s="49"/>
      <c r="AC236" s="47"/>
      <c r="AD236" s="48" t="str">
        <f t="shared" si="62"/>
        <v/>
      </c>
      <c r="AE236" s="48" t="str">
        <f t="shared" si="63"/>
        <v/>
      </c>
      <c r="AF236" s="75" t="str">
        <f t="shared" si="64"/>
        <v/>
      </c>
      <c r="AG236" s="76">
        <f t="shared" si="65"/>
        <v>0</v>
      </c>
      <c r="AH236" s="76">
        <f t="shared" si="66"/>
        <v>0</v>
      </c>
      <c r="AI236" s="75">
        <f t="shared" si="67"/>
        <v>0</v>
      </c>
      <c r="AJ236" s="47"/>
      <c r="AL236" s="47"/>
      <c r="AN236" s="47"/>
      <c r="AO236" s="47" t="str">
        <f t="shared" si="60"/>
        <v/>
      </c>
    </row>
    <row r="237" spans="1:41" s="56" customFormat="1" ht="14">
      <c r="A237" s="44"/>
      <c r="B237" s="45"/>
      <c r="C237" s="46">
        <f t="shared" si="51"/>
        <v>0</v>
      </c>
      <c r="D237" s="47"/>
      <c r="E237" s="47"/>
      <c r="F237" s="47"/>
      <c r="G237" s="47"/>
      <c r="H237" s="48"/>
      <c r="I237" s="74" t="str">
        <f t="shared" si="52"/>
        <v/>
      </c>
      <c r="J237" s="49"/>
      <c r="K237" s="49"/>
      <c r="L237" s="49"/>
      <c r="M237" s="47"/>
      <c r="N237" s="48" t="str">
        <f t="shared" si="53"/>
        <v/>
      </c>
      <c r="O237" s="48" t="str">
        <f t="shared" si="54"/>
        <v/>
      </c>
      <c r="P237" s="75" t="str">
        <f t="shared" si="55"/>
        <v/>
      </c>
      <c r="Q237" s="76">
        <f t="shared" si="56"/>
        <v>0</v>
      </c>
      <c r="R237" s="76">
        <f t="shared" si="57"/>
        <v>0</v>
      </c>
      <c r="S237" s="75">
        <f t="shared" si="61"/>
        <v>0</v>
      </c>
      <c r="T237" s="47"/>
      <c r="V237" s="57"/>
      <c r="W237" s="45"/>
      <c r="X237" s="46">
        <f t="shared" si="58"/>
        <v>0</v>
      </c>
      <c r="Y237" s="74" t="str">
        <f t="shared" si="59"/>
        <v/>
      </c>
      <c r="Z237" s="49"/>
      <c r="AA237" s="49"/>
      <c r="AB237" s="49"/>
      <c r="AC237" s="47"/>
      <c r="AD237" s="48" t="str">
        <f t="shared" si="62"/>
        <v/>
      </c>
      <c r="AE237" s="48" t="str">
        <f t="shared" si="63"/>
        <v/>
      </c>
      <c r="AF237" s="75" t="str">
        <f t="shared" si="64"/>
        <v/>
      </c>
      <c r="AG237" s="76">
        <f t="shared" si="65"/>
        <v>0</v>
      </c>
      <c r="AH237" s="76">
        <f t="shared" si="66"/>
        <v>0</v>
      </c>
      <c r="AI237" s="75">
        <f t="shared" si="67"/>
        <v>0</v>
      </c>
      <c r="AJ237" s="47"/>
      <c r="AL237" s="47"/>
      <c r="AN237" s="47"/>
      <c r="AO237" s="47" t="str">
        <f t="shared" si="60"/>
        <v/>
      </c>
    </row>
    <row r="238" spans="1:41" s="56" customFormat="1" ht="14">
      <c r="A238" s="44"/>
      <c r="B238" s="45"/>
      <c r="C238" s="46">
        <f t="shared" si="51"/>
        <v>0</v>
      </c>
      <c r="D238" s="47"/>
      <c r="E238" s="47"/>
      <c r="F238" s="47"/>
      <c r="G238" s="47"/>
      <c r="H238" s="48"/>
      <c r="I238" s="74" t="str">
        <f t="shared" si="52"/>
        <v/>
      </c>
      <c r="J238" s="49"/>
      <c r="K238" s="49"/>
      <c r="L238" s="49"/>
      <c r="M238" s="47"/>
      <c r="N238" s="48" t="str">
        <f t="shared" si="53"/>
        <v/>
      </c>
      <c r="O238" s="48" t="str">
        <f t="shared" si="54"/>
        <v/>
      </c>
      <c r="P238" s="75" t="str">
        <f t="shared" si="55"/>
        <v/>
      </c>
      <c r="Q238" s="76">
        <f t="shared" si="56"/>
        <v>0</v>
      </c>
      <c r="R238" s="76">
        <f t="shared" si="57"/>
        <v>0</v>
      </c>
      <c r="S238" s="75">
        <f t="shared" si="61"/>
        <v>0</v>
      </c>
      <c r="T238" s="47"/>
      <c r="V238" s="57"/>
      <c r="W238" s="45"/>
      <c r="X238" s="46">
        <f t="shared" si="58"/>
        <v>0</v>
      </c>
      <c r="Y238" s="74" t="str">
        <f t="shared" si="59"/>
        <v/>
      </c>
      <c r="Z238" s="49"/>
      <c r="AA238" s="49"/>
      <c r="AB238" s="49"/>
      <c r="AC238" s="47"/>
      <c r="AD238" s="48" t="str">
        <f t="shared" si="62"/>
        <v/>
      </c>
      <c r="AE238" s="48" t="str">
        <f t="shared" si="63"/>
        <v/>
      </c>
      <c r="AF238" s="75" t="str">
        <f t="shared" si="64"/>
        <v/>
      </c>
      <c r="AG238" s="76">
        <f t="shared" si="65"/>
        <v>0</v>
      </c>
      <c r="AH238" s="76">
        <f t="shared" si="66"/>
        <v>0</v>
      </c>
      <c r="AI238" s="75">
        <f t="shared" si="67"/>
        <v>0</v>
      </c>
      <c r="AJ238" s="47"/>
      <c r="AL238" s="47"/>
      <c r="AN238" s="47"/>
      <c r="AO238" s="47" t="str">
        <f t="shared" si="60"/>
        <v/>
      </c>
    </row>
    <row r="239" spans="1:41" s="56" customFormat="1" ht="14">
      <c r="A239" s="44"/>
      <c r="B239" s="45"/>
      <c r="C239" s="46">
        <f t="shared" si="51"/>
        <v>0</v>
      </c>
      <c r="D239" s="47"/>
      <c r="E239" s="47"/>
      <c r="F239" s="47"/>
      <c r="G239" s="47"/>
      <c r="H239" s="48"/>
      <c r="I239" s="74" t="str">
        <f t="shared" si="52"/>
        <v/>
      </c>
      <c r="J239" s="49"/>
      <c r="K239" s="49"/>
      <c r="L239" s="49"/>
      <c r="M239" s="47"/>
      <c r="N239" s="48" t="str">
        <f t="shared" si="53"/>
        <v/>
      </c>
      <c r="O239" s="48" t="str">
        <f t="shared" si="54"/>
        <v/>
      </c>
      <c r="P239" s="75" t="str">
        <f t="shared" si="55"/>
        <v/>
      </c>
      <c r="Q239" s="76">
        <f t="shared" si="56"/>
        <v>0</v>
      </c>
      <c r="R239" s="76">
        <f t="shared" si="57"/>
        <v>0</v>
      </c>
      <c r="S239" s="75">
        <f t="shared" si="61"/>
        <v>0</v>
      </c>
      <c r="T239" s="47"/>
      <c r="V239" s="57"/>
      <c r="W239" s="45"/>
      <c r="X239" s="46">
        <f t="shared" si="58"/>
        <v>0</v>
      </c>
      <c r="Y239" s="74" t="str">
        <f t="shared" si="59"/>
        <v/>
      </c>
      <c r="Z239" s="49"/>
      <c r="AA239" s="49"/>
      <c r="AB239" s="49"/>
      <c r="AC239" s="47"/>
      <c r="AD239" s="48" t="str">
        <f t="shared" si="62"/>
        <v/>
      </c>
      <c r="AE239" s="48" t="str">
        <f t="shared" si="63"/>
        <v/>
      </c>
      <c r="AF239" s="75" t="str">
        <f t="shared" si="64"/>
        <v/>
      </c>
      <c r="AG239" s="76">
        <f t="shared" si="65"/>
        <v>0</v>
      </c>
      <c r="AH239" s="76">
        <f t="shared" si="66"/>
        <v>0</v>
      </c>
      <c r="AI239" s="75">
        <f t="shared" si="67"/>
        <v>0</v>
      </c>
      <c r="AJ239" s="47"/>
      <c r="AL239" s="47"/>
      <c r="AN239" s="47"/>
      <c r="AO239" s="47" t="str">
        <f t="shared" si="60"/>
        <v/>
      </c>
    </row>
    <row r="240" spans="1:41" s="56" customFormat="1" ht="14">
      <c r="A240" s="44"/>
      <c r="B240" s="45"/>
      <c r="C240" s="46">
        <f t="shared" si="51"/>
        <v>0</v>
      </c>
      <c r="D240" s="47"/>
      <c r="E240" s="47"/>
      <c r="F240" s="47"/>
      <c r="G240" s="47"/>
      <c r="H240" s="48"/>
      <c r="I240" s="74" t="str">
        <f t="shared" si="52"/>
        <v/>
      </c>
      <c r="J240" s="49"/>
      <c r="K240" s="49"/>
      <c r="L240" s="49"/>
      <c r="M240" s="47"/>
      <c r="N240" s="48" t="str">
        <f t="shared" si="53"/>
        <v/>
      </c>
      <c r="O240" s="48" t="str">
        <f t="shared" si="54"/>
        <v/>
      </c>
      <c r="P240" s="75" t="str">
        <f t="shared" si="55"/>
        <v/>
      </c>
      <c r="Q240" s="76">
        <f t="shared" si="56"/>
        <v>0</v>
      </c>
      <c r="R240" s="76">
        <f t="shared" si="57"/>
        <v>0</v>
      </c>
      <c r="S240" s="75">
        <f t="shared" si="61"/>
        <v>0</v>
      </c>
      <c r="T240" s="47"/>
      <c r="V240" s="57"/>
      <c r="W240" s="45"/>
      <c r="X240" s="46">
        <f t="shared" si="58"/>
        <v>0</v>
      </c>
      <c r="Y240" s="74" t="str">
        <f t="shared" si="59"/>
        <v/>
      </c>
      <c r="Z240" s="49"/>
      <c r="AA240" s="49"/>
      <c r="AB240" s="49"/>
      <c r="AC240" s="47"/>
      <c r="AD240" s="48" t="str">
        <f t="shared" si="62"/>
        <v/>
      </c>
      <c r="AE240" s="48" t="str">
        <f t="shared" si="63"/>
        <v/>
      </c>
      <c r="AF240" s="75" t="str">
        <f t="shared" si="64"/>
        <v/>
      </c>
      <c r="AG240" s="76">
        <f t="shared" si="65"/>
        <v>0</v>
      </c>
      <c r="AH240" s="76">
        <f t="shared" si="66"/>
        <v>0</v>
      </c>
      <c r="AI240" s="75">
        <f t="shared" si="67"/>
        <v>0</v>
      </c>
      <c r="AJ240" s="47"/>
      <c r="AL240" s="47"/>
      <c r="AN240" s="47"/>
      <c r="AO240" s="47" t="str">
        <f t="shared" si="60"/>
        <v/>
      </c>
    </row>
    <row r="241" spans="1:41" s="56" customFormat="1" ht="14">
      <c r="A241" s="44"/>
      <c r="B241" s="45"/>
      <c r="C241" s="46">
        <f t="shared" si="51"/>
        <v>0</v>
      </c>
      <c r="D241" s="47"/>
      <c r="E241" s="47"/>
      <c r="F241" s="47"/>
      <c r="G241" s="47"/>
      <c r="H241" s="48"/>
      <c r="I241" s="74" t="str">
        <f t="shared" si="52"/>
        <v/>
      </c>
      <c r="J241" s="49"/>
      <c r="K241" s="49"/>
      <c r="L241" s="49"/>
      <c r="M241" s="47"/>
      <c r="N241" s="48" t="str">
        <f t="shared" si="53"/>
        <v/>
      </c>
      <c r="O241" s="48" t="str">
        <f t="shared" si="54"/>
        <v/>
      </c>
      <c r="P241" s="75" t="str">
        <f t="shared" si="55"/>
        <v/>
      </c>
      <c r="Q241" s="76">
        <f t="shared" si="56"/>
        <v>0</v>
      </c>
      <c r="R241" s="76">
        <f t="shared" si="57"/>
        <v>0</v>
      </c>
      <c r="S241" s="75">
        <f t="shared" si="61"/>
        <v>0</v>
      </c>
      <c r="T241" s="47"/>
      <c r="V241" s="57"/>
      <c r="W241" s="45"/>
      <c r="X241" s="46">
        <f t="shared" si="58"/>
        <v>0</v>
      </c>
      <c r="Y241" s="74" t="str">
        <f t="shared" si="59"/>
        <v/>
      </c>
      <c r="Z241" s="49"/>
      <c r="AA241" s="49"/>
      <c r="AB241" s="49"/>
      <c r="AC241" s="47"/>
      <c r="AD241" s="48" t="str">
        <f t="shared" si="62"/>
        <v/>
      </c>
      <c r="AE241" s="48" t="str">
        <f t="shared" si="63"/>
        <v/>
      </c>
      <c r="AF241" s="75" t="str">
        <f t="shared" si="64"/>
        <v/>
      </c>
      <c r="AG241" s="76">
        <f t="shared" si="65"/>
        <v>0</v>
      </c>
      <c r="AH241" s="76">
        <f t="shared" si="66"/>
        <v>0</v>
      </c>
      <c r="AI241" s="75">
        <f t="shared" si="67"/>
        <v>0</v>
      </c>
      <c r="AJ241" s="47"/>
      <c r="AL241" s="47"/>
      <c r="AN241" s="47"/>
      <c r="AO241" s="47" t="str">
        <f t="shared" si="60"/>
        <v/>
      </c>
    </row>
    <row r="242" spans="1:41" s="56" customFormat="1" ht="14">
      <c r="A242" s="44"/>
      <c r="B242" s="45"/>
      <c r="C242" s="46">
        <f t="shared" si="51"/>
        <v>0</v>
      </c>
      <c r="D242" s="47"/>
      <c r="E242" s="47"/>
      <c r="F242" s="47"/>
      <c r="G242" s="47"/>
      <c r="H242" s="48"/>
      <c r="I242" s="74" t="str">
        <f t="shared" si="52"/>
        <v/>
      </c>
      <c r="J242" s="49"/>
      <c r="K242" s="49"/>
      <c r="L242" s="49"/>
      <c r="M242" s="47"/>
      <c r="N242" s="48" t="str">
        <f t="shared" si="53"/>
        <v/>
      </c>
      <c r="O242" s="48" t="str">
        <f t="shared" si="54"/>
        <v/>
      </c>
      <c r="P242" s="75" t="str">
        <f t="shared" si="55"/>
        <v/>
      </c>
      <c r="Q242" s="76">
        <f t="shared" si="56"/>
        <v>0</v>
      </c>
      <c r="R242" s="76">
        <f t="shared" si="57"/>
        <v>0</v>
      </c>
      <c r="S242" s="75">
        <f t="shared" si="61"/>
        <v>0</v>
      </c>
      <c r="T242" s="47"/>
      <c r="V242" s="57"/>
      <c r="W242" s="45"/>
      <c r="X242" s="46">
        <f t="shared" si="58"/>
        <v>0</v>
      </c>
      <c r="Y242" s="74" t="str">
        <f t="shared" si="59"/>
        <v/>
      </c>
      <c r="Z242" s="49"/>
      <c r="AA242" s="49"/>
      <c r="AB242" s="49"/>
      <c r="AC242" s="47"/>
      <c r="AD242" s="48" t="str">
        <f t="shared" si="62"/>
        <v/>
      </c>
      <c r="AE242" s="48" t="str">
        <f t="shared" si="63"/>
        <v/>
      </c>
      <c r="AF242" s="75" t="str">
        <f t="shared" si="64"/>
        <v/>
      </c>
      <c r="AG242" s="76">
        <f t="shared" si="65"/>
        <v>0</v>
      </c>
      <c r="AH242" s="76">
        <f t="shared" si="66"/>
        <v>0</v>
      </c>
      <c r="AI242" s="75">
        <f t="shared" si="67"/>
        <v>0</v>
      </c>
      <c r="AJ242" s="47"/>
      <c r="AL242" s="47"/>
      <c r="AN242" s="47"/>
      <c r="AO242" s="47" t="str">
        <f t="shared" si="60"/>
        <v/>
      </c>
    </row>
    <row r="243" spans="1:41" s="56" customFormat="1" ht="14">
      <c r="A243" s="44"/>
      <c r="B243" s="45"/>
      <c r="C243" s="46">
        <f t="shared" si="51"/>
        <v>0</v>
      </c>
      <c r="D243" s="47"/>
      <c r="E243" s="47"/>
      <c r="F243" s="47"/>
      <c r="G243" s="47"/>
      <c r="H243" s="48"/>
      <c r="I243" s="74" t="str">
        <f t="shared" si="52"/>
        <v/>
      </c>
      <c r="J243" s="49"/>
      <c r="K243" s="49"/>
      <c r="L243" s="49"/>
      <c r="M243" s="47"/>
      <c r="N243" s="48" t="str">
        <f t="shared" si="53"/>
        <v/>
      </c>
      <c r="O243" s="48" t="str">
        <f t="shared" si="54"/>
        <v/>
      </c>
      <c r="P243" s="75" t="str">
        <f t="shared" si="55"/>
        <v/>
      </c>
      <c r="Q243" s="76">
        <f t="shared" si="56"/>
        <v>0</v>
      </c>
      <c r="R243" s="76">
        <f t="shared" si="57"/>
        <v>0</v>
      </c>
      <c r="S243" s="75">
        <f t="shared" si="61"/>
        <v>0</v>
      </c>
      <c r="T243" s="47"/>
      <c r="V243" s="57"/>
      <c r="W243" s="45"/>
      <c r="X243" s="46">
        <f t="shared" si="58"/>
        <v>0</v>
      </c>
      <c r="Y243" s="74" t="str">
        <f t="shared" si="59"/>
        <v/>
      </c>
      <c r="Z243" s="49"/>
      <c r="AA243" s="49"/>
      <c r="AB243" s="49"/>
      <c r="AC243" s="47"/>
      <c r="AD243" s="48" t="str">
        <f t="shared" si="62"/>
        <v/>
      </c>
      <c r="AE243" s="48" t="str">
        <f t="shared" si="63"/>
        <v/>
      </c>
      <c r="AF243" s="75" t="str">
        <f t="shared" si="64"/>
        <v/>
      </c>
      <c r="AG243" s="76">
        <f t="shared" si="65"/>
        <v>0</v>
      </c>
      <c r="AH243" s="76">
        <f t="shared" si="66"/>
        <v>0</v>
      </c>
      <c r="AI243" s="75">
        <f t="shared" si="67"/>
        <v>0</v>
      </c>
      <c r="AJ243" s="47"/>
      <c r="AL243" s="47"/>
      <c r="AN243" s="47"/>
      <c r="AO243" s="47" t="str">
        <f t="shared" si="60"/>
        <v/>
      </c>
    </row>
    <row r="244" spans="1:41" s="56" customFormat="1" ht="14">
      <c r="A244" s="44"/>
      <c r="B244" s="45"/>
      <c r="C244" s="46">
        <f t="shared" si="51"/>
        <v>0</v>
      </c>
      <c r="D244" s="47"/>
      <c r="E244" s="47"/>
      <c r="F244" s="47"/>
      <c r="G244" s="47"/>
      <c r="H244" s="48"/>
      <c r="I244" s="74" t="str">
        <f t="shared" si="52"/>
        <v/>
      </c>
      <c r="J244" s="49"/>
      <c r="K244" s="49"/>
      <c r="L244" s="49"/>
      <c r="M244" s="47"/>
      <c r="N244" s="48" t="str">
        <f t="shared" si="53"/>
        <v/>
      </c>
      <c r="O244" s="48" t="str">
        <f t="shared" si="54"/>
        <v/>
      </c>
      <c r="P244" s="75" t="str">
        <f t="shared" si="55"/>
        <v/>
      </c>
      <c r="Q244" s="76">
        <f t="shared" si="56"/>
        <v>0</v>
      </c>
      <c r="R244" s="76">
        <f t="shared" si="57"/>
        <v>0</v>
      </c>
      <c r="S244" s="75">
        <f t="shared" si="61"/>
        <v>0</v>
      </c>
      <c r="T244" s="47"/>
      <c r="V244" s="57"/>
      <c r="W244" s="45"/>
      <c r="X244" s="46">
        <f t="shared" si="58"/>
        <v>0</v>
      </c>
      <c r="Y244" s="74" t="str">
        <f t="shared" si="59"/>
        <v/>
      </c>
      <c r="Z244" s="49"/>
      <c r="AA244" s="49"/>
      <c r="AB244" s="49"/>
      <c r="AC244" s="47"/>
      <c r="AD244" s="48" t="str">
        <f t="shared" si="62"/>
        <v/>
      </c>
      <c r="AE244" s="48" t="str">
        <f t="shared" si="63"/>
        <v/>
      </c>
      <c r="AF244" s="75" t="str">
        <f t="shared" si="64"/>
        <v/>
      </c>
      <c r="AG244" s="76">
        <f t="shared" si="65"/>
        <v>0</v>
      </c>
      <c r="AH244" s="76">
        <f t="shared" si="66"/>
        <v>0</v>
      </c>
      <c r="AI244" s="75">
        <f t="shared" si="67"/>
        <v>0</v>
      </c>
      <c r="AJ244" s="47"/>
      <c r="AL244" s="47"/>
      <c r="AN244" s="47"/>
      <c r="AO244" s="47" t="str">
        <f t="shared" si="60"/>
        <v/>
      </c>
    </row>
    <row r="245" spans="1:41" s="56" customFormat="1" ht="14">
      <c r="A245" s="44"/>
      <c r="B245" s="45"/>
      <c r="C245" s="46">
        <f t="shared" si="51"/>
        <v>0</v>
      </c>
      <c r="D245" s="47"/>
      <c r="E245" s="47"/>
      <c r="F245" s="47"/>
      <c r="G245" s="47"/>
      <c r="H245" s="48"/>
      <c r="I245" s="74" t="str">
        <f t="shared" si="52"/>
        <v/>
      </c>
      <c r="J245" s="49"/>
      <c r="K245" s="49"/>
      <c r="L245" s="49"/>
      <c r="M245" s="47"/>
      <c r="N245" s="48" t="str">
        <f t="shared" si="53"/>
        <v/>
      </c>
      <c r="O245" s="48" t="str">
        <f t="shared" si="54"/>
        <v/>
      </c>
      <c r="P245" s="75" t="str">
        <f t="shared" si="55"/>
        <v/>
      </c>
      <c r="Q245" s="76">
        <f t="shared" si="56"/>
        <v>0</v>
      </c>
      <c r="R245" s="76">
        <f t="shared" si="57"/>
        <v>0</v>
      </c>
      <c r="S245" s="75">
        <f t="shared" si="61"/>
        <v>0</v>
      </c>
      <c r="T245" s="47"/>
      <c r="V245" s="57"/>
      <c r="W245" s="45"/>
      <c r="X245" s="46">
        <f t="shared" si="58"/>
        <v>0</v>
      </c>
      <c r="Y245" s="74" t="str">
        <f t="shared" si="59"/>
        <v/>
      </c>
      <c r="Z245" s="49"/>
      <c r="AA245" s="49"/>
      <c r="AB245" s="49"/>
      <c r="AC245" s="47"/>
      <c r="AD245" s="48" t="str">
        <f t="shared" si="62"/>
        <v/>
      </c>
      <c r="AE245" s="48" t="str">
        <f t="shared" si="63"/>
        <v/>
      </c>
      <c r="AF245" s="75" t="str">
        <f t="shared" si="64"/>
        <v/>
      </c>
      <c r="AG245" s="76">
        <f t="shared" si="65"/>
        <v>0</v>
      </c>
      <c r="AH245" s="76">
        <f t="shared" si="66"/>
        <v>0</v>
      </c>
      <c r="AI245" s="75">
        <f t="shared" si="67"/>
        <v>0</v>
      </c>
      <c r="AJ245" s="47"/>
      <c r="AL245" s="47"/>
      <c r="AN245" s="47"/>
      <c r="AO245" s="47" t="str">
        <f t="shared" si="60"/>
        <v/>
      </c>
    </row>
    <row r="246" spans="1:41" s="56" customFormat="1" ht="14">
      <c r="A246" s="44"/>
      <c r="B246" s="45"/>
      <c r="C246" s="46">
        <f t="shared" si="51"/>
        <v>0</v>
      </c>
      <c r="D246" s="47"/>
      <c r="E246" s="47"/>
      <c r="F246" s="47"/>
      <c r="G246" s="47"/>
      <c r="H246" s="48"/>
      <c r="I246" s="74" t="str">
        <f t="shared" si="52"/>
        <v/>
      </c>
      <c r="J246" s="49"/>
      <c r="K246" s="49"/>
      <c r="L246" s="49"/>
      <c r="M246" s="47"/>
      <c r="N246" s="48" t="str">
        <f t="shared" si="53"/>
        <v/>
      </c>
      <c r="O246" s="48" t="str">
        <f t="shared" si="54"/>
        <v/>
      </c>
      <c r="P246" s="75" t="str">
        <f t="shared" si="55"/>
        <v/>
      </c>
      <c r="Q246" s="76">
        <f t="shared" si="56"/>
        <v>0</v>
      </c>
      <c r="R246" s="76">
        <f t="shared" si="57"/>
        <v>0</v>
      </c>
      <c r="S246" s="75">
        <f t="shared" si="61"/>
        <v>0</v>
      </c>
      <c r="T246" s="47"/>
      <c r="V246" s="57"/>
      <c r="W246" s="45"/>
      <c r="X246" s="46">
        <f t="shared" si="58"/>
        <v>0</v>
      </c>
      <c r="Y246" s="74" t="str">
        <f t="shared" si="59"/>
        <v/>
      </c>
      <c r="Z246" s="49"/>
      <c r="AA246" s="49"/>
      <c r="AB246" s="49"/>
      <c r="AC246" s="47"/>
      <c r="AD246" s="48" t="str">
        <f t="shared" si="62"/>
        <v/>
      </c>
      <c r="AE246" s="48" t="str">
        <f t="shared" si="63"/>
        <v/>
      </c>
      <c r="AF246" s="75" t="str">
        <f t="shared" si="64"/>
        <v/>
      </c>
      <c r="AG246" s="76">
        <f t="shared" si="65"/>
        <v>0</v>
      </c>
      <c r="AH246" s="76">
        <f t="shared" si="66"/>
        <v>0</v>
      </c>
      <c r="AI246" s="75">
        <f t="shared" si="67"/>
        <v>0</v>
      </c>
      <c r="AJ246" s="47"/>
      <c r="AL246" s="47"/>
      <c r="AN246" s="47"/>
      <c r="AO246" s="47" t="str">
        <f t="shared" si="60"/>
        <v/>
      </c>
    </row>
    <row r="247" spans="1:41" s="56" customFormat="1" ht="14">
      <c r="A247" s="44"/>
      <c r="B247" s="45"/>
      <c r="C247" s="46">
        <f t="shared" si="51"/>
        <v>0</v>
      </c>
      <c r="D247" s="47"/>
      <c r="E247" s="47"/>
      <c r="F247" s="47"/>
      <c r="G247" s="47"/>
      <c r="H247" s="48"/>
      <c r="I247" s="74" t="str">
        <f t="shared" si="52"/>
        <v/>
      </c>
      <c r="J247" s="49"/>
      <c r="K247" s="49"/>
      <c r="L247" s="49"/>
      <c r="M247" s="47"/>
      <c r="N247" s="48" t="str">
        <f t="shared" si="53"/>
        <v/>
      </c>
      <c r="O247" s="48" t="str">
        <f t="shared" si="54"/>
        <v/>
      </c>
      <c r="P247" s="75" t="str">
        <f t="shared" si="55"/>
        <v/>
      </c>
      <c r="Q247" s="76">
        <f t="shared" si="56"/>
        <v>0</v>
      </c>
      <c r="R247" s="76">
        <f t="shared" si="57"/>
        <v>0</v>
      </c>
      <c r="S247" s="75">
        <f t="shared" si="61"/>
        <v>0</v>
      </c>
      <c r="T247" s="47"/>
      <c r="V247" s="57"/>
      <c r="W247" s="45"/>
      <c r="X247" s="46">
        <f t="shared" si="58"/>
        <v>0</v>
      </c>
      <c r="Y247" s="74" t="str">
        <f t="shared" si="59"/>
        <v/>
      </c>
      <c r="Z247" s="49"/>
      <c r="AA247" s="49"/>
      <c r="AB247" s="49"/>
      <c r="AC247" s="47"/>
      <c r="AD247" s="48" t="str">
        <f t="shared" si="62"/>
        <v/>
      </c>
      <c r="AE247" s="48" t="str">
        <f t="shared" si="63"/>
        <v/>
      </c>
      <c r="AF247" s="75" t="str">
        <f t="shared" si="64"/>
        <v/>
      </c>
      <c r="AG247" s="76">
        <f t="shared" si="65"/>
        <v>0</v>
      </c>
      <c r="AH247" s="76">
        <f t="shared" si="66"/>
        <v>0</v>
      </c>
      <c r="AI247" s="75">
        <f t="shared" si="67"/>
        <v>0</v>
      </c>
      <c r="AJ247" s="47"/>
      <c r="AL247" s="47"/>
      <c r="AN247" s="47"/>
      <c r="AO247" s="47" t="str">
        <f t="shared" si="60"/>
        <v/>
      </c>
    </row>
    <row r="248" spans="1:41" s="56" customFormat="1" ht="14">
      <c r="A248" s="44"/>
      <c r="B248" s="45"/>
      <c r="C248" s="46">
        <f t="shared" si="51"/>
        <v>0</v>
      </c>
      <c r="D248" s="47"/>
      <c r="E248" s="47"/>
      <c r="F248" s="47"/>
      <c r="G248" s="47"/>
      <c r="H248" s="48"/>
      <c r="I248" s="74" t="str">
        <f t="shared" si="52"/>
        <v/>
      </c>
      <c r="J248" s="49"/>
      <c r="K248" s="49"/>
      <c r="L248" s="49"/>
      <c r="M248" s="47"/>
      <c r="N248" s="48" t="str">
        <f t="shared" si="53"/>
        <v/>
      </c>
      <c r="O248" s="48" t="str">
        <f t="shared" si="54"/>
        <v/>
      </c>
      <c r="P248" s="75" t="str">
        <f t="shared" si="55"/>
        <v/>
      </c>
      <c r="Q248" s="76">
        <f t="shared" si="56"/>
        <v>0</v>
      </c>
      <c r="R248" s="76">
        <f t="shared" si="57"/>
        <v>0</v>
      </c>
      <c r="S248" s="75">
        <f t="shared" si="61"/>
        <v>0</v>
      </c>
      <c r="T248" s="47"/>
      <c r="V248" s="57"/>
      <c r="W248" s="45"/>
      <c r="X248" s="46">
        <f t="shared" si="58"/>
        <v>0</v>
      </c>
      <c r="Y248" s="74" t="str">
        <f t="shared" si="59"/>
        <v/>
      </c>
      <c r="Z248" s="49"/>
      <c r="AA248" s="49"/>
      <c r="AB248" s="49"/>
      <c r="AC248" s="47"/>
      <c r="AD248" s="48" t="str">
        <f t="shared" si="62"/>
        <v/>
      </c>
      <c r="AE248" s="48" t="str">
        <f t="shared" si="63"/>
        <v/>
      </c>
      <c r="AF248" s="75" t="str">
        <f t="shared" si="64"/>
        <v/>
      </c>
      <c r="AG248" s="76">
        <f t="shared" si="65"/>
        <v>0</v>
      </c>
      <c r="AH248" s="76">
        <f t="shared" si="66"/>
        <v>0</v>
      </c>
      <c r="AI248" s="75">
        <f t="shared" si="67"/>
        <v>0</v>
      </c>
      <c r="AJ248" s="47"/>
      <c r="AL248" s="47"/>
      <c r="AN248" s="47"/>
      <c r="AO248" s="47" t="str">
        <f t="shared" si="60"/>
        <v/>
      </c>
    </row>
    <row r="249" spans="1:41" s="56" customFormat="1" ht="14">
      <c r="A249" s="44"/>
      <c r="B249" s="45"/>
      <c r="C249" s="46">
        <f t="shared" si="51"/>
        <v>0</v>
      </c>
      <c r="D249" s="47"/>
      <c r="E249" s="47"/>
      <c r="F249" s="47"/>
      <c r="G249" s="47"/>
      <c r="H249" s="48"/>
      <c r="I249" s="74" t="str">
        <f t="shared" si="52"/>
        <v/>
      </c>
      <c r="J249" s="49"/>
      <c r="K249" s="49"/>
      <c r="L249" s="49"/>
      <c r="M249" s="47"/>
      <c r="N249" s="48" t="str">
        <f t="shared" si="53"/>
        <v/>
      </c>
      <c r="O249" s="48" t="str">
        <f t="shared" si="54"/>
        <v/>
      </c>
      <c r="P249" s="75" t="str">
        <f t="shared" si="55"/>
        <v/>
      </c>
      <c r="Q249" s="76">
        <f t="shared" si="56"/>
        <v>0</v>
      </c>
      <c r="R249" s="76">
        <f t="shared" si="57"/>
        <v>0</v>
      </c>
      <c r="S249" s="75">
        <f t="shared" si="61"/>
        <v>0</v>
      </c>
      <c r="T249" s="47"/>
      <c r="V249" s="57"/>
      <c r="W249" s="45"/>
      <c r="X249" s="46">
        <f t="shared" si="58"/>
        <v>0</v>
      </c>
      <c r="Y249" s="74" t="str">
        <f t="shared" si="59"/>
        <v/>
      </c>
      <c r="Z249" s="49"/>
      <c r="AA249" s="49"/>
      <c r="AB249" s="49"/>
      <c r="AC249" s="47"/>
      <c r="AD249" s="48" t="str">
        <f t="shared" si="62"/>
        <v/>
      </c>
      <c r="AE249" s="48" t="str">
        <f t="shared" si="63"/>
        <v/>
      </c>
      <c r="AF249" s="75" t="str">
        <f t="shared" si="64"/>
        <v/>
      </c>
      <c r="AG249" s="76">
        <f t="shared" si="65"/>
        <v>0</v>
      </c>
      <c r="AH249" s="76">
        <f t="shared" si="66"/>
        <v>0</v>
      </c>
      <c r="AI249" s="75">
        <f t="shared" si="67"/>
        <v>0</v>
      </c>
      <c r="AJ249" s="47"/>
      <c r="AL249" s="47"/>
      <c r="AN249" s="47"/>
      <c r="AO249" s="47" t="str">
        <f t="shared" si="60"/>
        <v/>
      </c>
    </row>
    <row r="250" spans="1:41" s="56" customFormat="1" ht="14">
      <c r="A250" s="44"/>
      <c r="B250" s="45"/>
      <c r="C250" s="46">
        <f t="shared" si="51"/>
        <v>0</v>
      </c>
      <c r="D250" s="47"/>
      <c r="E250" s="47"/>
      <c r="F250" s="47"/>
      <c r="G250" s="47"/>
      <c r="H250" s="48"/>
      <c r="I250" s="74" t="str">
        <f t="shared" si="52"/>
        <v/>
      </c>
      <c r="J250" s="49"/>
      <c r="K250" s="49"/>
      <c r="L250" s="49"/>
      <c r="M250" s="47"/>
      <c r="N250" s="48" t="str">
        <f t="shared" si="53"/>
        <v/>
      </c>
      <c r="O250" s="48" t="str">
        <f t="shared" si="54"/>
        <v/>
      </c>
      <c r="P250" s="75" t="str">
        <f t="shared" si="55"/>
        <v/>
      </c>
      <c r="Q250" s="76">
        <f t="shared" si="56"/>
        <v>0</v>
      </c>
      <c r="R250" s="76">
        <f t="shared" si="57"/>
        <v>0</v>
      </c>
      <c r="S250" s="75">
        <f t="shared" si="61"/>
        <v>0</v>
      </c>
      <c r="T250" s="47"/>
      <c r="V250" s="57"/>
      <c r="W250" s="45"/>
      <c r="X250" s="46">
        <f t="shared" si="58"/>
        <v>0</v>
      </c>
      <c r="Y250" s="74" t="str">
        <f t="shared" si="59"/>
        <v/>
      </c>
      <c r="Z250" s="49"/>
      <c r="AA250" s="49"/>
      <c r="AB250" s="49"/>
      <c r="AC250" s="47"/>
      <c r="AD250" s="48" t="str">
        <f t="shared" si="62"/>
        <v/>
      </c>
      <c r="AE250" s="48" t="str">
        <f t="shared" si="63"/>
        <v/>
      </c>
      <c r="AF250" s="75" t="str">
        <f t="shared" si="64"/>
        <v/>
      </c>
      <c r="AG250" s="76">
        <f t="shared" si="65"/>
        <v>0</v>
      </c>
      <c r="AH250" s="76">
        <f t="shared" si="66"/>
        <v>0</v>
      </c>
      <c r="AI250" s="75">
        <f t="shared" si="67"/>
        <v>0</v>
      </c>
      <c r="AJ250" s="47"/>
      <c r="AL250" s="47"/>
      <c r="AN250" s="47"/>
      <c r="AO250" s="47" t="str">
        <f t="shared" si="60"/>
        <v/>
      </c>
    </row>
    <row r="251" spans="1:41" s="56" customFormat="1" ht="14">
      <c r="A251" s="44"/>
      <c r="B251" s="45"/>
      <c r="C251" s="46">
        <f t="shared" si="51"/>
        <v>0</v>
      </c>
      <c r="D251" s="47"/>
      <c r="E251" s="47"/>
      <c r="F251" s="47"/>
      <c r="G251" s="47"/>
      <c r="H251" s="48"/>
      <c r="I251" s="74" t="str">
        <f t="shared" si="52"/>
        <v/>
      </c>
      <c r="J251" s="49"/>
      <c r="K251" s="49"/>
      <c r="L251" s="49"/>
      <c r="M251" s="47"/>
      <c r="N251" s="48" t="str">
        <f t="shared" si="53"/>
        <v/>
      </c>
      <c r="O251" s="48" t="str">
        <f t="shared" si="54"/>
        <v/>
      </c>
      <c r="P251" s="75" t="str">
        <f t="shared" si="55"/>
        <v/>
      </c>
      <c r="Q251" s="76">
        <f t="shared" si="56"/>
        <v>0</v>
      </c>
      <c r="R251" s="76">
        <f t="shared" si="57"/>
        <v>0</v>
      </c>
      <c r="S251" s="75">
        <f t="shared" si="61"/>
        <v>0</v>
      </c>
      <c r="T251" s="47"/>
      <c r="V251" s="57"/>
      <c r="W251" s="45"/>
      <c r="X251" s="46">
        <f t="shared" si="58"/>
        <v>0</v>
      </c>
      <c r="Y251" s="74" t="str">
        <f t="shared" si="59"/>
        <v/>
      </c>
      <c r="Z251" s="49"/>
      <c r="AA251" s="49"/>
      <c r="AB251" s="49"/>
      <c r="AC251" s="47"/>
      <c r="AD251" s="48" t="str">
        <f t="shared" si="62"/>
        <v/>
      </c>
      <c r="AE251" s="48" t="str">
        <f t="shared" si="63"/>
        <v/>
      </c>
      <c r="AF251" s="75" t="str">
        <f t="shared" si="64"/>
        <v/>
      </c>
      <c r="AG251" s="76">
        <f t="shared" si="65"/>
        <v>0</v>
      </c>
      <c r="AH251" s="76">
        <f t="shared" si="66"/>
        <v>0</v>
      </c>
      <c r="AI251" s="75">
        <f t="shared" si="67"/>
        <v>0</v>
      </c>
      <c r="AJ251" s="47"/>
      <c r="AL251" s="47"/>
      <c r="AN251" s="47"/>
      <c r="AO251" s="47" t="str">
        <f t="shared" si="60"/>
        <v/>
      </c>
    </row>
    <row r="252" spans="1:41" s="56" customFormat="1" ht="14">
      <c r="A252" s="44"/>
      <c r="B252" s="45"/>
      <c r="C252" s="46">
        <f t="shared" si="51"/>
        <v>0</v>
      </c>
      <c r="D252" s="47"/>
      <c r="E252" s="47"/>
      <c r="F252" s="47"/>
      <c r="G252" s="47"/>
      <c r="H252" s="48"/>
      <c r="I252" s="74" t="str">
        <f t="shared" si="52"/>
        <v/>
      </c>
      <c r="J252" s="49"/>
      <c r="K252" s="49"/>
      <c r="L252" s="49"/>
      <c r="M252" s="47"/>
      <c r="N252" s="48" t="str">
        <f t="shared" si="53"/>
        <v/>
      </c>
      <c r="O252" s="48" t="str">
        <f t="shared" si="54"/>
        <v/>
      </c>
      <c r="P252" s="75" t="str">
        <f t="shared" si="55"/>
        <v/>
      </c>
      <c r="Q252" s="76">
        <f t="shared" si="56"/>
        <v>0</v>
      </c>
      <c r="R252" s="76">
        <f t="shared" si="57"/>
        <v>0</v>
      </c>
      <c r="S252" s="75">
        <f t="shared" si="61"/>
        <v>0</v>
      </c>
      <c r="T252" s="47"/>
      <c r="V252" s="57"/>
      <c r="W252" s="45"/>
      <c r="X252" s="46">
        <f t="shared" si="58"/>
        <v>0</v>
      </c>
      <c r="Y252" s="74" t="str">
        <f t="shared" si="59"/>
        <v/>
      </c>
      <c r="Z252" s="49"/>
      <c r="AA252" s="49"/>
      <c r="AB252" s="49"/>
      <c r="AC252" s="47"/>
      <c r="AD252" s="48" t="str">
        <f t="shared" si="62"/>
        <v/>
      </c>
      <c r="AE252" s="48" t="str">
        <f t="shared" si="63"/>
        <v/>
      </c>
      <c r="AF252" s="75" t="str">
        <f t="shared" si="64"/>
        <v/>
      </c>
      <c r="AG252" s="76">
        <f t="shared" si="65"/>
        <v>0</v>
      </c>
      <c r="AH252" s="76">
        <f t="shared" si="66"/>
        <v>0</v>
      </c>
      <c r="AI252" s="75">
        <f t="shared" si="67"/>
        <v>0</v>
      </c>
      <c r="AJ252" s="47"/>
      <c r="AL252" s="47"/>
      <c r="AN252" s="47"/>
      <c r="AO252" s="47" t="str">
        <f t="shared" si="60"/>
        <v/>
      </c>
    </row>
    <row r="253" spans="1:41" s="56" customFormat="1" ht="14">
      <c r="A253" s="44"/>
      <c r="B253" s="45"/>
      <c r="C253" s="46">
        <f t="shared" si="51"/>
        <v>0</v>
      </c>
      <c r="D253" s="47"/>
      <c r="E253" s="47"/>
      <c r="F253" s="47"/>
      <c r="G253" s="47"/>
      <c r="H253" s="48"/>
      <c r="I253" s="74" t="str">
        <f t="shared" si="52"/>
        <v/>
      </c>
      <c r="J253" s="49"/>
      <c r="K253" s="49"/>
      <c r="L253" s="49"/>
      <c r="M253" s="47"/>
      <c r="N253" s="48" t="str">
        <f t="shared" si="53"/>
        <v/>
      </c>
      <c r="O253" s="48" t="str">
        <f t="shared" si="54"/>
        <v/>
      </c>
      <c r="P253" s="75" t="str">
        <f t="shared" si="55"/>
        <v/>
      </c>
      <c r="Q253" s="76">
        <f t="shared" si="56"/>
        <v>0</v>
      </c>
      <c r="R253" s="76">
        <f t="shared" si="57"/>
        <v>0</v>
      </c>
      <c r="S253" s="75">
        <f t="shared" si="61"/>
        <v>0</v>
      </c>
      <c r="T253" s="47"/>
      <c r="V253" s="57"/>
      <c r="W253" s="45"/>
      <c r="X253" s="46">
        <f t="shared" si="58"/>
        <v>0</v>
      </c>
      <c r="Y253" s="74" t="str">
        <f t="shared" si="59"/>
        <v/>
      </c>
      <c r="Z253" s="49"/>
      <c r="AA253" s="49"/>
      <c r="AB253" s="49"/>
      <c r="AC253" s="47"/>
      <c r="AD253" s="48" t="str">
        <f t="shared" si="62"/>
        <v/>
      </c>
      <c r="AE253" s="48" t="str">
        <f t="shared" si="63"/>
        <v/>
      </c>
      <c r="AF253" s="75" t="str">
        <f t="shared" si="64"/>
        <v/>
      </c>
      <c r="AG253" s="76">
        <f t="shared" si="65"/>
        <v>0</v>
      </c>
      <c r="AH253" s="76">
        <f t="shared" si="66"/>
        <v>0</v>
      </c>
      <c r="AI253" s="75">
        <f t="shared" si="67"/>
        <v>0</v>
      </c>
      <c r="AJ253" s="47"/>
      <c r="AL253" s="47"/>
      <c r="AN253" s="47"/>
      <c r="AO253" s="47" t="str">
        <f t="shared" si="60"/>
        <v/>
      </c>
    </row>
    <row r="254" spans="1:41" s="56" customFormat="1" ht="14">
      <c r="A254" s="44"/>
      <c r="B254" s="45"/>
      <c r="C254" s="46">
        <f t="shared" si="51"/>
        <v>0</v>
      </c>
      <c r="D254" s="47"/>
      <c r="E254" s="47"/>
      <c r="F254" s="47"/>
      <c r="G254" s="47"/>
      <c r="H254" s="48"/>
      <c r="I254" s="74" t="str">
        <f t="shared" si="52"/>
        <v/>
      </c>
      <c r="J254" s="49"/>
      <c r="K254" s="49"/>
      <c r="L254" s="49"/>
      <c r="M254" s="47"/>
      <c r="N254" s="48" t="str">
        <f t="shared" si="53"/>
        <v/>
      </c>
      <c r="O254" s="48" t="str">
        <f t="shared" si="54"/>
        <v/>
      </c>
      <c r="P254" s="75" t="str">
        <f t="shared" si="55"/>
        <v/>
      </c>
      <c r="Q254" s="76">
        <f t="shared" si="56"/>
        <v>0</v>
      </c>
      <c r="R254" s="76">
        <f t="shared" si="57"/>
        <v>0</v>
      </c>
      <c r="S254" s="75">
        <f t="shared" si="61"/>
        <v>0</v>
      </c>
      <c r="T254" s="47"/>
      <c r="V254" s="57"/>
      <c r="W254" s="45"/>
      <c r="X254" s="46">
        <f t="shared" si="58"/>
        <v>0</v>
      </c>
      <c r="Y254" s="74" t="str">
        <f t="shared" si="59"/>
        <v/>
      </c>
      <c r="Z254" s="49"/>
      <c r="AA254" s="49"/>
      <c r="AB254" s="49"/>
      <c r="AC254" s="47"/>
      <c r="AD254" s="48" t="str">
        <f t="shared" si="62"/>
        <v/>
      </c>
      <c r="AE254" s="48" t="str">
        <f t="shared" si="63"/>
        <v/>
      </c>
      <c r="AF254" s="75" t="str">
        <f t="shared" si="64"/>
        <v/>
      </c>
      <c r="AG254" s="76">
        <f t="shared" si="65"/>
        <v>0</v>
      </c>
      <c r="AH254" s="76">
        <f t="shared" si="66"/>
        <v>0</v>
      </c>
      <c r="AI254" s="75">
        <f t="shared" si="67"/>
        <v>0</v>
      </c>
      <c r="AJ254" s="47"/>
      <c r="AL254" s="47"/>
      <c r="AN254" s="47"/>
      <c r="AO254" s="47" t="str">
        <f t="shared" si="60"/>
        <v/>
      </c>
    </row>
    <row r="255" spans="1:41" s="56" customFormat="1" ht="14">
      <c r="A255" s="44"/>
      <c r="B255" s="45"/>
      <c r="C255" s="46">
        <f t="shared" si="51"/>
        <v>0</v>
      </c>
      <c r="D255" s="47"/>
      <c r="E255" s="47"/>
      <c r="F255" s="47"/>
      <c r="G255" s="47"/>
      <c r="H255" s="48"/>
      <c r="I255" s="74" t="str">
        <f t="shared" si="52"/>
        <v/>
      </c>
      <c r="J255" s="49"/>
      <c r="K255" s="49"/>
      <c r="L255" s="49"/>
      <c r="M255" s="47"/>
      <c r="N255" s="48" t="str">
        <f t="shared" si="53"/>
        <v/>
      </c>
      <c r="O255" s="48" t="str">
        <f t="shared" si="54"/>
        <v/>
      </c>
      <c r="P255" s="75" t="str">
        <f t="shared" si="55"/>
        <v/>
      </c>
      <c r="Q255" s="76">
        <f t="shared" si="56"/>
        <v>0</v>
      </c>
      <c r="R255" s="76">
        <f t="shared" si="57"/>
        <v>0</v>
      </c>
      <c r="S255" s="75">
        <f t="shared" si="61"/>
        <v>0</v>
      </c>
      <c r="T255" s="47"/>
      <c r="V255" s="57"/>
      <c r="W255" s="45"/>
      <c r="X255" s="46">
        <f t="shared" si="58"/>
        <v>0</v>
      </c>
      <c r="Y255" s="74" t="str">
        <f t="shared" si="59"/>
        <v/>
      </c>
      <c r="Z255" s="49"/>
      <c r="AA255" s="49"/>
      <c r="AB255" s="49"/>
      <c r="AC255" s="47"/>
      <c r="AD255" s="48" t="str">
        <f t="shared" si="62"/>
        <v/>
      </c>
      <c r="AE255" s="48" t="str">
        <f t="shared" si="63"/>
        <v/>
      </c>
      <c r="AF255" s="75" t="str">
        <f t="shared" si="64"/>
        <v/>
      </c>
      <c r="AG255" s="76">
        <f t="shared" si="65"/>
        <v>0</v>
      </c>
      <c r="AH255" s="76">
        <f t="shared" si="66"/>
        <v>0</v>
      </c>
      <c r="AI255" s="75">
        <f t="shared" si="67"/>
        <v>0</v>
      </c>
      <c r="AJ255" s="47"/>
      <c r="AL255" s="47"/>
      <c r="AN255" s="47"/>
      <c r="AO255" s="47" t="str">
        <f t="shared" si="60"/>
        <v/>
      </c>
    </row>
    <row r="256" spans="1:41" s="56" customFormat="1" ht="14">
      <c r="A256" s="44"/>
      <c r="B256" s="45"/>
      <c r="C256" s="46">
        <f t="shared" si="51"/>
        <v>0</v>
      </c>
      <c r="D256" s="47"/>
      <c r="E256" s="47"/>
      <c r="F256" s="47"/>
      <c r="G256" s="47"/>
      <c r="H256" s="48"/>
      <c r="I256" s="74" t="str">
        <f t="shared" si="52"/>
        <v/>
      </c>
      <c r="J256" s="49"/>
      <c r="K256" s="49"/>
      <c r="L256" s="49"/>
      <c r="M256" s="47"/>
      <c r="N256" s="48" t="str">
        <f t="shared" si="53"/>
        <v/>
      </c>
      <c r="O256" s="48" t="str">
        <f t="shared" si="54"/>
        <v/>
      </c>
      <c r="P256" s="75" t="str">
        <f t="shared" si="55"/>
        <v/>
      </c>
      <c r="Q256" s="76">
        <f t="shared" si="56"/>
        <v>0</v>
      </c>
      <c r="R256" s="76">
        <f t="shared" si="57"/>
        <v>0</v>
      </c>
      <c r="S256" s="75">
        <f t="shared" si="61"/>
        <v>0</v>
      </c>
      <c r="T256" s="47"/>
      <c r="V256" s="57"/>
      <c r="W256" s="45"/>
      <c r="X256" s="46">
        <f t="shared" si="58"/>
        <v>0</v>
      </c>
      <c r="Y256" s="74" t="str">
        <f t="shared" si="59"/>
        <v/>
      </c>
      <c r="Z256" s="49"/>
      <c r="AA256" s="49"/>
      <c r="AB256" s="49"/>
      <c r="AC256" s="47"/>
      <c r="AD256" s="48" t="str">
        <f t="shared" si="62"/>
        <v/>
      </c>
      <c r="AE256" s="48" t="str">
        <f t="shared" si="63"/>
        <v/>
      </c>
      <c r="AF256" s="75" t="str">
        <f t="shared" si="64"/>
        <v/>
      </c>
      <c r="AG256" s="76">
        <f t="shared" si="65"/>
        <v>0</v>
      </c>
      <c r="AH256" s="76">
        <f t="shared" si="66"/>
        <v>0</v>
      </c>
      <c r="AI256" s="75">
        <f t="shared" si="67"/>
        <v>0</v>
      </c>
      <c r="AJ256" s="47"/>
      <c r="AL256" s="47"/>
      <c r="AN256" s="47"/>
      <c r="AO256" s="47" t="str">
        <f t="shared" si="60"/>
        <v/>
      </c>
    </row>
    <row r="257" spans="1:41" s="56" customFormat="1" ht="14">
      <c r="A257" s="44"/>
      <c r="B257" s="45"/>
      <c r="C257" s="46">
        <f t="shared" si="51"/>
        <v>0</v>
      </c>
      <c r="D257" s="47"/>
      <c r="E257" s="47"/>
      <c r="F257" s="47"/>
      <c r="G257" s="47"/>
      <c r="H257" s="48"/>
      <c r="I257" s="74" t="str">
        <f t="shared" si="52"/>
        <v/>
      </c>
      <c r="J257" s="49"/>
      <c r="K257" s="49"/>
      <c r="L257" s="49"/>
      <c r="M257" s="47"/>
      <c r="N257" s="48" t="str">
        <f t="shared" si="53"/>
        <v/>
      </c>
      <c r="O257" s="48" t="str">
        <f t="shared" si="54"/>
        <v/>
      </c>
      <c r="P257" s="75" t="str">
        <f t="shared" si="55"/>
        <v/>
      </c>
      <c r="Q257" s="76">
        <f t="shared" si="56"/>
        <v>0</v>
      </c>
      <c r="R257" s="76">
        <f t="shared" si="57"/>
        <v>0</v>
      </c>
      <c r="S257" s="75">
        <f t="shared" si="61"/>
        <v>0</v>
      </c>
      <c r="T257" s="47"/>
      <c r="V257" s="57"/>
      <c r="W257" s="45"/>
      <c r="X257" s="46">
        <f t="shared" si="58"/>
        <v>0</v>
      </c>
      <c r="Y257" s="74" t="str">
        <f t="shared" si="59"/>
        <v/>
      </c>
      <c r="Z257" s="49"/>
      <c r="AA257" s="49"/>
      <c r="AB257" s="49"/>
      <c r="AC257" s="47"/>
      <c r="AD257" s="48" t="str">
        <f t="shared" si="62"/>
        <v/>
      </c>
      <c r="AE257" s="48" t="str">
        <f t="shared" si="63"/>
        <v/>
      </c>
      <c r="AF257" s="75" t="str">
        <f t="shared" si="64"/>
        <v/>
      </c>
      <c r="AG257" s="76">
        <f t="shared" si="65"/>
        <v>0</v>
      </c>
      <c r="AH257" s="76">
        <f t="shared" si="66"/>
        <v>0</v>
      </c>
      <c r="AI257" s="75">
        <f t="shared" si="67"/>
        <v>0</v>
      </c>
      <c r="AJ257" s="47"/>
      <c r="AL257" s="47"/>
      <c r="AN257" s="47"/>
      <c r="AO257" s="47" t="str">
        <f t="shared" si="60"/>
        <v/>
      </c>
    </row>
    <row r="258" spans="1:41" s="56" customFormat="1" ht="14">
      <c r="A258" s="44"/>
      <c r="B258" s="45"/>
      <c r="C258" s="46">
        <f t="shared" si="51"/>
        <v>0</v>
      </c>
      <c r="D258" s="47"/>
      <c r="E258" s="47"/>
      <c r="F258" s="47"/>
      <c r="G258" s="47"/>
      <c r="H258" s="48"/>
      <c r="I258" s="74" t="str">
        <f t="shared" si="52"/>
        <v/>
      </c>
      <c r="J258" s="49"/>
      <c r="K258" s="49"/>
      <c r="L258" s="49"/>
      <c r="M258" s="47"/>
      <c r="N258" s="48" t="str">
        <f t="shared" si="53"/>
        <v/>
      </c>
      <c r="O258" s="48" t="str">
        <f t="shared" si="54"/>
        <v/>
      </c>
      <c r="P258" s="75" t="str">
        <f t="shared" si="55"/>
        <v/>
      </c>
      <c r="Q258" s="76">
        <f t="shared" si="56"/>
        <v>0</v>
      </c>
      <c r="R258" s="76">
        <f t="shared" si="57"/>
        <v>0</v>
      </c>
      <c r="S258" s="75">
        <f t="shared" si="61"/>
        <v>0</v>
      </c>
      <c r="T258" s="47"/>
      <c r="V258" s="57"/>
      <c r="W258" s="45"/>
      <c r="X258" s="46">
        <f t="shared" si="58"/>
        <v>0</v>
      </c>
      <c r="Y258" s="74" t="str">
        <f t="shared" si="59"/>
        <v/>
      </c>
      <c r="Z258" s="49"/>
      <c r="AA258" s="49"/>
      <c r="AB258" s="49"/>
      <c r="AC258" s="47"/>
      <c r="AD258" s="48" t="str">
        <f t="shared" si="62"/>
        <v/>
      </c>
      <c r="AE258" s="48" t="str">
        <f t="shared" si="63"/>
        <v/>
      </c>
      <c r="AF258" s="75" t="str">
        <f t="shared" si="64"/>
        <v/>
      </c>
      <c r="AG258" s="76">
        <f t="shared" si="65"/>
        <v>0</v>
      </c>
      <c r="AH258" s="76">
        <f t="shared" si="66"/>
        <v>0</v>
      </c>
      <c r="AI258" s="75">
        <f t="shared" si="67"/>
        <v>0</v>
      </c>
      <c r="AJ258" s="47"/>
      <c r="AL258" s="47"/>
      <c r="AN258" s="47"/>
      <c r="AO258" s="47" t="str">
        <f t="shared" si="60"/>
        <v/>
      </c>
    </row>
    <row r="259" spans="1:41" s="56" customFormat="1" ht="14">
      <c r="A259" s="44"/>
      <c r="B259" s="45"/>
      <c r="C259" s="46">
        <f t="shared" si="51"/>
        <v>0</v>
      </c>
      <c r="D259" s="47"/>
      <c r="E259" s="47"/>
      <c r="F259" s="47"/>
      <c r="G259" s="47"/>
      <c r="H259" s="48"/>
      <c r="I259" s="74" t="str">
        <f t="shared" si="52"/>
        <v/>
      </c>
      <c r="J259" s="49"/>
      <c r="K259" s="49"/>
      <c r="L259" s="49"/>
      <c r="M259" s="47"/>
      <c r="N259" s="48" t="str">
        <f t="shared" si="53"/>
        <v/>
      </c>
      <c r="O259" s="48" t="str">
        <f t="shared" si="54"/>
        <v/>
      </c>
      <c r="P259" s="75" t="str">
        <f t="shared" si="55"/>
        <v/>
      </c>
      <c r="Q259" s="76">
        <f t="shared" si="56"/>
        <v>0</v>
      </c>
      <c r="R259" s="76">
        <f t="shared" si="57"/>
        <v>0</v>
      </c>
      <c r="S259" s="75">
        <f t="shared" si="61"/>
        <v>0</v>
      </c>
      <c r="T259" s="47"/>
      <c r="V259" s="57"/>
      <c r="W259" s="45"/>
      <c r="X259" s="46">
        <f t="shared" si="58"/>
        <v>0</v>
      </c>
      <c r="Y259" s="74" t="str">
        <f t="shared" si="59"/>
        <v/>
      </c>
      <c r="Z259" s="49"/>
      <c r="AA259" s="49"/>
      <c r="AB259" s="49"/>
      <c r="AC259" s="47"/>
      <c r="AD259" s="48" t="str">
        <f t="shared" si="62"/>
        <v/>
      </c>
      <c r="AE259" s="48" t="str">
        <f t="shared" si="63"/>
        <v/>
      </c>
      <c r="AF259" s="75" t="str">
        <f t="shared" si="64"/>
        <v/>
      </c>
      <c r="AG259" s="76">
        <f t="shared" si="65"/>
        <v>0</v>
      </c>
      <c r="AH259" s="76">
        <f t="shared" si="66"/>
        <v>0</v>
      </c>
      <c r="AI259" s="75">
        <f t="shared" si="67"/>
        <v>0</v>
      </c>
      <c r="AJ259" s="47"/>
      <c r="AL259" s="47"/>
      <c r="AN259" s="47"/>
      <c r="AO259" s="47" t="str">
        <f t="shared" si="60"/>
        <v/>
      </c>
    </row>
    <row r="260" spans="1:41" s="56" customFormat="1" ht="14">
      <c r="A260" s="44"/>
      <c r="B260" s="45"/>
      <c r="C260" s="46">
        <f t="shared" si="51"/>
        <v>0</v>
      </c>
      <c r="D260" s="47"/>
      <c r="E260" s="47"/>
      <c r="F260" s="47"/>
      <c r="G260" s="47"/>
      <c r="H260" s="48"/>
      <c r="I260" s="74" t="str">
        <f t="shared" si="52"/>
        <v/>
      </c>
      <c r="J260" s="49"/>
      <c r="K260" s="49"/>
      <c r="L260" s="49"/>
      <c r="M260" s="47"/>
      <c r="N260" s="48" t="str">
        <f t="shared" si="53"/>
        <v/>
      </c>
      <c r="O260" s="48" t="str">
        <f t="shared" si="54"/>
        <v/>
      </c>
      <c r="P260" s="75" t="str">
        <f t="shared" si="55"/>
        <v/>
      </c>
      <c r="Q260" s="76">
        <f t="shared" si="56"/>
        <v>0</v>
      </c>
      <c r="R260" s="76">
        <f t="shared" si="57"/>
        <v>0</v>
      </c>
      <c r="S260" s="75">
        <f t="shared" si="61"/>
        <v>0</v>
      </c>
      <c r="T260" s="47"/>
      <c r="V260" s="57"/>
      <c r="W260" s="45"/>
      <c r="X260" s="46">
        <f t="shared" si="58"/>
        <v>0</v>
      </c>
      <c r="Y260" s="74" t="str">
        <f t="shared" si="59"/>
        <v/>
      </c>
      <c r="Z260" s="49"/>
      <c r="AA260" s="49"/>
      <c r="AB260" s="49"/>
      <c r="AC260" s="47"/>
      <c r="AD260" s="48" t="str">
        <f t="shared" si="62"/>
        <v/>
      </c>
      <c r="AE260" s="48" t="str">
        <f t="shared" si="63"/>
        <v/>
      </c>
      <c r="AF260" s="75" t="str">
        <f t="shared" si="64"/>
        <v/>
      </c>
      <c r="AG260" s="76">
        <f t="shared" si="65"/>
        <v>0</v>
      </c>
      <c r="AH260" s="76">
        <f t="shared" si="66"/>
        <v>0</v>
      </c>
      <c r="AI260" s="75">
        <f t="shared" si="67"/>
        <v>0</v>
      </c>
      <c r="AJ260" s="47"/>
      <c r="AL260" s="47"/>
      <c r="AN260" s="47"/>
      <c r="AO260" s="47" t="str">
        <f t="shared" si="60"/>
        <v/>
      </c>
    </row>
    <row r="261" spans="1:41" s="56" customFormat="1" ht="14">
      <c r="A261" s="44"/>
      <c r="B261" s="45"/>
      <c r="C261" s="46">
        <f t="shared" si="51"/>
        <v>0</v>
      </c>
      <c r="D261" s="47"/>
      <c r="E261" s="47"/>
      <c r="F261" s="47"/>
      <c r="G261" s="47"/>
      <c r="H261" s="48"/>
      <c r="I261" s="74" t="str">
        <f t="shared" si="52"/>
        <v/>
      </c>
      <c r="J261" s="49"/>
      <c r="K261" s="49"/>
      <c r="L261" s="49"/>
      <c r="M261" s="47"/>
      <c r="N261" s="48" t="str">
        <f t="shared" si="53"/>
        <v/>
      </c>
      <c r="O261" s="48" t="str">
        <f t="shared" si="54"/>
        <v/>
      </c>
      <c r="P261" s="75" t="str">
        <f t="shared" si="55"/>
        <v/>
      </c>
      <c r="Q261" s="76">
        <f t="shared" si="56"/>
        <v>0</v>
      </c>
      <c r="R261" s="76">
        <f t="shared" si="57"/>
        <v>0</v>
      </c>
      <c r="S261" s="75">
        <f t="shared" si="61"/>
        <v>0</v>
      </c>
      <c r="T261" s="47"/>
      <c r="V261" s="57"/>
      <c r="W261" s="45"/>
      <c r="X261" s="46">
        <f t="shared" si="58"/>
        <v>0</v>
      </c>
      <c r="Y261" s="74" t="str">
        <f t="shared" si="59"/>
        <v/>
      </c>
      <c r="Z261" s="49"/>
      <c r="AA261" s="49"/>
      <c r="AB261" s="49"/>
      <c r="AC261" s="47"/>
      <c r="AD261" s="48" t="str">
        <f t="shared" si="62"/>
        <v/>
      </c>
      <c r="AE261" s="48" t="str">
        <f t="shared" si="63"/>
        <v/>
      </c>
      <c r="AF261" s="75" t="str">
        <f t="shared" si="64"/>
        <v/>
      </c>
      <c r="AG261" s="76">
        <f t="shared" si="65"/>
        <v>0</v>
      </c>
      <c r="AH261" s="76">
        <f t="shared" si="66"/>
        <v>0</v>
      </c>
      <c r="AI261" s="75">
        <f t="shared" si="67"/>
        <v>0</v>
      </c>
      <c r="AJ261" s="47"/>
      <c r="AL261" s="47"/>
      <c r="AN261" s="47"/>
      <c r="AO261" s="47" t="str">
        <f t="shared" si="60"/>
        <v/>
      </c>
    </row>
    <row r="262" spans="1:41" s="56" customFormat="1" ht="14">
      <c r="A262" s="44"/>
      <c r="B262" s="45"/>
      <c r="C262" s="46">
        <f t="shared" si="51"/>
        <v>0</v>
      </c>
      <c r="D262" s="47"/>
      <c r="E262" s="47"/>
      <c r="F262" s="47"/>
      <c r="G262" s="47"/>
      <c r="H262" s="48"/>
      <c r="I262" s="74" t="str">
        <f t="shared" si="52"/>
        <v/>
      </c>
      <c r="J262" s="49"/>
      <c r="K262" s="49"/>
      <c r="L262" s="49"/>
      <c r="M262" s="47"/>
      <c r="N262" s="48" t="str">
        <f t="shared" si="53"/>
        <v/>
      </c>
      <c r="O262" s="48" t="str">
        <f t="shared" si="54"/>
        <v/>
      </c>
      <c r="P262" s="75" t="str">
        <f t="shared" si="55"/>
        <v/>
      </c>
      <c r="Q262" s="76">
        <f t="shared" si="56"/>
        <v>0</v>
      </c>
      <c r="R262" s="76">
        <f t="shared" si="57"/>
        <v>0</v>
      </c>
      <c r="S262" s="75">
        <f t="shared" si="61"/>
        <v>0</v>
      </c>
      <c r="T262" s="47"/>
      <c r="V262" s="57"/>
      <c r="W262" s="45"/>
      <c r="X262" s="46">
        <f t="shared" si="58"/>
        <v>0</v>
      </c>
      <c r="Y262" s="74" t="str">
        <f t="shared" si="59"/>
        <v/>
      </c>
      <c r="Z262" s="49"/>
      <c r="AA262" s="49"/>
      <c r="AB262" s="49"/>
      <c r="AC262" s="47"/>
      <c r="AD262" s="48" t="str">
        <f t="shared" si="62"/>
        <v/>
      </c>
      <c r="AE262" s="48" t="str">
        <f t="shared" si="63"/>
        <v/>
      </c>
      <c r="AF262" s="75" t="str">
        <f t="shared" si="64"/>
        <v/>
      </c>
      <c r="AG262" s="76">
        <f t="shared" si="65"/>
        <v>0</v>
      </c>
      <c r="AH262" s="76">
        <f t="shared" si="66"/>
        <v>0</v>
      </c>
      <c r="AI262" s="75">
        <f t="shared" si="67"/>
        <v>0</v>
      </c>
      <c r="AJ262" s="47"/>
      <c r="AL262" s="47"/>
      <c r="AN262" s="47"/>
      <c r="AO262" s="47" t="str">
        <f t="shared" si="60"/>
        <v/>
      </c>
    </row>
    <row r="263" spans="1:41" s="56" customFormat="1" ht="14">
      <c r="A263" s="44"/>
      <c r="B263" s="45"/>
      <c r="C263" s="46">
        <f t="shared" si="51"/>
        <v>0</v>
      </c>
      <c r="D263" s="47"/>
      <c r="E263" s="47"/>
      <c r="F263" s="47"/>
      <c r="G263" s="47"/>
      <c r="H263" s="48"/>
      <c r="I263" s="74" t="str">
        <f t="shared" si="52"/>
        <v/>
      </c>
      <c r="J263" s="49"/>
      <c r="K263" s="49"/>
      <c r="L263" s="49"/>
      <c r="M263" s="47"/>
      <c r="N263" s="48" t="str">
        <f t="shared" si="53"/>
        <v/>
      </c>
      <c r="O263" s="48" t="str">
        <f t="shared" si="54"/>
        <v/>
      </c>
      <c r="P263" s="75" t="str">
        <f t="shared" si="55"/>
        <v/>
      </c>
      <c r="Q263" s="76">
        <f t="shared" si="56"/>
        <v>0</v>
      </c>
      <c r="R263" s="76">
        <f t="shared" si="57"/>
        <v>0</v>
      </c>
      <c r="S263" s="75">
        <f t="shared" si="61"/>
        <v>0</v>
      </c>
      <c r="T263" s="47"/>
      <c r="V263" s="57"/>
      <c r="W263" s="45"/>
      <c r="X263" s="46">
        <f t="shared" si="58"/>
        <v>0</v>
      </c>
      <c r="Y263" s="74" t="str">
        <f t="shared" si="59"/>
        <v/>
      </c>
      <c r="Z263" s="49"/>
      <c r="AA263" s="49"/>
      <c r="AB263" s="49"/>
      <c r="AC263" s="47"/>
      <c r="AD263" s="48" t="str">
        <f t="shared" si="62"/>
        <v/>
      </c>
      <c r="AE263" s="48" t="str">
        <f t="shared" si="63"/>
        <v/>
      </c>
      <c r="AF263" s="75" t="str">
        <f t="shared" si="64"/>
        <v/>
      </c>
      <c r="AG263" s="76">
        <f t="shared" si="65"/>
        <v>0</v>
      </c>
      <c r="AH263" s="76">
        <f t="shared" si="66"/>
        <v>0</v>
      </c>
      <c r="AI263" s="75">
        <f t="shared" si="67"/>
        <v>0</v>
      </c>
      <c r="AJ263" s="47"/>
      <c r="AL263" s="47"/>
      <c r="AN263" s="47"/>
      <c r="AO263" s="47" t="str">
        <f t="shared" si="60"/>
        <v/>
      </c>
    </row>
    <row r="264" spans="1:41" s="56" customFormat="1" ht="14">
      <c r="A264" s="44"/>
      <c r="B264" s="45"/>
      <c r="C264" s="46">
        <f t="shared" si="51"/>
        <v>0</v>
      </c>
      <c r="D264" s="47"/>
      <c r="E264" s="47"/>
      <c r="F264" s="47"/>
      <c r="G264" s="47"/>
      <c r="H264" s="48"/>
      <c r="I264" s="74" t="str">
        <f t="shared" si="52"/>
        <v/>
      </c>
      <c r="J264" s="49"/>
      <c r="K264" s="49"/>
      <c r="L264" s="49"/>
      <c r="M264" s="47"/>
      <c r="N264" s="48" t="str">
        <f t="shared" si="53"/>
        <v/>
      </c>
      <c r="O264" s="48" t="str">
        <f t="shared" si="54"/>
        <v/>
      </c>
      <c r="P264" s="75" t="str">
        <f t="shared" si="55"/>
        <v/>
      </c>
      <c r="Q264" s="76">
        <f t="shared" si="56"/>
        <v>0</v>
      </c>
      <c r="R264" s="76">
        <f t="shared" si="57"/>
        <v>0</v>
      </c>
      <c r="S264" s="75">
        <f t="shared" si="61"/>
        <v>0</v>
      </c>
      <c r="T264" s="47"/>
      <c r="V264" s="57"/>
      <c r="W264" s="45"/>
      <c r="X264" s="46">
        <f t="shared" si="58"/>
        <v>0</v>
      </c>
      <c r="Y264" s="74" t="str">
        <f t="shared" si="59"/>
        <v/>
      </c>
      <c r="Z264" s="49"/>
      <c r="AA264" s="49"/>
      <c r="AB264" s="49"/>
      <c r="AC264" s="47"/>
      <c r="AD264" s="48" t="str">
        <f t="shared" si="62"/>
        <v/>
      </c>
      <c r="AE264" s="48" t="str">
        <f t="shared" si="63"/>
        <v/>
      </c>
      <c r="AF264" s="75" t="str">
        <f t="shared" si="64"/>
        <v/>
      </c>
      <c r="AG264" s="76">
        <f t="shared" si="65"/>
        <v>0</v>
      </c>
      <c r="AH264" s="76">
        <f t="shared" si="66"/>
        <v>0</v>
      </c>
      <c r="AI264" s="75">
        <f t="shared" si="67"/>
        <v>0</v>
      </c>
      <c r="AJ264" s="47"/>
      <c r="AL264" s="47"/>
      <c r="AN264" s="47"/>
      <c r="AO264" s="47" t="str">
        <f t="shared" si="60"/>
        <v/>
      </c>
    </row>
    <row r="265" spans="1:41" s="56" customFormat="1" ht="14">
      <c r="A265" s="44"/>
      <c r="B265" s="45"/>
      <c r="C265" s="46">
        <f t="shared" si="51"/>
        <v>0</v>
      </c>
      <c r="D265" s="47"/>
      <c r="E265" s="47"/>
      <c r="F265" s="47"/>
      <c r="G265" s="47"/>
      <c r="H265" s="48"/>
      <c r="I265" s="74" t="str">
        <f t="shared" si="52"/>
        <v/>
      </c>
      <c r="J265" s="49"/>
      <c r="K265" s="49"/>
      <c r="L265" s="49"/>
      <c r="M265" s="47"/>
      <c r="N265" s="48" t="str">
        <f t="shared" si="53"/>
        <v/>
      </c>
      <c r="O265" s="48" t="str">
        <f t="shared" si="54"/>
        <v/>
      </c>
      <c r="P265" s="75" t="str">
        <f t="shared" si="55"/>
        <v/>
      </c>
      <c r="Q265" s="76">
        <f t="shared" si="56"/>
        <v>0</v>
      </c>
      <c r="R265" s="76">
        <f t="shared" si="57"/>
        <v>0</v>
      </c>
      <c r="S265" s="75">
        <f t="shared" si="61"/>
        <v>0</v>
      </c>
      <c r="T265" s="47"/>
      <c r="V265" s="57"/>
      <c r="W265" s="45"/>
      <c r="X265" s="46">
        <f t="shared" si="58"/>
        <v>0</v>
      </c>
      <c r="Y265" s="74" t="str">
        <f t="shared" si="59"/>
        <v/>
      </c>
      <c r="Z265" s="49"/>
      <c r="AA265" s="49"/>
      <c r="AB265" s="49"/>
      <c r="AC265" s="47"/>
      <c r="AD265" s="48" t="str">
        <f t="shared" si="62"/>
        <v/>
      </c>
      <c r="AE265" s="48" t="str">
        <f t="shared" si="63"/>
        <v/>
      </c>
      <c r="AF265" s="75" t="str">
        <f t="shared" si="64"/>
        <v/>
      </c>
      <c r="AG265" s="76">
        <f t="shared" si="65"/>
        <v>0</v>
      </c>
      <c r="AH265" s="76">
        <f t="shared" si="66"/>
        <v>0</v>
      </c>
      <c r="AI265" s="75">
        <f t="shared" si="67"/>
        <v>0</v>
      </c>
      <c r="AJ265" s="47"/>
      <c r="AL265" s="47"/>
      <c r="AN265" s="47"/>
      <c r="AO265" s="47" t="str">
        <f t="shared" si="60"/>
        <v/>
      </c>
    </row>
    <row r="266" spans="1:41" s="56" customFormat="1" ht="14">
      <c r="A266" s="44"/>
      <c r="B266" s="45"/>
      <c r="C266" s="46">
        <f t="shared" si="51"/>
        <v>0</v>
      </c>
      <c r="D266" s="47"/>
      <c r="E266" s="47"/>
      <c r="F266" s="47"/>
      <c r="G266" s="47"/>
      <c r="H266" s="48"/>
      <c r="I266" s="74" t="str">
        <f t="shared" si="52"/>
        <v/>
      </c>
      <c r="J266" s="49"/>
      <c r="K266" s="49"/>
      <c r="L266" s="49"/>
      <c r="M266" s="47"/>
      <c r="N266" s="48" t="str">
        <f t="shared" si="53"/>
        <v/>
      </c>
      <c r="O266" s="48" t="str">
        <f t="shared" si="54"/>
        <v/>
      </c>
      <c r="P266" s="75" t="str">
        <f t="shared" si="55"/>
        <v/>
      </c>
      <c r="Q266" s="76">
        <f t="shared" si="56"/>
        <v>0</v>
      </c>
      <c r="R266" s="76">
        <f t="shared" si="57"/>
        <v>0</v>
      </c>
      <c r="S266" s="75">
        <f t="shared" si="61"/>
        <v>0</v>
      </c>
      <c r="T266" s="47"/>
      <c r="V266" s="57"/>
      <c r="W266" s="45"/>
      <c r="X266" s="46">
        <f t="shared" si="58"/>
        <v>0</v>
      </c>
      <c r="Y266" s="74" t="str">
        <f t="shared" si="59"/>
        <v/>
      </c>
      <c r="Z266" s="49"/>
      <c r="AA266" s="49"/>
      <c r="AB266" s="49"/>
      <c r="AC266" s="47"/>
      <c r="AD266" s="48" t="str">
        <f t="shared" si="62"/>
        <v/>
      </c>
      <c r="AE266" s="48" t="str">
        <f t="shared" si="63"/>
        <v/>
      </c>
      <c r="AF266" s="75" t="str">
        <f t="shared" si="64"/>
        <v/>
      </c>
      <c r="AG266" s="76">
        <f t="shared" si="65"/>
        <v>0</v>
      </c>
      <c r="AH266" s="76">
        <f t="shared" si="66"/>
        <v>0</v>
      </c>
      <c r="AI266" s="75">
        <f t="shared" si="67"/>
        <v>0</v>
      </c>
      <c r="AJ266" s="47"/>
      <c r="AL266" s="47"/>
      <c r="AN266" s="47"/>
      <c r="AO266" s="47" t="str">
        <f t="shared" si="60"/>
        <v/>
      </c>
    </row>
    <row r="267" spans="1:41" s="56" customFormat="1" ht="14">
      <c r="A267" s="44"/>
      <c r="B267" s="45"/>
      <c r="C267" s="46">
        <f t="shared" ref="C267:C330" si="68">IF($B267&lt;&gt;"",VLOOKUP($B267,Matriz_INM,2,0),0)</f>
        <v>0</v>
      </c>
      <c r="D267" s="47"/>
      <c r="E267" s="47"/>
      <c r="F267" s="47"/>
      <c r="G267" s="47"/>
      <c r="H267" s="48"/>
      <c r="I267" s="74" t="str">
        <f t="shared" ref="I267:I330" si="69">IFERROR(VLOOKUP($B267,Matriz_INM,3,0),"")</f>
        <v/>
      </c>
      <c r="J267" s="49"/>
      <c r="K267" s="49"/>
      <c r="L267" s="49"/>
      <c r="M267" s="47"/>
      <c r="N267" s="48" t="str">
        <f t="shared" ref="N267:N330" si="70">IF(M267="EE",IF(OR(AND(OR(L267=1,L267=0),K267&gt;0,K267&lt;5),AND(OR(L267=1,L267=0),K267&gt;4,K267&lt;16),AND(L267=2,K267&gt;0,K267&lt;5)),"Simples",IF(OR(AND(OR(L267=1,L267=0),K267&gt;15),AND(L267=2,K267&gt;4,K267&lt;16),AND(L267&gt;2,K267&gt;0,K267&lt;5)),"Médio",IF(OR(AND(L267=2,K267&gt;15),AND(L267&gt;2,K267&gt;4,K267&lt;16),AND(L267&gt;2,K267&gt;15)),"Complexo",""))), IF(OR(M267="CE",M267="SE"),IF(OR(AND(OR(L267=1,L267=0),K267&gt;0,K267&lt;6),AND(OR(L267=1,L267=0),K267&gt;5,K267&lt;20),AND(L267&gt;1,L267&lt;4,K267&gt;0,K267&lt;6)),"Simples",IF(OR(AND(OR(L267=1,L267=0),K267&gt;19),AND(L267&gt;1,L267&lt;4,K267&gt;5,K267&lt;20),AND(L267&gt;3,K267&gt;0,K267&lt;6)),"Médio",IF(OR(AND(L267&gt;1,L267&lt;4,K267&gt;19),AND(L267&gt;3,K267&gt;5,K267&lt;20),AND(L267&gt;3,K267&gt;19)),"Complexo",""))),""))</f>
        <v/>
      </c>
      <c r="O267" s="48" t="str">
        <f t="shared" ref="O267:O330" si="71">IF(M267="ALI",IF(OR(AND(OR(L267=1,L267=0),K267&gt;0,K267&lt;20),AND(OR(L267=1,L267=0),K267&gt;19,K267&lt;51),AND(L267&gt;1,L267&lt;6,K267&gt;0,K267&lt;20)),"Simples",IF(OR(AND(OR(L267=1,L267=0),K267&gt;50),AND(L267&gt;1,L267&lt;6,K267&gt;19,K267&lt;51),AND(L267&gt;5,K267&gt;0,K267&lt;20)),"Médio",IF(OR(AND(L267&gt;1,L267&lt;6,K267&gt;50),AND(L267&gt;5,K267&gt;19,K267&lt;51),AND(L267&gt;5,K267&gt;50)),"Complexo",""))), IF(M267="AIE",IF(OR(AND(OR(L267=1, L267=0),K267&gt;0,K267&lt;20),AND(OR(L267=1, L267=0),K267&gt;19,K267&lt;51),AND(L267&gt;1,L267&lt;6,K267&gt;0,K267&lt;20)),"Simples",IF(OR(AND(OR(L267=1, L267=0),K267&gt;50),AND(L267&gt;1,L267&lt;6,K267&gt;19,K267&lt;51),AND(L267&gt;5,K267&gt;0,K267&lt;20)),"Médio",IF(OR(AND(L267&gt;1,L267&lt;6,K267&gt;50),AND(L267&gt;5,K267&gt;19,K267&lt;51),AND(L267&gt;5,K267&gt;50)),"Complexo",""))),""))</f>
        <v/>
      </c>
      <c r="P267" s="75" t="str">
        <f t="shared" ref="P267:P330" si="72">IF(N267="",O267,IF(O267="",N267,""))</f>
        <v/>
      </c>
      <c r="Q267" s="76">
        <f t="shared" ref="Q267:Q330" si="73">IF(AND(OR(M267="EE",M267="CE"),P267="Simples"),3, IF(AND(OR(M267="EE",M267="CE"),P267="Médio"),4, IF(AND(OR(M267="EE",M267="CE"),P267="Complexo"),6, IF(AND(M267="SE",P267="Simples"),4, IF(AND(M267="SE",P267="Médio"),5, IF(AND(M267="SE",P267="Complexo"),7,0))))))</f>
        <v>0</v>
      </c>
      <c r="R267" s="76">
        <f t="shared" ref="R267:R330" si="74">IF(AND(M267="ALI",O267="Simples"),7, IF(AND(M267="ALI",O267="Médio"),10, IF(AND(M267="ALI",O267="Complexo"),15, IF(AND(M267="AIE",O267="Simples"),5, IF(AND(M267="AIE",O267="Médio"),7, IF(AND(M267="AIE",O267="Complexo"),10,0))))))</f>
        <v>0</v>
      </c>
      <c r="S267" s="75">
        <f t="shared" si="61"/>
        <v>0</v>
      </c>
      <c r="T267" s="47"/>
      <c r="V267" s="57"/>
      <c r="W267" s="45"/>
      <c r="X267" s="46">
        <f t="shared" ref="X267:X330" si="75">IF($W267&lt;&gt;"",VLOOKUP($W267,Matriz_INM,2,0),0)</f>
        <v>0</v>
      </c>
      <c r="Y267" s="74" t="str">
        <f t="shared" ref="Y267:Y330" si="76">IFERROR(VLOOKUP($W267,Matriz_INM,3,0),"")</f>
        <v/>
      </c>
      <c r="Z267" s="49"/>
      <c r="AA267" s="49"/>
      <c r="AB267" s="49"/>
      <c r="AC267" s="47"/>
      <c r="AD267" s="48" t="str">
        <f t="shared" si="62"/>
        <v/>
      </c>
      <c r="AE267" s="48" t="str">
        <f t="shared" si="63"/>
        <v/>
      </c>
      <c r="AF267" s="75" t="str">
        <f t="shared" si="64"/>
        <v/>
      </c>
      <c r="AG267" s="76">
        <f t="shared" si="65"/>
        <v>0</v>
      </c>
      <c r="AH267" s="76">
        <f t="shared" si="66"/>
        <v>0</v>
      </c>
      <c r="AI267" s="75">
        <f t="shared" si="67"/>
        <v>0</v>
      </c>
      <c r="AJ267" s="47"/>
      <c r="AL267" s="47"/>
      <c r="AN267" s="47"/>
      <c r="AO267" s="47" t="str">
        <f t="shared" ref="AO267:AO330" si="77">IF(AI267=0,"",IF(AI267=S267,"OK","Divergente"))</f>
        <v/>
      </c>
    </row>
    <row r="268" spans="1:41" s="56" customFormat="1" ht="14">
      <c r="A268" s="44"/>
      <c r="B268" s="45"/>
      <c r="C268" s="46">
        <f t="shared" si="68"/>
        <v>0</v>
      </c>
      <c r="D268" s="47"/>
      <c r="E268" s="47"/>
      <c r="F268" s="47"/>
      <c r="G268" s="47"/>
      <c r="H268" s="48"/>
      <c r="I268" s="74" t="str">
        <f t="shared" si="69"/>
        <v/>
      </c>
      <c r="J268" s="49"/>
      <c r="K268" s="49"/>
      <c r="L268" s="49"/>
      <c r="M268" s="47"/>
      <c r="N268" s="48" t="str">
        <f t="shared" si="70"/>
        <v/>
      </c>
      <c r="O268" s="48" t="str">
        <f t="shared" si="71"/>
        <v/>
      </c>
      <c r="P268" s="75" t="str">
        <f t="shared" si="72"/>
        <v/>
      </c>
      <c r="Q268" s="76">
        <f t="shared" si="73"/>
        <v>0</v>
      </c>
      <c r="R268" s="76">
        <f t="shared" si="74"/>
        <v>0</v>
      </c>
      <c r="S268" s="75">
        <f t="shared" ref="S268:S331" si="78">IF($I268="%",($Q268+$R268)*$C268,$C268*J268)</f>
        <v>0</v>
      </c>
      <c r="T268" s="47"/>
      <c r="V268" s="57"/>
      <c r="W268" s="45"/>
      <c r="X268" s="46">
        <f t="shared" si="75"/>
        <v>0</v>
      </c>
      <c r="Y268" s="74" t="str">
        <f t="shared" si="76"/>
        <v/>
      </c>
      <c r="Z268" s="49"/>
      <c r="AA268" s="49"/>
      <c r="AB268" s="49"/>
      <c r="AC268" s="47"/>
      <c r="AD268" s="48" t="str">
        <f t="shared" ref="AD268:AD331" si="79">IF(AC268="EE",IF(OR(AND(OR(AB268=1,AB268=0),AA268&gt;0,AA268&lt;5),AND(OR(AB268=1,AB268=0),AA268&gt;4,AA268&lt;16),AND(AB268=2,AA268&gt;0,AA268&lt;5)),"Simples",IF(OR(AND(OR(AB268=1,AB268=0),AA268&gt;15),AND(AB268=2,AA268&gt;4,AA268&lt;16),AND(AB268&gt;2,AA268&gt;0,AA268&lt;5)),"Médio",IF(OR(AND(AB268=2,AA268&gt;15),AND(AB268&gt;2,AA268&gt;4,AA268&lt;16),AND(AB268&gt;2,AA268&gt;15)),"Complexo",""))), IF(OR(AC268="CE",AC268="SE"),IF(OR(AND(OR(AB268=1,AB268=0),AA268&gt;0,AA268&lt;6),AND(OR(AB268=1,AB268=0),AA268&gt;5,AA268&lt;20),AND(AB268&gt;1,AB268&lt;4,AA268&gt;0,AA268&lt;6)),"Simples",IF(OR(AND(OR(AB268=1,AB268=0),AA268&gt;19),AND(AB268&gt;1,AB268&lt;4,AA268&gt;5,AA268&lt;20),AND(AB268&gt;3,AA268&gt;0,AA268&lt;6)),"Médio",IF(OR(AND(AB268&gt;1,AB268&lt;4,AA268&gt;19),AND(AB268&gt;3,AA268&gt;5,AA268&lt;20),AND(AB268&gt;3,AA268&gt;19)),"Complexo",""))),""))</f>
        <v/>
      </c>
      <c r="AE268" s="48" t="str">
        <f t="shared" ref="AE268:AE331" si="80">IF(AC268="ALI",IF(OR(AND(OR(AB268=1,AB268=0),AA268&gt;0,AA268&lt;20),AND(OR(AB268=1,AB268=0),AA268&gt;19,AA268&lt;51),AND(AB268&gt;1,AB268&lt;6,AA268&gt;0,AA268&lt;20)),"Simples",IF(OR(AND(OR(AB268=1,AB268=0),AA268&gt;50),AND(AB268&gt;1,AB268&lt;6,AA268&gt;19,AA268&lt;51),AND(AB268&gt;5,AA268&gt;0,AA268&lt;20)),"Médio",IF(OR(AND(AB268&gt;1,AB268&lt;6,AA268&gt;50),AND(AB268&gt;5,AA268&gt;19,AA268&lt;51),AND(AB268&gt;5,AA268&gt;50)),"Complexo",""))), IF(AC268="AIE",IF(OR(AND(OR(AB268=1, AB268=0),AA268&gt;0,AA268&lt;20),AND(OR(AB268=1, AB268=0),AA268&gt;19,AA268&lt;51),AND(AB268&gt;1,AB268&lt;6,AA268&gt;0,AA268&lt;20)),"Simples",IF(OR(AND(OR(AB268=1, AB268=0),AA268&gt;50),AND(AB268&gt;1,AB268&lt;6,AA268&gt;19,AA268&lt;51),AND(AB268&gt;5,AA268&gt;0,AA268&lt;20)),"Médio",IF(OR(AND(AB268&gt;1,AB268&lt;6,AA268&gt;50),AND(AB268&gt;5,AA268&gt;19,AA268&lt;51),AND(AB268&gt;5,AA268&gt;50)),"Complexo",""))),""))</f>
        <v/>
      </c>
      <c r="AF268" s="75" t="str">
        <f t="shared" ref="AF268:AF331" si="81">IF(AD268="",AE268,IF(AE268="",AD268,""))</f>
        <v/>
      </c>
      <c r="AG268" s="76">
        <f t="shared" ref="AG268:AG331" si="82">IF(AND(OR(AC268="EE",AC268="CE"),AF268="Simples"),3, IF(AND(OR(AC268="EE",AC268="CE"),AF268="Médio"),4, IF(AND(OR(AC268="EE",AC268="CE"),AF268="Complexo"),6, IF(AND(AC268="SE",AF268="Simples"),4, IF(AND(AC268="SE",AF268="Médio"),5, IF(AND(AC268="SE",AF268="Complexo"),7,0))))))</f>
        <v>0</v>
      </c>
      <c r="AH268" s="76">
        <f t="shared" ref="AH268:AH331" si="83">IF(AND(AC268="ALI",AE268="Simples"),7, IF(AND(AC268="ALI",AE268="Médio"),10, IF(AND(AC268="ALI",AE268="Complexo"),15, IF(AND(AC268="AIE",AE268="Simples"),5, IF(AND(AC268="AIE",AE268="Médio"),7, IF(AND(AC268="AIE",AE268="Complexo"),10,0))))))</f>
        <v>0</v>
      </c>
      <c r="AI268" s="75">
        <f t="shared" ref="AI268:AI331" si="84">IF(V268="OK",S268,IF($Y268="%",($AG268+$AH268)*$X268,$X268*Z268))</f>
        <v>0</v>
      </c>
      <c r="AJ268" s="47"/>
      <c r="AL268" s="47"/>
      <c r="AN268" s="47"/>
      <c r="AO268" s="47" t="str">
        <f t="shared" si="77"/>
        <v/>
      </c>
    </row>
    <row r="269" spans="1:41" s="56" customFormat="1" ht="14">
      <c r="A269" s="44"/>
      <c r="B269" s="45"/>
      <c r="C269" s="46">
        <f t="shared" si="68"/>
        <v>0</v>
      </c>
      <c r="D269" s="47"/>
      <c r="E269" s="47"/>
      <c r="F269" s="47"/>
      <c r="G269" s="47"/>
      <c r="H269" s="48"/>
      <c r="I269" s="74" t="str">
        <f t="shared" si="69"/>
        <v/>
      </c>
      <c r="J269" s="49"/>
      <c r="K269" s="49"/>
      <c r="L269" s="49"/>
      <c r="M269" s="47"/>
      <c r="N269" s="48" t="str">
        <f t="shared" si="70"/>
        <v/>
      </c>
      <c r="O269" s="48" t="str">
        <f t="shared" si="71"/>
        <v/>
      </c>
      <c r="P269" s="75" t="str">
        <f t="shared" si="72"/>
        <v/>
      </c>
      <c r="Q269" s="76">
        <f t="shared" si="73"/>
        <v>0</v>
      </c>
      <c r="R269" s="76">
        <f t="shared" si="74"/>
        <v>0</v>
      </c>
      <c r="S269" s="75">
        <f t="shared" si="78"/>
        <v>0</v>
      </c>
      <c r="T269" s="47"/>
      <c r="V269" s="57"/>
      <c r="W269" s="45"/>
      <c r="X269" s="46">
        <f t="shared" si="75"/>
        <v>0</v>
      </c>
      <c r="Y269" s="74" t="str">
        <f t="shared" si="76"/>
        <v/>
      </c>
      <c r="Z269" s="49"/>
      <c r="AA269" s="49"/>
      <c r="AB269" s="49"/>
      <c r="AC269" s="47"/>
      <c r="AD269" s="48" t="str">
        <f t="shared" si="79"/>
        <v/>
      </c>
      <c r="AE269" s="48" t="str">
        <f t="shared" si="80"/>
        <v/>
      </c>
      <c r="AF269" s="75" t="str">
        <f t="shared" si="81"/>
        <v/>
      </c>
      <c r="AG269" s="76">
        <f t="shared" si="82"/>
        <v>0</v>
      </c>
      <c r="AH269" s="76">
        <f t="shared" si="83"/>
        <v>0</v>
      </c>
      <c r="AI269" s="75">
        <f t="shared" si="84"/>
        <v>0</v>
      </c>
      <c r="AJ269" s="47"/>
      <c r="AL269" s="47"/>
      <c r="AN269" s="47"/>
      <c r="AO269" s="47" t="str">
        <f t="shared" si="77"/>
        <v/>
      </c>
    </row>
    <row r="270" spans="1:41" s="56" customFormat="1" ht="14">
      <c r="A270" s="44"/>
      <c r="B270" s="45"/>
      <c r="C270" s="46">
        <f t="shared" si="68"/>
        <v>0</v>
      </c>
      <c r="D270" s="47"/>
      <c r="E270" s="47"/>
      <c r="F270" s="47"/>
      <c r="G270" s="47"/>
      <c r="H270" s="48"/>
      <c r="I270" s="74" t="str">
        <f t="shared" si="69"/>
        <v/>
      </c>
      <c r="J270" s="49"/>
      <c r="K270" s="49"/>
      <c r="L270" s="49"/>
      <c r="M270" s="47"/>
      <c r="N270" s="48" t="str">
        <f t="shared" si="70"/>
        <v/>
      </c>
      <c r="O270" s="48" t="str">
        <f t="shared" si="71"/>
        <v/>
      </c>
      <c r="P270" s="75" t="str">
        <f t="shared" si="72"/>
        <v/>
      </c>
      <c r="Q270" s="76">
        <f t="shared" si="73"/>
        <v>0</v>
      </c>
      <c r="R270" s="76">
        <f t="shared" si="74"/>
        <v>0</v>
      </c>
      <c r="S270" s="75">
        <f t="shared" si="78"/>
        <v>0</v>
      </c>
      <c r="T270" s="47"/>
      <c r="V270" s="57"/>
      <c r="W270" s="45"/>
      <c r="X270" s="46">
        <f t="shared" si="75"/>
        <v>0</v>
      </c>
      <c r="Y270" s="74" t="str">
        <f t="shared" si="76"/>
        <v/>
      </c>
      <c r="Z270" s="49"/>
      <c r="AA270" s="49"/>
      <c r="AB270" s="49"/>
      <c r="AC270" s="47"/>
      <c r="AD270" s="48" t="str">
        <f t="shared" si="79"/>
        <v/>
      </c>
      <c r="AE270" s="48" t="str">
        <f t="shared" si="80"/>
        <v/>
      </c>
      <c r="AF270" s="75" t="str">
        <f t="shared" si="81"/>
        <v/>
      </c>
      <c r="AG270" s="76">
        <f t="shared" si="82"/>
        <v>0</v>
      </c>
      <c r="AH270" s="76">
        <f t="shared" si="83"/>
        <v>0</v>
      </c>
      <c r="AI270" s="75">
        <f t="shared" si="84"/>
        <v>0</v>
      </c>
      <c r="AJ270" s="47"/>
      <c r="AL270" s="47"/>
      <c r="AN270" s="47"/>
      <c r="AO270" s="47" t="str">
        <f t="shared" si="77"/>
        <v/>
      </c>
    </row>
    <row r="271" spans="1:41" s="56" customFormat="1" ht="14">
      <c r="A271" s="44"/>
      <c r="B271" s="45"/>
      <c r="C271" s="46">
        <f t="shared" si="68"/>
        <v>0</v>
      </c>
      <c r="D271" s="47"/>
      <c r="E271" s="47"/>
      <c r="F271" s="47"/>
      <c r="G271" s="47"/>
      <c r="H271" s="48"/>
      <c r="I271" s="74" t="str">
        <f t="shared" si="69"/>
        <v/>
      </c>
      <c r="J271" s="49"/>
      <c r="K271" s="49"/>
      <c r="L271" s="49"/>
      <c r="M271" s="47"/>
      <c r="N271" s="48" t="str">
        <f t="shared" si="70"/>
        <v/>
      </c>
      <c r="O271" s="48" t="str">
        <f t="shared" si="71"/>
        <v/>
      </c>
      <c r="P271" s="75" t="str">
        <f t="shared" si="72"/>
        <v/>
      </c>
      <c r="Q271" s="76">
        <f t="shared" si="73"/>
        <v>0</v>
      </c>
      <c r="R271" s="76">
        <f t="shared" si="74"/>
        <v>0</v>
      </c>
      <c r="S271" s="75">
        <f t="shared" si="78"/>
        <v>0</v>
      </c>
      <c r="T271" s="47"/>
      <c r="V271" s="57"/>
      <c r="W271" s="45"/>
      <c r="X271" s="46">
        <f t="shared" si="75"/>
        <v>0</v>
      </c>
      <c r="Y271" s="74" t="str">
        <f t="shared" si="76"/>
        <v/>
      </c>
      <c r="Z271" s="49"/>
      <c r="AA271" s="49"/>
      <c r="AB271" s="49"/>
      <c r="AC271" s="47"/>
      <c r="AD271" s="48" t="str">
        <f t="shared" si="79"/>
        <v/>
      </c>
      <c r="AE271" s="48" t="str">
        <f t="shared" si="80"/>
        <v/>
      </c>
      <c r="AF271" s="75" t="str">
        <f t="shared" si="81"/>
        <v/>
      </c>
      <c r="AG271" s="76">
        <f t="shared" si="82"/>
        <v>0</v>
      </c>
      <c r="AH271" s="76">
        <f t="shared" si="83"/>
        <v>0</v>
      </c>
      <c r="AI271" s="75">
        <f t="shared" si="84"/>
        <v>0</v>
      </c>
      <c r="AJ271" s="47"/>
      <c r="AL271" s="47"/>
      <c r="AN271" s="47"/>
      <c r="AO271" s="47" t="str">
        <f t="shared" si="77"/>
        <v/>
      </c>
    </row>
    <row r="272" spans="1:41" s="56" customFormat="1" ht="14">
      <c r="A272" s="44"/>
      <c r="B272" s="45"/>
      <c r="C272" s="46">
        <f t="shared" si="68"/>
        <v>0</v>
      </c>
      <c r="D272" s="47"/>
      <c r="E272" s="47"/>
      <c r="F272" s="47"/>
      <c r="G272" s="47"/>
      <c r="H272" s="48"/>
      <c r="I272" s="74" t="str">
        <f t="shared" si="69"/>
        <v/>
      </c>
      <c r="J272" s="49"/>
      <c r="K272" s="49"/>
      <c r="L272" s="49"/>
      <c r="M272" s="47"/>
      <c r="N272" s="48" t="str">
        <f t="shared" si="70"/>
        <v/>
      </c>
      <c r="O272" s="48" t="str">
        <f t="shared" si="71"/>
        <v/>
      </c>
      <c r="P272" s="75" t="str">
        <f t="shared" si="72"/>
        <v/>
      </c>
      <c r="Q272" s="76">
        <f t="shared" si="73"/>
        <v>0</v>
      </c>
      <c r="R272" s="76">
        <f t="shared" si="74"/>
        <v>0</v>
      </c>
      <c r="S272" s="75">
        <f t="shared" si="78"/>
        <v>0</v>
      </c>
      <c r="T272" s="47"/>
      <c r="V272" s="57"/>
      <c r="W272" s="45"/>
      <c r="X272" s="46">
        <f t="shared" si="75"/>
        <v>0</v>
      </c>
      <c r="Y272" s="74" t="str">
        <f t="shared" si="76"/>
        <v/>
      </c>
      <c r="Z272" s="49"/>
      <c r="AA272" s="49"/>
      <c r="AB272" s="49"/>
      <c r="AC272" s="47"/>
      <c r="AD272" s="48" t="str">
        <f t="shared" si="79"/>
        <v/>
      </c>
      <c r="AE272" s="48" t="str">
        <f t="shared" si="80"/>
        <v/>
      </c>
      <c r="AF272" s="75" t="str">
        <f t="shared" si="81"/>
        <v/>
      </c>
      <c r="AG272" s="76">
        <f t="shared" si="82"/>
        <v>0</v>
      </c>
      <c r="AH272" s="76">
        <f t="shared" si="83"/>
        <v>0</v>
      </c>
      <c r="AI272" s="75">
        <f t="shared" si="84"/>
        <v>0</v>
      </c>
      <c r="AJ272" s="47"/>
      <c r="AL272" s="47"/>
      <c r="AN272" s="47"/>
      <c r="AO272" s="47" t="str">
        <f t="shared" si="77"/>
        <v/>
      </c>
    </row>
    <row r="273" spans="1:41" s="56" customFormat="1" ht="14">
      <c r="A273" s="44"/>
      <c r="B273" s="45"/>
      <c r="C273" s="46">
        <f t="shared" si="68"/>
        <v>0</v>
      </c>
      <c r="D273" s="47"/>
      <c r="E273" s="47"/>
      <c r="F273" s="47"/>
      <c r="G273" s="47"/>
      <c r="H273" s="48"/>
      <c r="I273" s="74" t="str">
        <f t="shared" si="69"/>
        <v/>
      </c>
      <c r="J273" s="49"/>
      <c r="K273" s="49"/>
      <c r="L273" s="49"/>
      <c r="M273" s="47"/>
      <c r="N273" s="48" t="str">
        <f t="shared" si="70"/>
        <v/>
      </c>
      <c r="O273" s="48" t="str">
        <f t="shared" si="71"/>
        <v/>
      </c>
      <c r="P273" s="75" t="str">
        <f t="shared" si="72"/>
        <v/>
      </c>
      <c r="Q273" s="76">
        <f t="shared" si="73"/>
        <v>0</v>
      </c>
      <c r="R273" s="76">
        <f t="shared" si="74"/>
        <v>0</v>
      </c>
      <c r="S273" s="75">
        <f t="shared" si="78"/>
        <v>0</v>
      </c>
      <c r="T273" s="47"/>
      <c r="V273" s="57"/>
      <c r="W273" s="45"/>
      <c r="X273" s="46">
        <f t="shared" si="75"/>
        <v>0</v>
      </c>
      <c r="Y273" s="74" t="str">
        <f t="shared" si="76"/>
        <v/>
      </c>
      <c r="Z273" s="49"/>
      <c r="AA273" s="49"/>
      <c r="AB273" s="49"/>
      <c r="AC273" s="47"/>
      <c r="AD273" s="48" t="str">
        <f t="shared" si="79"/>
        <v/>
      </c>
      <c r="AE273" s="48" t="str">
        <f t="shared" si="80"/>
        <v/>
      </c>
      <c r="AF273" s="75" t="str">
        <f t="shared" si="81"/>
        <v/>
      </c>
      <c r="AG273" s="76">
        <f t="shared" si="82"/>
        <v>0</v>
      </c>
      <c r="AH273" s="76">
        <f t="shared" si="83"/>
        <v>0</v>
      </c>
      <c r="AI273" s="75">
        <f t="shared" si="84"/>
        <v>0</v>
      </c>
      <c r="AJ273" s="47"/>
      <c r="AL273" s="47"/>
      <c r="AN273" s="47"/>
      <c r="AO273" s="47" t="str">
        <f t="shared" si="77"/>
        <v/>
      </c>
    </row>
    <row r="274" spans="1:41" s="56" customFormat="1" ht="14">
      <c r="A274" s="44"/>
      <c r="B274" s="45"/>
      <c r="C274" s="46">
        <f t="shared" si="68"/>
        <v>0</v>
      </c>
      <c r="D274" s="47"/>
      <c r="E274" s="47"/>
      <c r="F274" s="47"/>
      <c r="G274" s="47"/>
      <c r="H274" s="48"/>
      <c r="I274" s="74" t="str">
        <f t="shared" si="69"/>
        <v/>
      </c>
      <c r="J274" s="49"/>
      <c r="K274" s="49"/>
      <c r="L274" s="49"/>
      <c r="M274" s="47"/>
      <c r="N274" s="48" t="str">
        <f t="shared" si="70"/>
        <v/>
      </c>
      <c r="O274" s="48" t="str">
        <f t="shared" si="71"/>
        <v/>
      </c>
      <c r="P274" s="75" t="str">
        <f t="shared" si="72"/>
        <v/>
      </c>
      <c r="Q274" s="76">
        <f t="shared" si="73"/>
        <v>0</v>
      </c>
      <c r="R274" s="76">
        <f t="shared" si="74"/>
        <v>0</v>
      </c>
      <c r="S274" s="75">
        <f t="shared" si="78"/>
        <v>0</v>
      </c>
      <c r="T274" s="47"/>
      <c r="V274" s="57"/>
      <c r="W274" s="45"/>
      <c r="X274" s="46">
        <f t="shared" si="75"/>
        <v>0</v>
      </c>
      <c r="Y274" s="74" t="str">
        <f t="shared" si="76"/>
        <v/>
      </c>
      <c r="Z274" s="49"/>
      <c r="AA274" s="49"/>
      <c r="AB274" s="49"/>
      <c r="AC274" s="47"/>
      <c r="AD274" s="48" t="str">
        <f t="shared" si="79"/>
        <v/>
      </c>
      <c r="AE274" s="48" t="str">
        <f t="shared" si="80"/>
        <v/>
      </c>
      <c r="AF274" s="75" t="str">
        <f t="shared" si="81"/>
        <v/>
      </c>
      <c r="AG274" s="76">
        <f t="shared" si="82"/>
        <v>0</v>
      </c>
      <c r="AH274" s="76">
        <f t="shared" si="83"/>
        <v>0</v>
      </c>
      <c r="AI274" s="75">
        <f t="shared" si="84"/>
        <v>0</v>
      </c>
      <c r="AJ274" s="47"/>
      <c r="AL274" s="47"/>
      <c r="AN274" s="47"/>
      <c r="AO274" s="47" t="str">
        <f t="shared" si="77"/>
        <v/>
      </c>
    </row>
    <row r="275" spans="1:41" s="56" customFormat="1" ht="14">
      <c r="A275" s="44"/>
      <c r="B275" s="45"/>
      <c r="C275" s="46">
        <f t="shared" si="68"/>
        <v>0</v>
      </c>
      <c r="D275" s="47"/>
      <c r="E275" s="47"/>
      <c r="F275" s="47"/>
      <c r="G275" s="47"/>
      <c r="H275" s="48"/>
      <c r="I275" s="74" t="str">
        <f t="shared" si="69"/>
        <v/>
      </c>
      <c r="J275" s="49"/>
      <c r="K275" s="49"/>
      <c r="L275" s="49"/>
      <c r="M275" s="47"/>
      <c r="N275" s="48" t="str">
        <f t="shared" si="70"/>
        <v/>
      </c>
      <c r="O275" s="48" t="str">
        <f t="shared" si="71"/>
        <v/>
      </c>
      <c r="P275" s="75" t="str">
        <f t="shared" si="72"/>
        <v/>
      </c>
      <c r="Q275" s="76">
        <f t="shared" si="73"/>
        <v>0</v>
      </c>
      <c r="R275" s="76">
        <f t="shared" si="74"/>
        <v>0</v>
      </c>
      <c r="S275" s="75">
        <f t="shared" si="78"/>
        <v>0</v>
      </c>
      <c r="T275" s="47"/>
      <c r="V275" s="57"/>
      <c r="W275" s="45"/>
      <c r="X275" s="46">
        <f t="shared" si="75"/>
        <v>0</v>
      </c>
      <c r="Y275" s="74" t="str">
        <f t="shared" si="76"/>
        <v/>
      </c>
      <c r="Z275" s="49"/>
      <c r="AA275" s="49"/>
      <c r="AB275" s="49"/>
      <c r="AC275" s="47"/>
      <c r="AD275" s="48" t="str">
        <f t="shared" si="79"/>
        <v/>
      </c>
      <c r="AE275" s="48" t="str">
        <f t="shared" si="80"/>
        <v/>
      </c>
      <c r="AF275" s="75" t="str">
        <f t="shared" si="81"/>
        <v/>
      </c>
      <c r="AG275" s="76">
        <f t="shared" si="82"/>
        <v>0</v>
      </c>
      <c r="AH275" s="76">
        <f t="shared" si="83"/>
        <v>0</v>
      </c>
      <c r="AI275" s="75">
        <f t="shared" si="84"/>
        <v>0</v>
      </c>
      <c r="AJ275" s="47"/>
      <c r="AL275" s="47"/>
      <c r="AN275" s="47"/>
      <c r="AO275" s="47" t="str">
        <f t="shared" si="77"/>
        <v/>
      </c>
    </row>
    <row r="276" spans="1:41" s="56" customFormat="1" ht="14">
      <c r="A276" s="44"/>
      <c r="B276" s="45"/>
      <c r="C276" s="46">
        <f t="shared" si="68"/>
        <v>0</v>
      </c>
      <c r="D276" s="47"/>
      <c r="E276" s="47"/>
      <c r="F276" s="47"/>
      <c r="G276" s="47"/>
      <c r="H276" s="48"/>
      <c r="I276" s="74" t="str">
        <f t="shared" si="69"/>
        <v/>
      </c>
      <c r="J276" s="49"/>
      <c r="K276" s="49"/>
      <c r="L276" s="49"/>
      <c r="M276" s="47"/>
      <c r="N276" s="48" t="str">
        <f t="shared" si="70"/>
        <v/>
      </c>
      <c r="O276" s="48" t="str">
        <f t="shared" si="71"/>
        <v/>
      </c>
      <c r="P276" s="75" t="str">
        <f t="shared" si="72"/>
        <v/>
      </c>
      <c r="Q276" s="76">
        <f t="shared" si="73"/>
        <v>0</v>
      </c>
      <c r="R276" s="76">
        <f t="shared" si="74"/>
        <v>0</v>
      </c>
      <c r="S276" s="75">
        <f t="shared" si="78"/>
        <v>0</v>
      </c>
      <c r="T276" s="47"/>
      <c r="V276" s="57"/>
      <c r="W276" s="45"/>
      <c r="X276" s="46">
        <f t="shared" si="75"/>
        <v>0</v>
      </c>
      <c r="Y276" s="74" t="str">
        <f t="shared" si="76"/>
        <v/>
      </c>
      <c r="Z276" s="49"/>
      <c r="AA276" s="49"/>
      <c r="AB276" s="49"/>
      <c r="AC276" s="47"/>
      <c r="AD276" s="48" t="str">
        <f t="shared" si="79"/>
        <v/>
      </c>
      <c r="AE276" s="48" t="str">
        <f t="shared" si="80"/>
        <v/>
      </c>
      <c r="AF276" s="75" t="str">
        <f t="shared" si="81"/>
        <v/>
      </c>
      <c r="AG276" s="76">
        <f t="shared" si="82"/>
        <v>0</v>
      </c>
      <c r="AH276" s="76">
        <f t="shared" si="83"/>
        <v>0</v>
      </c>
      <c r="AI276" s="75">
        <f t="shared" si="84"/>
        <v>0</v>
      </c>
      <c r="AJ276" s="47"/>
      <c r="AL276" s="47"/>
      <c r="AN276" s="47"/>
      <c r="AO276" s="47" t="str">
        <f t="shared" si="77"/>
        <v/>
      </c>
    </row>
    <row r="277" spans="1:41" s="56" customFormat="1" ht="14">
      <c r="A277" s="44"/>
      <c r="B277" s="45"/>
      <c r="C277" s="46">
        <f t="shared" si="68"/>
        <v>0</v>
      </c>
      <c r="D277" s="47"/>
      <c r="E277" s="47"/>
      <c r="F277" s="47"/>
      <c r="G277" s="47"/>
      <c r="H277" s="48"/>
      <c r="I277" s="74" t="str">
        <f t="shared" si="69"/>
        <v/>
      </c>
      <c r="J277" s="49"/>
      <c r="K277" s="49"/>
      <c r="L277" s="49"/>
      <c r="M277" s="47"/>
      <c r="N277" s="48" t="str">
        <f t="shared" si="70"/>
        <v/>
      </c>
      <c r="O277" s="48" t="str">
        <f t="shared" si="71"/>
        <v/>
      </c>
      <c r="P277" s="75" t="str">
        <f t="shared" si="72"/>
        <v/>
      </c>
      <c r="Q277" s="76">
        <f t="shared" si="73"/>
        <v>0</v>
      </c>
      <c r="R277" s="76">
        <f t="shared" si="74"/>
        <v>0</v>
      </c>
      <c r="S277" s="75">
        <f t="shared" si="78"/>
        <v>0</v>
      </c>
      <c r="T277" s="47"/>
      <c r="V277" s="57"/>
      <c r="W277" s="45"/>
      <c r="X277" s="46">
        <f t="shared" si="75"/>
        <v>0</v>
      </c>
      <c r="Y277" s="74" t="str">
        <f t="shared" si="76"/>
        <v/>
      </c>
      <c r="Z277" s="49"/>
      <c r="AA277" s="49"/>
      <c r="AB277" s="49"/>
      <c r="AC277" s="47"/>
      <c r="AD277" s="48" t="str">
        <f t="shared" si="79"/>
        <v/>
      </c>
      <c r="AE277" s="48" t="str">
        <f t="shared" si="80"/>
        <v/>
      </c>
      <c r="AF277" s="75" t="str">
        <f t="shared" si="81"/>
        <v/>
      </c>
      <c r="AG277" s="76">
        <f t="shared" si="82"/>
        <v>0</v>
      </c>
      <c r="AH277" s="76">
        <f t="shared" si="83"/>
        <v>0</v>
      </c>
      <c r="AI277" s="75">
        <f t="shared" si="84"/>
        <v>0</v>
      </c>
      <c r="AJ277" s="47"/>
      <c r="AL277" s="47"/>
      <c r="AN277" s="47"/>
      <c r="AO277" s="47" t="str">
        <f t="shared" si="77"/>
        <v/>
      </c>
    </row>
    <row r="278" spans="1:41" s="56" customFormat="1" ht="14">
      <c r="A278" s="44"/>
      <c r="B278" s="45"/>
      <c r="C278" s="46">
        <f t="shared" si="68"/>
        <v>0</v>
      </c>
      <c r="D278" s="47"/>
      <c r="E278" s="47"/>
      <c r="F278" s="47"/>
      <c r="G278" s="47"/>
      <c r="H278" s="48"/>
      <c r="I278" s="74" t="str">
        <f t="shared" si="69"/>
        <v/>
      </c>
      <c r="J278" s="49"/>
      <c r="K278" s="49"/>
      <c r="L278" s="49"/>
      <c r="M278" s="47"/>
      <c r="N278" s="48" t="str">
        <f t="shared" si="70"/>
        <v/>
      </c>
      <c r="O278" s="48" t="str">
        <f t="shared" si="71"/>
        <v/>
      </c>
      <c r="P278" s="75" t="str">
        <f t="shared" si="72"/>
        <v/>
      </c>
      <c r="Q278" s="76">
        <f t="shared" si="73"/>
        <v>0</v>
      </c>
      <c r="R278" s="76">
        <f t="shared" si="74"/>
        <v>0</v>
      </c>
      <c r="S278" s="75">
        <f t="shared" si="78"/>
        <v>0</v>
      </c>
      <c r="T278" s="47"/>
      <c r="V278" s="57"/>
      <c r="W278" s="45"/>
      <c r="X278" s="46">
        <f t="shared" si="75"/>
        <v>0</v>
      </c>
      <c r="Y278" s="74" t="str">
        <f t="shared" si="76"/>
        <v/>
      </c>
      <c r="Z278" s="49"/>
      <c r="AA278" s="49"/>
      <c r="AB278" s="49"/>
      <c r="AC278" s="47"/>
      <c r="AD278" s="48" t="str">
        <f t="shared" si="79"/>
        <v/>
      </c>
      <c r="AE278" s="48" t="str">
        <f t="shared" si="80"/>
        <v/>
      </c>
      <c r="AF278" s="75" t="str">
        <f t="shared" si="81"/>
        <v/>
      </c>
      <c r="AG278" s="76">
        <f t="shared" si="82"/>
        <v>0</v>
      </c>
      <c r="AH278" s="76">
        <f t="shared" si="83"/>
        <v>0</v>
      </c>
      <c r="AI278" s="75">
        <f t="shared" si="84"/>
        <v>0</v>
      </c>
      <c r="AJ278" s="47"/>
      <c r="AL278" s="47"/>
      <c r="AN278" s="47"/>
      <c r="AO278" s="47" t="str">
        <f t="shared" si="77"/>
        <v/>
      </c>
    </row>
    <row r="279" spans="1:41" s="56" customFormat="1" ht="14">
      <c r="A279" s="44"/>
      <c r="B279" s="45"/>
      <c r="C279" s="46">
        <f t="shared" si="68"/>
        <v>0</v>
      </c>
      <c r="D279" s="47"/>
      <c r="E279" s="47"/>
      <c r="F279" s="47"/>
      <c r="G279" s="47"/>
      <c r="H279" s="48"/>
      <c r="I279" s="74" t="str">
        <f t="shared" si="69"/>
        <v/>
      </c>
      <c r="J279" s="49"/>
      <c r="K279" s="49"/>
      <c r="L279" s="49"/>
      <c r="M279" s="47"/>
      <c r="N279" s="48" t="str">
        <f t="shared" si="70"/>
        <v/>
      </c>
      <c r="O279" s="48" t="str">
        <f t="shared" si="71"/>
        <v/>
      </c>
      <c r="P279" s="75" t="str">
        <f t="shared" si="72"/>
        <v/>
      </c>
      <c r="Q279" s="76">
        <f t="shared" si="73"/>
        <v>0</v>
      </c>
      <c r="R279" s="76">
        <f t="shared" si="74"/>
        <v>0</v>
      </c>
      <c r="S279" s="75">
        <f t="shared" si="78"/>
        <v>0</v>
      </c>
      <c r="T279" s="47"/>
      <c r="V279" s="57"/>
      <c r="W279" s="45"/>
      <c r="X279" s="46">
        <f t="shared" si="75"/>
        <v>0</v>
      </c>
      <c r="Y279" s="74" t="str">
        <f t="shared" si="76"/>
        <v/>
      </c>
      <c r="Z279" s="49"/>
      <c r="AA279" s="49"/>
      <c r="AB279" s="49"/>
      <c r="AC279" s="47"/>
      <c r="AD279" s="48" t="str">
        <f t="shared" si="79"/>
        <v/>
      </c>
      <c r="AE279" s="48" t="str">
        <f t="shared" si="80"/>
        <v/>
      </c>
      <c r="AF279" s="75" t="str">
        <f t="shared" si="81"/>
        <v/>
      </c>
      <c r="AG279" s="76">
        <f t="shared" si="82"/>
        <v>0</v>
      </c>
      <c r="AH279" s="76">
        <f t="shared" si="83"/>
        <v>0</v>
      </c>
      <c r="AI279" s="75">
        <f t="shared" si="84"/>
        <v>0</v>
      </c>
      <c r="AJ279" s="47"/>
      <c r="AL279" s="47"/>
      <c r="AN279" s="47"/>
      <c r="AO279" s="47" t="str">
        <f t="shared" si="77"/>
        <v/>
      </c>
    </row>
    <row r="280" spans="1:41" s="56" customFormat="1" ht="14">
      <c r="A280" s="44"/>
      <c r="B280" s="45"/>
      <c r="C280" s="46">
        <f t="shared" si="68"/>
        <v>0</v>
      </c>
      <c r="D280" s="47"/>
      <c r="E280" s="47"/>
      <c r="F280" s="47"/>
      <c r="G280" s="47"/>
      <c r="H280" s="48"/>
      <c r="I280" s="74" t="str">
        <f t="shared" si="69"/>
        <v/>
      </c>
      <c r="J280" s="49"/>
      <c r="K280" s="49"/>
      <c r="L280" s="49"/>
      <c r="M280" s="47"/>
      <c r="N280" s="48" t="str">
        <f t="shared" si="70"/>
        <v/>
      </c>
      <c r="O280" s="48" t="str">
        <f t="shared" si="71"/>
        <v/>
      </c>
      <c r="P280" s="75" t="str">
        <f t="shared" si="72"/>
        <v/>
      </c>
      <c r="Q280" s="76">
        <f t="shared" si="73"/>
        <v>0</v>
      </c>
      <c r="R280" s="76">
        <f t="shared" si="74"/>
        <v>0</v>
      </c>
      <c r="S280" s="75">
        <f t="shared" si="78"/>
        <v>0</v>
      </c>
      <c r="T280" s="47"/>
      <c r="V280" s="57"/>
      <c r="W280" s="45"/>
      <c r="X280" s="46">
        <f t="shared" si="75"/>
        <v>0</v>
      </c>
      <c r="Y280" s="74" t="str">
        <f t="shared" si="76"/>
        <v/>
      </c>
      <c r="Z280" s="49"/>
      <c r="AA280" s="49"/>
      <c r="AB280" s="49"/>
      <c r="AC280" s="47"/>
      <c r="AD280" s="48" t="str">
        <f t="shared" si="79"/>
        <v/>
      </c>
      <c r="AE280" s="48" t="str">
        <f t="shared" si="80"/>
        <v/>
      </c>
      <c r="AF280" s="75" t="str">
        <f t="shared" si="81"/>
        <v/>
      </c>
      <c r="AG280" s="76">
        <f t="shared" si="82"/>
        <v>0</v>
      </c>
      <c r="AH280" s="76">
        <f t="shared" si="83"/>
        <v>0</v>
      </c>
      <c r="AI280" s="75">
        <f t="shared" si="84"/>
        <v>0</v>
      </c>
      <c r="AJ280" s="47"/>
      <c r="AL280" s="47"/>
      <c r="AN280" s="47"/>
      <c r="AO280" s="47" t="str">
        <f t="shared" si="77"/>
        <v/>
      </c>
    </row>
    <row r="281" spans="1:41" s="56" customFormat="1" ht="14">
      <c r="A281" s="44"/>
      <c r="B281" s="45"/>
      <c r="C281" s="46">
        <f t="shared" si="68"/>
        <v>0</v>
      </c>
      <c r="D281" s="47"/>
      <c r="E281" s="47"/>
      <c r="F281" s="47"/>
      <c r="G281" s="47"/>
      <c r="H281" s="48"/>
      <c r="I281" s="74" t="str">
        <f t="shared" si="69"/>
        <v/>
      </c>
      <c r="J281" s="49"/>
      <c r="K281" s="49"/>
      <c r="L281" s="49"/>
      <c r="M281" s="47"/>
      <c r="N281" s="48" t="str">
        <f t="shared" si="70"/>
        <v/>
      </c>
      <c r="O281" s="48" t="str">
        <f t="shared" si="71"/>
        <v/>
      </c>
      <c r="P281" s="75" t="str">
        <f t="shared" si="72"/>
        <v/>
      </c>
      <c r="Q281" s="76">
        <f t="shared" si="73"/>
        <v>0</v>
      </c>
      <c r="R281" s="76">
        <f t="shared" si="74"/>
        <v>0</v>
      </c>
      <c r="S281" s="75">
        <f t="shared" si="78"/>
        <v>0</v>
      </c>
      <c r="T281" s="47"/>
      <c r="V281" s="57"/>
      <c r="W281" s="45"/>
      <c r="X281" s="46">
        <f t="shared" si="75"/>
        <v>0</v>
      </c>
      <c r="Y281" s="74" t="str">
        <f t="shared" si="76"/>
        <v/>
      </c>
      <c r="Z281" s="49"/>
      <c r="AA281" s="49"/>
      <c r="AB281" s="49"/>
      <c r="AC281" s="47"/>
      <c r="AD281" s="48" t="str">
        <f t="shared" si="79"/>
        <v/>
      </c>
      <c r="AE281" s="48" t="str">
        <f t="shared" si="80"/>
        <v/>
      </c>
      <c r="AF281" s="75" t="str">
        <f t="shared" si="81"/>
        <v/>
      </c>
      <c r="AG281" s="76">
        <f t="shared" si="82"/>
        <v>0</v>
      </c>
      <c r="AH281" s="76">
        <f t="shared" si="83"/>
        <v>0</v>
      </c>
      <c r="AI281" s="75">
        <f t="shared" si="84"/>
        <v>0</v>
      </c>
      <c r="AJ281" s="47"/>
      <c r="AL281" s="47"/>
      <c r="AN281" s="47"/>
      <c r="AO281" s="47" t="str">
        <f t="shared" si="77"/>
        <v/>
      </c>
    </row>
    <row r="282" spans="1:41" s="56" customFormat="1" ht="14">
      <c r="A282" s="44"/>
      <c r="B282" s="45"/>
      <c r="C282" s="46">
        <f t="shared" si="68"/>
        <v>0</v>
      </c>
      <c r="D282" s="47"/>
      <c r="E282" s="47"/>
      <c r="F282" s="47"/>
      <c r="G282" s="47"/>
      <c r="H282" s="48"/>
      <c r="I282" s="74" t="str">
        <f t="shared" si="69"/>
        <v/>
      </c>
      <c r="J282" s="49"/>
      <c r="K282" s="49"/>
      <c r="L282" s="49"/>
      <c r="M282" s="47"/>
      <c r="N282" s="48" t="str">
        <f t="shared" si="70"/>
        <v/>
      </c>
      <c r="O282" s="48" t="str">
        <f t="shared" si="71"/>
        <v/>
      </c>
      <c r="P282" s="75" t="str">
        <f t="shared" si="72"/>
        <v/>
      </c>
      <c r="Q282" s="76">
        <f t="shared" si="73"/>
        <v>0</v>
      </c>
      <c r="R282" s="76">
        <f t="shared" si="74"/>
        <v>0</v>
      </c>
      <c r="S282" s="75">
        <f t="shared" si="78"/>
        <v>0</v>
      </c>
      <c r="T282" s="47"/>
      <c r="V282" s="57"/>
      <c r="W282" s="45"/>
      <c r="X282" s="46">
        <f t="shared" si="75"/>
        <v>0</v>
      </c>
      <c r="Y282" s="74" t="str">
        <f t="shared" si="76"/>
        <v/>
      </c>
      <c r="Z282" s="49"/>
      <c r="AA282" s="49"/>
      <c r="AB282" s="49"/>
      <c r="AC282" s="47"/>
      <c r="AD282" s="48" t="str">
        <f t="shared" si="79"/>
        <v/>
      </c>
      <c r="AE282" s="48" t="str">
        <f t="shared" si="80"/>
        <v/>
      </c>
      <c r="AF282" s="75" t="str">
        <f t="shared" si="81"/>
        <v/>
      </c>
      <c r="AG282" s="76">
        <f t="shared" si="82"/>
        <v>0</v>
      </c>
      <c r="AH282" s="76">
        <f t="shared" si="83"/>
        <v>0</v>
      </c>
      <c r="AI282" s="75">
        <f t="shared" si="84"/>
        <v>0</v>
      </c>
      <c r="AJ282" s="47"/>
      <c r="AL282" s="47"/>
      <c r="AN282" s="47"/>
      <c r="AO282" s="47" t="str">
        <f t="shared" si="77"/>
        <v/>
      </c>
    </row>
    <row r="283" spans="1:41" s="56" customFormat="1" ht="14">
      <c r="A283" s="44"/>
      <c r="B283" s="45"/>
      <c r="C283" s="46">
        <f t="shared" si="68"/>
        <v>0</v>
      </c>
      <c r="D283" s="47"/>
      <c r="E283" s="47"/>
      <c r="F283" s="47"/>
      <c r="G283" s="47"/>
      <c r="H283" s="48"/>
      <c r="I283" s="74" t="str">
        <f t="shared" si="69"/>
        <v/>
      </c>
      <c r="J283" s="49"/>
      <c r="K283" s="49"/>
      <c r="L283" s="49"/>
      <c r="M283" s="47"/>
      <c r="N283" s="48" t="str">
        <f t="shared" si="70"/>
        <v/>
      </c>
      <c r="O283" s="48" t="str">
        <f t="shared" si="71"/>
        <v/>
      </c>
      <c r="P283" s="75" t="str">
        <f t="shared" si="72"/>
        <v/>
      </c>
      <c r="Q283" s="76">
        <f t="shared" si="73"/>
        <v>0</v>
      </c>
      <c r="R283" s="76">
        <f t="shared" si="74"/>
        <v>0</v>
      </c>
      <c r="S283" s="75">
        <f t="shared" si="78"/>
        <v>0</v>
      </c>
      <c r="T283" s="47"/>
      <c r="V283" s="57"/>
      <c r="W283" s="45"/>
      <c r="X283" s="46">
        <f t="shared" si="75"/>
        <v>0</v>
      </c>
      <c r="Y283" s="74" t="str">
        <f t="shared" si="76"/>
        <v/>
      </c>
      <c r="Z283" s="49"/>
      <c r="AA283" s="49"/>
      <c r="AB283" s="49"/>
      <c r="AC283" s="47"/>
      <c r="AD283" s="48" t="str">
        <f t="shared" si="79"/>
        <v/>
      </c>
      <c r="AE283" s="48" t="str">
        <f t="shared" si="80"/>
        <v/>
      </c>
      <c r="AF283" s="75" t="str">
        <f t="shared" si="81"/>
        <v/>
      </c>
      <c r="AG283" s="76">
        <f t="shared" si="82"/>
        <v>0</v>
      </c>
      <c r="AH283" s="76">
        <f t="shared" si="83"/>
        <v>0</v>
      </c>
      <c r="AI283" s="75">
        <f t="shared" si="84"/>
        <v>0</v>
      </c>
      <c r="AJ283" s="47"/>
      <c r="AL283" s="47"/>
      <c r="AN283" s="47"/>
      <c r="AO283" s="47" t="str">
        <f t="shared" si="77"/>
        <v/>
      </c>
    </row>
    <row r="284" spans="1:41" s="56" customFormat="1" ht="14">
      <c r="A284" s="44"/>
      <c r="B284" s="45"/>
      <c r="C284" s="46">
        <f t="shared" si="68"/>
        <v>0</v>
      </c>
      <c r="D284" s="47"/>
      <c r="E284" s="47"/>
      <c r="F284" s="47"/>
      <c r="G284" s="47"/>
      <c r="H284" s="48"/>
      <c r="I284" s="74" t="str">
        <f t="shared" si="69"/>
        <v/>
      </c>
      <c r="J284" s="49"/>
      <c r="K284" s="49"/>
      <c r="L284" s="49"/>
      <c r="M284" s="47"/>
      <c r="N284" s="48" t="str">
        <f t="shared" si="70"/>
        <v/>
      </c>
      <c r="O284" s="48" t="str">
        <f t="shared" si="71"/>
        <v/>
      </c>
      <c r="P284" s="75" t="str">
        <f t="shared" si="72"/>
        <v/>
      </c>
      <c r="Q284" s="76">
        <f t="shared" si="73"/>
        <v>0</v>
      </c>
      <c r="R284" s="76">
        <f t="shared" si="74"/>
        <v>0</v>
      </c>
      <c r="S284" s="75">
        <f t="shared" si="78"/>
        <v>0</v>
      </c>
      <c r="T284" s="47"/>
      <c r="V284" s="57"/>
      <c r="W284" s="45"/>
      <c r="X284" s="46">
        <f t="shared" si="75"/>
        <v>0</v>
      </c>
      <c r="Y284" s="74" t="str">
        <f t="shared" si="76"/>
        <v/>
      </c>
      <c r="Z284" s="49"/>
      <c r="AA284" s="49"/>
      <c r="AB284" s="49"/>
      <c r="AC284" s="47"/>
      <c r="AD284" s="48" t="str">
        <f t="shared" si="79"/>
        <v/>
      </c>
      <c r="AE284" s="48" t="str">
        <f t="shared" si="80"/>
        <v/>
      </c>
      <c r="AF284" s="75" t="str">
        <f t="shared" si="81"/>
        <v/>
      </c>
      <c r="AG284" s="76">
        <f t="shared" si="82"/>
        <v>0</v>
      </c>
      <c r="AH284" s="76">
        <f t="shared" si="83"/>
        <v>0</v>
      </c>
      <c r="AI284" s="75">
        <f t="shared" si="84"/>
        <v>0</v>
      </c>
      <c r="AJ284" s="47"/>
      <c r="AL284" s="47"/>
      <c r="AN284" s="47"/>
      <c r="AO284" s="47" t="str">
        <f t="shared" si="77"/>
        <v/>
      </c>
    </row>
    <row r="285" spans="1:41" s="56" customFormat="1" ht="14">
      <c r="A285" s="44"/>
      <c r="B285" s="45"/>
      <c r="C285" s="46">
        <f t="shared" si="68"/>
        <v>0</v>
      </c>
      <c r="D285" s="47"/>
      <c r="E285" s="47"/>
      <c r="F285" s="47"/>
      <c r="G285" s="47"/>
      <c r="H285" s="48"/>
      <c r="I285" s="74" t="str">
        <f t="shared" si="69"/>
        <v/>
      </c>
      <c r="J285" s="49"/>
      <c r="K285" s="49"/>
      <c r="L285" s="49"/>
      <c r="M285" s="47"/>
      <c r="N285" s="48" t="str">
        <f t="shared" si="70"/>
        <v/>
      </c>
      <c r="O285" s="48" t="str">
        <f t="shared" si="71"/>
        <v/>
      </c>
      <c r="P285" s="75" t="str">
        <f t="shared" si="72"/>
        <v/>
      </c>
      <c r="Q285" s="76">
        <f t="shared" si="73"/>
        <v>0</v>
      </c>
      <c r="R285" s="76">
        <f t="shared" si="74"/>
        <v>0</v>
      </c>
      <c r="S285" s="75">
        <f t="shared" si="78"/>
        <v>0</v>
      </c>
      <c r="T285" s="47"/>
      <c r="V285" s="57"/>
      <c r="W285" s="45"/>
      <c r="X285" s="46">
        <f t="shared" si="75"/>
        <v>0</v>
      </c>
      <c r="Y285" s="74" t="str">
        <f t="shared" si="76"/>
        <v/>
      </c>
      <c r="Z285" s="49"/>
      <c r="AA285" s="49"/>
      <c r="AB285" s="49"/>
      <c r="AC285" s="47"/>
      <c r="AD285" s="48" t="str">
        <f t="shared" si="79"/>
        <v/>
      </c>
      <c r="AE285" s="48" t="str">
        <f t="shared" si="80"/>
        <v/>
      </c>
      <c r="AF285" s="75" t="str">
        <f t="shared" si="81"/>
        <v/>
      </c>
      <c r="AG285" s="76">
        <f t="shared" si="82"/>
        <v>0</v>
      </c>
      <c r="AH285" s="76">
        <f t="shared" si="83"/>
        <v>0</v>
      </c>
      <c r="AI285" s="75">
        <f t="shared" si="84"/>
        <v>0</v>
      </c>
      <c r="AJ285" s="47"/>
      <c r="AL285" s="47"/>
      <c r="AN285" s="47"/>
      <c r="AO285" s="47" t="str">
        <f t="shared" si="77"/>
        <v/>
      </c>
    </row>
    <row r="286" spans="1:41" s="56" customFormat="1" ht="14">
      <c r="A286" s="44"/>
      <c r="B286" s="45"/>
      <c r="C286" s="46">
        <f t="shared" si="68"/>
        <v>0</v>
      </c>
      <c r="D286" s="47"/>
      <c r="E286" s="47"/>
      <c r="F286" s="47"/>
      <c r="G286" s="47"/>
      <c r="H286" s="48"/>
      <c r="I286" s="74" t="str">
        <f t="shared" si="69"/>
        <v/>
      </c>
      <c r="J286" s="49"/>
      <c r="K286" s="49"/>
      <c r="L286" s="49"/>
      <c r="M286" s="47"/>
      <c r="N286" s="48" t="str">
        <f t="shared" si="70"/>
        <v/>
      </c>
      <c r="O286" s="48" t="str">
        <f t="shared" si="71"/>
        <v/>
      </c>
      <c r="P286" s="75" t="str">
        <f t="shared" si="72"/>
        <v/>
      </c>
      <c r="Q286" s="76">
        <f t="shared" si="73"/>
        <v>0</v>
      </c>
      <c r="R286" s="76">
        <f t="shared" si="74"/>
        <v>0</v>
      </c>
      <c r="S286" s="75">
        <f t="shared" si="78"/>
        <v>0</v>
      </c>
      <c r="T286" s="47"/>
      <c r="V286" s="57"/>
      <c r="W286" s="45"/>
      <c r="X286" s="46">
        <f t="shared" si="75"/>
        <v>0</v>
      </c>
      <c r="Y286" s="74" t="str">
        <f t="shared" si="76"/>
        <v/>
      </c>
      <c r="Z286" s="49"/>
      <c r="AA286" s="49"/>
      <c r="AB286" s="49"/>
      <c r="AC286" s="47"/>
      <c r="AD286" s="48" t="str">
        <f t="shared" si="79"/>
        <v/>
      </c>
      <c r="AE286" s="48" t="str">
        <f t="shared" si="80"/>
        <v/>
      </c>
      <c r="AF286" s="75" t="str">
        <f t="shared" si="81"/>
        <v/>
      </c>
      <c r="AG286" s="76">
        <f t="shared" si="82"/>
        <v>0</v>
      </c>
      <c r="AH286" s="76">
        <f t="shared" si="83"/>
        <v>0</v>
      </c>
      <c r="AI286" s="75">
        <f t="shared" si="84"/>
        <v>0</v>
      </c>
      <c r="AJ286" s="47"/>
      <c r="AL286" s="47"/>
      <c r="AN286" s="47"/>
      <c r="AO286" s="47" t="str">
        <f t="shared" si="77"/>
        <v/>
      </c>
    </row>
    <row r="287" spans="1:41" s="56" customFormat="1" ht="14">
      <c r="A287" s="44"/>
      <c r="B287" s="45"/>
      <c r="C287" s="46">
        <f t="shared" si="68"/>
        <v>0</v>
      </c>
      <c r="D287" s="47"/>
      <c r="E287" s="47"/>
      <c r="F287" s="47"/>
      <c r="G287" s="47"/>
      <c r="H287" s="48"/>
      <c r="I287" s="74" t="str">
        <f t="shared" si="69"/>
        <v/>
      </c>
      <c r="J287" s="49"/>
      <c r="K287" s="49"/>
      <c r="L287" s="49"/>
      <c r="M287" s="47"/>
      <c r="N287" s="48" t="str">
        <f t="shared" si="70"/>
        <v/>
      </c>
      <c r="O287" s="48" t="str">
        <f t="shared" si="71"/>
        <v/>
      </c>
      <c r="P287" s="75" t="str">
        <f t="shared" si="72"/>
        <v/>
      </c>
      <c r="Q287" s="76">
        <f t="shared" si="73"/>
        <v>0</v>
      </c>
      <c r="R287" s="76">
        <f t="shared" si="74"/>
        <v>0</v>
      </c>
      <c r="S287" s="75">
        <f t="shared" si="78"/>
        <v>0</v>
      </c>
      <c r="T287" s="47"/>
      <c r="V287" s="57"/>
      <c r="W287" s="45"/>
      <c r="X287" s="46">
        <f t="shared" si="75"/>
        <v>0</v>
      </c>
      <c r="Y287" s="74" t="str">
        <f t="shared" si="76"/>
        <v/>
      </c>
      <c r="Z287" s="49"/>
      <c r="AA287" s="49"/>
      <c r="AB287" s="49"/>
      <c r="AC287" s="47"/>
      <c r="AD287" s="48" t="str">
        <f t="shared" si="79"/>
        <v/>
      </c>
      <c r="AE287" s="48" t="str">
        <f t="shared" si="80"/>
        <v/>
      </c>
      <c r="AF287" s="75" t="str">
        <f t="shared" si="81"/>
        <v/>
      </c>
      <c r="AG287" s="76">
        <f t="shared" si="82"/>
        <v>0</v>
      </c>
      <c r="AH287" s="76">
        <f t="shared" si="83"/>
        <v>0</v>
      </c>
      <c r="AI287" s="75">
        <f t="shared" si="84"/>
        <v>0</v>
      </c>
      <c r="AJ287" s="47"/>
      <c r="AL287" s="47"/>
      <c r="AN287" s="47"/>
      <c r="AO287" s="47" t="str">
        <f t="shared" si="77"/>
        <v/>
      </c>
    </row>
    <row r="288" spans="1:41" s="56" customFormat="1" ht="14">
      <c r="A288" s="44"/>
      <c r="B288" s="45"/>
      <c r="C288" s="46">
        <f t="shared" si="68"/>
        <v>0</v>
      </c>
      <c r="D288" s="47"/>
      <c r="E288" s="47"/>
      <c r="F288" s="47"/>
      <c r="G288" s="47"/>
      <c r="H288" s="48"/>
      <c r="I288" s="74" t="str">
        <f t="shared" si="69"/>
        <v/>
      </c>
      <c r="J288" s="49"/>
      <c r="K288" s="49"/>
      <c r="L288" s="49"/>
      <c r="M288" s="47"/>
      <c r="N288" s="48" t="str">
        <f t="shared" si="70"/>
        <v/>
      </c>
      <c r="O288" s="48" t="str">
        <f t="shared" si="71"/>
        <v/>
      </c>
      <c r="P288" s="75" t="str">
        <f t="shared" si="72"/>
        <v/>
      </c>
      <c r="Q288" s="76">
        <f t="shared" si="73"/>
        <v>0</v>
      </c>
      <c r="R288" s="76">
        <f t="shared" si="74"/>
        <v>0</v>
      </c>
      <c r="S288" s="75">
        <f t="shared" si="78"/>
        <v>0</v>
      </c>
      <c r="T288" s="47"/>
      <c r="V288" s="57"/>
      <c r="W288" s="45"/>
      <c r="X288" s="46">
        <f t="shared" si="75"/>
        <v>0</v>
      </c>
      <c r="Y288" s="74" t="str">
        <f t="shared" si="76"/>
        <v/>
      </c>
      <c r="Z288" s="49"/>
      <c r="AA288" s="49"/>
      <c r="AB288" s="49"/>
      <c r="AC288" s="47"/>
      <c r="AD288" s="48" t="str">
        <f t="shared" si="79"/>
        <v/>
      </c>
      <c r="AE288" s="48" t="str">
        <f t="shared" si="80"/>
        <v/>
      </c>
      <c r="AF288" s="75" t="str">
        <f t="shared" si="81"/>
        <v/>
      </c>
      <c r="AG288" s="76">
        <f t="shared" si="82"/>
        <v>0</v>
      </c>
      <c r="AH288" s="76">
        <f t="shared" si="83"/>
        <v>0</v>
      </c>
      <c r="AI288" s="75">
        <f t="shared" si="84"/>
        <v>0</v>
      </c>
      <c r="AJ288" s="47"/>
      <c r="AL288" s="47"/>
      <c r="AN288" s="47"/>
      <c r="AO288" s="47" t="str">
        <f t="shared" si="77"/>
        <v/>
      </c>
    </row>
    <row r="289" spans="1:41" s="56" customFormat="1" ht="14">
      <c r="A289" s="44"/>
      <c r="B289" s="45"/>
      <c r="C289" s="46">
        <f t="shared" si="68"/>
        <v>0</v>
      </c>
      <c r="D289" s="47"/>
      <c r="E289" s="47"/>
      <c r="F289" s="47"/>
      <c r="G289" s="47"/>
      <c r="H289" s="48"/>
      <c r="I289" s="74" t="str">
        <f t="shared" si="69"/>
        <v/>
      </c>
      <c r="J289" s="49"/>
      <c r="K289" s="49"/>
      <c r="L289" s="49"/>
      <c r="M289" s="47"/>
      <c r="N289" s="48" t="str">
        <f t="shared" si="70"/>
        <v/>
      </c>
      <c r="O289" s="48" t="str">
        <f t="shared" si="71"/>
        <v/>
      </c>
      <c r="P289" s="75" t="str">
        <f t="shared" si="72"/>
        <v/>
      </c>
      <c r="Q289" s="76">
        <f t="shared" si="73"/>
        <v>0</v>
      </c>
      <c r="R289" s="76">
        <f t="shared" si="74"/>
        <v>0</v>
      </c>
      <c r="S289" s="75">
        <f t="shared" si="78"/>
        <v>0</v>
      </c>
      <c r="T289" s="47"/>
      <c r="V289" s="57"/>
      <c r="W289" s="45"/>
      <c r="X289" s="46">
        <f t="shared" si="75"/>
        <v>0</v>
      </c>
      <c r="Y289" s="74" t="str">
        <f t="shared" si="76"/>
        <v/>
      </c>
      <c r="Z289" s="49"/>
      <c r="AA289" s="49"/>
      <c r="AB289" s="49"/>
      <c r="AC289" s="47"/>
      <c r="AD289" s="48" t="str">
        <f t="shared" si="79"/>
        <v/>
      </c>
      <c r="AE289" s="48" t="str">
        <f t="shared" si="80"/>
        <v/>
      </c>
      <c r="AF289" s="75" t="str">
        <f t="shared" si="81"/>
        <v/>
      </c>
      <c r="AG289" s="76">
        <f t="shared" si="82"/>
        <v>0</v>
      </c>
      <c r="AH289" s="76">
        <f t="shared" si="83"/>
        <v>0</v>
      </c>
      <c r="AI289" s="75">
        <f t="shared" si="84"/>
        <v>0</v>
      </c>
      <c r="AJ289" s="47"/>
      <c r="AL289" s="47"/>
      <c r="AN289" s="47"/>
      <c r="AO289" s="47" t="str">
        <f t="shared" si="77"/>
        <v/>
      </c>
    </row>
    <row r="290" spans="1:41" s="56" customFormat="1" ht="14">
      <c r="A290" s="44"/>
      <c r="B290" s="45"/>
      <c r="C290" s="46">
        <f t="shared" si="68"/>
        <v>0</v>
      </c>
      <c r="D290" s="47"/>
      <c r="E290" s="47"/>
      <c r="F290" s="47"/>
      <c r="G290" s="47"/>
      <c r="H290" s="48"/>
      <c r="I290" s="74" t="str">
        <f t="shared" si="69"/>
        <v/>
      </c>
      <c r="J290" s="49"/>
      <c r="K290" s="49"/>
      <c r="L290" s="49"/>
      <c r="M290" s="47"/>
      <c r="N290" s="48" t="str">
        <f t="shared" si="70"/>
        <v/>
      </c>
      <c r="O290" s="48" t="str">
        <f t="shared" si="71"/>
        <v/>
      </c>
      <c r="P290" s="75" t="str">
        <f t="shared" si="72"/>
        <v/>
      </c>
      <c r="Q290" s="76">
        <f t="shared" si="73"/>
        <v>0</v>
      </c>
      <c r="R290" s="76">
        <f t="shared" si="74"/>
        <v>0</v>
      </c>
      <c r="S290" s="75">
        <f t="shared" si="78"/>
        <v>0</v>
      </c>
      <c r="T290" s="47"/>
      <c r="V290" s="57"/>
      <c r="W290" s="45"/>
      <c r="X290" s="46">
        <f t="shared" si="75"/>
        <v>0</v>
      </c>
      <c r="Y290" s="74" t="str">
        <f t="shared" si="76"/>
        <v/>
      </c>
      <c r="Z290" s="49"/>
      <c r="AA290" s="49"/>
      <c r="AB290" s="49"/>
      <c r="AC290" s="47"/>
      <c r="AD290" s="48" t="str">
        <f t="shared" si="79"/>
        <v/>
      </c>
      <c r="AE290" s="48" t="str">
        <f t="shared" si="80"/>
        <v/>
      </c>
      <c r="AF290" s="75" t="str">
        <f t="shared" si="81"/>
        <v/>
      </c>
      <c r="AG290" s="76">
        <f t="shared" si="82"/>
        <v>0</v>
      </c>
      <c r="AH290" s="76">
        <f t="shared" si="83"/>
        <v>0</v>
      </c>
      <c r="AI290" s="75">
        <f t="shared" si="84"/>
        <v>0</v>
      </c>
      <c r="AJ290" s="47"/>
      <c r="AL290" s="47"/>
      <c r="AN290" s="47"/>
      <c r="AO290" s="47" t="str">
        <f t="shared" si="77"/>
        <v/>
      </c>
    </row>
    <row r="291" spans="1:41" s="56" customFormat="1" ht="14">
      <c r="A291" s="44"/>
      <c r="B291" s="45"/>
      <c r="C291" s="46">
        <f t="shared" si="68"/>
        <v>0</v>
      </c>
      <c r="D291" s="47"/>
      <c r="E291" s="47"/>
      <c r="F291" s="47"/>
      <c r="G291" s="47"/>
      <c r="H291" s="48"/>
      <c r="I291" s="74" t="str">
        <f t="shared" si="69"/>
        <v/>
      </c>
      <c r="J291" s="49"/>
      <c r="K291" s="49"/>
      <c r="L291" s="49"/>
      <c r="M291" s="47"/>
      <c r="N291" s="48" t="str">
        <f t="shared" si="70"/>
        <v/>
      </c>
      <c r="O291" s="48" t="str">
        <f t="shared" si="71"/>
        <v/>
      </c>
      <c r="P291" s="75" t="str">
        <f t="shared" si="72"/>
        <v/>
      </c>
      <c r="Q291" s="76">
        <f t="shared" si="73"/>
        <v>0</v>
      </c>
      <c r="R291" s="76">
        <f t="shared" si="74"/>
        <v>0</v>
      </c>
      <c r="S291" s="75">
        <f t="shared" si="78"/>
        <v>0</v>
      </c>
      <c r="T291" s="47"/>
      <c r="V291" s="57"/>
      <c r="W291" s="45"/>
      <c r="X291" s="46">
        <f t="shared" si="75"/>
        <v>0</v>
      </c>
      <c r="Y291" s="74" t="str">
        <f t="shared" si="76"/>
        <v/>
      </c>
      <c r="Z291" s="49"/>
      <c r="AA291" s="49"/>
      <c r="AB291" s="49"/>
      <c r="AC291" s="47"/>
      <c r="AD291" s="48" t="str">
        <f t="shared" si="79"/>
        <v/>
      </c>
      <c r="AE291" s="48" t="str">
        <f t="shared" si="80"/>
        <v/>
      </c>
      <c r="AF291" s="75" t="str">
        <f t="shared" si="81"/>
        <v/>
      </c>
      <c r="AG291" s="76">
        <f t="shared" si="82"/>
        <v>0</v>
      </c>
      <c r="AH291" s="76">
        <f t="shared" si="83"/>
        <v>0</v>
      </c>
      <c r="AI291" s="75">
        <f t="shared" si="84"/>
        <v>0</v>
      </c>
      <c r="AJ291" s="47"/>
      <c r="AL291" s="47"/>
      <c r="AN291" s="47"/>
      <c r="AO291" s="47" t="str">
        <f t="shared" si="77"/>
        <v/>
      </c>
    </row>
    <row r="292" spans="1:41" s="56" customFormat="1" ht="14">
      <c r="A292" s="44"/>
      <c r="B292" s="45"/>
      <c r="C292" s="46">
        <f t="shared" si="68"/>
        <v>0</v>
      </c>
      <c r="D292" s="47"/>
      <c r="E292" s="47"/>
      <c r="F292" s="47"/>
      <c r="G292" s="47"/>
      <c r="H292" s="48"/>
      <c r="I292" s="74" t="str">
        <f t="shared" si="69"/>
        <v/>
      </c>
      <c r="J292" s="49"/>
      <c r="K292" s="49"/>
      <c r="L292" s="49"/>
      <c r="M292" s="47"/>
      <c r="N292" s="48" t="str">
        <f t="shared" si="70"/>
        <v/>
      </c>
      <c r="O292" s="48" t="str">
        <f t="shared" si="71"/>
        <v/>
      </c>
      <c r="P292" s="75" t="str">
        <f t="shared" si="72"/>
        <v/>
      </c>
      <c r="Q292" s="76">
        <f t="shared" si="73"/>
        <v>0</v>
      </c>
      <c r="R292" s="76">
        <f t="shared" si="74"/>
        <v>0</v>
      </c>
      <c r="S292" s="75">
        <f t="shared" si="78"/>
        <v>0</v>
      </c>
      <c r="T292" s="47"/>
      <c r="V292" s="57"/>
      <c r="W292" s="45"/>
      <c r="X292" s="46">
        <f t="shared" si="75"/>
        <v>0</v>
      </c>
      <c r="Y292" s="74" t="str">
        <f t="shared" si="76"/>
        <v/>
      </c>
      <c r="Z292" s="49"/>
      <c r="AA292" s="49"/>
      <c r="AB292" s="49"/>
      <c r="AC292" s="47"/>
      <c r="AD292" s="48" t="str">
        <f t="shared" si="79"/>
        <v/>
      </c>
      <c r="AE292" s="48" t="str">
        <f t="shared" si="80"/>
        <v/>
      </c>
      <c r="AF292" s="75" t="str">
        <f t="shared" si="81"/>
        <v/>
      </c>
      <c r="AG292" s="76">
        <f t="shared" si="82"/>
        <v>0</v>
      </c>
      <c r="AH292" s="76">
        <f t="shared" si="83"/>
        <v>0</v>
      </c>
      <c r="AI292" s="75">
        <f t="shared" si="84"/>
        <v>0</v>
      </c>
      <c r="AJ292" s="47"/>
      <c r="AL292" s="47"/>
      <c r="AN292" s="47"/>
      <c r="AO292" s="47" t="str">
        <f t="shared" si="77"/>
        <v/>
      </c>
    </row>
    <row r="293" spans="1:41" s="56" customFormat="1" ht="14">
      <c r="A293" s="44"/>
      <c r="B293" s="45"/>
      <c r="C293" s="46">
        <f t="shared" si="68"/>
        <v>0</v>
      </c>
      <c r="D293" s="47"/>
      <c r="E293" s="47"/>
      <c r="F293" s="47"/>
      <c r="G293" s="47"/>
      <c r="H293" s="48"/>
      <c r="I293" s="74" t="str">
        <f t="shared" si="69"/>
        <v/>
      </c>
      <c r="J293" s="49"/>
      <c r="K293" s="49"/>
      <c r="L293" s="49"/>
      <c r="M293" s="47"/>
      <c r="N293" s="48" t="str">
        <f t="shared" si="70"/>
        <v/>
      </c>
      <c r="O293" s="48" t="str">
        <f t="shared" si="71"/>
        <v/>
      </c>
      <c r="P293" s="75" t="str">
        <f t="shared" si="72"/>
        <v/>
      </c>
      <c r="Q293" s="76">
        <f t="shared" si="73"/>
        <v>0</v>
      </c>
      <c r="R293" s="76">
        <f t="shared" si="74"/>
        <v>0</v>
      </c>
      <c r="S293" s="75">
        <f t="shared" si="78"/>
        <v>0</v>
      </c>
      <c r="T293" s="47"/>
      <c r="V293" s="57"/>
      <c r="W293" s="45"/>
      <c r="X293" s="46">
        <f t="shared" si="75"/>
        <v>0</v>
      </c>
      <c r="Y293" s="74" t="str">
        <f t="shared" si="76"/>
        <v/>
      </c>
      <c r="Z293" s="49"/>
      <c r="AA293" s="49"/>
      <c r="AB293" s="49"/>
      <c r="AC293" s="47"/>
      <c r="AD293" s="48" t="str">
        <f t="shared" si="79"/>
        <v/>
      </c>
      <c r="AE293" s="48" t="str">
        <f t="shared" si="80"/>
        <v/>
      </c>
      <c r="AF293" s="75" t="str">
        <f t="shared" si="81"/>
        <v/>
      </c>
      <c r="AG293" s="76">
        <f t="shared" si="82"/>
        <v>0</v>
      </c>
      <c r="AH293" s="76">
        <f t="shared" si="83"/>
        <v>0</v>
      </c>
      <c r="AI293" s="75">
        <f t="shared" si="84"/>
        <v>0</v>
      </c>
      <c r="AJ293" s="47"/>
      <c r="AL293" s="47"/>
      <c r="AN293" s="47"/>
      <c r="AO293" s="47" t="str">
        <f t="shared" si="77"/>
        <v/>
      </c>
    </row>
    <row r="294" spans="1:41" s="56" customFormat="1" ht="14">
      <c r="A294" s="44"/>
      <c r="B294" s="45"/>
      <c r="C294" s="46">
        <f t="shared" si="68"/>
        <v>0</v>
      </c>
      <c r="D294" s="47"/>
      <c r="E294" s="47"/>
      <c r="F294" s="47"/>
      <c r="G294" s="47"/>
      <c r="H294" s="48"/>
      <c r="I294" s="74" t="str">
        <f t="shared" si="69"/>
        <v/>
      </c>
      <c r="J294" s="49"/>
      <c r="K294" s="49"/>
      <c r="L294" s="49"/>
      <c r="M294" s="47"/>
      <c r="N294" s="48" t="str">
        <f t="shared" si="70"/>
        <v/>
      </c>
      <c r="O294" s="48" t="str">
        <f t="shared" si="71"/>
        <v/>
      </c>
      <c r="P294" s="75" t="str">
        <f t="shared" si="72"/>
        <v/>
      </c>
      <c r="Q294" s="76">
        <f t="shared" si="73"/>
        <v>0</v>
      </c>
      <c r="R294" s="76">
        <f t="shared" si="74"/>
        <v>0</v>
      </c>
      <c r="S294" s="75">
        <f t="shared" si="78"/>
        <v>0</v>
      </c>
      <c r="T294" s="47"/>
      <c r="V294" s="57"/>
      <c r="W294" s="45"/>
      <c r="X294" s="46">
        <f t="shared" si="75"/>
        <v>0</v>
      </c>
      <c r="Y294" s="74" t="str">
        <f t="shared" si="76"/>
        <v/>
      </c>
      <c r="Z294" s="49"/>
      <c r="AA294" s="49"/>
      <c r="AB294" s="49"/>
      <c r="AC294" s="47"/>
      <c r="AD294" s="48" t="str">
        <f t="shared" si="79"/>
        <v/>
      </c>
      <c r="AE294" s="48" t="str">
        <f t="shared" si="80"/>
        <v/>
      </c>
      <c r="AF294" s="75" t="str">
        <f t="shared" si="81"/>
        <v/>
      </c>
      <c r="AG294" s="76">
        <f t="shared" si="82"/>
        <v>0</v>
      </c>
      <c r="AH294" s="76">
        <f t="shared" si="83"/>
        <v>0</v>
      </c>
      <c r="AI294" s="75">
        <f t="shared" si="84"/>
        <v>0</v>
      </c>
      <c r="AJ294" s="47"/>
      <c r="AL294" s="47"/>
      <c r="AN294" s="47"/>
      <c r="AO294" s="47" t="str">
        <f t="shared" si="77"/>
        <v/>
      </c>
    </row>
    <row r="295" spans="1:41" s="56" customFormat="1" ht="14">
      <c r="A295" s="44"/>
      <c r="B295" s="45"/>
      <c r="C295" s="46">
        <f t="shared" si="68"/>
        <v>0</v>
      </c>
      <c r="D295" s="47"/>
      <c r="E295" s="47"/>
      <c r="F295" s="47"/>
      <c r="G295" s="47"/>
      <c r="H295" s="48"/>
      <c r="I295" s="74" t="str">
        <f t="shared" si="69"/>
        <v/>
      </c>
      <c r="J295" s="49"/>
      <c r="K295" s="49"/>
      <c r="L295" s="49"/>
      <c r="M295" s="47"/>
      <c r="N295" s="48" t="str">
        <f t="shared" si="70"/>
        <v/>
      </c>
      <c r="O295" s="48" t="str">
        <f t="shared" si="71"/>
        <v/>
      </c>
      <c r="P295" s="75" t="str">
        <f t="shared" si="72"/>
        <v/>
      </c>
      <c r="Q295" s="76">
        <f t="shared" si="73"/>
        <v>0</v>
      </c>
      <c r="R295" s="76">
        <f t="shared" si="74"/>
        <v>0</v>
      </c>
      <c r="S295" s="75">
        <f t="shared" si="78"/>
        <v>0</v>
      </c>
      <c r="T295" s="47"/>
      <c r="V295" s="57"/>
      <c r="W295" s="45"/>
      <c r="X295" s="46">
        <f t="shared" si="75"/>
        <v>0</v>
      </c>
      <c r="Y295" s="74" t="str">
        <f t="shared" si="76"/>
        <v/>
      </c>
      <c r="Z295" s="49"/>
      <c r="AA295" s="49"/>
      <c r="AB295" s="49"/>
      <c r="AC295" s="47"/>
      <c r="AD295" s="48" t="str">
        <f t="shared" si="79"/>
        <v/>
      </c>
      <c r="AE295" s="48" t="str">
        <f t="shared" si="80"/>
        <v/>
      </c>
      <c r="AF295" s="75" t="str">
        <f t="shared" si="81"/>
        <v/>
      </c>
      <c r="AG295" s="76">
        <f t="shared" si="82"/>
        <v>0</v>
      </c>
      <c r="AH295" s="76">
        <f t="shared" si="83"/>
        <v>0</v>
      </c>
      <c r="AI295" s="75">
        <f t="shared" si="84"/>
        <v>0</v>
      </c>
      <c r="AJ295" s="47"/>
      <c r="AL295" s="47"/>
      <c r="AN295" s="47"/>
      <c r="AO295" s="47" t="str">
        <f t="shared" si="77"/>
        <v/>
      </c>
    </row>
    <row r="296" spans="1:41" s="56" customFormat="1" ht="14">
      <c r="A296" s="44"/>
      <c r="B296" s="45"/>
      <c r="C296" s="46">
        <f t="shared" si="68"/>
        <v>0</v>
      </c>
      <c r="D296" s="47"/>
      <c r="E296" s="47"/>
      <c r="F296" s="47"/>
      <c r="G296" s="47"/>
      <c r="H296" s="48"/>
      <c r="I296" s="74" t="str">
        <f t="shared" si="69"/>
        <v/>
      </c>
      <c r="J296" s="49"/>
      <c r="K296" s="49"/>
      <c r="L296" s="49"/>
      <c r="M296" s="47"/>
      <c r="N296" s="48" t="str">
        <f t="shared" si="70"/>
        <v/>
      </c>
      <c r="O296" s="48" t="str">
        <f t="shared" si="71"/>
        <v/>
      </c>
      <c r="P296" s="75" t="str">
        <f t="shared" si="72"/>
        <v/>
      </c>
      <c r="Q296" s="76">
        <f t="shared" si="73"/>
        <v>0</v>
      </c>
      <c r="R296" s="76">
        <f t="shared" si="74"/>
        <v>0</v>
      </c>
      <c r="S296" s="75">
        <f t="shared" si="78"/>
        <v>0</v>
      </c>
      <c r="T296" s="47"/>
      <c r="V296" s="57"/>
      <c r="W296" s="45"/>
      <c r="X296" s="46">
        <f t="shared" si="75"/>
        <v>0</v>
      </c>
      <c r="Y296" s="74" t="str">
        <f t="shared" si="76"/>
        <v/>
      </c>
      <c r="Z296" s="49"/>
      <c r="AA296" s="49"/>
      <c r="AB296" s="49"/>
      <c r="AC296" s="47"/>
      <c r="AD296" s="48" t="str">
        <f t="shared" si="79"/>
        <v/>
      </c>
      <c r="AE296" s="48" t="str">
        <f t="shared" si="80"/>
        <v/>
      </c>
      <c r="AF296" s="75" t="str">
        <f t="shared" si="81"/>
        <v/>
      </c>
      <c r="AG296" s="76">
        <f t="shared" si="82"/>
        <v>0</v>
      </c>
      <c r="AH296" s="76">
        <f t="shared" si="83"/>
        <v>0</v>
      </c>
      <c r="AI296" s="75">
        <f t="shared" si="84"/>
        <v>0</v>
      </c>
      <c r="AJ296" s="47"/>
      <c r="AL296" s="47"/>
      <c r="AN296" s="47"/>
      <c r="AO296" s="47" t="str">
        <f t="shared" si="77"/>
        <v/>
      </c>
    </row>
    <row r="297" spans="1:41" s="56" customFormat="1" ht="14">
      <c r="A297" s="44"/>
      <c r="B297" s="45"/>
      <c r="C297" s="46">
        <f t="shared" si="68"/>
        <v>0</v>
      </c>
      <c r="D297" s="47"/>
      <c r="E297" s="47"/>
      <c r="F297" s="47"/>
      <c r="G297" s="47"/>
      <c r="H297" s="48"/>
      <c r="I297" s="74" t="str">
        <f t="shared" si="69"/>
        <v/>
      </c>
      <c r="J297" s="49"/>
      <c r="K297" s="49"/>
      <c r="L297" s="49"/>
      <c r="M297" s="47"/>
      <c r="N297" s="48" t="str">
        <f t="shared" si="70"/>
        <v/>
      </c>
      <c r="O297" s="48" t="str">
        <f t="shared" si="71"/>
        <v/>
      </c>
      <c r="P297" s="75" t="str">
        <f t="shared" si="72"/>
        <v/>
      </c>
      <c r="Q297" s="76">
        <f t="shared" si="73"/>
        <v>0</v>
      </c>
      <c r="R297" s="76">
        <f t="shared" si="74"/>
        <v>0</v>
      </c>
      <c r="S297" s="75">
        <f t="shared" si="78"/>
        <v>0</v>
      </c>
      <c r="T297" s="47"/>
      <c r="V297" s="57"/>
      <c r="W297" s="45"/>
      <c r="X297" s="46">
        <f t="shared" si="75"/>
        <v>0</v>
      </c>
      <c r="Y297" s="74" t="str">
        <f t="shared" si="76"/>
        <v/>
      </c>
      <c r="Z297" s="49"/>
      <c r="AA297" s="49"/>
      <c r="AB297" s="49"/>
      <c r="AC297" s="47"/>
      <c r="AD297" s="48" t="str">
        <f t="shared" si="79"/>
        <v/>
      </c>
      <c r="AE297" s="48" t="str">
        <f t="shared" si="80"/>
        <v/>
      </c>
      <c r="AF297" s="75" t="str">
        <f t="shared" si="81"/>
        <v/>
      </c>
      <c r="AG297" s="76">
        <f t="shared" si="82"/>
        <v>0</v>
      </c>
      <c r="AH297" s="76">
        <f t="shared" si="83"/>
        <v>0</v>
      </c>
      <c r="AI297" s="75">
        <f t="shared" si="84"/>
        <v>0</v>
      </c>
      <c r="AJ297" s="47"/>
      <c r="AL297" s="47"/>
      <c r="AN297" s="47"/>
      <c r="AO297" s="47" t="str">
        <f t="shared" si="77"/>
        <v/>
      </c>
    </row>
    <row r="298" spans="1:41" s="56" customFormat="1" ht="14">
      <c r="A298" s="44"/>
      <c r="B298" s="45"/>
      <c r="C298" s="46">
        <f t="shared" si="68"/>
        <v>0</v>
      </c>
      <c r="D298" s="47"/>
      <c r="E298" s="47"/>
      <c r="F298" s="47"/>
      <c r="G298" s="47"/>
      <c r="H298" s="48"/>
      <c r="I298" s="74" t="str">
        <f t="shared" si="69"/>
        <v/>
      </c>
      <c r="J298" s="49"/>
      <c r="K298" s="49"/>
      <c r="L298" s="49"/>
      <c r="M298" s="47"/>
      <c r="N298" s="48" t="str">
        <f t="shared" si="70"/>
        <v/>
      </c>
      <c r="O298" s="48" t="str">
        <f t="shared" si="71"/>
        <v/>
      </c>
      <c r="P298" s="75" t="str">
        <f t="shared" si="72"/>
        <v/>
      </c>
      <c r="Q298" s="76">
        <f t="shared" si="73"/>
        <v>0</v>
      </c>
      <c r="R298" s="76">
        <f t="shared" si="74"/>
        <v>0</v>
      </c>
      <c r="S298" s="75">
        <f t="shared" si="78"/>
        <v>0</v>
      </c>
      <c r="T298" s="47"/>
      <c r="V298" s="57"/>
      <c r="W298" s="45"/>
      <c r="X298" s="46">
        <f t="shared" si="75"/>
        <v>0</v>
      </c>
      <c r="Y298" s="74" t="str">
        <f t="shared" si="76"/>
        <v/>
      </c>
      <c r="Z298" s="49"/>
      <c r="AA298" s="49"/>
      <c r="AB298" s="49"/>
      <c r="AC298" s="47"/>
      <c r="AD298" s="48" t="str">
        <f t="shared" si="79"/>
        <v/>
      </c>
      <c r="AE298" s="48" t="str">
        <f t="shared" si="80"/>
        <v/>
      </c>
      <c r="AF298" s="75" t="str">
        <f t="shared" si="81"/>
        <v/>
      </c>
      <c r="AG298" s="76">
        <f t="shared" si="82"/>
        <v>0</v>
      </c>
      <c r="AH298" s="76">
        <f t="shared" si="83"/>
        <v>0</v>
      </c>
      <c r="AI298" s="75">
        <f t="shared" si="84"/>
        <v>0</v>
      </c>
      <c r="AJ298" s="47"/>
      <c r="AL298" s="47"/>
      <c r="AN298" s="47"/>
      <c r="AO298" s="47" t="str">
        <f t="shared" si="77"/>
        <v/>
      </c>
    </row>
    <row r="299" spans="1:41" s="56" customFormat="1" ht="14">
      <c r="A299" s="44"/>
      <c r="B299" s="45"/>
      <c r="C299" s="46">
        <f t="shared" si="68"/>
        <v>0</v>
      </c>
      <c r="D299" s="47"/>
      <c r="E299" s="47"/>
      <c r="F299" s="47"/>
      <c r="G299" s="47"/>
      <c r="H299" s="48"/>
      <c r="I299" s="74" t="str">
        <f t="shared" si="69"/>
        <v/>
      </c>
      <c r="J299" s="49"/>
      <c r="K299" s="49"/>
      <c r="L299" s="49"/>
      <c r="M299" s="47"/>
      <c r="N299" s="48" t="str">
        <f t="shared" si="70"/>
        <v/>
      </c>
      <c r="O299" s="48" t="str">
        <f t="shared" si="71"/>
        <v/>
      </c>
      <c r="P299" s="75" t="str">
        <f t="shared" si="72"/>
        <v/>
      </c>
      <c r="Q299" s="76">
        <f t="shared" si="73"/>
        <v>0</v>
      </c>
      <c r="R299" s="76">
        <f t="shared" si="74"/>
        <v>0</v>
      </c>
      <c r="S299" s="75">
        <f t="shared" si="78"/>
        <v>0</v>
      </c>
      <c r="T299" s="47"/>
      <c r="V299" s="57"/>
      <c r="W299" s="45"/>
      <c r="X299" s="46">
        <f t="shared" si="75"/>
        <v>0</v>
      </c>
      <c r="Y299" s="74" t="str">
        <f t="shared" si="76"/>
        <v/>
      </c>
      <c r="Z299" s="49"/>
      <c r="AA299" s="49"/>
      <c r="AB299" s="49"/>
      <c r="AC299" s="47"/>
      <c r="AD299" s="48" t="str">
        <f t="shared" si="79"/>
        <v/>
      </c>
      <c r="AE299" s="48" t="str">
        <f t="shared" si="80"/>
        <v/>
      </c>
      <c r="AF299" s="75" t="str">
        <f t="shared" si="81"/>
        <v/>
      </c>
      <c r="AG299" s="76">
        <f t="shared" si="82"/>
        <v>0</v>
      </c>
      <c r="AH299" s="76">
        <f t="shared" si="83"/>
        <v>0</v>
      </c>
      <c r="AI299" s="75">
        <f t="shared" si="84"/>
        <v>0</v>
      </c>
      <c r="AJ299" s="47"/>
      <c r="AL299" s="47"/>
      <c r="AN299" s="47"/>
      <c r="AO299" s="47" t="str">
        <f t="shared" si="77"/>
        <v/>
      </c>
    </row>
    <row r="300" spans="1:41" s="56" customFormat="1" ht="14">
      <c r="A300" s="44"/>
      <c r="B300" s="45"/>
      <c r="C300" s="46">
        <f t="shared" si="68"/>
        <v>0</v>
      </c>
      <c r="D300" s="47"/>
      <c r="E300" s="47"/>
      <c r="F300" s="47"/>
      <c r="G300" s="47"/>
      <c r="H300" s="48"/>
      <c r="I300" s="74" t="str">
        <f t="shared" si="69"/>
        <v/>
      </c>
      <c r="J300" s="49"/>
      <c r="K300" s="49"/>
      <c r="L300" s="49"/>
      <c r="M300" s="47"/>
      <c r="N300" s="48" t="str">
        <f t="shared" si="70"/>
        <v/>
      </c>
      <c r="O300" s="48" t="str">
        <f t="shared" si="71"/>
        <v/>
      </c>
      <c r="P300" s="75" t="str">
        <f t="shared" si="72"/>
        <v/>
      </c>
      <c r="Q300" s="76">
        <f t="shared" si="73"/>
        <v>0</v>
      </c>
      <c r="R300" s="76">
        <f t="shared" si="74"/>
        <v>0</v>
      </c>
      <c r="S300" s="75">
        <f t="shared" si="78"/>
        <v>0</v>
      </c>
      <c r="T300" s="47"/>
      <c r="V300" s="57"/>
      <c r="W300" s="45"/>
      <c r="X300" s="46">
        <f t="shared" si="75"/>
        <v>0</v>
      </c>
      <c r="Y300" s="74" t="str">
        <f t="shared" si="76"/>
        <v/>
      </c>
      <c r="Z300" s="49"/>
      <c r="AA300" s="49"/>
      <c r="AB300" s="49"/>
      <c r="AC300" s="47"/>
      <c r="AD300" s="48" t="str">
        <f t="shared" si="79"/>
        <v/>
      </c>
      <c r="AE300" s="48" t="str">
        <f t="shared" si="80"/>
        <v/>
      </c>
      <c r="AF300" s="75" t="str">
        <f t="shared" si="81"/>
        <v/>
      </c>
      <c r="AG300" s="76">
        <f t="shared" si="82"/>
        <v>0</v>
      </c>
      <c r="AH300" s="76">
        <f t="shared" si="83"/>
        <v>0</v>
      </c>
      <c r="AI300" s="75">
        <f t="shared" si="84"/>
        <v>0</v>
      </c>
      <c r="AJ300" s="47"/>
      <c r="AL300" s="47"/>
      <c r="AN300" s="47"/>
      <c r="AO300" s="47" t="str">
        <f t="shared" si="77"/>
        <v/>
      </c>
    </row>
    <row r="301" spans="1:41" s="56" customFormat="1" ht="14">
      <c r="A301" s="44"/>
      <c r="B301" s="45"/>
      <c r="C301" s="46">
        <f t="shared" si="68"/>
        <v>0</v>
      </c>
      <c r="D301" s="47"/>
      <c r="E301" s="47"/>
      <c r="F301" s="47"/>
      <c r="G301" s="47"/>
      <c r="H301" s="48"/>
      <c r="I301" s="74" t="str">
        <f t="shared" si="69"/>
        <v/>
      </c>
      <c r="J301" s="49"/>
      <c r="K301" s="49"/>
      <c r="L301" s="49"/>
      <c r="M301" s="47"/>
      <c r="N301" s="48" t="str">
        <f t="shared" si="70"/>
        <v/>
      </c>
      <c r="O301" s="48" t="str">
        <f t="shared" si="71"/>
        <v/>
      </c>
      <c r="P301" s="75" t="str">
        <f t="shared" si="72"/>
        <v/>
      </c>
      <c r="Q301" s="76">
        <f t="shared" si="73"/>
        <v>0</v>
      </c>
      <c r="R301" s="76">
        <f t="shared" si="74"/>
        <v>0</v>
      </c>
      <c r="S301" s="75">
        <f t="shared" si="78"/>
        <v>0</v>
      </c>
      <c r="T301" s="47"/>
      <c r="V301" s="57"/>
      <c r="W301" s="45"/>
      <c r="X301" s="46">
        <f t="shared" si="75"/>
        <v>0</v>
      </c>
      <c r="Y301" s="74" t="str">
        <f t="shared" si="76"/>
        <v/>
      </c>
      <c r="Z301" s="49"/>
      <c r="AA301" s="49"/>
      <c r="AB301" s="49"/>
      <c r="AC301" s="47"/>
      <c r="AD301" s="48" t="str">
        <f t="shared" si="79"/>
        <v/>
      </c>
      <c r="AE301" s="48" t="str">
        <f t="shared" si="80"/>
        <v/>
      </c>
      <c r="AF301" s="75" t="str">
        <f t="shared" si="81"/>
        <v/>
      </c>
      <c r="AG301" s="76">
        <f t="shared" si="82"/>
        <v>0</v>
      </c>
      <c r="AH301" s="76">
        <f t="shared" si="83"/>
        <v>0</v>
      </c>
      <c r="AI301" s="75">
        <f t="shared" si="84"/>
        <v>0</v>
      </c>
      <c r="AJ301" s="47"/>
      <c r="AL301" s="47"/>
      <c r="AN301" s="47"/>
      <c r="AO301" s="47" t="str">
        <f t="shared" si="77"/>
        <v/>
      </c>
    </row>
    <row r="302" spans="1:41" s="56" customFormat="1" ht="14">
      <c r="A302" s="44"/>
      <c r="B302" s="45"/>
      <c r="C302" s="46">
        <f t="shared" si="68"/>
        <v>0</v>
      </c>
      <c r="D302" s="47"/>
      <c r="E302" s="47"/>
      <c r="F302" s="47"/>
      <c r="G302" s="47"/>
      <c r="H302" s="48"/>
      <c r="I302" s="74" t="str">
        <f t="shared" si="69"/>
        <v/>
      </c>
      <c r="J302" s="49"/>
      <c r="K302" s="49"/>
      <c r="L302" s="49"/>
      <c r="M302" s="47"/>
      <c r="N302" s="48" t="str">
        <f t="shared" si="70"/>
        <v/>
      </c>
      <c r="O302" s="48" t="str">
        <f t="shared" si="71"/>
        <v/>
      </c>
      <c r="P302" s="75" t="str">
        <f t="shared" si="72"/>
        <v/>
      </c>
      <c r="Q302" s="76">
        <f t="shared" si="73"/>
        <v>0</v>
      </c>
      <c r="R302" s="76">
        <f t="shared" si="74"/>
        <v>0</v>
      </c>
      <c r="S302" s="75">
        <f t="shared" si="78"/>
        <v>0</v>
      </c>
      <c r="T302" s="47"/>
      <c r="V302" s="57"/>
      <c r="W302" s="45"/>
      <c r="X302" s="46">
        <f t="shared" si="75"/>
        <v>0</v>
      </c>
      <c r="Y302" s="74" t="str">
        <f t="shared" si="76"/>
        <v/>
      </c>
      <c r="Z302" s="49"/>
      <c r="AA302" s="49"/>
      <c r="AB302" s="49"/>
      <c r="AC302" s="47"/>
      <c r="AD302" s="48" t="str">
        <f t="shared" si="79"/>
        <v/>
      </c>
      <c r="AE302" s="48" t="str">
        <f t="shared" si="80"/>
        <v/>
      </c>
      <c r="AF302" s="75" t="str">
        <f t="shared" si="81"/>
        <v/>
      </c>
      <c r="AG302" s="76">
        <f t="shared" si="82"/>
        <v>0</v>
      </c>
      <c r="AH302" s="76">
        <f t="shared" si="83"/>
        <v>0</v>
      </c>
      <c r="AI302" s="75">
        <f t="shared" si="84"/>
        <v>0</v>
      </c>
      <c r="AJ302" s="47"/>
      <c r="AL302" s="47"/>
      <c r="AN302" s="47"/>
      <c r="AO302" s="47" t="str">
        <f t="shared" si="77"/>
        <v/>
      </c>
    </row>
    <row r="303" spans="1:41" s="56" customFormat="1" ht="14">
      <c r="A303" s="44"/>
      <c r="B303" s="45"/>
      <c r="C303" s="46">
        <f t="shared" si="68"/>
        <v>0</v>
      </c>
      <c r="D303" s="47"/>
      <c r="E303" s="47"/>
      <c r="F303" s="47"/>
      <c r="G303" s="47"/>
      <c r="H303" s="48"/>
      <c r="I303" s="74" t="str">
        <f t="shared" si="69"/>
        <v/>
      </c>
      <c r="J303" s="49"/>
      <c r="K303" s="49"/>
      <c r="L303" s="49"/>
      <c r="M303" s="47"/>
      <c r="N303" s="48" t="str">
        <f t="shared" si="70"/>
        <v/>
      </c>
      <c r="O303" s="48" t="str">
        <f t="shared" si="71"/>
        <v/>
      </c>
      <c r="P303" s="75" t="str">
        <f t="shared" si="72"/>
        <v/>
      </c>
      <c r="Q303" s="76">
        <f t="shared" si="73"/>
        <v>0</v>
      </c>
      <c r="R303" s="76">
        <f t="shared" si="74"/>
        <v>0</v>
      </c>
      <c r="S303" s="75">
        <f t="shared" si="78"/>
        <v>0</v>
      </c>
      <c r="T303" s="47"/>
      <c r="V303" s="57"/>
      <c r="W303" s="45"/>
      <c r="X303" s="46">
        <f t="shared" si="75"/>
        <v>0</v>
      </c>
      <c r="Y303" s="74" t="str">
        <f t="shared" si="76"/>
        <v/>
      </c>
      <c r="Z303" s="49"/>
      <c r="AA303" s="49"/>
      <c r="AB303" s="49"/>
      <c r="AC303" s="47"/>
      <c r="AD303" s="48" t="str">
        <f t="shared" si="79"/>
        <v/>
      </c>
      <c r="AE303" s="48" t="str">
        <f t="shared" si="80"/>
        <v/>
      </c>
      <c r="AF303" s="75" t="str">
        <f t="shared" si="81"/>
        <v/>
      </c>
      <c r="AG303" s="76">
        <f t="shared" si="82"/>
        <v>0</v>
      </c>
      <c r="AH303" s="76">
        <f t="shared" si="83"/>
        <v>0</v>
      </c>
      <c r="AI303" s="75">
        <f t="shared" si="84"/>
        <v>0</v>
      </c>
      <c r="AJ303" s="47"/>
      <c r="AL303" s="47"/>
      <c r="AN303" s="47"/>
      <c r="AO303" s="47" t="str">
        <f t="shared" si="77"/>
        <v/>
      </c>
    </row>
    <row r="304" spans="1:41" s="56" customFormat="1" ht="14">
      <c r="A304" s="44"/>
      <c r="B304" s="45"/>
      <c r="C304" s="46">
        <f t="shared" si="68"/>
        <v>0</v>
      </c>
      <c r="D304" s="47"/>
      <c r="E304" s="47"/>
      <c r="F304" s="47"/>
      <c r="G304" s="47"/>
      <c r="H304" s="48"/>
      <c r="I304" s="74" t="str">
        <f t="shared" si="69"/>
        <v/>
      </c>
      <c r="J304" s="49"/>
      <c r="K304" s="49"/>
      <c r="L304" s="49"/>
      <c r="M304" s="47"/>
      <c r="N304" s="48" t="str">
        <f t="shared" si="70"/>
        <v/>
      </c>
      <c r="O304" s="48" t="str">
        <f t="shared" si="71"/>
        <v/>
      </c>
      <c r="P304" s="75" t="str">
        <f t="shared" si="72"/>
        <v/>
      </c>
      <c r="Q304" s="76">
        <f t="shared" si="73"/>
        <v>0</v>
      </c>
      <c r="R304" s="76">
        <f t="shared" si="74"/>
        <v>0</v>
      </c>
      <c r="S304" s="75">
        <f t="shared" si="78"/>
        <v>0</v>
      </c>
      <c r="T304" s="47"/>
      <c r="V304" s="57"/>
      <c r="W304" s="45"/>
      <c r="X304" s="46">
        <f t="shared" si="75"/>
        <v>0</v>
      </c>
      <c r="Y304" s="74" t="str">
        <f t="shared" si="76"/>
        <v/>
      </c>
      <c r="Z304" s="49"/>
      <c r="AA304" s="49"/>
      <c r="AB304" s="49"/>
      <c r="AC304" s="47"/>
      <c r="AD304" s="48" t="str">
        <f t="shared" si="79"/>
        <v/>
      </c>
      <c r="AE304" s="48" t="str">
        <f t="shared" si="80"/>
        <v/>
      </c>
      <c r="AF304" s="75" t="str">
        <f t="shared" si="81"/>
        <v/>
      </c>
      <c r="AG304" s="76">
        <f t="shared" si="82"/>
        <v>0</v>
      </c>
      <c r="AH304" s="76">
        <f t="shared" si="83"/>
        <v>0</v>
      </c>
      <c r="AI304" s="75">
        <f t="shared" si="84"/>
        <v>0</v>
      </c>
      <c r="AJ304" s="47"/>
      <c r="AL304" s="47"/>
      <c r="AN304" s="47"/>
      <c r="AO304" s="47" t="str">
        <f t="shared" si="77"/>
        <v/>
      </c>
    </row>
    <row r="305" spans="1:41" s="56" customFormat="1" ht="14">
      <c r="A305" s="44"/>
      <c r="B305" s="45"/>
      <c r="C305" s="46">
        <f t="shared" si="68"/>
        <v>0</v>
      </c>
      <c r="D305" s="47"/>
      <c r="E305" s="47"/>
      <c r="F305" s="47"/>
      <c r="G305" s="47"/>
      <c r="H305" s="48"/>
      <c r="I305" s="74" t="str">
        <f t="shared" si="69"/>
        <v/>
      </c>
      <c r="J305" s="49"/>
      <c r="K305" s="49"/>
      <c r="L305" s="49"/>
      <c r="M305" s="47"/>
      <c r="N305" s="48" t="str">
        <f t="shared" si="70"/>
        <v/>
      </c>
      <c r="O305" s="48" t="str">
        <f t="shared" si="71"/>
        <v/>
      </c>
      <c r="P305" s="75" t="str">
        <f t="shared" si="72"/>
        <v/>
      </c>
      <c r="Q305" s="76">
        <f t="shared" si="73"/>
        <v>0</v>
      </c>
      <c r="R305" s="76">
        <f t="shared" si="74"/>
        <v>0</v>
      </c>
      <c r="S305" s="75">
        <f t="shared" si="78"/>
        <v>0</v>
      </c>
      <c r="T305" s="47"/>
      <c r="V305" s="57"/>
      <c r="W305" s="45"/>
      <c r="X305" s="46">
        <f t="shared" si="75"/>
        <v>0</v>
      </c>
      <c r="Y305" s="74" t="str">
        <f t="shared" si="76"/>
        <v/>
      </c>
      <c r="Z305" s="49"/>
      <c r="AA305" s="49"/>
      <c r="AB305" s="49"/>
      <c r="AC305" s="47"/>
      <c r="AD305" s="48" t="str">
        <f t="shared" si="79"/>
        <v/>
      </c>
      <c r="AE305" s="48" t="str">
        <f t="shared" si="80"/>
        <v/>
      </c>
      <c r="AF305" s="75" t="str">
        <f t="shared" si="81"/>
        <v/>
      </c>
      <c r="AG305" s="76">
        <f t="shared" si="82"/>
        <v>0</v>
      </c>
      <c r="AH305" s="76">
        <f t="shared" si="83"/>
        <v>0</v>
      </c>
      <c r="AI305" s="75">
        <f t="shared" si="84"/>
        <v>0</v>
      </c>
      <c r="AJ305" s="47"/>
      <c r="AL305" s="47"/>
      <c r="AN305" s="47"/>
      <c r="AO305" s="47" t="str">
        <f t="shared" si="77"/>
        <v/>
      </c>
    </row>
    <row r="306" spans="1:41" s="56" customFormat="1" ht="14">
      <c r="A306" s="44"/>
      <c r="B306" s="45"/>
      <c r="C306" s="46">
        <f t="shared" si="68"/>
        <v>0</v>
      </c>
      <c r="D306" s="47"/>
      <c r="E306" s="47"/>
      <c r="F306" s="47"/>
      <c r="G306" s="47"/>
      <c r="H306" s="48"/>
      <c r="I306" s="74" t="str">
        <f t="shared" si="69"/>
        <v/>
      </c>
      <c r="J306" s="49"/>
      <c r="K306" s="49"/>
      <c r="L306" s="49"/>
      <c r="M306" s="47"/>
      <c r="N306" s="48" t="str">
        <f t="shared" si="70"/>
        <v/>
      </c>
      <c r="O306" s="48" t="str">
        <f t="shared" si="71"/>
        <v/>
      </c>
      <c r="P306" s="75" t="str">
        <f t="shared" si="72"/>
        <v/>
      </c>
      <c r="Q306" s="76">
        <f t="shared" si="73"/>
        <v>0</v>
      </c>
      <c r="R306" s="76">
        <f t="shared" si="74"/>
        <v>0</v>
      </c>
      <c r="S306" s="75">
        <f t="shared" si="78"/>
        <v>0</v>
      </c>
      <c r="T306" s="47"/>
      <c r="V306" s="57"/>
      <c r="W306" s="45"/>
      <c r="X306" s="46">
        <f t="shared" si="75"/>
        <v>0</v>
      </c>
      <c r="Y306" s="74" t="str">
        <f t="shared" si="76"/>
        <v/>
      </c>
      <c r="Z306" s="49"/>
      <c r="AA306" s="49"/>
      <c r="AB306" s="49"/>
      <c r="AC306" s="47"/>
      <c r="AD306" s="48" t="str">
        <f t="shared" si="79"/>
        <v/>
      </c>
      <c r="AE306" s="48" t="str">
        <f t="shared" si="80"/>
        <v/>
      </c>
      <c r="AF306" s="75" t="str">
        <f t="shared" si="81"/>
        <v/>
      </c>
      <c r="AG306" s="76">
        <f t="shared" si="82"/>
        <v>0</v>
      </c>
      <c r="AH306" s="76">
        <f t="shared" si="83"/>
        <v>0</v>
      </c>
      <c r="AI306" s="75">
        <f t="shared" si="84"/>
        <v>0</v>
      </c>
      <c r="AJ306" s="47"/>
      <c r="AL306" s="47"/>
      <c r="AN306" s="47"/>
      <c r="AO306" s="47" t="str">
        <f t="shared" si="77"/>
        <v/>
      </c>
    </row>
    <row r="307" spans="1:41" s="56" customFormat="1" ht="14">
      <c r="A307" s="44"/>
      <c r="B307" s="45"/>
      <c r="C307" s="46">
        <f t="shared" si="68"/>
        <v>0</v>
      </c>
      <c r="D307" s="47"/>
      <c r="E307" s="47"/>
      <c r="F307" s="47"/>
      <c r="G307" s="47"/>
      <c r="H307" s="48"/>
      <c r="I307" s="74" t="str">
        <f t="shared" si="69"/>
        <v/>
      </c>
      <c r="J307" s="49"/>
      <c r="K307" s="49"/>
      <c r="L307" s="49"/>
      <c r="M307" s="47"/>
      <c r="N307" s="48" t="str">
        <f t="shared" si="70"/>
        <v/>
      </c>
      <c r="O307" s="48" t="str">
        <f t="shared" si="71"/>
        <v/>
      </c>
      <c r="P307" s="75" t="str">
        <f t="shared" si="72"/>
        <v/>
      </c>
      <c r="Q307" s="76">
        <f t="shared" si="73"/>
        <v>0</v>
      </c>
      <c r="R307" s="76">
        <f t="shared" si="74"/>
        <v>0</v>
      </c>
      <c r="S307" s="75">
        <f t="shared" si="78"/>
        <v>0</v>
      </c>
      <c r="T307" s="47"/>
      <c r="V307" s="57"/>
      <c r="W307" s="45"/>
      <c r="X307" s="46">
        <f t="shared" si="75"/>
        <v>0</v>
      </c>
      <c r="Y307" s="74" t="str">
        <f t="shared" si="76"/>
        <v/>
      </c>
      <c r="Z307" s="49"/>
      <c r="AA307" s="49"/>
      <c r="AB307" s="49"/>
      <c r="AC307" s="47"/>
      <c r="AD307" s="48" t="str">
        <f t="shared" si="79"/>
        <v/>
      </c>
      <c r="AE307" s="48" t="str">
        <f t="shared" si="80"/>
        <v/>
      </c>
      <c r="AF307" s="75" t="str">
        <f t="shared" si="81"/>
        <v/>
      </c>
      <c r="AG307" s="76">
        <f t="shared" si="82"/>
        <v>0</v>
      </c>
      <c r="AH307" s="76">
        <f t="shared" si="83"/>
        <v>0</v>
      </c>
      <c r="AI307" s="75">
        <f t="shared" si="84"/>
        <v>0</v>
      </c>
      <c r="AJ307" s="47"/>
      <c r="AL307" s="47"/>
      <c r="AN307" s="47"/>
      <c r="AO307" s="47" t="str">
        <f t="shared" si="77"/>
        <v/>
      </c>
    </row>
    <row r="308" spans="1:41" s="56" customFormat="1" ht="14">
      <c r="A308" s="44"/>
      <c r="B308" s="45"/>
      <c r="C308" s="46">
        <f t="shared" si="68"/>
        <v>0</v>
      </c>
      <c r="D308" s="47"/>
      <c r="E308" s="47"/>
      <c r="F308" s="47"/>
      <c r="G308" s="47"/>
      <c r="H308" s="48"/>
      <c r="I308" s="74" t="str">
        <f t="shared" si="69"/>
        <v/>
      </c>
      <c r="J308" s="49"/>
      <c r="K308" s="49"/>
      <c r="L308" s="49"/>
      <c r="M308" s="47"/>
      <c r="N308" s="48" t="str">
        <f t="shared" si="70"/>
        <v/>
      </c>
      <c r="O308" s="48" t="str">
        <f t="shared" si="71"/>
        <v/>
      </c>
      <c r="P308" s="75" t="str">
        <f t="shared" si="72"/>
        <v/>
      </c>
      <c r="Q308" s="76">
        <f t="shared" si="73"/>
        <v>0</v>
      </c>
      <c r="R308" s="76">
        <f t="shared" si="74"/>
        <v>0</v>
      </c>
      <c r="S308" s="75">
        <f t="shared" si="78"/>
        <v>0</v>
      </c>
      <c r="T308" s="47"/>
      <c r="V308" s="57"/>
      <c r="W308" s="45"/>
      <c r="X308" s="46">
        <f t="shared" si="75"/>
        <v>0</v>
      </c>
      <c r="Y308" s="74" t="str">
        <f t="shared" si="76"/>
        <v/>
      </c>
      <c r="Z308" s="49"/>
      <c r="AA308" s="49"/>
      <c r="AB308" s="49"/>
      <c r="AC308" s="47"/>
      <c r="AD308" s="48" t="str">
        <f t="shared" si="79"/>
        <v/>
      </c>
      <c r="AE308" s="48" t="str">
        <f t="shared" si="80"/>
        <v/>
      </c>
      <c r="AF308" s="75" t="str">
        <f t="shared" si="81"/>
        <v/>
      </c>
      <c r="AG308" s="76">
        <f t="shared" si="82"/>
        <v>0</v>
      </c>
      <c r="AH308" s="76">
        <f t="shared" si="83"/>
        <v>0</v>
      </c>
      <c r="AI308" s="75">
        <f t="shared" si="84"/>
        <v>0</v>
      </c>
      <c r="AJ308" s="47"/>
      <c r="AL308" s="47"/>
      <c r="AN308" s="47"/>
      <c r="AO308" s="47" t="str">
        <f t="shared" si="77"/>
        <v/>
      </c>
    </row>
    <row r="309" spans="1:41" s="56" customFormat="1" ht="14">
      <c r="A309" s="44"/>
      <c r="B309" s="45"/>
      <c r="C309" s="46">
        <f t="shared" si="68"/>
        <v>0</v>
      </c>
      <c r="D309" s="47"/>
      <c r="E309" s="47"/>
      <c r="F309" s="47"/>
      <c r="G309" s="47"/>
      <c r="H309" s="48"/>
      <c r="I309" s="74" t="str">
        <f t="shared" si="69"/>
        <v/>
      </c>
      <c r="J309" s="49"/>
      <c r="K309" s="49"/>
      <c r="L309" s="49"/>
      <c r="M309" s="47"/>
      <c r="N309" s="48" t="str">
        <f t="shared" si="70"/>
        <v/>
      </c>
      <c r="O309" s="48" t="str">
        <f t="shared" si="71"/>
        <v/>
      </c>
      <c r="P309" s="75" t="str">
        <f t="shared" si="72"/>
        <v/>
      </c>
      <c r="Q309" s="76">
        <f t="shared" si="73"/>
        <v>0</v>
      </c>
      <c r="R309" s="76">
        <f t="shared" si="74"/>
        <v>0</v>
      </c>
      <c r="S309" s="75">
        <f t="shared" si="78"/>
        <v>0</v>
      </c>
      <c r="T309" s="47"/>
      <c r="V309" s="57"/>
      <c r="W309" s="45"/>
      <c r="X309" s="46">
        <f t="shared" si="75"/>
        <v>0</v>
      </c>
      <c r="Y309" s="74" t="str">
        <f t="shared" si="76"/>
        <v/>
      </c>
      <c r="Z309" s="49"/>
      <c r="AA309" s="49"/>
      <c r="AB309" s="49"/>
      <c r="AC309" s="47"/>
      <c r="AD309" s="48" t="str">
        <f t="shared" si="79"/>
        <v/>
      </c>
      <c r="AE309" s="48" t="str">
        <f t="shared" si="80"/>
        <v/>
      </c>
      <c r="AF309" s="75" t="str">
        <f t="shared" si="81"/>
        <v/>
      </c>
      <c r="AG309" s="76">
        <f t="shared" si="82"/>
        <v>0</v>
      </c>
      <c r="AH309" s="76">
        <f t="shared" si="83"/>
        <v>0</v>
      </c>
      <c r="AI309" s="75">
        <f t="shared" si="84"/>
        <v>0</v>
      </c>
      <c r="AJ309" s="47"/>
      <c r="AL309" s="47"/>
      <c r="AN309" s="47"/>
      <c r="AO309" s="47" t="str">
        <f t="shared" si="77"/>
        <v/>
      </c>
    </row>
    <row r="310" spans="1:41" s="56" customFormat="1" ht="14">
      <c r="A310" s="44"/>
      <c r="B310" s="45"/>
      <c r="C310" s="46">
        <f t="shared" si="68"/>
        <v>0</v>
      </c>
      <c r="D310" s="47"/>
      <c r="E310" s="47"/>
      <c r="F310" s="47"/>
      <c r="G310" s="47"/>
      <c r="H310" s="48"/>
      <c r="I310" s="74" t="str">
        <f t="shared" si="69"/>
        <v/>
      </c>
      <c r="J310" s="49"/>
      <c r="K310" s="49"/>
      <c r="L310" s="49"/>
      <c r="M310" s="47"/>
      <c r="N310" s="48" t="str">
        <f t="shared" si="70"/>
        <v/>
      </c>
      <c r="O310" s="48" t="str">
        <f t="shared" si="71"/>
        <v/>
      </c>
      <c r="P310" s="75" t="str">
        <f t="shared" si="72"/>
        <v/>
      </c>
      <c r="Q310" s="76">
        <f t="shared" si="73"/>
        <v>0</v>
      </c>
      <c r="R310" s="76">
        <f t="shared" si="74"/>
        <v>0</v>
      </c>
      <c r="S310" s="75">
        <f t="shared" si="78"/>
        <v>0</v>
      </c>
      <c r="T310" s="47"/>
      <c r="V310" s="57"/>
      <c r="W310" s="45"/>
      <c r="X310" s="46">
        <f t="shared" si="75"/>
        <v>0</v>
      </c>
      <c r="Y310" s="74" t="str">
        <f t="shared" si="76"/>
        <v/>
      </c>
      <c r="Z310" s="49"/>
      <c r="AA310" s="49"/>
      <c r="AB310" s="49"/>
      <c r="AC310" s="47"/>
      <c r="AD310" s="48" t="str">
        <f t="shared" si="79"/>
        <v/>
      </c>
      <c r="AE310" s="48" t="str">
        <f t="shared" si="80"/>
        <v/>
      </c>
      <c r="AF310" s="75" t="str">
        <f t="shared" si="81"/>
        <v/>
      </c>
      <c r="AG310" s="76">
        <f t="shared" si="82"/>
        <v>0</v>
      </c>
      <c r="AH310" s="76">
        <f t="shared" si="83"/>
        <v>0</v>
      </c>
      <c r="AI310" s="75">
        <f t="shared" si="84"/>
        <v>0</v>
      </c>
      <c r="AJ310" s="47"/>
      <c r="AL310" s="47"/>
      <c r="AN310" s="47"/>
      <c r="AO310" s="47" t="str">
        <f t="shared" si="77"/>
        <v/>
      </c>
    </row>
    <row r="311" spans="1:41" s="56" customFormat="1" ht="14">
      <c r="A311" s="44"/>
      <c r="B311" s="45"/>
      <c r="C311" s="46">
        <f t="shared" si="68"/>
        <v>0</v>
      </c>
      <c r="D311" s="47"/>
      <c r="E311" s="47"/>
      <c r="F311" s="47"/>
      <c r="G311" s="47"/>
      <c r="H311" s="48"/>
      <c r="I311" s="74" t="str">
        <f t="shared" si="69"/>
        <v/>
      </c>
      <c r="J311" s="49"/>
      <c r="K311" s="49"/>
      <c r="L311" s="49"/>
      <c r="M311" s="47"/>
      <c r="N311" s="48" t="str">
        <f t="shared" si="70"/>
        <v/>
      </c>
      <c r="O311" s="48" t="str">
        <f t="shared" si="71"/>
        <v/>
      </c>
      <c r="P311" s="75" t="str">
        <f t="shared" si="72"/>
        <v/>
      </c>
      <c r="Q311" s="76">
        <f t="shared" si="73"/>
        <v>0</v>
      </c>
      <c r="R311" s="76">
        <f t="shared" si="74"/>
        <v>0</v>
      </c>
      <c r="S311" s="75">
        <f t="shared" si="78"/>
        <v>0</v>
      </c>
      <c r="T311" s="47"/>
      <c r="V311" s="57"/>
      <c r="W311" s="45"/>
      <c r="X311" s="46">
        <f t="shared" si="75"/>
        <v>0</v>
      </c>
      <c r="Y311" s="74" t="str">
        <f t="shared" si="76"/>
        <v/>
      </c>
      <c r="Z311" s="49"/>
      <c r="AA311" s="49"/>
      <c r="AB311" s="49"/>
      <c r="AC311" s="47"/>
      <c r="AD311" s="48" t="str">
        <f t="shared" si="79"/>
        <v/>
      </c>
      <c r="AE311" s="48" t="str">
        <f t="shared" si="80"/>
        <v/>
      </c>
      <c r="AF311" s="75" t="str">
        <f t="shared" si="81"/>
        <v/>
      </c>
      <c r="AG311" s="76">
        <f t="shared" si="82"/>
        <v>0</v>
      </c>
      <c r="AH311" s="76">
        <f t="shared" si="83"/>
        <v>0</v>
      </c>
      <c r="AI311" s="75">
        <f t="shared" si="84"/>
        <v>0</v>
      </c>
      <c r="AJ311" s="47"/>
      <c r="AL311" s="47"/>
      <c r="AN311" s="47"/>
      <c r="AO311" s="47" t="str">
        <f t="shared" si="77"/>
        <v/>
      </c>
    </row>
    <row r="312" spans="1:41" s="56" customFormat="1" ht="14">
      <c r="A312" s="44"/>
      <c r="B312" s="45"/>
      <c r="C312" s="46">
        <f t="shared" si="68"/>
        <v>0</v>
      </c>
      <c r="D312" s="47"/>
      <c r="E312" s="47"/>
      <c r="F312" s="47"/>
      <c r="G312" s="47"/>
      <c r="H312" s="48"/>
      <c r="I312" s="74" t="str">
        <f t="shared" si="69"/>
        <v/>
      </c>
      <c r="J312" s="49"/>
      <c r="K312" s="49"/>
      <c r="L312" s="49"/>
      <c r="M312" s="47"/>
      <c r="N312" s="48" t="str">
        <f t="shared" si="70"/>
        <v/>
      </c>
      <c r="O312" s="48" t="str">
        <f t="shared" si="71"/>
        <v/>
      </c>
      <c r="P312" s="75" t="str">
        <f t="shared" si="72"/>
        <v/>
      </c>
      <c r="Q312" s="76">
        <f t="shared" si="73"/>
        <v>0</v>
      </c>
      <c r="R312" s="76">
        <f t="shared" si="74"/>
        <v>0</v>
      </c>
      <c r="S312" s="75">
        <f t="shared" si="78"/>
        <v>0</v>
      </c>
      <c r="T312" s="47"/>
      <c r="V312" s="57"/>
      <c r="W312" s="45"/>
      <c r="X312" s="46">
        <f t="shared" si="75"/>
        <v>0</v>
      </c>
      <c r="Y312" s="74" t="str">
        <f t="shared" si="76"/>
        <v/>
      </c>
      <c r="Z312" s="49"/>
      <c r="AA312" s="49"/>
      <c r="AB312" s="49"/>
      <c r="AC312" s="47"/>
      <c r="AD312" s="48" t="str">
        <f t="shared" si="79"/>
        <v/>
      </c>
      <c r="AE312" s="48" t="str">
        <f t="shared" si="80"/>
        <v/>
      </c>
      <c r="AF312" s="75" t="str">
        <f t="shared" si="81"/>
        <v/>
      </c>
      <c r="AG312" s="76">
        <f t="shared" si="82"/>
        <v>0</v>
      </c>
      <c r="AH312" s="76">
        <f t="shared" si="83"/>
        <v>0</v>
      </c>
      <c r="AI312" s="75">
        <f t="shared" si="84"/>
        <v>0</v>
      </c>
      <c r="AJ312" s="47"/>
      <c r="AL312" s="47"/>
      <c r="AN312" s="47"/>
      <c r="AO312" s="47" t="str">
        <f t="shared" si="77"/>
        <v/>
      </c>
    </row>
    <row r="313" spans="1:41" s="56" customFormat="1" ht="14">
      <c r="A313" s="44"/>
      <c r="B313" s="45"/>
      <c r="C313" s="46">
        <f t="shared" si="68"/>
        <v>0</v>
      </c>
      <c r="D313" s="47"/>
      <c r="E313" s="47"/>
      <c r="F313" s="47"/>
      <c r="G313" s="47"/>
      <c r="H313" s="48"/>
      <c r="I313" s="74" t="str">
        <f t="shared" si="69"/>
        <v/>
      </c>
      <c r="J313" s="49"/>
      <c r="K313" s="49"/>
      <c r="L313" s="49"/>
      <c r="M313" s="47"/>
      <c r="N313" s="48" t="str">
        <f t="shared" si="70"/>
        <v/>
      </c>
      <c r="O313" s="48" t="str">
        <f t="shared" si="71"/>
        <v/>
      </c>
      <c r="P313" s="75" t="str">
        <f t="shared" si="72"/>
        <v/>
      </c>
      <c r="Q313" s="76">
        <f t="shared" si="73"/>
        <v>0</v>
      </c>
      <c r="R313" s="76">
        <f t="shared" si="74"/>
        <v>0</v>
      </c>
      <c r="S313" s="75">
        <f t="shared" si="78"/>
        <v>0</v>
      </c>
      <c r="T313" s="47"/>
      <c r="V313" s="57"/>
      <c r="W313" s="45"/>
      <c r="X313" s="46">
        <f t="shared" si="75"/>
        <v>0</v>
      </c>
      <c r="Y313" s="74" t="str">
        <f t="shared" si="76"/>
        <v/>
      </c>
      <c r="Z313" s="49"/>
      <c r="AA313" s="49"/>
      <c r="AB313" s="49"/>
      <c r="AC313" s="47"/>
      <c r="AD313" s="48" t="str">
        <f t="shared" si="79"/>
        <v/>
      </c>
      <c r="AE313" s="48" t="str">
        <f t="shared" si="80"/>
        <v/>
      </c>
      <c r="AF313" s="75" t="str">
        <f t="shared" si="81"/>
        <v/>
      </c>
      <c r="AG313" s="76">
        <f t="shared" si="82"/>
        <v>0</v>
      </c>
      <c r="AH313" s="76">
        <f t="shared" si="83"/>
        <v>0</v>
      </c>
      <c r="AI313" s="75">
        <f t="shared" si="84"/>
        <v>0</v>
      </c>
      <c r="AJ313" s="47"/>
      <c r="AL313" s="47"/>
      <c r="AN313" s="47"/>
      <c r="AO313" s="47" t="str">
        <f t="shared" si="77"/>
        <v/>
      </c>
    </row>
    <row r="314" spans="1:41" s="56" customFormat="1" ht="14">
      <c r="A314" s="44"/>
      <c r="B314" s="45"/>
      <c r="C314" s="46">
        <f t="shared" si="68"/>
        <v>0</v>
      </c>
      <c r="D314" s="47"/>
      <c r="E314" s="47"/>
      <c r="F314" s="47"/>
      <c r="G314" s="47"/>
      <c r="H314" s="48"/>
      <c r="I314" s="74" t="str">
        <f t="shared" si="69"/>
        <v/>
      </c>
      <c r="J314" s="49"/>
      <c r="K314" s="49"/>
      <c r="L314" s="49"/>
      <c r="M314" s="47"/>
      <c r="N314" s="48" t="str">
        <f t="shared" si="70"/>
        <v/>
      </c>
      <c r="O314" s="48" t="str">
        <f t="shared" si="71"/>
        <v/>
      </c>
      <c r="P314" s="75" t="str">
        <f t="shared" si="72"/>
        <v/>
      </c>
      <c r="Q314" s="76">
        <f t="shared" si="73"/>
        <v>0</v>
      </c>
      <c r="R314" s="76">
        <f t="shared" si="74"/>
        <v>0</v>
      </c>
      <c r="S314" s="75">
        <f t="shared" si="78"/>
        <v>0</v>
      </c>
      <c r="T314" s="47"/>
      <c r="V314" s="57"/>
      <c r="W314" s="45"/>
      <c r="X314" s="46">
        <f t="shared" si="75"/>
        <v>0</v>
      </c>
      <c r="Y314" s="74" t="str">
        <f t="shared" si="76"/>
        <v/>
      </c>
      <c r="Z314" s="49"/>
      <c r="AA314" s="49"/>
      <c r="AB314" s="49"/>
      <c r="AC314" s="47"/>
      <c r="AD314" s="48" t="str">
        <f t="shared" si="79"/>
        <v/>
      </c>
      <c r="AE314" s="48" t="str">
        <f t="shared" si="80"/>
        <v/>
      </c>
      <c r="AF314" s="75" t="str">
        <f t="shared" si="81"/>
        <v/>
      </c>
      <c r="AG314" s="76">
        <f t="shared" si="82"/>
        <v>0</v>
      </c>
      <c r="AH314" s="76">
        <f t="shared" si="83"/>
        <v>0</v>
      </c>
      <c r="AI314" s="75">
        <f t="shared" si="84"/>
        <v>0</v>
      </c>
      <c r="AJ314" s="47"/>
      <c r="AL314" s="47"/>
      <c r="AN314" s="47"/>
      <c r="AO314" s="47" t="str">
        <f t="shared" si="77"/>
        <v/>
      </c>
    </row>
    <row r="315" spans="1:41" s="56" customFormat="1" ht="14">
      <c r="A315" s="44"/>
      <c r="B315" s="45"/>
      <c r="C315" s="46">
        <f t="shared" si="68"/>
        <v>0</v>
      </c>
      <c r="D315" s="47"/>
      <c r="E315" s="47"/>
      <c r="F315" s="47"/>
      <c r="G315" s="47"/>
      <c r="H315" s="48"/>
      <c r="I315" s="74" t="str">
        <f t="shared" si="69"/>
        <v/>
      </c>
      <c r="J315" s="49"/>
      <c r="K315" s="49"/>
      <c r="L315" s="49"/>
      <c r="M315" s="47"/>
      <c r="N315" s="48" t="str">
        <f t="shared" si="70"/>
        <v/>
      </c>
      <c r="O315" s="48" t="str">
        <f t="shared" si="71"/>
        <v/>
      </c>
      <c r="P315" s="75" t="str">
        <f t="shared" si="72"/>
        <v/>
      </c>
      <c r="Q315" s="76">
        <f t="shared" si="73"/>
        <v>0</v>
      </c>
      <c r="R315" s="76">
        <f t="shared" si="74"/>
        <v>0</v>
      </c>
      <c r="S315" s="75">
        <f t="shared" si="78"/>
        <v>0</v>
      </c>
      <c r="T315" s="47"/>
      <c r="V315" s="57"/>
      <c r="W315" s="45"/>
      <c r="X315" s="46">
        <f t="shared" si="75"/>
        <v>0</v>
      </c>
      <c r="Y315" s="74" t="str">
        <f t="shared" si="76"/>
        <v/>
      </c>
      <c r="Z315" s="49"/>
      <c r="AA315" s="49"/>
      <c r="AB315" s="49"/>
      <c r="AC315" s="47"/>
      <c r="AD315" s="48" t="str">
        <f t="shared" si="79"/>
        <v/>
      </c>
      <c r="AE315" s="48" t="str">
        <f t="shared" si="80"/>
        <v/>
      </c>
      <c r="AF315" s="75" t="str">
        <f t="shared" si="81"/>
        <v/>
      </c>
      <c r="AG315" s="76">
        <f t="shared" si="82"/>
        <v>0</v>
      </c>
      <c r="AH315" s="76">
        <f t="shared" si="83"/>
        <v>0</v>
      </c>
      <c r="AI315" s="75">
        <f t="shared" si="84"/>
        <v>0</v>
      </c>
      <c r="AJ315" s="47"/>
      <c r="AL315" s="47"/>
      <c r="AN315" s="47"/>
      <c r="AO315" s="47" t="str">
        <f t="shared" si="77"/>
        <v/>
      </c>
    </row>
    <row r="316" spans="1:41" s="56" customFormat="1" ht="14">
      <c r="A316" s="44"/>
      <c r="B316" s="45"/>
      <c r="C316" s="46">
        <f t="shared" si="68"/>
        <v>0</v>
      </c>
      <c r="D316" s="47"/>
      <c r="E316" s="47"/>
      <c r="F316" s="47"/>
      <c r="G316" s="47"/>
      <c r="H316" s="48"/>
      <c r="I316" s="74" t="str">
        <f t="shared" si="69"/>
        <v/>
      </c>
      <c r="J316" s="49"/>
      <c r="K316" s="49"/>
      <c r="L316" s="49"/>
      <c r="M316" s="47"/>
      <c r="N316" s="48" t="str">
        <f t="shared" si="70"/>
        <v/>
      </c>
      <c r="O316" s="48" t="str">
        <f t="shared" si="71"/>
        <v/>
      </c>
      <c r="P316" s="75" t="str">
        <f t="shared" si="72"/>
        <v/>
      </c>
      <c r="Q316" s="76">
        <f t="shared" si="73"/>
        <v>0</v>
      </c>
      <c r="R316" s="76">
        <f t="shared" si="74"/>
        <v>0</v>
      </c>
      <c r="S316" s="75">
        <f t="shared" si="78"/>
        <v>0</v>
      </c>
      <c r="T316" s="47"/>
      <c r="V316" s="57"/>
      <c r="W316" s="45"/>
      <c r="X316" s="46">
        <f t="shared" si="75"/>
        <v>0</v>
      </c>
      <c r="Y316" s="74" t="str">
        <f t="shared" si="76"/>
        <v/>
      </c>
      <c r="Z316" s="49"/>
      <c r="AA316" s="49"/>
      <c r="AB316" s="49"/>
      <c r="AC316" s="47"/>
      <c r="AD316" s="48" t="str">
        <f t="shared" si="79"/>
        <v/>
      </c>
      <c r="AE316" s="48" t="str">
        <f t="shared" si="80"/>
        <v/>
      </c>
      <c r="AF316" s="75" t="str">
        <f t="shared" si="81"/>
        <v/>
      </c>
      <c r="AG316" s="76">
        <f t="shared" si="82"/>
        <v>0</v>
      </c>
      <c r="AH316" s="76">
        <f t="shared" si="83"/>
        <v>0</v>
      </c>
      <c r="AI316" s="75">
        <f t="shared" si="84"/>
        <v>0</v>
      </c>
      <c r="AJ316" s="47"/>
      <c r="AL316" s="47"/>
      <c r="AN316" s="47"/>
      <c r="AO316" s="47" t="str">
        <f t="shared" si="77"/>
        <v/>
      </c>
    </row>
    <row r="317" spans="1:41" s="56" customFormat="1" ht="14">
      <c r="A317" s="44"/>
      <c r="B317" s="45"/>
      <c r="C317" s="46">
        <f t="shared" si="68"/>
        <v>0</v>
      </c>
      <c r="D317" s="47"/>
      <c r="E317" s="47"/>
      <c r="F317" s="47"/>
      <c r="G317" s="47"/>
      <c r="H317" s="48"/>
      <c r="I317" s="74" t="str">
        <f t="shared" si="69"/>
        <v/>
      </c>
      <c r="J317" s="49"/>
      <c r="K317" s="49"/>
      <c r="L317" s="49"/>
      <c r="M317" s="47"/>
      <c r="N317" s="48" t="str">
        <f t="shared" si="70"/>
        <v/>
      </c>
      <c r="O317" s="48" t="str">
        <f t="shared" si="71"/>
        <v/>
      </c>
      <c r="P317" s="75" t="str">
        <f t="shared" si="72"/>
        <v/>
      </c>
      <c r="Q317" s="76">
        <f t="shared" si="73"/>
        <v>0</v>
      </c>
      <c r="R317" s="76">
        <f t="shared" si="74"/>
        <v>0</v>
      </c>
      <c r="S317" s="75">
        <f t="shared" si="78"/>
        <v>0</v>
      </c>
      <c r="T317" s="47"/>
      <c r="V317" s="57"/>
      <c r="W317" s="45"/>
      <c r="X317" s="46">
        <f t="shared" si="75"/>
        <v>0</v>
      </c>
      <c r="Y317" s="74" t="str">
        <f t="shared" si="76"/>
        <v/>
      </c>
      <c r="Z317" s="49"/>
      <c r="AA317" s="49"/>
      <c r="AB317" s="49"/>
      <c r="AC317" s="47"/>
      <c r="AD317" s="48" t="str">
        <f t="shared" si="79"/>
        <v/>
      </c>
      <c r="AE317" s="48" t="str">
        <f t="shared" si="80"/>
        <v/>
      </c>
      <c r="AF317" s="75" t="str">
        <f t="shared" si="81"/>
        <v/>
      </c>
      <c r="AG317" s="76">
        <f t="shared" si="82"/>
        <v>0</v>
      </c>
      <c r="AH317" s="76">
        <f t="shared" si="83"/>
        <v>0</v>
      </c>
      <c r="AI317" s="75">
        <f t="shared" si="84"/>
        <v>0</v>
      </c>
      <c r="AJ317" s="47"/>
      <c r="AL317" s="47"/>
      <c r="AN317" s="47"/>
      <c r="AO317" s="47" t="str">
        <f t="shared" si="77"/>
        <v/>
      </c>
    </row>
    <row r="318" spans="1:41" s="56" customFormat="1" ht="14">
      <c r="A318" s="44"/>
      <c r="B318" s="45"/>
      <c r="C318" s="46">
        <f t="shared" si="68"/>
        <v>0</v>
      </c>
      <c r="D318" s="47"/>
      <c r="E318" s="47"/>
      <c r="F318" s="47"/>
      <c r="G318" s="47"/>
      <c r="H318" s="48"/>
      <c r="I318" s="74" t="str">
        <f t="shared" si="69"/>
        <v/>
      </c>
      <c r="J318" s="49"/>
      <c r="K318" s="49"/>
      <c r="L318" s="49"/>
      <c r="M318" s="47"/>
      <c r="N318" s="48" t="str">
        <f t="shared" si="70"/>
        <v/>
      </c>
      <c r="O318" s="48" t="str">
        <f t="shared" si="71"/>
        <v/>
      </c>
      <c r="P318" s="75" t="str">
        <f t="shared" si="72"/>
        <v/>
      </c>
      <c r="Q318" s="76">
        <f t="shared" si="73"/>
        <v>0</v>
      </c>
      <c r="R318" s="76">
        <f t="shared" si="74"/>
        <v>0</v>
      </c>
      <c r="S318" s="75">
        <f t="shared" si="78"/>
        <v>0</v>
      </c>
      <c r="T318" s="47"/>
      <c r="V318" s="57"/>
      <c r="W318" s="45"/>
      <c r="X318" s="46">
        <f t="shared" si="75"/>
        <v>0</v>
      </c>
      <c r="Y318" s="74" t="str">
        <f t="shared" si="76"/>
        <v/>
      </c>
      <c r="Z318" s="49"/>
      <c r="AA318" s="49"/>
      <c r="AB318" s="49"/>
      <c r="AC318" s="47"/>
      <c r="AD318" s="48" t="str">
        <f t="shared" si="79"/>
        <v/>
      </c>
      <c r="AE318" s="48" t="str">
        <f t="shared" si="80"/>
        <v/>
      </c>
      <c r="AF318" s="75" t="str">
        <f t="shared" si="81"/>
        <v/>
      </c>
      <c r="AG318" s="76">
        <f t="shared" si="82"/>
        <v>0</v>
      </c>
      <c r="AH318" s="76">
        <f t="shared" si="83"/>
        <v>0</v>
      </c>
      <c r="AI318" s="75">
        <f t="shared" si="84"/>
        <v>0</v>
      </c>
      <c r="AJ318" s="47"/>
      <c r="AL318" s="47"/>
      <c r="AN318" s="47"/>
      <c r="AO318" s="47" t="str">
        <f t="shared" si="77"/>
        <v/>
      </c>
    </row>
    <row r="319" spans="1:41" s="56" customFormat="1" ht="14">
      <c r="A319" s="44"/>
      <c r="B319" s="45"/>
      <c r="C319" s="46">
        <f t="shared" si="68"/>
        <v>0</v>
      </c>
      <c r="D319" s="47"/>
      <c r="E319" s="47"/>
      <c r="F319" s="47"/>
      <c r="G319" s="47"/>
      <c r="H319" s="48"/>
      <c r="I319" s="74" t="str">
        <f t="shared" si="69"/>
        <v/>
      </c>
      <c r="J319" s="49"/>
      <c r="K319" s="49"/>
      <c r="L319" s="49"/>
      <c r="M319" s="47"/>
      <c r="N319" s="48" t="str">
        <f t="shared" si="70"/>
        <v/>
      </c>
      <c r="O319" s="48" t="str">
        <f t="shared" si="71"/>
        <v/>
      </c>
      <c r="P319" s="75" t="str">
        <f t="shared" si="72"/>
        <v/>
      </c>
      <c r="Q319" s="76">
        <f t="shared" si="73"/>
        <v>0</v>
      </c>
      <c r="R319" s="76">
        <f t="shared" si="74"/>
        <v>0</v>
      </c>
      <c r="S319" s="75">
        <f t="shared" si="78"/>
        <v>0</v>
      </c>
      <c r="T319" s="47"/>
      <c r="V319" s="57"/>
      <c r="W319" s="45"/>
      <c r="X319" s="46">
        <f t="shared" si="75"/>
        <v>0</v>
      </c>
      <c r="Y319" s="74" t="str">
        <f t="shared" si="76"/>
        <v/>
      </c>
      <c r="Z319" s="49"/>
      <c r="AA319" s="49"/>
      <c r="AB319" s="49"/>
      <c r="AC319" s="47"/>
      <c r="AD319" s="48" t="str">
        <f t="shared" si="79"/>
        <v/>
      </c>
      <c r="AE319" s="48" t="str">
        <f t="shared" si="80"/>
        <v/>
      </c>
      <c r="AF319" s="75" t="str">
        <f t="shared" si="81"/>
        <v/>
      </c>
      <c r="AG319" s="76">
        <f t="shared" si="82"/>
        <v>0</v>
      </c>
      <c r="AH319" s="76">
        <f t="shared" si="83"/>
        <v>0</v>
      </c>
      <c r="AI319" s="75">
        <f t="shared" si="84"/>
        <v>0</v>
      </c>
      <c r="AJ319" s="47"/>
      <c r="AL319" s="47"/>
      <c r="AN319" s="47"/>
      <c r="AO319" s="47" t="str">
        <f t="shared" si="77"/>
        <v/>
      </c>
    </row>
    <row r="320" spans="1:41" s="56" customFormat="1" ht="14">
      <c r="A320" s="44"/>
      <c r="B320" s="45"/>
      <c r="C320" s="46">
        <f t="shared" si="68"/>
        <v>0</v>
      </c>
      <c r="D320" s="47"/>
      <c r="E320" s="47"/>
      <c r="F320" s="47"/>
      <c r="G320" s="47"/>
      <c r="H320" s="48"/>
      <c r="I320" s="74" t="str">
        <f t="shared" si="69"/>
        <v/>
      </c>
      <c r="J320" s="49"/>
      <c r="K320" s="49"/>
      <c r="L320" s="49"/>
      <c r="M320" s="47"/>
      <c r="N320" s="48" t="str">
        <f t="shared" si="70"/>
        <v/>
      </c>
      <c r="O320" s="48" t="str">
        <f t="shared" si="71"/>
        <v/>
      </c>
      <c r="P320" s="75" t="str">
        <f t="shared" si="72"/>
        <v/>
      </c>
      <c r="Q320" s="76">
        <f t="shared" si="73"/>
        <v>0</v>
      </c>
      <c r="R320" s="76">
        <f t="shared" si="74"/>
        <v>0</v>
      </c>
      <c r="S320" s="75">
        <f t="shared" si="78"/>
        <v>0</v>
      </c>
      <c r="T320" s="47"/>
      <c r="V320" s="57"/>
      <c r="W320" s="45"/>
      <c r="X320" s="46">
        <f t="shared" si="75"/>
        <v>0</v>
      </c>
      <c r="Y320" s="74" t="str">
        <f t="shared" si="76"/>
        <v/>
      </c>
      <c r="Z320" s="49"/>
      <c r="AA320" s="49"/>
      <c r="AB320" s="49"/>
      <c r="AC320" s="47"/>
      <c r="AD320" s="48" t="str">
        <f t="shared" si="79"/>
        <v/>
      </c>
      <c r="AE320" s="48" t="str">
        <f t="shared" si="80"/>
        <v/>
      </c>
      <c r="AF320" s="75" t="str">
        <f t="shared" si="81"/>
        <v/>
      </c>
      <c r="AG320" s="76">
        <f t="shared" si="82"/>
        <v>0</v>
      </c>
      <c r="AH320" s="76">
        <f t="shared" si="83"/>
        <v>0</v>
      </c>
      <c r="AI320" s="75">
        <f t="shared" si="84"/>
        <v>0</v>
      </c>
      <c r="AJ320" s="47"/>
      <c r="AL320" s="47"/>
      <c r="AN320" s="47"/>
      <c r="AO320" s="47" t="str">
        <f t="shared" si="77"/>
        <v/>
      </c>
    </row>
    <row r="321" spans="1:41" s="56" customFormat="1" ht="14">
      <c r="A321" s="44"/>
      <c r="B321" s="45"/>
      <c r="C321" s="46">
        <f t="shared" si="68"/>
        <v>0</v>
      </c>
      <c r="D321" s="47"/>
      <c r="E321" s="47"/>
      <c r="F321" s="47"/>
      <c r="G321" s="47"/>
      <c r="H321" s="48"/>
      <c r="I321" s="74" t="str">
        <f t="shared" si="69"/>
        <v/>
      </c>
      <c r="J321" s="49"/>
      <c r="K321" s="49"/>
      <c r="L321" s="49"/>
      <c r="M321" s="47"/>
      <c r="N321" s="48" t="str">
        <f t="shared" si="70"/>
        <v/>
      </c>
      <c r="O321" s="48" t="str">
        <f t="shared" si="71"/>
        <v/>
      </c>
      <c r="P321" s="75" t="str">
        <f t="shared" si="72"/>
        <v/>
      </c>
      <c r="Q321" s="76">
        <f t="shared" si="73"/>
        <v>0</v>
      </c>
      <c r="R321" s="76">
        <f t="shared" si="74"/>
        <v>0</v>
      </c>
      <c r="S321" s="75">
        <f t="shared" si="78"/>
        <v>0</v>
      </c>
      <c r="T321" s="47"/>
      <c r="V321" s="57"/>
      <c r="W321" s="45"/>
      <c r="X321" s="46">
        <f t="shared" si="75"/>
        <v>0</v>
      </c>
      <c r="Y321" s="74" t="str">
        <f t="shared" si="76"/>
        <v/>
      </c>
      <c r="Z321" s="49"/>
      <c r="AA321" s="49"/>
      <c r="AB321" s="49"/>
      <c r="AC321" s="47"/>
      <c r="AD321" s="48" t="str">
        <f t="shared" si="79"/>
        <v/>
      </c>
      <c r="AE321" s="48" t="str">
        <f t="shared" si="80"/>
        <v/>
      </c>
      <c r="AF321" s="75" t="str">
        <f t="shared" si="81"/>
        <v/>
      </c>
      <c r="AG321" s="76">
        <f t="shared" si="82"/>
        <v>0</v>
      </c>
      <c r="AH321" s="76">
        <f t="shared" si="83"/>
        <v>0</v>
      </c>
      <c r="AI321" s="75">
        <f t="shared" si="84"/>
        <v>0</v>
      </c>
      <c r="AJ321" s="47"/>
      <c r="AL321" s="47"/>
      <c r="AN321" s="47"/>
      <c r="AO321" s="47" t="str">
        <f t="shared" si="77"/>
        <v/>
      </c>
    </row>
    <row r="322" spans="1:41" s="56" customFormat="1" ht="14">
      <c r="A322" s="44"/>
      <c r="B322" s="45"/>
      <c r="C322" s="46">
        <f t="shared" si="68"/>
        <v>0</v>
      </c>
      <c r="D322" s="47"/>
      <c r="E322" s="47"/>
      <c r="F322" s="47"/>
      <c r="G322" s="47"/>
      <c r="H322" s="48"/>
      <c r="I322" s="74" t="str">
        <f t="shared" si="69"/>
        <v/>
      </c>
      <c r="J322" s="49"/>
      <c r="K322" s="49"/>
      <c r="L322" s="49"/>
      <c r="M322" s="47"/>
      <c r="N322" s="48" t="str">
        <f t="shared" si="70"/>
        <v/>
      </c>
      <c r="O322" s="48" t="str">
        <f t="shared" si="71"/>
        <v/>
      </c>
      <c r="P322" s="75" t="str">
        <f t="shared" si="72"/>
        <v/>
      </c>
      <c r="Q322" s="76">
        <f t="shared" si="73"/>
        <v>0</v>
      </c>
      <c r="R322" s="76">
        <f t="shared" si="74"/>
        <v>0</v>
      </c>
      <c r="S322" s="75">
        <f t="shared" si="78"/>
        <v>0</v>
      </c>
      <c r="T322" s="47"/>
      <c r="V322" s="57"/>
      <c r="W322" s="45"/>
      <c r="X322" s="46">
        <f t="shared" si="75"/>
        <v>0</v>
      </c>
      <c r="Y322" s="74" t="str">
        <f t="shared" si="76"/>
        <v/>
      </c>
      <c r="Z322" s="49"/>
      <c r="AA322" s="49"/>
      <c r="AB322" s="49"/>
      <c r="AC322" s="47"/>
      <c r="AD322" s="48" t="str">
        <f t="shared" si="79"/>
        <v/>
      </c>
      <c r="AE322" s="48" t="str">
        <f t="shared" si="80"/>
        <v/>
      </c>
      <c r="AF322" s="75" t="str">
        <f t="shared" si="81"/>
        <v/>
      </c>
      <c r="AG322" s="76">
        <f t="shared" si="82"/>
        <v>0</v>
      </c>
      <c r="AH322" s="76">
        <f t="shared" si="83"/>
        <v>0</v>
      </c>
      <c r="AI322" s="75">
        <f t="shared" si="84"/>
        <v>0</v>
      </c>
      <c r="AJ322" s="47"/>
      <c r="AL322" s="47"/>
      <c r="AN322" s="47"/>
      <c r="AO322" s="47" t="str">
        <f t="shared" si="77"/>
        <v/>
      </c>
    </row>
    <row r="323" spans="1:41" s="56" customFormat="1" ht="14">
      <c r="A323" s="44"/>
      <c r="B323" s="45"/>
      <c r="C323" s="46">
        <f t="shared" si="68"/>
        <v>0</v>
      </c>
      <c r="D323" s="47"/>
      <c r="E323" s="47"/>
      <c r="F323" s="47"/>
      <c r="G323" s="47"/>
      <c r="H323" s="48"/>
      <c r="I323" s="74" t="str">
        <f t="shared" si="69"/>
        <v/>
      </c>
      <c r="J323" s="49"/>
      <c r="K323" s="49"/>
      <c r="L323" s="49"/>
      <c r="M323" s="47"/>
      <c r="N323" s="48" t="str">
        <f t="shared" si="70"/>
        <v/>
      </c>
      <c r="O323" s="48" t="str">
        <f t="shared" si="71"/>
        <v/>
      </c>
      <c r="P323" s="75" t="str">
        <f t="shared" si="72"/>
        <v/>
      </c>
      <c r="Q323" s="76">
        <f t="shared" si="73"/>
        <v>0</v>
      </c>
      <c r="R323" s="76">
        <f t="shared" si="74"/>
        <v>0</v>
      </c>
      <c r="S323" s="75">
        <f t="shared" si="78"/>
        <v>0</v>
      </c>
      <c r="T323" s="47"/>
      <c r="V323" s="57"/>
      <c r="W323" s="45"/>
      <c r="X323" s="46">
        <f t="shared" si="75"/>
        <v>0</v>
      </c>
      <c r="Y323" s="74" t="str">
        <f t="shared" si="76"/>
        <v/>
      </c>
      <c r="Z323" s="49"/>
      <c r="AA323" s="49"/>
      <c r="AB323" s="49"/>
      <c r="AC323" s="47"/>
      <c r="AD323" s="48" t="str">
        <f t="shared" si="79"/>
        <v/>
      </c>
      <c r="AE323" s="48" t="str">
        <f t="shared" si="80"/>
        <v/>
      </c>
      <c r="AF323" s="75" t="str">
        <f t="shared" si="81"/>
        <v/>
      </c>
      <c r="AG323" s="76">
        <f t="shared" si="82"/>
        <v>0</v>
      </c>
      <c r="AH323" s="76">
        <f t="shared" si="83"/>
        <v>0</v>
      </c>
      <c r="AI323" s="75">
        <f t="shared" si="84"/>
        <v>0</v>
      </c>
      <c r="AJ323" s="47"/>
      <c r="AL323" s="47"/>
      <c r="AN323" s="47"/>
      <c r="AO323" s="47" t="str">
        <f t="shared" si="77"/>
        <v/>
      </c>
    </row>
    <row r="324" spans="1:41" s="56" customFormat="1" ht="14">
      <c r="A324" s="44"/>
      <c r="B324" s="45"/>
      <c r="C324" s="46">
        <f t="shared" si="68"/>
        <v>0</v>
      </c>
      <c r="D324" s="47"/>
      <c r="E324" s="47"/>
      <c r="F324" s="47"/>
      <c r="G324" s="47"/>
      <c r="H324" s="48"/>
      <c r="I324" s="74" t="str">
        <f t="shared" si="69"/>
        <v/>
      </c>
      <c r="J324" s="49"/>
      <c r="K324" s="49"/>
      <c r="L324" s="49"/>
      <c r="M324" s="47"/>
      <c r="N324" s="48" t="str">
        <f t="shared" si="70"/>
        <v/>
      </c>
      <c r="O324" s="48" t="str">
        <f t="shared" si="71"/>
        <v/>
      </c>
      <c r="P324" s="75" t="str">
        <f t="shared" si="72"/>
        <v/>
      </c>
      <c r="Q324" s="76">
        <f t="shared" si="73"/>
        <v>0</v>
      </c>
      <c r="R324" s="76">
        <f t="shared" si="74"/>
        <v>0</v>
      </c>
      <c r="S324" s="75">
        <f t="shared" si="78"/>
        <v>0</v>
      </c>
      <c r="T324" s="47"/>
      <c r="V324" s="57"/>
      <c r="W324" s="45"/>
      <c r="X324" s="46">
        <f t="shared" si="75"/>
        <v>0</v>
      </c>
      <c r="Y324" s="74" t="str">
        <f t="shared" si="76"/>
        <v/>
      </c>
      <c r="Z324" s="49"/>
      <c r="AA324" s="49"/>
      <c r="AB324" s="49"/>
      <c r="AC324" s="47"/>
      <c r="AD324" s="48" t="str">
        <f t="shared" si="79"/>
        <v/>
      </c>
      <c r="AE324" s="48" t="str">
        <f t="shared" si="80"/>
        <v/>
      </c>
      <c r="AF324" s="75" t="str">
        <f t="shared" si="81"/>
        <v/>
      </c>
      <c r="AG324" s="76">
        <f t="shared" si="82"/>
        <v>0</v>
      </c>
      <c r="AH324" s="76">
        <f t="shared" si="83"/>
        <v>0</v>
      </c>
      <c r="AI324" s="75">
        <f t="shared" si="84"/>
        <v>0</v>
      </c>
      <c r="AJ324" s="47"/>
      <c r="AL324" s="47"/>
      <c r="AN324" s="47"/>
      <c r="AO324" s="47" t="str">
        <f t="shared" si="77"/>
        <v/>
      </c>
    </row>
    <row r="325" spans="1:41" s="56" customFormat="1" ht="14">
      <c r="A325" s="44"/>
      <c r="B325" s="45"/>
      <c r="C325" s="46">
        <f t="shared" si="68"/>
        <v>0</v>
      </c>
      <c r="D325" s="47"/>
      <c r="E325" s="47"/>
      <c r="F325" s="47"/>
      <c r="G325" s="47"/>
      <c r="H325" s="48"/>
      <c r="I325" s="74" t="str">
        <f t="shared" si="69"/>
        <v/>
      </c>
      <c r="J325" s="49"/>
      <c r="K325" s="49"/>
      <c r="L325" s="49"/>
      <c r="M325" s="47"/>
      <c r="N325" s="48" t="str">
        <f t="shared" si="70"/>
        <v/>
      </c>
      <c r="O325" s="48" t="str">
        <f t="shared" si="71"/>
        <v/>
      </c>
      <c r="P325" s="75" t="str">
        <f t="shared" si="72"/>
        <v/>
      </c>
      <c r="Q325" s="76">
        <f t="shared" si="73"/>
        <v>0</v>
      </c>
      <c r="R325" s="76">
        <f t="shared" si="74"/>
        <v>0</v>
      </c>
      <c r="S325" s="75">
        <f t="shared" si="78"/>
        <v>0</v>
      </c>
      <c r="T325" s="47"/>
      <c r="V325" s="57"/>
      <c r="W325" s="45"/>
      <c r="X325" s="46">
        <f t="shared" si="75"/>
        <v>0</v>
      </c>
      <c r="Y325" s="74" t="str">
        <f t="shared" si="76"/>
        <v/>
      </c>
      <c r="Z325" s="49"/>
      <c r="AA325" s="49"/>
      <c r="AB325" s="49"/>
      <c r="AC325" s="47"/>
      <c r="AD325" s="48" t="str">
        <f t="shared" si="79"/>
        <v/>
      </c>
      <c r="AE325" s="48" t="str">
        <f t="shared" si="80"/>
        <v/>
      </c>
      <c r="AF325" s="75" t="str">
        <f t="shared" si="81"/>
        <v/>
      </c>
      <c r="AG325" s="76">
        <f t="shared" si="82"/>
        <v>0</v>
      </c>
      <c r="AH325" s="76">
        <f t="shared" si="83"/>
        <v>0</v>
      </c>
      <c r="AI325" s="75">
        <f t="shared" si="84"/>
        <v>0</v>
      </c>
      <c r="AJ325" s="47"/>
      <c r="AL325" s="47"/>
      <c r="AN325" s="47"/>
      <c r="AO325" s="47" t="str">
        <f t="shared" si="77"/>
        <v/>
      </c>
    </row>
    <row r="326" spans="1:41" s="56" customFormat="1" ht="14">
      <c r="A326" s="44"/>
      <c r="B326" s="45"/>
      <c r="C326" s="46">
        <f t="shared" si="68"/>
        <v>0</v>
      </c>
      <c r="D326" s="47"/>
      <c r="E326" s="47"/>
      <c r="F326" s="47"/>
      <c r="G326" s="47"/>
      <c r="H326" s="48"/>
      <c r="I326" s="74" t="str">
        <f t="shared" si="69"/>
        <v/>
      </c>
      <c r="J326" s="49"/>
      <c r="K326" s="49"/>
      <c r="L326" s="49"/>
      <c r="M326" s="47"/>
      <c r="N326" s="48" t="str">
        <f t="shared" si="70"/>
        <v/>
      </c>
      <c r="O326" s="48" t="str">
        <f t="shared" si="71"/>
        <v/>
      </c>
      <c r="P326" s="75" t="str">
        <f t="shared" si="72"/>
        <v/>
      </c>
      <c r="Q326" s="76">
        <f t="shared" si="73"/>
        <v>0</v>
      </c>
      <c r="R326" s="76">
        <f t="shared" si="74"/>
        <v>0</v>
      </c>
      <c r="S326" s="75">
        <f t="shared" si="78"/>
        <v>0</v>
      </c>
      <c r="T326" s="47"/>
      <c r="V326" s="57"/>
      <c r="W326" s="45"/>
      <c r="X326" s="46">
        <f t="shared" si="75"/>
        <v>0</v>
      </c>
      <c r="Y326" s="74" t="str">
        <f t="shared" si="76"/>
        <v/>
      </c>
      <c r="Z326" s="49"/>
      <c r="AA326" s="49"/>
      <c r="AB326" s="49"/>
      <c r="AC326" s="47"/>
      <c r="AD326" s="48" t="str">
        <f t="shared" si="79"/>
        <v/>
      </c>
      <c r="AE326" s="48" t="str">
        <f t="shared" si="80"/>
        <v/>
      </c>
      <c r="AF326" s="75" t="str">
        <f t="shared" si="81"/>
        <v/>
      </c>
      <c r="AG326" s="76">
        <f t="shared" si="82"/>
        <v>0</v>
      </c>
      <c r="AH326" s="76">
        <f t="shared" si="83"/>
        <v>0</v>
      </c>
      <c r="AI326" s="75">
        <f t="shared" si="84"/>
        <v>0</v>
      </c>
      <c r="AJ326" s="47"/>
      <c r="AL326" s="47"/>
      <c r="AN326" s="47"/>
      <c r="AO326" s="47" t="str">
        <f t="shared" si="77"/>
        <v/>
      </c>
    </row>
    <row r="327" spans="1:41" s="56" customFormat="1" ht="14">
      <c r="A327" s="44"/>
      <c r="B327" s="45"/>
      <c r="C327" s="46">
        <f t="shared" si="68"/>
        <v>0</v>
      </c>
      <c r="D327" s="47"/>
      <c r="E327" s="47"/>
      <c r="F327" s="47"/>
      <c r="G327" s="47"/>
      <c r="H327" s="48"/>
      <c r="I327" s="74" t="str">
        <f t="shared" si="69"/>
        <v/>
      </c>
      <c r="J327" s="49"/>
      <c r="K327" s="49"/>
      <c r="L327" s="49"/>
      <c r="M327" s="47"/>
      <c r="N327" s="48" t="str">
        <f t="shared" si="70"/>
        <v/>
      </c>
      <c r="O327" s="48" t="str">
        <f t="shared" si="71"/>
        <v/>
      </c>
      <c r="P327" s="75" t="str">
        <f t="shared" si="72"/>
        <v/>
      </c>
      <c r="Q327" s="76">
        <f t="shared" si="73"/>
        <v>0</v>
      </c>
      <c r="R327" s="76">
        <f t="shared" si="74"/>
        <v>0</v>
      </c>
      <c r="S327" s="75">
        <f t="shared" si="78"/>
        <v>0</v>
      </c>
      <c r="T327" s="47"/>
      <c r="V327" s="57"/>
      <c r="W327" s="45"/>
      <c r="X327" s="46">
        <f t="shared" si="75"/>
        <v>0</v>
      </c>
      <c r="Y327" s="74" t="str">
        <f t="shared" si="76"/>
        <v/>
      </c>
      <c r="Z327" s="49"/>
      <c r="AA327" s="49"/>
      <c r="AB327" s="49"/>
      <c r="AC327" s="47"/>
      <c r="AD327" s="48" t="str">
        <f t="shared" si="79"/>
        <v/>
      </c>
      <c r="AE327" s="48" t="str">
        <f t="shared" si="80"/>
        <v/>
      </c>
      <c r="AF327" s="75" t="str">
        <f t="shared" si="81"/>
        <v/>
      </c>
      <c r="AG327" s="76">
        <f t="shared" si="82"/>
        <v>0</v>
      </c>
      <c r="AH327" s="76">
        <f t="shared" si="83"/>
        <v>0</v>
      </c>
      <c r="AI327" s="75">
        <f t="shared" si="84"/>
        <v>0</v>
      </c>
      <c r="AJ327" s="47"/>
      <c r="AL327" s="47"/>
      <c r="AN327" s="47"/>
      <c r="AO327" s="47" t="str">
        <f t="shared" si="77"/>
        <v/>
      </c>
    </row>
    <row r="328" spans="1:41" s="56" customFormat="1" ht="14">
      <c r="A328" s="44"/>
      <c r="B328" s="45"/>
      <c r="C328" s="46">
        <f t="shared" si="68"/>
        <v>0</v>
      </c>
      <c r="D328" s="47"/>
      <c r="E328" s="47"/>
      <c r="F328" s="47"/>
      <c r="G328" s="47"/>
      <c r="H328" s="48"/>
      <c r="I328" s="74" t="str">
        <f t="shared" si="69"/>
        <v/>
      </c>
      <c r="J328" s="49"/>
      <c r="K328" s="49"/>
      <c r="L328" s="49"/>
      <c r="M328" s="47"/>
      <c r="N328" s="48" t="str">
        <f t="shared" si="70"/>
        <v/>
      </c>
      <c r="O328" s="48" t="str">
        <f t="shared" si="71"/>
        <v/>
      </c>
      <c r="P328" s="75" t="str">
        <f t="shared" si="72"/>
        <v/>
      </c>
      <c r="Q328" s="76">
        <f t="shared" si="73"/>
        <v>0</v>
      </c>
      <c r="R328" s="76">
        <f t="shared" si="74"/>
        <v>0</v>
      </c>
      <c r="S328" s="75">
        <f t="shared" si="78"/>
        <v>0</v>
      </c>
      <c r="T328" s="47"/>
      <c r="V328" s="57"/>
      <c r="W328" s="45"/>
      <c r="X328" s="46">
        <f t="shared" si="75"/>
        <v>0</v>
      </c>
      <c r="Y328" s="74" t="str">
        <f t="shared" si="76"/>
        <v/>
      </c>
      <c r="Z328" s="49"/>
      <c r="AA328" s="49"/>
      <c r="AB328" s="49"/>
      <c r="AC328" s="47"/>
      <c r="AD328" s="48" t="str">
        <f t="shared" si="79"/>
        <v/>
      </c>
      <c r="AE328" s="48" t="str">
        <f t="shared" si="80"/>
        <v/>
      </c>
      <c r="AF328" s="75" t="str">
        <f t="shared" si="81"/>
        <v/>
      </c>
      <c r="AG328" s="76">
        <f t="shared" si="82"/>
        <v>0</v>
      </c>
      <c r="AH328" s="76">
        <f t="shared" si="83"/>
        <v>0</v>
      </c>
      <c r="AI328" s="75">
        <f t="shared" si="84"/>
        <v>0</v>
      </c>
      <c r="AJ328" s="47"/>
      <c r="AL328" s="47"/>
      <c r="AN328" s="47"/>
      <c r="AO328" s="47" t="str">
        <f t="shared" si="77"/>
        <v/>
      </c>
    </row>
    <row r="329" spans="1:41" s="56" customFormat="1" ht="14">
      <c r="A329" s="44"/>
      <c r="B329" s="45"/>
      <c r="C329" s="46">
        <f t="shared" si="68"/>
        <v>0</v>
      </c>
      <c r="D329" s="47"/>
      <c r="E329" s="47"/>
      <c r="F329" s="47"/>
      <c r="G329" s="47"/>
      <c r="H329" s="48"/>
      <c r="I329" s="74" t="str">
        <f t="shared" si="69"/>
        <v/>
      </c>
      <c r="J329" s="49"/>
      <c r="K329" s="49"/>
      <c r="L329" s="49"/>
      <c r="M329" s="47"/>
      <c r="N329" s="48" t="str">
        <f t="shared" si="70"/>
        <v/>
      </c>
      <c r="O329" s="48" t="str">
        <f t="shared" si="71"/>
        <v/>
      </c>
      <c r="P329" s="75" t="str">
        <f t="shared" si="72"/>
        <v/>
      </c>
      <c r="Q329" s="76">
        <f t="shared" si="73"/>
        <v>0</v>
      </c>
      <c r="R329" s="76">
        <f t="shared" si="74"/>
        <v>0</v>
      </c>
      <c r="S329" s="75">
        <f t="shared" si="78"/>
        <v>0</v>
      </c>
      <c r="T329" s="47"/>
      <c r="V329" s="57"/>
      <c r="W329" s="45"/>
      <c r="X329" s="46">
        <f t="shared" si="75"/>
        <v>0</v>
      </c>
      <c r="Y329" s="74" t="str">
        <f t="shared" si="76"/>
        <v/>
      </c>
      <c r="Z329" s="49"/>
      <c r="AA329" s="49"/>
      <c r="AB329" s="49"/>
      <c r="AC329" s="47"/>
      <c r="AD329" s="48" t="str">
        <f t="shared" si="79"/>
        <v/>
      </c>
      <c r="AE329" s="48" t="str">
        <f t="shared" si="80"/>
        <v/>
      </c>
      <c r="AF329" s="75" t="str">
        <f t="shared" si="81"/>
        <v/>
      </c>
      <c r="AG329" s="76">
        <f t="shared" si="82"/>
        <v>0</v>
      </c>
      <c r="AH329" s="76">
        <f t="shared" si="83"/>
        <v>0</v>
      </c>
      <c r="AI329" s="75">
        <f t="shared" si="84"/>
        <v>0</v>
      </c>
      <c r="AJ329" s="47"/>
      <c r="AL329" s="47"/>
      <c r="AN329" s="47"/>
      <c r="AO329" s="47" t="str">
        <f t="shared" si="77"/>
        <v/>
      </c>
    </row>
    <row r="330" spans="1:41" s="56" customFormat="1" ht="14">
      <c r="A330" s="44"/>
      <c r="B330" s="45"/>
      <c r="C330" s="46">
        <f t="shared" si="68"/>
        <v>0</v>
      </c>
      <c r="D330" s="47"/>
      <c r="E330" s="47"/>
      <c r="F330" s="47"/>
      <c r="G330" s="47"/>
      <c r="H330" s="48"/>
      <c r="I330" s="74" t="str">
        <f t="shared" si="69"/>
        <v/>
      </c>
      <c r="J330" s="49"/>
      <c r="K330" s="49"/>
      <c r="L330" s="49"/>
      <c r="M330" s="47"/>
      <c r="N330" s="48" t="str">
        <f t="shared" si="70"/>
        <v/>
      </c>
      <c r="O330" s="48" t="str">
        <f t="shared" si="71"/>
        <v/>
      </c>
      <c r="P330" s="75" t="str">
        <f t="shared" si="72"/>
        <v/>
      </c>
      <c r="Q330" s="76">
        <f t="shared" si="73"/>
        <v>0</v>
      </c>
      <c r="R330" s="76">
        <f t="shared" si="74"/>
        <v>0</v>
      </c>
      <c r="S330" s="75">
        <f t="shared" si="78"/>
        <v>0</v>
      </c>
      <c r="T330" s="47"/>
      <c r="V330" s="57"/>
      <c r="W330" s="45"/>
      <c r="X330" s="46">
        <f t="shared" si="75"/>
        <v>0</v>
      </c>
      <c r="Y330" s="74" t="str">
        <f t="shared" si="76"/>
        <v/>
      </c>
      <c r="Z330" s="49"/>
      <c r="AA330" s="49"/>
      <c r="AB330" s="49"/>
      <c r="AC330" s="47"/>
      <c r="AD330" s="48" t="str">
        <f t="shared" si="79"/>
        <v/>
      </c>
      <c r="AE330" s="48" t="str">
        <f t="shared" si="80"/>
        <v/>
      </c>
      <c r="AF330" s="75" t="str">
        <f t="shared" si="81"/>
        <v/>
      </c>
      <c r="AG330" s="76">
        <f t="shared" si="82"/>
        <v>0</v>
      </c>
      <c r="AH330" s="76">
        <f t="shared" si="83"/>
        <v>0</v>
      </c>
      <c r="AI330" s="75">
        <f t="shared" si="84"/>
        <v>0</v>
      </c>
      <c r="AJ330" s="47"/>
      <c r="AL330" s="47"/>
      <c r="AN330" s="47"/>
      <c r="AO330" s="47" t="str">
        <f t="shared" si="77"/>
        <v/>
      </c>
    </row>
    <row r="331" spans="1:41" s="56" customFormat="1" ht="14">
      <c r="A331" s="44"/>
      <c r="B331" s="45"/>
      <c r="C331" s="46">
        <f t="shared" ref="C331:C383" si="85">IF($B331&lt;&gt;"",VLOOKUP($B331,Matriz_INM,2,0),0)</f>
        <v>0</v>
      </c>
      <c r="D331" s="47"/>
      <c r="E331" s="47"/>
      <c r="F331" s="47"/>
      <c r="G331" s="47"/>
      <c r="H331" s="48"/>
      <c r="I331" s="74" t="str">
        <f t="shared" ref="I331:I383" si="86">IFERROR(VLOOKUP($B331,Matriz_INM,3,0),"")</f>
        <v/>
      </c>
      <c r="J331" s="49"/>
      <c r="K331" s="49"/>
      <c r="L331" s="49"/>
      <c r="M331" s="47"/>
      <c r="N331" s="48" t="str">
        <f t="shared" ref="N331:N383" si="87">IF(M331="EE",IF(OR(AND(OR(L331=1,L331=0),K331&gt;0,K331&lt;5),AND(OR(L331=1,L331=0),K331&gt;4,K331&lt;16),AND(L331=2,K331&gt;0,K331&lt;5)),"Simples",IF(OR(AND(OR(L331=1,L331=0),K331&gt;15),AND(L331=2,K331&gt;4,K331&lt;16),AND(L331&gt;2,K331&gt;0,K331&lt;5)),"Médio",IF(OR(AND(L331=2,K331&gt;15),AND(L331&gt;2,K331&gt;4,K331&lt;16),AND(L331&gt;2,K331&gt;15)),"Complexo",""))), IF(OR(M331="CE",M331="SE"),IF(OR(AND(OR(L331=1,L331=0),K331&gt;0,K331&lt;6),AND(OR(L331=1,L331=0),K331&gt;5,K331&lt;20),AND(L331&gt;1,L331&lt;4,K331&gt;0,K331&lt;6)),"Simples",IF(OR(AND(OR(L331=1,L331=0),K331&gt;19),AND(L331&gt;1,L331&lt;4,K331&gt;5,K331&lt;20),AND(L331&gt;3,K331&gt;0,K331&lt;6)),"Médio",IF(OR(AND(L331&gt;1,L331&lt;4,K331&gt;19),AND(L331&gt;3,K331&gt;5,K331&lt;20),AND(L331&gt;3,K331&gt;19)),"Complexo",""))),""))</f>
        <v/>
      </c>
      <c r="O331" s="48" t="str">
        <f t="shared" ref="O331:O383" si="88">IF(M331="ALI",IF(OR(AND(OR(L331=1,L331=0),K331&gt;0,K331&lt;20),AND(OR(L331=1,L331=0),K331&gt;19,K331&lt;51),AND(L331&gt;1,L331&lt;6,K331&gt;0,K331&lt;20)),"Simples",IF(OR(AND(OR(L331=1,L331=0),K331&gt;50),AND(L331&gt;1,L331&lt;6,K331&gt;19,K331&lt;51),AND(L331&gt;5,K331&gt;0,K331&lt;20)),"Médio",IF(OR(AND(L331&gt;1,L331&lt;6,K331&gt;50),AND(L331&gt;5,K331&gt;19,K331&lt;51),AND(L331&gt;5,K331&gt;50)),"Complexo",""))), IF(M331="AIE",IF(OR(AND(OR(L331=1, L331=0),K331&gt;0,K331&lt;20),AND(OR(L331=1, L331=0),K331&gt;19,K331&lt;51),AND(L331&gt;1,L331&lt;6,K331&gt;0,K331&lt;20)),"Simples",IF(OR(AND(OR(L331=1, L331=0),K331&gt;50),AND(L331&gt;1,L331&lt;6,K331&gt;19,K331&lt;51),AND(L331&gt;5,K331&gt;0,K331&lt;20)),"Médio",IF(OR(AND(L331&gt;1,L331&lt;6,K331&gt;50),AND(L331&gt;5,K331&gt;19,K331&lt;51),AND(L331&gt;5,K331&gt;50)),"Complexo",""))),""))</f>
        <v/>
      </c>
      <c r="P331" s="75" t="str">
        <f t="shared" ref="P331:P383" si="89">IF(N331="",O331,IF(O331="",N331,""))</f>
        <v/>
      </c>
      <c r="Q331" s="76">
        <f t="shared" ref="Q331:Q383" si="90">IF(AND(OR(M331="EE",M331="CE"),P331="Simples"),3, IF(AND(OR(M331="EE",M331="CE"),P331="Médio"),4, IF(AND(OR(M331="EE",M331="CE"),P331="Complexo"),6, IF(AND(M331="SE",P331="Simples"),4, IF(AND(M331="SE",P331="Médio"),5, IF(AND(M331="SE",P331="Complexo"),7,0))))))</f>
        <v>0</v>
      </c>
      <c r="R331" s="76">
        <f t="shared" ref="R331:R383" si="91">IF(AND(M331="ALI",O331="Simples"),7, IF(AND(M331="ALI",O331="Médio"),10, IF(AND(M331="ALI",O331="Complexo"),15, IF(AND(M331="AIE",O331="Simples"),5, IF(AND(M331="AIE",O331="Médio"),7, IF(AND(M331="AIE",O331="Complexo"),10,0))))))</f>
        <v>0</v>
      </c>
      <c r="S331" s="75">
        <f t="shared" si="78"/>
        <v>0</v>
      </c>
      <c r="T331" s="47"/>
      <c r="V331" s="57"/>
      <c r="W331" s="45"/>
      <c r="X331" s="46">
        <f t="shared" ref="X331:X383" si="92">IF($W331&lt;&gt;"",VLOOKUP($W331,Matriz_INM,2,0),0)</f>
        <v>0</v>
      </c>
      <c r="Y331" s="74" t="str">
        <f t="shared" ref="Y331:Y383" si="93">IFERROR(VLOOKUP($W331,Matriz_INM,3,0),"")</f>
        <v/>
      </c>
      <c r="Z331" s="49"/>
      <c r="AA331" s="49"/>
      <c r="AB331" s="49"/>
      <c r="AC331" s="47"/>
      <c r="AD331" s="48" t="str">
        <f t="shared" si="79"/>
        <v/>
      </c>
      <c r="AE331" s="48" t="str">
        <f t="shared" si="80"/>
        <v/>
      </c>
      <c r="AF331" s="75" t="str">
        <f t="shared" si="81"/>
        <v/>
      </c>
      <c r="AG331" s="76">
        <f t="shared" si="82"/>
        <v>0</v>
      </c>
      <c r="AH331" s="76">
        <f t="shared" si="83"/>
        <v>0</v>
      </c>
      <c r="AI331" s="75">
        <f t="shared" si="84"/>
        <v>0</v>
      </c>
      <c r="AJ331" s="47"/>
      <c r="AL331" s="47"/>
      <c r="AN331" s="47"/>
      <c r="AO331" s="47" t="str">
        <f t="shared" ref="AO331:AO379" si="94">IF(AI331=0,"",IF(AI331=S331,"OK","Divergente"))</f>
        <v/>
      </c>
    </row>
    <row r="332" spans="1:41" s="56" customFormat="1" ht="14">
      <c r="A332" s="44"/>
      <c r="B332" s="45"/>
      <c r="C332" s="46">
        <f t="shared" si="85"/>
        <v>0</v>
      </c>
      <c r="D332" s="47"/>
      <c r="E332" s="47"/>
      <c r="F332" s="47"/>
      <c r="G332" s="47"/>
      <c r="H332" s="48"/>
      <c r="I332" s="74" t="str">
        <f t="shared" si="86"/>
        <v/>
      </c>
      <c r="J332" s="49"/>
      <c r="K332" s="49"/>
      <c r="L332" s="49"/>
      <c r="M332" s="47"/>
      <c r="N332" s="48" t="str">
        <f t="shared" si="87"/>
        <v/>
      </c>
      <c r="O332" s="48" t="str">
        <f t="shared" si="88"/>
        <v/>
      </c>
      <c r="P332" s="75" t="str">
        <f t="shared" si="89"/>
        <v/>
      </c>
      <c r="Q332" s="76">
        <f t="shared" si="90"/>
        <v>0</v>
      </c>
      <c r="R332" s="76">
        <f t="shared" si="91"/>
        <v>0</v>
      </c>
      <c r="S332" s="75">
        <f t="shared" ref="S332:S383" si="95">IF($I332="%",($Q332+$R332)*$C332,$C332*J332)</f>
        <v>0</v>
      </c>
      <c r="T332" s="47"/>
      <c r="V332" s="57"/>
      <c r="W332" s="45"/>
      <c r="X332" s="46">
        <f t="shared" si="92"/>
        <v>0</v>
      </c>
      <c r="Y332" s="74" t="str">
        <f t="shared" si="93"/>
        <v/>
      </c>
      <c r="Z332" s="49"/>
      <c r="AA332" s="49"/>
      <c r="AB332" s="49"/>
      <c r="AC332" s="47"/>
      <c r="AD332" s="48" t="str">
        <f t="shared" ref="AD332:AD383" si="96">IF(AC332="EE",IF(OR(AND(OR(AB332=1,AB332=0),AA332&gt;0,AA332&lt;5),AND(OR(AB332=1,AB332=0),AA332&gt;4,AA332&lt;16),AND(AB332=2,AA332&gt;0,AA332&lt;5)),"Simples",IF(OR(AND(OR(AB332=1,AB332=0),AA332&gt;15),AND(AB332=2,AA332&gt;4,AA332&lt;16),AND(AB332&gt;2,AA332&gt;0,AA332&lt;5)),"Médio",IF(OR(AND(AB332=2,AA332&gt;15),AND(AB332&gt;2,AA332&gt;4,AA332&lt;16),AND(AB332&gt;2,AA332&gt;15)),"Complexo",""))), IF(OR(AC332="CE",AC332="SE"),IF(OR(AND(OR(AB332=1,AB332=0),AA332&gt;0,AA332&lt;6),AND(OR(AB332=1,AB332=0),AA332&gt;5,AA332&lt;20),AND(AB332&gt;1,AB332&lt;4,AA332&gt;0,AA332&lt;6)),"Simples",IF(OR(AND(OR(AB332=1,AB332=0),AA332&gt;19),AND(AB332&gt;1,AB332&lt;4,AA332&gt;5,AA332&lt;20),AND(AB332&gt;3,AA332&gt;0,AA332&lt;6)),"Médio",IF(OR(AND(AB332&gt;1,AB332&lt;4,AA332&gt;19),AND(AB332&gt;3,AA332&gt;5,AA332&lt;20),AND(AB332&gt;3,AA332&gt;19)),"Complexo",""))),""))</f>
        <v/>
      </c>
      <c r="AE332" s="48" t="str">
        <f t="shared" ref="AE332:AE383" si="97">IF(AC332="ALI",IF(OR(AND(OR(AB332=1,AB332=0),AA332&gt;0,AA332&lt;20),AND(OR(AB332=1,AB332=0),AA332&gt;19,AA332&lt;51),AND(AB332&gt;1,AB332&lt;6,AA332&gt;0,AA332&lt;20)),"Simples",IF(OR(AND(OR(AB332=1,AB332=0),AA332&gt;50),AND(AB332&gt;1,AB332&lt;6,AA332&gt;19,AA332&lt;51),AND(AB332&gt;5,AA332&gt;0,AA332&lt;20)),"Médio",IF(OR(AND(AB332&gt;1,AB332&lt;6,AA332&gt;50),AND(AB332&gt;5,AA332&gt;19,AA332&lt;51),AND(AB332&gt;5,AA332&gt;50)),"Complexo",""))), IF(AC332="AIE",IF(OR(AND(OR(AB332=1, AB332=0),AA332&gt;0,AA332&lt;20),AND(OR(AB332=1, AB332=0),AA332&gt;19,AA332&lt;51),AND(AB332&gt;1,AB332&lt;6,AA332&gt;0,AA332&lt;20)),"Simples",IF(OR(AND(OR(AB332=1, AB332=0),AA332&gt;50),AND(AB332&gt;1,AB332&lt;6,AA332&gt;19,AA332&lt;51),AND(AB332&gt;5,AA332&gt;0,AA332&lt;20)),"Médio",IF(OR(AND(AB332&gt;1,AB332&lt;6,AA332&gt;50),AND(AB332&gt;5,AA332&gt;19,AA332&lt;51),AND(AB332&gt;5,AA332&gt;50)),"Complexo",""))),""))</f>
        <v/>
      </c>
      <c r="AF332" s="75" t="str">
        <f t="shared" ref="AF332:AF383" si="98">IF(AD332="",AE332,IF(AE332="",AD332,""))</f>
        <v/>
      </c>
      <c r="AG332" s="76">
        <f t="shared" ref="AG332:AG383" si="99">IF(AND(OR(AC332="EE",AC332="CE"),AF332="Simples"),3, IF(AND(OR(AC332="EE",AC332="CE"),AF332="Médio"),4, IF(AND(OR(AC332="EE",AC332="CE"),AF332="Complexo"),6, IF(AND(AC332="SE",AF332="Simples"),4, IF(AND(AC332="SE",AF332="Médio"),5, IF(AND(AC332="SE",AF332="Complexo"),7,0))))))</f>
        <v>0</v>
      </c>
      <c r="AH332" s="76">
        <f t="shared" ref="AH332:AH383" si="100">IF(AND(AC332="ALI",AE332="Simples"),7, IF(AND(AC332="ALI",AE332="Médio"),10, IF(AND(AC332="ALI",AE332="Complexo"),15, IF(AND(AC332="AIE",AE332="Simples"),5, IF(AND(AC332="AIE",AE332="Médio"),7, IF(AND(AC332="AIE",AE332="Complexo"),10,0))))))</f>
        <v>0</v>
      </c>
      <c r="AI332" s="75">
        <f t="shared" ref="AI332:AI383" si="101">IF(V332="OK",S332,IF($Y332="%",($AG332+$AH332)*$X332,$X332*Z332))</f>
        <v>0</v>
      </c>
      <c r="AJ332" s="47"/>
      <c r="AL332" s="47"/>
      <c r="AN332" s="47"/>
      <c r="AO332" s="47" t="str">
        <f t="shared" si="94"/>
        <v/>
      </c>
    </row>
    <row r="333" spans="1:41" s="56" customFormat="1" ht="14">
      <c r="A333" s="44"/>
      <c r="B333" s="45"/>
      <c r="C333" s="46">
        <f t="shared" si="85"/>
        <v>0</v>
      </c>
      <c r="D333" s="47"/>
      <c r="E333" s="47"/>
      <c r="F333" s="47"/>
      <c r="G333" s="47"/>
      <c r="H333" s="48"/>
      <c r="I333" s="74" t="str">
        <f t="shared" si="86"/>
        <v/>
      </c>
      <c r="J333" s="49"/>
      <c r="K333" s="49"/>
      <c r="L333" s="49"/>
      <c r="M333" s="47"/>
      <c r="N333" s="48" t="str">
        <f t="shared" si="87"/>
        <v/>
      </c>
      <c r="O333" s="48" t="str">
        <f t="shared" si="88"/>
        <v/>
      </c>
      <c r="P333" s="75" t="str">
        <f t="shared" si="89"/>
        <v/>
      </c>
      <c r="Q333" s="76">
        <f t="shared" si="90"/>
        <v>0</v>
      </c>
      <c r="R333" s="76">
        <f t="shared" si="91"/>
        <v>0</v>
      </c>
      <c r="S333" s="75">
        <f t="shared" si="95"/>
        <v>0</v>
      </c>
      <c r="T333" s="47"/>
      <c r="V333" s="57"/>
      <c r="W333" s="45"/>
      <c r="X333" s="46">
        <f t="shared" si="92"/>
        <v>0</v>
      </c>
      <c r="Y333" s="74" t="str">
        <f t="shared" si="93"/>
        <v/>
      </c>
      <c r="Z333" s="49"/>
      <c r="AA333" s="49"/>
      <c r="AB333" s="49"/>
      <c r="AC333" s="47"/>
      <c r="AD333" s="48" t="str">
        <f t="shared" si="96"/>
        <v/>
      </c>
      <c r="AE333" s="48" t="str">
        <f t="shared" si="97"/>
        <v/>
      </c>
      <c r="AF333" s="75" t="str">
        <f t="shared" si="98"/>
        <v/>
      </c>
      <c r="AG333" s="76">
        <f t="shared" si="99"/>
        <v>0</v>
      </c>
      <c r="AH333" s="76">
        <f t="shared" si="100"/>
        <v>0</v>
      </c>
      <c r="AI333" s="75">
        <f t="shared" si="101"/>
        <v>0</v>
      </c>
      <c r="AJ333" s="47"/>
      <c r="AL333" s="47"/>
      <c r="AN333" s="47"/>
      <c r="AO333" s="47" t="str">
        <f t="shared" si="94"/>
        <v/>
      </c>
    </row>
    <row r="334" spans="1:41" s="56" customFormat="1" ht="14">
      <c r="A334" s="44"/>
      <c r="B334" s="45"/>
      <c r="C334" s="46">
        <f t="shared" si="85"/>
        <v>0</v>
      </c>
      <c r="D334" s="47"/>
      <c r="E334" s="47"/>
      <c r="F334" s="47"/>
      <c r="G334" s="47"/>
      <c r="H334" s="48"/>
      <c r="I334" s="74" t="str">
        <f t="shared" si="86"/>
        <v/>
      </c>
      <c r="J334" s="49"/>
      <c r="K334" s="49"/>
      <c r="L334" s="49"/>
      <c r="M334" s="47"/>
      <c r="N334" s="48" t="str">
        <f t="shared" si="87"/>
        <v/>
      </c>
      <c r="O334" s="48" t="str">
        <f t="shared" si="88"/>
        <v/>
      </c>
      <c r="P334" s="75" t="str">
        <f t="shared" si="89"/>
        <v/>
      </c>
      <c r="Q334" s="76">
        <f t="shared" si="90"/>
        <v>0</v>
      </c>
      <c r="R334" s="76">
        <f t="shared" si="91"/>
        <v>0</v>
      </c>
      <c r="S334" s="75">
        <f t="shared" si="95"/>
        <v>0</v>
      </c>
      <c r="T334" s="47"/>
      <c r="V334" s="57"/>
      <c r="W334" s="45"/>
      <c r="X334" s="46">
        <f t="shared" si="92"/>
        <v>0</v>
      </c>
      <c r="Y334" s="74" t="str">
        <f t="shared" si="93"/>
        <v/>
      </c>
      <c r="Z334" s="49"/>
      <c r="AA334" s="49"/>
      <c r="AB334" s="49"/>
      <c r="AC334" s="47"/>
      <c r="AD334" s="48" t="str">
        <f t="shared" si="96"/>
        <v/>
      </c>
      <c r="AE334" s="48" t="str">
        <f t="shared" si="97"/>
        <v/>
      </c>
      <c r="AF334" s="75" t="str">
        <f t="shared" si="98"/>
        <v/>
      </c>
      <c r="AG334" s="76">
        <f t="shared" si="99"/>
        <v>0</v>
      </c>
      <c r="AH334" s="76">
        <f t="shared" si="100"/>
        <v>0</v>
      </c>
      <c r="AI334" s="75">
        <f t="shared" si="101"/>
        <v>0</v>
      </c>
      <c r="AJ334" s="47"/>
      <c r="AL334" s="47"/>
      <c r="AN334" s="47"/>
      <c r="AO334" s="47" t="str">
        <f t="shared" si="94"/>
        <v/>
      </c>
    </row>
    <row r="335" spans="1:41" s="56" customFormat="1" ht="14">
      <c r="A335" s="44"/>
      <c r="B335" s="45"/>
      <c r="C335" s="46">
        <f t="shared" si="85"/>
        <v>0</v>
      </c>
      <c r="D335" s="47"/>
      <c r="E335" s="47"/>
      <c r="F335" s="47"/>
      <c r="G335" s="47"/>
      <c r="H335" s="48"/>
      <c r="I335" s="74" t="str">
        <f t="shared" si="86"/>
        <v/>
      </c>
      <c r="J335" s="49"/>
      <c r="K335" s="49"/>
      <c r="L335" s="49"/>
      <c r="M335" s="47"/>
      <c r="N335" s="48" t="str">
        <f t="shared" si="87"/>
        <v/>
      </c>
      <c r="O335" s="48" t="str">
        <f t="shared" si="88"/>
        <v/>
      </c>
      <c r="P335" s="75" t="str">
        <f t="shared" si="89"/>
        <v/>
      </c>
      <c r="Q335" s="76">
        <f t="shared" si="90"/>
        <v>0</v>
      </c>
      <c r="R335" s="76">
        <f t="shared" si="91"/>
        <v>0</v>
      </c>
      <c r="S335" s="75">
        <f t="shared" si="95"/>
        <v>0</v>
      </c>
      <c r="T335" s="47"/>
      <c r="V335" s="57"/>
      <c r="W335" s="45"/>
      <c r="X335" s="46">
        <f t="shared" si="92"/>
        <v>0</v>
      </c>
      <c r="Y335" s="74" t="str">
        <f t="shared" si="93"/>
        <v/>
      </c>
      <c r="Z335" s="49"/>
      <c r="AA335" s="49"/>
      <c r="AB335" s="49"/>
      <c r="AC335" s="47"/>
      <c r="AD335" s="48" t="str">
        <f t="shared" si="96"/>
        <v/>
      </c>
      <c r="AE335" s="48" t="str">
        <f t="shared" si="97"/>
        <v/>
      </c>
      <c r="AF335" s="75" t="str">
        <f t="shared" si="98"/>
        <v/>
      </c>
      <c r="AG335" s="76">
        <f t="shared" si="99"/>
        <v>0</v>
      </c>
      <c r="AH335" s="76">
        <f t="shared" si="100"/>
        <v>0</v>
      </c>
      <c r="AI335" s="75">
        <f t="shared" si="101"/>
        <v>0</v>
      </c>
      <c r="AJ335" s="47"/>
      <c r="AL335" s="47"/>
      <c r="AN335" s="47"/>
      <c r="AO335" s="47" t="str">
        <f t="shared" si="94"/>
        <v/>
      </c>
    </row>
    <row r="336" spans="1:41" s="56" customFormat="1" ht="14">
      <c r="A336" s="44"/>
      <c r="B336" s="45"/>
      <c r="C336" s="46">
        <f t="shared" si="85"/>
        <v>0</v>
      </c>
      <c r="D336" s="47"/>
      <c r="E336" s="47"/>
      <c r="F336" s="47"/>
      <c r="G336" s="47"/>
      <c r="H336" s="48"/>
      <c r="I336" s="74" t="str">
        <f t="shared" si="86"/>
        <v/>
      </c>
      <c r="J336" s="49"/>
      <c r="K336" s="49"/>
      <c r="L336" s="49"/>
      <c r="M336" s="47"/>
      <c r="N336" s="48" t="str">
        <f t="shared" si="87"/>
        <v/>
      </c>
      <c r="O336" s="48" t="str">
        <f t="shared" si="88"/>
        <v/>
      </c>
      <c r="P336" s="75" t="str">
        <f t="shared" si="89"/>
        <v/>
      </c>
      <c r="Q336" s="76">
        <f t="shared" si="90"/>
        <v>0</v>
      </c>
      <c r="R336" s="76">
        <f t="shared" si="91"/>
        <v>0</v>
      </c>
      <c r="S336" s="75">
        <f t="shared" si="95"/>
        <v>0</v>
      </c>
      <c r="T336" s="47"/>
      <c r="V336" s="57"/>
      <c r="W336" s="45"/>
      <c r="X336" s="46">
        <f t="shared" si="92"/>
        <v>0</v>
      </c>
      <c r="Y336" s="74" t="str">
        <f t="shared" si="93"/>
        <v/>
      </c>
      <c r="Z336" s="49"/>
      <c r="AA336" s="49"/>
      <c r="AB336" s="49"/>
      <c r="AC336" s="47"/>
      <c r="AD336" s="48" t="str">
        <f t="shared" si="96"/>
        <v/>
      </c>
      <c r="AE336" s="48" t="str">
        <f t="shared" si="97"/>
        <v/>
      </c>
      <c r="AF336" s="75" t="str">
        <f t="shared" si="98"/>
        <v/>
      </c>
      <c r="AG336" s="76">
        <f t="shared" si="99"/>
        <v>0</v>
      </c>
      <c r="AH336" s="76">
        <f t="shared" si="100"/>
        <v>0</v>
      </c>
      <c r="AI336" s="75">
        <f t="shared" si="101"/>
        <v>0</v>
      </c>
      <c r="AJ336" s="47"/>
      <c r="AL336" s="47"/>
      <c r="AN336" s="47"/>
      <c r="AO336" s="47" t="str">
        <f t="shared" si="94"/>
        <v/>
      </c>
    </row>
    <row r="337" spans="1:41" s="56" customFormat="1" ht="14">
      <c r="A337" s="44"/>
      <c r="B337" s="45"/>
      <c r="C337" s="46">
        <f t="shared" si="85"/>
        <v>0</v>
      </c>
      <c r="D337" s="47"/>
      <c r="E337" s="47"/>
      <c r="F337" s="47"/>
      <c r="G337" s="47"/>
      <c r="H337" s="48"/>
      <c r="I337" s="74" t="str">
        <f t="shared" si="86"/>
        <v/>
      </c>
      <c r="J337" s="49"/>
      <c r="K337" s="49"/>
      <c r="L337" s="49"/>
      <c r="M337" s="47"/>
      <c r="N337" s="48" t="str">
        <f t="shared" si="87"/>
        <v/>
      </c>
      <c r="O337" s="48" t="str">
        <f t="shared" si="88"/>
        <v/>
      </c>
      <c r="P337" s="75" t="str">
        <f t="shared" si="89"/>
        <v/>
      </c>
      <c r="Q337" s="76">
        <f t="shared" si="90"/>
        <v>0</v>
      </c>
      <c r="R337" s="76">
        <f t="shared" si="91"/>
        <v>0</v>
      </c>
      <c r="S337" s="75">
        <f t="shared" si="95"/>
        <v>0</v>
      </c>
      <c r="T337" s="47"/>
      <c r="V337" s="57"/>
      <c r="W337" s="45"/>
      <c r="X337" s="46">
        <f t="shared" si="92"/>
        <v>0</v>
      </c>
      <c r="Y337" s="74" t="str">
        <f t="shared" si="93"/>
        <v/>
      </c>
      <c r="Z337" s="49"/>
      <c r="AA337" s="49"/>
      <c r="AB337" s="49"/>
      <c r="AC337" s="47"/>
      <c r="AD337" s="48" t="str">
        <f t="shared" si="96"/>
        <v/>
      </c>
      <c r="AE337" s="48" t="str">
        <f t="shared" si="97"/>
        <v/>
      </c>
      <c r="AF337" s="75" t="str">
        <f t="shared" si="98"/>
        <v/>
      </c>
      <c r="AG337" s="76">
        <f t="shared" si="99"/>
        <v>0</v>
      </c>
      <c r="AH337" s="76">
        <f t="shared" si="100"/>
        <v>0</v>
      </c>
      <c r="AI337" s="75">
        <f t="shared" si="101"/>
        <v>0</v>
      </c>
      <c r="AJ337" s="47"/>
      <c r="AL337" s="47"/>
      <c r="AN337" s="47"/>
      <c r="AO337" s="47" t="str">
        <f t="shared" si="94"/>
        <v/>
      </c>
    </row>
    <row r="338" spans="1:41" s="56" customFormat="1" ht="14">
      <c r="A338" s="44"/>
      <c r="B338" s="45"/>
      <c r="C338" s="46">
        <f t="shared" si="85"/>
        <v>0</v>
      </c>
      <c r="D338" s="47"/>
      <c r="E338" s="47"/>
      <c r="F338" s="47"/>
      <c r="G338" s="47"/>
      <c r="H338" s="48"/>
      <c r="I338" s="74" t="str">
        <f t="shared" si="86"/>
        <v/>
      </c>
      <c r="J338" s="49"/>
      <c r="K338" s="49"/>
      <c r="L338" s="49"/>
      <c r="M338" s="47"/>
      <c r="N338" s="48" t="str">
        <f t="shared" si="87"/>
        <v/>
      </c>
      <c r="O338" s="48" t="str">
        <f t="shared" si="88"/>
        <v/>
      </c>
      <c r="P338" s="75" t="str">
        <f t="shared" si="89"/>
        <v/>
      </c>
      <c r="Q338" s="76">
        <f t="shared" si="90"/>
        <v>0</v>
      </c>
      <c r="R338" s="76">
        <f t="shared" si="91"/>
        <v>0</v>
      </c>
      <c r="S338" s="75">
        <f t="shared" si="95"/>
        <v>0</v>
      </c>
      <c r="T338" s="47"/>
      <c r="V338" s="57"/>
      <c r="W338" s="45"/>
      <c r="X338" s="46">
        <f t="shared" si="92"/>
        <v>0</v>
      </c>
      <c r="Y338" s="74" t="str">
        <f t="shared" si="93"/>
        <v/>
      </c>
      <c r="Z338" s="49"/>
      <c r="AA338" s="49"/>
      <c r="AB338" s="49"/>
      <c r="AC338" s="47"/>
      <c r="AD338" s="48" t="str">
        <f t="shared" si="96"/>
        <v/>
      </c>
      <c r="AE338" s="48" t="str">
        <f t="shared" si="97"/>
        <v/>
      </c>
      <c r="AF338" s="75" t="str">
        <f t="shared" si="98"/>
        <v/>
      </c>
      <c r="AG338" s="76">
        <f t="shared" si="99"/>
        <v>0</v>
      </c>
      <c r="AH338" s="76">
        <f t="shared" si="100"/>
        <v>0</v>
      </c>
      <c r="AI338" s="75">
        <f t="shared" si="101"/>
        <v>0</v>
      </c>
      <c r="AJ338" s="47"/>
      <c r="AL338" s="47"/>
      <c r="AN338" s="47"/>
      <c r="AO338" s="47" t="str">
        <f t="shared" si="94"/>
        <v/>
      </c>
    </row>
    <row r="339" spans="1:41" s="56" customFormat="1" ht="14">
      <c r="A339" s="44"/>
      <c r="B339" s="45"/>
      <c r="C339" s="46">
        <f t="shared" si="85"/>
        <v>0</v>
      </c>
      <c r="D339" s="47"/>
      <c r="E339" s="47"/>
      <c r="F339" s="47"/>
      <c r="G339" s="47"/>
      <c r="H339" s="48"/>
      <c r="I339" s="74" t="str">
        <f t="shared" si="86"/>
        <v/>
      </c>
      <c r="J339" s="49"/>
      <c r="K339" s="49"/>
      <c r="L339" s="49"/>
      <c r="M339" s="47"/>
      <c r="N339" s="48" t="str">
        <f t="shared" si="87"/>
        <v/>
      </c>
      <c r="O339" s="48" t="str">
        <f t="shared" si="88"/>
        <v/>
      </c>
      <c r="P339" s="75" t="str">
        <f t="shared" si="89"/>
        <v/>
      </c>
      <c r="Q339" s="76">
        <f t="shared" si="90"/>
        <v>0</v>
      </c>
      <c r="R339" s="76">
        <f t="shared" si="91"/>
        <v>0</v>
      </c>
      <c r="S339" s="75">
        <f t="shared" si="95"/>
        <v>0</v>
      </c>
      <c r="T339" s="47"/>
      <c r="V339" s="57"/>
      <c r="W339" s="45"/>
      <c r="X339" s="46">
        <f t="shared" si="92"/>
        <v>0</v>
      </c>
      <c r="Y339" s="74" t="str">
        <f t="shared" si="93"/>
        <v/>
      </c>
      <c r="Z339" s="49"/>
      <c r="AA339" s="49"/>
      <c r="AB339" s="49"/>
      <c r="AC339" s="47"/>
      <c r="AD339" s="48" t="str">
        <f t="shared" si="96"/>
        <v/>
      </c>
      <c r="AE339" s="48" t="str">
        <f t="shared" si="97"/>
        <v/>
      </c>
      <c r="AF339" s="75" t="str">
        <f t="shared" si="98"/>
        <v/>
      </c>
      <c r="AG339" s="76">
        <f t="shared" si="99"/>
        <v>0</v>
      </c>
      <c r="AH339" s="76">
        <f t="shared" si="100"/>
        <v>0</v>
      </c>
      <c r="AI339" s="75">
        <f t="shared" si="101"/>
        <v>0</v>
      </c>
      <c r="AJ339" s="47"/>
      <c r="AL339" s="47"/>
      <c r="AN339" s="47"/>
      <c r="AO339" s="47" t="str">
        <f t="shared" si="94"/>
        <v/>
      </c>
    </row>
    <row r="340" spans="1:41" s="56" customFormat="1" ht="14">
      <c r="A340" s="44"/>
      <c r="B340" s="45"/>
      <c r="C340" s="46">
        <f t="shared" si="85"/>
        <v>0</v>
      </c>
      <c r="D340" s="47"/>
      <c r="E340" s="47"/>
      <c r="F340" s="47"/>
      <c r="G340" s="47"/>
      <c r="H340" s="48"/>
      <c r="I340" s="74" t="str">
        <f t="shared" si="86"/>
        <v/>
      </c>
      <c r="J340" s="49"/>
      <c r="K340" s="49"/>
      <c r="L340" s="49"/>
      <c r="M340" s="47"/>
      <c r="N340" s="48" t="str">
        <f t="shared" si="87"/>
        <v/>
      </c>
      <c r="O340" s="48" t="str">
        <f t="shared" si="88"/>
        <v/>
      </c>
      <c r="P340" s="75" t="str">
        <f t="shared" si="89"/>
        <v/>
      </c>
      <c r="Q340" s="76">
        <f t="shared" si="90"/>
        <v>0</v>
      </c>
      <c r="R340" s="76">
        <f t="shared" si="91"/>
        <v>0</v>
      </c>
      <c r="S340" s="75">
        <f t="shared" si="95"/>
        <v>0</v>
      </c>
      <c r="T340" s="47"/>
      <c r="V340" s="57"/>
      <c r="W340" s="45"/>
      <c r="X340" s="46">
        <f t="shared" si="92"/>
        <v>0</v>
      </c>
      <c r="Y340" s="74" t="str">
        <f t="shared" si="93"/>
        <v/>
      </c>
      <c r="Z340" s="49"/>
      <c r="AA340" s="49"/>
      <c r="AB340" s="49"/>
      <c r="AC340" s="47"/>
      <c r="AD340" s="48" t="str">
        <f t="shared" si="96"/>
        <v/>
      </c>
      <c r="AE340" s="48" t="str">
        <f t="shared" si="97"/>
        <v/>
      </c>
      <c r="AF340" s="75" t="str">
        <f t="shared" si="98"/>
        <v/>
      </c>
      <c r="AG340" s="76">
        <f t="shared" si="99"/>
        <v>0</v>
      </c>
      <c r="AH340" s="76">
        <f t="shared" si="100"/>
        <v>0</v>
      </c>
      <c r="AI340" s="75">
        <f t="shared" si="101"/>
        <v>0</v>
      </c>
      <c r="AJ340" s="47"/>
      <c r="AL340" s="47"/>
      <c r="AN340" s="47"/>
      <c r="AO340" s="47" t="str">
        <f t="shared" si="94"/>
        <v/>
      </c>
    </row>
    <row r="341" spans="1:41" s="56" customFormat="1" ht="14">
      <c r="A341" s="44"/>
      <c r="B341" s="45"/>
      <c r="C341" s="46">
        <f t="shared" si="85"/>
        <v>0</v>
      </c>
      <c r="D341" s="47"/>
      <c r="E341" s="47"/>
      <c r="F341" s="47"/>
      <c r="G341" s="47"/>
      <c r="H341" s="48"/>
      <c r="I341" s="74" t="str">
        <f t="shared" si="86"/>
        <v/>
      </c>
      <c r="J341" s="49"/>
      <c r="K341" s="49"/>
      <c r="L341" s="49"/>
      <c r="M341" s="47"/>
      <c r="N341" s="48" t="str">
        <f t="shared" si="87"/>
        <v/>
      </c>
      <c r="O341" s="48" t="str">
        <f t="shared" si="88"/>
        <v/>
      </c>
      <c r="P341" s="75" t="str">
        <f t="shared" si="89"/>
        <v/>
      </c>
      <c r="Q341" s="76">
        <f t="shared" si="90"/>
        <v>0</v>
      </c>
      <c r="R341" s="76">
        <f t="shared" si="91"/>
        <v>0</v>
      </c>
      <c r="S341" s="75">
        <f t="shared" si="95"/>
        <v>0</v>
      </c>
      <c r="T341" s="47"/>
      <c r="V341" s="57"/>
      <c r="W341" s="45"/>
      <c r="X341" s="46">
        <f t="shared" si="92"/>
        <v>0</v>
      </c>
      <c r="Y341" s="74" t="str">
        <f t="shared" si="93"/>
        <v/>
      </c>
      <c r="Z341" s="49"/>
      <c r="AA341" s="49"/>
      <c r="AB341" s="49"/>
      <c r="AC341" s="47"/>
      <c r="AD341" s="48" t="str">
        <f t="shared" si="96"/>
        <v/>
      </c>
      <c r="AE341" s="48" t="str">
        <f t="shared" si="97"/>
        <v/>
      </c>
      <c r="AF341" s="75" t="str">
        <f t="shared" si="98"/>
        <v/>
      </c>
      <c r="AG341" s="76">
        <f t="shared" si="99"/>
        <v>0</v>
      </c>
      <c r="AH341" s="76">
        <f t="shared" si="100"/>
        <v>0</v>
      </c>
      <c r="AI341" s="75">
        <f t="shared" si="101"/>
        <v>0</v>
      </c>
      <c r="AJ341" s="47"/>
      <c r="AL341" s="47"/>
      <c r="AN341" s="47"/>
      <c r="AO341" s="47" t="str">
        <f t="shared" si="94"/>
        <v/>
      </c>
    </row>
    <row r="342" spans="1:41" s="56" customFormat="1" ht="14">
      <c r="A342" s="44"/>
      <c r="B342" s="45"/>
      <c r="C342" s="46">
        <f t="shared" si="85"/>
        <v>0</v>
      </c>
      <c r="D342" s="47"/>
      <c r="E342" s="47"/>
      <c r="F342" s="47"/>
      <c r="G342" s="47"/>
      <c r="H342" s="48"/>
      <c r="I342" s="74" t="str">
        <f t="shared" si="86"/>
        <v/>
      </c>
      <c r="J342" s="49"/>
      <c r="K342" s="49"/>
      <c r="L342" s="49"/>
      <c r="M342" s="47"/>
      <c r="N342" s="48" t="str">
        <f t="shared" si="87"/>
        <v/>
      </c>
      <c r="O342" s="48" t="str">
        <f t="shared" si="88"/>
        <v/>
      </c>
      <c r="P342" s="75" t="str">
        <f t="shared" si="89"/>
        <v/>
      </c>
      <c r="Q342" s="76">
        <f t="shared" si="90"/>
        <v>0</v>
      </c>
      <c r="R342" s="76">
        <f t="shared" si="91"/>
        <v>0</v>
      </c>
      <c r="S342" s="75">
        <f t="shared" si="95"/>
        <v>0</v>
      </c>
      <c r="T342" s="47"/>
      <c r="V342" s="57"/>
      <c r="W342" s="45"/>
      <c r="X342" s="46">
        <f t="shared" si="92"/>
        <v>0</v>
      </c>
      <c r="Y342" s="74" t="str">
        <f t="shared" si="93"/>
        <v/>
      </c>
      <c r="Z342" s="49"/>
      <c r="AA342" s="49"/>
      <c r="AB342" s="49"/>
      <c r="AC342" s="47"/>
      <c r="AD342" s="48" t="str">
        <f t="shared" si="96"/>
        <v/>
      </c>
      <c r="AE342" s="48" t="str">
        <f t="shared" si="97"/>
        <v/>
      </c>
      <c r="AF342" s="75" t="str">
        <f t="shared" si="98"/>
        <v/>
      </c>
      <c r="AG342" s="76">
        <f t="shared" si="99"/>
        <v>0</v>
      </c>
      <c r="AH342" s="76">
        <f t="shared" si="100"/>
        <v>0</v>
      </c>
      <c r="AI342" s="75">
        <f t="shared" si="101"/>
        <v>0</v>
      </c>
      <c r="AJ342" s="47"/>
      <c r="AL342" s="47"/>
      <c r="AN342" s="47"/>
      <c r="AO342" s="47" t="str">
        <f t="shared" si="94"/>
        <v/>
      </c>
    </row>
    <row r="343" spans="1:41" s="56" customFormat="1" ht="14">
      <c r="A343" s="44"/>
      <c r="B343" s="45"/>
      <c r="C343" s="46">
        <f t="shared" si="85"/>
        <v>0</v>
      </c>
      <c r="D343" s="47"/>
      <c r="E343" s="47"/>
      <c r="F343" s="47"/>
      <c r="G343" s="47"/>
      <c r="H343" s="48"/>
      <c r="I343" s="74" t="str">
        <f t="shared" si="86"/>
        <v/>
      </c>
      <c r="J343" s="49"/>
      <c r="K343" s="49"/>
      <c r="L343" s="49"/>
      <c r="M343" s="47"/>
      <c r="N343" s="48" t="str">
        <f t="shared" si="87"/>
        <v/>
      </c>
      <c r="O343" s="48" t="str">
        <f t="shared" si="88"/>
        <v/>
      </c>
      <c r="P343" s="75" t="str">
        <f t="shared" si="89"/>
        <v/>
      </c>
      <c r="Q343" s="76">
        <f t="shared" si="90"/>
        <v>0</v>
      </c>
      <c r="R343" s="76">
        <f t="shared" si="91"/>
        <v>0</v>
      </c>
      <c r="S343" s="75">
        <f t="shared" si="95"/>
        <v>0</v>
      </c>
      <c r="T343" s="47"/>
      <c r="V343" s="57"/>
      <c r="W343" s="45"/>
      <c r="X343" s="46">
        <f t="shared" si="92"/>
        <v>0</v>
      </c>
      <c r="Y343" s="74" t="str">
        <f t="shared" si="93"/>
        <v/>
      </c>
      <c r="Z343" s="49"/>
      <c r="AA343" s="49"/>
      <c r="AB343" s="49"/>
      <c r="AC343" s="47"/>
      <c r="AD343" s="48" t="str">
        <f t="shared" si="96"/>
        <v/>
      </c>
      <c r="AE343" s="48" t="str">
        <f t="shared" si="97"/>
        <v/>
      </c>
      <c r="AF343" s="75" t="str">
        <f t="shared" si="98"/>
        <v/>
      </c>
      <c r="AG343" s="76">
        <f t="shared" si="99"/>
        <v>0</v>
      </c>
      <c r="AH343" s="76">
        <f t="shared" si="100"/>
        <v>0</v>
      </c>
      <c r="AI343" s="75">
        <f t="shared" si="101"/>
        <v>0</v>
      </c>
      <c r="AJ343" s="47"/>
      <c r="AL343" s="47"/>
      <c r="AN343" s="47"/>
      <c r="AO343" s="47" t="str">
        <f t="shared" si="94"/>
        <v/>
      </c>
    </row>
    <row r="344" spans="1:41" s="56" customFormat="1" ht="14">
      <c r="A344" s="44"/>
      <c r="B344" s="45"/>
      <c r="C344" s="46">
        <f t="shared" si="85"/>
        <v>0</v>
      </c>
      <c r="D344" s="47"/>
      <c r="E344" s="47"/>
      <c r="F344" s="47"/>
      <c r="G344" s="47"/>
      <c r="H344" s="48"/>
      <c r="I344" s="74" t="str">
        <f t="shared" si="86"/>
        <v/>
      </c>
      <c r="J344" s="49"/>
      <c r="K344" s="49"/>
      <c r="L344" s="49"/>
      <c r="M344" s="47"/>
      <c r="N344" s="48" t="str">
        <f t="shared" si="87"/>
        <v/>
      </c>
      <c r="O344" s="48" t="str">
        <f t="shared" si="88"/>
        <v/>
      </c>
      <c r="P344" s="75" t="str">
        <f t="shared" si="89"/>
        <v/>
      </c>
      <c r="Q344" s="76">
        <f t="shared" si="90"/>
        <v>0</v>
      </c>
      <c r="R344" s="76">
        <f t="shared" si="91"/>
        <v>0</v>
      </c>
      <c r="S344" s="75">
        <f t="shared" si="95"/>
        <v>0</v>
      </c>
      <c r="T344" s="47"/>
      <c r="V344" s="57"/>
      <c r="W344" s="45"/>
      <c r="X344" s="46">
        <f t="shared" si="92"/>
        <v>0</v>
      </c>
      <c r="Y344" s="74" t="str">
        <f t="shared" si="93"/>
        <v/>
      </c>
      <c r="Z344" s="49"/>
      <c r="AA344" s="49"/>
      <c r="AB344" s="49"/>
      <c r="AC344" s="47"/>
      <c r="AD344" s="48" t="str">
        <f t="shared" si="96"/>
        <v/>
      </c>
      <c r="AE344" s="48" t="str">
        <f t="shared" si="97"/>
        <v/>
      </c>
      <c r="AF344" s="75" t="str">
        <f t="shared" si="98"/>
        <v/>
      </c>
      <c r="AG344" s="76">
        <f t="shared" si="99"/>
        <v>0</v>
      </c>
      <c r="AH344" s="76">
        <f t="shared" si="100"/>
        <v>0</v>
      </c>
      <c r="AI344" s="75">
        <f t="shared" si="101"/>
        <v>0</v>
      </c>
      <c r="AJ344" s="47"/>
      <c r="AL344" s="47"/>
      <c r="AN344" s="47"/>
      <c r="AO344" s="47" t="str">
        <f t="shared" si="94"/>
        <v/>
      </c>
    </row>
    <row r="345" spans="1:41" s="56" customFormat="1" ht="14">
      <c r="A345" s="44"/>
      <c r="B345" s="45"/>
      <c r="C345" s="46">
        <f t="shared" si="85"/>
        <v>0</v>
      </c>
      <c r="D345" s="47"/>
      <c r="E345" s="47"/>
      <c r="F345" s="47"/>
      <c r="G345" s="47"/>
      <c r="H345" s="48"/>
      <c r="I345" s="74" t="str">
        <f t="shared" si="86"/>
        <v/>
      </c>
      <c r="J345" s="49"/>
      <c r="K345" s="49"/>
      <c r="L345" s="49"/>
      <c r="M345" s="47"/>
      <c r="N345" s="48" t="str">
        <f t="shared" si="87"/>
        <v/>
      </c>
      <c r="O345" s="48" t="str">
        <f t="shared" si="88"/>
        <v/>
      </c>
      <c r="P345" s="75" t="str">
        <f t="shared" si="89"/>
        <v/>
      </c>
      <c r="Q345" s="76">
        <f t="shared" si="90"/>
        <v>0</v>
      </c>
      <c r="R345" s="76">
        <f t="shared" si="91"/>
        <v>0</v>
      </c>
      <c r="S345" s="75">
        <f t="shared" si="95"/>
        <v>0</v>
      </c>
      <c r="T345" s="47"/>
      <c r="V345" s="57"/>
      <c r="W345" s="45"/>
      <c r="X345" s="46">
        <f t="shared" si="92"/>
        <v>0</v>
      </c>
      <c r="Y345" s="74" t="str">
        <f t="shared" si="93"/>
        <v/>
      </c>
      <c r="Z345" s="49"/>
      <c r="AA345" s="49"/>
      <c r="AB345" s="49"/>
      <c r="AC345" s="47"/>
      <c r="AD345" s="48" t="str">
        <f t="shared" si="96"/>
        <v/>
      </c>
      <c r="AE345" s="48" t="str">
        <f t="shared" si="97"/>
        <v/>
      </c>
      <c r="AF345" s="75" t="str">
        <f t="shared" si="98"/>
        <v/>
      </c>
      <c r="AG345" s="76">
        <f t="shared" si="99"/>
        <v>0</v>
      </c>
      <c r="AH345" s="76">
        <f t="shared" si="100"/>
        <v>0</v>
      </c>
      <c r="AI345" s="75">
        <f t="shared" si="101"/>
        <v>0</v>
      </c>
      <c r="AJ345" s="47"/>
      <c r="AL345" s="47"/>
      <c r="AN345" s="47"/>
      <c r="AO345" s="47" t="str">
        <f t="shared" si="94"/>
        <v/>
      </c>
    </row>
    <row r="346" spans="1:41" s="56" customFormat="1" ht="14">
      <c r="A346" s="44"/>
      <c r="B346" s="45"/>
      <c r="C346" s="46">
        <f t="shared" si="85"/>
        <v>0</v>
      </c>
      <c r="D346" s="47"/>
      <c r="E346" s="47"/>
      <c r="F346" s="47"/>
      <c r="G346" s="47"/>
      <c r="H346" s="48"/>
      <c r="I346" s="74" t="str">
        <f t="shared" si="86"/>
        <v/>
      </c>
      <c r="J346" s="49"/>
      <c r="K346" s="49"/>
      <c r="L346" s="49"/>
      <c r="M346" s="47"/>
      <c r="N346" s="48" t="str">
        <f t="shared" si="87"/>
        <v/>
      </c>
      <c r="O346" s="48" t="str">
        <f t="shared" si="88"/>
        <v/>
      </c>
      <c r="P346" s="75" t="str">
        <f t="shared" si="89"/>
        <v/>
      </c>
      <c r="Q346" s="76">
        <f t="shared" si="90"/>
        <v>0</v>
      </c>
      <c r="R346" s="76">
        <f t="shared" si="91"/>
        <v>0</v>
      </c>
      <c r="S346" s="75">
        <f t="shared" si="95"/>
        <v>0</v>
      </c>
      <c r="T346" s="47"/>
      <c r="V346" s="57"/>
      <c r="W346" s="45"/>
      <c r="X346" s="46">
        <f t="shared" si="92"/>
        <v>0</v>
      </c>
      <c r="Y346" s="74" t="str">
        <f t="shared" si="93"/>
        <v/>
      </c>
      <c r="Z346" s="49"/>
      <c r="AA346" s="49"/>
      <c r="AB346" s="49"/>
      <c r="AC346" s="47"/>
      <c r="AD346" s="48" t="str">
        <f t="shared" si="96"/>
        <v/>
      </c>
      <c r="AE346" s="48" t="str">
        <f t="shared" si="97"/>
        <v/>
      </c>
      <c r="AF346" s="75" t="str">
        <f t="shared" si="98"/>
        <v/>
      </c>
      <c r="AG346" s="76">
        <f t="shared" si="99"/>
        <v>0</v>
      </c>
      <c r="AH346" s="76">
        <f t="shared" si="100"/>
        <v>0</v>
      </c>
      <c r="AI346" s="75">
        <f t="shared" si="101"/>
        <v>0</v>
      </c>
      <c r="AJ346" s="47"/>
      <c r="AL346" s="47"/>
      <c r="AN346" s="47"/>
      <c r="AO346" s="47" t="str">
        <f t="shared" si="94"/>
        <v/>
      </c>
    </row>
    <row r="347" spans="1:41" s="56" customFormat="1" ht="14">
      <c r="A347" s="44"/>
      <c r="B347" s="45"/>
      <c r="C347" s="46">
        <f t="shared" si="85"/>
        <v>0</v>
      </c>
      <c r="D347" s="47"/>
      <c r="E347" s="47"/>
      <c r="F347" s="47"/>
      <c r="G347" s="47"/>
      <c r="H347" s="48"/>
      <c r="I347" s="74" t="str">
        <f t="shared" si="86"/>
        <v/>
      </c>
      <c r="J347" s="49"/>
      <c r="K347" s="49"/>
      <c r="L347" s="49"/>
      <c r="M347" s="47"/>
      <c r="N347" s="48" t="str">
        <f t="shared" si="87"/>
        <v/>
      </c>
      <c r="O347" s="48" t="str">
        <f t="shared" si="88"/>
        <v/>
      </c>
      <c r="P347" s="75" t="str">
        <f t="shared" si="89"/>
        <v/>
      </c>
      <c r="Q347" s="76">
        <f t="shared" si="90"/>
        <v>0</v>
      </c>
      <c r="R347" s="76">
        <f t="shared" si="91"/>
        <v>0</v>
      </c>
      <c r="S347" s="75">
        <f t="shared" si="95"/>
        <v>0</v>
      </c>
      <c r="T347" s="47"/>
      <c r="V347" s="57"/>
      <c r="W347" s="45"/>
      <c r="X347" s="46">
        <f t="shared" si="92"/>
        <v>0</v>
      </c>
      <c r="Y347" s="74" t="str">
        <f t="shared" si="93"/>
        <v/>
      </c>
      <c r="Z347" s="49"/>
      <c r="AA347" s="49"/>
      <c r="AB347" s="49"/>
      <c r="AC347" s="47"/>
      <c r="AD347" s="48" t="str">
        <f t="shared" si="96"/>
        <v/>
      </c>
      <c r="AE347" s="48" t="str">
        <f t="shared" si="97"/>
        <v/>
      </c>
      <c r="AF347" s="75" t="str">
        <f t="shared" si="98"/>
        <v/>
      </c>
      <c r="AG347" s="76">
        <f t="shared" si="99"/>
        <v>0</v>
      </c>
      <c r="AH347" s="76">
        <f t="shared" si="100"/>
        <v>0</v>
      </c>
      <c r="AI347" s="75">
        <f t="shared" si="101"/>
        <v>0</v>
      </c>
      <c r="AJ347" s="47"/>
      <c r="AL347" s="47"/>
      <c r="AN347" s="47"/>
      <c r="AO347" s="47" t="str">
        <f t="shared" si="94"/>
        <v/>
      </c>
    </row>
    <row r="348" spans="1:41" s="56" customFormat="1" ht="14">
      <c r="A348" s="44"/>
      <c r="B348" s="45"/>
      <c r="C348" s="46">
        <f t="shared" si="85"/>
        <v>0</v>
      </c>
      <c r="D348" s="47"/>
      <c r="E348" s="47"/>
      <c r="F348" s="47"/>
      <c r="G348" s="47"/>
      <c r="H348" s="48"/>
      <c r="I348" s="74" t="str">
        <f t="shared" si="86"/>
        <v/>
      </c>
      <c r="J348" s="49"/>
      <c r="K348" s="49"/>
      <c r="L348" s="49"/>
      <c r="M348" s="47"/>
      <c r="N348" s="48" t="str">
        <f t="shared" si="87"/>
        <v/>
      </c>
      <c r="O348" s="48" t="str">
        <f t="shared" si="88"/>
        <v/>
      </c>
      <c r="P348" s="75" t="str">
        <f t="shared" si="89"/>
        <v/>
      </c>
      <c r="Q348" s="76">
        <f t="shared" si="90"/>
        <v>0</v>
      </c>
      <c r="R348" s="76">
        <f t="shared" si="91"/>
        <v>0</v>
      </c>
      <c r="S348" s="75">
        <f t="shared" si="95"/>
        <v>0</v>
      </c>
      <c r="T348" s="47"/>
      <c r="V348" s="57"/>
      <c r="W348" s="45"/>
      <c r="X348" s="46">
        <f t="shared" si="92"/>
        <v>0</v>
      </c>
      <c r="Y348" s="74" t="str">
        <f t="shared" si="93"/>
        <v/>
      </c>
      <c r="Z348" s="49"/>
      <c r="AA348" s="49"/>
      <c r="AB348" s="49"/>
      <c r="AC348" s="47"/>
      <c r="AD348" s="48" t="str">
        <f t="shared" si="96"/>
        <v/>
      </c>
      <c r="AE348" s="48" t="str">
        <f t="shared" si="97"/>
        <v/>
      </c>
      <c r="AF348" s="75" t="str">
        <f t="shared" si="98"/>
        <v/>
      </c>
      <c r="AG348" s="76">
        <f t="shared" si="99"/>
        <v>0</v>
      </c>
      <c r="AH348" s="76">
        <f t="shared" si="100"/>
        <v>0</v>
      </c>
      <c r="AI348" s="75">
        <f t="shared" si="101"/>
        <v>0</v>
      </c>
      <c r="AJ348" s="47"/>
      <c r="AL348" s="47"/>
      <c r="AN348" s="47"/>
      <c r="AO348" s="47" t="str">
        <f t="shared" si="94"/>
        <v/>
      </c>
    </row>
    <row r="349" spans="1:41" s="56" customFormat="1" ht="14">
      <c r="A349" s="44"/>
      <c r="B349" s="45"/>
      <c r="C349" s="46">
        <f t="shared" si="85"/>
        <v>0</v>
      </c>
      <c r="D349" s="47"/>
      <c r="E349" s="47"/>
      <c r="F349" s="47"/>
      <c r="G349" s="47"/>
      <c r="H349" s="48"/>
      <c r="I349" s="74" t="str">
        <f t="shared" si="86"/>
        <v/>
      </c>
      <c r="J349" s="49"/>
      <c r="K349" s="49"/>
      <c r="L349" s="49"/>
      <c r="M349" s="47"/>
      <c r="N349" s="48" t="str">
        <f t="shared" si="87"/>
        <v/>
      </c>
      <c r="O349" s="48" t="str">
        <f t="shared" si="88"/>
        <v/>
      </c>
      <c r="P349" s="75" t="str">
        <f t="shared" si="89"/>
        <v/>
      </c>
      <c r="Q349" s="76">
        <f t="shared" si="90"/>
        <v>0</v>
      </c>
      <c r="R349" s="76">
        <f t="shared" si="91"/>
        <v>0</v>
      </c>
      <c r="S349" s="75">
        <f t="shared" si="95"/>
        <v>0</v>
      </c>
      <c r="T349" s="47"/>
      <c r="V349" s="57"/>
      <c r="W349" s="45"/>
      <c r="X349" s="46">
        <f t="shared" si="92"/>
        <v>0</v>
      </c>
      <c r="Y349" s="74" t="str">
        <f t="shared" si="93"/>
        <v/>
      </c>
      <c r="Z349" s="49"/>
      <c r="AA349" s="49"/>
      <c r="AB349" s="49"/>
      <c r="AC349" s="47"/>
      <c r="AD349" s="48" t="str">
        <f t="shared" si="96"/>
        <v/>
      </c>
      <c r="AE349" s="48" t="str">
        <f t="shared" si="97"/>
        <v/>
      </c>
      <c r="AF349" s="75" t="str">
        <f t="shared" si="98"/>
        <v/>
      </c>
      <c r="AG349" s="76">
        <f t="shared" si="99"/>
        <v>0</v>
      </c>
      <c r="AH349" s="76">
        <f t="shared" si="100"/>
        <v>0</v>
      </c>
      <c r="AI349" s="75">
        <f t="shared" si="101"/>
        <v>0</v>
      </c>
      <c r="AJ349" s="47"/>
      <c r="AL349" s="47"/>
      <c r="AN349" s="47"/>
      <c r="AO349" s="47" t="str">
        <f t="shared" si="94"/>
        <v/>
      </c>
    </row>
    <row r="350" spans="1:41" s="56" customFormat="1" ht="14">
      <c r="A350" s="44"/>
      <c r="B350" s="45"/>
      <c r="C350" s="46">
        <f t="shared" si="85"/>
        <v>0</v>
      </c>
      <c r="D350" s="47"/>
      <c r="E350" s="47"/>
      <c r="F350" s="47"/>
      <c r="G350" s="47"/>
      <c r="H350" s="48"/>
      <c r="I350" s="74" t="str">
        <f t="shared" si="86"/>
        <v/>
      </c>
      <c r="J350" s="49"/>
      <c r="K350" s="49"/>
      <c r="L350" s="49"/>
      <c r="M350" s="47"/>
      <c r="N350" s="48" t="str">
        <f t="shared" si="87"/>
        <v/>
      </c>
      <c r="O350" s="48" t="str">
        <f t="shared" si="88"/>
        <v/>
      </c>
      <c r="P350" s="75" t="str">
        <f t="shared" si="89"/>
        <v/>
      </c>
      <c r="Q350" s="76">
        <f t="shared" si="90"/>
        <v>0</v>
      </c>
      <c r="R350" s="76">
        <f t="shared" si="91"/>
        <v>0</v>
      </c>
      <c r="S350" s="75">
        <f t="shared" si="95"/>
        <v>0</v>
      </c>
      <c r="T350" s="47"/>
      <c r="V350" s="57"/>
      <c r="W350" s="45"/>
      <c r="X350" s="46">
        <f t="shared" si="92"/>
        <v>0</v>
      </c>
      <c r="Y350" s="74" t="str">
        <f t="shared" si="93"/>
        <v/>
      </c>
      <c r="Z350" s="49"/>
      <c r="AA350" s="49"/>
      <c r="AB350" s="49"/>
      <c r="AC350" s="47"/>
      <c r="AD350" s="48" t="str">
        <f t="shared" si="96"/>
        <v/>
      </c>
      <c r="AE350" s="48" t="str">
        <f t="shared" si="97"/>
        <v/>
      </c>
      <c r="AF350" s="75" t="str">
        <f t="shared" si="98"/>
        <v/>
      </c>
      <c r="AG350" s="76">
        <f t="shared" si="99"/>
        <v>0</v>
      </c>
      <c r="AH350" s="76">
        <f t="shared" si="100"/>
        <v>0</v>
      </c>
      <c r="AI350" s="75">
        <f t="shared" si="101"/>
        <v>0</v>
      </c>
      <c r="AJ350" s="47"/>
      <c r="AL350" s="47"/>
      <c r="AN350" s="47"/>
      <c r="AO350" s="47" t="str">
        <f t="shared" si="94"/>
        <v/>
      </c>
    </row>
    <row r="351" spans="1:41" s="56" customFormat="1" ht="14">
      <c r="A351" s="44"/>
      <c r="B351" s="45"/>
      <c r="C351" s="46">
        <f t="shared" si="85"/>
        <v>0</v>
      </c>
      <c r="D351" s="47"/>
      <c r="E351" s="47"/>
      <c r="F351" s="47"/>
      <c r="G351" s="47"/>
      <c r="H351" s="48"/>
      <c r="I351" s="74" t="str">
        <f t="shared" si="86"/>
        <v/>
      </c>
      <c r="J351" s="49"/>
      <c r="K351" s="49"/>
      <c r="L351" s="49"/>
      <c r="M351" s="47"/>
      <c r="N351" s="48" t="str">
        <f t="shared" si="87"/>
        <v/>
      </c>
      <c r="O351" s="48" t="str">
        <f t="shared" si="88"/>
        <v/>
      </c>
      <c r="P351" s="75" t="str">
        <f t="shared" si="89"/>
        <v/>
      </c>
      <c r="Q351" s="76">
        <f t="shared" si="90"/>
        <v>0</v>
      </c>
      <c r="R351" s="76">
        <f t="shared" si="91"/>
        <v>0</v>
      </c>
      <c r="S351" s="75">
        <f t="shared" si="95"/>
        <v>0</v>
      </c>
      <c r="T351" s="47"/>
      <c r="V351" s="57"/>
      <c r="W351" s="45"/>
      <c r="X351" s="46">
        <f t="shared" si="92"/>
        <v>0</v>
      </c>
      <c r="Y351" s="74" t="str">
        <f t="shared" si="93"/>
        <v/>
      </c>
      <c r="Z351" s="49"/>
      <c r="AA351" s="49"/>
      <c r="AB351" s="49"/>
      <c r="AC351" s="47"/>
      <c r="AD351" s="48" t="str">
        <f t="shared" si="96"/>
        <v/>
      </c>
      <c r="AE351" s="48" t="str">
        <f t="shared" si="97"/>
        <v/>
      </c>
      <c r="AF351" s="75" t="str">
        <f t="shared" si="98"/>
        <v/>
      </c>
      <c r="AG351" s="76">
        <f t="shared" si="99"/>
        <v>0</v>
      </c>
      <c r="AH351" s="76">
        <f t="shared" si="100"/>
        <v>0</v>
      </c>
      <c r="AI351" s="75">
        <f t="shared" si="101"/>
        <v>0</v>
      </c>
      <c r="AJ351" s="47"/>
      <c r="AL351" s="47"/>
      <c r="AN351" s="47"/>
      <c r="AO351" s="47" t="str">
        <f t="shared" si="94"/>
        <v/>
      </c>
    </row>
    <row r="352" spans="1:41" s="56" customFormat="1" ht="14">
      <c r="A352" s="44"/>
      <c r="B352" s="45"/>
      <c r="C352" s="46">
        <f t="shared" si="85"/>
        <v>0</v>
      </c>
      <c r="D352" s="47"/>
      <c r="E352" s="47"/>
      <c r="F352" s="47"/>
      <c r="G352" s="47"/>
      <c r="H352" s="48"/>
      <c r="I352" s="74" t="str">
        <f t="shared" si="86"/>
        <v/>
      </c>
      <c r="J352" s="49"/>
      <c r="K352" s="49"/>
      <c r="L352" s="49"/>
      <c r="M352" s="47"/>
      <c r="N352" s="48" t="str">
        <f t="shared" si="87"/>
        <v/>
      </c>
      <c r="O352" s="48" t="str">
        <f t="shared" si="88"/>
        <v/>
      </c>
      <c r="P352" s="75" t="str">
        <f t="shared" si="89"/>
        <v/>
      </c>
      <c r="Q352" s="76">
        <f t="shared" si="90"/>
        <v>0</v>
      </c>
      <c r="R352" s="76">
        <f t="shared" si="91"/>
        <v>0</v>
      </c>
      <c r="S352" s="75">
        <f t="shared" si="95"/>
        <v>0</v>
      </c>
      <c r="T352" s="47"/>
      <c r="V352" s="57"/>
      <c r="W352" s="45"/>
      <c r="X352" s="46">
        <f t="shared" si="92"/>
        <v>0</v>
      </c>
      <c r="Y352" s="74" t="str">
        <f t="shared" si="93"/>
        <v/>
      </c>
      <c r="Z352" s="49"/>
      <c r="AA352" s="49"/>
      <c r="AB352" s="49"/>
      <c r="AC352" s="47"/>
      <c r="AD352" s="48" t="str">
        <f t="shared" si="96"/>
        <v/>
      </c>
      <c r="AE352" s="48" t="str">
        <f t="shared" si="97"/>
        <v/>
      </c>
      <c r="AF352" s="75" t="str">
        <f t="shared" si="98"/>
        <v/>
      </c>
      <c r="AG352" s="76">
        <f t="shared" si="99"/>
        <v>0</v>
      </c>
      <c r="AH352" s="76">
        <f t="shared" si="100"/>
        <v>0</v>
      </c>
      <c r="AI352" s="75">
        <f t="shared" si="101"/>
        <v>0</v>
      </c>
      <c r="AJ352" s="47"/>
      <c r="AL352" s="47"/>
      <c r="AN352" s="47"/>
      <c r="AO352" s="47" t="str">
        <f t="shared" si="94"/>
        <v/>
      </c>
    </row>
    <row r="353" spans="1:41" s="56" customFormat="1" ht="14">
      <c r="A353" s="44"/>
      <c r="B353" s="45"/>
      <c r="C353" s="46">
        <f t="shared" si="85"/>
        <v>0</v>
      </c>
      <c r="D353" s="47"/>
      <c r="E353" s="47"/>
      <c r="F353" s="47"/>
      <c r="G353" s="47"/>
      <c r="H353" s="48"/>
      <c r="I353" s="74" t="str">
        <f t="shared" si="86"/>
        <v/>
      </c>
      <c r="J353" s="49"/>
      <c r="K353" s="49"/>
      <c r="L353" s="49"/>
      <c r="M353" s="47"/>
      <c r="N353" s="48" t="str">
        <f t="shared" si="87"/>
        <v/>
      </c>
      <c r="O353" s="48" t="str">
        <f t="shared" si="88"/>
        <v/>
      </c>
      <c r="P353" s="75" t="str">
        <f t="shared" si="89"/>
        <v/>
      </c>
      <c r="Q353" s="76">
        <f t="shared" si="90"/>
        <v>0</v>
      </c>
      <c r="R353" s="76">
        <f t="shared" si="91"/>
        <v>0</v>
      </c>
      <c r="S353" s="75">
        <f t="shared" si="95"/>
        <v>0</v>
      </c>
      <c r="T353" s="47"/>
      <c r="V353" s="57"/>
      <c r="W353" s="45"/>
      <c r="X353" s="46">
        <f t="shared" si="92"/>
        <v>0</v>
      </c>
      <c r="Y353" s="74" t="str">
        <f t="shared" si="93"/>
        <v/>
      </c>
      <c r="Z353" s="49"/>
      <c r="AA353" s="49"/>
      <c r="AB353" s="49"/>
      <c r="AC353" s="47"/>
      <c r="AD353" s="48" t="str">
        <f t="shared" si="96"/>
        <v/>
      </c>
      <c r="AE353" s="48" t="str">
        <f t="shared" si="97"/>
        <v/>
      </c>
      <c r="AF353" s="75" t="str">
        <f t="shared" si="98"/>
        <v/>
      </c>
      <c r="AG353" s="76">
        <f t="shared" si="99"/>
        <v>0</v>
      </c>
      <c r="AH353" s="76">
        <f t="shared" si="100"/>
        <v>0</v>
      </c>
      <c r="AI353" s="75">
        <f t="shared" si="101"/>
        <v>0</v>
      </c>
      <c r="AJ353" s="47"/>
      <c r="AL353" s="47"/>
      <c r="AN353" s="47"/>
      <c r="AO353" s="47" t="str">
        <f t="shared" si="94"/>
        <v/>
      </c>
    </row>
    <row r="354" spans="1:41" s="56" customFormat="1" ht="14">
      <c r="A354" s="44"/>
      <c r="B354" s="45"/>
      <c r="C354" s="46">
        <f t="shared" si="85"/>
        <v>0</v>
      </c>
      <c r="D354" s="47"/>
      <c r="E354" s="47"/>
      <c r="F354" s="47"/>
      <c r="G354" s="47"/>
      <c r="H354" s="48"/>
      <c r="I354" s="74" t="str">
        <f t="shared" si="86"/>
        <v/>
      </c>
      <c r="J354" s="49"/>
      <c r="K354" s="49"/>
      <c r="L354" s="49"/>
      <c r="M354" s="47"/>
      <c r="N354" s="48" t="str">
        <f t="shared" si="87"/>
        <v/>
      </c>
      <c r="O354" s="48" t="str">
        <f t="shared" si="88"/>
        <v/>
      </c>
      <c r="P354" s="75" t="str">
        <f t="shared" si="89"/>
        <v/>
      </c>
      <c r="Q354" s="76">
        <f t="shared" si="90"/>
        <v>0</v>
      </c>
      <c r="R354" s="76">
        <f t="shared" si="91"/>
        <v>0</v>
      </c>
      <c r="S354" s="75">
        <f t="shared" si="95"/>
        <v>0</v>
      </c>
      <c r="T354" s="47"/>
      <c r="V354" s="57"/>
      <c r="W354" s="45"/>
      <c r="X354" s="46">
        <f t="shared" si="92"/>
        <v>0</v>
      </c>
      <c r="Y354" s="74" t="str">
        <f t="shared" si="93"/>
        <v/>
      </c>
      <c r="Z354" s="49"/>
      <c r="AA354" s="49"/>
      <c r="AB354" s="49"/>
      <c r="AC354" s="47"/>
      <c r="AD354" s="48" t="str">
        <f t="shared" si="96"/>
        <v/>
      </c>
      <c r="AE354" s="48" t="str">
        <f t="shared" si="97"/>
        <v/>
      </c>
      <c r="AF354" s="75" t="str">
        <f t="shared" si="98"/>
        <v/>
      </c>
      <c r="AG354" s="76">
        <f t="shared" si="99"/>
        <v>0</v>
      </c>
      <c r="AH354" s="76">
        <f t="shared" si="100"/>
        <v>0</v>
      </c>
      <c r="AI354" s="75">
        <f t="shared" si="101"/>
        <v>0</v>
      </c>
      <c r="AJ354" s="47"/>
      <c r="AL354" s="47"/>
      <c r="AN354" s="47"/>
      <c r="AO354" s="47" t="str">
        <f t="shared" si="94"/>
        <v/>
      </c>
    </row>
    <row r="355" spans="1:41" s="56" customFormat="1" ht="14">
      <c r="A355" s="44"/>
      <c r="B355" s="45"/>
      <c r="C355" s="46">
        <f t="shared" si="85"/>
        <v>0</v>
      </c>
      <c r="D355" s="47"/>
      <c r="E355" s="47"/>
      <c r="F355" s="47"/>
      <c r="G355" s="47"/>
      <c r="H355" s="48"/>
      <c r="I355" s="74" t="str">
        <f t="shared" si="86"/>
        <v/>
      </c>
      <c r="J355" s="49"/>
      <c r="K355" s="49"/>
      <c r="L355" s="49"/>
      <c r="M355" s="47"/>
      <c r="N355" s="48" t="str">
        <f t="shared" si="87"/>
        <v/>
      </c>
      <c r="O355" s="48" t="str">
        <f t="shared" si="88"/>
        <v/>
      </c>
      <c r="P355" s="75" t="str">
        <f t="shared" si="89"/>
        <v/>
      </c>
      <c r="Q355" s="76">
        <f t="shared" si="90"/>
        <v>0</v>
      </c>
      <c r="R355" s="76">
        <f t="shared" si="91"/>
        <v>0</v>
      </c>
      <c r="S355" s="75">
        <f t="shared" si="95"/>
        <v>0</v>
      </c>
      <c r="T355" s="47"/>
      <c r="V355" s="57"/>
      <c r="W355" s="45"/>
      <c r="X355" s="46">
        <f t="shared" si="92"/>
        <v>0</v>
      </c>
      <c r="Y355" s="74" t="str">
        <f t="shared" si="93"/>
        <v/>
      </c>
      <c r="Z355" s="49"/>
      <c r="AA355" s="49"/>
      <c r="AB355" s="49"/>
      <c r="AC355" s="47"/>
      <c r="AD355" s="48" t="str">
        <f t="shared" si="96"/>
        <v/>
      </c>
      <c r="AE355" s="48" t="str">
        <f t="shared" si="97"/>
        <v/>
      </c>
      <c r="AF355" s="75" t="str">
        <f t="shared" si="98"/>
        <v/>
      </c>
      <c r="AG355" s="76">
        <f t="shared" si="99"/>
        <v>0</v>
      </c>
      <c r="AH355" s="76">
        <f t="shared" si="100"/>
        <v>0</v>
      </c>
      <c r="AI355" s="75">
        <f t="shared" si="101"/>
        <v>0</v>
      </c>
      <c r="AJ355" s="47"/>
      <c r="AL355" s="47"/>
      <c r="AN355" s="47"/>
      <c r="AO355" s="47" t="str">
        <f t="shared" si="94"/>
        <v/>
      </c>
    </row>
    <row r="356" spans="1:41" s="56" customFormat="1" ht="14">
      <c r="A356" s="44"/>
      <c r="B356" s="45"/>
      <c r="C356" s="46">
        <f t="shared" si="85"/>
        <v>0</v>
      </c>
      <c r="D356" s="47"/>
      <c r="E356" s="47"/>
      <c r="F356" s="47"/>
      <c r="G356" s="47"/>
      <c r="H356" s="48"/>
      <c r="I356" s="74" t="str">
        <f t="shared" si="86"/>
        <v/>
      </c>
      <c r="J356" s="49"/>
      <c r="K356" s="49"/>
      <c r="L356" s="49"/>
      <c r="M356" s="47"/>
      <c r="N356" s="48" t="str">
        <f t="shared" si="87"/>
        <v/>
      </c>
      <c r="O356" s="48" t="str">
        <f t="shared" si="88"/>
        <v/>
      </c>
      <c r="P356" s="75" t="str">
        <f t="shared" si="89"/>
        <v/>
      </c>
      <c r="Q356" s="76">
        <f t="shared" si="90"/>
        <v>0</v>
      </c>
      <c r="R356" s="76">
        <f t="shared" si="91"/>
        <v>0</v>
      </c>
      <c r="S356" s="75">
        <f t="shared" si="95"/>
        <v>0</v>
      </c>
      <c r="T356" s="47"/>
      <c r="V356" s="57"/>
      <c r="W356" s="45"/>
      <c r="X356" s="46">
        <f t="shared" si="92"/>
        <v>0</v>
      </c>
      <c r="Y356" s="74" t="str">
        <f t="shared" si="93"/>
        <v/>
      </c>
      <c r="Z356" s="49"/>
      <c r="AA356" s="49"/>
      <c r="AB356" s="49"/>
      <c r="AC356" s="47"/>
      <c r="AD356" s="48" t="str">
        <f t="shared" si="96"/>
        <v/>
      </c>
      <c r="AE356" s="48" t="str">
        <f t="shared" si="97"/>
        <v/>
      </c>
      <c r="AF356" s="75" t="str">
        <f t="shared" si="98"/>
        <v/>
      </c>
      <c r="AG356" s="76">
        <f t="shared" si="99"/>
        <v>0</v>
      </c>
      <c r="AH356" s="76">
        <f t="shared" si="100"/>
        <v>0</v>
      </c>
      <c r="AI356" s="75">
        <f t="shared" si="101"/>
        <v>0</v>
      </c>
      <c r="AJ356" s="47"/>
      <c r="AL356" s="47"/>
      <c r="AN356" s="47"/>
      <c r="AO356" s="47" t="str">
        <f t="shared" si="94"/>
        <v/>
      </c>
    </row>
    <row r="357" spans="1:41" s="56" customFormat="1" ht="14">
      <c r="A357" s="44"/>
      <c r="B357" s="45"/>
      <c r="C357" s="46">
        <f t="shared" si="85"/>
        <v>0</v>
      </c>
      <c r="D357" s="47"/>
      <c r="E357" s="47"/>
      <c r="F357" s="47"/>
      <c r="G357" s="47"/>
      <c r="H357" s="48"/>
      <c r="I357" s="74" t="str">
        <f t="shared" si="86"/>
        <v/>
      </c>
      <c r="J357" s="49"/>
      <c r="K357" s="49"/>
      <c r="L357" s="49"/>
      <c r="M357" s="47"/>
      <c r="N357" s="48" t="str">
        <f t="shared" si="87"/>
        <v/>
      </c>
      <c r="O357" s="48" t="str">
        <f t="shared" si="88"/>
        <v/>
      </c>
      <c r="P357" s="75" t="str">
        <f t="shared" si="89"/>
        <v/>
      </c>
      <c r="Q357" s="76">
        <f t="shared" si="90"/>
        <v>0</v>
      </c>
      <c r="R357" s="76">
        <f t="shared" si="91"/>
        <v>0</v>
      </c>
      <c r="S357" s="75">
        <f t="shared" si="95"/>
        <v>0</v>
      </c>
      <c r="T357" s="47"/>
      <c r="V357" s="57"/>
      <c r="W357" s="45"/>
      <c r="X357" s="46">
        <f t="shared" si="92"/>
        <v>0</v>
      </c>
      <c r="Y357" s="74" t="str">
        <f t="shared" si="93"/>
        <v/>
      </c>
      <c r="Z357" s="49"/>
      <c r="AA357" s="49"/>
      <c r="AB357" s="49"/>
      <c r="AC357" s="47"/>
      <c r="AD357" s="48" t="str">
        <f t="shared" si="96"/>
        <v/>
      </c>
      <c r="AE357" s="48" t="str">
        <f t="shared" si="97"/>
        <v/>
      </c>
      <c r="AF357" s="75" t="str">
        <f t="shared" si="98"/>
        <v/>
      </c>
      <c r="AG357" s="76">
        <f t="shared" si="99"/>
        <v>0</v>
      </c>
      <c r="AH357" s="76">
        <f t="shared" si="100"/>
        <v>0</v>
      </c>
      <c r="AI357" s="75">
        <f t="shared" si="101"/>
        <v>0</v>
      </c>
      <c r="AJ357" s="47"/>
      <c r="AL357" s="47"/>
      <c r="AN357" s="47"/>
      <c r="AO357" s="47" t="str">
        <f t="shared" si="94"/>
        <v/>
      </c>
    </row>
    <row r="358" spans="1:41" s="56" customFormat="1" ht="14">
      <c r="A358" s="44"/>
      <c r="B358" s="45"/>
      <c r="C358" s="46">
        <f t="shared" si="85"/>
        <v>0</v>
      </c>
      <c r="D358" s="47"/>
      <c r="E358" s="47"/>
      <c r="F358" s="47"/>
      <c r="G358" s="47"/>
      <c r="H358" s="48"/>
      <c r="I358" s="74" t="str">
        <f t="shared" si="86"/>
        <v/>
      </c>
      <c r="J358" s="49"/>
      <c r="K358" s="49"/>
      <c r="L358" s="49"/>
      <c r="M358" s="47"/>
      <c r="N358" s="48" t="str">
        <f t="shared" si="87"/>
        <v/>
      </c>
      <c r="O358" s="48" t="str">
        <f t="shared" si="88"/>
        <v/>
      </c>
      <c r="P358" s="75" t="str">
        <f t="shared" si="89"/>
        <v/>
      </c>
      <c r="Q358" s="76">
        <f t="shared" si="90"/>
        <v>0</v>
      </c>
      <c r="R358" s="76">
        <f t="shared" si="91"/>
        <v>0</v>
      </c>
      <c r="S358" s="75">
        <f t="shared" si="95"/>
        <v>0</v>
      </c>
      <c r="T358" s="47"/>
      <c r="V358" s="57"/>
      <c r="W358" s="45"/>
      <c r="X358" s="46">
        <f t="shared" si="92"/>
        <v>0</v>
      </c>
      <c r="Y358" s="74" t="str">
        <f t="shared" si="93"/>
        <v/>
      </c>
      <c r="Z358" s="49"/>
      <c r="AA358" s="49"/>
      <c r="AB358" s="49"/>
      <c r="AC358" s="47"/>
      <c r="AD358" s="48" t="str">
        <f t="shared" si="96"/>
        <v/>
      </c>
      <c r="AE358" s="48" t="str">
        <f t="shared" si="97"/>
        <v/>
      </c>
      <c r="AF358" s="75" t="str">
        <f t="shared" si="98"/>
        <v/>
      </c>
      <c r="AG358" s="76">
        <f t="shared" si="99"/>
        <v>0</v>
      </c>
      <c r="AH358" s="76">
        <f t="shared" si="100"/>
        <v>0</v>
      </c>
      <c r="AI358" s="75">
        <f t="shared" si="101"/>
        <v>0</v>
      </c>
      <c r="AJ358" s="47"/>
      <c r="AL358" s="47"/>
      <c r="AN358" s="47"/>
      <c r="AO358" s="47" t="str">
        <f t="shared" si="94"/>
        <v/>
      </c>
    </row>
    <row r="359" spans="1:41" s="56" customFormat="1" ht="14">
      <c r="A359" s="44"/>
      <c r="B359" s="45"/>
      <c r="C359" s="46">
        <f t="shared" si="85"/>
        <v>0</v>
      </c>
      <c r="D359" s="47"/>
      <c r="E359" s="47"/>
      <c r="F359" s="47"/>
      <c r="G359" s="47"/>
      <c r="H359" s="48"/>
      <c r="I359" s="74" t="str">
        <f t="shared" si="86"/>
        <v/>
      </c>
      <c r="J359" s="49"/>
      <c r="K359" s="49"/>
      <c r="L359" s="49"/>
      <c r="M359" s="47"/>
      <c r="N359" s="48" t="str">
        <f t="shared" si="87"/>
        <v/>
      </c>
      <c r="O359" s="48" t="str">
        <f t="shared" si="88"/>
        <v/>
      </c>
      <c r="P359" s="75" t="str">
        <f t="shared" si="89"/>
        <v/>
      </c>
      <c r="Q359" s="76">
        <f t="shared" si="90"/>
        <v>0</v>
      </c>
      <c r="R359" s="76">
        <f t="shared" si="91"/>
        <v>0</v>
      </c>
      <c r="S359" s="75">
        <f t="shared" si="95"/>
        <v>0</v>
      </c>
      <c r="T359" s="47"/>
      <c r="V359" s="57"/>
      <c r="W359" s="45"/>
      <c r="X359" s="46">
        <f t="shared" si="92"/>
        <v>0</v>
      </c>
      <c r="Y359" s="74" t="str">
        <f t="shared" si="93"/>
        <v/>
      </c>
      <c r="Z359" s="49"/>
      <c r="AA359" s="49"/>
      <c r="AB359" s="49"/>
      <c r="AC359" s="47"/>
      <c r="AD359" s="48" t="str">
        <f t="shared" si="96"/>
        <v/>
      </c>
      <c r="AE359" s="48" t="str">
        <f t="shared" si="97"/>
        <v/>
      </c>
      <c r="AF359" s="75" t="str">
        <f t="shared" si="98"/>
        <v/>
      </c>
      <c r="AG359" s="76">
        <f t="shared" si="99"/>
        <v>0</v>
      </c>
      <c r="AH359" s="76">
        <f t="shared" si="100"/>
        <v>0</v>
      </c>
      <c r="AI359" s="75">
        <f t="shared" si="101"/>
        <v>0</v>
      </c>
      <c r="AJ359" s="47"/>
      <c r="AL359" s="47"/>
      <c r="AN359" s="47"/>
      <c r="AO359" s="47" t="str">
        <f t="shared" si="94"/>
        <v/>
      </c>
    </row>
    <row r="360" spans="1:41" s="56" customFormat="1" ht="14">
      <c r="A360" s="44"/>
      <c r="B360" s="45"/>
      <c r="C360" s="46">
        <f t="shared" si="85"/>
        <v>0</v>
      </c>
      <c r="D360" s="47"/>
      <c r="E360" s="47"/>
      <c r="F360" s="47"/>
      <c r="G360" s="47"/>
      <c r="H360" s="48"/>
      <c r="I360" s="74" t="str">
        <f t="shared" si="86"/>
        <v/>
      </c>
      <c r="J360" s="49"/>
      <c r="K360" s="49"/>
      <c r="L360" s="49"/>
      <c r="M360" s="47"/>
      <c r="N360" s="48" t="str">
        <f t="shared" si="87"/>
        <v/>
      </c>
      <c r="O360" s="48" t="str">
        <f t="shared" si="88"/>
        <v/>
      </c>
      <c r="P360" s="75" t="str">
        <f t="shared" si="89"/>
        <v/>
      </c>
      <c r="Q360" s="76">
        <f t="shared" si="90"/>
        <v>0</v>
      </c>
      <c r="R360" s="76">
        <f t="shared" si="91"/>
        <v>0</v>
      </c>
      <c r="S360" s="75">
        <f t="shared" si="95"/>
        <v>0</v>
      </c>
      <c r="T360" s="47"/>
      <c r="V360" s="57"/>
      <c r="W360" s="45"/>
      <c r="X360" s="46">
        <f t="shared" si="92"/>
        <v>0</v>
      </c>
      <c r="Y360" s="74" t="str">
        <f t="shared" si="93"/>
        <v/>
      </c>
      <c r="Z360" s="49"/>
      <c r="AA360" s="49"/>
      <c r="AB360" s="49"/>
      <c r="AC360" s="47"/>
      <c r="AD360" s="48" t="str">
        <f t="shared" si="96"/>
        <v/>
      </c>
      <c r="AE360" s="48" t="str">
        <f t="shared" si="97"/>
        <v/>
      </c>
      <c r="AF360" s="75" t="str">
        <f t="shared" si="98"/>
        <v/>
      </c>
      <c r="AG360" s="76">
        <f t="shared" si="99"/>
        <v>0</v>
      </c>
      <c r="AH360" s="76">
        <f t="shared" si="100"/>
        <v>0</v>
      </c>
      <c r="AI360" s="75">
        <f t="shared" si="101"/>
        <v>0</v>
      </c>
      <c r="AJ360" s="47"/>
      <c r="AL360" s="47"/>
      <c r="AN360" s="47"/>
      <c r="AO360" s="47" t="str">
        <f t="shared" si="94"/>
        <v/>
      </c>
    </row>
    <row r="361" spans="1:41" s="56" customFormat="1" ht="14">
      <c r="A361" s="44"/>
      <c r="B361" s="45"/>
      <c r="C361" s="46">
        <f t="shared" si="85"/>
        <v>0</v>
      </c>
      <c r="D361" s="47"/>
      <c r="E361" s="47"/>
      <c r="F361" s="47"/>
      <c r="G361" s="47"/>
      <c r="H361" s="48"/>
      <c r="I361" s="74" t="str">
        <f t="shared" si="86"/>
        <v/>
      </c>
      <c r="J361" s="49"/>
      <c r="K361" s="49"/>
      <c r="L361" s="49"/>
      <c r="M361" s="47"/>
      <c r="N361" s="48" t="str">
        <f t="shared" si="87"/>
        <v/>
      </c>
      <c r="O361" s="48" t="str">
        <f t="shared" si="88"/>
        <v/>
      </c>
      <c r="P361" s="75" t="str">
        <f t="shared" si="89"/>
        <v/>
      </c>
      <c r="Q361" s="76">
        <f t="shared" si="90"/>
        <v>0</v>
      </c>
      <c r="R361" s="76">
        <f t="shared" si="91"/>
        <v>0</v>
      </c>
      <c r="S361" s="75">
        <f t="shared" si="95"/>
        <v>0</v>
      </c>
      <c r="T361" s="47"/>
      <c r="V361" s="57"/>
      <c r="W361" s="45"/>
      <c r="X361" s="46">
        <f t="shared" si="92"/>
        <v>0</v>
      </c>
      <c r="Y361" s="74" t="str">
        <f t="shared" si="93"/>
        <v/>
      </c>
      <c r="Z361" s="49"/>
      <c r="AA361" s="49"/>
      <c r="AB361" s="49"/>
      <c r="AC361" s="47"/>
      <c r="AD361" s="48" t="str">
        <f t="shared" si="96"/>
        <v/>
      </c>
      <c r="AE361" s="48" t="str">
        <f t="shared" si="97"/>
        <v/>
      </c>
      <c r="AF361" s="75" t="str">
        <f t="shared" si="98"/>
        <v/>
      </c>
      <c r="AG361" s="76">
        <f t="shared" si="99"/>
        <v>0</v>
      </c>
      <c r="AH361" s="76">
        <f t="shared" si="100"/>
        <v>0</v>
      </c>
      <c r="AI361" s="75">
        <f t="shared" si="101"/>
        <v>0</v>
      </c>
      <c r="AJ361" s="47"/>
      <c r="AL361" s="47"/>
      <c r="AN361" s="47"/>
      <c r="AO361" s="47" t="str">
        <f t="shared" si="94"/>
        <v/>
      </c>
    </row>
    <row r="362" spans="1:41" s="56" customFormat="1" ht="14">
      <c r="A362" s="44"/>
      <c r="B362" s="45"/>
      <c r="C362" s="46">
        <f t="shared" si="85"/>
        <v>0</v>
      </c>
      <c r="D362" s="47"/>
      <c r="E362" s="47"/>
      <c r="F362" s="47"/>
      <c r="G362" s="47"/>
      <c r="H362" s="48"/>
      <c r="I362" s="74" t="str">
        <f t="shared" si="86"/>
        <v/>
      </c>
      <c r="J362" s="49"/>
      <c r="K362" s="49"/>
      <c r="L362" s="49"/>
      <c r="M362" s="47"/>
      <c r="N362" s="48" t="str">
        <f t="shared" si="87"/>
        <v/>
      </c>
      <c r="O362" s="48" t="str">
        <f t="shared" si="88"/>
        <v/>
      </c>
      <c r="P362" s="75" t="str">
        <f t="shared" si="89"/>
        <v/>
      </c>
      <c r="Q362" s="76">
        <f t="shared" si="90"/>
        <v>0</v>
      </c>
      <c r="R362" s="76">
        <f t="shared" si="91"/>
        <v>0</v>
      </c>
      <c r="S362" s="75">
        <f t="shared" si="95"/>
        <v>0</v>
      </c>
      <c r="T362" s="47"/>
      <c r="V362" s="57"/>
      <c r="W362" s="45"/>
      <c r="X362" s="46">
        <f t="shared" si="92"/>
        <v>0</v>
      </c>
      <c r="Y362" s="74" t="str">
        <f t="shared" si="93"/>
        <v/>
      </c>
      <c r="Z362" s="49"/>
      <c r="AA362" s="49"/>
      <c r="AB362" s="49"/>
      <c r="AC362" s="47"/>
      <c r="AD362" s="48" t="str">
        <f t="shared" si="96"/>
        <v/>
      </c>
      <c r="AE362" s="48" t="str">
        <f t="shared" si="97"/>
        <v/>
      </c>
      <c r="AF362" s="75" t="str">
        <f t="shared" si="98"/>
        <v/>
      </c>
      <c r="AG362" s="76">
        <f t="shared" si="99"/>
        <v>0</v>
      </c>
      <c r="AH362" s="76">
        <f t="shared" si="100"/>
        <v>0</v>
      </c>
      <c r="AI362" s="75">
        <f t="shared" si="101"/>
        <v>0</v>
      </c>
      <c r="AJ362" s="47"/>
      <c r="AL362" s="47"/>
      <c r="AN362" s="47"/>
      <c r="AO362" s="47" t="str">
        <f t="shared" si="94"/>
        <v/>
      </c>
    </row>
    <row r="363" spans="1:41" s="56" customFormat="1" ht="14">
      <c r="A363" s="44"/>
      <c r="B363" s="45"/>
      <c r="C363" s="46">
        <f t="shared" si="85"/>
        <v>0</v>
      </c>
      <c r="D363" s="47"/>
      <c r="E363" s="47"/>
      <c r="F363" s="47"/>
      <c r="G363" s="47"/>
      <c r="H363" s="48"/>
      <c r="I363" s="74" t="str">
        <f t="shared" si="86"/>
        <v/>
      </c>
      <c r="J363" s="49"/>
      <c r="K363" s="49"/>
      <c r="L363" s="49"/>
      <c r="M363" s="47"/>
      <c r="N363" s="48" t="str">
        <f t="shared" si="87"/>
        <v/>
      </c>
      <c r="O363" s="48" t="str">
        <f t="shared" si="88"/>
        <v/>
      </c>
      <c r="P363" s="75" t="str">
        <f t="shared" si="89"/>
        <v/>
      </c>
      <c r="Q363" s="76">
        <f t="shared" si="90"/>
        <v>0</v>
      </c>
      <c r="R363" s="76">
        <f t="shared" si="91"/>
        <v>0</v>
      </c>
      <c r="S363" s="75">
        <f t="shared" si="95"/>
        <v>0</v>
      </c>
      <c r="T363" s="47"/>
      <c r="V363" s="57"/>
      <c r="W363" s="45"/>
      <c r="X363" s="46">
        <f t="shared" si="92"/>
        <v>0</v>
      </c>
      <c r="Y363" s="74" t="str">
        <f t="shared" si="93"/>
        <v/>
      </c>
      <c r="Z363" s="49"/>
      <c r="AA363" s="49"/>
      <c r="AB363" s="49"/>
      <c r="AC363" s="47"/>
      <c r="AD363" s="48" t="str">
        <f t="shared" si="96"/>
        <v/>
      </c>
      <c r="AE363" s="48" t="str">
        <f t="shared" si="97"/>
        <v/>
      </c>
      <c r="AF363" s="75" t="str">
        <f t="shared" si="98"/>
        <v/>
      </c>
      <c r="AG363" s="76">
        <f t="shared" si="99"/>
        <v>0</v>
      </c>
      <c r="AH363" s="76">
        <f t="shared" si="100"/>
        <v>0</v>
      </c>
      <c r="AI363" s="75">
        <f t="shared" si="101"/>
        <v>0</v>
      </c>
      <c r="AJ363" s="47"/>
      <c r="AL363" s="47"/>
      <c r="AN363" s="47"/>
      <c r="AO363" s="47" t="str">
        <f t="shared" si="94"/>
        <v/>
      </c>
    </row>
    <row r="364" spans="1:41" s="56" customFormat="1" ht="14">
      <c r="A364" s="44"/>
      <c r="B364" s="45"/>
      <c r="C364" s="46">
        <f t="shared" si="85"/>
        <v>0</v>
      </c>
      <c r="D364" s="47"/>
      <c r="E364" s="47"/>
      <c r="F364" s="47"/>
      <c r="G364" s="47"/>
      <c r="H364" s="48"/>
      <c r="I364" s="74" t="str">
        <f t="shared" si="86"/>
        <v/>
      </c>
      <c r="J364" s="49"/>
      <c r="K364" s="49"/>
      <c r="L364" s="49"/>
      <c r="M364" s="47"/>
      <c r="N364" s="48" t="str">
        <f t="shared" si="87"/>
        <v/>
      </c>
      <c r="O364" s="48" t="str">
        <f t="shared" si="88"/>
        <v/>
      </c>
      <c r="P364" s="75" t="str">
        <f t="shared" si="89"/>
        <v/>
      </c>
      <c r="Q364" s="76">
        <f t="shared" si="90"/>
        <v>0</v>
      </c>
      <c r="R364" s="76">
        <f t="shared" si="91"/>
        <v>0</v>
      </c>
      <c r="S364" s="75">
        <f t="shared" si="95"/>
        <v>0</v>
      </c>
      <c r="T364" s="47"/>
      <c r="V364" s="57"/>
      <c r="W364" s="45"/>
      <c r="X364" s="46">
        <f t="shared" si="92"/>
        <v>0</v>
      </c>
      <c r="Y364" s="74" t="str">
        <f t="shared" si="93"/>
        <v/>
      </c>
      <c r="Z364" s="49"/>
      <c r="AA364" s="49"/>
      <c r="AB364" s="49"/>
      <c r="AC364" s="47"/>
      <c r="AD364" s="48" t="str">
        <f t="shared" si="96"/>
        <v/>
      </c>
      <c r="AE364" s="48" t="str">
        <f t="shared" si="97"/>
        <v/>
      </c>
      <c r="AF364" s="75" t="str">
        <f t="shared" si="98"/>
        <v/>
      </c>
      <c r="AG364" s="76">
        <f t="shared" si="99"/>
        <v>0</v>
      </c>
      <c r="AH364" s="76">
        <f t="shared" si="100"/>
        <v>0</v>
      </c>
      <c r="AI364" s="75">
        <f t="shared" si="101"/>
        <v>0</v>
      </c>
      <c r="AJ364" s="47"/>
      <c r="AL364" s="47"/>
      <c r="AN364" s="47"/>
      <c r="AO364" s="47" t="str">
        <f t="shared" si="94"/>
        <v/>
      </c>
    </row>
    <row r="365" spans="1:41" s="56" customFormat="1" ht="14">
      <c r="A365" s="44"/>
      <c r="B365" s="45"/>
      <c r="C365" s="46">
        <f t="shared" si="85"/>
        <v>0</v>
      </c>
      <c r="D365" s="47"/>
      <c r="E365" s="47"/>
      <c r="F365" s="47"/>
      <c r="G365" s="47"/>
      <c r="H365" s="48"/>
      <c r="I365" s="74" t="str">
        <f t="shared" si="86"/>
        <v/>
      </c>
      <c r="J365" s="49"/>
      <c r="K365" s="49"/>
      <c r="L365" s="49"/>
      <c r="M365" s="47"/>
      <c r="N365" s="48" t="str">
        <f t="shared" si="87"/>
        <v/>
      </c>
      <c r="O365" s="48" t="str">
        <f t="shared" si="88"/>
        <v/>
      </c>
      <c r="P365" s="75" t="str">
        <f t="shared" si="89"/>
        <v/>
      </c>
      <c r="Q365" s="76">
        <f t="shared" si="90"/>
        <v>0</v>
      </c>
      <c r="R365" s="76">
        <f t="shared" si="91"/>
        <v>0</v>
      </c>
      <c r="S365" s="75">
        <f t="shared" si="95"/>
        <v>0</v>
      </c>
      <c r="T365" s="47"/>
      <c r="V365" s="57"/>
      <c r="W365" s="45"/>
      <c r="X365" s="46">
        <f t="shared" si="92"/>
        <v>0</v>
      </c>
      <c r="Y365" s="74" t="str">
        <f t="shared" si="93"/>
        <v/>
      </c>
      <c r="Z365" s="49"/>
      <c r="AA365" s="49"/>
      <c r="AB365" s="49"/>
      <c r="AC365" s="47"/>
      <c r="AD365" s="48" t="str">
        <f t="shared" si="96"/>
        <v/>
      </c>
      <c r="AE365" s="48" t="str">
        <f t="shared" si="97"/>
        <v/>
      </c>
      <c r="AF365" s="75" t="str">
        <f t="shared" si="98"/>
        <v/>
      </c>
      <c r="AG365" s="76">
        <f t="shared" si="99"/>
        <v>0</v>
      </c>
      <c r="AH365" s="76">
        <f t="shared" si="100"/>
        <v>0</v>
      </c>
      <c r="AI365" s="75">
        <f t="shared" si="101"/>
        <v>0</v>
      </c>
      <c r="AJ365" s="47"/>
      <c r="AL365" s="47"/>
      <c r="AN365" s="47"/>
      <c r="AO365" s="47" t="str">
        <f t="shared" si="94"/>
        <v/>
      </c>
    </row>
    <row r="366" spans="1:41" s="56" customFormat="1" ht="14">
      <c r="A366" s="44"/>
      <c r="B366" s="45"/>
      <c r="C366" s="46">
        <f t="shared" si="85"/>
        <v>0</v>
      </c>
      <c r="D366" s="47"/>
      <c r="E366" s="47"/>
      <c r="F366" s="47"/>
      <c r="G366" s="47"/>
      <c r="H366" s="48"/>
      <c r="I366" s="74" t="str">
        <f t="shared" si="86"/>
        <v/>
      </c>
      <c r="J366" s="49"/>
      <c r="K366" s="49"/>
      <c r="L366" s="49"/>
      <c r="M366" s="47"/>
      <c r="N366" s="48" t="str">
        <f t="shared" si="87"/>
        <v/>
      </c>
      <c r="O366" s="48" t="str">
        <f t="shared" si="88"/>
        <v/>
      </c>
      <c r="P366" s="75" t="str">
        <f t="shared" si="89"/>
        <v/>
      </c>
      <c r="Q366" s="76">
        <f t="shared" si="90"/>
        <v>0</v>
      </c>
      <c r="R366" s="76">
        <f t="shared" si="91"/>
        <v>0</v>
      </c>
      <c r="S366" s="75">
        <f t="shared" si="95"/>
        <v>0</v>
      </c>
      <c r="T366" s="47"/>
      <c r="V366" s="57"/>
      <c r="W366" s="45"/>
      <c r="X366" s="46">
        <f t="shared" si="92"/>
        <v>0</v>
      </c>
      <c r="Y366" s="74" t="str">
        <f t="shared" si="93"/>
        <v/>
      </c>
      <c r="Z366" s="49"/>
      <c r="AA366" s="49"/>
      <c r="AB366" s="49"/>
      <c r="AC366" s="47"/>
      <c r="AD366" s="48" t="str">
        <f t="shared" si="96"/>
        <v/>
      </c>
      <c r="AE366" s="48" t="str">
        <f t="shared" si="97"/>
        <v/>
      </c>
      <c r="AF366" s="75" t="str">
        <f t="shared" si="98"/>
        <v/>
      </c>
      <c r="AG366" s="76">
        <f t="shared" si="99"/>
        <v>0</v>
      </c>
      <c r="AH366" s="76">
        <f t="shared" si="100"/>
        <v>0</v>
      </c>
      <c r="AI366" s="75">
        <f t="shared" si="101"/>
        <v>0</v>
      </c>
      <c r="AJ366" s="47"/>
      <c r="AL366" s="47"/>
      <c r="AN366" s="47"/>
      <c r="AO366" s="47" t="str">
        <f t="shared" si="94"/>
        <v/>
      </c>
    </row>
    <row r="367" spans="1:41" s="56" customFormat="1" ht="14">
      <c r="A367" s="44"/>
      <c r="B367" s="45"/>
      <c r="C367" s="46">
        <f t="shared" si="85"/>
        <v>0</v>
      </c>
      <c r="D367" s="47"/>
      <c r="E367" s="47"/>
      <c r="F367" s="47"/>
      <c r="G367" s="47"/>
      <c r="H367" s="48"/>
      <c r="I367" s="74" t="str">
        <f t="shared" si="86"/>
        <v/>
      </c>
      <c r="J367" s="49"/>
      <c r="K367" s="49"/>
      <c r="L367" s="49"/>
      <c r="M367" s="47"/>
      <c r="N367" s="48" t="str">
        <f t="shared" si="87"/>
        <v/>
      </c>
      <c r="O367" s="48" t="str">
        <f t="shared" si="88"/>
        <v/>
      </c>
      <c r="P367" s="75" t="str">
        <f t="shared" si="89"/>
        <v/>
      </c>
      <c r="Q367" s="76">
        <f t="shared" si="90"/>
        <v>0</v>
      </c>
      <c r="R367" s="76">
        <f t="shared" si="91"/>
        <v>0</v>
      </c>
      <c r="S367" s="75">
        <f t="shared" si="95"/>
        <v>0</v>
      </c>
      <c r="T367" s="47"/>
      <c r="V367" s="57"/>
      <c r="W367" s="45"/>
      <c r="X367" s="46">
        <f t="shared" si="92"/>
        <v>0</v>
      </c>
      <c r="Y367" s="74" t="str">
        <f t="shared" si="93"/>
        <v/>
      </c>
      <c r="Z367" s="49"/>
      <c r="AA367" s="49"/>
      <c r="AB367" s="49"/>
      <c r="AC367" s="47"/>
      <c r="AD367" s="48" t="str">
        <f t="shared" si="96"/>
        <v/>
      </c>
      <c r="AE367" s="48" t="str">
        <f t="shared" si="97"/>
        <v/>
      </c>
      <c r="AF367" s="75" t="str">
        <f t="shared" si="98"/>
        <v/>
      </c>
      <c r="AG367" s="76">
        <f t="shared" si="99"/>
        <v>0</v>
      </c>
      <c r="AH367" s="76">
        <f t="shared" si="100"/>
        <v>0</v>
      </c>
      <c r="AI367" s="75">
        <f t="shared" si="101"/>
        <v>0</v>
      </c>
      <c r="AJ367" s="47"/>
      <c r="AL367" s="47"/>
      <c r="AN367" s="47"/>
      <c r="AO367" s="47" t="str">
        <f t="shared" si="94"/>
        <v/>
      </c>
    </row>
    <row r="368" spans="1:41" s="56" customFormat="1" ht="14">
      <c r="A368" s="44"/>
      <c r="B368" s="45"/>
      <c r="C368" s="46">
        <f t="shared" si="85"/>
        <v>0</v>
      </c>
      <c r="D368" s="47"/>
      <c r="E368" s="47"/>
      <c r="F368" s="47"/>
      <c r="G368" s="47"/>
      <c r="H368" s="48"/>
      <c r="I368" s="74" t="str">
        <f t="shared" si="86"/>
        <v/>
      </c>
      <c r="J368" s="49"/>
      <c r="K368" s="49"/>
      <c r="L368" s="49"/>
      <c r="M368" s="47"/>
      <c r="N368" s="48" t="str">
        <f t="shared" si="87"/>
        <v/>
      </c>
      <c r="O368" s="48" t="str">
        <f t="shared" si="88"/>
        <v/>
      </c>
      <c r="P368" s="75" t="str">
        <f t="shared" si="89"/>
        <v/>
      </c>
      <c r="Q368" s="76">
        <f t="shared" si="90"/>
        <v>0</v>
      </c>
      <c r="R368" s="76">
        <f t="shared" si="91"/>
        <v>0</v>
      </c>
      <c r="S368" s="75">
        <f t="shared" si="95"/>
        <v>0</v>
      </c>
      <c r="T368" s="47"/>
      <c r="V368" s="57"/>
      <c r="W368" s="45"/>
      <c r="X368" s="46">
        <f t="shared" si="92"/>
        <v>0</v>
      </c>
      <c r="Y368" s="74" t="str">
        <f t="shared" si="93"/>
        <v/>
      </c>
      <c r="Z368" s="49"/>
      <c r="AA368" s="49"/>
      <c r="AB368" s="49"/>
      <c r="AC368" s="47"/>
      <c r="AD368" s="48" t="str">
        <f t="shared" si="96"/>
        <v/>
      </c>
      <c r="AE368" s="48" t="str">
        <f t="shared" si="97"/>
        <v/>
      </c>
      <c r="AF368" s="75" t="str">
        <f t="shared" si="98"/>
        <v/>
      </c>
      <c r="AG368" s="76">
        <f t="shared" si="99"/>
        <v>0</v>
      </c>
      <c r="AH368" s="76">
        <f t="shared" si="100"/>
        <v>0</v>
      </c>
      <c r="AI368" s="75">
        <f t="shared" si="101"/>
        <v>0</v>
      </c>
      <c r="AJ368" s="47"/>
      <c r="AL368" s="47"/>
      <c r="AN368" s="47"/>
      <c r="AO368" s="47" t="str">
        <f t="shared" si="94"/>
        <v/>
      </c>
    </row>
    <row r="369" spans="1:41" s="56" customFormat="1" ht="14">
      <c r="A369" s="44"/>
      <c r="B369" s="45"/>
      <c r="C369" s="46">
        <f t="shared" si="85"/>
        <v>0</v>
      </c>
      <c r="D369" s="47"/>
      <c r="E369" s="47"/>
      <c r="F369" s="47"/>
      <c r="G369" s="47"/>
      <c r="H369" s="48"/>
      <c r="I369" s="74" t="str">
        <f t="shared" si="86"/>
        <v/>
      </c>
      <c r="J369" s="49"/>
      <c r="K369" s="49"/>
      <c r="L369" s="49"/>
      <c r="M369" s="47"/>
      <c r="N369" s="48" t="str">
        <f t="shared" si="87"/>
        <v/>
      </c>
      <c r="O369" s="48" t="str">
        <f t="shared" si="88"/>
        <v/>
      </c>
      <c r="P369" s="75" t="str">
        <f t="shared" si="89"/>
        <v/>
      </c>
      <c r="Q369" s="76">
        <f t="shared" si="90"/>
        <v>0</v>
      </c>
      <c r="R369" s="76">
        <f t="shared" si="91"/>
        <v>0</v>
      </c>
      <c r="S369" s="75">
        <f t="shared" si="95"/>
        <v>0</v>
      </c>
      <c r="T369" s="47"/>
      <c r="V369" s="57"/>
      <c r="W369" s="45"/>
      <c r="X369" s="46">
        <f t="shared" si="92"/>
        <v>0</v>
      </c>
      <c r="Y369" s="74" t="str">
        <f t="shared" si="93"/>
        <v/>
      </c>
      <c r="Z369" s="49"/>
      <c r="AA369" s="49"/>
      <c r="AB369" s="49"/>
      <c r="AC369" s="47"/>
      <c r="AD369" s="48" t="str">
        <f t="shared" si="96"/>
        <v/>
      </c>
      <c r="AE369" s="48" t="str">
        <f t="shared" si="97"/>
        <v/>
      </c>
      <c r="AF369" s="75" t="str">
        <f t="shared" si="98"/>
        <v/>
      </c>
      <c r="AG369" s="76">
        <f t="shared" si="99"/>
        <v>0</v>
      </c>
      <c r="AH369" s="76">
        <f t="shared" si="100"/>
        <v>0</v>
      </c>
      <c r="AI369" s="75">
        <f t="shared" si="101"/>
        <v>0</v>
      </c>
      <c r="AJ369" s="47"/>
      <c r="AL369" s="47"/>
      <c r="AN369" s="47"/>
      <c r="AO369" s="47" t="str">
        <f t="shared" si="94"/>
        <v/>
      </c>
    </row>
    <row r="370" spans="1:41" s="56" customFormat="1" ht="14">
      <c r="A370" s="44"/>
      <c r="B370" s="45"/>
      <c r="C370" s="46">
        <f t="shared" si="85"/>
        <v>0</v>
      </c>
      <c r="D370" s="47"/>
      <c r="E370" s="47"/>
      <c r="F370" s="47"/>
      <c r="G370" s="47"/>
      <c r="H370" s="48"/>
      <c r="I370" s="74" t="str">
        <f t="shared" si="86"/>
        <v/>
      </c>
      <c r="J370" s="49"/>
      <c r="K370" s="49"/>
      <c r="L370" s="49"/>
      <c r="M370" s="47"/>
      <c r="N370" s="48" t="str">
        <f t="shared" si="87"/>
        <v/>
      </c>
      <c r="O370" s="48" t="str">
        <f t="shared" si="88"/>
        <v/>
      </c>
      <c r="P370" s="75" t="str">
        <f t="shared" si="89"/>
        <v/>
      </c>
      <c r="Q370" s="76">
        <f t="shared" si="90"/>
        <v>0</v>
      </c>
      <c r="R370" s="76">
        <f t="shared" si="91"/>
        <v>0</v>
      </c>
      <c r="S370" s="75">
        <f t="shared" si="95"/>
        <v>0</v>
      </c>
      <c r="T370" s="47"/>
      <c r="V370" s="57"/>
      <c r="W370" s="45"/>
      <c r="X370" s="46">
        <f t="shared" si="92"/>
        <v>0</v>
      </c>
      <c r="Y370" s="74" t="str">
        <f t="shared" si="93"/>
        <v/>
      </c>
      <c r="Z370" s="49"/>
      <c r="AA370" s="49"/>
      <c r="AB370" s="49"/>
      <c r="AC370" s="47"/>
      <c r="AD370" s="48" t="str">
        <f t="shared" si="96"/>
        <v/>
      </c>
      <c r="AE370" s="48" t="str">
        <f t="shared" si="97"/>
        <v/>
      </c>
      <c r="AF370" s="75" t="str">
        <f t="shared" si="98"/>
        <v/>
      </c>
      <c r="AG370" s="76">
        <f t="shared" si="99"/>
        <v>0</v>
      </c>
      <c r="AH370" s="76">
        <f t="shared" si="100"/>
        <v>0</v>
      </c>
      <c r="AI370" s="75">
        <f t="shared" si="101"/>
        <v>0</v>
      </c>
      <c r="AJ370" s="47"/>
      <c r="AL370" s="47"/>
      <c r="AN370" s="47"/>
      <c r="AO370" s="47" t="str">
        <f t="shared" si="94"/>
        <v/>
      </c>
    </row>
    <row r="371" spans="1:41" s="56" customFormat="1" ht="14">
      <c r="A371" s="44"/>
      <c r="B371" s="45"/>
      <c r="C371" s="46">
        <f t="shared" si="85"/>
        <v>0</v>
      </c>
      <c r="D371" s="47"/>
      <c r="E371" s="47"/>
      <c r="F371" s="47"/>
      <c r="G371" s="47"/>
      <c r="H371" s="48"/>
      <c r="I371" s="74" t="str">
        <f t="shared" si="86"/>
        <v/>
      </c>
      <c r="J371" s="49"/>
      <c r="K371" s="49"/>
      <c r="L371" s="49"/>
      <c r="M371" s="47"/>
      <c r="N371" s="48" t="str">
        <f t="shared" si="87"/>
        <v/>
      </c>
      <c r="O371" s="48" t="str">
        <f t="shared" si="88"/>
        <v/>
      </c>
      <c r="P371" s="75" t="str">
        <f t="shared" si="89"/>
        <v/>
      </c>
      <c r="Q371" s="76">
        <f t="shared" si="90"/>
        <v>0</v>
      </c>
      <c r="R371" s="76">
        <f t="shared" si="91"/>
        <v>0</v>
      </c>
      <c r="S371" s="75">
        <f t="shared" si="95"/>
        <v>0</v>
      </c>
      <c r="T371" s="47"/>
      <c r="V371" s="57"/>
      <c r="W371" s="45"/>
      <c r="X371" s="46">
        <f t="shared" si="92"/>
        <v>0</v>
      </c>
      <c r="Y371" s="74" t="str">
        <f t="shared" si="93"/>
        <v/>
      </c>
      <c r="Z371" s="49"/>
      <c r="AA371" s="49"/>
      <c r="AB371" s="49"/>
      <c r="AC371" s="47"/>
      <c r="AD371" s="48" t="str">
        <f t="shared" si="96"/>
        <v/>
      </c>
      <c r="AE371" s="48" t="str">
        <f t="shared" si="97"/>
        <v/>
      </c>
      <c r="AF371" s="75" t="str">
        <f t="shared" si="98"/>
        <v/>
      </c>
      <c r="AG371" s="76">
        <f t="shared" si="99"/>
        <v>0</v>
      </c>
      <c r="AH371" s="76">
        <f t="shared" si="100"/>
        <v>0</v>
      </c>
      <c r="AI371" s="75">
        <f t="shared" si="101"/>
        <v>0</v>
      </c>
      <c r="AJ371" s="47"/>
      <c r="AL371" s="47"/>
      <c r="AN371" s="47"/>
      <c r="AO371" s="47" t="str">
        <f t="shared" si="94"/>
        <v/>
      </c>
    </row>
    <row r="372" spans="1:41" s="56" customFormat="1" ht="14">
      <c r="A372" s="44"/>
      <c r="B372" s="45"/>
      <c r="C372" s="46">
        <f t="shared" si="85"/>
        <v>0</v>
      </c>
      <c r="D372" s="47"/>
      <c r="E372" s="47"/>
      <c r="F372" s="47"/>
      <c r="G372" s="47"/>
      <c r="H372" s="48"/>
      <c r="I372" s="74" t="str">
        <f t="shared" si="86"/>
        <v/>
      </c>
      <c r="J372" s="49"/>
      <c r="K372" s="49"/>
      <c r="L372" s="49"/>
      <c r="M372" s="47"/>
      <c r="N372" s="48" t="str">
        <f t="shared" si="87"/>
        <v/>
      </c>
      <c r="O372" s="48" t="str">
        <f t="shared" si="88"/>
        <v/>
      </c>
      <c r="P372" s="75" t="str">
        <f t="shared" si="89"/>
        <v/>
      </c>
      <c r="Q372" s="76">
        <f t="shared" si="90"/>
        <v>0</v>
      </c>
      <c r="R372" s="76">
        <f t="shared" si="91"/>
        <v>0</v>
      </c>
      <c r="S372" s="75">
        <f t="shared" si="95"/>
        <v>0</v>
      </c>
      <c r="T372" s="47"/>
      <c r="V372" s="57"/>
      <c r="W372" s="45"/>
      <c r="X372" s="46">
        <f t="shared" si="92"/>
        <v>0</v>
      </c>
      <c r="Y372" s="74" t="str">
        <f t="shared" si="93"/>
        <v/>
      </c>
      <c r="Z372" s="49"/>
      <c r="AA372" s="49"/>
      <c r="AB372" s="49"/>
      <c r="AC372" s="47"/>
      <c r="AD372" s="48" t="str">
        <f t="shared" si="96"/>
        <v/>
      </c>
      <c r="AE372" s="48" t="str">
        <f t="shared" si="97"/>
        <v/>
      </c>
      <c r="AF372" s="75" t="str">
        <f t="shared" si="98"/>
        <v/>
      </c>
      <c r="AG372" s="76">
        <f t="shared" si="99"/>
        <v>0</v>
      </c>
      <c r="AH372" s="76">
        <f t="shared" si="100"/>
        <v>0</v>
      </c>
      <c r="AI372" s="75">
        <f t="shared" si="101"/>
        <v>0</v>
      </c>
      <c r="AJ372" s="47"/>
      <c r="AL372" s="47"/>
      <c r="AN372" s="47"/>
      <c r="AO372" s="47" t="str">
        <f t="shared" si="94"/>
        <v/>
      </c>
    </row>
    <row r="373" spans="1:41" s="56" customFormat="1" ht="14">
      <c r="A373" s="44"/>
      <c r="B373" s="45"/>
      <c r="C373" s="46">
        <f t="shared" si="85"/>
        <v>0</v>
      </c>
      <c r="D373" s="47"/>
      <c r="E373" s="47"/>
      <c r="F373" s="47"/>
      <c r="G373" s="47"/>
      <c r="H373" s="48"/>
      <c r="I373" s="74" t="str">
        <f t="shared" si="86"/>
        <v/>
      </c>
      <c r="J373" s="49"/>
      <c r="K373" s="49"/>
      <c r="L373" s="49"/>
      <c r="M373" s="47"/>
      <c r="N373" s="48" t="str">
        <f t="shared" si="87"/>
        <v/>
      </c>
      <c r="O373" s="48" t="str">
        <f t="shared" si="88"/>
        <v/>
      </c>
      <c r="P373" s="75" t="str">
        <f t="shared" si="89"/>
        <v/>
      </c>
      <c r="Q373" s="76">
        <f t="shared" si="90"/>
        <v>0</v>
      </c>
      <c r="R373" s="76">
        <f t="shared" si="91"/>
        <v>0</v>
      </c>
      <c r="S373" s="75">
        <f t="shared" si="95"/>
        <v>0</v>
      </c>
      <c r="T373" s="47"/>
      <c r="V373" s="57"/>
      <c r="W373" s="45"/>
      <c r="X373" s="46">
        <f t="shared" si="92"/>
        <v>0</v>
      </c>
      <c r="Y373" s="74" t="str">
        <f t="shared" si="93"/>
        <v/>
      </c>
      <c r="Z373" s="49"/>
      <c r="AA373" s="49"/>
      <c r="AB373" s="49"/>
      <c r="AC373" s="47"/>
      <c r="AD373" s="48" t="str">
        <f t="shared" si="96"/>
        <v/>
      </c>
      <c r="AE373" s="48" t="str">
        <f t="shared" si="97"/>
        <v/>
      </c>
      <c r="AF373" s="75" t="str">
        <f t="shared" si="98"/>
        <v/>
      </c>
      <c r="AG373" s="76">
        <f t="shared" si="99"/>
        <v>0</v>
      </c>
      <c r="AH373" s="76">
        <f t="shared" si="100"/>
        <v>0</v>
      </c>
      <c r="AI373" s="75">
        <f t="shared" si="101"/>
        <v>0</v>
      </c>
      <c r="AJ373" s="47"/>
      <c r="AL373" s="47"/>
      <c r="AN373" s="47"/>
      <c r="AO373" s="47" t="str">
        <f t="shared" si="94"/>
        <v/>
      </c>
    </row>
    <row r="374" spans="1:41" s="56" customFormat="1" ht="14">
      <c r="A374" s="44"/>
      <c r="B374" s="45"/>
      <c r="C374" s="46">
        <f t="shared" si="85"/>
        <v>0</v>
      </c>
      <c r="D374" s="47"/>
      <c r="E374" s="47"/>
      <c r="F374" s="47"/>
      <c r="G374" s="47"/>
      <c r="H374" s="48"/>
      <c r="I374" s="74" t="str">
        <f t="shared" si="86"/>
        <v/>
      </c>
      <c r="J374" s="49"/>
      <c r="K374" s="49"/>
      <c r="L374" s="49"/>
      <c r="M374" s="47"/>
      <c r="N374" s="48" t="str">
        <f t="shared" si="87"/>
        <v/>
      </c>
      <c r="O374" s="48" t="str">
        <f t="shared" si="88"/>
        <v/>
      </c>
      <c r="P374" s="75" t="str">
        <f t="shared" si="89"/>
        <v/>
      </c>
      <c r="Q374" s="76">
        <f t="shared" si="90"/>
        <v>0</v>
      </c>
      <c r="R374" s="76">
        <f t="shared" si="91"/>
        <v>0</v>
      </c>
      <c r="S374" s="75">
        <f t="shared" si="95"/>
        <v>0</v>
      </c>
      <c r="T374" s="47"/>
      <c r="V374" s="57"/>
      <c r="W374" s="45"/>
      <c r="X374" s="46">
        <f t="shared" si="92"/>
        <v>0</v>
      </c>
      <c r="Y374" s="74" t="str">
        <f t="shared" si="93"/>
        <v/>
      </c>
      <c r="Z374" s="49"/>
      <c r="AA374" s="49"/>
      <c r="AB374" s="49"/>
      <c r="AC374" s="47"/>
      <c r="AD374" s="48" t="str">
        <f t="shared" si="96"/>
        <v/>
      </c>
      <c r="AE374" s="48" t="str">
        <f t="shared" si="97"/>
        <v/>
      </c>
      <c r="AF374" s="75" t="str">
        <f t="shared" si="98"/>
        <v/>
      </c>
      <c r="AG374" s="76">
        <f t="shared" si="99"/>
        <v>0</v>
      </c>
      <c r="AH374" s="76">
        <f t="shared" si="100"/>
        <v>0</v>
      </c>
      <c r="AI374" s="75">
        <f t="shared" si="101"/>
        <v>0</v>
      </c>
      <c r="AJ374" s="47"/>
      <c r="AL374" s="47"/>
      <c r="AN374" s="47"/>
      <c r="AO374" s="47" t="str">
        <f t="shared" si="94"/>
        <v/>
      </c>
    </row>
    <row r="375" spans="1:41" s="56" customFormat="1" ht="14">
      <c r="A375" s="44"/>
      <c r="B375" s="45"/>
      <c r="C375" s="46">
        <f t="shared" si="85"/>
        <v>0</v>
      </c>
      <c r="D375" s="47"/>
      <c r="E375" s="47"/>
      <c r="F375" s="47"/>
      <c r="G375" s="47"/>
      <c r="H375" s="48"/>
      <c r="I375" s="74" t="str">
        <f t="shared" si="86"/>
        <v/>
      </c>
      <c r="J375" s="49"/>
      <c r="K375" s="49"/>
      <c r="L375" s="49"/>
      <c r="M375" s="47"/>
      <c r="N375" s="48" t="str">
        <f t="shared" si="87"/>
        <v/>
      </c>
      <c r="O375" s="48" t="str">
        <f t="shared" si="88"/>
        <v/>
      </c>
      <c r="P375" s="75" t="str">
        <f t="shared" si="89"/>
        <v/>
      </c>
      <c r="Q375" s="76">
        <f t="shared" si="90"/>
        <v>0</v>
      </c>
      <c r="R375" s="76">
        <f t="shared" si="91"/>
        <v>0</v>
      </c>
      <c r="S375" s="75">
        <f t="shared" si="95"/>
        <v>0</v>
      </c>
      <c r="T375" s="47"/>
      <c r="V375" s="57"/>
      <c r="W375" s="45"/>
      <c r="X375" s="46">
        <f t="shared" si="92"/>
        <v>0</v>
      </c>
      <c r="Y375" s="74" t="str">
        <f t="shared" si="93"/>
        <v/>
      </c>
      <c r="Z375" s="49"/>
      <c r="AA375" s="49"/>
      <c r="AB375" s="49"/>
      <c r="AC375" s="47"/>
      <c r="AD375" s="48" t="str">
        <f t="shared" si="96"/>
        <v/>
      </c>
      <c r="AE375" s="48" t="str">
        <f t="shared" si="97"/>
        <v/>
      </c>
      <c r="AF375" s="75" t="str">
        <f t="shared" si="98"/>
        <v/>
      </c>
      <c r="AG375" s="76">
        <f t="shared" si="99"/>
        <v>0</v>
      </c>
      <c r="AH375" s="76">
        <f t="shared" si="100"/>
        <v>0</v>
      </c>
      <c r="AI375" s="75">
        <f t="shared" si="101"/>
        <v>0</v>
      </c>
      <c r="AJ375" s="47"/>
      <c r="AL375" s="47"/>
      <c r="AN375" s="47"/>
      <c r="AO375" s="47" t="str">
        <f t="shared" si="94"/>
        <v/>
      </c>
    </row>
    <row r="376" spans="1:41" s="56" customFormat="1" ht="14">
      <c r="A376" s="44"/>
      <c r="B376" s="45"/>
      <c r="C376" s="46">
        <f t="shared" si="85"/>
        <v>0</v>
      </c>
      <c r="D376" s="47"/>
      <c r="E376" s="47"/>
      <c r="F376" s="47"/>
      <c r="G376" s="47"/>
      <c r="H376" s="48"/>
      <c r="I376" s="74" t="str">
        <f t="shared" si="86"/>
        <v/>
      </c>
      <c r="J376" s="49"/>
      <c r="K376" s="49"/>
      <c r="L376" s="49"/>
      <c r="M376" s="47"/>
      <c r="N376" s="48" t="str">
        <f t="shared" si="87"/>
        <v/>
      </c>
      <c r="O376" s="48" t="str">
        <f t="shared" si="88"/>
        <v/>
      </c>
      <c r="P376" s="75" t="str">
        <f t="shared" si="89"/>
        <v/>
      </c>
      <c r="Q376" s="76">
        <f t="shared" si="90"/>
        <v>0</v>
      </c>
      <c r="R376" s="76">
        <f t="shared" si="91"/>
        <v>0</v>
      </c>
      <c r="S376" s="75">
        <f t="shared" si="95"/>
        <v>0</v>
      </c>
      <c r="T376" s="47"/>
      <c r="V376" s="57"/>
      <c r="W376" s="45"/>
      <c r="X376" s="46">
        <f t="shared" si="92"/>
        <v>0</v>
      </c>
      <c r="Y376" s="74" t="str">
        <f t="shared" si="93"/>
        <v/>
      </c>
      <c r="Z376" s="49"/>
      <c r="AA376" s="49"/>
      <c r="AB376" s="49"/>
      <c r="AC376" s="47"/>
      <c r="AD376" s="48" t="str">
        <f t="shared" si="96"/>
        <v/>
      </c>
      <c r="AE376" s="48" t="str">
        <f t="shared" si="97"/>
        <v/>
      </c>
      <c r="AF376" s="75" t="str">
        <f t="shared" si="98"/>
        <v/>
      </c>
      <c r="AG376" s="76">
        <f t="shared" si="99"/>
        <v>0</v>
      </c>
      <c r="AH376" s="76">
        <f t="shared" si="100"/>
        <v>0</v>
      </c>
      <c r="AI376" s="75">
        <f t="shared" si="101"/>
        <v>0</v>
      </c>
      <c r="AJ376" s="47"/>
      <c r="AL376" s="47"/>
      <c r="AN376" s="47"/>
      <c r="AO376" s="47" t="str">
        <f t="shared" si="94"/>
        <v/>
      </c>
    </row>
    <row r="377" spans="1:41" s="56" customFormat="1" ht="14">
      <c r="A377" s="44"/>
      <c r="B377" s="45"/>
      <c r="C377" s="46">
        <f t="shared" si="85"/>
        <v>0</v>
      </c>
      <c r="D377" s="47"/>
      <c r="E377" s="47"/>
      <c r="F377" s="47"/>
      <c r="G377" s="47"/>
      <c r="H377" s="48"/>
      <c r="I377" s="74" t="str">
        <f t="shared" si="86"/>
        <v/>
      </c>
      <c r="J377" s="49"/>
      <c r="K377" s="49"/>
      <c r="L377" s="49"/>
      <c r="M377" s="47"/>
      <c r="N377" s="48" t="str">
        <f t="shared" si="87"/>
        <v/>
      </c>
      <c r="O377" s="48" t="str">
        <f t="shared" si="88"/>
        <v/>
      </c>
      <c r="P377" s="75" t="str">
        <f t="shared" si="89"/>
        <v/>
      </c>
      <c r="Q377" s="76">
        <f t="shared" si="90"/>
        <v>0</v>
      </c>
      <c r="R377" s="76">
        <f t="shared" si="91"/>
        <v>0</v>
      </c>
      <c r="S377" s="75">
        <f t="shared" si="95"/>
        <v>0</v>
      </c>
      <c r="T377" s="47"/>
      <c r="V377" s="57"/>
      <c r="W377" s="45"/>
      <c r="X377" s="46">
        <f t="shared" si="92"/>
        <v>0</v>
      </c>
      <c r="Y377" s="74" t="str">
        <f t="shared" si="93"/>
        <v/>
      </c>
      <c r="Z377" s="49"/>
      <c r="AA377" s="49"/>
      <c r="AB377" s="49"/>
      <c r="AC377" s="47"/>
      <c r="AD377" s="48" t="str">
        <f t="shared" si="96"/>
        <v/>
      </c>
      <c r="AE377" s="48" t="str">
        <f t="shared" si="97"/>
        <v/>
      </c>
      <c r="AF377" s="75" t="str">
        <f t="shared" si="98"/>
        <v/>
      </c>
      <c r="AG377" s="76">
        <f t="shared" si="99"/>
        <v>0</v>
      </c>
      <c r="AH377" s="76">
        <f t="shared" si="100"/>
        <v>0</v>
      </c>
      <c r="AI377" s="75">
        <f t="shared" si="101"/>
        <v>0</v>
      </c>
      <c r="AJ377" s="47"/>
      <c r="AL377" s="47"/>
      <c r="AN377" s="47"/>
      <c r="AO377" s="47" t="str">
        <f t="shared" si="94"/>
        <v/>
      </c>
    </row>
    <row r="378" spans="1:41" s="56" customFormat="1" ht="14">
      <c r="A378" s="44"/>
      <c r="B378" s="45"/>
      <c r="C378" s="46">
        <f t="shared" si="85"/>
        <v>0</v>
      </c>
      <c r="D378" s="47"/>
      <c r="E378" s="47"/>
      <c r="F378" s="47"/>
      <c r="G378" s="47"/>
      <c r="H378" s="48"/>
      <c r="I378" s="74" t="str">
        <f t="shared" si="86"/>
        <v/>
      </c>
      <c r="J378" s="49"/>
      <c r="K378" s="49"/>
      <c r="L378" s="49"/>
      <c r="M378" s="47"/>
      <c r="N378" s="48" t="str">
        <f t="shared" si="87"/>
        <v/>
      </c>
      <c r="O378" s="48" t="str">
        <f t="shared" si="88"/>
        <v/>
      </c>
      <c r="P378" s="75" t="str">
        <f t="shared" si="89"/>
        <v/>
      </c>
      <c r="Q378" s="76">
        <f t="shared" si="90"/>
        <v>0</v>
      </c>
      <c r="R378" s="76">
        <f t="shared" si="91"/>
        <v>0</v>
      </c>
      <c r="S378" s="75">
        <f t="shared" si="95"/>
        <v>0</v>
      </c>
      <c r="T378" s="47"/>
      <c r="V378" s="57"/>
      <c r="W378" s="45"/>
      <c r="X378" s="46">
        <f t="shared" si="92"/>
        <v>0</v>
      </c>
      <c r="Y378" s="74" t="str">
        <f t="shared" si="93"/>
        <v/>
      </c>
      <c r="Z378" s="49"/>
      <c r="AA378" s="49"/>
      <c r="AB378" s="49"/>
      <c r="AC378" s="47"/>
      <c r="AD378" s="48" t="str">
        <f t="shared" si="96"/>
        <v/>
      </c>
      <c r="AE378" s="48" t="str">
        <f t="shared" si="97"/>
        <v/>
      </c>
      <c r="AF378" s="75" t="str">
        <f t="shared" si="98"/>
        <v/>
      </c>
      <c r="AG378" s="76">
        <f t="shared" si="99"/>
        <v>0</v>
      </c>
      <c r="AH378" s="76">
        <f t="shared" si="100"/>
        <v>0</v>
      </c>
      <c r="AI378" s="75">
        <f t="shared" si="101"/>
        <v>0</v>
      </c>
      <c r="AJ378" s="47"/>
      <c r="AL378" s="47"/>
      <c r="AN378" s="47"/>
      <c r="AO378" s="47" t="str">
        <f t="shared" si="94"/>
        <v/>
      </c>
    </row>
    <row r="379" spans="1:41" s="56" customFormat="1" ht="14">
      <c r="A379" s="44"/>
      <c r="B379" s="45"/>
      <c r="C379" s="46">
        <f t="shared" si="85"/>
        <v>0</v>
      </c>
      <c r="D379" s="47"/>
      <c r="E379" s="47"/>
      <c r="F379" s="47"/>
      <c r="G379" s="47"/>
      <c r="H379" s="48"/>
      <c r="I379" s="74" t="str">
        <f t="shared" si="86"/>
        <v/>
      </c>
      <c r="J379" s="49"/>
      <c r="K379" s="49"/>
      <c r="L379" s="49"/>
      <c r="M379" s="47"/>
      <c r="N379" s="48" t="str">
        <f t="shared" si="87"/>
        <v/>
      </c>
      <c r="O379" s="48" t="str">
        <f t="shared" si="88"/>
        <v/>
      </c>
      <c r="P379" s="75" t="str">
        <f t="shared" si="89"/>
        <v/>
      </c>
      <c r="Q379" s="76">
        <f t="shared" si="90"/>
        <v>0</v>
      </c>
      <c r="R379" s="76">
        <f t="shared" si="91"/>
        <v>0</v>
      </c>
      <c r="S379" s="75">
        <f t="shared" si="95"/>
        <v>0</v>
      </c>
      <c r="T379" s="47"/>
      <c r="V379" s="57"/>
      <c r="W379" s="45"/>
      <c r="X379" s="46">
        <f t="shared" si="92"/>
        <v>0</v>
      </c>
      <c r="Y379" s="74" t="str">
        <f t="shared" si="93"/>
        <v/>
      </c>
      <c r="Z379" s="49"/>
      <c r="AA379" s="49"/>
      <c r="AB379" s="49"/>
      <c r="AC379" s="47"/>
      <c r="AD379" s="48" t="str">
        <f t="shared" si="96"/>
        <v/>
      </c>
      <c r="AE379" s="48" t="str">
        <f t="shared" si="97"/>
        <v/>
      </c>
      <c r="AF379" s="75" t="str">
        <f t="shared" si="98"/>
        <v/>
      </c>
      <c r="AG379" s="76">
        <f t="shared" si="99"/>
        <v>0</v>
      </c>
      <c r="AH379" s="76">
        <f t="shared" si="100"/>
        <v>0</v>
      </c>
      <c r="AI379" s="75">
        <f t="shared" si="101"/>
        <v>0</v>
      </c>
      <c r="AJ379" s="47"/>
      <c r="AL379" s="47"/>
      <c r="AN379" s="47"/>
      <c r="AO379" s="47" t="str">
        <f t="shared" si="94"/>
        <v/>
      </c>
    </row>
    <row r="380" spans="1:41" s="56" customFormat="1" ht="14">
      <c r="A380" s="44"/>
      <c r="B380" s="45"/>
      <c r="C380" s="46">
        <f t="shared" si="85"/>
        <v>0</v>
      </c>
      <c r="D380" s="47"/>
      <c r="E380" s="47"/>
      <c r="F380" s="47"/>
      <c r="G380" s="47"/>
      <c r="H380" s="48"/>
      <c r="I380" s="74" t="str">
        <f t="shared" si="86"/>
        <v/>
      </c>
      <c r="J380" s="49"/>
      <c r="K380" s="49"/>
      <c r="L380" s="49"/>
      <c r="M380" s="47"/>
      <c r="N380" s="48" t="str">
        <f t="shared" si="87"/>
        <v/>
      </c>
      <c r="O380" s="48" t="str">
        <f t="shared" si="88"/>
        <v/>
      </c>
      <c r="P380" s="75" t="str">
        <f t="shared" si="89"/>
        <v/>
      </c>
      <c r="Q380" s="76">
        <f t="shared" si="90"/>
        <v>0</v>
      </c>
      <c r="R380" s="76">
        <f t="shared" si="91"/>
        <v>0</v>
      </c>
      <c r="S380" s="75">
        <f t="shared" si="95"/>
        <v>0</v>
      </c>
      <c r="T380" s="47"/>
      <c r="V380" s="57"/>
      <c r="W380" s="45"/>
      <c r="X380" s="46">
        <f t="shared" si="92"/>
        <v>0</v>
      </c>
      <c r="Y380" s="74" t="str">
        <f t="shared" si="93"/>
        <v/>
      </c>
      <c r="Z380" s="49"/>
      <c r="AA380" s="49"/>
      <c r="AB380" s="49"/>
      <c r="AC380" s="47"/>
      <c r="AD380" s="48" t="str">
        <f t="shared" si="96"/>
        <v/>
      </c>
      <c r="AE380" s="48" t="str">
        <f t="shared" si="97"/>
        <v/>
      </c>
      <c r="AF380" s="75" t="str">
        <f t="shared" si="98"/>
        <v/>
      </c>
      <c r="AG380" s="76">
        <f t="shared" si="99"/>
        <v>0</v>
      </c>
      <c r="AH380" s="76">
        <f t="shared" si="100"/>
        <v>0</v>
      </c>
      <c r="AI380" s="75">
        <f t="shared" si="101"/>
        <v>0</v>
      </c>
      <c r="AJ380" s="47"/>
      <c r="AL380" s="47"/>
      <c r="AN380" s="47"/>
      <c r="AO380" s="47" t="str">
        <f>IF(AI380=0,"",IF(AI380=S380,"OK","Divergente"))</f>
        <v/>
      </c>
    </row>
    <row r="381" spans="1:41" s="56" customFormat="1" ht="14">
      <c r="A381" s="44"/>
      <c r="B381" s="45"/>
      <c r="C381" s="46">
        <f t="shared" si="85"/>
        <v>0</v>
      </c>
      <c r="D381" s="47"/>
      <c r="E381" s="47"/>
      <c r="F381" s="47"/>
      <c r="G381" s="47"/>
      <c r="H381" s="48"/>
      <c r="I381" s="74" t="str">
        <f t="shared" si="86"/>
        <v/>
      </c>
      <c r="J381" s="49"/>
      <c r="K381" s="49"/>
      <c r="L381" s="49"/>
      <c r="M381" s="47"/>
      <c r="N381" s="48" t="str">
        <f t="shared" si="87"/>
        <v/>
      </c>
      <c r="O381" s="48" t="str">
        <f t="shared" si="88"/>
        <v/>
      </c>
      <c r="P381" s="75" t="str">
        <f t="shared" si="89"/>
        <v/>
      </c>
      <c r="Q381" s="76">
        <f t="shared" si="90"/>
        <v>0</v>
      </c>
      <c r="R381" s="76">
        <f t="shared" si="91"/>
        <v>0</v>
      </c>
      <c r="S381" s="75">
        <f t="shared" si="95"/>
        <v>0</v>
      </c>
      <c r="T381" s="47"/>
      <c r="V381" s="57"/>
      <c r="W381" s="45"/>
      <c r="X381" s="46">
        <f t="shared" si="92"/>
        <v>0</v>
      </c>
      <c r="Y381" s="74" t="str">
        <f t="shared" si="93"/>
        <v/>
      </c>
      <c r="Z381" s="49"/>
      <c r="AA381" s="49"/>
      <c r="AB381" s="49"/>
      <c r="AC381" s="47"/>
      <c r="AD381" s="48" t="str">
        <f t="shared" si="96"/>
        <v/>
      </c>
      <c r="AE381" s="48" t="str">
        <f t="shared" si="97"/>
        <v/>
      </c>
      <c r="AF381" s="75" t="str">
        <f t="shared" si="98"/>
        <v/>
      </c>
      <c r="AG381" s="76">
        <f t="shared" si="99"/>
        <v>0</v>
      </c>
      <c r="AH381" s="76">
        <f t="shared" si="100"/>
        <v>0</v>
      </c>
      <c r="AI381" s="75">
        <f t="shared" si="101"/>
        <v>0</v>
      </c>
      <c r="AJ381" s="47"/>
      <c r="AL381" s="47"/>
      <c r="AN381" s="47"/>
      <c r="AO381" s="47" t="str">
        <f>IF(AI381=0,"",IF(AI381=S381,"OK","Divergente"))</f>
        <v/>
      </c>
    </row>
    <row r="382" spans="1:41" s="56" customFormat="1" ht="14">
      <c r="A382" s="44"/>
      <c r="B382" s="45"/>
      <c r="C382" s="46">
        <f t="shared" si="85"/>
        <v>0</v>
      </c>
      <c r="D382" s="47"/>
      <c r="E382" s="47"/>
      <c r="F382" s="47"/>
      <c r="G382" s="47"/>
      <c r="H382" s="48"/>
      <c r="I382" s="74" t="str">
        <f t="shared" si="86"/>
        <v/>
      </c>
      <c r="J382" s="49"/>
      <c r="K382" s="49"/>
      <c r="L382" s="49"/>
      <c r="M382" s="47"/>
      <c r="N382" s="48" t="str">
        <f t="shared" si="87"/>
        <v/>
      </c>
      <c r="O382" s="48" t="str">
        <f t="shared" si="88"/>
        <v/>
      </c>
      <c r="P382" s="75" t="str">
        <f t="shared" si="89"/>
        <v/>
      </c>
      <c r="Q382" s="76">
        <f t="shared" si="90"/>
        <v>0</v>
      </c>
      <c r="R382" s="76">
        <f t="shared" si="91"/>
        <v>0</v>
      </c>
      <c r="S382" s="75">
        <f t="shared" si="95"/>
        <v>0</v>
      </c>
      <c r="T382" s="47"/>
      <c r="V382" s="57"/>
      <c r="W382" s="45"/>
      <c r="X382" s="46">
        <f t="shared" si="92"/>
        <v>0</v>
      </c>
      <c r="Y382" s="74" t="str">
        <f t="shared" si="93"/>
        <v/>
      </c>
      <c r="Z382" s="49"/>
      <c r="AA382" s="49"/>
      <c r="AB382" s="49"/>
      <c r="AC382" s="47"/>
      <c r="AD382" s="48" t="str">
        <f t="shared" si="96"/>
        <v/>
      </c>
      <c r="AE382" s="48" t="str">
        <f t="shared" si="97"/>
        <v/>
      </c>
      <c r="AF382" s="75" t="str">
        <f t="shared" si="98"/>
        <v/>
      </c>
      <c r="AG382" s="76">
        <f t="shared" si="99"/>
        <v>0</v>
      </c>
      <c r="AH382" s="76">
        <f t="shared" si="100"/>
        <v>0</v>
      </c>
      <c r="AI382" s="75">
        <f t="shared" si="101"/>
        <v>0</v>
      </c>
      <c r="AJ382" s="47"/>
      <c r="AL382" s="47"/>
      <c r="AN382" s="47"/>
      <c r="AO382" s="47" t="str">
        <f>IF(AI382=0,"",IF(AI382=S382,"OK","Divergente"))</f>
        <v/>
      </c>
    </row>
    <row r="383" spans="1:41" s="56" customFormat="1" ht="14">
      <c r="A383" s="44"/>
      <c r="B383" s="45"/>
      <c r="C383" s="46">
        <f t="shared" si="85"/>
        <v>0</v>
      </c>
      <c r="D383" s="47"/>
      <c r="E383" s="47"/>
      <c r="F383" s="47"/>
      <c r="G383" s="47"/>
      <c r="H383" s="48"/>
      <c r="I383" s="74" t="str">
        <f t="shared" si="86"/>
        <v/>
      </c>
      <c r="J383" s="49"/>
      <c r="K383" s="49"/>
      <c r="L383" s="49"/>
      <c r="M383" s="47"/>
      <c r="N383" s="48" t="str">
        <f t="shared" si="87"/>
        <v/>
      </c>
      <c r="O383" s="48" t="str">
        <f t="shared" si="88"/>
        <v/>
      </c>
      <c r="P383" s="75" t="str">
        <f t="shared" si="89"/>
        <v/>
      </c>
      <c r="Q383" s="76">
        <f t="shared" si="90"/>
        <v>0</v>
      </c>
      <c r="R383" s="76">
        <f t="shared" si="91"/>
        <v>0</v>
      </c>
      <c r="S383" s="75">
        <f t="shared" si="95"/>
        <v>0</v>
      </c>
      <c r="T383" s="47"/>
      <c r="V383" s="57"/>
      <c r="W383" s="45"/>
      <c r="X383" s="46">
        <f t="shared" si="92"/>
        <v>0</v>
      </c>
      <c r="Y383" s="74" t="str">
        <f t="shared" si="93"/>
        <v/>
      </c>
      <c r="Z383" s="49"/>
      <c r="AA383" s="49"/>
      <c r="AB383" s="49"/>
      <c r="AC383" s="47"/>
      <c r="AD383" s="48" t="str">
        <f t="shared" si="96"/>
        <v/>
      </c>
      <c r="AE383" s="48" t="str">
        <f t="shared" si="97"/>
        <v/>
      </c>
      <c r="AF383" s="75" t="str">
        <f t="shared" si="98"/>
        <v/>
      </c>
      <c r="AG383" s="76">
        <f t="shared" si="99"/>
        <v>0</v>
      </c>
      <c r="AH383" s="76">
        <f t="shared" si="100"/>
        <v>0</v>
      </c>
      <c r="AI383" s="75">
        <f t="shared" si="101"/>
        <v>0</v>
      </c>
      <c r="AJ383" s="47"/>
      <c r="AL383" s="47"/>
      <c r="AN383" s="47"/>
      <c r="AO383" s="47" t="str">
        <f>IF(AI383=0,"",IF(AI383=S383,"OK","Divergente"))</f>
        <v/>
      </c>
    </row>
    <row r="384" spans="1:41" s="56" customFormat="1" ht="14">
      <c r="A384" s="241" t="s">
        <v>66</v>
      </c>
      <c r="B384" s="241"/>
      <c r="C384" s="241"/>
      <c r="D384" s="241"/>
      <c r="E384" s="241"/>
      <c r="F384" s="241"/>
      <c r="G384" s="241"/>
      <c r="H384" s="241"/>
      <c r="I384" s="241"/>
      <c r="J384" s="241"/>
      <c r="K384" s="241"/>
      <c r="L384" s="241"/>
      <c r="M384" s="241"/>
      <c r="N384" s="241"/>
      <c r="O384" s="241"/>
      <c r="P384" s="241"/>
      <c r="Q384" s="241"/>
      <c r="R384" s="241"/>
      <c r="S384" s="241"/>
      <c r="T384" s="241"/>
      <c r="W384" s="226"/>
      <c r="X384" s="227"/>
      <c r="Y384" s="227"/>
      <c r="Z384" s="227"/>
      <c r="AA384" s="227"/>
      <c r="AB384" s="227"/>
      <c r="AC384" s="227"/>
      <c r="AD384" s="227"/>
      <c r="AE384" s="227"/>
      <c r="AF384" s="227"/>
      <c r="AG384" s="227"/>
      <c r="AH384" s="227"/>
      <c r="AI384" s="227"/>
      <c r="AJ384" s="227"/>
      <c r="AK384" s="227"/>
      <c r="AL384" s="227"/>
      <c r="AM384" s="227"/>
      <c r="AN384" s="227"/>
      <c r="AO384" s="227"/>
    </row>
    <row r="385" spans="1:35" ht="26">
      <c r="A385" s="65"/>
      <c r="B385" s="66"/>
      <c r="C385" s="66"/>
      <c r="D385" s="67"/>
      <c r="E385" s="67"/>
      <c r="F385" s="67"/>
      <c r="G385" s="67"/>
      <c r="I385" s="65"/>
      <c r="J385" s="65"/>
      <c r="K385" s="65"/>
      <c r="L385" s="65"/>
      <c r="M385" s="65"/>
      <c r="N385" s="66"/>
      <c r="O385" s="66"/>
      <c r="P385" s="69" t="s">
        <v>67</v>
      </c>
      <c r="Q385" s="66"/>
      <c r="R385" s="48">
        <f>IF(AND(M385="ALI",O385="Simples"),7, IF(AND(M385="ALI",O385="Médio"),10, IF(AND(M385="ALI",O385="Complexo"),15, IF(AND(M385="AIE",O385="Simples"),5, IF(AND(M385="AIE",O385="Médio"),7, IF(AND(M385="AIE",O385="Complexo"),10,0))))))</f>
        <v>0</v>
      </c>
      <c r="S385" s="70">
        <f>SUM(S10:S384)</f>
        <v>0</v>
      </c>
      <c r="T385" s="71"/>
      <c r="W385" s="66"/>
      <c r="X385" s="66"/>
      <c r="Y385" s="65"/>
      <c r="Z385" s="65"/>
      <c r="AA385" s="65"/>
      <c r="AB385" s="65"/>
      <c r="AC385" s="65"/>
      <c r="AD385" s="66"/>
      <c r="AE385" s="66"/>
      <c r="AF385" s="69" t="s">
        <v>67</v>
      </c>
      <c r="AG385" s="66"/>
      <c r="AH385" s="48">
        <f>IF(AND(AC385="ALI",AE385="Simples"),7, IF(AND(AC385="ALI",AE385="Médio"),10, IF(AND(AC385="ALI",AE385="Complexo"),15, IF(AND(AC385="AIE",AE385="Simples"),5, IF(AND(AC385="AIE",AE385="Médio"),7, IF(AND(AC385="AIE",AE385="Complexo"),10,0))))))</f>
        <v>0</v>
      </c>
      <c r="AI385" s="70">
        <f>SUM(AI10:AI384)</f>
        <v>0</v>
      </c>
    </row>
  </sheetData>
  <mergeCells count="46">
    <mergeCell ref="A384:T384"/>
    <mergeCell ref="A7:T7"/>
    <mergeCell ref="A8:A9"/>
    <mergeCell ref="B8:B9"/>
    <mergeCell ref="C8:C9"/>
    <mergeCell ref="D8:D9"/>
    <mergeCell ref="E8:E9"/>
    <mergeCell ref="F8:F9"/>
    <mergeCell ref="G8:G9"/>
    <mergeCell ref="H8:H9"/>
    <mergeCell ref="P6:T6"/>
    <mergeCell ref="K5:M5"/>
    <mergeCell ref="P5:T5"/>
    <mergeCell ref="K6:M6"/>
    <mergeCell ref="A10:T10"/>
    <mergeCell ref="J8:S8"/>
    <mergeCell ref="T8:T9"/>
    <mergeCell ref="A5:C5"/>
    <mergeCell ref="D5:E5"/>
    <mergeCell ref="A6:C6"/>
    <mergeCell ref="D6:E6"/>
    <mergeCell ref="C1:T1"/>
    <mergeCell ref="K3:M3"/>
    <mergeCell ref="P3:T3"/>
    <mergeCell ref="K4:M4"/>
    <mergeCell ref="P4:T4"/>
    <mergeCell ref="AF5:AJ5"/>
    <mergeCell ref="AF3:AJ3"/>
    <mergeCell ref="AF4:AJ4"/>
    <mergeCell ref="V10:AJ10"/>
    <mergeCell ref="V8:V9"/>
    <mergeCell ref="V3:X6"/>
    <mergeCell ref="Y3:AC3"/>
    <mergeCell ref="Y4:AC4"/>
    <mergeCell ref="Y5:AC5"/>
    <mergeCell ref="AL8:AL9"/>
    <mergeCell ref="AN8:AN9"/>
    <mergeCell ref="AO8:AO9"/>
    <mergeCell ref="W384:AO384"/>
    <mergeCell ref="Y6:AC6"/>
    <mergeCell ref="AF6:AJ6"/>
    <mergeCell ref="W7:AJ7"/>
    <mergeCell ref="W8:W9"/>
    <mergeCell ref="X8:X9"/>
    <mergeCell ref="Z8:AI8"/>
    <mergeCell ref="AJ8:AJ9"/>
  </mergeCells>
  <conditionalFormatting sqref="J11:J383">
    <cfRule type="expression" dxfId="11" priority="9">
      <formula>$I11="%"</formula>
    </cfRule>
  </conditionalFormatting>
  <conditionalFormatting sqref="K11:P383">
    <cfRule type="expression" dxfId="10" priority="8">
      <formula>$I11&lt;&gt;"%"</formula>
    </cfRule>
  </conditionalFormatting>
  <conditionalFormatting sqref="W11:AI383">
    <cfRule type="expression" dxfId="9" priority="4">
      <formula>$V11="OK"</formula>
    </cfRule>
  </conditionalFormatting>
  <conditionalFormatting sqref="Z11:Z383">
    <cfRule type="expression" dxfId="8" priority="6">
      <formula>$I11="%"</formula>
    </cfRule>
  </conditionalFormatting>
  <conditionalFormatting sqref="AA11:AF383">
    <cfRule type="expression" dxfId="7" priority="5">
      <formula>$I11&lt;&gt;"%"</formula>
    </cfRule>
  </conditionalFormatting>
  <dataValidations count="3">
    <dataValidation type="list" allowBlank="1" showInputMessage="1" showErrorMessage="1" errorTitle="Erro" error="Selecione uma das opções apresentada" sqref="M11:M383 AC11:AC383" xr:uid="{00000000-0002-0000-0300-000000000000}">
      <formula1>"-------,EE,SE,CE,ALI,AIE"</formula1>
      <formula2>0</formula2>
    </dataValidation>
    <dataValidation type="list" allowBlank="1" showInputMessage="1" showErrorMessage="1" sqref="B11:B383 W11:W383" xr:uid="{00000000-0002-0000-0300-000001000000}">
      <formula1>INM</formula1>
      <formula2>0</formula2>
    </dataValidation>
    <dataValidation type="list" allowBlank="1" showInputMessage="1" showErrorMessage="1" sqref="V11:V383" xr:uid="{00000000-0002-0000-0300-000002000000}">
      <formula1>"OK,Divergente,Novo"</formula1>
      <formula2>0</formula2>
    </dataValidation>
  </dataValidations>
  <pageMargins left="0.196527777777778" right="0.196527777777778" top="0.32986111111111099" bottom="0.42986111111111103" header="0.179861111111111" footer="0.27569444444444402"/>
  <pageSetup paperSize="9" firstPageNumber="0" fitToHeight="10" orientation="landscape" horizontalDpi="300" verticalDpi="300" r:id="rId1"/>
  <headerFooter>
    <oddHeader>&amp;C&amp;A</oddHeader>
    <oddFooter>&amp;CPágina &amp;P de &amp;N</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Q1083"/>
  <sheetViews>
    <sheetView showGridLines="0" zoomScaleNormal="100" workbookViewId="0">
      <selection activeCell="H3" sqref="H3:J3"/>
    </sheetView>
  </sheetViews>
  <sheetFormatPr defaultColWidth="8.81640625" defaultRowHeight="12.5"/>
  <cols>
    <col min="1" max="1" width="5.54296875" style="15" customWidth="1" collapsed="1"/>
    <col min="2" max="2" width="38.453125" style="16" customWidth="1" collapsed="1"/>
    <col min="3" max="3" width="8.81640625" style="16" customWidth="1" collapsed="1"/>
    <col min="4" max="4" width="7.54296875" style="17" customWidth="1" collapsed="1"/>
    <col min="5" max="5" width="18.1796875" style="17" customWidth="1" collapsed="1"/>
    <col min="6" max="6" width="24.453125" style="17" customWidth="1" collapsed="1"/>
    <col min="7" max="7" width="44" style="18" customWidth="1" collapsed="1"/>
    <col min="8" max="8" width="12.453125" style="15" customWidth="1" collapsed="1"/>
    <col min="9" max="9" width="8.453125" style="16" customWidth="1" collapsed="1"/>
    <col min="10" max="10" width="63" style="16" customWidth="1" collapsed="1"/>
    <col min="11" max="11" width="9.1796875" style="16" hidden="1" customWidth="1" collapsed="1"/>
    <col min="12" max="16" width="9.1796875" style="16" customWidth="1" collapsed="1"/>
    <col min="17" max="16384" width="8.81640625" style="16"/>
  </cols>
  <sheetData>
    <row r="1" spans="1:17" ht="69" customHeight="1">
      <c r="A1" s="2" t="str">
        <f>Resumo!A1</f>
        <v>Template V.2.0</v>
      </c>
      <c r="B1" s="20"/>
      <c r="C1" s="219" t="s">
        <v>78</v>
      </c>
      <c r="D1" s="219"/>
      <c r="E1" s="219"/>
      <c r="F1" s="219"/>
      <c r="G1" s="219"/>
      <c r="H1" s="219"/>
      <c r="I1" s="219"/>
      <c r="J1" s="219"/>
      <c r="K1" s="77"/>
      <c r="L1" s="77"/>
      <c r="M1" s="77"/>
      <c r="N1" s="77"/>
      <c r="O1" s="77"/>
      <c r="P1" s="77"/>
      <c r="Q1" s="77"/>
    </row>
    <row r="2" spans="1:17" ht="9" customHeight="1">
      <c r="A2" s="244"/>
      <c r="B2" s="244"/>
      <c r="C2" s="32"/>
      <c r="D2" s="32"/>
      <c r="E2" s="32"/>
      <c r="F2" s="32"/>
      <c r="G2" s="32"/>
      <c r="H2" s="32"/>
      <c r="I2" s="32"/>
      <c r="J2" s="32"/>
    </row>
    <row r="3" spans="1:17" ht="18.649999999999999" customHeight="1">
      <c r="A3" s="16"/>
      <c r="B3" s="22"/>
      <c r="C3" s="22"/>
      <c r="D3" s="22"/>
      <c r="E3" s="22"/>
      <c r="F3" s="22"/>
      <c r="G3" s="27" t="s">
        <v>7</v>
      </c>
      <c r="H3" s="213"/>
      <c r="I3" s="213"/>
      <c r="J3" s="213"/>
    </row>
    <row r="4" spans="1:17" ht="18.649999999999999" customHeight="1">
      <c r="A4" s="16"/>
      <c r="B4" s="22"/>
      <c r="C4" s="22"/>
      <c r="D4" s="22"/>
      <c r="E4" s="22"/>
      <c r="F4" s="22"/>
      <c r="G4" s="27" t="s">
        <v>8</v>
      </c>
      <c r="H4" s="211"/>
      <c r="I4" s="211"/>
      <c r="J4" s="211"/>
    </row>
    <row r="5" spans="1:17" ht="18.649999999999999" customHeight="1">
      <c r="A5" s="245" t="s">
        <v>69</v>
      </c>
      <c r="B5" s="245"/>
      <c r="C5" s="246" t="str">
        <f>TEXT(I1083,"#.##0,0#")</f>
        <v>0,0</v>
      </c>
      <c r="D5" s="246"/>
      <c r="E5" s="22"/>
      <c r="F5" s="22"/>
      <c r="G5" s="27" t="s">
        <v>9</v>
      </c>
      <c r="H5" s="213"/>
      <c r="I5" s="213"/>
      <c r="J5" s="213"/>
    </row>
    <row r="6" spans="1:17" ht="18.649999999999999" customHeight="1">
      <c r="A6" s="245"/>
      <c r="B6" s="245"/>
      <c r="C6" s="246"/>
      <c r="D6" s="246"/>
      <c r="E6" s="22"/>
      <c r="F6" s="22"/>
      <c r="G6" s="27" t="s">
        <v>10</v>
      </c>
      <c r="H6" s="211"/>
      <c r="I6" s="211"/>
      <c r="J6" s="211"/>
    </row>
    <row r="7" spans="1:17" ht="9" customHeight="1">
      <c r="A7" s="16"/>
      <c r="E7" s="26"/>
      <c r="F7" s="26"/>
      <c r="G7" s="26"/>
      <c r="H7" s="16"/>
    </row>
    <row r="8" spans="1:17" s="38" customFormat="1" ht="23.5" customHeight="1">
      <c r="A8" s="221" t="s">
        <v>43</v>
      </c>
      <c r="B8" s="237" t="s">
        <v>44</v>
      </c>
      <c r="C8" s="237" t="s">
        <v>45</v>
      </c>
      <c r="D8" s="237" t="s">
        <v>70</v>
      </c>
      <c r="E8" s="237" t="s">
        <v>46</v>
      </c>
      <c r="F8" s="237" t="s">
        <v>47</v>
      </c>
      <c r="G8" s="237" t="s">
        <v>48</v>
      </c>
      <c r="H8" s="237" t="s">
        <v>79</v>
      </c>
      <c r="I8" s="237"/>
      <c r="J8" s="221" t="s">
        <v>80</v>
      </c>
      <c r="K8" s="221" t="s">
        <v>313</v>
      </c>
    </row>
    <row r="9" spans="1:17" s="43" customFormat="1" ht="15.5">
      <c r="A9" s="221"/>
      <c r="B9" s="237"/>
      <c r="C9" s="237"/>
      <c r="D9" s="237"/>
      <c r="E9" s="237"/>
      <c r="F9" s="237"/>
      <c r="G9" s="237"/>
      <c r="H9" s="35" t="s">
        <v>49</v>
      </c>
      <c r="I9" s="35" t="s">
        <v>53</v>
      </c>
      <c r="J9" s="221"/>
      <c r="K9" s="221"/>
    </row>
    <row r="10" spans="1:17" s="56" customFormat="1" ht="14">
      <c r="A10" s="241" t="s">
        <v>77</v>
      </c>
      <c r="B10" s="241"/>
      <c r="C10" s="241"/>
      <c r="D10" s="241"/>
      <c r="E10" s="241"/>
      <c r="F10" s="241"/>
      <c r="G10" s="241"/>
      <c r="H10" s="241"/>
      <c r="I10" s="241"/>
      <c r="J10" s="241"/>
    </row>
    <row r="11" spans="1:17" s="56" customFormat="1" ht="15.75" customHeight="1">
      <c r="A11" s="44"/>
      <c r="B11" s="45"/>
      <c r="C11" s="46">
        <f>IF(B11&lt;&gt;"",VLOOKUP(B11,'Tipo Projeto'!$A$3:$B$35,2,0),0)</f>
        <v>0</v>
      </c>
      <c r="D11" s="47"/>
      <c r="E11" s="47"/>
      <c r="F11" s="47"/>
      <c r="G11" s="48"/>
      <c r="H11" s="47"/>
      <c r="I11" s="75">
        <f t="shared" ref="I11:I74" si="0">IF(B11&lt;&gt;"Manutenção em interface",IF(B11&lt;&gt;"Desenv., Manutenção e Publicação de Páginas Estáticas",IF(H11="EE",4,IF(H11="CE",4,IF(H11="SE",5,IF(H11="ALI",7,IF(H11="AIE",5,0)))))*C11,C11),C11)</f>
        <v>0</v>
      </c>
      <c r="J11" s="47"/>
      <c r="K11" s="288">
        <f>IF(AND(C11&lt;&gt;0,I11&lt;&gt;0),I11/C11,0)</f>
        <v>0</v>
      </c>
    </row>
    <row r="12" spans="1:17" s="56" customFormat="1" ht="15.75" customHeight="1">
      <c r="A12" s="44"/>
      <c r="B12" s="45"/>
      <c r="C12" s="46">
        <f>IF(B12&lt;&gt;"",VLOOKUP(B12,'Tipo Projeto'!$A$3:$B$35,2,0),0)</f>
        <v>0</v>
      </c>
      <c r="D12" s="47"/>
      <c r="E12" s="47"/>
      <c r="F12" s="47"/>
      <c r="G12" s="48"/>
      <c r="H12" s="47"/>
      <c r="I12" s="75">
        <f t="shared" si="0"/>
        <v>0</v>
      </c>
      <c r="J12" s="47"/>
      <c r="K12" s="288">
        <f t="shared" ref="K12:K75" si="1">IF(AND(C12&lt;&gt;0,I12&lt;&gt;0),I12/C12,0)</f>
        <v>0</v>
      </c>
    </row>
    <row r="13" spans="1:17" s="56" customFormat="1" ht="15.75" customHeight="1">
      <c r="A13" s="44"/>
      <c r="B13" s="45"/>
      <c r="C13" s="46">
        <f>IF(B13&lt;&gt;"",VLOOKUP(B13,'Tipo Projeto'!$A$3:$B$35,2,0),0)</f>
        <v>0</v>
      </c>
      <c r="D13" s="47"/>
      <c r="E13" s="47"/>
      <c r="F13" s="47"/>
      <c r="G13" s="48"/>
      <c r="H13" s="47"/>
      <c r="I13" s="75">
        <f t="shared" si="0"/>
        <v>0</v>
      </c>
      <c r="J13" s="47"/>
      <c r="K13" s="288">
        <f t="shared" si="1"/>
        <v>0</v>
      </c>
    </row>
    <row r="14" spans="1:17" s="56" customFormat="1" ht="15.75" customHeight="1">
      <c r="A14" s="44"/>
      <c r="B14" s="45"/>
      <c r="C14" s="46">
        <f>IF(B14&lt;&gt;"",VLOOKUP(B14,'Tipo Projeto'!$A$3:$B$35,2,0),0)</f>
        <v>0</v>
      </c>
      <c r="D14" s="47"/>
      <c r="E14" s="47"/>
      <c r="F14" s="47"/>
      <c r="G14" s="48"/>
      <c r="H14" s="47"/>
      <c r="I14" s="75">
        <f t="shared" si="0"/>
        <v>0</v>
      </c>
      <c r="J14" s="47"/>
      <c r="K14" s="288">
        <f t="shared" si="1"/>
        <v>0</v>
      </c>
    </row>
    <row r="15" spans="1:17" s="56" customFormat="1" ht="15.75" customHeight="1">
      <c r="A15" s="44"/>
      <c r="B15" s="45"/>
      <c r="C15" s="46">
        <f>IF(B15&lt;&gt;"",VLOOKUP(B15,'Tipo Projeto'!$A$3:$B$35,2,0),0)</f>
        <v>0</v>
      </c>
      <c r="D15" s="47"/>
      <c r="E15" s="47"/>
      <c r="F15" s="47"/>
      <c r="G15" s="48"/>
      <c r="H15" s="47"/>
      <c r="I15" s="75">
        <f t="shared" si="0"/>
        <v>0</v>
      </c>
      <c r="J15" s="47"/>
      <c r="K15" s="288">
        <f t="shared" si="1"/>
        <v>0</v>
      </c>
    </row>
    <row r="16" spans="1:17" s="56" customFormat="1" ht="15.75" customHeight="1">
      <c r="A16" s="44"/>
      <c r="B16" s="45"/>
      <c r="C16" s="46">
        <f>IF(B16&lt;&gt;"",VLOOKUP(B16,'Tipo Projeto'!$A$3:$B$35,2,0),0)</f>
        <v>0</v>
      </c>
      <c r="D16" s="47"/>
      <c r="E16" s="47"/>
      <c r="F16" s="47"/>
      <c r="G16" s="48"/>
      <c r="H16" s="47"/>
      <c r="I16" s="75">
        <f t="shared" si="0"/>
        <v>0</v>
      </c>
      <c r="J16" s="47"/>
      <c r="K16" s="288">
        <f t="shared" si="1"/>
        <v>0</v>
      </c>
    </row>
    <row r="17" spans="1:11" s="56" customFormat="1" ht="15.75" customHeight="1">
      <c r="A17" s="44"/>
      <c r="B17" s="45"/>
      <c r="C17" s="46">
        <f>IF(B17&lt;&gt;"",VLOOKUP(B17,'Tipo Projeto'!$A$3:$B$35,2,0),0)</f>
        <v>0</v>
      </c>
      <c r="D17" s="47"/>
      <c r="E17" s="47"/>
      <c r="F17" s="47"/>
      <c r="G17" s="48"/>
      <c r="H17" s="47"/>
      <c r="I17" s="75">
        <f t="shared" si="0"/>
        <v>0</v>
      </c>
      <c r="J17" s="47"/>
      <c r="K17" s="288">
        <f t="shared" si="1"/>
        <v>0</v>
      </c>
    </row>
    <row r="18" spans="1:11" s="56" customFormat="1" ht="15.75" customHeight="1">
      <c r="A18" s="44"/>
      <c r="B18" s="45"/>
      <c r="C18" s="46">
        <f>IF(B18&lt;&gt;"",VLOOKUP(B18,'Tipo Projeto'!$A$3:$B$35,2,0),0)</f>
        <v>0</v>
      </c>
      <c r="D18" s="47"/>
      <c r="E18" s="47"/>
      <c r="F18" s="47"/>
      <c r="G18" s="48"/>
      <c r="H18" s="47"/>
      <c r="I18" s="75">
        <f t="shared" si="0"/>
        <v>0</v>
      </c>
      <c r="J18" s="47"/>
      <c r="K18" s="288">
        <f t="shared" si="1"/>
        <v>0</v>
      </c>
    </row>
    <row r="19" spans="1:11" s="56" customFormat="1" ht="15.75" customHeight="1">
      <c r="A19" s="44"/>
      <c r="B19" s="45"/>
      <c r="C19" s="46">
        <f>IF(B19&lt;&gt;"",VLOOKUP(B19,'Tipo Projeto'!$A$3:$B$35,2,0),0)</f>
        <v>0</v>
      </c>
      <c r="D19" s="47"/>
      <c r="E19" s="47"/>
      <c r="F19" s="47"/>
      <c r="G19" s="48"/>
      <c r="H19" s="47"/>
      <c r="I19" s="75">
        <f t="shared" si="0"/>
        <v>0</v>
      </c>
      <c r="J19" s="47"/>
      <c r="K19" s="288">
        <f t="shared" si="1"/>
        <v>0</v>
      </c>
    </row>
    <row r="20" spans="1:11" s="56" customFormat="1" ht="15.75" customHeight="1">
      <c r="A20" s="44"/>
      <c r="B20" s="45"/>
      <c r="C20" s="46">
        <f>IF(B20&lt;&gt;"",VLOOKUP(B20,'Tipo Projeto'!$A$3:$B$35,2,0),0)</f>
        <v>0</v>
      </c>
      <c r="D20" s="47"/>
      <c r="E20" s="47"/>
      <c r="F20" s="47"/>
      <c r="G20" s="48"/>
      <c r="H20" s="47"/>
      <c r="I20" s="75">
        <f t="shared" si="0"/>
        <v>0</v>
      </c>
      <c r="J20" s="47"/>
      <c r="K20" s="288">
        <f t="shared" si="1"/>
        <v>0</v>
      </c>
    </row>
    <row r="21" spans="1:11" s="56" customFormat="1" ht="15.75" customHeight="1">
      <c r="A21" s="44"/>
      <c r="B21" s="45"/>
      <c r="C21" s="46">
        <f>IF(B21&lt;&gt;"",VLOOKUP(B21,'Tipo Projeto'!$A$3:$B$35,2,0),0)</f>
        <v>0</v>
      </c>
      <c r="D21" s="47"/>
      <c r="E21" s="47"/>
      <c r="F21" s="47"/>
      <c r="G21" s="48"/>
      <c r="H21" s="47"/>
      <c r="I21" s="75">
        <f t="shared" si="0"/>
        <v>0</v>
      </c>
      <c r="J21" s="47"/>
      <c r="K21" s="288">
        <f t="shared" si="1"/>
        <v>0</v>
      </c>
    </row>
    <row r="22" spans="1:11" s="56" customFormat="1" ht="15.75" customHeight="1">
      <c r="A22" s="44"/>
      <c r="B22" s="45"/>
      <c r="C22" s="46">
        <f>IF(B22&lt;&gt;"",VLOOKUP(B22,'Tipo Projeto'!$A$3:$B$35,2,0),0)</f>
        <v>0</v>
      </c>
      <c r="D22" s="47"/>
      <c r="E22" s="47"/>
      <c r="F22" s="47"/>
      <c r="G22" s="48"/>
      <c r="H22" s="47"/>
      <c r="I22" s="75">
        <f t="shared" si="0"/>
        <v>0</v>
      </c>
      <c r="J22" s="47"/>
      <c r="K22" s="288">
        <f t="shared" si="1"/>
        <v>0</v>
      </c>
    </row>
    <row r="23" spans="1:11" s="56" customFormat="1" ht="15.75" customHeight="1">
      <c r="A23" s="44"/>
      <c r="B23" s="45"/>
      <c r="C23" s="46">
        <f>IF(B23&lt;&gt;"",VLOOKUP(B23,'Tipo Projeto'!$A$3:$B$35,2,0),0)</f>
        <v>0</v>
      </c>
      <c r="D23" s="47"/>
      <c r="E23" s="47"/>
      <c r="F23" s="47"/>
      <c r="G23" s="48"/>
      <c r="H23" s="47"/>
      <c r="I23" s="75">
        <f t="shared" si="0"/>
        <v>0</v>
      </c>
      <c r="J23" s="47"/>
      <c r="K23" s="288">
        <f t="shared" si="1"/>
        <v>0</v>
      </c>
    </row>
    <row r="24" spans="1:11" s="56" customFormat="1" ht="15.75" customHeight="1">
      <c r="A24" s="44"/>
      <c r="B24" s="45"/>
      <c r="C24" s="46">
        <f>IF(B24&lt;&gt;"",VLOOKUP(B24,'Tipo Projeto'!$A$3:$B$35,2,0),0)</f>
        <v>0</v>
      </c>
      <c r="D24" s="47"/>
      <c r="E24" s="47"/>
      <c r="F24" s="47"/>
      <c r="G24" s="48"/>
      <c r="H24" s="47"/>
      <c r="I24" s="75">
        <f t="shared" si="0"/>
        <v>0</v>
      </c>
      <c r="J24" s="47"/>
      <c r="K24" s="288">
        <f t="shared" si="1"/>
        <v>0</v>
      </c>
    </row>
    <row r="25" spans="1:11" s="56" customFormat="1" ht="15.75" customHeight="1">
      <c r="A25" s="44"/>
      <c r="B25" s="45"/>
      <c r="C25" s="46">
        <f>IF(B25&lt;&gt;"",VLOOKUP(B25,'Tipo Projeto'!$A$3:$B$35,2,0),0)</f>
        <v>0</v>
      </c>
      <c r="D25" s="47"/>
      <c r="E25" s="47"/>
      <c r="F25" s="47"/>
      <c r="G25" s="48"/>
      <c r="H25" s="47"/>
      <c r="I25" s="75">
        <f t="shared" si="0"/>
        <v>0</v>
      </c>
      <c r="J25" s="47"/>
      <c r="K25" s="288">
        <f t="shared" si="1"/>
        <v>0</v>
      </c>
    </row>
    <row r="26" spans="1:11" s="56" customFormat="1" ht="15.75" customHeight="1">
      <c r="A26" s="44"/>
      <c r="B26" s="45"/>
      <c r="C26" s="46">
        <f>IF(B26&lt;&gt;"",VLOOKUP(B26,'Tipo Projeto'!$A$3:$B$35,2,0),0)</f>
        <v>0</v>
      </c>
      <c r="D26" s="47"/>
      <c r="E26" s="47"/>
      <c r="F26" s="47"/>
      <c r="G26" s="48"/>
      <c r="H26" s="47"/>
      <c r="I26" s="75">
        <f t="shared" si="0"/>
        <v>0</v>
      </c>
      <c r="J26" s="47"/>
      <c r="K26" s="288">
        <f t="shared" si="1"/>
        <v>0</v>
      </c>
    </row>
    <row r="27" spans="1:11" s="56" customFormat="1" ht="15.75" customHeight="1">
      <c r="A27" s="44"/>
      <c r="B27" s="45"/>
      <c r="C27" s="46">
        <f>IF(B27&lt;&gt;"",VLOOKUP(B27,'Tipo Projeto'!$A$3:$B$35,2,0),0)</f>
        <v>0</v>
      </c>
      <c r="D27" s="47"/>
      <c r="E27" s="47"/>
      <c r="F27" s="47"/>
      <c r="G27" s="48"/>
      <c r="H27" s="47"/>
      <c r="I27" s="75">
        <f t="shared" si="0"/>
        <v>0</v>
      </c>
      <c r="J27" s="47"/>
      <c r="K27" s="288">
        <f t="shared" si="1"/>
        <v>0</v>
      </c>
    </row>
    <row r="28" spans="1:11" s="56" customFormat="1" ht="15.75" customHeight="1">
      <c r="A28" s="44"/>
      <c r="B28" s="45"/>
      <c r="C28" s="46">
        <f>IF(B28&lt;&gt;"",VLOOKUP(B28,'Tipo Projeto'!$A$3:$B$35,2,0),0)</f>
        <v>0</v>
      </c>
      <c r="D28" s="47"/>
      <c r="E28" s="47"/>
      <c r="F28" s="47"/>
      <c r="G28" s="48"/>
      <c r="H28" s="47"/>
      <c r="I28" s="75">
        <f t="shared" si="0"/>
        <v>0</v>
      </c>
      <c r="J28" s="47"/>
      <c r="K28" s="288">
        <f t="shared" si="1"/>
        <v>0</v>
      </c>
    </row>
    <row r="29" spans="1:11" s="56" customFormat="1" ht="15.75" customHeight="1">
      <c r="A29" s="44"/>
      <c r="B29" s="45"/>
      <c r="C29" s="46">
        <f>IF(B29&lt;&gt;"",VLOOKUP(B29,'Tipo Projeto'!$A$3:$B$35,2,0),0)</f>
        <v>0</v>
      </c>
      <c r="D29" s="47"/>
      <c r="E29" s="47"/>
      <c r="F29" s="47"/>
      <c r="G29" s="48"/>
      <c r="H29" s="47"/>
      <c r="I29" s="75">
        <f t="shared" si="0"/>
        <v>0</v>
      </c>
      <c r="J29" s="47"/>
      <c r="K29" s="288">
        <f t="shared" si="1"/>
        <v>0</v>
      </c>
    </row>
    <row r="30" spans="1:11" s="56" customFormat="1" ht="15.75" customHeight="1">
      <c r="A30" s="44"/>
      <c r="B30" s="45"/>
      <c r="C30" s="46">
        <f>IF(B30&lt;&gt;"",VLOOKUP(B30,'Tipo Projeto'!$A$3:$B$35,2,0),0)</f>
        <v>0</v>
      </c>
      <c r="D30" s="47"/>
      <c r="E30" s="47"/>
      <c r="F30" s="47"/>
      <c r="G30" s="48"/>
      <c r="H30" s="47"/>
      <c r="I30" s="75">
        <f t="shared" si="0"/>
        <v>0</v>
      </c>
      <c r="J30" s="47"/>
      <c r="K30" s="288">
        <f t="shared" si="1"/>
        <v>0</v>
      </c>
    </row>
    <row r="31" spans="1:11" s="56" customFormat="1" ht="15.75" customHeight="1">
      <c r="A31" s="44"/>
      <c r="B31" s="45"/>
      <c r="C31" s="46">
        <f>IF(B31&lt;&gt;"",VLOOKUP(B31,'Tipo Projeto'!$A$3:$B$35,2,0),0)</f>
        <v>0</v>
      </c>
      <c r="D31" s="47"/>
      <c r="E31" s="47"/>
      <c r="F31" s="47"/>
      <c r="G31" s="48"/>
      <c r="H31" s="47"/>
      <c r="I31" s="75">
        <f t="shared" si="0"/>
        <v>0</v>
      </c>
      <c r="J31" s="47"/>
      <c r="K31" s="288">
        <f t="shared" si="1"/>
        <v>0</v>
      </c>
    </row>
    <row r="32" spans="1:11" s="56" customFormat="1" ht="15.75" customHeight="1">
      <c r="A32" s="44"/>
      <c r="B32" s="45"/>
      <c r="C32" s="46">
        <f>IF(B32&lt;&gt;"",VLOOKUP(B32,'Tipo Projeto'!$A$3:$B$35,2,0),0)</f>
        <v>0</v>
      </c>
      <c r="D32" s="47"/>
      <c r="E32" s="47"/>
      <c r="F32" s="47"/>
      <c r="G32" s="48"/>
      <c r="H32" s="47"/>
      <c r="I32" s="75">
        <f t="shared" si="0"/>
        <v>0</v>
      </c>
      <c r="J32" s="47"/>
      <c r="K32" s="288">
        <f t="shared" si="1"/>
        <v>0</v>
      </c>
    </row>
    <row r="33" spans="1:11" s="56" customFormat="1" ht="15.75" customHeight="1">
      <c r="A33" s="44"/>
      <c r="B33" s="45"/>
      <c r="C33" s="46">
        <f>IF(B33&lt;&gt;"",VLOOKUP(B33,'Tipo Projeto'!$A$3:$B$35,2,0),0)</f>
        <v>0</v>
      </c>
      <c r="D33" s="47"/>
      <c r="E33" s="47"/>
      <c r="F33" s="47"/>
      <c r="G33" s="48"/>
      <c r="H33" s="47"/>
      <c r="I33" s="75">
        <f t="shared" si="0"/>
        <v>0</v>
      </c>
      <c r="J33" s="47"/>
      <c r="K33" s="288">
        <f t="shared" si="1"/>
        <v>0</v>
      </c>
    </row>
    <row r="34" spans="1:11" s="56" customFormat="1" ht="15.75" customHeight="1">
      <c r="A34" s="44"/>
      <c r="B34" s="45"/>
      <c r="C34" s="46">
        <f>IF(B34&lt;&gt;"",VLOOKUP(B34,'Tipo Projeto'!$A$3:$B$35,2,0),0)</f>
        <v>0</v>
      </c>
      <c r="D34" s="47"/>
      <c r="E34" s="47"/>
      <c r="F34" s="47"/>
      <c r="G34" s="48"/>
      <c r="H34" s="47"/>
      <c r="I34" s="75">
        <f t="shared" si="0"/>
        <v>0</v>
      </c>
      <c r="J34" s="47"/>
      <c r="K34" s="288">
        <f t="shared" si="1"/>
        <v>0</v>
      </c>
    </row>
    <row r="35" spans="1:11" s="56" customFormat="1" ht="15.75" customHeight="1">
      <c r="A35" s="44"/>
      <c r="B35" s="45"/>
      <c r="C35" s="46">
        <f>IF(B35&lt;&gt;"",VLOOKUP(B35,'Tipo Projeto'!$A$3:$B$35,2,0),0)</f>
        <v>0</v>
      </c>
      <c r="D35" s="47"/>
      <c r="E35" s="47"/>
      <c r="F35" s="47"/>
      <c r="G35" s="48"/>
      <c r="H35" s="47"/>
      <c r="I35" s="75">
        <f t="shared" si="0"/>
        <v>0</v>
      </c>
      <c r="J35" s="47"/>
      <c r="K35" s="288">
        <f t="shared" si="1"/>
        <v>0</v>
      </c>
    </row>
    <row r="36" spans="1:11" s="56" customFormat="1" ht="15.75" customHeight="1">
      <c r="A36" s="44"/>
      <c r="B36" s="45"/>
      <c r="C36" s="46">
        <f>IF(B36&lt;&gt;"",VLOOKUP(B36,'Tipo Projeto'!$A$3:$B$35,2,0),0)</f>
        <v>0</v>
      </c>
      <c r="D36" s="47"/>
      <c r="E36" s="47"/>
      <c r="F36" s="47"/>
      <c r="G36" s="48"/>
      <c r="H36" s="47"/>
      <c r="I36" s="75">
        <f t="shared" si="0"/>
        <v>0</v>
      </c>
      <c r="J36" s="47"/>
      <c r="K36" s="288">
        <f t="shared" si="1"/>
        <v>0</v>
      </c>
    </row>
    <row r="37" spans="1:11" s="56" customFormat="1" ht="15.75" customHeight="1">
      <c r="A37" s="44"/>
      <c r="B37" s="45"/>
      <c r="C37" s="46">
        <f>IF(B37&lt;&gt;"",VLOOKUP(B37,'Tipo Projeto'!$A$3:$B$35,2,0),0)</f>
        <v>0</v>
      </c>
      <c r="D37" s="47"/>
      <c r="E37" s="47"/>
      <c r="F37" s="47"/>
      <c r="G37" s="48"/>
      <c r="H37" s="47"/>
      <c r="I37" s="75">
        <f t="shared" si="0"/>
        <v>0</v>
      </c>
      <c r="J37" s="47"/>
      <c r="K37" s="288">
        <f t="shared" si="1"/>
        <v>0</v>
      </c>
    </row>
    <row r="38" spans="1:11" s="56" customFormat="1" ht="15.75" customHeight="1">
      <c r="A38" s="44"/>
      <c r="B38" s="45"/>
      <c r="C38" s="46">
        <f>IF(B38&lt;&gt;"",VLOOKUP(B38,'Tipo Projeto'!$A$3:$B$35,2,0),0)</f>
        <v>0</v>
      </c>
      <c r="D38" s="47"/>
      <c r="E38" s="47"/>
      <c r="F38" s="47"/>
      <c r="G38" s="48"/>
      <c r="H38" s="47"/>
      <c r="I38" s="75">
        <f t="shared" si="0"/>
        <v>0</v>
      </c>
      <c r="J38" s="47"/>
      <c r="K38" s="288">
        <f t="shared" si="1"/>
        <v>0</v>
      </c>
    </row>
    <row r="39" spans="1:11" s="56" customFormat="1" ht="15.75" customHeight="1">
      <c r="A39" s="44"/>
      <c r="B39" s="45"/>
      <c r="C39" s="46">
        <f>IF(B39&lt;&gt;"",VLOOKUP(B39,'Tipo Projeto'!$A$3:$B$35,2,0),0)</f>
        <v>0</v>
      </c>
      <c r="D39" s="47"/>
      <c r="E39" s="47"/>
      <c r="F39" s="47"/>
      <c r="G39" s="48"/>
      <c r="H39" s="47"/>
      <c r="I39" s="75">
        <f t="shared" si="0"/>
        <v>0</v>
      </c>
      <c r="J39" s="47"/>
      <c r="K39" s="288">
        <f t="shared" si="1"/>
        <v>0</v>
      </c>
    </row>
    <row r="40" spans="1:11" s="56" customFormat="1" ht="15.75" customHeight="1">
      <c r="A40" s="44"/>
      <c r="B40" s="45"/>
      <c r="C40" s="46">
        <f>IF(B40&lt;&gt;"",VLOOKUP(B40,'Tipo Projeto'!$A$3:$B$35,2,0),0)</f>
        <v>0</v>
      </c>
      <c r="D40" s="47"/>
      <c r="E40" s="47"/>
      <c r="F40" s="47"/>
      <c r="G40" s="48"/>
      <c r="H40" s="47"/>
      <c r="I40" s="75">
        <f t="shared" si="0"/>
        <v>0</v>
      </c>
      <c r="J40" s="47"/>
      <c r="K40" s="288">
        <f t="shared" si="1"/>
        <v>0</v>
      </c>
    </row>
    <row r="41" spans="1:11" s="56" customFormat="1" ht="15.75" customHeight="1">
      <c r="A41" s="44"/>
      <c r="B41" s="45"/>
      <c r="C41" s="46">
        <f>IF(B41&lt;&gt;"",VLOOKUP(B41,'Tipo Projeto'!$A$3:$B$35,2,0),0)</f>
        <v>0</v>
      </c>
      <c r="D41" s="47"/>
      <c r="E41" s="47"/>
      <c r="F41" s="47"/>
      <c r="G41" s="48"/>
      <c r="H41" s="47"/>
      <c r="I41" s="75">
        <f t="shared" si="0"/>
        <v>0</v>
      </c>
      <c r="J41" s="47"/>
      <c r="K41" s="288">
        <f t="shared" si="1"/>
        <v>0</v>
      </c>
    </row>
    <row r="42" spans="1:11" s="56" customFormat="1" ht="15.75" customHeight="1">
      <c r="A42" s="44"/>
      <c r="B42" s="45"/>
      <c r="C42" s="46">
        <f>IF(B42&lt;&gt;"",VLOOKUP(B42,'Tipo Projeto'!$A$3:$B$35,2,0),0)</f>
        <v>0</v>
      </c>
      <c r="D42" s="47"/>
      <c r="E42" s="47"/>
      <c r="F42" s="47"/>
      <c r="G42" s="48"/>
      <c r="H42" s="47"/>
      <c r="I42" s="75">
        <f t="shared" si="0"/>
        <v>0</v>
      </c>
      <c r="J42" s="47"/>
      <c r="K42" s="288">
        <f t="shared" si="1"/>
        <v>0</v>
      </c>
    </row>
    <row r="43" spans="1:11" s="56" customFormat="1" ht="15.75" customHeight="1">
      <c r="A43" s="44"/>
      <c r="B43" s="45"/>
      <c r="C43" s="46">
        <f>IF(B43&lt;&gt;"",VLOOKUP(B43,'Tipo Projeto'!$A$3:$B$35,2,0),0)</f>
        <v>0</v>
      </c>
      <c r="D43" s="47"/>
      <c r="E43" s="47"/>
      <c r="F43" s="47"/>
      <c r="G43" s="48"/>
      <c r="H43" s="47"/>
      <c r="I43" s="75">
        <f t="shared" si="0"/>
        <v>0</v>
      </c>
      <c r="J43" s="47"/>
      <c r="K43" s="288">
        <f t="shared" si="1"/>
        <v>0</v>
      </c>
    </row>
    <row r="44" spans="1:11" s="56" customFormat="1" ht="15.75" customHeight="1">
      <c r="A44" s="44"/>
      <c r="B44" s="45"/>
      <c r="C44" s="46">
        <f>IF(B44&lt;&gt;"",VLOOKUP(B44,'Tipo Projeto'!$A$3:$B$35,2,0),0)</f>
        <v>0</v>
      </c>
      <c r="D44" s="47"/>
      <c r="E44" s="47"/>
      <c r="F44" s="47"/>
      <c r="G44" s="48"/>
      <c r="H44" s="47"/>
      <c r="I44" s="75">
        <f t="shared" si="0"/>
        <v>0</v>
      </c>
      <c r="J44" s="47"/>
      <c r="K44" s="288">
        <f t="shared" si="1"/>
        <v>0</v>
      </c>
    </row>
    <row r="45" spans="1:11" s="56" customFormat="1" ht="15.75" customHeight="1">
      <c r="A45" s="44"/>
      <c r="B45" s="45"/>
      <c r="C45" s="46">
        <f>IF(B45&lt;&gt;"",VLOOKUP(B45,'Tipo Projeto'!$A$3:$B$35,2,0),0)</f>
        <v>0</v>
      </c>
      <c r="D45" s="47"/>
      <c r="E45" s="47"/>
      <c r="F45" s="47"/>
      <c r="G45" s="48"/>
      <c r="H45" s="47"/>
      <c r="I45" s="75">
        <f t="shared" si="0"/>
        <v>0</v>
      </c>
      <c r="J45" s="47"/>
      <c r="K45" s="288">
        <f t="shared" si="1"/>
        <v>0</v>
      </c>
    </row>
    <row r="46" spans="1:11" s="56" customFormat="1" ht="15.75" customHeight="1">
      <c r="A46" s="44"/>
      <c r="B46" s="45"/>
      <c r="C46" s="46">
        <f>IF(B46&lt;&gt;"",VLOOKUP(B46,'Tipo Projeto'!$A$3:$B$35,2,0),0)</f>
        <v>0</v>
      </c>
      <c r="D46" s="47"/>
      <c r="E46" s="47"/>
      <c r="F46" s="47"/>
      <c r="G46" s="48"/>
      <c r="H46" s="47"/>
      <c r="I46" s="75">
        <f t="shared" si="0"/>
        <v>0</v>
      </c>
      <c r="J46" s="47"/>
      <c r="K46" s="288">
        <f t="shared" si="1"/>
        <v>0</v>
      </c>
    </row>
    <row r="47" spans="1:11" s="56" customFormat="1" ht="15.75" customHeight="1">
      <c r="A47" s="44"/>
      <c r="B47" s="45"/>
      <c r="C47" s="46">
        <f>IF(B47&lt;&gt;"",VLOOKUP(B47,'Tipo Projeto'!$A$3:$B$35,2,0),0)</f>
        <v>0</v>
      </c>
      <c r="D47" s="47"/>
      <c r="E47" s="47"/>
      <c r="F47" s="47"/>
      <c r="G47" s="48"/>
      <c r="H47" s="47"/>
      <c r="I47" s="75">
        <f t="shared" si="0"/>
        <v>0</v>
      </c>
      <c r="J47" s="47"/>
      <c r="K47" s="288">
        <f t="shared" si="1"/>
        <v>0</v>
      </c>
    </row>
    <row r="48" spans="1:11" s="56" customFormat="1" ht="15.75" customHeight="1">
      <c r="A48" s="44"/>
      <c r="B48" s="45"/>
      <c r="C48" s="46">
        <f>IF(B48&lt;&gt;"",VLOOKUP(B48,'Tipo Projeto'!$A$3:$B$35,2,0),0)</f>
        <v>0</v>
      </c>
      <c r="D48" s="47"/>
      <c r="E48" s="47"/>
      <c r="F48" s="47"/>
      <c r="G48" s="48"/>
      <c r="H48" s="47"/>
      <c r="I48" s="75">
        <f t="shared" si="0"/>
        <v>0</v>
      </c>
      <c r="J48" s="47"/>
      <c r="K48" s="288">
        <f t="shared" si="1"/>
        <v>0</v>
      </c>
    </row>
    <row r="49" spans="1:11" s="56" customFormat="1" ht="15.75" customHeight="1">
      <c r="A49" s="44"/>
      <c r="B49" s="45"/>
      <c r="C49" s="46">
        <f>IF(B49&lt;&gt;"",VLOOKUP(B49,'Tipo Projeto'!$A$3:$B$35,2,0),0)</f>
        <v>0</v>
      </c>
      <c r="D49" s="47"/>
      <c r="E49" s="47"/>
      <c r="F49" s="47"/>
      <c r="G49" s="48"/>
      <c r="H49" s="47"/>
      <c r="I49" s="75">
        <f t="shared" si="0"/>
        <v>0</v>
      </c>
      <c r="J49" s="47"/>
      <c r="K49" s="288">
        <f t="shared" si="1"/>
        <v>0</v>
      </c>
    </row>
    <row r="50" spans="1:11" s="56" customFormat="1" ht="15.75" customHeight="1">
      <c r="A50" s="44"/>
      <c r="B50" s="45"/>
      <c r="C50" s="46">
        <f>IF(B50&lt;&gt;"",VLOOKUP(B50,'Tipo Projeto'!$A$3:$B$35,2,0),0)</f>
        <v>0</v>
      </c>
      <c r="D50" s="47"/>
      <c r="E50" s="47"/>
      <c r="F50" s="47"/>
      <c r="G50" s="48"/>
      <c r="H50" s="47"/>
      <c r="I50" s="75">
        <f t="shared" si="0"/>
        <v>0</v>
      </c>
      <c r="J50" s="47"/>
      <c r="K50" s="288">
        <f t="shared" si="1"/>
        <v>0</v>
      </c>
    </row>
    <row r="51" spans="1:11" s="56" customFormat="1" ht="15.75" customHeight="1">
      <c r="A51" s="44"/>
      <c r="B51" s="45"/>
      <c r="C51" s="46">
        <f>IF(B51&lt;&gt;"",VLOOKUP(B51,'Tipo Projeto'!$A$3:$B$35,2,0),0)</f>
        <v>0</v>
      </c>
      <c r="D51" s="47"/>
      <c r="E51" s="47"/>
      <c r="F51" s="47"/>
      <c r="G51" s="48"/>
      <c r="H51" s="47"/>
      <c r="I51" s="75">
        <f t="shared" si="0"/>
        <v>0</v>
      </c>
      <c r="J51" s="47"/>
      <c r="K51" s="288">
        <f t="shared" si="1"/>
        <v>0</v>
      </c>
    </row>
    <row r="52" spans="1:11" s="56" customFormat="1" ht="15.75" customHeight="1">
      <c r="A52" s="44"/>
      <c r="B52" s="45"/>
      <c r="C52" s="46">
        <f>IF(B52&lt;&gt;"",VLOOKUP(B52,'Tipo Projeto'!$A$3:$B$35,2,0),0)</f>
        <v>0</v>
      </c>
      <c r="D52" s="47"/>
      <c r="E52" s="47"/>
      <c r="F52" s="47"/>
      <c r="G52" s="48"/>
      <c r="H52" s="47"/>
      <c r="I52" s="75">
        <f t="shared" si="0"/>
        <v>0</v>
      </c>
      <c r="J52" s="47"/>
      <c r="K52" s="288">
        <f t="shared" si="1"/>
        <v>0</v>
      </c>
    </row>
    <row r="53" spans="1:11" s="56" customFormat="1" ht="15.75" customHeight="1">
      <c r="A53" s="44"/>
      <c r="B53" s="45"/>
      <c r="C53" s="46">
        <f>IF(B53&lt;&gt;"",VLOOKUP(B53,'Tipo Projeto'!$A$3:$B$35,2,0),0)</f>
        <v>0</v>
      </c>
      <c r="D53" s="47"/>
      <c r="E53" s="47"/>
      <c r="F53" s="47"/>
      <c r="G53" s="48"/>
      <c r="H53" s="47"/>
      <c r="I53" s="75">
        <f t="shared" si="0"/>
        <v>0</v>
      </c>
      <c r="J53" s="47"/>
      <c r="K53" s="288">
        <f t="shared" si="1"/>
        <v>0</v>
      </c>
    </row>
    <row r="54" spans="1:11" s="56" customFormat="1" ht="15.75" customHeight="1">
      <c r="A54" s="44"/>
      <c r="B54" s="45"/>
      <c r="C54" s="46">
        <f>IF(B54&lt;&gt;"",VLOOKUP(B54,'Tipo Projeto'!$A$3:$B$35,2,0),0)</f>
        <v>0</v>
      </c>
      <c r="D54" s="47"/>
      <c r="E54" s="47"/>
      <c r="F54" s="47"/>
      <c r="G54" s="48"/>
      <c r="H54" s="47"/>
      <c r="I54" s="75">
        <f t="shared" si="0"/>
        <v>0</v>
      </c>
      <c r="J54" s="47"/>
      <c r="K54" s="288">
        <f t="shared" si="1"/>
        <v>0</v>
      </c>
    </row>
    <row r="55" spans="1:11" s="56" customFormat="1" ht="15.75" customHeight="1">
      <c r="A55" s="44"/>
      <c r="B55" s="45"/>
      <c r="C55" s="46">
        <f>IF(B55&lt;&gt;"",VLOOKUP(B55,'Tipo Projeto'!$A$3:$B$35,2,0),0)</f>
        <v>0</v>
      </c>
      <c r="D55" s="47"/>
      <c r="E55" s="47"/>
      <c r="F55" s="47"/>
      <c r="G55" s="48"/>
      <c r="H55" s="47"/>
      <c r="I55" s="75">
        <f t="shared" si="0"/>
        <v>0</v>
      </c>
      <c r="J55" s="47"/>
      <c r="K55" s="288">
        <f t="shared" si="1"/>
        <v>0</v>
      </c>
    </row>
    <row r="56" spans="1:11" s="56" customFormat="1" ht="15.75" customHeight="1">
      <c r="A56" s="44"/>
      <c r="B56" s="45"/>
      <c r="C56" s="46">
        <f>IF(B56&lt;&gt;"",VLOOKUP(B56,'Tipo Projeto'!$A$3:$B$35,2,0),0)</f>
        <v>0</v>
      </c>
      <c r="D56" s="47"/>
      <c r="E56" s="47"/>
      <c r="F56" s="47"/>
      <c r="G56" s="48"/>
      <c r="H56" s="47"/>
      <c r="I56" s="75">
        <f t="shared" si="0"/>
        <v>0</v>
      </c>
      <c r="J56" s="47"/>
      <c r="K56" s="288">
        <f t="shared" si="1"/>
        <v>0</v>
      </c>
    </row>
    <row r="57" spans="1:11" s="56" customFormat="1" ht="15.75" customHeight="1">
      <c r="A57" s="44"/>
      <c r="B57" s="45"/>
      <c r="C57" s="46">
        <f>IF(B57&lt;&gt;"",VLOOKUP(B57,'Tipo Projeto'!$A$3:$B$35,2,0),0)</f>
        <v>0</v>
      </c>
      <c r="D57" s="47"/>
      <c r="E57" s="47"/>
      <c r="F57" s="47"/>
      <c r="G57" s="48"/>
      <c r="H57" s="47"/>
      <c r="I57" s="75">
        <f t="shared" si="0"/>
        <v>0</v>
      </c>
      <c r="J57" s="47"/>
      <c r="K57" s="288">
        <f t="shared" si="1"/>
        <v>0</v>
      </c>
    </row>
    <row r="58" spans="1:11" s="56" customFormat="1" ht="15.75" customHeight="1">
      <c r="A58" s="44"/>
      <c r="B58" s="45"/>
      <c r="C58" s="46">
        <f>IF(B58&lt;&gt;"",VLOOKUP(B58,'Tipo Projeto'!$A$3:$B$35,2,0),0)</f>
        <v>0</v>
      </c>
      <c r="D58" s="47"/>
      <c r="E58" s="47"/>
      <c r="F58" s="47"/>
      <c r="G58" s="48"/>
      <c r="H58" s="47"/>
      <c r="I58" s="75">
        <f t="shared" si="0"/>
        <v>0</v>
      </c>
      <c r="J58" s="47"/>
      <c r="K58" s="288">
        <f t="shared" si="1"/>
        <v>0</v>
      </c>
    </row>
    <row r="59" spans="1:11" s="56" customFormat="1" ht="15.75" customHeight="1">
      <c r="A59" s="44"/>
      <c r="B59" s="45"/>
      <c r="C59" s="46">
        <f>IF(B59&lt;&gt;"",VLOOKUP(B59,'Tipo Projeto'!$A$3:$B$35,2,0),0)</f>
        <v>0</v>
      </c>
      <c r="D59" s="47"/>
      <c r="E59" s="47"/>
      <c r="F59" s="47"/>
      <c r="G59" s="48"/>
      <c r="H59" s="47"/>
      <c r="I59" s="75">
        <f t="shared" si="0"/>
        <v>0</v>
      </c>
      <c r="J59" s="47"/>
      <c r="K59" s="288">
        <f t="shared" si="1"/>
        <v>0</v>
      </c>
    </row>
    <row r="60" spans="1:11" s="56" customFormat="1" ht="15.75" customHeight="1">
      <c r="A60" s="44"/>
      <c r="B60" s="45"/>
      <c r="C60" s="46">
        <f>IF(B60&lt;&gt;"",VLOOKUP(B60,'Tipo Projeto'!$A$3:$B$35,2,0),0)</f>
        <v>0</v>
      </c>
      <c r="D60" s="47"/>
      <c r="E60" s="47"/>
      <c r="F60" s="47"/>
      <c r="G60" s="48"/>
      <c r="H60" s="47"/>
      <c r="I60" s="75">
        <f t="shared" si="0"/>
        <v>0</v>
      </c>
      <c r="J60" s="47"/>
      <c r="K60" s="288">
        <f t="shared" si="1"/>
        <v>0</v>
      </c>
    </row>
    <row r="61" spans="1:11" s="56" customFormat="1" ht="15.75" customHeight="1">
      <c r="A61" s="44"/>
      <c r="B61" s="45"/>
      <c r="C61" s="46">
        <f>IF(B61&lt;&gt;"",VLOOKUP(B61,'Tipo Projeto'!$A$3:$B$35,2,0),0)</f>
        <v>0</v>
      </c>
      <c r="D61" s="47"/>
      <c r="E61" s="47"/>
      <c r="F61" s="47"/>
      <c r="G61" s="48"/>
      <c r="H61" s="47"/>
      <c r="I61" s="75">
        <f t="shared" si="0"/>
        <v>0</v>
      </c>
      <c r="J61" s="47"/>
      <c r="K61" s="288">
        <f t="shared" si="1"/>
        <v>0</v>
      </c>
    </row>
    <row r="62" spans="1:11" s="56" customFormat="1" ht="15.75" customHeight="1">
      <c r="A62" s="44"/>
      <c r="B62" s="45"/>
      <c r="C62" s="46">
        <f>IF(B62&lt;&gt;"",VLOOKUP(B62,'Tipo Projeto'!$A$3:$B$35,2,0),0)</f>
        <v>0</v>
      </c>
      <c r="D62" s="47"/>
      <c r="E62" s="47"/>
      <c r="F62" s="47"/>
      <c r="G62" s="48"/>
      <c r="H62" s="47"/>
      <c r="I62" s="75">
        <f t="shared" si="0"/>
        <v>0</v>
      </c>
      <c r="J62" s="47"/>
      <c r="K62" s="288">
        <f t="shared" si="1"/>
        <v>0</v>
      </c>
    </row>
    <row r="63" spans="1:11" s="56" customFormat="1" ht="15.75" customHeight="1">
      <c r="A63" s="44"/>
      <c r="B63" s="45"/>
      <c r="C63" s="46">
        <f>IF(B63&lt;&gt;"",VLOOKUP(B63,'Tipo Projeto'!$A$3:$B$35,2,0),0)</f>
        <v>0</v>
      </c>
      <c r="D63" s="47"/>
      <c r="E63" s="47"/>
      <c r="F63" s="47"/>
      <c r="G63" s="48"/>
      <c r="H63" s="47"/>
      <c r="I63" s="75">
        <f t="shared" si="0"/>
        <v>0</v>
      </c>
      <c r="J63" s="47"/>
      <c r="K63" s="288">
        <f t="shared" si="1"/>
        <v>0</v>
      </c>
    </row>
    <row r="64" spans="1:11" s="56" customFormat="1" ht="15.75" customHeight="1">
      <c r="A64" s="44"/>
      <c r="B64" s="45"/>
      <c r="C64" s="46">
        <f>IF(B64&lt;&gt;"",VLOOKUP(B64,'Tipo Projeto'!$A$3:$B$35,2,0),0)</f>
        <v>0</v>
      </c>
      <c r="D64" s="47"/>
      <c r="E64" s="47"/>
      <c r="F64" s="47"/>
      <c r="G64" s="48"/>
      <c r="H64" s="47"/>
      <c r="I64" s="75">
        <f t="shared" si="0"/>
        <v>0</v>
      </c>
      <c r="J64" s="47"/>
      <c r="K64" s="288">
        <f t="shared" si="1"/>
        <v>0</v>
      </c>
    </row>
    <row r="65" spans="1:11" s="56" customFormat="1" ht="15.75" customHeight="1">
      <c r="A65" s="44"/>
      <c r="B65" s="45"/>
      <c r="C65" s="46">
        <f>IF(B65&lt;&gt;"",VLOOKUP(B65,'Tipo Projeto'!$A$3:$B$35,2,0),0)</f>
        <v>0</v>
      </c>
      <c r="D65" s="47"/>
      <c r="E65" s="47"/>
      <c r="F65" s="47"/>
      <c r="G65" s="48"/>
      <c r="H65" s="47"/>
      <c r="I65" s="75">
        <f t="shared" si="0"/>
        <v>0</v>
      </c>
      <c r="J65" s="47"/>
      <c r="K65" s="288">
        <f t="shared" si="1"/>
        <v>0</v>
      </c>
    </row>
    <row r="66" spans="1:11" s="56" customFormat="1" ht="15.75" customHeight="1">
      <c r="A66" s="44"/>
      <c r="B66" s="45"/>
      <c r="C66" s="46">
        <f>IF(B66&lt;&gt;"",VLOOKUP(B66,'Tipo Projeto'!$A$3:$B$35,2,0),0)</f>
        <v>0</v>
      </c>
      <c r="D66" s="47"/>
      <c r="E66" s="47"/>
      <c r="F66" s="47"/>
      <c r="G66" s="48"/>
      <c r="H66" s="47"/>
      <c r="I66" s="75">
        <f t="shared" si="0"/>
        <v>0</v>
      </c>
      <c r="J66" s="47"/>
      <c r="K66" s="288">
        <f t="shared" si="1"/>
        <v>0</v>
      </c>
    </row>
    <row r="67" spans="1:11" s="56" customFormat="1" ht="15.75" customHeight="1">
      <c r="A67" s="44"/>
      <c r="B67" s="45"/>
      <c r="C67" s="46">
        <f>IF(B67&lt;&gt;"",VLOOKUP(B67,'Tipo Projeto'!$A$3:$B$35,2,0),0)</f>
        <v>0</v>
      </c>
      <c r="D67" s="47"/>
      <c r="E67" s="47"/>
      <c r="F67" s="47"/>
      <c r="G67" s="48"/>
      <c r="H67" s="47"/>
      <c r="I67" s="75">
        <f t="shared" si="0"/>
        <v>0</v>
      </c>
      <c r="J67" s="47"/>
      <c r="K67" s="288">
        <f t="shared" si="1"/>
        <v>0</v>
      </c>
    </row>
    <row r="68" spans="1:11" s="56" customFormat="1" ht="15.75" customHeight="1">
      <c r="A68" s="44"/>
      <c r="B68" s="45"/>
      <c r="C68" s="46">
        <f>IF(B68&lt;&gt;"",VLOOKUP(B68,'Tipo Projeto'!$A$3:$B$35,2,0),0)</f>
        <v>0</v>
      </c>
      <c r="D68" s="47"/>
      <c r="E68" s="47"/>
      <c r="F68" s="47"/>
      <c r="G68" s="48"/>
      <c r="H68" s="47"/>
      <c r="I68" s="75">
        <f t="shared" si="0"/>
        <v>0</v>
      </c>
      <c r="J68" s="47"/>
      <c r="K68" s="288">
        <f t="shared" si="1"/>
        <v>0</v>
      </c>
    </row>
    <row r="69" spans="1:11" s="56" customFormat="1" ht="15.75" customHeight="1">
      <c r="A69" s="44"/>
      <c r="B69" s="45"/>
      <c r="C69" s="46">
        <f>IF(B69&lt;&gt;"",VLOOKUP(B69,'Tipo Projeto'!$A$3:$B$35,2,0),0)</f>
        <v>0</v>
      </c>
      <c r="D69" s="47"/>
      <c r="E69" s="47"/>
      <c r="F69" s="47"/>
      <c r="G69" s="48"/>
      <c r="H69" s="47"/>
      <c r="I69" s="75">
        <f t="shared" si="0"/>
        <v>0</v>
      </c>
      <c r="J69" s="47"/>
      <c r="K69" s="288">
        <f t="shared" si="1"/>
        <v>0</v>
      </c>
    </row>
    <row r="70" spans="1:11" s="56" customFormat="1" ht="15.75" customHeight="1">
      <c r="A70" s="44"/>
      <c r="B70" s="45"/>
      <c r="C70" s="46">
        <f>IF(B70&lt;&gt;"",VLOOKUP(B70,'Tipo Projeto'!$A$3:$B$35,2,0),0)</f>
        <v>0</v>
      </c>
      <c r="D70" s="47"/>
      <c r="E70" s="47"/>
      <c r="F70" s="47"/>
      <c r="G70" s="48"/>
      <c r="H70" s="47"/>
      <c r="I70" s="75">
        <f t="shared" si="0"/>
        <v>0</v>
      </c>
      <c r="J70" s="47"/>
      <c r="K70" s="288">
        <f t="shared" si="1"/>
        <v>0</v>
      </c>
    </row>
    <row r="71" spans="1:11" s="56" customFormat="1" ht="15.75" customHeight="1">
      <c r="A71" s="44"/>
      <c r="B71" s="45"/>
      <c r="C71" s="46">
        <f>IF(B71&lt;&gt;"",VLOOKUP(B71,'Tipo Projeto'!$A$3:$B$35,2,0),0)</f>
        <v>0</v>
      </c>
      <c r="D71" s="47"/>
      <c r="E71" s="47"/>
      <c r="F71" s="47"/>
      <c r="G71" s="48"/>
      <c r="H71" s="47"/>
      <c r="I71" s="75">
        <f t="shared" si="0"/>
        <v>0</v>
      </c>
      <c r="J71" s="47"/>
      <c r="K71" s="288">
        <f t="shared" si="1"/>
        <v>0</v>
      </c>
    </row>
    <row r="72" spans="1:11" s="56" customFormat="1" ht="15.75" customHeight="1">
      <c r="A72" s="44"/>
      <c r="B72" s="45"/>
      <c r="C72" s="46">
        <f>IF(B72&lt;&gt;"",VLOOKUP(B72,'Tipo Projeto'!$A$3:$B$35,2,0),0)</f>
        <v>0</v>
      </c>
      <c r="D72" s="47"/>
      <c r="E72" s="47"/>
      <c r="F72" s="47"/>
      <c r="G72" s="48"/>
      <c r="H72" s="47"/>
      <c r="I72" s="75">
        <f t="shared" si="0"/>
        <v>0</v>
      </c>
      <c r="J72" s="47"/>
      <c r="K72" s="288">
        <f t="shared" si="1"/>
        <v>0</v>
      </c>
    </row>
    <row r="73" spans="1:11" s="56" customFormat="1" ht="15.75" customHeight="1">
      <c r="A73" s="44"/>
      <c r="B73" s="45"/>
      <c r="C73" s="46">
        <f>IF(B73&lt;&gt;"",VLOOKUP(B73,'Tipo Projeto'!$A$3:$B$35,2,0),0)</f>
        <v>0</v>
      </c>
      <c r="D73" s="47"/>
      <c r="E73" s="47"/>
      <c r="F73" s="47"/>
      <c r="G73" s="48"/>
      <c r="H73" s="47"/>
      <c r="I73" s="75">
        <f t="shared" si="0"/>
        <v>0</v>
      </c>
      <c r="J73" s="47"/>
      <c r="K73" s="288">
        <f t="shared" si="1"/>
        <v>0</v>
      </c>
    </row>
    <row r="74" spans="1:11" s="56" customFormat="1" ht="15.75" customHeight="1">
      <c r="A74" s="44"/>
      <c r="B74" s="45"/>
      <c r="C74" s="46">
        <f>IF(B74&lt;&gt;"",VLOOKUP(B74,'Tipo Projeto'!$A$3:$B$35,2,0),0)</f>
        <v>0</v>
      </c>
      <c r="D74" s="47"/>
      <c r="E74" s="47"/>
      <c r="F74" s="47"/>
      <c r="G74" s="48"/>
      <c r="H74" s="47"/>
      <c r="I74" s="75">
        <f t="shared" si="0"/>
        <v>0</v>
      </c>
      <c r="J74" s="47"/>
      <c r="K74" s="288">
        <f t="shared" si="1"/>
        <v>0</v>
      </c>
    </row>
    <row r="75" spans="1:11" s="56" customFormat="1" ht="15.75" customHeight="1">
      <c r="A75" s="44"/>
      <c r="B75" s="45"/>
      <c r="C75" s="46">
        <f>IF(B75&lt;&gt;"",VLOOKUP(B75,'Tipo Projeto'!$A$3:$B$35,2,0),0)</f>
        <v>0</v>
      </c>
      <c r="D75" s="47"/>
      <c r="E75" s="47"/>
      <c r="F75" s="47"/>
      <c r="G75" s="48"/>
      <c r="H75" s="47"/>
      <c r="I75" s="75">
        <f t="shared" ref="I75:I138" si="2">IF(B75&lt;&gt;"Manutenção em interface",IF(B75&lt;&gt;"Desenv., Manutenção e Publicação de Páginas Estáticas",IF(H75="EE",4,IF(H75="CE",4,IF(H75="SE",5,IF(H75="ALI",7,IF(H75="AIE",5,0)))))*C75,C75),C75)</f>
        <v>0</v>
      </c>
      <c r="J75" s="47"/>
      <c r="K75" s="288">
        <f t="shared" si="1"/>
        <v>0</v>
      </c>
    </row>
    <row r="76" spans="1:11" s="56" customFormat="1" ht="15.75" customHeight="1">
      <c r="A76" s="44"/>
      <c r="B76" s="45"/>
      <c r="C76" s="46">
        <f>IF(B76&lt;&gt;"",VLOOKUP(B76,'Tipo Projeto'!$A$3:$B$35,2,0),0)</f>
        <v>0</v>
      </c>
      <c r="D76" s="47"/>
      <c r="E76" s="47"/>
      <c r="F76" s="47"/>
      <c r="G76" s="48"/>
      <c r="H76" s="47"/>
      <c r="I76" s="75">
        <f t="shared" si="2"/>
        <v>0</v>
      </c>
      <c r="J76" s="47"/>
      <c r="K76" s="288">
        <f t="shared" ref="K76:K139" si="3">IF(AND(C76&lt;&gt;0,I76&lt;&gt;0),I76/C76,0)</f>
        <v>0</v>
      </c>
    </row>
    <row r="77" spans="1:11" s="56" customFormat="1" ht="15.75" customHeight="1">
      <c r="A77" s="44"/>
      <c r="B77" s="45"/>
      <c r="C77" s="46">
        <f>IF(B77&lt;&gt;"",VLOOKUP(B77,'Tipo Projeto'!$A$3:$B$35,2,0),0)</f>
        <v>0</v>
      </c>
      <c r="D77" s="47"/>
      <c r="E77" s="47"/>
      <c r="F77" s="47"/>
      <c r="G77" s="48"/>
      <c r="H77" s="47"/>
      <c r="I77" s="75">
        <f t="shared" si="2"/>
        <v>0</v>
      </c>
      <c r="J77" s="47"/>
      <c r="K77" s="288">
        <f t="shared" si="3"/>
        <v>0</v>
      </c>
    </row>
    <row r="78" spans="1:11" s="56" customFormat="1" ht="15.75" customHeight="1">
      <c r="A78" s="44"/>
      <c r="B78" s="45"/>
      <c r="C78" s="46">
        <f>IF(B78&lt;&gt;"",VLOOKUP(B78,'Tipo Projeto'!$A$3:$B$35,2,0),0)</f>
        <v>0</v>
      </c>
      <c r="D78" s="47"/>
      <c r="E78" s="47"/>
      <c r="F78" s="47"/>
      <c r="G78" s="48"/>
      <c r="H78" s="47"/>
      <c r="I78" s="75">
        <f t="shared" si="2"/>
        <v>0</v>
      </c>
      <c r="J78" s="47"/>
      <c r="K78" s="288">
        <f t="shared" si="3"/>
        <v>0</v>
      </c>
    </row>
    <row r="79" spans="1:11" s="56" customFormat="1" ht="15.75" customHeight="1">
      <c r="A79" s="44"/>
      <c r="B79" s="45"/>
      <c r="C79" s="46">
        <f>IF(B79&lt;&gt;"",VLOOKUP(B79,'Tipo Projeto'!$A$3:$B$35,2,0),0)</f>
        <v>0</v>
      </c>
      <c r="D79" s="47"/>
      <c r="E79" s="47"/>
      <c r="F79" s="47"/>
      <c r="G79" s="48"/>
      <c r="H79" s="47"/>
      <c r="I79" s="75">
        <f t="shared" si="2"/>
        <v>0</v>
      </c>
      <c r="J79" s="47"/>
      <c r="K79" s="288">
        <f t="shared" si="3"/>
        <v>0</v>
      </c>
    </row>
    <row r="80" spans="1:11" s="56" customFormat="1" ht="15.75" customHeight="1">
      <c r="A80" s="44"/>
      <c r="B80" s="45"/>
      <c r="C80" s="46">
        <f>IF(B80&lt;&gt;"",VLOOKUP(B80,'Tipo Projeto'!$A$3:$B$35,2,0),0)</f>
        <v>0</v>
      </c>
      <c r="D80" s="47"/>
      <c r="E80" s="47"/>
      <c r="F80" s="47"/>
      <c r="G80" s="48"/>
      <c r="H80" s="47"/>
      <c r="I80" s="75">
        <f t="shared" si="2"/>
        <v>0</v>
      </c>
      <c r="J80" s="47"/>
      <c r="K80" s="288">
        <f t="shared" si="3"/>
        <v>0</v>
      </c>
    </row>
    <row r="81" spans="1:11" s="56" customFormat="1" ht="15.75" customHeight="1">
      <c r="A81" s="44"/>
      <c r="B81" s="45"/>
      <c r="C81" s="46">
        <f>IF(B81&lt;&gt;"",VLOOKUP(B81,'Tipo Projeto'!$A$3:$B$35,2,0),0)</f>
        <v>0</v>
      </c>
      <c r="D81" s="47"/>
      <c r="E81" s="47"/>
      <c r="F81" s="47"/>
      <c r="G81" s="48"/>
      <c r="H81" s="47"/>
      <c r="I81" s="75">
        <f t="shared" si="2"/>
        <v>0</v>
      </c>
      <c r="J81" s="47"/>
      <c r="K81" s="288">
        <f t="shared" si="3"/>
        <v>0</v>
      </c>
    </row>
    <row r="82" spans="1:11" s="56" customFormat="1" ht="15.75" customHeight="1">
      <c r="A82" s="44"/>
      <c r="B82" s="45"/>
      <c r="C82" s="46">
        <f>IF(B82&lt;&gt;"",VLOOKUP(B82,'Tipo Projeto'!$A$3:$B$35,2,0),0)</f>
        <v>0</v>
      </c>
      <c r="D82" s="47"/>
      <c r="E82" s="47"/>
      <c r="F82" s="47"/>
      <c r="G82" s="48"/>
      <c r="H82" s="47"/>
      <c r="I82" s="75">
        <f t="shared" si="2"/>
        <v>0</v>
      </c>
      <c r="J82" s="47"/>
      <c r="K82" s="288">
        <f t="shared" si="3"/>
        <v>0</v>
      </c>
    </row>
    <row r="83" spans="1:11" s="56" customFormat="1" ht="15.75" customHeight="1">
      <c r="A83" s="44"/>
      <c r="B83" s="45"/>
      <c r="C83" s="46">
        <f>IF(B83&lt;&gt;"",VLOOKUP(B83,'Tipo Projeto'!$A$3:$B$35,2,0),0)</f>
        <v>0</v>
      </c>
      <c r="D83" s="47"/>
      <c r="E83" s="47"/>
      <c r="F83" s="47"/>
      <c r="G83" s="48"/>
      <c r="H83" s="47"/>
      <c r="I83" s="75">
        <f t="shared" si="2"/>
        <v>0</v>
      </c>
      <c r="J83" s="47"/>
      <c r="K83" s="288">
        <f t="shared" si="3"/>
        <v>0</v>
      </c>
    </row>
    <row r="84" spans="1:11" s="56" customFormat="1" ht="15.75" customHeight="1">
      <c r="A84" s="44"/>
      <c r="B84" s="45"/>
      <c r="C84" s="46">
        <f>IF(B84&lt;&gt;"",VLOOKUP(B84,'Tipo Projeto'!$A$3:$B$35,2,0),0)</f>
        <v>0</v>
      </c>
      <c r="D84" s="47"/>
      <c r="E84" s="47"/>
      <c r="F84" s="47"/>
      <c r="G84" s="48"/>
      <c r="H84" s="47"/>
      <c r="I84" s="75">
        <f t="shared" si="2"/>
        <v>0</v>
      </c>
      <c r="J84" s="47"/>
      <c r="K84" s="288">
        <f t="shared" si="3"/>
        <v>0</v>
      </c>
    </row>
    <row r="85" spans="1:11" s="56" customFormat="1" ht="15.75" customHeight="1">
      <c r="A85" s="44"/>
      <c r="B85" s="45"/>
      <c r="C85" s="46">
        <f>IF(B85&lt;&gt;"",VLOOKUP(B85,'Tipo Projeto'!$A$3:$B$35,2,0),0)</f>
        <v>0</v>
      </c>
      <c r="D85" s="47"/>
      <c r="E85" s="47"/>
      <c r="F85" s="47"/>
      <c r="G85" s="48"/>
      <c r="H85" s="47"/>
      <c r="I85" s="75">
        <f t="shared" si="2"/>
        <v>0</v>
      </c>
      <c r="J85" s="47"/>
      <c r="K85" s="288">
        <f t="shared" si="3"/>
        <v>0</v>
      </c>
    </row>
    <row r="86" spans="1:11" s="56" customFormat="1" ht="15.75" customHeight="1">
      <c r="A86" s="44"/>
      <c r="B86" s="45"/>
      <c r="C86" s="46">
        <f>IF(B86&lt;&gt;"",VLOOKUP(B86,'Tipo Projeto'!$A$3:$B$35,2,0),0)</f>
        <v>0</v>
      </c>
      <c r="D86" s="47"/>
      <c r="E86" s="47"/>
      <c r="F86" s="47"/>
      <c r="G86" s="48"/>
      <c r="H86" s="47"/>
      <c r="I86" s="75">
        <f t="shared" si="2"/>
        <v>0</v>
      </c>
      <c r="J86" s="47"/>
      <c r="K86" s="288">
        <f t="shared" si="3"/>
        <v>0</v>
      </c>
    </row>
    <row r="87" spans="1:11" s="56" customFormat="1" ht="15.75" customHeight="1">
      <c r="A87" s="44"/>
      <c r="B87" s="45"/>
      <c r="C87" s="46">
        <f>IF(B87&lt;&gt;"",VLOOKUP(B87,'Tipo Projeto'!$A$3:$B$35,2,0),0)</f>
        <v>0</v>
      </c>
      <c r="D87" s="47"/>
      <c r="E87" s="47"/>
      <c r="F87" s="47"/>
      <c r="G87" s="48"/>
      <c r="H87" s="47"/>
      <c r="I87" s="75">
        <f t="shared" si="2"/>
        <v>0</v>
      </c>
      <c r="J87" s="47"/>
      <c r="K87" s="288">
        <f t="shared" si="3"/>
        <v>0</v>
      </c>
    </row>
    <row r="88" spans="1:11" s="56" customFormat="1" ht="15.75" customHeight="1">
      <c r="A88" s="44"/>
      <c r="B88" s="45"/>
      <c r="C88" s="46">
        <f>IF(B88&lt;&gt;"",VLOOKUP(B88,'Tipo Projeto'!$A$3:$B$35,2,0),0)</f>
        <v>0</v>
      </c>
      <c r="D88" s="47"/>
      <c r="E88" s="47"/>
      <c r="F88" s="47"/>
      <c r="G88" s="48"/>
      <c r="H88" s="47"/>
      <c r="I88" s="75">
        <f t="shared" si="2"/>
        <v>0</v>
      </c>
      <c r="J88" s="47"/>
      <c r="K88" s="288">
        <f t="shared" si="3"/>
        <v>0</v>
      </c>
    </row>
    <row r="89" spans="1:11" s="56" customFormat="1" ht="15.75" customHeight="1">
      <c r="A89" s="44"/>
      <c r="B89" s="45"/>
      <c r="C89" s="46">
        <f>IF(B89&lt;&gt;"",VLOOKUP(B89,'Tipo Projeto'!$A$3:$B$35,2,0),0)</f>
        <v>0</v>
      </c>
      <c r="D89" s="47"/>
      <c r="E89" s="47"/>
      <c r="F89" s="47"/>
      <c r="G89" s="48"/>
      <c r="H89" s="47"/>
      <c r="I89" s="75">
        <f t="shared" si="2"/>
        <v>0</v>
      </c>
      <c r="J89" s="47"/>
      <c r="K89" s="288">
        <f t="shared" si="3"/>
        <v>0</v>
      </c>
    </row>
    <row r="90" spans="1:11" s="56" customFormat="1" ht="15.75" customHeight="1">
      <c r="A90" s="44"/>
      <c r="B90" s="45"/>
      <c r="C90" s="46">
        <f>IF(B90&lt;&gt;"",VLOOKUP(B90,'Tipo Projeto'!$A$3:$B$35,2,0),0)</f>
        <v>0</v>
      </c>
      <c r="D90" s="47"/>
      <c r="E90" s="47"/>
      <c r="F90" s="47"/>
      <c r="G90" s="48"/>
      <c r="H90" s="47"/>
      <c r="I90" s="75">
        <f t="shared" si="2"/>
        <v>0</v>
      </c>
      <c r="J90" s="47"/>
      <c r="K90" s="288">
        <f t="shared" si="3"/>
        <v>0</v>
      </c>
    </row>
    <row r="91" spans="1:11" s="56" customFormat="1" ht="15.75" customHeight="1">
      <c r="A91" s="44"/>
      <c r="B91" s="45"/>
      <c r="C91" s="46">
        <f>IF(B91&lt;&gt;"",VLOOKUP(B91,'Tipo Projeto'!$A$3:$B$35,2,0),0)</f>
        <v>0</v>
      </c>
      <c r="D91" s="47"/>
      <c r="E91" s="47"/>
      <c r="F91" s="47"/>
      <c r="G91" s="48"/>
      <c r="H91" s="47"/>
      <c r="I91" s="75">
        <f t="shared" si="2"/>
        <v>0</v>
      </c>
      <c r="J91" s="47"/>
      <c r="K91" s="288">
        <f t="shared" si="3"/>
        <v>0</v>
      </c>
    </row>
    <row r="92" spans="1:11" s="56" customFormat="1" ht="15.75" customHeight="1">
      <c r="A92" s="44"/>
      <c r="B92" s="45"/>
      <c r="C92" s="46">
        <f>IF(B92&lt;&gt;"",VLOOKUP(B92,'Tipo Projeto'!$A$3:$B$35,2,0),0)</f>
        <v>0</v>
      </c>
      <c r="D92" s="47"/>
      <c r="E92" s="47"/>
      <c r="F92" s="47"/>
      <c r="G92" s="48"/>
      <c r="H92" s="47"/>
      <c r="I92" s="75">
        <f t="shared" si="2"/>
        <v>0</v>
      </c>
      <c r="J92" s="47"/>
      <c r="K92" s="288">
        <f t="shared" si="3"/>
        <v>0</v>
      </c>
    </row>
    <row r="93" spans="1:11" s="56" customFormat="1" ht="15.75" customHeight="1">
      <c r="A93" s="44"/>
      <c r="B93" s="45"/>
      <c r="C93" s="46">
        <f>IF(B93&lt;&gt;"",VLOOKUP(B93,'Tipo Projeto'!$A$3:$B$35,2,0),0)</f>
        <v>0</v>
      </c>
      <c r="D93" s="47"/>
      <c r="E93" s="47"/>
      <c r="F93" s="47"/>
      <c r="G93" s="48"/>
      <c r="H93" s="47"/>
      <c r="I93" s="75">
        <f t="shared" si="2"/>
        <v>0</v>
      </c>
      <c r="J93" s="47"/>
      <c r="K93" s="288">
        <f t="shared" si="3"/>
        <v>0</v>
      </c>
    </row>
    <row r="94" spans="1:11" s="56" customFormat="1" ht="15.75" customHeight="1">
      <c r="A94" s="44"/>
      <c r="B94" s="45"/>
      <c r="C94" s="46">
        <f>IF(B94&lt;&gt;"",VLOOKUP(B94,'Tipo Projeto'!$A$3:$B$35,2,0),0)</f>
        <v>0</v>
      </c>
      <c r="D94" s="47"/>
      <c r="E94" s="47"/>
      <c r="F94" s="47"/>
      <c r="G94" s="48"/>
      <c r="H94" s="47"/>
      <c r="I94" s="75">
        <f t="shared" si="2"/>
        <v>0</v>
      </c>
      <c r="J94" s="47"/>
      <c r="K94" s="288">
        <f t="shared" si="3"/>
        <v>0</v>
      </c>
    </row>
    <row r="95" spans="1:11" s="56" customFormat="1" ht="15.75" customHeight="1">
      <c r="A95" s="44"/>
      <c r="B95" s="45"/>
      <c r="C95" s="46">
        <f>IF(B95&lt;&gt;"",VLOOKUP(B95,'Tipo Projeto'!$A$3:$B$35,2,0),0)</f>
        <v>0</v>
      </c>
      <c r="D95" s="47"/>
      <c r="E95" s="47"/>
      <c r="F95" s="47"/>
      <c r="G95" s="48"/>
      <c r="H95" s="47"/>
      <c r="I95" s="75">
        <f t="shared" si="2"/>
        <v>0</v>
      </c>
      <c r="J95" s="47"/>
      <c r="K95" s="288">
        <f t="shared" si="3"/>
        <v>0</v>
      </c>
    </row>
    <row r="96" spans="1:11" s="56" customFormat="1" ht="15.75" customHeight="1">
      <c r="A96" s="44"/>
      <c r="B96" s="45"/>
      <c r="C96" s="46">
        <f>IF(B96&lt;&gt;"",VLOOKUP(B96,'Tipo Projeto'!$A$3:$B$35,2,0),0)</f>
        <v>0</v>
      </c>
      <c r="D96" s="47"/>
      <c r="E96" s="47"/>
      <c r="F96" s="47"/>
      <c r="G96" s="48"/>
      <c r="H96" s="47"/>
      <c r="I96" s="75">
        <f t="shared" si="2"/>
        <v>0</v>
      </c>
      <c r="J96" s="47"/>
      <c r="K96" s="288">
        <f t="shared" si="3"/>
        <v>0</v>
      </c>
    </row>
    <row r="97" spans="1:11" s="56" customFormat="1" ht="15.75" customHeight="1">
      <c r="A97" s="44"/>
      <c r="B97" s="45"/>
      <c r="C97" s="46">
        <f>IF(B97&lt;&gt;"",VLOOKUP(B97,'Tipo Projeto'!$A$3:$B$35,2,0),0)</f>
        <v>0</v>
      </c>
      <c r="D97" s="47"/>
      <c r="E97" s="47"/>
      <c r="F97" s="47"/>
      <c r="G97" s="48"/>
      <c r="H97" s="47"/>
      <c r="I97" s="75">
        <f t="shared" si="2"/>
        <v>0</v>
      </c>
      <c r="J97" s="47"/>
      <c r="K97" s="288">
        <f t="shared" si="3"/>
        <v>0</v>
      </c>
    </row>
    <row r="98" spans="1:11" s="56" customFormat="1" ht="15.75" customHeight="1">
      <c r="A98" s="44"/>
      <c r="B98" s="45"/>
      <c r="C98" s="46">
        <f>IF(B98&lt;&gt;"",VLOOKUP(B98,'Tipo Projeto'!$A$3:$B$35,2,0),0)</f>
        <v>0</v>
      </c>
      <c r="D98" s="47"/>
      <c r="E98" s="47"/>
      <c r="F98" s="47"/>
      <c r="G98" s="48"/>
      <c r="H98" s="47"/>
      <c r="I98" s="75">
        <f t="shared" si="2"/>
        <v>0</v>
      </c>
      <c r="J98" s="47"/>
      <c r="K98" s="288">
        <f t="shared" si="3"/>
        <v>0</v>
      </c>
    </row>
    <row r="99" spans="1:11" s="56" customFormat="1" ht="15.75" customHeight="1">
      <c r="A99" s="44"/>
      <c r="B99" s="45"/>
      <c r="C99" s="46">
        <f>IF(B99&lt;&gt;"",VLOOKUP(B99,'Tipo Projeto'!$A$3:$B$35,2,0),0)</f>
        <v>0</v>
      </c>
      <c r="D99" s="47"/>
      <c r="E99" s="47"/>
      <c r="F99" s="47"/>
      <c r="G99" s="48"/>
      <c r="H99" s="47"/>
      <c r="I99" s="75">
        <f t="shared" si="2"/>
        <v>0</v>
      </c>
      <c r="J99" s="47"/>
      <c r="K99" s="288">
        <f t="shared" si="3"/>
        <v>0</v>
      </c>
    </row>
    <row r="100" spans="1:11" s="56" customFormat="1" ht="15.75" customHeight="1">
      <c r="A100" s="44"/>
      <c r="B100" s="45"/>
      <c r="C100" s="46">
        <f>IF(B100&lt;&gt;"",VLOOKUP(B100,'Tipo Projeto'!$A$3:$B$35,2,0),0)</f>
        <v>0</v>
      </c>
      <c r="D100" s="47"/>
      <c r="E100" s="47"/>
      <c r="F100" s="47"/>
      <c r="G100" s="48"/>
      <c r="H100" s="47"/>
      <c r="I100" s="75">
        <f t="shared" si="2"/>
        <v>0</v>
      </c>
      <c r="J100" s="47"/>
      <c r="K100" s="288">
        <f t="shared" si="3"/>
        <v>0</v>
      </c>
    </row>
    <row r="101" spans="1:11" s="56" customFormat="1" ht="15.75" customHeight="1">
      <c r="A101" s="44"/>
      <c r="B101" s="45"/>
      <c r="C101" s="46">
        <f>IF(B101&lt;&gt;"",VLOOKUP(B101,'Tipo Projeto'!$A$3:$B$35,2,0),0)</f>
        <v>0</v>
      </c>
      <c r="D101" s="47"/>
      <c r="E101" s="47"/>
      <c r="F101" s="47"/>
      <c r="G101" s="48"/>
      <c r="H101" s="47"/>
      <c r="I101" s="75">
        <f t="shared" si="2"/>
        <v>0</v>
      </c>
      <c r="J101" s="47"/>
      <c r="K101" s="288">
        <f t="shared" si="3"/>
        <v>0</v>
      </c>
    </row>
    <row r="102" spans="1:11" s="56" customFormat="1" ht="15.75" customHeight="1">
      <c r="A102" s="44"/>
      <c r="B102" s="45"/>
      <c r="C102" s="46">
        <f>IF(B102&lt;&gt;"",VLOOKUP(B102,'Tipo Projeto'!$A$3:$B$35,2,0),0)</f>
        <v>0</v>
      </c>
      <c r="D102" s="47"/>
      <c r="E102" s="47"/>
      <c r="F102" s="47"/>
      <c r="G102" s="48"/>
      <c r="H102" s="47"/>
      <c r="I102" s="75">
        <f t="shared" si="2"/>
        <v>0</v>
      </c>
      <c r="J102" s="47"/>
      <c r="K102" s="288">
        <f t="shared" si="3"/>
        <v>0</v>
      </c>
    </row>
    <row r="103" spans="1:11" s="56" customFormat="1" ht="15.75" customHeight="1">
      <c r="A103" s="44"/>
      <c r="B103" s="45"/>
      <c r="C103" s="46">
        <f>IF(B103&lt;&gt;"",VLOOKUP(B103,'Tipo Projeto'!$A$3:$B$35,2,0),0)</f>
        <v>0</v>
      </c>
      <c r="D103" s="47"/>
      <c r="E103" s="47"/>
      <c r="F103" s="47"/>
      <c r="G103" s="48"/>
      <c r="H103" s="47"/>
      <c r="I103" s="75">
        <f t="shared" si="2"/>
        <v>0</v>
      </c>
      <c r="J103" s="47"/>
      <c r="K103" s="288">
        <f t="shared" si="3"/>
        <v>0</v>
      </c>
    </row>
    <row r="104" spans="1:11" s="56" customFormat="1" ht="15.75" customHeight="1">
      <c r="A104" s="44"/>
      <c r="B104" s="45"/>
      <c r="C104" s="46">
        <f>IF(B104&lt;&gt;"",VLOOKUP(B104,'Tipo Projeto'!$A$3:$B$35,2,0),0)</f>
        <v>0</v>
      </c>
      <c r="D104" s="47"/>
      <c r="E104" s="47"/>
      <c r="F104" s="47"/>
      <c r="G104" s="48"/>
      <c r="H104" s="47"/>
      <c r="I104" s="75">
        <f t="shared" si="2"/>
        <v>0</v>
      </c>
      <c r="J104" s="47"/>
      <c r="K104" s="288">
        <f t="shared" si="3"/>
        <v>0</v>
      </c>
    </row>
    <row r="105" spans="1:11" s="56" customFormat="1" ht="15.75" customHeight="1">
      <c r="A105" s="44"/>
      <c r="B105" s="45"/>
      <c r="C105" s="46">
        <f>IF(B105&lt;&gt;"",VLOOKUP(B105,'Tipo Projeto'!$A$3:$B$35,2,0),0)</f>
        <v>0</v>
      </c>
      <c r="D105" s="47"/>
      <c r="E105" s="47"/>
      <c r="F105" s="47"/>
      <c r="G105" s="48"/>
      <c r="H105" s="47"/>
      <c r="I105" s="75">
        <f t="shared" si="2"/>
        <v>0</v>
      </c>
      <c r="J105" s="47"/>
      <c r="K105" s="288">
        <f t="shared" si="3"/>
        <v>0</v>
      </c>
    </row>
    <row r="106" spans="1:11" s="56" customFormat="1" ht="15.75" customHeight="1">
      <c r="A106" s="44"/>
      <c r="B106" s="45"/>
      <c r="C106" s="46">
        <f>IF(B106&lt;&gt;"",VLOOKUP(B106,'Tipo Projeto'!$A$3:$B$35,2,0),0)</f>
        <v>0</v>
      </c>
      <c r="D106" s="47"/>
      <c r="E106" s="47"/>
      <c r="F106" s="47"/>
      <c r="G106" s="48"/>
      <c r="H106" s="47"/>
      <c r="I106" s="75">
        <f t="shared" si="2"/>
        <v>0</v>
      </c>
      <c r="J106" s="47"/>
      <c r="K106" s="288">
        <f t="shared" si="3"/>
        <v>0</v>
      </c>
    </row>
    <row r="107" spans="1:11" s="56" customFormat="1" ht="15.75" customHeight="1">
      <c r="A107" s="44"/>
      <c r="B107" s="45"/>
      <c r="C107" s="46">
        <f>IF(B107&lt;&gt;"",VLOOKUP(B107,'Tipo Projeto'!$A$3:$B$35,2,0),0)</f>
        <v>0</v>
      </c>
      <c r="D107" s="47"/>
      <c r="E107" s="47"/>
      <c r="F107" s="47"/>
      <c r="G107" s="48"/>
      <c r="H107" s="47"/>
      <c r="I107" s="75">
        <f t="shared" si="2"/>
        <v>0</v>
      </c>
      <c r="J107" s="47"/>
      <c r="K107" s="288">
        <f t="shared" si="3"/>
        <v>0</v>
      </c>
    </row>
    <row r="108" spans="1:11" s="56" customFormat="1" ht="15.75" customHeight="1">
      <c r="A108" s="44"/>
      <c r="B108" s="45"/>
      <c r="C108" s="46">
        <f>IF(B108&lt;&gt;"",VLOOKUP(B108,'Tipo Projeto'!$A$3:$B$35,2,0),0)</f>
        <v>0</v>
      </c>
      <c r="D108" s="47"/>
      <c r="E108" s="47"/>
      <c r="F108" s="47"/>
      <c r="G108" s="48"/>
      <c r="H108" s="47"/>
      <c r="I108" s="75">
        <f t="shared" si="2"/>
        <v>0</v>
      </c>
      <c r="J108" s="47"/>
      <c r="K108" s="288">
        <f t="shared" si="3"/>
        <v>0</v>
      </c>
    </row>
    <row r="109" spans="1:11" s="56" customFormat="1" ht="15.75" customHeight="1">
      <c r="A109" s="44"/>
      <c r="B109" s="45"/>
      <c r="C109" s="46">
        <f>IF(B109&lt;&gt;"",VLOOKUP(B109,'Tipo Projeto'!$A$3:$B$35,2,0),0)</f>
        <v>0</v>
      </c>
      <c r="D109" s="47"/>
      <c r="E109" s="47"/>
      <c r="F109" s="47"/>
      <c r="G109" s="48"/>
      <c r="H109" s="47"/>
      <c r="I109" s="75">
        <f t="shared" si="2"/>
        <v>0</v>
      </c>
      <c r="J109" s="47"/>
      <c r="K109" s="288">
        <f t="shared" si="3"/>
        <v>0</v>
      </c>
    </row>
    <row r="110" spans="1:11" s="56" customFormat="1" ht="15.75" customHeight="1">
      <c r="A110" s="44"/>
      <c r="B110" s="45"/>
      <c r="C110" s="46">
        <f>IF(B110&lt;&gt;"",VLOOKUP(B110,'Tipo Projeto'!$A$3:$B$35,2,0),0)</f>
        <v>0</v>
      </c>
      <c r="D110" s="47"/>
      <c r="E110" s="47"/>
      <c r="F110" s="47"/>
      <c r="G110" s="48"/>
      <c r="H110" s="47"/>
      <c r="I110" s="75">
        <f t="shared" si="2"/>
        <v>0</v>
      </c>
      <c r="J110" s="47"/>
      <c r="K110" s="288">
        <f t="shared" si="3"/>
        <v>0</v>
      </c>
    </row>
    <row r="111" spans="1:11" s="56" customFormat="1" ht="15.75" customHeight="1">
      <c r="A111" s="44"/>
      <c r="B111" s="45"/>
      <c r="C111" s="46">
        <f>IF(B111&lt;&gt;"",VLOOKUP(B111,'Tipo Projeto'!$A$3:$B$35,2,0),0)</f>
        <v>0</v>
      </c>
      <c r="D111" s="47"/>
      <c r="E111" s="47"/>
      <c r="F111" s="47"/>
      <c r="G111" s="48"/>
      <c r="H111" s="47"/>
      <c r="I111" s="75">
        <f t="shared" si="2"/>
        <v>0</v>
      </c>
      <c r="J111" s="47"/>
      <c r="K111" s="288">
        <f t="shared" si="3"/>
        <v>0</v>
      </c>
    </row>
    <row r="112" spans="1:11" s="56" customFormat="1" ht="15.75" customHeight="1">
      <c r="A112" s="44"/>
      <c r="B112" s="45"/>
      <c r="C112" s="46">
        <f>IF(B112&lt;&gt;"",VLOOKUP(B112,'Tipo Projeto'!$A$3:$B$35,2,0),0)</f>
        <v>0</v>
      </c>
      <c r="D112" s="47"/>
      <c r="E112" s="47"/>
      <c r="F112" s="47"/>
      <c r="G112" s="48"/>
      <c r="H112" s="47"/>
      <c r="I112" s="75">
        <f t="shared" si="2"/>
        <v>0</v>
      </c>
      <c r="J112" s="47"/>
      <c r="K112" s="288">
        <f t="shared" si="3"/>
        <v>0</v>
      </c>
    </row>
    <row r="113" spans="1:11" s="56" customFormat="1" ht="15.75" customHeight="1">
      <c r="A113" s="44"/>
      <c r="B113" s="45"/>
      <c r="C113" s="46">
        <f>IF(B113&lt;&gt;"",VLOOKUP(B113,'Tipo Projeto'!$A$3:$B$35,2,0),0)</f>
        <v>0</v>
      </c>
      <c r="D113" s="47"/>
      <c r="E113" s="47"/>
      <c r="F113" s="47"/>
      <c r="G113" s="48"/>
      <c r="H113" s="47"/>
      <c r="I113" s="75">
        <f t="shared" si="2"/>
        <v>0</v>
      </c>
      <c r="J113" s="47"/>
      <c r="K113" s="288">
        <f t="shared" si="3"/>
        <v>0</v>
      </c>
    </row>
    <row r="114" spans="1:11" s="56" customFormat="1" ht="15.75" customHeight="1">
      <c r="A114" s="44"/>
      <c r="B114" s="45"/>
      <c r="C114" s="46">
        <f>IF(B114&lt;&gt;"",VLOOKUP(B114,'Tipo Projeto'!$A$3:$B$35,2,0),0)</f>
        <v>0</v>
      </c>
      <c r="D114" s="47"/>
      <c r="E114" s="47"/>
      <c r="F114" s="47"/>
      <c r="G114" s="48"/>
      <c r="H114" s="47"/>
      <c r="I114" s="75">
        <f t="shared" si="2"/>
        <v>0</v>
      </c>
      <c r="J114" s="47"/>
      <c r="K114" s="288">
        <f t="shared" si="3"/>
        <v>0</v>
      </c>
    </row>
    <row r="115" spans="1:11" s="56" customFormat="1" ht="15.75" customHeight="1">
      <c r="A115" s="44"/>
      <c r="B115" s="45"/>
      <c r="C115" s="46">
        <f>IF(B115&lt;&gt;"",VLOOKUP(B115,'Tipo Projeto'!$A$3:$B$35,2,0),0)</f>
        <v>0</v>
      </c>
      <c r="D115" s="47"/>
      <c r="E115" s="47"/>
      <c r="F115" s="47"/>
      <c r="G115" s="48"/>
      <c r="H115" s="47"/>
      <c r="I115" s="75">
        <f t="shared" si="2"/>
        <v>0</v>
      </c>
      <c r="J115" s="47"/>
      <c r="K115" s="288">
        <f t="shared" si="3"/>
        <v>0</v>
      </c>
    </row>
    <row r="116" spans="1:11" s="56" customFormat="1" ht="15.75" customHeight="1">
      <c r="A116" s="44"/>
      <c r="B116" s="45"/>
      <c r="C116" s="46">
        <f>IF(B116&lt;&gt;"",VLOOKUP(B116,'Tipo Projeto'!$A$3:$B$35,2,0),0)</f>
        <v>0</v>
      </c>
      <c r="D116" s="47"/>
      <c r="E116" s="47"/>
      <c r="F116" s="47"/>
      <c r="G116" s="48"/>
      <c r="H116" s="47"/>
      <c r="I116" s="75">
        <f t="shared" si="2"/>
        <v>0</v>
      </c>
      <c r="J116" s="47"/>
      <c r="K116" s="288">
        <f t="shared" si="3"/>
        <v>0</v>
      </c>
    </row>
    <row r="117" spans="1:11" s="56" customFormat="1" ht="15.75" customHeight="1">
      <c r="A117" s="44"/>
      <c r="B117" s="45"/>
      <c r="C117" s="46">
        <f>IF(B117&lt;&gt;"",VLOOKUP(B117,'Tipo Projeto'!$A$3:$B$35,2,0),0)</f>
        <v>0</v>
      </c>
      <c r="D117" s="47"/>
      <c r="E117" s="47"/>
      <c r="F117" s="47"/>
      <c r="G117" s="48"/>
      <c r="H117" s="47"/>
      <c r="I117" s="75">
        <f t="shared" si="2"/>
        <v>0</v>
      </c>
      <c r="J117" s="47"/>
      <c r="K117" s="288">
        <f t="shared" si="3"/>
        <v>0</v>
      </c>
    </row>
    <row r="118" spans="1:11" s="56" customFormat="1" ht="15.75" customHeight="1">
      <c r="A118" s="44"/>
      <c r="B118" s="45"/>
      <c r="C118" s="46">
        <f>IF(B118&lt;&gt;"",VLOOKUP(B118,'Tipo Projeto'!$A$3:$B$35,2,0),0)</f>
        <v>0</v>
      </c>
      <c r="D118" s="47"/>
      <c r="E118" s="47"/>
      <c r="F118" s="47"/>
      <c r="G118" s="48"/>
      <c r="H118" s="47"/>
      <c r="I118" s="75">
        <f t="shared" si="2"/>
        <v>0</v>
      </c>
      <c r="J118" s="47"/>
      <c r="K118" s="288">
        <f t="shared" si="3"/>
        <v>0</v>
      </c>
    </row>
    <row r="119" spans="1:11" s="56" customFormat="1" ht="15.75" customHeight="1">
      <c r="A119" s="44"/>
      <c r="B119" s="45"/>
      <c r="C119" s="46">
        <f>IF(B119&lt;&gt;"",VLOOKUP(B119,'Tipo Projeto'!$A$3:$B$35,2,0),0)</f>
        <v>0</v>
      </c>
      <c r="D119" s="47"/>
      <c r="E119" s="47"/>
      <c r="F119" s="47"/>
      <c r="G119" s="48"/>
      <c r="H119" s="47"/>
      <c r="I119" s="75">
        <f t="shared" si="2"/>
        <v>0</v>
      </c>
      <c r="J119" s="47"/>
      <c r="K119" s="288">
        <f t="shared" si="3"/>
        <v>0</v>
      </c>
    </row>
    <row r="120" spans="1:11" s="56" customFormat="1" ht="15.75" customHeight="1">
      <c r="A120" s="44"/>
      <c r="B120" s="45"/>
      <c r="C120" s="46">
        <f>IF(B120&lt;&gt;"",VLOOKUP(B120,'Tipo Projeto'!$A$3:$B$35,2,0),0)</f>
        <v>0</v>
      </c>
      <c r="D120" s="47"/>
      <c r="E120" s="47"/>
      <c r="F120" s="47"/>
      <c r="G120" s="48"/>
      <c r="H120" s="47"/>
      <c r="I120" s="75">
        <f t="shared" si="2"/>
        <v>0</v>
      </c>
      <c r="J120" s="47"/>
      <c r="K120" s="288">
        <f t="shared" si="3"/>
        <v>0</v>
      </c>
    </row>
    <row r="121" spans="1:11" s="56" customFormat="1" ht="15.75" customHeight="1">
      <c r="A121" s="44"/>
      <c r="B121" s="45"/>
      <c r="C121" s="46">
        <f>IF(B121&lt;&gt;"",VLOOKUP(B121,'Tipo Projeto'!$A$3:$B$35,2,0),0)</f>
        <v>0</v>
      </c>
      <c r="D121" s="47"/>
      <c r="E121" s="47"/>
      <c r="F121" s="47"/>
      <c r="G121" s="48"/>
      <c r="H121" s="47"/>
      <c r="I121" s="75">
        <f t="shared" si="2"/>
        <v>0</v>
      </c>
      <c r="J121" s="47"/>
      <c r="K121" s="288">
        <f t="shared" si="3"/>
        <v>0</v>
      </c>
    </row>
    <row r="122" spans="1:11" s="56" customFormat="1" ht="15.75" customHeight="1">
      <c r="A122" s="44"/>
      <c r="B122" s="45"/>
      <c r="C122" s="46">
        <f>IF(B122&lt;&gt;"",VLOOKUP(B122,'Tipo Projeto'!$A$3:$B$35,2,0),0)</f>
        <v>0</v>
      </c>
      <c r="D122" s="47"/>
      <c r="E122" s="47"/>
      <c r="F122" s="47"/>
      <c r="G122" s="48"/>
      <c r="H122" s="47"/>
      <c r="I122" s="75">
        <f t="shared" si="2"/>
        <v>0</v>
      </c>
      <c r="J122" s="47"/>
      <c r="K122" s="288">
        <f t="shared" si="3"/>
        <v>0</v>
      </c>
    </row>
    <row r="123" spans="1:11" s="56" customFormat="1" ht="15.75" customHeight="1">
      <c r="A123" s="44"/>
      <c r="B123" s="45"/>
      <c r="C123" s="46">
        <f>IF(B123&lt;&gt;"",VLOOKUP(B123,'Tipo Projeto'!$A$3:$B$35,2,0),0)</f>
        <v>0</v>
      </c>
      <c r="D123" s="47"/>
      <c r="E123" s="47"/>
      <c r="F123" s="47"/>
      <c r="G123" s="48"/>
      <c r="H123" s="47"/>
      <c r="I123" s="75">
        <f t="shared" si="2"/>
        <v>0</v>
      </c>
      <c r="J123" s="47"/>
      <c r="K123" s="288">
        <f t="shared" si="3"/>
        <v>0</v>
      </c>
    </row>
    <row r="124" spans="1:11" s="56" customFormat="1" ht="15.75" customHeight="1">
      <c r="A124" s="44"/>
      <c r="B124" s="45"/>
      <c r="C124" s="46">
        <f>IF(B124&lt;&gt;"",VLOOKUP(B124,'Tipo Projeto'!$A$3:$B$35,2,0),0)</f>
        <v>0</v>
      </c>
      <c r="D124" s="47"/>
      <c r="E124" s="47"/>
      <c r="F124" s="47"/>
      <c r="G124" s="48"/>
      <c r="H124" s="47"/>
      <c r="I124" s="75">
        <f t="shared" si="2"/>
        <v>0</v>
      </c>
      <c r="J124" s="47"/>
      <c r="K124" s="288">
        <f t="shared" si="3"/>
        <v>0</v>
      </c>
    </row>
    <row r="125" spans="1:11" s="56" customFormat="1" ht="15.75" customHeight="1">
      <c r="A125" s="44"/>
      <c r="B125" s="45"/>
      <c r="C125" s="46">
        <f>IF(B125&lt;&gt;"",VLOOKUP(B125,'Tipo Projeto'!$A$3:$B$35,2,0),0)</f>
        <v>0</v>
      </c>
      <c r="D125" s="47"/>
      <c r="E125" s="47"/>
      <c r="F125" s="47"/>
      <c r="G125" s="48"/>
      <c r="H125" s="47"/>
      <c r="I125" s="75">
        <f t="shared" si="2"/>
        <v>0</v>
      </c>
      <c r="J125" s="47"/>
      <c r="K125" s="288">
        <f t="shared" si="3"/>
        <v>0</v>
      </c>
    </row>
    <row r="126" spans="1:11" s="56" customFormat="1" ht="15.75" customHeight="1">
      <c r="A126" s="44"/>
      <c r="B126" s="45"/>
      <c r="C126" s="46">
        <f>IF(B126&lt;&gt;"",VLOOKUP(B126,'Tipo Projeto'!$A$3:$B$35,2,0),0)</f>
        <v>0</v>
      </c>
      <c r="D126" s="47"/>
      <c r="E126" s="47"/>
      <c r="F126" s="47"/>
      <c r="G126" s="48"/>
      <c r="H126" s="47"/>
      <c r="I126" s="75">
        <f t="shared" si="2"/>
        <v>0</v>
      </c>
      <c r="J126" s="47"/>
      <c r="K126" s="288">
        <f t="shared" si="3"/>
        <v>0</v>
      </c>
    </row>
    <row r="127" spans="1:11" s="56" customFormat="1" ht="15.75" customHeight="1">
      <c r="A127" s="44"/>
      <c r="B127" s="45"/>
      <c r="C127" s="46">
        <f>IF(B127&lt;&gt;"",VLOOKUP(B127,'Tipo Projeto'!$A$3:$B$35,2,0),0)</f>
        <v>0</v>
      </c>
      <c r="D127" s="47"/>
      <c r="E127" s="47"/>
      <c r="F127" s="47"/>
      <c r="G127" s="48"/>
      <c r="H127" s="47"/>
      <c r="I127" s="75">
        <f t="shared" si="2"/>
        <v>0</v>
      </c>
      <c r="J127" s="47"/>
      <c r="K127" s="288">
        <f t="shared" si="3"/>
        <v>0</v>
      </c>
    </row>
    <row r="128" spans="1:11" s="56" customFormat="1" ht="15.75" customHeight="1">
      <c r="A128" s="44"/>
      <c r="B128" s="45"/>
      <c r="C128" s="46">
        <f>IF(B128&lt;&gt;"",VLOOKUP(B128,'Tipo Projeto'!$A$3:$B$35,2,0),0)</f>
        <v>0</v>
      </c>
      <c r="D128" s="47"/>
      <c r="E128" s="47"/>
      <c r="F128" s="47"/>
      <c r="G128" s="48"/>
      <c r="H128" s="47"/>
      <c r="I128" s="75">
        <f t="shared" si="2"/>
        <v>0</v>
      </c>
      <c r="J128" s="47"/>
      <c r="K128" s="288">
        <f t="shared" si="3"/>
        <v>0</v>
      </c>
    </row>
    <row r="129" spans="1:11" s="56" customFormat="1" ht="15.75" customHeight="1">
      <c r="A129" s="44"/>
      <c r="B129" s="45"/>
      <c r="C129" s="46">
        <f>IF(B129&lt;&gt;"",VLOOKUP(B129,'Tipo Projeto'!$A$3:$B$35,2,0),0)</f>
        <v>0</v>
      </c>
      <c r="D129" s="47"/>
      <c r="E129" s="47"/>
      <c r="F129" s="47"/>
      <c r="G129" s="48"/>
      <c r="H129" s="47"/>
      <c r="I129" s="75">
        <f t="shared" si="2"/>
        <v>0</v>
      </c>
      <c r="J129" s="47"/>
      <c r="K129" s="288">
        <f t="shared" si="3"/>
        <v>0</v>
      </c>
    </row>
    <row r="130" spans="1:11" s="56" customFormat="1" ht="15.75" customHeight="1">
      <c r="A130" s="44"/>
      <c r="B130" s="45"/>
      <c r="C130" s="46">
        <f>IF(B130&lt;&gt;"",VLOOKUP(B130,'Tipo Projeto'!$A$3:$B$35,2,0),0)</f>
        <v>0</v>
      </c>
      <c r="D130" s="47"/>
      <c r="E130" s="47"/>
      <c r="F130" s="47"/>
      <c r="G130" s="48"/>
      <c r="H130" s="47"/>
      <c r="I130" s="75">
        <f t="shared" si="2"/>
        <v>0</v>
      </c>
      <c r="J130" s="47"/>
      <c r="K130" s="288">
        <f t="shared" si="3"/>
        <v>0</v>
      </c>
    </row>
    <row r="131" spans="1:11" s="56" customFormat="1" ht="15.75" customHeight="1">
      <c r="A131" s="44"/>
      <c r="B131" s="45"/>
      <c r="C131" s="46">
        <f>IF(B131&lt;&gt;"",VLOOKUP(B131,'Tipo Projeto'!$A$3:$B$35,2,0),0)</f>
        <v>0</v>
      </c>
      <c r="D131" s="47"/>
      <c r="E131" s="47"/>
      <c r="F131" s="47"/>
      <c r="G131" s="48"/>
      <c r="H131" s="47"/>
      <c r="I131" s="75">
        <f t="shared" si="2"/>
        <v>0</v>
      </c>
      <c r="J131" s="47"/>
      <c r="K131" s="288">
        <f t="shared" si="3"/>
        <v>0</v>
      </c>
    </row>
    <row r="132" spans="1:11" s="56" customFormat="1" ht="15.75" customHeight="1">
      <c r="A132" s="44"/>
      <c r="B132" s="45"/>
      <c r="C132" s="46">
        <f>IF(B132&lt;&gt;"",VLOOKUP(B132,'Tipo Projeto'!$A$3:$B$35,2,0),0)</f>
        <v>0</v>
      </c>
      <c r="D132" s="47"/>
      <c r="E132" s="47"/>
      <c r="F132" s="47"/>
      <c r="G132" s="48"/>
      <c r="H132" s="47"/>
      <c r="I132" s="75">
        <f t="shared" si="2"/>
        <v>0</v>
      </c>
      <c r="J132" s="47"/>
      <c r="K132" s="288">
        <f t="shared" si="3"/>
        <v>0</v>
      </c>
    </row>
    <row r="133" spans="1:11" s="56" customFormat="1" ht="15.75" customHeight="1">
      <c r="A133" s="44"/>
      <c r="B133" s="45"/>
      <c r="C133" s="46">
        <f>IF(B133&lt;&gt;"",VLOOKUP(B133,'Tipo Projeto'!$A$3:$B$35,2,0),0)</f>
        <v>0</v>
      </c>
      <c r="D133" s="47"/>
      <c r="E133" s="47"/>
      <c r="F133" s="47"/>
      <c r="G133" s="48"/>
      <c r="H133" s="47"/>
      <c r="I133" s="75">
        <f t="shared" si="2"/>
        <v>0</v>
      </c>
      <c r="J133" s="47"/>
      <c r="K133" s="288">
        <f t="shared" si="3"/>
        <v>0</v>
      </c>
    </row>
    <row r="134" spans="1:11" s="56" customFormat="1" ht="15.75" customHeight="1">
      <c r="A134" s="44"/>
      <c r="B134" s="45"/>
      <c r="C134" s="46">
        <f>IF(B134&lt;&gt;"",VLOOKUP(B134,'Tipo Projeto'!$A$3:$B$35,2,0),0)</f>
        <v>0</v>
      </c>
      <c r="D134" s="47"/>
      <c r="E134" s="47"/>
      <c r="F134" s="47"/>
      <c r="G134" s="48"/>
      <c r="H134" s="47"/>
      <c r="I134" s="75">
        <f t="shared" si="2"/>
        <v>0</v>
      </c>
      <c r="J134" s="47"/>
      <c r="K134" s="288">
        <f t="shared" si="3"/>
        <v>0</v>
      </c>
    </row>
    <row r="135" spans="1:11" s="56" customFormat="1" ht="15.75" customHeight="1">
      <c r="A135" s="44"/>
      <c r="B135" s="45"/>
      <c r="C135" s="46">
        <f>IF(B135&lt;&gt;"",VLOOKUP(B135,'Tipo Projeto'!$A$3:$B$35,2,0),0)</f>
        <v>0</v>
      </c>
      <c r="D135" s="47"/>
      <c r="E135" s="47"/>
      <c r="F135" s="47"/>
      <c r="G135" s="48"/>
      <c r="H135" s="47"/>
      <c r="I135" s="75">
        <f t="shared" si="2"/>
        <v>0</v>
      </c>
      <c r="J135" s="47"/>
      <c r="K135" s="288">
        <f t="shared" si="3"/>
        <v>0</v>
      </c>
    </row>
    <row r="136" spans="1:11" s="56" customFormat="1" ht="15.75" customHeight="1">
      <c r="A136" s="44"/>
      <c r="B136" s="45"/>
      <c r="C136" s="46">
        <f>IF(B136&lt;&gt;"",VLOOKUP(B136,'Tipo Projeto'!$A$3:$B$35,2,0),0)</f>
        <v>0</v>
      </c>
      <c r="D136" s="47"/>
      <c r="E136" s="47"/>
      <c r="F136" s="47"/>
      <c r="G136" s="48"/>
      <c r="H136" s="47"/>
      <c r="I136" s="75">
        <f t="shared" si="2"/>
        <v>0</v>
      </c>
      <c r="J136" s="47"/>
      <c r="K136" s="288">
        <f t="shared" si="3"/>
        <v>0</v>
      </c>
    </row>
    <row r="137" spans="1:11" s="56" customFormat="1" ht="15.75" customHeight="1">
      <c r="A137" s="44"/>
      <c r="B137" s="45"/>
      <c r="C137" s="46">
        <f>IF(B137&lt;&gt;"",VLOOKUP(B137,'Tipo Projeto'!$A$3:$B$35,2,0),0)</f>
        <v>0</v>
      </c>
      <c r="D137" s="47"/>
      <c r="E137" s="47"/>
      <c r="F137" s="47"/>
      <c r="G137" s="48"/>
      <c r="H137" s="47"/>
      <c r="I137" s="75">
        <f t="shared" si="2"/>
        <v>0</v>
      </c>
      <c r="J137" s="47"/>
      <c r="K137" s="288">
        <f t="shared" si="3"/>
        <v>0</v>
      </c>
    </row>
    <row r="138" spans="1:11" s="56" customFormat="1" ht="15.75" customHeight="1">
      <c r="A138" s="44"/>
      <c r="B138" s="45"/>
      <c r="C138" s="46">
        <f>IF(B138&lt;&gt;"",VLOOKUP(B138,'Tipo Projeto'!$A$3:$B$35,2,0),0)</f>
        <v>0</v>
      </c>
      <c r="D138" s="47"/>
      <c r="E138" s="47"/>
      <c r="F138" s="47"/>
      <c r="G138" s="48"/>
      <c r="H138" s="47"/>
      <c r="I138" s="75">
        <f t="shared" si="2"/>
        <v>0</v>
      </c>
      <c r="J138" s="47"/>
      <c r="K138" s="288">
        <f t="shared" si="3"/>
        <v>0</v>
      </c>
    </row>
    <row r="139" spans="1:11" s="56" customFormat="1" ht="15.75" customHeight="1">
      <c r="A139" s="44"/>
      <c r="B139" s="45"/>
      <c r="C139" s="46">
        <f>IF(B139&lt;&gt;"",VLOOKUP(B139,'Tipo Projeto'!$A$3:$B$35,2,0),0)</f>
        <v>0</v>
      </c>
      <c r="D139" s="47"/>
      <c r="E139" s="47"/>
      <c r="F139" s="47"/>
      <c r="G139" s="48"/>
      <c r="H139" s="47"/>
      <c r="I139" s="75">
        <f t="shared" ref="I139:I202" si="4">IF(B139&lt;&gt;"Manutenção em interface",IF(B139&lt;&gt;"Desenv., Manutenção e Publicação de Páginas Estáticas",IF(H139="EE",4,IF(H139="CE",4,IF(H139="SE",5,IF(H139="ALI",7,IF(H139="AIE",5,0)))))*C139,C139),C139)</f>
        <v>0</v>
      </c>
      <c r="J139" s="47"/>
      <c r="K139" s="288">
        <f t="shared" si="3"/>
        <v>0</v>
      </c>
    </row>
    <row r="140" spans="1:11" s="56" customFormat="1" ht="15.75" customHeight="1">
      <c r="A140" s="44"/>
      <c r="B140" s="45"/>
      <c r="C140" s="46">
        <f>IF(B140&lt;&gt;"",VLOOKUP(B140,'Tipo Projeto'!$A$3:$B$35,2,0),0)</f>
        <v>0</v>
      </c>
      <c r="D140" s="47"/>
      <c r="E140" s="47"/>
      <c r="F140" s="47"/>
      <c r="G140" s="48"/>
      <c r="H140" s="47"/>
      <c r="I140" s="75">
        <f t="shared" si="4"/>
        <v>0</v>
      </c>
      <c r="J140" s="47"/>
      <c r="K140" s="288">
        <f t="shared" ref="K140:K203" si="5">IF(AND(C140&lt;&gt;0,I140&lt;&gt;0),I140/C140,0)</f>
        <v>0</v>
      </c>
    </row>
    <row r="141" spans="1:11" s="56" customFormat="1" ht="15.75" customHeight="1">
      <c r="A141" s="44"/>
      <c r="B141" s="45"/>
      <c r="C141" s="46">
        <f>IF(B141&lt;&gt;"",VLOOKUP(B141,'Tipo Projeto'!$A$3:$B$35,2,0),0)</f>
        <v>0</v>
      </c>
      <c r="D141" s="47"/>
      <c r="E141" s="47"/>
      <c r="F141" s="47"/>
      <c r="G141" s="48"/>
      <c r="H141" s="47"/>
      <c r="I141" s="75">
        <f t="shared" si="4"/>
        <v>0</v>
      </c>
      <c r="J141" s="47"/>
      <c r="K141" s="288">
        <f t="shared" si="5"/>
        <v>0</v>
      </c>
    </row>
    <row r="142" spans="1:11" s="56" customFormat="1" ht="15.75" customHeight="1">
      <c r="A142" s="44"/>
      <c r="B142" s="45"/>
      <c r="C142" s="46">
        <f>IF(B142&lt;&gt;"",VLOOKUP(B142,'Tipo Projeto'!$A$3:$B$35,2,0),0)</f>
        <v>0</v>
      </c>
      <c r="D142" s="47"/>
      <c r="E142" s="47"/>
      <c r="F142" s="47"/>
      <c r="G142" s="48"/>
      <c r="H142" s="47"/>
      <c r="I142" s="75">
        <f t="shared" si="4"/>
        <v>0</v>
      </c>
      <c r="J142" s="47"/>
      <c r="K142" s="288">
        <f t="shared" si="5"/>
        <v>0</v>
      </c>
    </row>
    <row r="143" spans="1:11" s="56" customFormat="1" ht="15.75" customHeight="1">
      <c r="A143" s="44"/>
      <c r="B143" s="45"/>
      <c r="C143" s="46">
        <f>IF(B143&lt;&gt;"",VLOOKUP(B143,'Tipo Projeto'!$A$3:$B$35,2,0),0)</f>
        <v>0</v>
      </c>
      <c r="D143" s="47"/>
      <c r="E143" s="47"/>
      <c r="F143" s="47"/>
      <c r="G143" s="48"/>
      <c r="H143" s="47"/>
      <c r="I143" s="75">
        <f t="shared" si="4"/>
        <v>0</v>
      </c>
      <c r="J143" s="47"/>
      <c r="K143" s="288">
        <f t="shared" si="5"/>
        <v>0</v>
      </c>
    </row>
    <row r="144" spans="1:11" s="56" customFormat="1" ht="15.75" customHeight="1">
      <c r="A144" s="44"/>
      <c r="B144" s="45"/>
      <c r="C144" s="46">
        <f>IF(B144&lt;&gt;"",VLOOKUP(B144,'Tipo Projeto'!$A$3:$B$35,2,0),0)</f>
        <v>0</v>
      </c>
      <c r="D144" s="47"/>
      <c r="E144" s="47"/>
      <c r="F144" s="47"/>
      <c r="G144" s="48"/>
      <c r="H144" s="47"/>
      <c r="I144" s="75">
        <f t="shared" si="4"/>
        <v>0</v>
      </c>
      <c r="J144" s="47"/>
      <c r="K144" s="288">
        <f t="shared" si="5"/>
        <v>0</v>
      </c>
    </row>
    <row r="145" spans="1:11" s="56" customFormat="1" ht="15.75" customHeight="1">
      <c r="A145" s="44"/>
      <c r="B145" s="45"/>
      <c r="C145" s="46">
        <f>IF(B145&lt;&gt;"",VLOOKUP(B145,'Tipo Projeto'!$A$3:$B$35,2,0),0)</f>
        <v>0</v>
      </c>
      <c r="D145" s="47"/>
      <c r="E145" s="47"/>
      <c r="F145" s="47"/>
      <c r="G145" s="48"/>
      <c r="H145" s="47"/>
      <c r="I145" s="75">
        <f t="shared" si="4"/>
        <v>0</v>
      </c>
      <c r="J145" s="47"/>
      <c r="K145" s="288">
        <f t="shared" si="5"/>
        <v>0</v>
      </c>
    </row>
    <row r="146" spans="1:11" s="56" customFormat="1" ht="15.75" customHeight="1">
      <c r="A146" s="44"/>
      <c r="B146" s="45"/>
      <c r="C146" s="46">
        <f>IF(B146&lt;&gt;"",VLOOKUP(B146,'Tipo Projeto'!$A$3:$B$35,2,0),0)</f>
        <v>0</v>
      </c>
      <c r="D146" s="47"/>
      <c r="E146" s="47"/>
      <c r="F146" s="47"/>
      <c r="G146" s="48"/>
      <c r="H146" s="47"/>
      <c r="I146" s="75">
        <f t="shared" si="4"/>
        <v>0</v>
      </c>
      <c r="J146" s="47"/>
      <c r="K146" s="288">
        <f t="shared" si="5"/>
        <v>0</v>
      </c>
    </row>
    <row r="147" spans="1:11" s="56" customFormat="1" ht="15.75" customHeight="1">
      <c r="A147" s="44"/>
      <c r="B147" s="45"/>
      <c r="C147" s="46">
        <f>IF(B147&lt;&gt;"",VLOOKUP(B147,'Tipo Projeto'!$A$3:$B$35,2,0),0)</f>
        <v>0</v>
      </c>
      <c r="D147" s="47"/>
      <c r="E147" s="47"/>
      <c r="F147" s="47"/>
      <c r="G147" s="48"/>
      <c r="H147" s="47"/>
      <c r="I147" s="75">
        <f t="shared" si="4"/>
        <v>0</v>
      </c>
      <c r="J147" s="47"/>
      <c r="K147" s="288">
        <f t="shared" si="5"/>
        <v>0</v>
      </c>
    </row>
    <row r="148" spans="1:11" s="56" customFormat="1" ht="15.75" customHeight="1">
      <c r="A148" s="44"/>
      <c r="B148" s="45"/>
      <c r="C148" s="46">
        <f>IF(B148&lt;&gt;"",VLOOKUP(B148,'Tipo Projeto'!$A$3:$B$35,2,0),0)</f>
        <v>0</v>
      </c>
      <c r="D148" s="47"/>
      <c r="E148" s="47"/>
      <c r="F148" s="47"/>
      <c r="G148" s="48"/>
      <c r="H148" s="47"/>
      <c r="I148" s="75">
        <f t="shared" si="4"/>
        <v>0</v>
      </c>
      <c r="J148" s="47"/>
      <c r="K148" s="288">
        <f t="shared" si="5"/>
        <v>0</v>
      </c>
    </row>
    <row r="149" spans="1:11" s="56" customFormat="1" ht="15.75" customHeight="1">
      <c r="A149" s="44"/>
      <c r="B149" s="45"/>
      <c r="C149" s="46">
        <f>IF(B149&lt;&gt;"",VLOOKUP(B149,'Tipo Projeto'!$A$3:$B$35,2,0),0)</f>
        <v>0</v>
      </c>
      <c r="D149" s="47"/>
      <c r="E149" s="47"/>
      <c r="F149" s="47"/>
      <c r="G149" s="48"/>
      <c r="H149" s="47"/>
      <c r="I149" s="75">
        <f t="shared" si="4"/>
        <v>0</v>
      </c>
      <c r="J149" s="47"/>
      <c r="K149" s="288">
        <f t="shared" si="5"/>
        <v>0</v>
      </c>
    </row>
    <row r="150" spans="1:11" s="56" customFormat="1" ht="15.75" customHeight="1">
      <c r="A150" s="44"/>
      <c r="B150" s="45"/>
      <c r="C150" s="46">
        <f>IF(B150&lt;&gt;"",VLOOKUP(B150,'Tipo Projeto'!$A$3:$B$35,2,0),0)</f>
        <v>0</v>
      </c>
      <c r="D150" s="47"/>
      <c r="E150" s="47"/>
      <c r="F150" s="47"/>
      <c r="G150" s="48"/>
      <c r="H150" s="47"/>
      <c r="I150" s="75">
        <f t="shared" si="4"/>
        <v>0</v>
      </c>
      <c r="J150" s="47"/>
      <c r="K150" s="288">
        <f t="shared" si="5"/>
        <v>0</v>
      </c>
    </row>
    <row r="151" spans="1:11" s="56" customFormat="1" ht="15.75" customHeight="1">
      <c r="A151" s="44"/>
      <c r="B151" s="45"/>
      <c r="C151" s="46">
        <f>IF(B151&lt;&gt;"",VLOOKUP(B151,'Tipo Projeto'!$A$3:$B$35,2,0),0)</f>
        <v>0</v>
      </c>
      <c r="D151" s="47"/>
      <c r="E151" s="47"/>
      <c r="F151" s="47"/>
      <c r="G151" s="48"/>
      <c r="H151" s="47"/>
      <c r="I151" s="75">
        <f t="shared" si="4"/>
        <v>0</v>
      </c>
      <c r="J151" s="47"/>
      <c r="K151" s="288">
        <f t="shared" si="5"/>
        <v>0</v>
      </c>
    </row>
    <row r="152" spans="1:11" s="56" customFormat="1" ht="15.75" customHeight="1">
      <c r="A152" s="44"/>
      <c r="B152" s="45"/>
      <c r="C152" s="46">
        <f>IF(B152&lt;&gt;"",VLOOKUP(B152,'Tipo Projeto'!$A$3:$B$35,2,0),0)</f>
        <v>0</v>
      </c>
      <c r="D152" s="47"/>
      <c r="E152" s="47"/>
      <c r="F152" s="47"/>
      <c r="G152" s="48"/>
      <c r="H152" s="47"/>
      <c r="I152" s="75">
        <f t="shared" si="4"/>
        <v>0</v>
      </c>
      <c r="J152" s="47"/>
      <c r="K152" s="288">
        <f t="shared" si="5"/>
        <v>0</v>
      </c>
    </row>
    <row r="153" spans="1:11" s="56" customFormat="1" ht="15.75" customHeight="1">
      <c r="A153" s="44"/>
      <c r="B153" s="45"/>
      <c r="C153" s="46">
        <f>IF(B153&lt;&gt;"",VLOOKUP(B153,'Tipo Projeto'!$A$3:$B$35,2,0),0)</f>
        <v>0</v>
      </c>
      <c r="D153" s="47"/>
      <c r="E153" s="47"/>
      <c r="F153" s="47"/>
      <c r="G153" s="48"/>
      <c r="H153" s="47"/>
      <c r="I153" s="75">
        <f t="shared" si="4"/>
        <v>0</v>
      </c>
      <c r="J153" s="47"/>
      <c r="K153" s="288">
        <f t="shared" si="5"/>
        <v>0</v>
      </c>
    </row>
    <row r="154" spans="1:11" s="56" customFormat="1" ht="15.75" customHeight="1">
      <c r="A154" s="44"/>
      <c r="B154" s="45"/>
      <c r="C154" s="46">
        <f>IF(B154&lt;&gt;"",VLOOKUP(B154,'Tipo Projeto'!$A$3:$B$35,2,0),0)</f>
        <v>0</v>
      </c>
      <c r="D154" s="47"/>
      <c r="E154" s="47"/>
      <c r="F154" s="47"/>
      <c r="G154" s="48"/>
      <c r="H154" s="47"/>
      <c r="I154" s="75">
        <f t="shared" si="4"/>
        <v>0</v>
      </c>
      <c r="J154" s="47"/>
      <c r="K154" s="288">
        <f t="shared" si="5"/>
        <v>0</v>
      </c>
    </row>
    <row r="155" spans="1:11" s="56" customFormat="1" ht="15.75" customHeight="1">
      <c r="A155" s="44"/>
      <c r="B155" s="45"/>
      <c r="C155" s="46">
        <f>IF(B155&lt;&gt;"",VLOOKUP(B155,'Tipo Projeto'!$A$3:$B$35,2,0),0)</f>
        <v>0</v>
      </c>
      <c r="D155" s="47"/>
      <c r="E155" s="47"/>
      <c r="F155" s="47"/>
      <c r="G155" s="48"/>
      <c r="H155" s="47"/>
      <c r="I155" s="75">
        <f t="shared" si="4"/>
        <v>0</v>
      </c>
      <c r="J155" s="47"/>
      <c r="K155" s="288">
        <f t="shared" si="5"/>
        <v>0</v>
      </c>
    </row>
    <row r="156" spans="1:11" s="56" customFormat="1" ht="15.75" customHeight="1">
      <c r="A156" s="44"/>
      <c r="B156" s="45"/>
      <c r="C156" s="46">
        <f>IF(B156&lt;&gt;"",VLOOKUP(B156,'Tipo Projeto'!$A$3:$B$35,2,0),0)</f>
        <v>0</v>
      </c>
      <c r="D156" s="47"/>
      <c r="E156" s="47"/>
      <c r="F156" s="47"/>
      <c r="G156" s="48"/>
      <c r="H156" s="47"/>
      <c r="I156" s="75">
        <f t="shared" si="4"/>
        <v>0</v>
      </c>
      <c r="J156" s="47"/>
      <c r="K156" s="288">
        <f t="shared" si="5"/>
        <v>0</v>
      </c>
    </row>
    <row r="157" spans="1:11" s="56" customFormat="1" ht="15.75" customHeight="1">
      <c r="A157" s="44"/>
      <c r="B157" s="45"/>
      <c r="C157" s="46">
        <f>IF(B157&lt;&gt;"",VLOOKUP(B157,'Tipo Projeto'!$A$3:$B$35,2,0),0)</f>
        <v>0</v>
      </c>
      <c r="D157" s="47"/>
      <c r="E157" s="47"/>
      <c r="F157" s="47"/>
      <c r="G157" s="48"/>
      <c r="H157" s="47"/>
      <c r="I157" s="75">
        <f t="shared" si="4"/>
        <v>0</v>
      </c>
      <c r="J157" s="47"/>
      <c r="K157" s="288">
        <f t="shared" si="5"/>
        <v>0</v>
      </c>
    </row>
    <row r="158" spans="1:11" s="56" customFormat="1" ht="15.75" customHeight="1">
      <c r="A158" s="44"/>
      <c r="B158" s="45"/>
      <c r="C158" s="46">
        <f>IF(B158&lt;&gt;"",VLOOKUP(B158,'Tipo Projeto'!$A$3:$B$35,2,0),0)</f>
        <v>0</v>
      </c>
      <c r="D158" s="47"/>
      <c r="E158" s="47"/>
      <c r="F158" s="47"/>
      <c r="G158" s="48"/>
      <c r="H158" s="47"/>
      <c r="I158" s="75">
        <f t="shared" si="4"/>
        <v>0</v>
      </c>
      <c r="J158" s="47"/>
      <c r="K158" s="288">
        <f t="shared" si="5"/>
        <v>0</v>
      </c>
    </row>
    <row r="159" spans="1:11" s="56" customFormat="1" ht="15.75" customHeight="1">
      <c r="A159" s="44"/>
      <c r="B159" s="45"/>
      <c r="C159" s="46">
        <f>IF(B159&lt;&gt;"",VLOOKUP(B159,'Tipo Projeto'!$A$3:$B$35,2,0),0)</f>
        <v>0</v>
      </c>
      <c r="D159" s="47"/>
      <c r="E159" s="47"/>
      <c r="F159" s="47"/>
      <c r="G159" s="48"/>
      <c r="H159" s="47"/>
      <c r="I159" s="75">
        <f t="shared" si="4"/>
        <v>0</v>
      </c>
      <c r="J159" s="47"/>
      <c r="K159" s="288">
        <f t="shared" si="5"/>
        <v>0</v>
      </c>
    </row>
    <row r="160" spans="1:11" s="56" customFormat="1" ht="15.75" customHeight="1">
      <c r="A160" s="44"/>
      <c r="B160" s="45"/>
      <c r="C160" s="46">
        <f>IF(B160&lt;&gt;"",VLOOKUP(B160,'Tipo Projeto'!$A$3:$B$35,2,0),0)</f>
        <v>0</v>
      </c>
      <c r="D160" s="47"/>
      <c r="E160" s="47"/>
      <c r="F160" s="47"/>
      <c r="G160" s="48"/>
      <c r="H160" s="47"/>
      <c r="I160" s="75">
        <f t="shared" si="4"/>
        <v>0</v>
      </c>
      <c r="J160" s="47"/>
      <c r="K160" s="288">
        <f t="shared" si="5"/>
        <v>0</v>
      </c>
    </row>
    <row r="161" spans="1:11" s="56" customFormat="1" ht="15.75" customHeight="1">
      <c r="A161" s="44"/>
      <c r="B161" s="45"/>
      <c r="C161" s="46">
        <f>IF(B161&lt;&gt;"",VLOOKUP(B161,'Tipo Projeto'!$A$3:$B$35,2,0),0)</f>
        <v>0</v>
      </c>
      <c r="D161" s="47"/>
      <c r="E161" s="47"/>
      <c r="F161" s="47"/>
      <c r="G161" s="48"/>
      <c r="H161" s="47"/>
      <c r="I161" s="75">
        <f t="shared" si="4"/>
        <v>0</v>
      </c>
      <c r="J161" s="47"/>
      <c r="K161" s="288">
        <f t="shared" si="5"/>
        <v>0</v>
      </c>
    </row>
    <row r="162" spans="1:11" s="56" customFormat="1" ht="15.75" customHeight="1">
      <c r="A162" s="44"/>
      <c r="B162" s="45"/>
      <c r="C162" s="46">
        <f>IF(B162&lt;&gt;"",VLOOKUP(B162,'Tipo Projeto'!$A$3:$B$35,2,0),0)</f>
        <v>0</v>
      </c>
      <c r="D162" s="47"/>
      <c r="E162" s="47"/>
      <c r="F162" s="47"/>
      <c r="G162" s="48"/>
      <c r="H162" s="47"/>
      <c r="I162" s="75">
        <f t="shared" si="4"/>
        <v>0</v>
      </c>
      <c r="J162" s="47"/>
      <c r="K162" s="288">
        <f t="shared" si="5"/>
        <v>0</v>
      </c>
    </row>
    <row r="163" spans="1:11" s="56" customFormat="1" ht="15.75" customHeight="1">
      <c r="A163" s="44"/>
      <c r="B163" s="45"/>
      <c r="C163" s="46">
        <f>IF(B163&lt;&gt;"",VLOOKUP(B163,'Tipo Projeto'!$A$3:$B$35,2,0),0)</f>
        <v>0</v>
      </c>
      <c r="D163" s="47"/>
      <c r="E163" s="47"/>
      <c r="F163" s="47"/>
      <c r="G163" s="48"/>
      <c r="H163" s="47"/>
      <c r="I163" s="75">
        <f t="shared" si="4"/>
        <v>0</v>
      </c>
      <c r="J163" s="47"/>
      <c r="K163" s="288">
        <f t="shared" si="5"/>
        <v>0</v>
      </c>
    </row>
    <row r="164" spans="1:11" s="56" customFormat="1" ht="15.75" customHeight="1">
      <c r="A164" s="44"/>
      <c r="B164" s="45"/>
      <c r="C164" s="46">
        <f>IF(B164&lt;&gt;"",VLOOKUP(B164,'Tipo Projeto'!$A$3:$B$35,2,0),0)</f>
        <v>0</v>
      </c>
      <c r="D164" s="47"/>
      <c r="E164" s="47"/>
      <c r="F164" s="47"/>
      <c r="G164" s="48"/>
      <c r="H164" s="47"/>
      <c r="I164" s="75">
        <f t="shared" si="4"/>
        <v>0</v>
      </c>
      <c r="J164" s="47"/>
      <c r="K164" s="288">
        <f t="shared" si="5"/>
        <v>0</v>
      </c>
    </row>
    <row r="165" spans="1:11" s="56" customFormat="1" ht="15.75" customHeight="1">
      <c r="A165" s="44"/>
      <c r="B165" s="45"/>
      <c r="C165" s="46">
        <f>IF(B165&lt;&gt;"",VLOOKUP(B165,'Tipo Projeto'!$A$3:$B$35,2,0),0)</f>
        <v>0</v>
      </c>
      <c r="D165" s="47"/>
      <c r="E165" s="47"/>
      <c r="F165" s="47"/>
      <c r="G165" s="48"/>
      <c r="H165" s="47"/>
      <c r="I165" s="75">
        <f t="shared" si="4"/>
        <v>0</v>
      </c>
      <c r="J165" s="47"/>
      <c r="K165" s="288">
        <f t="shared" si="5"/>
        <v>0</v>
      </c>
    </row>
    <row r="166" spans="1:11" s="56" customFormat="1" ht="15.75" customHeight="1">
      <c r="A166" s="44"/>
      <c r="B166" s="45"/>
      <c r="C166" s="46">
        <f>IF(B166&lt;&gt;"",VLOOKUP(B166,'Tipo Projeto'!$A$3:$B$35,2,0),0)</f>
        <v>0</v>
      </c>
      <c r="D166" s="47"/>
      <c r="E166" s="47"/>
      <c r="F166" s="47"/>
      <c r="G166" s="48"/>
      <c r="H166" s="47"/>
      <c r="I166" s="75">
        <f t="shared" si="4"/>
        <v>0</v>
      </c>
      <c r="J166" s="47"/>
      <c r="K166" s="288">
        <f t="shared" si="5"/>
        <v>0</v>
      </c>
    </row>
    <row r="167" spans="1:11" s="56" customFormat="1" ht="15.75" customHeight="1">
      <c r="A167" s="44"/>
      <c r="B167" s="45"/>
      <c r="C167" s="46">
        <f>IF(B167&lt;&gt;"",VLOOKUP(B167,'Tipo Projeto'!$A$3:$B$35,2,0),0)</f>
        <v>0</v>
      </c>
      <c r="D167" s="47"/>
      <c r="E167" s="47"/>
      <c r="F167" s="47"/>
      <c r="G167" s="48"/>
      <c r="H167" s="47"/>
      <c r="I167" s="75">
        <f t="shared" si="4"/>
        <v>0</v>
      </c>
      <c r="J167" s="47"/>
      <c r="K167" s="288">
        <f t="shared" si="5"/>
        <v>0</v>
      </c>
    </row>
    <row r="168" spans="1:11" s="56" customFormat="1" ht="15.75" customHeight="1">
      <c r="A168" s="44"/>
      <c r="B168" s="45"/>
      <c r="C168" s="46">
        <f>IF(B168&lt;&gt;"",VLOOKUP(B168,'Tipo Projeto'!$A$3:$B$35,2,0),0)</f>
        <v>0</v>
      </c>
      <c r="D168" s="47"/>
      <c r="E168" s="47"/>
      <c r="F168" s="47"/>
      <c r="G168" s="48"/>
      <c r="H168" s="47"/>
      <c r="I168" s="75">
        <f t="shared" si="4"/>
        <v>0</v>
      </c>
      <c r="J168" s="47"/>
      <c r="K168" s="288">
        <f t="shared" si="5"/>
        <v>0</v>
      </c>
    </row>
    <row r="169" spans="1:11" s="56" customFormat="1" ht="15.75" customHeight="1">
      <c r="A169" s="44"/>
      <c r="B169" s="45"/>
      <c r="C169" s="46">
        <f>IF(B169&lt;&gt;"",VLOOKUP(B169,'Tipo Projeto'!$A$3:$B$35,2,0),0)</f>
        <v>0</v>
      </c>
      <c r="D169" s="47"/>
      <c r="E169" s="47"/>
      <c r="F169" s="47"/>
      <c r="G169" s="48"/>
      <c r="H169" s="47"/>
      <c r="I169" s="75">
        <f t="shared" si="4"/>
        <v>0</v>
      </c>
      <c r="J169" s="47"/>
      <c r="K169" s="288">
        <f t="shared" si="5"/>
        <v>0</v>
      </c>
    </row>
    <row r="170" spans="1:11" s="56" customFormat="1" ht="15.75" customHeight="1">
      <c r="A170" s="44"/>
      <c r="B170" s="45"/>
      <c r="C170" s="46">
        <f>IF(B170&lt;&gt;"",VLOOKUP(B170,'Tipo Projeto'!$A$3:$B$35,2,0),0)</f>
        <v>0</v>
      </c>
      <c r="D170" s="47"/>
      <c r="E170" s="47"/>
      <c r="F170" s="47"/>
      <c r="G170" s="48"/>
      <c r="H170" s="47"/>
      <c r="I170" s="75">
        <f t="shared" si="4"/>
        <v>0</v>
      </c>
      <c r="J170" s="47"/>
      <c r="K170" s="288">
        <f t="shared" si="5"/>
        <v>0</v>
      </c>
    </row>
    <row r="171" spans="1:11" s="56" customFormat="1" ht="15.75" customHeight="1">
      <c r="A171" s="44"/>
      <c r="B171" s="45"/>
      <c r="C171" s="46">
        <f>IF(B171&lt;&gt;"",VLOOKUP(B171,'Tipo Projeto'!$A$3:$B$35,2,0),0)</f>
        <v>0</v>
      </c>
      <c r="D171" s="47"/>
      <c r="E171" s="47"/>
      <c r="F171" s="47"/>
      <c r="G171" s="48"/>
      <c r="H171" s="47"/>
      <c r="I171" s="75">
        <f t="shared" si="4"/>
        <v>0</v>
      </c>
      <c r="J171" s="47"/>
      <c r="K171" s="288">
        <f t="shared" si="5"/>
        <v>0</v>
      </c>
    </row>
    <row r="172" spans="1:11" s="56" customFormat="1" ht="15.75" customHeight="1">
      <c r="A172" s="44"/>
      <c r="B172" s="45"/>
      <c r="C172" s="46">
        <f>IF(B172&lt;&gt;"",VLOOKUP(B172,'Tipo Projeto'!$A$3:$B$35,2,0),0)</f>
        <v>0</v>
      </c>
      <c r="D172" s="47"/>
      <c r="E172" s="47"/>
      <c r="F172" s="47"/>
      <c r="G172" s="48"/>
      <c r="H172" s="47"/>
      <c r="I172" s="75">
        <f t="shared" si="4"/>
        <v>0</v>
      </c>
      <c r="J172" s="47"/>
      <c r="K172" s="288">
        <f t="shared" si="5"/>
        <v>0</v>
      </c>
    </row>
    <row r="173" spans="1:11" s="56" customFormat="1" ht="15.75" customHeight="1">
      <c r="A173" s="44"/>
      <c r="B173" s="45"/>
      <c r="C173" s="46">
        <f>IF(B173&lt;&gt;"",VLOOKUP(B173,'Tipo Projeto'!$A$3:$B$35,2,0),0)</f>
        <v>0</v>
      </c>
      <c r="D173" s="47"/>
      <c r="E173" s="47"/>
      <c r="F173" s="47"/>
      <c r="G173" s="48"/>
      <c r="H173" s="47"/>
      <c r="I173" s="75">
        <f t="shared" si="4"/>
        <v>0</v>
      </c>
      <c r="J173" s="47"/>
      <c r="K173" s="288">
        <f t="shared" si="5"/>
        <v>0</v>
      </c>
    </row>
    <row r="174" spans="1:11" s="56" customFormat="1" ht="15.75" customHeight="1">
      <c r="A174" s="44"/>
      <c r="B174" s="45"/>
      <c r="C174" s="46">
        <f>IF(B174&lt;&gt;"",VLOOKUP(B174,'Tipo Projeto'!$A$3:$B$35,2,0),0)</f>
        <v>0</v>
      </c>
      <c r="D174" s="47"/>
      <c r="E174" s="47"/>
      <c r="F174" s="47"/>
      <c r="G174" s="48"/>
      <c r="H174" s="47"/>
      <c r="I174" s="75">
        <f t="shared" si="4"/>
        <v>0</v>
      </c>
      <c r="J174" s="47"/>
      <c r="K174" s="288">
        <f t="shared" si="5"/>
        <v>0</v>
      </c>
    </row>
    <row r="175" spans="1:11" s="56" customFormat="1" ht="15.75" customHeight="1">
      <c r="A175" s="44"/>
      <c r="B175" s="45"/>
      <c r="C175" s="46">
        <f>IF(B175&lt;&gt;"",VLOOKUP(B175,'Tipo Projeto'!$A$3:$B$35,2,0),0)</f>
        <v>0</v>
      </c>
      <c r="D175" s="47"/>
      <c r="E175" s="47"/>
      <c r="F175" s="47"/>
      <c r="G175" s="48"/>
      <c r="H175" s="47"/>
      <c r="I175" s="75">
        <f t="shared" si="4"/>
        <v>0</v>
      </c>
      <c r="J175" s="47"/>
      <c r="K175" s="288">
        <f t="shared" si="5"/>
        <v>0</v>
      </c>
    </row>
    <row r="176" spans="1:11" s="56" customFormat="1" ht="15.75" customHeight="1">
      <c r="A176" s="44"/>
      <c r="B176" s="45"/>
      <c r="C176" s="46">
        <f>IF(B176&lt;&gt;"",VLOOKUP(B176,'Tipo Projeto'!$A$3:$B$35,2,0),0)</f>
        <v>0</v>
      </c>
      <c r="D176" s="47"/>
      <c r="E176" s="47"/>
      <c r="F176" s="47"/>
      <c r="G176" s="48"/>
      <c r="H176" s="47"/>
      <c r="I176" s="75">
        <f t="shared" si="4"/>
        <v>0</v>
      </c>
      <c r="J176" s="47"/>
      <c r="K176" s="288">
        <f t="shared" si="5"/>
        <v>0</v>
      </c>
    </row>
    <row r="177" spans="1:11" s="56" customFormat="1" ht="15.75" customHeight="1">
      <c r="A177" s="44"/>
      <c r="B177" s="45"/>
      <c r="C177" s="46">
        <f>IF(B177&lt;&gt;"",VLOOKUP(B177,'Tipo Projeto'!$A$3:$B$35,2,0),0)</f>
        <v>0</v>
      </c>
      <c r="D177" s="47"/>
      <c r="E177" s="47"/>
      <c r="F177" s="47"/>
      <c r="G177" s="48"/>
      <c r="H177" s="47"/>
      <c r="I177" s="75">
        <f t="shared" si="4"/>
        <v>0</v>
      </c>
      <c r="J177" s="47"/>
      <c r="K177" s="288">
        <f t="shared" si="5"/>
        <v>0</v>
      </c>
    </row>
    <row r="178" spans="1:11" s="56" customFormat="1" ht="15.75" customHeight="1">
      <c r="A178" s="44"/>
      <c r="B178" s="45"/>
      <c r="C178" s="46">
        <f>IF(B178&lt;&gt;"",VLOOKUP(B178,'Tipo Projeto'!$A$3:$B$35,2,0),0)</f>
        <v>0</v>
      </c>
      <c r="D178" s="47"/>
      <c r="E178" s="47"/>
      <c r="F178" s="47"/>
      <c r="G178" s="48"/>
      <c r="H178" s="47"/>
      <c r="I178" s="75">
        <f t="shared" si="4"/>
        <v>0</v>
      </c>
      <c r="J178" s="47"/>
      <c r="K178" s="288">
        <f t="shared" si="5"/>
        <v>0</v>
      </c>
    </row>
    <row r="179" spans="1:11" s="56" customFormat="1" ht="15.75" customHeight="1">
      <c r="A179" s="44"/>
      <c r="B179" s="45"/>
      <c r="C179" s="46">
        <f>IF(B179&lt;&gt;"",VLOOKUP(B179,'Tipo Projeto'!$A$3:$B$35,2,0),0)</f>
        <v>0</v>
      </c>
      <c r="D179" s="47"/>
      <c r="E179" s="47"/>
      <c r="F179" s="47"/>
      <c r="G179" s="48"/>
      <c r="H179" s="47"/>
      <c r="I179" s="75">
        <f t="shared" si="4"/>
        <v>0</v>
      </c>
      <c r="J179" s="47"/>
      <c r="K179" s="288">
        <f t="shared" si="5"/>
        <v>0</v>
      </c>
    </row>
    <row r="180" spans="1:11" s="56" customFormat="1" ht="15.75" customHeight="1">
      <c r="A180" s="44"/>
      <c r="B180" s="45"/>
      <c r="C180" s="46">
        <f>IF(B180&lt;&gt;"",VLOOKUP(B180,'Tipo Projeto'!$A$3:$B$35,2,0),0)</f>
        <v>0</v>
      </c>
      <c r="D180" s="47"/>
      <c r="E180" s="47"/>
      <c r="F180" s="47"/>
      <c r="G180" s="48"/>
      <c r="H180" s="47"/>
      <c r="I180" s="75">
        <f t="shared" si="4"/>
        <v>0</v>
      </c>
      <c r="J180" s="47"/>
      <c r="K180" s="288">
        <f t="shared" si="5"/>
        <v>0</v>
      </c>
    </row>
    <row r="181" spans="1:11" s="56" customFormat="1" ht="15.75" customHeight="1">
      <c r="A181" s="44"/>
      <c r="B181" s="45"/>
      <c r="C181" s="46">
        <f>IF(B181&lt;&gt;"",VLOOKUP(B181,'Tipo Projeto'!$A$3:$B$35,2,0),0)</f>
        <v>0</v>
      </c>
      <c r="D181" s="47"/>
      <c r="E181" s="47"/>
      <c r="F181" s="47"/>
      <c r="G181" s="48"/>
      <c r="H181" s="47"/>
      <c r="I181" s="75">
        <f t="shared" si="4"/>
        <v>0</v>
      </c>
      <c r="J181" s="47"/>
      <c r="K181" s="288">
        <f t="shared" si="5"/>
        <v>0</v>
      </c>
    </row>
    <row r="182" spans="1:11" s="56" customFormat="1" ht="15.75" customHeight="1">
      <c r="A182" s="44"/>
      <c r="B182" s="45"/>
      <c r="C182" s="46">
        <f>IF(B182&lt;&gt;"",VLOOKUP(B182,'Tipo Projeto'!$A$3:$B$35,2,0),0)</f>
        <v>0</v>
      </c>
      <c r="D182" s="47"/>
      <c r="E182" s="47"/>
      <c r="F182" s="47"/>
      <c r="G182" s="48"/>
      <c r="H182" s="47"/>
      <c r="I182" s="75">
        <f t="shared" si="4"/>
        <v>0</v>
      </c>
      <c r="J182" s="47"/>
      <c r="K182" s="288">
        <f t="shared" si="5"/>
        <v>0</v>
      </c>
    </row>
    <row r="183" spans="1:11" s="56" customFormat="1" ht="15.75" customHeight="1">
      <c r="A183" s="44"/>
      <c r="B183" s="45"/>
      <c r="C183" s="46">
        <f>IF(B183&lt;&gt;"",VLOOKUP(B183,'Tipo Projeto'!$A$3:$B$35,2,0),0)</f>
        <v>0</v>
      </c>
      <c r="D183" s="47"/>
      <c r="E183" s="47"/>
      <c r="F183" s="47"/>
      <c r="G183" s="48"/>
      <c r="H183" s="47"/>
      <c r="I183" s="75">
        <f t="shared" si="4"/>
        <v>0</v>
      </c>
      <c r="J183" s="47"/>
      <c r="K183" s="288">
        <f t="shared" si="5"/>
        <v>0</v>
      </c>
    </row>
    <row r="184" spans="1:11" s="56" customFormat="1" ht="15.75" customHeight="1">
      <c r="A184" s="44"/>
      <c r="B184" s="45"/>
      <c r="C184" s="46">
        <f>IF(B184&lt;&gt;"",VLOOKUP(B184,'Tipo Projeto'!$A$3:$B$35,2,0),0)</f>
        <v>0</v>
      </c>
      <c r="D184" s="47"/>
      <c r="E184" s="47"/>
      <c r="F184" s="47"/>
      <c r="G184" s="48"/>
      <c r="H184" s="47"/>
      <c r="I184" s="75">
        <f t="shared" si="4"/>
        <v>0</v>
      </c>
      <c r="J184" s="47"/>
      <c r="K184" s="288">
        <f t="shared" si="5"/>
        <v>0</v>
      </c>
    </row>
    <row r="185" spans="1:11" s="56" customFormat="1" ht="15.75" customHeight="1">
      <c r="A185" s="44"/>
      <c r="B185" s="45"/>
      <c r="C185" s="46">
        <f>IF(B185&lt;&gt;"",VLOOKUP(B185,'Tipo Projeto'!$A$3:$B$35,2,0),0)</f>
        <v>0</v>
      </c>
      <c r="D185" s="47"/>
      <c r="E185" s="47"/>
      <c r="F185" s="47"/>
      <c r="G185" s="48"/>
      <c r="H185" s="47"/>
      <c r="I185" s="75">
        <f t="shared" si="4"/>
        <v>0</v>
      </c>
      <c r="J185" s="47"/>
      <c r="K185" s="288">
        <f t="shared" si="5"/>
        <v>0</v>
      </c>
    </row>
    <row r="186" spans="1:11" s="56" customFormat="1" ht="15.75" customHeight="1">
      <c r="A186" s="44"/>
      <c r="B186" s="45"/>
      <c r="C186" s="46">
        <f>IF(B186&lt;&gt;"",VLOOKUP(B186,'Tipo Projeto'!$A$3:$B$35,2,0),0)</f>
        <v>0</v>
      </c>
      <c r="D186" s="47"/>
      <c r="E186" s="47"/>
      <c r="F186" s="47"/>
      <c r="G186" s="48"/>
      <c r="H186" s="47"/>
      <c r="I186" s="75">
        <f t="shared" si="4"/>
        <v>0</v>
      </c>
      <c r="J186" s="47"/>
      <c r="K186" s="288">
        <f t="shared" si="5"/>
        <v>0</v>
      </c>
    </row>
    <row r="187" spans="1:11" s="56" customFormat="1" ht="15.75" customHeight="1">
      <c r="A187" s="44"/>
      <c r="B187" s="45"/>
      <c r="C187" s="46">
        <f>IF(B187&lt;&gt;"",VLOOKUP(B187,'Tipo Projeto'!$A$3:$B$35,2,0),0)</f>
        <v>0</v>
      </c>
      <c r="D187" s="47"/>
      <c r="E187" s="47"/>
      <c r="F187" s="47"/>
      <c r="G187" s="48"/>
      <c r="H187" s="47"/>
      <c r="I187" s="75">
        <f t="shared" si="4"/>
        <v>0</v>
      </c>
      <c r="J187" s="47"/>
      <c r="K187" s="288">
        <f t="shared" si="5"/>
        <v>0</v>
      </c>
    </row>
    <row r="188" spans="1:11" s="56" customFormat="1" ht="15.75" customHeight="1">
      <c r="A188" s="44"/>
      <c r="B188" s="45"/>
      <c r="C188" s="46">
        <f>IF(B188&lt;&gt;"",VLOOKUP(B188,'Tipo Projeto'!$A$3:$B$35,2,0),0)</f>
        <v>0</v>
      </c>
      <c r="D188" s="47"/>
      <c r="E188" s="47"/>
      <c r="F188" s="47"/>
      <c r="G188" s="48"/>
      <c r="H188" s="47"/>
      <c r="I188" s="75">
        <f t="shared" si="4"/>
        <v>0</v>
      </c>
      <c r="J188" s="47"/>
      <c r="K188" s="288">
        <f t="shared" si="5"/>
        <v>0</v>
      </c>
    </row>
    <row r="189" spans="1:11" s="56" customFormat="1" ht="15.75" customHeight="1">
      <c r="A189" s="44"/>
      <c r="B189" s="45"/>
      <c r="C189" s="46">
        <f>IF(B189&lt;&gt;"",VLOOKUP(B189,'Tipo Projeto'!$A$3:$B$35,2,0),0)</f>
        <v>0</v>
      </c>
      <c r="D189" s="47"/>
      <c r="E189" s="47"/>
      <c r="F189" s="47"/>
      <c r="G189" s="48"/>
      <c r="H189" s="47"/>
      <c r="I189" s="75">
        <f t="shared" si="4"/>
        <v>0</v>
      </c>
      <c r="J189" s="47"/>
      <c r="K189" s="288">
        <f t="shared" si="5"/>
        <v>0</v>
      </c>
    </row>
    <row r="190" spans="1:11" s="56" customFormat="1" ht="15.75" customHeight="1">
      <c r="A190" s="44"/>
      <c r="B190" s="45"/>
      <c r="C190" s="46">
        <f>IF(B190&lt;&gt;"",VLOOKUP(B190,'Tipo Projeto'!$A$3:$B$35,2,0),0)</f>
        <v>0</v>
      </c>
      <c r="D190" s="47"/>
      <c r="E190" s="47"/>
      <c r="F190" s="47"/>
      <c r="G190" s="48"/>
      <c r="H190" s="47"/>
      <c r="I190" s="75">
        <f t="shared" si="4"/>
        <v>0</v>
      </c>
      <c r="J190" s="47"/>
      <c r="K190" s="288">
        <f t="shared" si="5"/>
        <v>0</v>
      </c>
    </row>
    <row r="191" spans="1:11" s="56" customFormat="1" ht="15.75" customHeight="1">
      <c r="A191" s="44"/>
      <c r="B191" s="45"/>
      <c r="C191" s="46">
        <f>IF(B191&lt;&gt;"",VLOOKUP(B191,'Tipo Projeto'!$A$3:$B$35,2,0),0)</f>
        <v>0</v>
      </c>
      <c r="D191" s="47"/>
      <c r="E191" s="47"/>
      <c r="F191" s="47"/>
      <c r="G191" s="48"/>
      <c r="H191" s="47"/>
      <c r="I191" s="75">
        <f t="shared" si="4"/>
        <v>0</v>
      </c>
      <c r="J191" s="47"/>
      <c r="K191" s="288">
        <f t="shared" si="5"/>
        <v>0</v>
      </c>
    </row>
    <row r="192" spans="1:11" s="56" customFormat="1" ht="15.75" customHeight="1">
      <c r="A192" s="44"/>
      <c r="B192" s="45"/>
      <c r="C192" s="46">
        <f>IF(B192&lt;&gt;"",VLOOKUP(B192,'Tipo Projeto'!$A$3:$B$35,2,0),0)</f>
        <v>0</v>
      </c>
      <c r="D192" s="47"/>
      <c r="E192" s="47"/>
      <c r="F192" s="47"/>
      <c r="G192" s="48"/>
      <c r="H192" s="47"/>
      <c r="I192" s="75">
        <f t="shared" si="4"/>
        <v>0</v>
      </c>
      <c r="J192" s="47"/>
      <c r="K192" s="288">
        <f t="shared" si="5"/>
        <v>0</v>
      </c>
    </row>
    <row r="193" spans="1:11" s="56" customFormat="1" ht="15.75" customHeight="1">
      <c r="A193" s="44"/>
      <c r="B193" s="45"/>
      <c r="C193" s="46">
        <f>IF(B193&lt;&gt;"",VLOOKUP(B193,'Tipo Projeto'!$A$3:$B$35,2,0),0)</f>
        <v>0</v>
      </c>
      <c r="D193" s="47"/>
      <c r="E193" s="47"/>
      <c r="F193" s="47"/>
      <c r="G193" s="48"/>
      <c r="H193" s="47"/>
      <c r="I193" s="75">
        <f t="shared" si="4"/>
        <v>0</v>
      </c>
      <c r="J193" s="47"/>
      <c r="K193" s="288">
        <f t="shared" si="5"/>
        <v>0</v>
      </c>
    </row>
    <row r="194" spans="1:11" s="56" customFormat="1" ht="15.75" customHeight="1">
      <c r="A194" s="44"/>
      <c r="B194" s="45"/>
      <c r="C194" s="46">
        <f>IF(B194&lt;&gt;"",VLOOKUP(B194,'Tipo Projeto'!$A$3:$B$35,2,0),0)</f>
        <v>0</v>
      </c>
      <c r="D194" s="47"/>
      <c r="E194" s="47"/>
      <c r="F194" s="47"/>
      <c r="G194" s="48"/>
      <c r="H194" s="47"/>
      <c r="I194" s="75">
        <f t="shared" si="4"/>
        <v>0</v>
      </c>
      <c r="J194" s="47"/>
      <c r="K194" s="288">
        <f t="shared" si="5"/>
        <v>0</v>
      </c>
    </row>
    <row r="195" spans="1:11" s="56" customFormat="1" ht="15.75" customHeight="1">
      <c r="A195" s="44"/>
      <c r="B195" s="45"/>
      <c r="C195" s="46">
        <f>IF(B195&lt;&gt;"",VLOOKUP(B195,'Tipo Projeto'!$A$3:$B$35,2,0),0)</f>
        <v>0</v>
      </c>
      <c r="D195" s="47"/>
      <c r="E195" s="47"/>
      <c r="F195" s="47"/>
      <c r="G195" s="48"/>
      <c r="H195" s="47"/>
      <c r="I195" s="75">
        <f t="shared" si="4"/>
        <v>0</v>
      </c>
      <c r="J195" s="47"/>
      <c r="K195" s="288">
        <f t="shared" si="5"/>
        <v>0</v>
      </c>
    </row>
    <row r="196" spans="1:11" s="56" customFormat="1" ht="15.75" customHeight="1">
      <c r="A196" s="44"/>
      <c r="B196" s="45"/>
      <c r="C196" s="46">
        <f>IF(B196&lt;&gt;"",VLOOKUP(B196,'Tipo Projeto'!$A$3:$B$35,2,0),0)</f>
        <v>0</v>
      </c>
      <c r="D196" s="47"/>
      <c r="E196" s="47"/>
      <c r="F196" s="47"/>
      <c r="G196" s="48"/>
      <c r="H196" s="47"/>
      <c r="I196" s="75">
        <f t="shared" si="4"/>
        <v>0</v>
      </c>
      <c r="J196" s="47"/>
      <c r="K196" s="288">
        <f t="shared" si="5"/>
        <v>0</v>
      </c>
    </row>
    <row r="197" spans="1:11" s="56" customFormat="1" ht="15.75" customHeight="1">
      <c r="A197" s="44"/>
      <c r="B197" s="45"/>
      <c r="C197" s="46">
        <f>IF(B197&lt;&gt;"",VLOOKUP(B197,'Tipo Projeto'!$A$3:$B$35,2,0),0)</f>
        <v>0</v>
      </c>
      <c r="D197" s="47"/>
      <c r="E197" s="47"/>
      <c r="F197" s="47"/>
      <c r="G197" s="48"/>
      <c r="H197" s="47"/>
      <c r="I197" s="75">
        <f t="shared" si="4"/>
        <v>0</v>
      </c>
      <c r="J197" s="47"/>
      <c r="K197" s="288">
        <f t="shared" si="5"/>
        <v>0</v>
      </c>
    </row>
    <row r="198" spans="1:11" s="56" customFormat="1" ht="15.75" customHeight="1">
      <c r="A198" s="44"/>
      <c r="B198" s="45"/>
      <c r="C198" s="46">
        <f>IF(B198&lt;&gt;"",VLOOKUP(B198,'Tipo Projeto'!$A$3:$B$35,2,0),0)</f>
        <v>0</v>
      </c>
      <c r="D198" s="47"/>
      <c r="E198" s="47"/>
      <c r="F198" s="47"/>
      <c r="G198" s="48"/>
      <c r="H198" s="47"/>
      <c r="I198" s="75">
        <f t="shared" si="4"/>
        <v>0</v>
      </c>
      <c r="J198" s="47"/>
      <c r="K198" s="288">
        <f t="shared" si="5"/>
        <v>0</v>
      </c>
    </row>
    <row r="199" spans="1:11" s="56" customFormat="1" ht="15.75" customHeight="1">
      <c r="A199" s="44"/>
      <c r="B199" s="45"/>
      <c r="C199" s="46">
        <f>IF(B199&lt;&gt;"",VLOOKUP(B199,'Tipo Projeto'!$A$3:$B$35,2,0),0)</f>
        <v>0</v>
      </c>
      <c r="D199" s="47"/>
      <c r="E199" s="47"/>
      <c r="F199" s="47"/>
      <c r="G199" s="48"/>
      <c r="H199" s="47"/>
      <c r="I199" s="75">
        <f t="shared" si="4"/>
        <v>0</v>
      </c>
      <c r="J199" s="47"/>
      <c r="K199" s="288">
        <f t="shared" si="5"/>
        <v>0</v>
      </c>
    </row>
    <row r="200" spans="1:11" s="56" customFormat="1" ht="15.75" customHeight="1">
      <c r="A200" s="44"/>
      <c r="B200" s="45"/>
      <c r="C200" s="46">
        <f>IF(B200&lt;&gt;"",VLOOKUP(B200,'Tipo Projeto'!$A$3:$B$35,2,0),0)</f>
        <v>0</v>
      </c>
      <c r="D200" s="47"/>
      <c r="E200" s="47"/>
      <c r="F200" s="47"/>
      <c r="G200" s="48"/>
      <c r="H200" s="47"/>
      <c r="I200" s="75">
        <f t="shared" si="4"/>
        <v>0</v>
      </c>
      <c r="J200" s="47"/>
      <c r="K200" s="288">
        <f t="shared" si="5"/>
        <v>0</v>
      </c>
    </row>
    <row r="201" spans="1:11" s="56" customFormat="1" ht="15.75" customHeight="1">
      <c r="A201" s="44"/>
      <c r="B201" s="45"/>
      <c r="C201" s="46">
        <f>IF(B201&lt;&gt;"",VLOOKUP(B201,'Tipo Projeto'!$A$3:$B$35,2,0),0)</f>
        <v>0</v>
      </c>
      <c r="D201" s="47"/>
      <c r="E201" s="47"/>
      <c r="F201" s="47"/>
      <c r="G201" s="48"/>
      <c r="H201" s="47"/>
      <c r="I201" s="75">
        <f t="shared" si="4"/>
        <v>0</v>
      </c>
      <c r="J201" s="47"/>
      <c r="K201" s="288">
        <f t="shared" si="5"/>
        <v>0</v>
      </c>
    </row>
    <row r="202" spans="1:11" s="56" customFormat="1" ht="15.75" customHeight="1">
      <c r="A202" s="44"/>
      <c r="B202" s="45"/>
      <c r="C202" s="46">
        <f>IF(B202&lt;&gt;"",VLOOKUP(B202,'Tipo Projeto'!$A$3:$B$35,2,0),0)</f>
        <v>0</v>
      </c>
      <c r="D202" s="47"/>
      <c r="E202" s="47"/>
      <c r="F202" s="47"/>
      <c r="G202" s="48"/>
      <c r="H202" s="47"/>
      <c r="I202" s="75">
        <f t="shared" si="4"/>
        <v>0</v>
      </c>
      <c r="J202" s="47"/>
      <c r="K202" s="288">
        <f t="shared" si="5"/>
        <v>0</v>
      </c>
    </row>
    <row r="203" spans="1:11" s="56" customFormat="1" ht="15.75" customHeight="1">
      <c r="A203" s="44"/>
      <c r="B203" s="45"/>
      <c r="C203" s="46">
        <f>IF(B203&lt;&gt;"",VLOOKUP(B203,'Tipo Projeto'!$A$3:$B$35,2,0),0)</f>
        <v>0</v>
      </c>
      <c r="D203" s="47"/>
      <c r="E203" s="47"/>
      <c r="F203" s="47"/>
      <c r="G203" s="48"/>
      <c r="H203" s="47"/>
      <c r="I203" s="75">
        <f t="shared" ref="I203:I266" si="6">IF(B203&lt;&gt;"Manutenção em interface",IF(B203&lt;&gt;"Desenv., Manutenção e Publicação de Páginas Estáticas",IF(H203="EE",4,IF(H203="CE",4,IF(H203="SE",5,IF(H203="ALI",7,IF(H203="AIE",5,0)))))*C203,C203),C203)</f>
        <v>0</v>
      </c>
      <c r="J203" s="47"/>
      <c r="K203" s="288">
        <f t="shared" si="5"/>
        <v>0</v>
      </c>
    </row>
    <row r="204" spans="1:11" s="56" customFormat="1" ht="15.75" customHeight="1">
      <c r="A204" s="44"/>
      <c r="B204" s="45"/>
      <c r="C204" s="46">
        <f>IF(B204&lt;&gt;"",VLOOKUP(B204,'Tipo Projeto'!$A$3:$B$35,2,0),0)</f>
        <v>0</v>
      </c>
      <c r="D204" s="47"/>
      <c r="E204" s="47"/>
      <c r="F204" s="47"/>
      <c r="G204" s="48"/>
      <c r="H204" s="47"/>
      <c r="I204" s="75">
        <f t="shared" si="6"/>
        <v>0</v>
      </c>
      <c r="J204" s="47"/>
      <c r="K204" s="288">
        <f t="shared" ref="K204:K267" si="7">IF(AND(C204&lt;&gt;0,I204&lt;&gt;0),I204/C204,0)</f>
        <v>0</v>
      </c>
    </row>
    <row r="205" spans="1:11" s="56" customFormat="1" ht="15.75" customHeight="1">
      <c r="A205" s="44"/>
      <c r="B205" s="45"/>
      <c r="C205" s="46">
        <f>IF(B205&lt;&gt;"",VLOOKUP(B205,'Tipo Projeto'!$A$3:$B$35,2,0),0)</f>
        <v>0</v>
      </c>
      <c r="D205" s="47"/>
      <c r="E205" s="47"/>
      <c r="F205" s="47"/>
      <c r="G205" s="48"/>
      <c r="H205" s="47"/>
      <c r="I205" s="75">
        <f t="shared" si="6"/>
        <v>0</v>
      </c>
      <c r="J205" s="47"/>
      <c r="K205" s="288">
        <f t="shared" si="7"/>
        <v>0</v>
      </c>
    </row>
    <row r="206" spans="1:11" s="56" customFormat="1" ht="15.75" customHeight="1">
      <c r="A206" s="44"/>
      <c r="B206" s="45"/>
      <c r="C206" s="46">
        <f>IF(B206&lt;&gt;"",VLOOKUP(B206,'Tipo Projeto'!$A$3:$B$35,2,0),0)</f>
        <v>0</v>
      </c>
      <c r="D206" s="47"/>
      <c r="E206" s="47"/>
      <c r="F206" s="47"/>
      <c r="G206" s="48"/>
      <c r="H206" s="47"/>
      <c r="I206" s="75">
        <f t="shared" si="6"/>
        <v>0</v>
      </c>
      <c r="J206" s="47"/>
      <c r="K206" s="288">
        <f t="shared" si="7"/>
        <v>0</v>
      </c>
    </row>
    <row r="207" spans="1:11" s="56" customFormat="1" ht="15.75" customHeight="1">
      <c r="A207" s="44"/>
      <c r="B207" s="45"/>
      <c r="C207" s="46">
        <f>IF(B207&lt;&gt;"",VLOOKUP(B207,'Tipo Projeto'!$A$3:$B$35,2,0),0)</f>
        <v>0</v>
      </c>
      <c r="D207" s="47"/>
      <c r="E207" s="47"/>
      <c r="F207" s="47"/>
      <c r="G207" s="48"/>
      <c r="H207" s="47"/>
      <c r="I207" s="75">
        <f t="shared" si="6"/>
        <v>0</v>
      </c>
      <c r="J207" s="47"/>
      <c r="K207" s="288">
        <f t="shared" si="7"/>
        <v>0</v>
      </c>
    </row>
    <row r="208" spans="1:11" s="56" customFormat="1" ht="15.75" customHeight="1">
      <c r="A208" s="44"/>
      <c r="B208" s="45"/>
      <c r="C208" s="46">
        <f>IF(B208&lt;&gt;"",VLOOKUP(B208,'Tipo Projeto'!$A$3:$B$35,2,0),0)</f>
        <v>0</v>
      </c>
      <c r="D208" s="47"/>
      <c r="E208" s="47"/>
      <c r="F208" s="47"/>
      <c r="G208" s="48"/>
      <c r="H208" s="47"/>
      <c r="I208" s="75">
        <f t="shared" si="6"/>
        <v>0</v>
      </c>
      <c r="J208" s="47"/>
      <c r="K208" s="288">
        <f t="shared" si="7"/>
        <v>0</v>
      </c>
    </row>
    <row r="209" spans="1:11" s="56" customFormat="1" ht="15.75" customHeight="1">
      <c r="A209" s="44"/>
      <c r="B209" s="45"/>
      <c r="C209" s="46">
        <f>IF(B209&lt;&gt;"",VLOOKUP(B209,'Tipo Projeto'!$A$3:$B$35,2,0),0)</f>
        <v>0</v>
      </c>
      <c r="D209" s="47"/>
      <c r="E209" s="47"/>
      <c r="F209" s="47"/>
      <c r="G209" s="48"/>
      <c r="H209" s="47"/>
      <c r="I209" s="75">
        <f t="shared" si="6"/>
        <v>0</v>
      </c>
      <c r="J209" s="47"/>
      <c r="K209" s="288">
        <f t="shared" si="7"/>
        <v>0</v>
      </c>
    </row>
    <row r="210" spans="1:11" s="56" customFormat="1" ht="15.75" customHeight="1">
      <c r="A210" s="44"/>
      <c r="B210" s="45"/>
      <c r="C210" s="46">
        <f>IF(B210&lt;&gt;"",VLOOKUP(B210,'Tipo Projeto'!$A$3:$B$35,2,0),0)</f>
        <v>0</v>
      </c>
      <c r="D210" s="47"/>
      <c r="E210" s="47"/>
      <c r="F210" s="47"/>
      <c r="G210" s="48"/>
      <c r="H210" s="47"/>
      <c r="I210" s="75">
        <f t="shared" si="6"/>
        <v>0</v>
      </c>
      <c r="J210" s="47"/>
      <c r="K210" s="288">
        <f t="shared" si="7"/>
        <v>0</v>
      </c>
    </row>
    <row r="211" spans="1:11" s="56" customFormat="1" ht="15.75" customHeight="1">
      <c r="A211" s="44"/>
      <c r="B211" s="45"/>
      <c r="C211" s="46">
        <f>IF(B211&lt;&gt;"",VLOOKUP(B211,'Tipo Projeto'!$A$3:$B$35,2,0),0)</f>
        <v>0</v>
      </c>
      <c r="D211" s="47"/>
      <c r="E211" s="47"/>
      <c r="F211" s="47"/>
      <c r="G211" s="48"/>
      <c r="H211" s="47"/>
      <c r="I211" s="75">
        <f t="shared" si="6"/>
        <v>0</v>
      </c>
      <c r="J211" s="47"/>
      <c r="K211" s="288">
        <f t="shared" si="7"/>
        <v>0</v>
      </c>
    </row>
    <row r="212" spans="1:11" s="56" customFormat="1" ht="15.75" customHeight="1">
      <c r="A212" s="44"/>
      <c r="B212" s="45"/>
      <c r="C212" s="46">
        <f>IF(B212&lt;&gt;"",VLOOKUP(B212,'Tipo Projeto'!$A$3:$B$35,2,0),0)</f>
        <v>0</v>
      </c>
      <c r="D212" s="47"/>
      <c r="E212" s="47"/>
      <c r="F212" s="47"/>
      <c r="G212" s="48"/>
      <c r="H212" s="47"/>
      <c r="I212" s="75">
        <f t="shared" si="6"/>
        <v>0</v>
      </c>
      <c r="J212" s="47"/>
      <c r="K212" s="288">
        <f t="shared" si="7"/>
        <v>0</v>
      </c>
    </row>
    <row r="213" spans="1:11" s="56" customFormat="1" ht="15.75" customHeight="1">
      <c r="A213" s="44"/>
      <c r="B213" s="45"/>
      <c r="C213" s="46">
        <f>IF(B213&lt;&gt;"",VLOOKUP(B213,'Tipo Projeto'!$A$3:$B$35,2,0),0)</f>
        <v>0</v>
      </c>
      <c r="D213" s="47"/>
      <c r="E213" s="47"/>
      <c r="F213" s="47"/>
      <c r="G213" s="48"/>
      <c r="H213" s="47"/>
      <c r="I213" s="75">
        <f t="shared" si="6"/>
        <v>0</v>
      </c>
      <c r="J213" s="47"/>
      <c r="K213" s="288">
        <f t="shared" si="7"/>
        <v>0</v>
      </c>
    </row>
    <row r="214" spans="1:11" s="56" customFormat="1" ht="15.75" customHeight="1">
      <c r="A214" s="44"/>
      <c r="B214" s="45"/>
      <c r="C214" s="46">
        <f>IF(B214&lt;&gt;"",VLOOKUP(B214,'Tipo Projeto'!$A$3:$B$35,2,0),0)</f>
        <v>0</v>
      </c>
      <c r="D214" s="47"/>
      <c r="E214" s="47"/>
      <c r="F214" s="47"/>
      <c r="G214" s="48"/>
      <c r="H214" s="47"/>
      <c r="I214" s="75">
        <f t="shared" si="6"/>
        <v>0</v>
      </c>
      <c r="J214" s="47"/>
      <c r="K214" s="288">
        <f t="shared" si="7"/>
        <v>0</v>
      </c>
    </row>
    <row r="215" spans="1:11" s="56" customFormat="1" ht="15.75" customHeight="1">
      <c r="A215" s="44"/>
      <c r="B215" s="45"/>
      <c r="C215" s="46">
        <f>IF(B215&lt;&gt;"",VLOOKUP(B215,'Tipo Projeto'!$A$3:$B$35,2,0),0)</f>
        <v>0</v>
      </c>
      <c r="D215" s="47"/>
      <c r="E215" s="47"/>
      <c r="F215" s="47"/>
      <c r="G215" s="48"/>
      <c r="H215" s="47"/>
      <c r="I215" s="75">
        <f t="shared" si="6"/>
        <v>0</v>
      </c>
      <c r="J215" s="47"/>
      <c r="K215" s="288">
        <f t="shared" si="7"/>
        <v>0</v>
      </c>
    </row>
    <row r="216" spans="1:11" s="56" customFormat="1" ht="15.75" customHeight="1">
      <c r="A216" s="44"/>
      <c r="B216" s="45"/>
      <c r="C216" s="46">
        <f>IF(B216&lt;&gt;"",VLOOKUP(B216,'Tipo Projeto'!$A$3:$B$35,2,0),0)</f>
        <v>0</v>
      </c>
      <c r="D216" s="47"/>
      <c r="E216" s="47"/>
      <c r="F216" s="47"/>
      <c r="G216" s="48"/>
      <c r="H216" s="47"/>
      <c r="I216" s="75">
        <f t="shared" si="6"/>
        <v>0</v>
      </c>
      <c r="J216" s="47"/>
      <c r="K216" s="288">
        <f t="shared" si="7"/>
        <v>0</v>
      </c>
    </row>
    <row r="217" spans="1:11" s="56" customFormat="1" ht="15.75" customHeight="1">
      <c r="A217" s="44"/>
      <c r="B217" s="45"/>
      <c r="C217" s="46">
        <f>IF(B217&lt;&gt;"",VLOOKUP(B217,'Tipo Projeto'!$A$3:$B$35,2,0),0)</f>
        <v>0</v>
      </c>
      <c r="D217" s="47"/>
      <c r="E217" s="47"/>
      <c r="F217" s="47"/>
      <c r="G217" s="48"/>
      <c r="H217" s="47"/>
      <c r="I217" s="75">
        <f t="shared" si="6"/>
        <v>0</v>
      </c>
      <c r="J217" s="47"/>
      <c r="K217" s="288">
        <f t="shared" si="7"/>
        <v>0</v>
      </c>
    </row>
    <row r="218" spans="1:11" s="56" customFormat="1" ht="15.75" customHeight="1">
      <c r="A218" s="44"/>
      <c r="B218" s="45"/>
      <c r="C218" s="46">
        <f>IF(B218&lt;&gt;"",VLOOKUP(B218,'Tipo Projeto'!$A$3:$B$35,2,0),0)</f>
        <v>0</v>
      </c>
      <c r="D218" s="47"/>
      <c r="E218" s="47"/>
      <c r="F218" s="47"/>
      <c r="G218" s="48"/>
      <c r="H218" s="47"/>
      <c r="I218" s="75">
        <f t="shared" si="6"/>
        <v>0</v>
      </c>
      <c r="J218" s="47"/>
      <c r="K218" s="288">
        <f t="shared" si="7"/>
        <v>0</v>
      </c>
    </row>
    <row r="219" spans="1:11" s="56" customFormat="1" ht="15.75" customHeight="1">
      <c r="A219" s="44"/>
      <c r="B219" s="45"/>
      <c r="C219" s="46">
        <f>IF(B219&lt;&gt;"",VLOOKUP(B219,'Tipo Projeto'!$A$3:$B$35,2,0),0)</f>
        <v>0</v>
      </c>
      <c r="D219" s="47"/>
      <c r="E219" s="47"/>
      <c r="F219" s="47"/>
      <c r="G219" s="48"/>
      <c r="H219" s="47"/>
      <c r="I219" s="75">
        <f t="shared" si="6"/>
        <v>0</v>
      </c>
      <c r="J219" s="47"/>
      <c r="K219" s="288">
        <f t="shared" si="7"/>
        <v>0</v>
      </c>
    </row>
    <row r="220" spans="1:11" s="56" customFormat="1" ht="15.75" customHeight="1">
      <c r="A220" s="44"/>
      <c r="B220" s="45"/>
      <c r="C220" s="46">
        <f>IF(B220&lt;&gt;"",VLOOKUP(B220,'Tipo Projeto'!$A$3:$B$35,2,0),0)</f>
        <v>0</v>
      </c>
      <c r="D220" s="47"/>
      <c r="E220" s="47"/>
      <c r="F220" s="47"/>
      <c r="G220" s="48"/>
      <c r="H220" s="47"/>
      <c r="I220" s="75">
        <f t="shared" si="6"/>
        <v>0</v>
      </c>
      <c r="J220" s="47"/>
      <c r="K220" s="288">
        <f t="shared" si="7"/>
        <v>0</v>
      </c>
    </row>
    <row r="221" spans="1:11" s="56" customFormat="1" ht="15.75" customHeight="1">
      <c r="A221" s="44"/>
      <c r="B221" s="45"/>
      <c r="C221" s="46">
        <f>IF(B221&lt;&gt;"",VLOOKUP(B221,'Tipo Projeto'!$A$3:$B$35,2,0),0)</f>
        <v>0</v>
      </c>
      <c r="D221" s="47"/>
      <c r="E221" s="47"/>
      <c r="F221" s="47"/>
      <c r="G221" s="48"/>
      <c r="H221" s="47"/>
      <c r="I221" s="75">
        <f t="shared" si="6"/>
        <v>0</v>
      </c>
      <c r="J221" s="47"/>
      <c r="K221" s="288">
        <f t="shared" si="7"/>
        <v>0</v>
      </c>
    </row>
    <row r="222" spans="1:11" s="56" customFormat="1" ht="15.75" customHeight="1">
      <c r="A222" s="44"/>
      <c r="B222" s="45"/>
      <c r="C222" s="46">
        <f>IF(B222&lt;&gt;"",VLOOKUP(B222,'Tipo Projeto'!$A$3:$B$35,2,0),0)</f>
        <v>0</v>
      </c>
      <c r="D222" s="47"/>
      <c r="E222" s="47"/>
      <c r="F222" s="47"/>
      <c r="G222" s="48"/>
      <c r="H222" s="47"/>
      <c r="I222" s="75">
        <f t="shared" si="6"/>
        <v>0</v>
      </c>
      <c r="J222" s="47"/>
      <c r="K222" s="288">
        <f t="shared" si="7"/>
        <v>0</v>
      </c>
    </row>
    <row r="223" spans="1:11" s="56" customFormat="1" ht="15.75" customHeight="1">
      <c r="A223" s="44"/>
      <c r="B223" s="45"/>
      <c r="C223" s="46">
        <f>IF(B223&lt;&gt;"",VLOOKUP(B223,'Tipo Projeto'!$A$3:$B$35,2,0),0)</f>
        <v>0</v>
      </c>
      <c r="D223" s="47"/>
      <c r="E223" s="47"/>
      <c r="F223" s="47"/>
      <c r="G223" s="48"/>
      <c r="H223" s="47"/>
      <c r="I223" s="75">
        <f t="shared" si="6"/>
        <v>0</v>
      </c>
      <c r="J223" s="47"/>
      <c r="K223" s="288">
        <f t="shared" si="7"/>
        <v>0</v>
      </c>
    </row>
    <row r="224" spans="1:11" s="56" customFormat="1" ht="15.75" customHeight="1">
      <c r="A224" s="44"/>
      <c r="B224" s="45"/>
      <c r="C224" s="46">
        <f>IF(B224&lt;&gt;"",VLOOKUP(B224,'Tipo Projeto'!$A$3:$B$35,2,0),0)</f>
        <v>0</v>
      </c>
      <c r="D224" s="47"/>
      <c r="E224" s="47"/>
      <c r="F224" s="47"/>
      <c r="G224" s="48"/>
      <c r="H224" s="47"/>
      <c r="I224" s="75">
        <f t="shared" si="6"/>
        <v>0</v>
      </c>
      <c r="J224" s="47"/>
      <c r="K224" s="288">
        <f t="shared" si="7"/>
        <v>0</v>
      </c>
    </row>
    <row r="225" spans="1:11" s="56" customFormat="1" ht="15.75" customHeight="1">
      <c r="A225" s="44"/>
      <c r="B225" s="45"/>
      <c r="C225" s="46">
        <f>IF(B225&lt;&gt;"",VLOOKUP(B225,'Tipo Projeto'!$A$3:$B$35,2,0),0)</f>
        <v>0</v>
      </c>
      <c r="D225" s="47"/>
      <c r="E225" s="47"/>
      <c r="F225" s="47"/>
      <c r="G225" s="48"/>
      <c r="H225" s="47"/>
      <c r="I225" s="75">
        <f t="shared" si="6"/>
        <v>0</v>
      </c>
      <c r="J225" s="47"/>
      <c r="K225" s="288">
        <f t="shared" si="7"/>
        <v>0</v>
      </c>
    </row>
    <row r="226" spans="1:11" s="56" customFormat="1" ht="15.75" customHeight="1">
      <c r="A226" s="44"/>
      <c r="B226" s="45"/>
      <c r="C226" s="46">
        <f>IF(B226&lt;&gt;"",VLOOKUP(B226,'Tipo Projeto'!$A$3:$B$35,2,0),0)</f>
        <v>0</v>
      </c>
      <c r="D226" s="47"/>
      <c r="E226" s="47"/>
      <c r="F226" s="47"/>
      <c r="G226" s="48"/>
      <c r="H226" s="47"/>
      <c r="I226" s="75">
        <f t="shared" si="6"/>
        <v>0</v>
      </c>
      <c r="J226" s="47"/>
      <c r="K226" s="288">
        <f t="shared" si="7"/>
        <v>0</v>
      </c>
    </row>
    <row r="227" spans="1:11" s="56" customFormat="1" ht="15.75" customHeight="1">
      <c r="A227" s="44"/>
      <c r="B227" s="45"/>
      <c r="C227" s="46">
        <f>IF(B227&lt;&gt;"",VLOOKUP(B227,'Tipo Projeto'!$A$3:$B$35,2,0),0)</f>
        <v>0</v>
      </c>
      <c r="D227" s="47"/>
      <c r="E227" s="47"/>
      <c r="F227" s="47"/>
      <c r="G227" s="48"/>
      <c r="H227" s="47"/>
      <c r="I227" s="75">
        <f t="shared" si="6"/>
        <v>0</v>
      </c>
      <c r="J227" s="47"/>
      <c r="K227" s="288">
        <f t="shared" si="7"/>
        <v>0</v>
      </c>
    </row>
    <row r="228" spans="1:11" s="56" customFormat="1" ht="15.75" customHeight="1">
      <c r="A228" s="44"/>
      <c r="B228" s="45"/>
      <c r="C228" s="46">
        <f>IF(B228&lt;&gt;"",VLOOKUP(B228,'Tipo Projeto'!$A$3:$B$35,2,0),0)</f>
        <v>0</v>
      </c>
      <c r="D228" s="47"/>
      <c r="E228" s="47"/>
      <c r="F228" s="47"/>
      <c r="G228" s="48"/>
      <c r="H228" s="47"/>
      <c r="I228" s="75">
        <f t="shared" si="6"/>
        <v>0</v>
      </c>
      <c r="J228" s="47"/>
      <c r="K228" s="288">
        <f t="shared" si="7"/>
        <v>0</v>
      </c>
    </row>
    <row r="229" spans="1:11" s="56" customFormat="1" ht="15.75" customHeight="1">
      <c r="A229" s="44"/>
      <c r="B229" s="45"/>
      <c r="C229" s="46">
        <f>IF(B229&lt;&gt;"",VLOOKUP(B229,'Tipo Projeto'!$A$3:$B$35,2,0),0)</f>
        <v>0</v>
      </c>
      <c r="D229" s="47"/>
      <c r="E229" s="47"/>
      <c r="F229" s="47"/>
      <c r="G229" s="48"/>
      <c r="H229" s="47"/>
      <c r="I229" s="75">
        <f t="shared" si="6"/>
        <v>0</v>
      </c>
      <c r="J229" s="47"/>
      <c r="K229" s="288">
        <f t="shared" si="7"/>
        <v>0</v>
      </c>
    </row>
    <row r="230" spans="1:11" s="56" customFormat="1" ht="15.75" customHeight="1">
      <c r="A230" s="44"/>
      <c r="B230" s="45"/>
      <c r="C230" s="46">
        <f>IF(B230&lt;&gt;"",VLOOKUP(B230,'Tipo Projeto'!$A$3:$B$35,2,0),0)</f>
        <v>0</v>
      </c>
      <c r="D230" s="47"/>
      <c r="E230" s="47"/>
      <c r="F230" s="47"/>
      <c r="G230" s="48"/>
      <c r="H230" s="47"/>
      <c r="I230" s="75">
        <f t="shared" si="6"/>
        <v>0</v>
      </c>
      <c r="J230" s="47"/>
      <c r="K230" s="288">
        <f t="shared" si="7"/>
        <v>0</v>
      </c>
    </row>
    <row r="231" spans="1:11" s="56" customFormat="1" ht="15.75" customHeight="1">
      <c r="A231" s="44"/>
      <c r="B231" s="45"/>
      <c r="C231" s="46">
        <f>IF(B231&lt;&gt;"",VLOOKUP(B231,'Tipo Projeto'!$A$3:$B$35,2,0),0)</f>
        <v>0</v>
      </c>
      <c r="D231" s="47"/>
      <c r="E231" s="47"/>
      <c r="F231" s="47"/>
      <c r="G231" s="48"/>
      <c r="H231" s="47"/>
      <c r="I231" s="75">
        <f t="shared" si="6"/>
        <v>0</v>
      </c>
      <c r="J231" s="47"/>
      <c r="K231" s="288">
        <f t="shared" si="7"/>
        <v>0</v>
      </c>
    </row>
    <row r="232" spans="1:11" s="56" customFormat="1" ht="15.75" customHeight="1">
      <c r="A232" s="44"/>
      <c r="B232" s="45"/>
      <c r="C232" s="46">
        <f>IF(B232&lt;&gt;"",VLOOKUP(B232,'Tipo Projeto'!$A$3:$B$35,2,0),0)</f>
        <v>0</v>
      </c>
      <c r="D232" s="47"/>
      <c r="E232" s="47"/>
      <c r="F232" s="47"/>
      <c r="G232" s="48"/>
      <c r="H232" s="47"/>
      <c r="I232" s="75">
        <f t="shared" si="6"/>
        <v>0</v>
      </c>
      <c r="J232" s="47"/>
      <c r="K232" s="288">
        <f t="shared" si="7"/>
        <v>0</v>
      </c>
    </row>
    <row r="233" spans="1:11" s="56" customFormat="1" ht="15.75" customHeight="1">
      <c r="A233" s="44"/>
      <c r="B233" s="45"/>
      <c r="C233" s="46">
        <f>IF(B233&lt;&gt;"",VLOOKUP(B233,'Tipo Projeto'!$A$3:$B$35,2,0),0)</f>
        <v>0</v>
      </c>
      <c r="D233" s="47"/>
      <c r="E233" s="47"/>
      <c r="F233" s="47"/>
      <c r="G233" s="48"/>
      <c r="H233" s="47"/>
      <c r="I233" s="75">
        <f t="shared" si="6"/>
        <v>0</v>
      </c>
      <c r="J233" s="47"/>
      <c r="K233" s="288">
        <f t="shared" si="7"/>
        <v>0</v>
      </c>
    </row>
    <row r="234" spans="1:11" s="56" customFormat="1" ht="15.75" customHeight="1">
      <c r="A234" s="44"/>
      <c r="B234" s="45"/>
      <c r="C234" s="46">
        <f>IF(B234&lt;&gt;"",VLOOKUP(B234,'Tipo Projeto'!$A$3:$B$35,2,0),0)</f>
        <v>0</v>
      </c>
      <c r="D234" s="47"/>
      <c r="E234" s="47"/>
      <c r="F234" s="47"/>
      <c r="G234" s="48"/>
      <c r="H234" s="47"/>
      <c r="I234" s="75">
        <f t="shared" si="6"/>
        <v>0</v>
      </c>
      <c r="J234" s="47"/>
      <c r="K234" s="288">
        <f t="shared" si="7"/>
        <v>0</v>
      </c>
    </row>
    <row r="235" spans="1:11" s="56" customFormat="1" ht="15.75" customHeight="1">
      <c r="A235" s="44"/>
      <c r="B235" s="45"/>
      <c r="C235" s="46">
        <f>IF(B235&lt;&gt;"",VLOOKUP(B235,'Tipo Projeto'!$A$3:$B$35,2,0),0)</f>
        <v>0</v>
      </c>
      <c r="D235" s="47"/>
      <c r="E235" s="47"/>
      <c r="F235" s="47"/>
      <c r="G235" s="48"/>
      <c r="H235" s="47"/>
      <c r="I235" s="75">
        <f t="shared" si="6"/>
        <v>0</v>
      </c>
      <c r="J235" s="47"/>
      <c r="K235" s="288">
        <f t="shared" si="7"/>
        <v>0</v>
      </c>
    </row>
    <row r="236" spans="1:11" s="56" customFormat="1" ht="15.75" customHeight="1">
      <c r="A236" s="44"/>
      <c r="B236" s="45"/>
      <c r="C236" s="46">
        <f>IF(B236&lt;&gt;"",VLOOKUP(B236,'Tipo Projeto'!$A$3:$B$35,2,0),0)</f>
        <v>0</v>
      </c>
      <c r="D236" s="47"/>
      <c r="E236" s="47"/>
      <c r="F236" s="47"/>
      <c r="G236" s="48"/>
      <c r="H236" s="47"/>
      <c r="I236" s="75">
        <f t="shared" si="6"/>
        <v>0</v>
      </c>
      <c r="J236" s="47"/>
      <c r="K236" s="288">
        <f t="shared" si="7"/>
        <v>0</v>
      </c>
    </row>
    <row r="237" spans="1:11" s="56" customFormat="1" ht="15.75" customHeight="1">
      <c r="A237" s="44"/>
      <c r="B237" s="45"/>
      <c r="C237" s="46">
        <f>IF(B237&lt;&gt;"",VLOOKUP(B237,'Tipo Projeto'!$A$3:$B$35,2,0),0)</f>
        <v>0</v>
      </c>
      <c r="D237" s="47"/>
      <c r="E237" s="47"/>
      <c r="F237" s="47"/>
      <c r="G237" s="48"/>
      <c r="H237" s="47"/>
      <c r="I237" s="75">
        <f t="shared" si="6"/>
        <v>0</v>
      </c>
      <c r="J237" s="47"/>
      <c r="K237" s="288">
        <f t="shared" si="7"/>
        <v>0</v>
      </c>
    </row>
    <row r="238" spans="1:11" s="56" customFormat="1" ht="15.75" customHeight="1">
      <c r="A238" s="44"/>
      <c r="B238" s="45"/>
      <c r="C238" s="46">
        <f>IF(B238&lt;&gt;"",VLOOKUP(B238,'Tipo Projeto'!$A$3:$B$35,2,0),0)</f>
        <v>0</v>
      </c>
      <c r="D238" s="47"/>
      <c r="E238" s="47"/>
      <c r="F238" s="47"/>
      <c r="G238" s="48"/>
      <c r="H238" s="47"/>
      <c r="I238" s="75">
        <f t="shared" si="6"/>
        <v>0</v>
      </c>
      <c r="J238" s="47"/>
      <c r="K238" s="288">
        <f t="shared" si="7"/>
        <v>0</v>
      </c>
    </row>
    <row r="239" spans="1:11" s="56" customFormat="1" ht="15.75" customHeight="1">
      <c r="A239" s="44"/>
      <c r="B239" s="45"/>
      <c r="C239" s="46">
        <f>IF(B239&lt;&gt;"",VLOOKUP(B239,'Tipo Projeto'!$A$3:$B$35,2,0),0)</f>
        <v>0</v>
      </c>
      <c r="D239" s="47"/>
      <c r="E239" s="47"/>
      <c r="F239" s="47"/>
      <c r="G239" s="48"/>
      <c r="H239" s="47"/>
      <c r="I239" s="75">
        <f t="shared" si="6"/>
        <v>0</v>
      </c>
      <c r="J239" s="47"/>
      <c r="K239" s="288">
        <f t="shared" si="7"/>
        <v>0</v>
      </c>
    </row>
    <row r="240" spans="1:11" s="56" customFormat="1" ht="15.75" customHeight="1">
      <c r="A240" s="44"/>
      <c r="B240" s="45"/>
      <c r="C240" s="46">
        <f>IF(B240&lt;&gt;"",VLOOKUP(B240,'Tipo Projeto'!$A$3:$B$35,2,0),0)</f>
        <v>0</v>
      </c>
      <c r="D240" s="47"/>
      <c r="E240" s="47"/>
      <c r="F240" s="47"/>
      <c r="G240" s="48"/>
      <c r="H240" s="47"/>
      <c r="I240" s="75">
        <f t="shared" si="6"/>
        <v>0</v>
      </c>
      <c r="J240" s="47"/>
      <c r="K240" s="288">
        <f t="shared" si="7"/>
        <v>0</v>
      </c>
    </row>
    <row r="241" spans="1:11" s="56" customFormat="1" ht="15.75" customHeight="1">
      <c r="A241" s="44"/>
      <c r="B241" s="45"/>
      <c r="C241" s="46">
        <f>IF(B241&lt;&gt;"",VLOOKUP(B241,'Tipo Projeto'!$A$3:$B$35,2,0),0)</f>
        <v>0</v>
      </c>
      <c r="D241" s="47"/>
      <c r="E241" s="47"/>
      <c r="F241" s="47"/>
      <c r="G241" s="48"/>
      <c r="H241" s="47"/>
      <c r="I241" s="75">
        <f t="shared" si="6"/>
        <v>0</v>
      </c>
      <c r="J241" s="47"/>
      <c r="K241" s="288">
        <f t="shared" si="7"/>
        <v>0</v>
      </c>
    </row>
    <row r="242" spans="1:11" s="56" customFormat="1" ht="15.75" customHeight="1">
      <c r="A242" s="44"/>
      <c r="B242" s="45"/>
      <c r="C242" s="46">
        <f>IF(B242&lt;&gt;"",VLOOKUP(B242,'Tipo Projeto'!$A$3:$B$35,2,0),0)</f>
        <v>0</v>
      </c>
      <c r="D242" s="47"/>
      <c r="E242" s="47"/>
      <c r="F242" s="47"/>
      <c r="G242" s="48"/>
      <c r="H242" s="47"/>
      <c r="I242" s="75">
        <f t="shared" si="6"/>
        <v>0</v>
      </c>
      <c r="J242" s="47"/>
      <c r="K242" s="288">
        <f t="shared" si="7"/>
        <v>0</v>
      </c>
    </row>
    <row r="243" spans="1:11" s="56" customFormat="1" ht="15.75" customHeight="1">
      <c r="A243" s="44"/>
      <c r="B243" s="45"/>
      <c r="C243" s="46">
        <f>IF(B243&lt;&gt;"",VLOOKUP(B243,'Tipo Projeto'!$A$3:$B$35,2,0),0)</f>
        <v>0</v>
      </c>
      <c r="D243" s="47"/>
      <c r="E243" s="47"/>
      <c r="F243" s="47"/>
      <c r="G243" s="48"/>
      <c r="H243" s="47"/>
      <c r="I243" s="75">
        <f t="shared" si="6"/>
        <v>0</v>
      </c>
      <c r="J243" s="47"/>
      <c r="K243" s="288">
        <f t="shared" si="7"/>
        <v>0</v>
      </c>
    </row>
    <row r="244" spans="1:11" s="56" customFormat="1" ht="15.75" customHeight="1">
      <c r="A244" s="44"/>
      <c r="B244" s="45"/>
      <c r="C244" s="46">
        <f>IF(B244&lt;&gt;"",VLOOKUP(B244,'Tipo Projeto'!$A$3:$B$35,2,0),0)</f>
        <v>0</v>
      </c>
      <c r="D244" s="47"/>
      <c r="E244" s="47"/>
      <c r="F244" s="47"/>
      <c r="G244" s="48"/>
      <c r="H244" s="47"/>
      <c r="I244" s="75">
        <f t="shared" si="6"/>
        <v>0</v>
      </c>
      <c r="J244" s="47"/>
      <c r="K244" s="288">
        <f t="shared" si="7"/>
        <v>0</v>
      </c>
    </row>
    <row r="245" spans="1:11" s="56" customFormat="1" ht="15.75" customHeight="1">
      <c r="A245" s="44"/>
      <c r="B245" s="45"/>
      <c r="C245" s="46">
        <f>IF(B245&lt;&gt;"",VLOOKUP(B245,'Tipo Projeto'!$A$3:$B$35,2,0),0)</f>
        <v>0</v>
      </c>
      <c r="D245" s="47"/>
      <c r="E245" s="47"/>
      <c r="F245" s="47"/>
      <c r="G245" s="48"/>
      <c r="H245" s="47"/>
      <c r="I245" s="75">
        <f t="shared" si="6"/>
        <v>0</v>
      </c>
      <c r="J245" s="47"/>
      <c r="K245" s="288">
        <f t="shared" si="7"/>
        <v>0</v>
      </c>
    </row>
    <row r="246" spans="1:11" s="56" customFormat="1" ht="15.75" customHeight="1">
      <c r="A246" s="44"/>
      <c r="B246" s="45"/>
      <c r="C246" s="46">
        <f>IF(B246&lt;&gt;"",VLOOKUP(B246,'Tipo Projeto'!$A$3:$B$35,2,0),0)</f>
        <v>0</v>
      </c>
      <c r="D246" s="47"/>
      <c r="E246" s="47"/>
      <c r="F246" s="47"/>
      <c r="G246" s="48"/>
      <c r="H246" s="47"/>
      <c r="I246" s="75">
        <f t="shared" si="6"/>
        <v>0</v>
      </c>
      <c r="J246" s="47"/>
      <c r="K246" s="288">
        <f t="shared" si="7"/>
        <v>0</v>
      </c>
    </row>
    <row r="247" spans="1:11" s="56" customFormat="1" ht="15.75" customHeight="1">
      <c r="A247" s="44"/>
      <c r="B247" s="45"/>
      <c r="C247" s="46">
        <f>IF(B247&lt;&gt;"",VLOOKUP(B247,'Tipo Projeto'!$A$3:$B$35,2,0),0)</f>
        <v>0</v>
      </c>
      <c r="D247" s="47"/>
      <c r="E247" s="47"/>
      <c r="F247" s="47"/>
      <c r="G247" s="48"/>
      <c r="H247" s="47"/>
      <c r="I247" s="75">
        <f t="shared" si="6"/>
        <v>0</v>
      </c>
      <c r="J247" s="47"/>
      <c r="K247" s="288">
        <f t="shared" si="7"/>
        <v>0</v>
      </c>
    </row>
    <row r="248" spans="1:11" s="56" customFormat="1" ht="15.75" customHeight="1">
      <c r="A248" s="44"/>
      <c r="B248" s="45"/>
      <c r="C248" s="46">
        <f>IF(B248&lt;&gt;"",VLOOKUP(B248,'Tipo Projeto'!$A$3:$B$35,2,0),0)</f>
        <v>0</v>
      </c>
      <c r="D248" s="47"/>
      <c r="E248" s="47"/>
      <c r="F248" s="47"/>
      <c r="G248" s="48"/>
      <c r="H248" s="47"/>
      <c r="I248" s="75">
        <f t="shared" si="6"/>
        <v>0</v>
      </c>
      <c r="J248" s="47"/>
      <c r="K248" s="288">
        <f t="shared" si="7"/>
        <v>0</v>
      </c>
    </row>
    <row r="249" spans="1:11" s="56" customFormat="1" ht="15.75" customHeight="1">
      <c r="A249" s="44"/>
      <c r="B249" s="45"/>
      <c r="C249" s="46">
        <f>IF(B249&lt;&gt;"",VLOOKUP(B249,'Tipo Projeto'!$A$3:$B$35,2,0),0)</f>
        <v>0</v>
      </c>
      <c r="D249" s="47"/>
      <c r="E249" s="47"/>
      <c r="F249" s="47"/>
      <c r="G249" s="48"/>
      <c r="H249" s="47"/>
      <c r="I249" s="75">
        <f t="shared" si="6"/>
        <v>0</v>
      </c>
      <c r="J249" s="47"/>
      <c r="K249" s="288">
        <f t="shared" si="7"/>
        <v>0</v>
      </c>
    </row>
    <row r="250" spans="1:11" s="56" customFormat="1" ht="15.75" customHeight="1">
      <c r="A250" s="44"/>
      <c r="B250" s="45"/>
      <c r="C250" s="46">
        <f>IF(B250&lt;&gt;"",VLOOKUP(B250,'Tipo Projeto'!$A$3:$B$35,2,0),0)</f>
        <v>0</v>
      </c>
      <c r="D250" s="47"/>
      <c r="E250" s="47"/>
      <c r="F250" s="47"/>
      <c r="G250" s="48"/>
      <c r="H250" s="47"/>
      <c r="I250" s="75">
        <f t="shared" si="6"/>
        <v>0</v>
      </c>
      <c r="J250" s="47"/>
      <c r="K250" s="288">
        <f t="shared" si="7"/>
        <v>0</v>
      </c>
    </row>
    <row r="251" spans="1:11" s="56" customFormat="1" ht="15.75" customHeight="1">
      <c r="A251" s="44"/>
      <c r="B251" s="45"/>
      <c r="C251" s="46">
        <f>IF(B251&lt;&gt;"",VLOOKUP(B251,'Tipo Projeto'!$A$3:$B$35,2,0),0)</f>
        <v>0</v>
      </c>
      <c r="D251" s="47"/>
      <c r="E251" s="47"/>
      <c r="F251" s="47"/>
      <c r="G251" s="48"/>
      <c r="H251" s="47"/>
      <c r="I251" s="75">
        <f t="shared" si="6"/>
        <v>0</v>
      </c>
      <c r="J251" s="47"/>
      <c r="K251" s="288">
        <f t="shared" si="7"/>
        <v>0</v>
      </c>
    </row>
    <row r="252" spans="1:11" s="56" customFormat="1" ht="15.75" customHeight="1">
      <c r="A252" s="44"/>
      <c r="B252" s="45"/>
      <c r="C252" s="46">
        <f>IF(B252&lt;&gt;"",VLOOKUP(B252,'Tipo Projeto'!$A$3:$B$35,2,0),0)</f>
        <v>0</v>
      </c>
      <c r="D252" s="47"/>
      <c r="E252" s="47"/>
      <c r="F252" s="47"/>
      <c r="G252" s="48"/>
      <c r="H252" s="47"/>
      <c r="I252" s="75">
        <f t="shared" si="6"/>
        <v>0</v>
      </c>
      <c r="J252" s="47"/>
      <c r="K252" s="288">
        <f t="shared" si="7"/>
        <v>0</v>
      </c>
    </row>
    <row r="253" spans="1:11" s="56" customFormat="1" ht="15.75" customHeight="1">
      <c r="A253" s="44"/>
      <c r="B253" s="45"/>
      <c r="C253" s="46">
        <f>IF(B253&lt;&gt;"",VLOOKUP(B253,'Tipo Projeto'!$A$3:$B$35,2,0),0)</f>
        <v>0</v>
      </c>
      <c r="D253" s="47"/>
      <c r="E253" s="47"/>
      <c r="F253" s="47"/>
      <c r="G253" s="48"/>
      <c r="H253" s="47"/>
      <c r="I253" s="75">
        <f t="shared" si="6"/>
        <v>0</v>
      </c>
      <c r="J253" s="47"/>
      <c r="K253" s="288">
        <f t="shared" si="7"/>
        <v>0</v>
      </c>
    </row>
    <row r="254" spans="1:11" s="56" customFormat="1" ht="15.75" customHeight="1">
      <c r="A254" s="44"/>
      <c r="B254" s="45"/>
      <c r="C254" s="46">
        <f>IF(B254&lt;&gt;"",VLOOKUP(B254,'Tipo Projeto'!$A$3:$B$35,2,0),0)</f>
        <v>0</v>
      </c>
      <c r="D254" s="47"/>
      <c r="E254" s="47"/>
      <c r="F254" s="47"/>
      <c r="G254" s="48"/>
      <c r="H254" s="47"/>
      <c r="I254" s="75">
        <f t="shared" si="6"/>
        <v>0</v>
      </c>
      <c r="J254" s="47"/>
      <c r="K254" s="288">
        <f t="shared" si="7"/>
        <v>0</v>
      </c>
    </row>
    <row r="255" spans="1:11" s="56" customFormat="1" ht="15.75" customHeight="1">
      <c r="A255" s="44"/>
      <c r="B255" s="45"/>
      <c r="C255" s="46">
        <f>IF(B255&lt;&gt;"",VLOOKUP(B255,'Tipo Projeto'!$A$3:$B$35,2,0),0)</f>
        <v>0</v>
      </c>
      <c r="D255" s="47"/>
      <c r="E255" s="47"/>
      <c r="F255" s="47"/>
      <c r="G255" s="48"/>
      <c r="H255" s="47"/>
      <c r="I255" s="75">
        <f t="shared" si="6"/>
        <v>0</v>
      </c>
      <c r="J255" s="47"/>
      <c r="K255" s="288">
        <f t="shared" si="7"/>
        <v>0</v>
      </c>
    </row>
    <row r="256" spans="1:11" s="56" customFormat="1" ht="15.75" customHeight="1">
      <c r="A256" s="44"/>
      <c r="B256" s="45"/>
      <c r="C256" s="46">
        <f>IF(B256&lt;&gt;"",VLOOKUP(B256,'Tipo Projeto'!$A$3:$B$35,2,0),0)</f>
        <v>0</v>
      </c>
      <c r="D256" s="47"/>
      <c r="E256" s="47"/>
      <c r="F256" s="47"/>
      <c r="G256" s="48"/>
      <c r="H256" s="47"/>
      <c r="I256" s="75">
        <f t="shared" si="6"/>
        <v>0</v>
      </c>
      <c r="J256" s="47"/>
      <c r="K256" s="288">
        <f t="shared" si="7"/>
        <v>0</v>
      </c>
    </row>
    <row r="257" spans="1:11" s="56" customFormat="1" ht="15.75" customHeight="1">
      <c r="A257" s="44"/>
      <c r="B257" s="45"/>
      <c r="C257" s="46">
        <f>IF(B257&lt;&gt;"",VLOOKUP(B257,'Tipo Projeto'!$A$3:$B$35,2,0),0)</f>
        <v>0</v>
      </c>
      <c r="D257" s="47"/>
      <c r="E257" s="47"/>
      <c r="F257" s="47"/>
      <c r="G257" s="48"/>
      <c r="H257" s="47"/>
      <c r="I257" s="75">
        <f t="shared" si="6"/>
        <v>0</v>
      </c>
      <c r="J257" s="47"/>
      <c r="K257" s="288">
        <f t="shared" si="7"/>
        <v>0</v>
      </c>
    </row>
    <row r="258" spans="1:11" s="56" customFormat="1" ht="15.75" customHeight="1">
      <c r="A258" s="44"/>
      <c r="B258" s="45"/>
      <c r="C258" s="46">
        <f>IF(B258&lt;&gt;"",VLOOKUP(B258,'Tipo Projeto'!$A$3:$B$35,2,0),0)</f>
        <v>0</v>
      </c>
      <c r="D258" s="47"/>
      <c r="E258" s="47"/>
      <c r="F258" s="47"/>
      <c r="G258" s="48"/>
      <c r="H258" s="47"/>
      <c r="I258" s="75">
        <f t="shared" si="6"/>
        <v>0</v>
      </c>
      <c r="J258" s="47"/>
      <c r="K258" s="288">
        <f t="shared" si="7"/>
        <v>0</v>
      </c>
    </row>
    <row r="259" spans="1:11" s="56" customFormat="1" ht="15.75" customHeight="1">
      <c r="A259" s="44"/>
      <c r="B259" s="45"/>
      <c r="C259" s="46">
        <f>IF(B259&lt;&gt;"",VLOOKUP(B259,'Tipo Projeto'!$A$3:$B$35,2,0),0)</f>
        <v>0</v>
      </c>
      <c r="D259" s="47"/>
      <c r="E259" s="47"/>
      <c r="F259" s="47"/>
      <c r="G259" s="48"/>
      <c r="H259" s="47"/>
      <c r="I259" s="75">
        <f t="shared" si="6"/>
        <v>0</v>
      </c>
      <c r="J259" s="47"/>
      <c r="K259" s="288">
        <f t="shared" si="7"/>
        <v>0</v>
      </c>
    </row>
    <row r="260" spans="1:11" s="56" customFormat="1" ht="15.75" customHeight="1">
      <c r="A260" s="44"/>
      <c r="B260" s="45"/>
      <c r="C260" s="46">
        <f>IF(B260&lt;&gt;"",VLOOKUP(B260,'Tipo Projeto'!$A$3:$B$35,2,0),0)</f>
        <v>0</v>
      </c>
      <c r="D260" s="47"/>
      <c r="E260" s="47"/>
      <c r="F260" s="47"/>
      <c r="G260" s="48"/>
      <c r="H260" s="47"/>
      <c r="I260" s="75">
        <f t="shared" si="6"/>
        <v>0</v>
      </c>
      <c r="J260" s="47"/>
      <c r="K260" s="288">
        <f t="shared" si="7"/>
        <v>0</v>
      </c>
    </row>
    <row r="261" spans="1:11" s="56" customFormat="1" ht="15.75" customHeight="1">
      <c r="A261" s="44"/>
      <c r="B261" s="45"/>
      <c r="C261" s="46">
        <f>IF(B261&lt;&gt;"",VLOOKUP(B261,'Tipo Projeto'!$A$3:$B$35,2,0),0)</f>
        <v>0</v>
      </c>
      <c r="D261" s="47"/>
      <c r="E261" s="47"/>
      <c r="F261" s="47"/>
      <c r="G261" s="48"/>
      <c r="H261" s="47"/>
      <c r="I261" s="75">
        <f t="shared" si="6"/>
        <v>0</v>
      </c>
      <c r="J261" s="47"/>
      <c r="K261" s="288">
        <f t="shared" si="7"/>
        <v>0</v>
      </c>
    </row>
    <row r="262" spans="1:11" s="56" customFormat="1" ht="15.75" customHeight="1">
      <c r="A262" s="44"/>
      <c r="B262" s="45"/>
      <c r="C262" s="46">
        <f>IF(B262&lt;&gt;"",VLOOKUP(B262,'Tipo Projeto'!$A$3:$B$35,2,0),0)</f>
        <v>0</v>
      </c>
      <c r="D262" s="47"/>
      <c r="E262" s="47"/>
      <c r="F262" s="47"/>
      <c r="G262" s="48"/>
      <c r="H262" s="47"/>
      <c r="I262" s="75">
        <f t="shared" si="6"/>
        <v>0</v>
      </c>
      <c r="J262" s="47"/>
      <c r="K262" s="288">
        <f t="shared" si="7"/>
        <v>0</v>
      </c>
    </row>
    <row r="263" spans="1:11" s="56" customFormat="1" ht="15.75" customHeight="1">
      <c r="A263" s="44"/>
      <c r="B263" s="45"/>
      <c r="C263" s="46">
        <f>IF(B263&lt;&gt;"",VLOOKUP(B263,'Tipo Projeto'!$A$3:$B$35,2,0),0)</f>
        <v>0</v>
      </c>
      <c r="D263" s="47"/>
      <c r="E263" s="47"/>
      <c r="F263" s="47"/>
      <c r="G263" s="48"/>
      <c r="H263" s="47"/>
      <c r="I263" s="75">
        <f t="shared" si="6"/>
        <v>0</v>
      </c>
      <c r="J263" s="47"/>
      <c r="K263" s="288">
        <f t="shared" si="7"/>
        <v>0</v>
      </c>
    </row>
    <row r="264" spans="1:11" s="56" customFormat="1" ht="15.75" customHeight="1">
      <c r="A264" s="44"/>
      <c r="B264" s="45"/>
      <c r="C264" s="46">
        <f>IF(B264&lt;&gt;"",VLOOKUP(B264,'Tipo Projeto'!$A$3:$B$35,2,0),0)</f>
        <v>0</v>
      </c>
      <c r="D264" s="47"/>
      <c r="E264" s="47"/>
      <c r="F264" s="47"/>
      <c r="G264" s="48"/>
      <c r="H264" s="47"/>
      <c r="I264" s="75">
        <f t="shared" si="6"/>
        <v>0</v>
      </c>
      <c r="J264" s="47"/>
      <c r="K264" s="288">
        <f t="shared" si="7"/>
        <v>0</v>
      </c>
    </row>
    <row r="265" spans="1:11" s="56" customFormat="1" ht="15.75" customHeight="1">
      <c r="A265" s="44"/>
      <c r="B265" s="45"/>
      <c r="C265" s="46">
        <f>IF(B265&lt;&gt;"",VLOOKUP(B265,'Tipo Projeto'!$A$3:$B$35,2,0),0)</f>
        <v>0</v>
      </c>
      <c r="D265" s="47"/>
      <c r="E265" s="47"/>
      <c r="F265" s="47"/>
      <c r="G265" s="48"/>
      <c r="H265" s="47"/>
      <c r="I265" s="75">
        <f t="shared" si="6"/>
        <v>0</v>
      </c>
      <c r="J265" s="47"/>
      <c r="K265" s="288">
        <f t="shared" si="7"/>
        <v>0</v>
      </c>
    </row>
    <row r="266" spans="1:11" s="56" customFormat="1" ht="15.75" customHeight="1">
      <c r="A266" s="44"/>
      <c r="B266" s="45"/>
      <c r="C266" s="46">
        <f>IF(B266&lt;&gt;"",VLOOKUP(B266,'Tipo Projeto'!$A$3:$B$35,2,0),0)</f>
        <v>0</v>
      </c>
      <c r="D266" s="47"/>
      <c r="E266" s="47"/>
      <c r="F266" s="47"/>
      <c r="G266" s="48"/>
      <c r="H266" s="47"/>
      <c r="I266" s="75">
        <f t="shared" si="6"/>
        <v>0</v>
      </c>
      <c r="J266" s="47"/>
      <c r="K266" s="288">
        <f t="shared" si="7"/>
        <v>0</v>
      </c>
    </row>
    <row r="267" spans="1:11" s="56" customFormat="1" ht="15.75" customHeight="1">
      <c r="A267" s="44"/>
      <c r="B267" s="45"/>
      <c r="C267" s="46">
        <f>IF(B267&lt;&gt;"",VLOOKUP(B267,'Tipo Projeto'!$A$3:$B$35,2,0),0)</f>
        <v>0</v>
      </c>
      <c r="D267" s="47"/>
      <c r="E267" s="47"/>
      <c r="F267" s="47"/>
      <c r="G267" s="48"/>
      <c r="H267" s="47"/>
      <c r="I267" s="75">
        <f t="shared" ref="I267:I330" si="8">IF(B267&lt;&gt;"Manutenção em interface",IF(B267&lt;&gt;"Desenv., Manutenção e Publicação de Páginas Estáticas",IF(H267="EE",4,IF(H267="CE",4,IF(H267="SE",5,IF(H267="ALI",7,IF(H267="AIE",5,0)))))*C267,C267),C267)</f>
        <v>0</v>
      </c>
      <c r="J267" s="47"/>
      <c r="K267" s="288">
        <f t="shared" si="7"/>
        <v>0</v>
      </c>
    </row>
    <row r="268" spans="1:11" s="56" customFormat="1" ht="15.75" customHeight="1">
      <c r="A268" s="44"/>
      <c r="B268" s="45"/>
      <c r="C268" s="46">
        <f>IF(B268&lt;&gt;"",VLOOKUP(B268,'Tipo Projeto'!$A$3:$B$35,2,0),0)</f>
        <v>0</v>
      </c>
      <c r="D268" s="47"/>
      <c r="E268" s="47"/>
      <c r="F268" s="47"/>
      <c r="G268" s="48"/>
      <c r="H268" s="47"/>
      <c r="I268" s="75">
        <f t="shared" si="8"/>
        <v>0</v>
      </c>
      <c r="J268" s="47"/>
      <c r="K268" s="288">
        <f t="shared" ref="K268:K331" si="9">IF(AND(C268&lt;&gt;0,I268&lt;&gt;0),I268/C268,0)</f>
        <v>0</v>
      </c>
    </row>
    <row r="269" spans="1:11" s="56" customFormat="1" ht="15.75" customHeight="1">
      <c r="A269" s="44"/>
      <c r="B269" s="45"/>
      <c r="C269" s="46">
        <f>IF(B269&lt;&gt;"",VLOOKUP(B269,'Tipo Projeto'!$A$3:$B$35,2,0),0)</f>
        <v>0</v>
      </c>
      <c r="D269" s="47"/>
      <c r="E269" s="47"/>
      <c r="F269" s="47"/>
      <c r="G269" s="48"/>
      <c r="H269" s="47"/>
      <c r="I269" s="75">
        <f t="shared" si="8"/>
        <v>0</v>
      </c>
      <c r="J269" s="47"/>
      <c r="K269" s="288">
        <f t="shared" si="9"/>
        <v>0</v>
      </c>
    </row>
    <row r="270" spans="1:11" s="56" customFormat="1" ht="15.75" customHeight="1">
      <c r="A270" s="44"/>
      <c r="B270" s="45"/>
      <c r="C270" s="46">
        <f>IF(B270&lt;&gt;"",VLOOKUP(B270,'Tipo Projeto'!$A$3:$B$35,2,0),0)</f>
        <v>0</v>
      </c>
      <c r="D270" s="47"/>
      <c r="E270" s="47"/>
      <c r="F270" s="47"/>
      <c r="G270" s="48"/>
      <c r="H270" s="47"/>
      <c r="I270" s="75">
        <f t="shared" si="8"/>
        <v>0</v>
      </c>
      <c r="J270" s="47"/>
      <c r="K270" s="288">
        <f t="shared" si="9"/>
        <v>0</v>
      </c>
    </row>
    <row r="271" spans="1:11" s="56" customFormat="1" ht="15.75" customHeight="1">
      <c r="A271" s="44"/>
      <c r="B271" s="45"/>
      <c r="C271" s="46">
        <f>IF(B271&lt;&gt;"",VLOOKUP(B271,'Tipo Projeto'!$A$3:$B$35,2,0),0)</f>
        <v>0</v>
      </c>
      <c r="D271" s="47"/>
      <c r="E271" s="47"/>
      <c r="F271" s="47"/>
      <c r="G271" s="48"/>
      <c r="H271" s="47"/>
      <c r="I271" s="75">
        <f t="shared" si="8"/>
        <v>0</v>
      </c>
      <c r="J271" s="47"/>
      <c r="K271" s="288">
        <f t="shared" si="9"/>
        <v>0</v>
      </c>
    </row>
    <row r="272" spans="1:11" s="56" customFormat="1" ht="15.75" customHeight="1">
      <c r="A272" s="44"/>
      <c r="B272" s="45"/>
      <c r="C272" s="46">
        <f>IF(B272&lt;&gt;"",VLOOKUP(B272,'Tipo Projeto'!$A$3:$B$35,2,0),0)</f>
        <v>0</v>
      </c>
      <c r="D272" s="47"/>
      <c r="E272" s="47"/>
      <c r="F272" s="47"/>
      <c r="G272" s="48"/>
      <c r="H272" s="47"/>
      <c r="I272" s="75">
        <f t="shared" si="8"/>
        <v>0</v>
      </c>
      <c r="J272" s="47"/>
      <c r="K272" s="288">
        <f t="shared" si="9"/>
        <v>0</v>
      </c>
    </row>
    <row r="273" spans="1:11" s="56" customFormat="1" ht="15.75" customHeight="1">
      <c r="A273" s="44"/>
      <c r="B273" s="45"/>
      <c r="C273" s="46">
        <f>IF(B273&lt;&gt;"",VLOOKUP(B273,'Tipo Projeto'!$A$3:$B$35,2,0),0)</f>
        <v>0</v>
      </c>
      <c r="D273" s="47"/>
      <c r="E273" s="47"/>
      <c r="F273" s="47"/>
      <c r="G273" s="48"/>
      <c r="H273" s="47"/>
      <c r="I273" s="75">
        <f t="shared" si="8"/>
        <v>0</v>
      </c>
      <c r="J273" s="47"/>
      <c r="K273" s="288">
        <f t="shared" si="9"/>
        <v>0</v>
      </c>
    </row>
    <row r="274" spans="1:11" s="56" customFormat="1" ht="15.75" customHeight="1">
      <c r="A274" s="44"/>
      <c r="B274" s="45"/>
      <c r="C274" s="46">
        <f>IF(B274&lt;&gt;"",VLOOKUP(B274,'Tipo Projeto'!$A$3:$B$35,2,0),0)</f>
        <v>0</v>
      </c>
      <c r="D274" s="47"/>
      <c r="E274" s="47"/>
      <c r="F274" s="47"/>
      <c r="G274" s="48"/>
      <c r="H274" s="47"/>
      <c r="I274" s="75">
        <f t="shared" si="8"/>
        <v>0</v>
      </c>
      <c r="J274" s="47"/>
      <c r="K274" s="288">
        <f t="shared" si="9"/>
        <v>0</v>
      </c>
    </row>
    <row r="275" spans="1:11" s="56" customFormat="1" ht="15.75" customHeight="1">
      <c r="A275" s="44"/>
      <c r="B275" s="45"/>
      <c r="C275" s="46">
        <f>IF(B275&lt;&gt;"",VLOOKUP(B275,'Tipo Projeto'!$A$3:$B$35,2,0),0)</f>
        <v>0</v>
      </c>
      <c r="D275" s="47"/>
      <c r="E275" s="47"/>
      <c r="F275" s="47"/>
      <c r="G275" s="48"/>
      <c r="H275" s="47"/>
      <c r="I275" s="75">
        <f t="shared" si="8"/>
        <v>0</v>
      </c>
      <c r="J275" s="47"/>
      <c r="K275" s="288">
        <f t="shared" si="9"/>
        <v>0</v>
      </c>
    </row>
    <row r="276" spans="1:11" s="56" customFormat="1" ht="15.75" customHeight="1">
      <c r="A276" s="44"/>
      <c r="B276" s="45"/>
      <c r="C276" s="46">
        <f>IF(B276&lt;&gt;"",VLOOKUP(B276,'Tipo Projeto'!$A$3:$B$35,2,0),0)</f>
        <v>0</v>
      </c>
      <c r="D276" s="47"/>
      <c r="E276" s="47"/>
      <c r="F276" s="47"/>
      <c r="G276" s="48"/>
      <c r="H276" s="47"/>
      <c r="I276" s="75">
        <f t="shared" si="8"/>
        <v>0</v>
      </c>
      <c r="J276" s="47"/>
      <c r="K276" s="288">
        <f t="shared" si="9"/>
        <v>0</v>
      </c>
    </row>
    <row r="277" spans="1:11" s="56" customFormat="1" ht="15.75" customHeight="1">
      <c r="A277" s="44"/>
      <c r="B277" s="45"/>
      <c r="C277" s="46">
        <f>IF(B277&lt;&gt;"",VLOOKUP(B277,'Tipo Projeto'!$A$3:$B$35,2,0),0)</f>
        <v>0</v>
      </c>
      <c r="D277" s="47"/>
      <c r="E277" s="47"/>
      <c r="F277" s="47"/>
      <c r="G277" s="48"/>
      <c r="H277" s="47"/>
      <c r="I277" s="75">
        <f t="shared" si="8"/>
        <v>0</v>
      </c>
      <c r="J277" s="47"/>
      <c r="K277" s="288">
        <f t="shared" si="9"/>
        <v>0</v>
      </c>
    </row>
    <row r="278" spans="1:11" s="56" customFormat="1" ht="15.75" customHeight="1">
      <c r="A278" s="44"/>
      <c r="B278" s="45"/>
      <c r="C278" s="46">
        <f>IF(B278&lt;&gt;"",VLOOKUP(B278,'Tipo Projeto'!$A$3:$B$35,2,0),0)</f>
        <v>0</v>
      </c>
      <c r="D278" s="47"/>
      <c r="E278" s="47"/>
      <c r="F278" s="47"/>
      <c r="G278" s="48"/>
      <c r="H278" s="47"/>
      <c r="I278" s="75">
        <f t="shared" si="8"/>
        <v>0</v>
      </c>
      <c r="J278" s="47"/>
      <c r="K278" s="288">
        <f t="shared" si="9"/>
        <v>0</v>
      </c>
    </row>
    <row r="279" spans="1:11" s="56" customFormat="1" ht="15.75" customHeight="1">
      <c r="A279" s="44"/>
      <c r="B279" s="45"/>
      <c r="C279" s="46">
        <f>IF(B279&lt;&gt;"",VLOOKUP(B279,'Tipo Projeto'!$A$3:$B$35,2,0),0)</f>
        <v>0</v>
      </c>
      <c r="D279" s="47"/>
      <c r="E279" s="47"/>
      <c r="F279" s="47"/>
      <c r="G279" s="48"/>
      <c r="H279" s="47"/>
      <c r="I279" s="75">
        <f t="shared" si="8"/>
        <v>0</v>
      </c>
      <c r="J279" s="47"/>
      <c r="K279" s="288">
        <f t="shared" si="9"/>
        <v>0</v>
      </c>
    </row>
    <row r="280" spans="1:11" s="56" customFormat="1" ht="15.75" customHeight="1">
      <c r="A280" s="44"/>
      <c r="B280" s="45"/>
      <c r="C280" s="46">
        <f>IF(B280&lt;&gt;"",VLOOKUP(B280,'Tipo Projeto'!$A$3:$B$35,2,0),0)</f>
        <v>0</v>
      </c>
      <c r="D280" s="47"/>
      <c r="E280" s="47"/>
      <c r="F280" s="47"/>
      <c r="G280" s="48"/>
      <c r="H280" s="47"/>
      <c r="I280" s="75">
        <f t="shared" si="8"/>
        <v>0</v>
      </c>
      <c r="J280" s="47"/>
      <c r="K280" s="288">
        <f t="shared" si="9"/>
        <v>0</v>
      </c>
    </row>
    <row r="281" spans="1:11" s="56" customFormat="1" ht="15.75" customHeight="1">
      <c r="A281" s="44"/>
      <c r="B281" s="45"/>
      <c r="C281" s="46">
        <f>IF(B281&lt;&gt;"",VLOOKUP(B281,'Tipo Projeto'!$A$3:$B$35,2,0),0)</f>
        <v>0</v>
      </c>
      <c r="D281" s="47"/>
      <c r="E281" s="47"/>
      <c r="F281" s="47"/>
      <c r="G281" s="48"/>
      <c r="H281" s="47"/>
      <c r="I281" s="75">
        <f t="shared" si="8"/>
        <v>0</v>
      </c>
      <c r="J281" s="47"/>
      <c r="K281" s="288">
        <f t="shared" si="9"/>
        <v>0</v>
      </c>
    </row>
    <row r="282" spans="1:11" s="56" customFormat="1" ht="15.75" customHeight="1">
      <c r="A282" s="44"/>
      <c r="B282" s="45"/>
      <c r="C282" s="46">
        <f>IF(B282&lt;&gt;"",VLOOKUP(B282,'Tipo Projeto'!$A$3:$B$35,2,0),0)</f>
        <v>0</v>
      </c>
      <c r="D282" s="47"/>
      <c r="E282" s="47"/>
      <c r="F282" s="47"/>
      <c r="G282" s="48"/>
      <c r="H282" s="47"/>
      <c r="I282" s="75">
        <f t="shared" si="8"/>
        <v>0</v>
      </c>
      <c r="J282" s="47"/>
      <c r="K282" s="288">
        <f t="shared" si="9"/>
        <v>0</v>
      </c>
    </row>
    <row r="283" spans="1:11" s="56" customFormat="1" ht="15.75" customHeight="1">
      <c r="A283" s="44"/>
      <c r="B283" s="45"/>
      <c r="C283" s="46">
        <f>IF(B283&lt;&gt;"",VLOOKUP(B283,'Tipo Projeto'!$A$3:$B$35,2,0),0)</f>
        <v>0</v>
      </c>
      <c r="D283" s="47"/>
      <c r="E283" s="47"/>
      <c r="F283" s="47"/>
      <c r="G283" s="48"/>
      <c r="H283" s="47"/>
      <c r="I283" s="75">
        <f t="shared" si="8"/>
        <v>0</v>
      </c>
      <c r="J283" s="47"/>
      <c r="K283" s="288">
        <f t="shared" si="9"/>
        <v>0</v>
      </c>
    </row>
    <row r="284" spans="1:11" s="56" customFormat="1" ht="15.75" customHeight="1">
      <c r="A284" s="44"/>
      <c r="B284" s="45"/>
      <c r="C284" s="46">
        <f>IF(B284&lt;&gt;"",VLOOKUP(B284,'Tipo Projeto'!$A$3:$B$35,2,0),0)</f>
        <v>0</v>
      </c>
      <c r="D284" s="47"/>
      <c r="E284" s="47"/>
      <c r="F284" s="47"/>
      <c r="G284" s="48"/>
      <c r="H284" s="47"/>
      <c r="I284" s="75">
        <f t="shared" si="8"/>
        <v>0</v>
      </c>
      <c r="J284" s="47"/>
      <c r="K284" s="288">
        <f t="shared" si="9"/>
        <v>0</v>
      </c>
    </row>
    <row r="285" spans="1:11" s="56" customFormat="1" ht="15.75" customHeight="1">
      <c r="A285" s="44"/>
      <c r="B285" s="45"/>
      <c r="C285" s="46">
        <f>IF(B285&lt;&gt;"",VLOOKUP(B285,'Tipo Projeto'!$A$3:$B$35,2,0),0)</f>
        <v>0</v>
      </c>
      <c r="D285" s="47"/>
      <c r="E285" s="47"/>
      <c r="F285" s="47"/>
      <c r="G285" s="48"/>
      <c r="H285" s="47"/>
      <c r="I285" s="75">
        <f t="shared" si="8"/>
        <v>0</v>
      </c>
      <c r="J285" s="47"/>
      <c r="K285" s="288">
        <f t="shared" si="9"/>
        <v>0</v>
      </c>
    </row>
    <row r="286" spans="1:11" s="56" customFormat="1" ht="15.75" customHeight="1">
      <c r="A286" s="44"/>
      <c r="B286" s="45"/>
      <c r="C286" s="46">
        <f>IF(B286&lt;&gt;"",VLOOKUP(B286,'Tipo Projeto'!$A$3:$B$35,2,0),0)</f>
        <v>0</v>
      </c>
      <c r="D286" s="47"/>
      <c r="E286" s="47"/>
      <c r="F286" s="47"/>
      <c r="G286" s="48"/>
      <c r="H286" s="47"/>
      <c r="I286" s="75">
        <f t="shared" si="8"/>
        <v>0</v>
      </c>
      <c r="J286" s="47"/>
      <c r="K286" s="288">
        <f t="shared" si="9"/>
        <v>0</v>
      </c>
    </row>
    <row r="287" spans="1:11" s="56" customFormat="1" ht="15.75" customHeight="1">
      <c r="A287" s="44"/>
      <c r="B287" s="45"/>
      <c r="C287" s="46">
        <f>IF(B287&lt;&gt;"",VLOOKUP(B287,'Tipo Projeto'!$A$3:$B$35,2,0),0)</f>
        <v>0</v>
      </c>
      <c r="D287" s="47"/>
      <c r="E287" s="47"/>
      <c r="F287" s="47"/>
      <c r="G287" s="48"/>
      <c r="H287" s="47"/>
      <c r="I287" s="75">
        <f t="shared" si="8"/>
        <v>0</v>
      </c>
      <c r="J287" s="47"/>
      <c r="K287" s="288">
        <f t="shared" si="9"/>
        <v>0</v>
      </c>
    </row>
    <row r="288" spans="1:11" s="56" customFormat="1" ht="15.75" customHeight="1">
      <c r="A288" s="44"/>
      <c r="B288" s="45"/>
      <c r="C288" s="46">
        <f>IF(B288&lt;&gt;"",VLOOKUP(B288,'Tipo Projeto'!$A$3:$B$35,2,0),0)</f>
        <v>0</v>
      </c>
      <c r="D288" s="47"/>
      <c r="E288" s="47"/>
      <c r="F288" s="47"/>
      <c r="G288" s="48"/>
      <c r="H288" s="47"/>
      <c r="I288" s="75">
        <f t="shared" si="8"/>
        <v>0</v>
      </c>
      <c r="J288" s="47"/>
      <c r="K288" s="288">
        <f t="shared" si="9"/>
        <v>0</v>
      </c>
    </row>
    <row r="289" spans="1:11" s="56" customFormat="1" ht="15.75" customHeight="1">
      <c r="A289" s="44"/>
      <c r="B289" s="45"/>
      <c r="C289" s="46">
        <f>IF(B289&lt;&gt;"",VLOOKUP(B289,'Tipo Projeto'!$A$3:$B$35,2,0),0)</f>
        <v>0</v>
      </c>
      <c r="D289" s="47"/>
      <c r="E289" s="47"/>
      <c r="F289" s="47"/>
      <c r="G289" s="48"/>
      <c r="H289" s="47"/>
      <c r="I289" s="75">
        <f t="shared" si="8"/>
        <v>0</v>
      </c>
      <c r="J289" s="47"/>
      <c r="K289" s="288">
        <f t="shared" si="9"/>
        <v>0</v>
      </c>
    </row>
    <row r="290" spans="1:11" s="56" customFormat="1" ht="15.75" customHeight="1">
      <c r="A290" s="44"/>
      <c r="B290" s="45"/>
      <c r="C290" s="46">
        <f>IF(B290&lt;&gt;"",VLOOKUP(B290,'Tipo Projeto'!$A$3:$B$35,2,0),0)</f>
        <v>0</v>
      </c>
      <c r="D290" s="47"/>
      <c r="E290" s="47"/>
      <c r="F290" s="47"/>
      <c r="G290" s="48"/>
      <c r="H290" s="47"/>
      <c r="I290" s="75">
        <f t="shared" si="8"/>
        <v>0</v>
      </c>
      <c r="J290" s="47"/>
      <c r="K290" s="288">
        <f t="shared" si="9"/>
        <v>0</v>
      </c>
    </row>
    <row r="291" spans="1:11" s="56" customFormat="1" ht="15.75" customHeight="1">
      <c r="A291" s="44"/>
      <c r="B291" s="45"/>
      <c r="C291" s="46">
        <f>IF(B291&lt;&gt;"",VLOOKUP(B291,'Tipo Projeto'!$A$3:$B$35,2,0),0)</f>
        <v>0</v>
      </c>
      <c r="D291" s="47"/>
      <c r="E291" s="47"/>
      <c r="F291" s="47"/>
      <c r="G291" s="48"/>
      <c r="H291" s="47"/>
      <c r="I291" s="75">
        <f t="shared" si="8"/>
        <v>0</v>
      </c>
      <c r="J291" s="47"/>
      <c r="K291" s="288">
        <f t="shared" si="9"/>
        <v>0</v>
      </c>
    </row>
    <row r="292" spans="1:11" s="56" customFormat="1" ht="15.75" customHeight="1">
      <c r="A292" s="44"/>
      <c r="B292" s="45"/>
      <c r="C292" s="46">
        <f>IF(B292&lt;&gt;"",VLOOKUP(B292,'Tipo Projeto'!$A$3:$B$35,2,0),0)</f>
        <v>0</v>
      </c>
      <c r="D292" s="47"/>
      <c r="E292" s="47"/>
      <c r="F292" s="47"/>
      <c r="G292" s="48"/>
      <c r="H292" s="47"/>
      <c r="I292" s="75">
        <f t="shared" si="8"/>
        <v>0</v>
      </c>
      <c r="J292" s="47"/>
      <c r="K292" s="288">
        <f t="shared" si="9"/>
        <v>0</v>
      </c>
    </row>
    <row r="293" spans="1:11" s="56" customFormat="1" ht="15.75" customHeight="1">
      <c r="A293" s="44"/>
      <c r="B293" s="45"/>
      <c r="C293" s="46">
        <f>IF(B293&lt;&gt;"",VLOOKUP(B293,'Tipo Projeto'!$A$3:$B$35,2,0),0)</f>
        <v>0</v>
      </c>
      <c r="D293" s="47"/>
      <c r="E293" s="47"/>
      <c r="F293" s="47"/>
      <c r="G293" s="48"/>
      <c r="H293" s="47"/>
      <c r="I293" s="75">
        <f t="shared" si="8"/>
        <v>0</v>
      </c>
      <c r="J293" s="47"/>
      <c r="K293" s="288">
        <f t="shared" si="9"/>
        <v>0</v>
      </c>
    </row>
    <row r="294" spans="1:11" s="56" customFormat="1" ht="15.75" customHeight="1">
      <c r="A294" s="44"/>
      <c r="B294" s="45"/>
      <c r="C294" s="46">
        <f>IF(B294&lt;&gt;"",VLOOKUP(B294,'Tipo Projeto'!$A$3:$B$35,2,0),0)</f>
        <v>0</v>
      </c>
      <c r="D294" s="47"/>
      <c r="E294" s="47"/>
      <c r="F294" s="47"/>
      <c r="G294" s="48"/>
      <c r="H294" s="47"/>
      <c r="I294" s="75">
        <f t="shared" si="8"/>
        <v>0</v>
      </c>
      <c r="J294" s="47"/>
      <c r="K294" s="288">
        <f t="shared" si="9"/>
        <v>0</v>
      </c>
    </row>
    <row r="295" spans="1:11" s="56" customFormat="1" ht="15.75" customHeight="1">
      <c r="A295" s="44"/>
      <c r="B295" s="45"/>
      <c r="C295" s="46">
        <f>IF(B295&lt;&gt;"",VLOOKUP(B295,'Tipo Projeto'!$A$3:$B$35,2,0),0)</f>
        <v>0</v>
      </c>
      <c r="D295" s="47"/>
      <c r="E295" s="47"/>
      <c r="F295" s="47"/>
      <c r="G295" s="48"/>
      <c r="H295" s="47"/>
      <c r="I295" s="75">
        <f t="shared" si="8"/>
        <v>0</v>
      </c>
      <c r="J295" s="47"/>
      <c r="K295" s="288">
        <f t="shared" si="9"/>
        <v>0</v>
      </c>
    </row>
    <row r="296" spans="1:11" s="56" customFormat="1" ht="15.75" customHeight="1">
      <c r="A296" s="44"/>
      <c r="B296" s="45"/>
      <c r="C296" s="46">
        <f>IF(B296&lt;&gt;"",VLOOKUP(B296,'Tipo Projeto'!$A$3:$B$35,2,0),0)</f>
        <v>0</v>
      </c>
      <c r="D296" s="47"/>
      <c r="E296" s="47"/>
      <c r="F296" s="47"/>
      <c r="G296" s="48"/>
      <c r="H296" s="47"/>
      <c r="I296" s="75">
        <f t="shared" si="8"/>
        <v>0</v>
      </c>
      <c r="J296" s="47"/>
      <c r="K296" s="288">
        <f t="shared" si="9"/>
        <v>0</v>
      </c>
    </row>
    <row r="297" spans="1:11" s="56" customFormat="1" ht="15.75" customHeight="1">
      <c r="A297" s="44"/>
      <c r="B297" s="45"/>
      <c r="C297" s="46">
        <f>IF(B297&lt;&gt;"",VLOOKUP(B297,'Tipo Projeto'!$A$3:$B$35,2,0),0)</f>
        <v>0</v>
      </c>
      <c r="D297" s="47"/>
      <c r="E297" s="47"/>
      <c r="F297" s="47"/>
      <c r="G297" s="48"/>
      <c r="H297" s="47"/>
      <c r="I297" s="75">
        <f t="shared" si="8"/>
        <v>0</v>
      </c>
      <c r="J297" s="47"/>
      <c r="K297" s="288">
        <f t="shared" si="9"/>
        <v>0</v>
      </c>
    </row>
    <row r="298" spans="1:11" s="56" customFormat="1" ht="15.75" customHeight="1">
      <c r="A298" s="44"/>
      <c r="B298" s="45"/>
      <c r="C298" s="46">
        <f>IF(B298&lt;&gt;"",VLOOKUP(B298,'Tipo Projeto'!$A$3:$B$35,2,0),0)</f>
        <v>0</v>
      </c>
      <c r="D298" s="47"/>
      <c r="E298" s="47"/>
      <c r="F298" s="47"/>
      <c r="G298" s="48"/>
      <c r="H298" s="47"/>
      <c r="I298" s="75">
        <f t="shared" si="8"/>
        <v>0</v>
      </c>
      <c r="J298" s="47"/>
      <c r="K298" s="288">
        <f t="shared" si="9"/>
        <v>0</v>
      </c>
    </row>
    <row r="299" spans="1:11" s="56" customFormat="1" ht="15.75" customHeight="1">
      <c r="A299" s="44"/>
      <c r="B299" s="45"/>
      <c r="C299" s="46">
        <f>IF(B299&lt;&gt;"",VLOOKUP(B299,'Tipo Projeto'!$A$3:$B$35,2,0),0)</f>
        <v>0</v>
      </c>
      <c r="D299" s="47"/>
      <c r="E299" s="47"/>
      <c r="F299" s="47"/>
      <c r="G299" s="48"/>
      <c r="H299" s="47"/>
      <c r="I299" s="75">
        <f t="shared" si="8"/>
        <v>0</v>
      </c>
      <c r="J299" s="47"/>
      <c r="K299" s="288">
        <f t="shared" si="9"/>
        <v>0</v>
      </c>
    </row>
    <row r="300" spans="1:11" s="56" customFormat="1" ht="15.75" customHeight="1">
      <c r="A300" s="44"/>
      <c r="B300" s="45"/>
      <c r="C300" s="46">
        <f>IF(B300&lt;&gt;"",VLOOKUP(B300,'Tipo Projeto'!$A$3:$B$35,2,0),0)</f>
        <v>0</v>
      </c>
      <c r="D300" s="47"/>
      <c r="E300" s="47"/>
      <c r="F300" s="47"/>
      <c r="G300" s="48"/>
      <c r="H300" s="47"/>
      <c r="I300" s="75">
        <f t="shared" si="8"/>
        <v>0</v>
      </c>
      <c r="J300" s="47"/>
      <c r="K300" s="288">
        <f t="shared" si="9"/>
        <v>0</v>
      </c>
    </row>
    <row r="301" spans="1:11" s="56" customFormat="1" ht="15.75" customHeight="1">
      <c r="A301" s="44"/>
      <c r="B301" s="45"/>
      <c r="C301" s="46">
        <f>IF(B301&lt;&gt;"",VLOOKUP(B301,'Tipo Projeto'!$A$3:$B$35,2,0),0)</f>
        <v>0</v>
      </c>
      <c r="D301" s="47"/>
      <c r="E301" s="47"/>
      <c r="F301" s="47"/>
      <c r="G301" s="48"/>
      <c r="H301" s="47"/>
      <c r="I301" s="75">
        <f t="shared" si="8"/>
        <v>0</v>
      </c>
      <c r="J301" s="47"/>
      <c r="K301" s="288">
        <f t="shared" si="9"/>
        <v>0</v>
      </c>
    </row>
    <row r="302" spans="1:11" s="56" customFormat="1" ht="15.75" customHeight="1">
      <c r="A302" s="44"/>
      <c r="B302" s="45"/>
      <c r="C302" s="46">
        <f>IF(B302&lt;&gt;"",VLOOKUP(B302,'Tipo Projeto'!$A$3:$B$35,2,0),0)</f>
        <v>0</v>
      </c>
      <c r="D302" s="47"/>
      <c r="E302" s="47"/>
      <c r="F302" s="47"/>
      <c r="G302" s="48"/>
      <c r="H302" s="47"/>
      <c r="I302" s="75">
        <f t="shared" si="8"/>
        <v>0</v>
      </c>
      <c r="J302" s="47"/>
      <c r="K302" s="288">
        <f t="shared" si="9"/>
        <v>0</v>
      </c>
    </row>
    <row r="303" spans="1:11" s="56" customFormat="1" ht="15.75" customHeight="1">
      <c r="A303" s="44"/>
      <c r="B303" s="45"/>
      <c r="C303" s="46">
        <f>IF(B303&lt;&gt;"",VLOOKUP(B303,'Tipo Projeto'!$A$3:$B$35,2,0),0)</f>
        <v>0</v>
      </c>
      <c r="D303" s="47"/>
      <c r="E303" s="47"/>
      <c r="F303" s="47"/>
      <c r="G303" s="48"/>
      <c r="H303" s="47"/>
      <c r="I303" s="75">
        <f t="shared" si="8"/>
        <v>0</v>
      </c>
      <c r="J303" s="47"/>
      <c r="K303" s="288">
        <f t="shared" si="9"/>
        <v>0</v>
      </c>
    </row>
    <row r="304" spans="1:11" s="56" customFormat="1" ht="15.75" customHeight="1">
      <c r="A304" s="44"/>
      <c r="B304" s="45"/>
      <c r="C304" s="46">
        <f>IF(B304&lt;&gt;"",VLOOKUP(B304,'Tipo Projeto'!$A$3:$B$35,2,0),0)</f>
        <v>0</v>
      </c>
      <c r="D304" s="47"/>
      <c r="E304" s="47"/>
      <c r="F304" s="47"/>
      <c r="G304" s="48"/>
      <c r="H304" s="47"/>
      <c r="I304" s="75">
        <f t="shared" si="8"/>
        <v>0</v>
      </c>
      <c r="J304" s="47"/>
      <c r="K304" s="288">
        <f t="shared" si="9"/>
        <v>0</v>
      </c>
    </row>
    <row r="305" spans="1:11" s="56" customFormat="1" ht="15.75" customHeight="1">
      <c r="A305" s="44"/>
      <c r="B305" s="45"/>
      <c r="C305" s="46">
        <f>IF(B305&lt;&gt;"",VLOOKUP(B305,'Tipo Projeto'!$A$3:$B$35,2,0),0)</f>
        <v>0</v>
      </c>
      <c r="D305" s="47"/>
      <c r="E305" s="47"/>
      <c r="F305" s="47"/>
      <c r="G305" s="48"/>
      <c r="H305" s="47"/>
      <c r="I305" s="75">
        <f t="shared" si="8"/>
        <v>0</v>
      </c>
      <c r="J305" s="47"/>
      <c r="K305" s="288">
        <f t="shared" si="9"/>
        <v>0</v>
      </c>
    </row>
    <row r="306" spans="1:11" s="56" customFormat="1" ht="15.75" customHeight="1">
      <c r="A306" s="44"/>
      <c r="B306" s="45"/>
      <c r="C306" s="46">
        <f>IF(B306&lt;&gt;"",VLOOKUP(B306,'Tipo Projeto'!$A$3:$B$35,2,0),0)</f>
        <v>0</v>
      </c>
      <c r="D306" s="47"/>
      <c r="E306" s="47"/>
      <c r="F306" s="47"/>
      <c r="G306" s="48"/>
      <c r="H306" s="47"/>
      <c r="I306" s="75">
        <f t="shared" si="8"/>
        <v>0</v>
      </c>
      <c r="J306" s="47"/>
      <c r="K306" s="288">
        <f t="shared" si="9"/>
        <v>0</v>
      </c>
    </row>
    <row r="307" spans="1:11" s="56" customFormat="1" ht="15.75" customHeight="1">
      <c r="A307" s="44"/>
      <c r="B307" s="45"/>
      <c r="C307" s="46">
        <f>IF(B307&lt;&gt;"",VLOOKUP(B307,'Tipo Projeto'!$A$3:$B$35,2,0),0)</f>
        <v>0</v>
      </c>
      <c r="D307" s="47"/>
      <c r="E307" s="47"/>
      <c r="F307" s="47"/>
      <c r="G307" s="48"/>
      <c r="H307" s="47"/>
      <c r="I307" s="75">
        <f t="shared" si="8"/>
        <v>0</v>
      </c>
      <c r="J307" s="47"/>
      <c r="K307" s="288">
        <f t="shared" si="9"/>
        <v>0</v>
      </c>
    </row>
    <row r="308" spans="1:11" s="56" customFormat="1" ht="15.75" customHeight="1">
      <c r="A308" s="44"/>
      <c r="B308" s="45"/>
      <c r="C308" s="46">
        <f>IF(B308&lt;&gt;"",VLOOKUP(B308,'Tipo Projeto'!$A$3:$B$35,2,0),0)</f>
        <v>0</v>
      </c>
      <c r="D308" s="47"/>
      <c r="E308" s="47"/>
      <c r="F308" s="47"/>
      <c r="G308" s="48"/>
      <c r="H308" s="47"/>
      <c r="I308" s="75">
        <f t="shared" si="8"/>
        <v>0</v>
      </c>
      <c r="J308" s="47"/>
      <c r="K308" s="288">
        <f t="shared" si="9"/>
        <v>0</v>
      </c>
    </row>
    <row r="309" spans="1:11" s="56" customFormat="1" ht="15.75" customHeight="1">
      <c r="A309" s="44"/>
      <c r="B309" s="45"/>
      <c r="C309" s="46">
        <f>IF(B309&lt;&gt;"",VLOOKUP(B309,'Tipo Projeto'!$A$3:$B$35,2,0),0)</f>
        <v>0</v>
      </c>
      <c r="D309" s="47"/>
      <c r="E309" s="47"/>
      <c r="F309" s="47"/>
      <c r="G309" s="48"/>
      <c r="H309" s="47"/>
      <c r="I309" s="75">
        <f t="shared" si="8"/>
        <v>0</v>
      </c>
      <c r="J309" s="47"/>
      <c r="K309" s="288">
        <f t="shared" si="9"/>
        <v>0</v>
      </c>
    </row>
    <row r="310" spans="1:11" s="56" customFormat="1" ht="15.75" customHeight="1">
      <c r="A310" s="44"/>
      <c r="B310" s="45"/>
      <c r="C310" s="46">
        <f>IF(B310&lt;&gt;"",VLOOKUP(B310,'Tipo Projeto'!$A$3:$B$35,2,0),0)</f>
        <v>0</v>
      </c>
      <c r="D310" s="47"/>
      <c r="E310" s="47"/>
      <c r="F310" s="47"/>
      <c r="G310" s="48"/>
      <c r="H310" s="47"/>
      <c r="I310" s="75">
        <f t="shared" si="8"/>
        <v>0</v>
      </c>
      <c r="J310" s="47"/>
      <c r="K310" s="288">
        <f t="shared" si="9"/>
        <v>0</v>
      </c>
    </row>
    <row r="311" spans="1:11" s="56" customFormat="1" ht="15.75" customHeight="1">
      <c r="A311" s="44"/>
      <c r="B311" s="45"/>
      <c r="C311" s="46">
        <f>IF(B311&lt;&gt;"",VLOOKUP(B311,'Tipo Projeto'!$A$3:$B$35,2,0),0)</f>
        <v>0</v>
      </c>
      <c r="D311" s="47"/>
      <c r="E311" s="47"/>
      <c r="F311" s="47"/>
      <c r="G311" s="48"/>
      <c r="H311" s="47"/>
      <c r="I311" s="75">
        <f t="shared" si="8"/>
        <v>0</v>
      </c>
      <c r="J311" s="47"/>
      <c r="K311" s="288">
        <f t="shared" si="9"/>
        <v>0</v>
      </c>
    </row>
    <row r="312" spans="1:11" s="56" customFormat="1" ht="15.75" customHeight="1">
      <c r="A312" s="44"/>
      <c r="B312" s="45"/>
      <c r="C312" s="46">
        <f>IF(B312&lt;&gt;"",VLOOKUP(B312,'Tipo Projeto'!$A$3:$B$35,2,0),0)</f>
        <v>0</v>
      </c>
      <c r="D312" s="47"/>
      <c r="E312" s="47"/>
      <c r="F312" s="47"/>
      <c r="G312" s="48"/>
      <c r="H312" s="47"/>
      <c r="I312" s="75">
        <f t="shared" si="8"/>
        <v>0</v>
      </c>
      <c r="J312" s="47"/>
      <c r="K312" s="288">
        <f t="shared" si="9"/>
        <v>0</v>
      </c>
    </row>
    <row r="313" spans="1:11" s="56" customFormat="1" ht="15.75" customHeight="1">
      <c r="A313" s="44"/>
      <c r="B313" s="45"/>
      <c r="C313" s="46">
        <f>IF(B313&lt;&gt;"",VLOOKUP(B313,'Tipo Projeto'!$A$3:$B$35,2,0),0)</f>
        <v>0</v>
      </c>
      <c r="D313" s="47"/>
      <c r="E313" s="47"/>
      <c r="F313" s="47"/>
      <c r="G313" s="48"/>
      <c r="H313" s="47"/>
      <c r="I313" s="75">
        <f t="shared" si="8"/>
        <v>0</v>
      </c>
      <c r="J313" s="47"/>
      <c r="K313" s="288">
        <f t="shared" si="9"/>
        <v>0</v>
      </c>
    </row>
    <row r="314" spans="1:11" s="56" customFormat="1" ht="15.75" customHeight="1">
      <c r="A314" s="44"/>
      <c r="B314" s="45"/>
      <c r="C314" s="46">
        <f>IF(B314&lt;&gt;"",VLOOKUP(B314,'Tipo Projeto'!$A$3:$B$35,2,0),0)</f>
        <v>0</v>
      </c>
      <c r="D314" s="47"/>
      <c r="E314" s="47"/>
      <c r="F314" s="47"/>
      <c r="G314" s="48"/>
      <c r="H314" s="47"/>
      <c r="I314" s="75">
        <f t="shared" si="8"/>
        <v>0</v>
      </c>
      <c r="J314" s="47"/>
      <c r="K314" s="288">
        <f t="shared" si="9"/>
        <v>0</v>
      </c>
    </row>
    <row r="315" spans="1:11" s="56" customFormat="1" ht="15.75" customHeight="1">
      <c r="A315" s="44"/>
      <c r="B315" s="45"/>
      <c r="C315" s="46">
        <f>IF(B315&lt;&gt;"",VLOOKUP(B315,'Tipo Projeto'!$A$3:$B$35,2,0),0)</f>
        <v>0</v>
      </c>
      <c r="D315" s="47"/>
      <c r="E315" s="47"/>
      <c r="F315" s="47"/>
      <c r="G315" s="48"/>
      <c r="H315" s="47"/>
      <c r="I315" s="75">
        <f t="shared" si="8"/>
        <v>0</v>
      </c>
      <c r="J315" s="47"/>
      <c r="K315" s="288">
        <f t="shared" si="9"/>
        <v>0</v>
      </c>
    </row>
    <row r="316" spans="1:11" s="56" customFormat="1" ht="15.75" customHeight="1">
      <c r="A316" s="44"/>
      <c r="B316" s="45"/>
      <c r="C316" s="46">
        <f>IF(B316&lt;&gt;"",VLOOKUP(B316,'Tipo Projeto'!$A$3:$B$35,2,0),0)</f>
        <v>0</v>
      </c>
      <c r="D316" s="47"/>
      <c r="E316" s="47"/>
      <c r="F316" s="47"/>
      <c r="G316" s="48"/>
      <c r="H316" s="47"/>
      <c r="I316" s="75">
        <f t="shared" si="8"/>
        <v>0</v>
      </c>
      <c r="J316" s="47"/>
      <c r="K316" s="288">
        <f t="shared" si="9"/>
        <v>0</v>
      </c>
    </row>
    <row r="317" spans="1:11" s="56" customFormat="1" ht="15.75" customHeight="1">
      <c r="A317" s="44"/>
      <c r="B317" s="45"/>
      <c r="C317" s="46">
        <f>IF(B317&lt;&gt;"",VLOOKUP(B317,'Tipo Projeto'!$A$3:$B$35,2,0),0)</f>
        <v>0</v>
      </c>
      <c r="D317" s="47"/>
      <c r="E317" s="47"/>
      <c r="F317" s="47"/>
      <c r="G317" s="48"/>
      <c r="H317" s="47"/>
      <c r="I317" s="75">
        <f t="shared" si="8"/>
        <v>0</v>
      </c>
      <c r="J317" s="47"/>
      <c r="K317" s="288">
        <f t="shared" si="9"/>
        <v>0</v>
      </c>
    </row>
    <row r="318" spans="1:11" s="56" customFormat="1" ht="15.75" customHeight="1">
      <c r="A318" s="44"/>
      <c r="B318" s="45"/>
      <c r="C318" s="46">
        <f>IF(B318&lt;&gt;"",VLOOKUP(B318,'Tipo Projeto'!$A$3:$B$35,2,0),0)</f>
        <v>0</v>
      </c>
      <c r="D318" s="47"/>
      <c r="E318" s="47"/>
      <c r="F318" s="47"/>
      <c r="G318" s="48"/>
      <c r="H318" s="47"/>
      <c r="I318" s="75">
        <f t="shared" si="8"/>
        <v>0</v>
      </c>
      <c r="J318" s="47"/>
      <c r="K318" s="288">
        <f t="shared" si="9"/>
        <v>0</v>
      </c>
    </row>
    <row r="319" spans="1:11" s="56" customFormat="1" ht="15.75" customHeight="1">
      <c r="A319" s="44"/>
      <c r="B319" s="45"/>
      <c r="C319" s="46">
        <f>IF(B319&lt;&gt;"",VLOOKUP(B319,'Tipo Projeto'!$A$3:$B$35,2,0),0)</f>
        <v>0</v>
      </c>
      <c r="D319" s="47"/>
      <c r="E319" s="47"/>
      <c r="F319" s="47"/>
      <c r="G319" s="48"/>
      <c r="H319" s="47"/>
      <c r="I319" s="75">
        <f t="shared" si="8"/>
        <v>0</v>
      </c>
      <c r="J319" s="47"/>
      <c r="K319" s="288">
        <f t="shared" si="9"/>
        <v>0</v>
      </c>
    </row>
    <row r="320" spans="1:11" s="56" customFormat="1" ht="15.75" customHeight="1">
      <c r="A320" s="44"/>
      <c r="B320" s="45"/>
      <c r="C320" s="46">
        <f>IF(B320&lt;&gt;"",VLOOKUP(B320,'Tipo Projeto'!$A$3:$B$35,2,0),0)</f>
        <v>0</v>
      </c>
      <c r="D320" s="47"/>
      <c r="E320" s="47"/>
      <c r="F320" s="47"/>
      <c r="G320" s="48"/>
      <c r="H320" s="47"/>
      <c r="I320" s="75">
        <f t="shared" si="8"/>
        <v>0</v>
      </c>
      <c r="J320" s="47"/>
      <c r="K320" s="288">
        <f t="shared" si="9"/>
        <v>0</v>
      </c>
    </row>
    <row r="321" spans="1:11" s="56" customFormat="1" ht="15.75" customHeight="1">
      <c r="A321" s="44"/>
      <c r="B321" s="45"/>
      <c r="C321" s="46">
        <f>IF(B321&lt;&gt;"",VLOOKUP(B321,'Tipo Projeto'!$A$3:$B$35,2,0),0)</f>
        <v>0</v>
      </c>
      <c r="D321" s="47"/>
      <c r="E321" s="47"/>
      <c r="F321" s="47"/>
      <c r="G321" s="48"/>
      <c r="H321" s="47"/>
      <c r="I321" s="75">
        <f t="shared" si="8"/>
        <v>0</v>
      </c>
      <c r="J321" s="47"/>
      <c r="K321" s="288">
        <f t="shared" si="9"/>
        <v>0</v>
      </c>
    </row>
    <row r="322" spans="1:11" s="56" customFormat="1" ht="15.75" customHeight="1">
      <c r="A322" s="44"/>
      <c r="B322" s="45"/>
      <c r="C322" s="46">
        <f>IF(B322&lt;&gt;"",VLOOKUP(B322,'Tipo Projeto'!$A$3:$B$35,2,0),0)</f>
        <v>0</v>
      </c>
      <c r="D322" s="47"/>
      <c r="E322" s="47"/>
      <c r="F322" s="47"/>
      <c r="G322" s="48"/>
      <c r="H322" s="47"/>
      <c r="I322" s="75">
        <f t="shared" si="8"/>
        <v>0</v>
      </c>
      <c r="J322" s="47"/>
      <c r="K322" s="288">
        <f t="shared" si="9"/>
        <v>0</v>
      </c>
    </row>
    <row r="323" spans="1:11" s="56" customFormat="1" ht="15.75" customHeight="1">
      <c r="A323" s="44"/>
      <c r="B323" s="45"/>
      <c r="C323" s="46">
        <f>IF(B323&lt;&gt;"",VLOOKUP(B323,'Tipo Projeto'!$A$3:$B$35,2,0),0)</f>
        <v>0</v>
      </c>
      <c r="D323" s="47"/>
      <c r="E323" s="47"/>
      <c r="F323" s="47"/>
      <c r="G323" s="48"/>
      <c r="H323" s="47"/>
      <c r="I323" s="75">
        <f t="shared" si="8"/>
        <v>0</v>
      </c>
      <c r="J323" s="47"/>
      <c r="K323" s="288">
        <f t="shared" si="9"/>
        <v>0</v>
      </c>
    </row>
    <row r="324" spans="1:11" s="56" customFormat="1" ht="15.75" customHeight="1">
      <c r="A324" s="44"/>
      <c r="B324" s="45"/>
      <c r="C324" s="46">
        <f>IF(B324&lt;&gt;"",VLOOKUP(B324,'Tipo Projeto'!$A$3:$B$35,2,0),0)</f>
        <v>0</v>
      </c>
      <c r="D324" s="47"/>
      <c r="E324" s="47"/>
      <c r="F324" s="47"/>
      <c r="G324" s="48"/>
      <c r="H324" s="47"/>
      <c r="I324" s="75">
        <f t="shared" si="8"/>
        <v>0</v>
      </c>
      <c r="J324" s="47"/>
      <c r="K324" s="288">
        <f t="shared" si="9"/>
        <v>0</v>
      </c>
    </row>
    <row r="325" spans="1:11" s="56" customFormat="1" ht="15.75" customHeight="1">
      <c r="A325" s="44"/>
      <c r="B325" s="45"/>
      <c r="C325" s="46">
        <f>IF(B325&lt;&gt;"",VLOOKUP(B325,'Tipo Projeto'!$A$3:$B$35,2,0),0)</f>
        <v>0</v>
      </c>
      <c r="D325" s="47"/>
      <c r="E325" s="47"/>
      <c r="F325" s="47"/>
      <c r="G325" s="48"/>
      <c r="H325" s="47"/>
      <c r="I325" s="75">
        <f t="shared" si="8"/>
        <v>0</v>
      </c>
      <c r="J325" s="47"/>
      <c r="K325" s="288">
        <f t="shared" si="9"/>
        <v>0</v>
      </c>
    </row>
    <row r="326" spans="1:11" s="56" customFormat="1" ht="15.75" customHeight="1">
      <c r="A326" s="44"/>
      <c r="B326" s="45"/>
      <c r="C326" s="46">
        <f>IF(B326&lt;&gt;"",VLOOKUP(B326,'Tipo Projeto'!$A$3:$B$35,2,0),0)</f>
        <v>0</v>
      </c>
      <c r="D326" s="47"/>
      <c r="E326" s="47"/>
      <c r="F326" s="47"/>
      <c r="G326" s="48"/>
      <c r="H326" s="47"/>
      <c r="I326" s="75">
        <f t="shared" si="8"/>
        <v>0</v>
      </c>
      <c r="J326" s="47"/>
      <c r="K326" s="288">
        <f t="shared" si="9"/>
        <v>0</v>
      </c>
    </row>
    <row r="327" spans="1:11" s="56" customFormat="1" ht="15.75" customHeight="1">
      <c r="A327" s="44"/>
      <c r="B327" s="45"/>
      <c r="C327" s="46">
        <f>IF(B327&lt;&gt;"",VLOOKUP(B327,'Tipo Projeto'!$A$3:$B$35,2,0),0)</f>
        <v>0</v>
      </c>
      <c r="D327" s="47"/>
      <c r="E327" s="47"/>
      <c r="F327" s="47"/>
      <c r="G327" s="48"/>
      <c r="H327" s="47"/>
      <c r="I327" s="75">
        <f t="shared" si="8"/>
        <v>0</v>
      </c>
      <c r="J327" s="47"/>
      <c r="K327" s="288">
        <f t="shared" si="9"/>
        <v>0</v>
      </c>
    </row>
    <row r="328" spans="1:11" s="56" customFormat="1" ht="15.75" customHeight="1">
      <c r="A328" s="44"/>
      <c r="B328" s="45"/>
      <c r="C328" s="46">
        <f>IF(B328&lt;&gt;"",VLOOKUP(B328,'Tipo Projeto'!$A$3:$B$35,2,0),0)</f>
        <v>0</v>
      </c>
      <c r="D328" s="47"/>
      <c r="E328" s="47"/>
      <c r="F328" s="47"/>
      <c r="G328" s="48"/>
      <c r="H328" s="47"/>
      <c r="I328" s="75">
        <f t="shared" si="8"/>
        <v>0</v>
      </c>
      <c r="J328" s="47"/>
      <c r="K328" s="288">
        <f t="shared" si="9"/>
        <v>0</v>
      </c>
    </row>
    <row r="329" spans="1:11" s="56" customFormat="1" ht="15.75" customHeight="1">
      <c r="A329" s="44"/>
      <c r="B329" s="45"/>
      <c r="C329" s="46">
        <f>IF(B329&lt;&gt;"",VLOOKUP(B329,'Tipo Projeto'!$A$3:$B$35,2,0),0)</f>
        <v>0</v>
      </c>
      <c r="D329" s="47"/>
      <c r="E329" s="47"/>
      <c r="F329" s="47"/>
      <c r="G329" s="48"/>
      <c r="H329" s="47"/>
      <c r="I329" s="75">
        <f t="shared" si="8"/>
        <v>0</v>
      </c>
      <c r="J329" s="47"/>
      <c r="K329" s="288">
        <f t="shared" si="9"/>
        <v>0</v>
      </c>
    </row>
    <row r="330" spans="1:11" s="56" customFormat="1" ht="15.75" customHeight="1">
      <c r="A330" s="44"/>
      <c r="B330" s="45"/>
      <c r="C330" s="46">
        <f>IF(B330&lt;&gt;"",VLOOKUP(B330,'Tipo Projeto'!$A$3:$B$35,2,0),0)</f>
        <v>0</v>
      </c>
      <c r="D330" s="47"/>
      <c r="E330" s="47"/>
      <c r="F330" s="47"/>
      <c r="G330" s="48"/>
      <c r="H330" s="47"/>
      <c r="I330" s="75">
        <f t="shared" si="8"/>
        <v>0</v>
      </c>
      <c r="J330" s="47"/>
      <c r="K330" s="288">
        <f t="shared" si="9"/>
        <v>0</v>
      </c>
    </row>
    <row r="331" spans="1:11" s="56" customFormat="1" ht="15.75" customHeight="1">
      <c r="A331" s="44"/>
      <c r="B331" s="45"/>
      <c r="C331" s="46">
        <f>IF(B331&lt;&gt;"",VLOOKUP(B331,'Tipo Projeto'!$A$3:$B$35,2,0),0)</f>
        <v>0</v>
      </c>
      <c r="D331" s="47"/>
      <c r="E331" s="47"/>
      <c r="F331" s="47"/>
      <c r="G331" s="48"/>
      <c r="H331" s="47"/>
      <c r="I331" s="75">
        <f t="shared" ref="I331:I381" si="10">IF(B331&lt;&gt;"Manutenção em interface",IF(B331&lt;&gt;"Desenv., Manutenção e Publicação de Páginas Estáticas",IF(H331="EE",4,IF(H331="CE",4,IF(H331="SE",5,IF(H331="ALI",7,IF(H331="AIE",5,0)))))*C331,C331),C331)</f>
        <v>0</v>
      </c>
      <c r="J331" s="47"/>
      <c r="K331" s="288">
        <f t="shared" si="9"/>
        <v>0</v>
      </c>
    </row>
    <row r="332" spans="1:11" s="56" customFormat="1" ht="15.75" customHeight="1">
      <c r="A332" s="44"/>
      <c r="B332" s="45"/>
      <c r="C332" s="46">
        <f>IF(B332&lt;&gt;"",VLOOKUP(B332,'Tipo Projeto'!$A$3:$B$35,2,0),0)</f>
        <v>0</v>
      </c>
      <c r="D332" s="47"/>
      <c r="E332" s="47"/>
      <c r="F332" s="47"/>
      <c r="G332" s="48"/>
      <c r="H332" s="47"/>
      <c r="I332" s="75">
        <f t="shared" si="10"/>
        <v>0</v>
      </c>
      <c r="J332" s="47"/>
      <c r="K332" s="288">
        <f t="shared" ref="K332:K395" si="11">IF(AND(C332&lt;&gt;0,I332&lt;&gt;0),I332/C332,0)</f>
        <v>0</v>
      </c>
    </row>
    <row r="333" spans="1:11" s="56" customFormat="1" ht="15.75" customHeight="1">
      <c r="A333" s="44"/>
      <c r="B333" s="45"/>
      <c r="C333" s="46">
        <f>IF(B333&lt;&gt;"",VLOOKUP(B333,'Tipo Projeto'!$A$3:$B$35,2,0),0)</f>
        <v>0</v>
      </c>
      <c r="D333" s="47"/>
      <c r="E333" s="47"/>
      <c r="F333" s="47"/>
      <c r="G333" s="48"/>
      <c r="H333" s="47"/>
      <c r="I333" s="75">
        <f t="shared" si="10"/>
        <v>0</v>
      </c>
      <c r="J333" s="47"/>
      <c r="K333" s="288">
        <f t="shared" si="11"/>
        <v>0</v>
      </c>
    </row>
    <row r="334" spans="1:11" s="56" customFormat="1" ht="15.75" customHeight="1">
      <c r="A334" s="44"/>
      <c r="B334" s="45"/>
      <c r="C334" s="46">
        <f>IF(B334&lt;&gt;"",VLOOKUP(B334,'Tipo Projeto'!$A$3:$B$35,2,0),0)</f>
        <v>0</v>
      </c>
      <c r="D334" s="47"/>
      <c r="E334" s="47"/>
      <c r="F334" s="47"/>
      <c r="G334" s="48"/>
      <c r="H334" s="47"/>
      <c r="I334" s="75">
        <f t="shared" si="10"/>
        <v>0</v>
      </c>
      <c r="J334" s="47"/>
      <c r="K334" s="288">
        <f t="shared" si="11"/>
        <v>0</v>
      </c>
    </row>
    <row r="335" spans="1:11" s="56" customFormat="1" ht="15.75" customHeight="1">
      <c r="A335" s="44"/>
      <c r="B335" s="45"/>
      <c r="C335" s="46">
        <f>IF(B335&lt;&gt;"",VLOOKUP(B335,'Tipo Projeto'!$A$3:$B$35,2,0),0)</f>
        <v>0</v>
      </c>
      <c r="D335" s="47"/>
      <c r="E335" s="47"/>
      <c r="F335" s="47"/>
      <c r="G335" s="48"/>
      <c r="H335" s="47"/>
      <c r="I335" s="75">
        <f t="shared" si="10"/>
        <v>0</v>
      </c>
      <c r="J335" s="47"/>
      <c r="K335" s="288">
        <f t="shared" si="11"/>
        <v>0</v>
      </c>
    </row>
    <row r="336" spans="1:11" s="56" customFormat="1" ht="15.75" customHeight="1">
      <c r="A336" s="44"/>
      <c r="B336" s="45"/>
      <c r="C336" s="46">
        <f>IF(B336&lt;&gt;"",VLOOKUP(B336,'Tipo Projeto'!$A$3:$B$35,2,0),0)</f>
        <v>0</v>
      </c>
      <c r="D336" s="47"/>
      <c r="E336" s="47"/>
      <c r="F336" s="47"/>
      <c r="G336" s="48"/>
      <c r="H336" s="47"/>
      <c r="I336" s="75">
        <f t="shared" si="10"/>
        <v>0</v>
      </c>
      <c r="J336" s="47"/>
      <c r="K336" s="288">
        <f t="shared" si="11"/>
        <v>0</v>
      </c>
    </row>
    <row r="337" spans="1:11" s="56" customFormat="1" ht="15.75" customHeight="1">
      <c r="A337" s="44"/>
      <c r="B337" s="45"/>
      <c r="C337" s="46">
        <f>IF(B337&lt;&gt;"",VLOOKUP(B337,'Tipo Projeto'!$A$3:$B$35,2,0),0)</f>
        <v>0</v>
      </c>
      <c r="D337" s="47"/>
      <c r="E337" s="47"/>
      <c r="F337" s="47"/>
      <c r="G337" s="48"/>
      <c r="H337" s="47"/>
      <c r="I337" s="75">
        <f t="shared" si="10"/>
        <v>0</v>
      </c>
      <c r="J337" s="47"/>
      <c r="K337" s="288">
        <f t="shared" si="11"/>
        <v>0</v>
      </c>
    </row>
    <row r="338" spans="1:11" s="56" customFormat="1" ht="15.75" customHeight="1">
      <c r="A338" s="44"/>
      <c r="B338" s="45"/>
      <c r="C338" s="46">
        <f>IF(B338&lt;&gt;"",VLOOKUP(B338,'Tipo Projeto'!$A$3:$B$35,2,0),0)</f>
        <v>0</v>
      </c>
      <c r="D338" s="47"/>
      <c r="E338" s="47"/>
      <c r="F338" s="47"/>
      <c r="G338" s="48"/>
      <c r="H338" s="47"/>
      <c r="I338" s="75">
        <f t="shared" si="10"/>
        <v>0</v>
      </c>
      <c r="J338" s="47"/>
      <c r="K338" s="288">
        <f t="shared" si="11"/>
        <v>0</v>
      </c>
    </row>
    <row r="339" spans="1:11" s="56" customFormat="1" ht="15.75" customHeight="1">
      <c r="A339" s="44"/>
      <c r="B339" s="45"/>
      <c r="C339" s="46">
        <f>IF(B339&lt;&gt;"",VLOOKUP(B339,'Tipo Projeto'!$A$3:$B$35,2,0),0)</f>
        <v>0</v>
      </c>
      <c r="D339" s="47"/>
      <c r="E339" s="47"/>
      <c r="F339" s="47"/>
      <c r="G339" s="48"/>
      <c r="H339" s="47"/>
      <c r="I339" s="75">
        <f t="shared" si="10"/>
        <v>0</v>
      </c>
      <c r="J339" s="47"/>
      <c r="K339" s="288">
        <f t="shared" si="11"/>
        <v>0</v>
      </c>
    </row>
    <row r="340" spans="1:11" s="56" customFormat="1" ht="15.75" customHeight="1">
      <c r="A340" s="44"/>
      <c r="B340" s="45"/>
      <c r="C340" s="46">
        <f>IF(B340&lt;&gt;"",VLOOKUP(B340,'Tipo Projeto'!$A$3:$B$35,2,0),0)</f>
        <v>0</v>
      </c>
      <c r="D340" s="47"/>
      <c r="E340" s="47"/>
      <c r="F340" s="47"/>
      <c r="G340" s="48"/>
      <c r="H340" s="47"/>
      <c r="I340" s="75">
        <f t="shared" si="10"/>
        <v>0</v>
      </c>
      <c r="J340" s="47"/>
      <c r="K340" s="288">
        <f t="shared" si="11"/>
        <v>0</v>
      </c>
    </row>
    <row r="341" spans="1:11" s="56" customFormat="1" ht="15.75" customHeight="1">
      <c r="A341" s="44"/>
      <c r="B341" s="45"/>
      <c r="C341" s="46">
        <f>IF(B341&lt;&gt;"",VLOOKUP(B341,'Tipo Projeto'!$A$3:$B$35,2,0),0)</f>
        <v>0</v>
      </c>
      <c r="D341" s="47"/>
      <c r="E341" s="47"/>
      <c r="F341" s="47"/>
      <c r="G341" s="48"/>
      <c r="H341" s="47"/>
      <c r="I341" s="75">
        <f t="shared" si="10"/>
        <v>0</v>
      </c>
      <c r="J341" s="47"/>
      <c r="K341" s="288">
        <f t="shared" si="11"/>
        <v>0</v>
      </c>
    </row>
    <row r="342" spans="1:11" s="56" customFormat="1" ht="15.75" customHeight="1">
      <c r="A342" s="44"/>
      <c r="B342" s="45"/>
      <c r="C342" s="46">
        <f>IF(B342&lt;&gt;"",VLOOKUP(B342,'Tipo Projeto'!$A$3:$B$35,2,0),0)</f>
        <v>0</v>
      </c>
      <c r="D342" s="47"/>
      <c r="E342" s="47"/>
      <c r="F342" s="47"/>
      <c r="G342" s="48"/>
      <c r="H342" s="47"/>
      <c r="I342" s="75">
        <f t="shared" si="10"/>
        <v>0</v>
      </c>
      <c r="J342" s="47"/>
      <c r="K342" s="288">
        <f t="shared" si="11"/>
        <v>0</v>
      </c>
    </row>
    <row r="343" spans="1:11" s="56" customFormat="1" ht="15.75" customHeight="1">
      <c r="A343" s="44"/>
      <c r="B343" s="45"/>
      <c r="C343" s="46">
        <f>IF(B343&lt;&gt;"",VLOOKUP(B343,'Tipo Projeto'!$A$3:$B$35,2,0),0)</f>
        <v>0</v>
      </c>
      <c r="D343" s="47"/>
      <c r="E343" s="47"/>
      <c r="F343" s="47"/>
      <c r="G343" s="48"/>
      <c r="H343" s="47"/>
      <c r="I343" s="75">
        <f t="shared" si="10"/>
        <v>0</v>
      </c>
      <c r="J343" s="47"/>
      <c r="K343" s="288">
        <f t="shared" si="11"/>
        <v>0</v>
      </c>
    </row>
    <row r="344" spans="1:11" s="56" customFormat="1" ht="15.75" customHeight="1">
      <c r="A344" s="44"/>
      <c r="B344" s="45"/>
      <c r="C344" s="46">
        <f>IF(B344&lt;&gt;"",VLOOKUP(B344,'Tipo Projeto'!$A$3:$B$35,2,0),0)</f>
        <v>0</v>
      </c>
      <c r="D344" s="47"/>
      <c r="E344" s="47"/>
      <c r="F344" s="47"/>
      <c r="G344" s="48"/>
      <c r="H344" s="47"/>
      <c r="I344" s="75">
        <f t="shared" si="10"/>
        <v>0</v>
      </c>
      <c r="J344" s="47"/>
      <c r="K344" s="288">
        <f t="shared" si="11"/>
        <v>0</v>
      </c>
    </row>
    <row r="345" spans="1:11" s="56" customFormat="1" ht="15.75" customHeight="1">
      <c r="A345" s="44"/>
      <c r="B345" s="45"/>
      <c r="C345" s="46">
        <f>IF(B345&lt;&gt;"",VLOOKUP(B345,'Tipo Projeto'!$A$3:$B$35,2,0),0)</f>
        <v>0</v>
      </c>
      <c r="D345" s="47"/>
      <c r="E345" s="47"/>
      <c r="F345" s="47"/>
      <c r="G345" s="48"/>
      <c r="H345" s="47"/>
      <c r="I345" s="75">
        <f t="shared" si="10"/>
        <v>0</v>
      </c>
      <c r="J345" s="47"/>
      <c r="K345" s="288">
        <f t="shared" si="11"/>
        <v>0</v>
      </c>
    </row>
    <row r="346" spans="1:11" s="56" customFormat="1" ht="15.75" customHeight="1">
      <c r="A346" s="44"/>
      <c r="B346" s="45"/>
      <c r="C346" s="46">
        <f>IF(B346&lt;&gt;"",VLOOKUP(B346,'Tipo Projeto'!$A$3:$B$35,2,0),0)</f>
        <v>0</v>
      </c>
      <c r="D346" s="47"/>
      <c r="E346" s="47"/>
      <c r="F346" s="47"/>
      <c r="G346" s="48"/>
      <c r="H346" s="47"/>
      <c r="I346" s="75">
        <f t="shared" si="10"/>
        <v>0</v>
      </c>
      <c r="J346" s="47"/>
      <c r="K346" s="288">
        <f t="shared" si="11"/>
        <v>0</v>
      </c>
    </row>
    <row r="347" spans="1:11" s="56" customFormat="1" ht="15.75" customHeight="1">
      <c r="A347" s="44"/>
      <c r="B347" s="45"/>
      <c r="C347" s="46">
        <f>IF(B347&lt;&gt;"",VLOOKUP(B347,'Tipo Projeto'!$A$3:$B$35,2,0),0)</f>
        <v>0</v>
      </c>
      <c r="D347" s="47"/>
      <c r="E347" s="47"/>
      <c r="F347" s="47"/>
      <c r="G347" s="48"/>
      <c r="H347" s="47"/>
      <c r="I347" s="75">
        <f t="shared" si="10"/>
        <v>0</v>
      </c>
      <c r="J347" s="47"/>
      <c r="K347" s="288">
        <f t="shared" si="11"/>
        <v>0</v>
      </c>
    </row>
    <row r="348" spans="1:11" s="56" customFormat="1" ht="15.75" customHeight="1">
      <c r="A348" s="44"/>
      <c r="B348" s="45"/>
      <c r="C348" s="46">
        <f>IF(B348&lt;&gt;"",VLOOKUP(B348,'Tipo Projeto'!$A$3:$B$35,2,0),0)</f>
        <v>0</v>
      </c>
      <c r="D348" s="47"/>
      <c r="E348" s="47"/>
      <c r="F348" s="47"/>
      <c r="G348" s="48"/>
      <c r="H348" s="47"/>
      <c r="I348" s="75">
        <f t="shared" si="10"/>
        <v>0</v>
      </c>
      <c r="J348" s="47"/>
      <c r="K348" s="288">
        <f t="shared" si="11"/>
        <v>0</v>
      </c>
    </row>
    <row r="349" spans="1:11" s="56" customFormat="1" ht="15.75" customHeight="1">
      <c r="A349" s="44"/>
      <c r="B349" s="45"/>
      <c r="C349" s="46">
        <f>IF(B349&lt;&gt;"",VLOOKUP(B349,'Tipo Projeto'!$A$3:$B$35,2,0),0)</f>
        <v>0</v>
      </c>
      <c r="D349" s="47"/>
      <c r="E349" s="47"/>
      <c r="F349" s="47"/>
      <c r="G349" s="48"/>
      <c r="H349" s="47"/>
      <c r="I349" s="75">
        <f t="shared" si="10"/>
        <v>0</v>
      </c>
      <c r="J349" s="47"/>
      <c r="K349" s="288">
        <f t="shared" si="11"/>
        <v>0</v>
      </c>
    </row>
    <row r="350" spans="1:11" s="56" customFormat="1" ht="15.75" customHeight="1">
      <c r="A350" s="44"/>
      <c r="B350" s="45"/>
      <c r="C350" s="46">
        <f>IF(B350&lt;&gt;"",VLOOKUP(B350,'Tipo Projeto'!$A$3:$B$35,2,0),0)</f>
        <v>0</v>
      </c>
      <c r="D350" s="47"/>
      <c r="E350" s="47"/>
      <c r="F350" s="47"/>
      <c r="G350" s="48"/>
      <c r="H350" s="47"/>
      <c r="I350" s="75">
        <f t="shared" si="10"/>
        <v>0</v>
      </c>
      <c r="J350" s="47"/>
      <c r="K350" s="288">
        <f t="shared" si="11"/>
        <v>0</v>
      </c>
    </row>
    <row r="351" spans="1:11" s="56" customFormat="1" ht="15.75" customHeight="1">
      <c r="A351" s="44"/>
      <c r="B351" s="45"/>
      <c r="C351" s="46">
        <f>IF(B351&lt;&gt;"",VLOOKUP(B351,'Tipo Projeto'!$A$3:$B$35,2,0),0)</f>
        <v>0</v>
      </c>
      <c r="D351" s="47"/>
      <c r="E351" s="47"/>
      <c r="F351" s="47"/>
      <c r="G351" s="48"/>
      <c r="H351" s="47"/>
      <c r="I351" s="75">
        <f t="shared" si="10"/>
        <v>0</v>
      </c>
      <c r="J351" s="47"/>
      <c r="K351" s="288">
        <f t="shared" si="11"/>
        <v>0</v>
      </c>
    </row>
    <row r="352" spans="1:11" s="56" customFormat="1" ht="15.75" customHeight="1">
      <c r="A352" s="44"/>
      <c r="B352" s="45"/>
      <c r="C352" s="46">
        <f>IF(B352&lt;&gt;"",VLOOKUP(B352,'Tipo Projeto'!$A$3:$B$35,2,0),0)</f>
        <v>0</v>
      </c>
      <c r="D352" s="47"/>
      <c r="E352" s="47"/>
      <c r="F352" s="47"/>
      <c r="G352" s="48"/>
      <c r="H352" s="47"/>
      <c r="I352" s="75">
        <f t="shared" si="10"/>
        <v>0</v>
      </c>
      <c r="J352" s="47"/>
      <c r="K352" s="288">
        <f t="shared" si="11"/>
        <v>0</v>
      </c>
    </row>
    <row r="353" spans="1:11" s="56" customFormat="1" ht="15.75" customHeight="1">
      <c r="A353" s="44"/>
      <c r="B353" s="45"/>
      <c r="C353" s="46">
        <f>IF(B353&lt;&gt;"",VLOOKUP(B353,'Tipo Projeto'!$A$3:$B$35,2,0),0)</f>
        <v>0</v>
      </c>
      <c r="D353" s="47"/>
      <c r="E353" s="47"/>
      <c r="F353" s="47"/>
      <c r="G353" s="48"/>
      <c r="H353" s="47"/>
      <c r="I353" s="75">
        <f t="shared" si="10"/>
        <v>0</v>
      </c>
      <c r="J353" s="47"/>
      <c r="K353" s="288">
        <f t="shared" si="11"/>
        <v>0</v>
      </c>
    </row>
    <row r="354" spans="1:11" s="56" customFormat="1" ht="15.75" customHeight="1">
      <c r="A354" s="44"/>
      <c r="B354" s="45"/>
      <c r="C354" s="46">
        <f>IF(B354&lt;&gt;"",VLOOKUP(B354,'Tipo Projeto'!$A$3:$B$35,2,0),0)</f>
        <v>0</v>
      </c>
      <c r="D354" s="47"/>
      <c r="E354" s="47"/>
      <c r="F354" s="47"/>
      <c r="G354" s="48"/>
      <c r="H354" s="47"/>
      <c r="I354" s="75">
        <f t="shared" si="10"/>
        <v>0</v>
      </c>
      <c r="J354" s="47"/>
      <c r="K354" s="288">
        <f t="shared" si="11"/>
        <v>0</v>
      </c>
    </row>
    <row r="355" spans="1:11" s="56" customFormat="1" ht="15.75" customHeight="1">
      <c r="A355" s="44"/>
      <c r="B355" s="45"/>
      <c r="C355" s="46">
        <f>IF(B355&lt;&gt;"",VLOOKUP(B355,'Tipo Projeto'!$A$3:$B$35,2,0),0)</f>
        <v>0</v>
      </c>
      <c r="D355" s="47"/>
      <c r="E355" s="47"/>
      <c r="F355" s="47"/>
      <c r="G355" s="48"/>
      <c r="H355" s="47"/>
      <c r="I355" s="75">
        <f t="shared" si="10"/>
        <v>0</v>
      </c>
      <c r="J355" s="47"/>
      <c r="K355" s="288">
        <f t="shared" si="11"/>
        <v>0</v>
      </c>
    </row>
    <row r="356" spans="1:11" s="56" customFormat="1" ht="15.75" customHeight="1">
      <c r="A356" s="44"/>
      <c r="B356" s="45"/>
      <c r="C356" s="46">
        <f>IF(B356&lt;&gt;"",VLOOKUP(B356,'Tipo Projeto'!$A$3:$B$35,2,0),0)</f>
        <v>0</v>
      </c>
      <c r="D356" s="47"/>
      <c r="E356" s="47"/>
      <c r="F356" s="47"/>
      <c r="G356" s="48"/>
      <c r="H356" s="47"/>
      <c r="I356" s="75">
        <f t="shared" si="10"/>
        <v>0</v>
      </c>
      <c r="J356" s="47"/>
      <c r="K356" s="288">
        <f t="shared" si="11"/>
        <v>0</v>
      </c>
    </row>
    <row r="357" spans="1:11" s="56" customFormat="1" ht="15.75" customHeight="1">
      <c r="A357" s="44"/>
      <c r="B357" s="45"/>
      <c r="C357" s="46">
        <f>IF(B357&lt;&gt;"",VLOOKUP(B357,'Tipo Projeto'!$A$3:$B$35,2,0),0)</f>
        <v>0</v>
      </c>
      <c r="D357" s="47"/>
      <c r="E357" s="47"/>
      <c r="F357" s="47"/>
      <c r="G357" s="48"/>
      <c r="H357" s="47"/>
      <c r="I357" s="75">
        <f t="shared" si="10"/>
        <v>0</v>
      </c>
      <c r="J357" s="47"/>
      <c r="K357" s="288">
        <f t="shared" si="11"/>
        <v>0</v>
      </c>
    </row>
    <row r="358" spans="1:11" s="56" customFormat="1" ht="15.75" customHeight="1">
      <c r="A358" s="44"/>
      <c r="B358" s="45"/>
      <c r="C358" s="46">
        <f>IF(B358&lt;&gt;"",VLOOKUP(B358,'Tipo Projeto'!$A$3:$B$35,2,0),0)</f>
        <v>0</v>
      </c>
      <c r="D358" s="47"/>
      <c r="E358" s="47"/>
      <c r="F358" s="47"/>
      <c r="G358" s="48"/>
      <c r="H358" s="47"/>
      <c r="I358" s="75">
        <f t="shared" si="10"/>
        <v>0</v>
      </c>
      <c r="J358" s="47"/>
      <c r="K358" s="288">
        <f t="shared" si="11"/>
        <v>0</v>
      </c>
    </row>
    <row r="359" spans="1:11" s="56" customFormat="1" ht="15.75" customHeight="1">
      <c r="A359" s="44"/>
      <c r="B359" s="45"/>
      <c r="C359" s="46">
        <f>IF(B359&lt;&gt;"",VLOOKUP(B359,'Tipo Projeto'!$A$3:$B$35,2,0),0)</f>
        <v>0</v>
      </c>
      <c r="D359" s="47"/>
      <c r="E359" s="47"/>
      <c r="F359" s="47"/>
      <c r="G359" s="48"/>
      <c r="H359" s="47"/>
      <c r="I359" s="75">
        <f t="shared" si="10"/>
        <v>0</v>
      </c>
      <c r="J359" s="47"/>
      <c r="K359" s="288">
        <f t="shared" si="11"/>
        <v>0</v>
      </c>
    </row>
    <row r="360" spans="1:11" s="56" customFormat="1" ht="15.75" customHeight="1">
      <c r="A360" s="44"/>
      <c r="B360" s="45"/>
      <c r="C360" s="46">
        <f>IF(B360&lt;&gt;"",VLOOKUP(B360,'Tipo Projeto'!$A$3:$B$35,2,0),0)</f>
        <v>0</v>
      </c>
      <c r="D360" s="47"/>
      <c r="E360" s="47"/>
      <c r="F360" s="47"/>
      <c r="G360" s="48"/>
      <c r="H360" s="47"/>
      <c r="I360" s="75">
        <f t="shared" si="10"/>
        <v>0</v>
      </c>
      <c r="J360" s="47"/>
      <c r="K360" s="288">
        <f t="shared" si="11"/>
        <v>0</v>
      </c>
    </row>
    <row r="361" spans="1:11" s="56" customFormat="1" ht="15.75" customHeight="1">
      <c r="A361" s="44"/>
      <c r="B361" s="45"/>
      <c r="C361" s="46">
        <f>IF(B361&lt;&gt;"",VLOOKUP(B361,'Tipo Projeto'!$A$3:$B$35,2,0),0)</f>
        <v>0</v>
      </c>
      <c r="D361" s="47"/>
      <c r="E361" s="47"/>
      <c r="F361" s="47"/>
      <c r="G361" s="48"/>
      <c r="H361" s="47"/>
      <c r="I361" s="75">
        <f t="shared" si="10"/>
        <v>0</v>
      </c>
      <c r="J361" s="47"/>
      <c r="K361" s="288">
        <f t="shared" si="11"/>
        <v>0</v>
      </c>
    </row>
    <row r="362" spans="1:11" s="56" customFormat="1" ht="15.75" customHeight="1">
      <c r="A362" s="44"/>
      <c r="B362" s="45"/>
      <c r="C362" s="46">
        <f>IF(B362&lt;&gt;"",VLOOKUP(B362,'Tipo Projeto'!$A$3:$B$35,2,0),0)</f>
        <v>0</v>
      </c>
      <c r="D362" s="47"/>
      <c r="E362" s="47"/>
      <c r="F362" s="47"/>
      <c r="G362" s="48"/>
      <c r="H362" s="47"/>
      <c r="I362" s="75">
        <f t="shared" si="10"/>
        <v>0</v>
      </c>
      <c r="J362" s="47"/>
      <c r="K362" s="288">
        <f t="shared" si="11"/>
        <v>0</v>
      </c>
    </row>
    <row r="363" spans="1:11" s="56" customFormat="1" ht="15.75" customHeight="1">
      <c r="A363" s="44"/>
      <c r="B363" s="45"/>
      <c r="C363" s="46">
        <f>IF(B363&lt;&gt;"",VLOOKUP(B363,'Tipo Projeto'!$A$3:$B$35,2,0),0)</f>
        <v>0</v>
      </c>
      <c r="D363" s="47"/>
      <c r="E363" s="47"/>
      <c r="F363" s="47"/>
      <c r="G363" s="48"/>
      <c r="H363" s="47"/>
      <c r="I363" s="75">
        <f t="shared" si="10"/>
        <v>0</v>
      </c>
      <c r="J363" s="47"/>
      <c r="K363" s="288">
        <f t="shared" si="11"/>
        <v>0</v>
      </c>
    </row>
    <row r="364" spans="1:11" s="56" customFormat="1" ht="15.75" customHeight="1">
      <c r="A364" s="44"/>
      <c r="B364" s="45"/>
      <c r="C364" s="46">
        <f>IF(B364&lt;&gt;"",VLOOKUP(B364,'Tipo Projeto'!$A$3:$B$35,2,0),0)</f>
        <v>0</v>
      </c>
      <c r="D364" s="47"/>
      <c r="E364" s="47"/>
      <c r="F364" s="47"/>
      <c r="G364" s="48"/>
      <c r="H364" s="47"/>
      <c r="I364" s="75">
        <f t="shared" si="10"/>
        <v>0</v>
      </c>
      <c r="J364" s="47"/>
      <c r="K364" s="288">
        <f t="shared" si="11"/>
        <v>0</v>
      </c>
    </row>
    <row r="365" spans="1:11" s="56" customFormat="1" ht="15.75" customHeight="1">
      <c r="A365" s="44"/>
      <c r="B365" s="45"/>
      <c r="C365" s="46">
        <f>IF(B365&lt;&gt;"",VLOOKUP(B365,'Tipo Projeto'!$A$3:$B$35,2,0),0)</f>
        <v>0</v>
      </c>
      <c r="D365" s="47"/>
      <c r="E365" s="47"/>
      <c r="F365" s="47"/>
      <c r="G365" s="48"/>
      <c r="H365" s="47"/>
      <c r="I365" s="75">
        <f t="shared" si="10"/>
        <v>0</v>
      </c>
      <c r="J365" s="47"/>
      <c r="K365" s="288">
        <f t="shared" si="11"/>
        <v>0</v>
      </c>
    </row>
    <row r="366" spans="1:11" s="56" customFormat="1" ht="15.75" customHeight="1">
      <c r="A366" s="44"/>
      <c r="B366" s="45"/>
      <c r="C366" s="46">
        <f>IF(B366&lt;&gt;"",VLOOKUP(B366,'Tipo Projeto'!$A$3:$B$35,2,0),0)</f>
        <v>0</v>
      </c>
      <c r="D366" s="47"/>
      <c r="E366" s="47"/>
      <c r="F366" s="47"/>
      <c r="G366" s="48"/>
      <c r="H366" s="47"/>
      <c r="I366" s="75">
        <f t="shared" si="10"/>
        <v>0</v>
      </c>
      <c r="J366" s="47"/>
      <c r="K366" s="288">
        <f t="shared" si="11"/>
        <v>0</v>
      </c>
    </row>
    <row r="367" spans="1:11" s="56" customFormat="1" ht="15.75" customHeight="1">
      <c r="A367" s="44"/>
      <c r="B367" s="45"/>
      <c r="C367" s="46">
        <f>IF(B367&lt;&gt;"",VLOOKUP(B367,'Tipo Projeto'!$A$3:$B$35,2,0),0)</f>
        <v>0</v>
      </c>
      <c r="D367" s="47"/>
      <c r="E367" s="47"/>
      <c r="F367" s="47"/>
      <c r="G367" s="48"/>
      <c r="H367" s="47"/>
      <c r="I367" s="75">
        <f t="shared" si="10"/>
        <v>0</v>
      </c>
      <c r="J367" s="47"/>
      <c r="K367" s="288">
        <f t="shared" si="11"/>
        <v>0</v>
      </c>
    </row>
    <row r="368" spans="1:11" s="56" customFormat="1" ht="15.75" customHeight="1">
      <c r="A368" s="44"/>
      <c r="B368" s="45"/>
      <c r="C368" s="46">
        <f>IF(B368&lt;&gt;"",VLOOKUP(B368,'Tipo Projeto'!$A$3:$B$35,2,0),0)</f>
        <v>0</v>
      </c>
      <c r="D368" s="47"/>
      <c r="E368" s="47"/>
      <c r="F368" s="47"/>
      <c r="G368" s="48"/>
      <c r="H368" s="47"/>
      <c r="I368" s="75">
        <f t="shared" si="10"/>
        <v>0</v>
      </c>
      <c r="J368" s="47"/>
      <c r="K368" s="288">
        <f t="shared" si="11"/>
        <v>0</v>
      </c>
    </row>
    <row r="369" spans="1:11" s="56" customFormat="1" ht="15.75" customHeight="1">
      <c r="A369" s="44"/>
      <c r="B369" s="45"/>
      <c r="C369" s="46">
        <f>IF(B369&lt;&gt;"",VLOOKUP(B369,'Tipo Projeto'!$A$3:$B$35,2,0),0)</f>
        <v>0</v>
      </c>
      <c r="D369" s="47"/>
      <c r="E369" s="47"/>
      <c r="F369" s="47"/>
      <c r="G369" s="48"/>
      <c r="H369" s="47"/>
      <c r="I369" s="75">
        <f t="shared" si="10"/>
        <v>0</v>
      </c>
      <c r="J369" s="47"/>
      <c r="K369" s="288">
        <f t="shared" si="11"/>
        <v>0</v>
      </c>
    </row>
    <row r="370" spans="1:11" s="56" customFormat="1" ht="15.75" customHeight="1">
      <c r="A370" s="44"/>
      <c r="B370" s="45"/>
      <c r="C370" s="46">
        <f>IF(B370&lt;&gt;"",VLOOKUP(B370,'Tipo Projeto'!$A$3:$B$35,2,0),0)</f>
        <v>0</v>
      </c>
      <c r="D370" s="47"/>
      <c r="E370" s="47"/>
      <c r="F370" s="47"/>
      <c r="G370" s="48"/>
      <c r="H370" s="47"/>
      <c r="I370" s="75">
        <f t="shared" si="10"/>
        <v>0</v>
      </c>
      <c r="J370" s="47"/>
      <c r="K370" s="288">
        <f t="shared" si="11"/>
        <v>0</v>
      </c>
    </row>
    <row r="371" spans="1:11" s="56" customFormat="1" ht="15.75" customHeight="1">
      <c r="A371" s="44"/>
      <c r="B371" s="45"/>
      <c r="C371" s="46">
        <f>IF(B371&lt;&gt;"",VLOOKUP(B371,'Tipo Projeto'!$A$3:$B$35,2,0),0)</f>
        <v>0</v>
      </c>
      <c r="D371" s="47"/>
      <c r="E371" s="47"/>
      <c r="F371" s="47"/>
      <c r="G371" s="48"/>
      <c r="H371" s="47"/>
      <c r="I371" s="75">
        <f t="shared" si="10"/>
        <v>0</v>
      </c>
      <c r="J371" s="47"/>
      <c r="K371" s="288">
        <f t="shared" si="11"/>
        <v>0</v>
      </c>
    </row>
    <row r="372" spans="1:11" s="56" customFormat="1" ht="15.75" customHeight="1">
      <c r="A372" s="44"/>
      <c r="B372" s="45"/>
      <c r="C372" s="46">
        <f>IF(B372&lt;&gt;"",VLOOKUP(B372,'Tipo Projeto'!$A$3:$B$35,2,0),0)</f>
        <v>0</v>
      </c>
      <c r="D372" s="47"/>
      <c r="E372" s="47"/>
      <c r="F372" s="47"/>
      <c r="G372" s="48"/>
      <c r="H372" s="47"/>
      <c r="I372" s="75">
        <f t="shared" si="10"/>
        <v>0</v>
      </c>
      <c r="J372" s="47"/>
      <c r="K372" s="288">
        <f t="shared" si="11"/>
        <v>0</v>
      </c>
    </row>
    <row r="373" spans="1:11" s="56" customFormat="1" ht="15.75" customHeight="1">
      <c r="A373" s="44"/>
      <c r="B373" s="45"/>
      <c r="C373" s="46">
        <f>IF(B373&lt;&gt;"",VLOOKUP(B373,'Tipo Projeto'!$A$3:$B$35,2,0),0)</f>
        <v>0</v>
      </c>
      <c r="D373" s="47"/>
      <c r="E373" s="47"/>
      <c r="F373" s="47"/>
      <c r="G373" s="48"/>
      <c r="H373" s="47"/>
      <c r="I373" s="75">
        <f t="shared" si="10"/>
        <v>0</v>
      </c>
      <c r="J373" s="47"/>
      <c r="K373" s="288">
        <f t="shared" si="11"/>
        <v>0</v>
      </c>
    </row>
    <row r="374" spans="1:11" s="56" customFormat="1" ht="15.75" customHeight="1">
      <c r="A374" s="44"/>
      <c r="B374" s="45"/>
      <c r="C374" s="46">
        <f>IF(B374&lt;&gt;"",VLOOKUP(B374,'Tipo Projeto'!$A$3:$B$35,2,0),0)</f>
        <v>0</v>
      </c>
      <c r="D374" s="47"/>
      <c r="E374" s="47"/>
      <c r="F374" s="47"/>
      <c r="G374" s="48"/>
      <c r="H374" s="47"/>
      <c r="I374" s="75">
        <f t="shared" si="10"/>
        <v>0</v>
      </c>
      <c r="J374" s="47"/>
      <c r="K374" s="288">
        <f t="shared" si="11"/>
        <v>0</v>
      </c>
    </row>
    <row r="375" spans="1:11" s="56" customFormat="1" ht="15.75" customHeight="1">
      <c r="A375" s="44"/>
      <c r="B375" s="45"/>
      <c r="C375" s="46">
        <f>IF(B375&lt;&gt;"",VLOOKUP(B375,'Tipo Projeto'!$A$3:$B$35,2,0),0)</f>
        <v>0</v>
      </c>
      <c r="D375" s="47"/>
      <c r="E375" s="47"/>
      <c r="F375" s="47"/>
      <c r="G375" s="48"/>
      <c r="H375" s="47"/>
      <c r="I375" s="75">
        <f t="shared" si="10"/>
        <v>0</v>
      </c>
      <c r="J375" s="47"/>
      <c r="K375" s="288">
        <f t="shared" si="11"/>
        <v>0</v>
      </c>
    </row>
    <row r="376" spans="1:11" s="56" customFormat="1" ht="15.75" customHeight="1">
      <c r="A376" s="44"/>
      <c r="B376" s="45"/>
      <c r="C376" s="46">
        <f>IF(B376&lt;&gt;"",VLOOKUP(B376,'Tipo Projeto'!$A$3:$B$35,2,0),0)</f>
        <v>0</v>
      </c>
      <c r="D376" s="47"/>
      <c r="E376" s="47"/>
      <c r="F376" s="47"/>
      <c r="G376" s="48"/>
      <c r="H376" s="47"/>
      <c r="I376" s="75">
        <f t="shared" si="10"/>
        <v>0</v>
      </c>
      <c r="J376" s="47"/>
      <c r="K376" s="288">
        <f t="shared" si="11"/>
        <v>0</v>
      </c>
    </row>
    <row r="377" spans="1:11" s="56" customFormat="1" ht="15.75" customHeight="1">
      <c r="A377" s="44"/>
      <c r="B377" s="45"/>
      <c r="C377" s="46">
        <f>IF(B377&lt;&gt;"",VLOOKUP(B377,'Tipo Projeto'!$A$3:$B$35,2,0),0)</f>
        <v>0</v>
      </c>
      <c r="D377" s="47"/>
      <c r="E377" s="47"/>
      <c r="F377" s="47"/>
      <c r="G377" s="48"/>
      <c r="H377" s="47"/>
      <c r="I377" s="75">
        <f t="shared" si="10"/>
        <v>0</v>
      </c>
      <c r="J377" s="47"/>
      <c r="K377" s="288">
        <f t="shared" si="11"/>
        <v>0</v>
      </c>
    </row>
    <row r="378" spans="1:11" s="56" customFormat="1" ht="15.75" customHeight="1">
      <c r="A378" s="44"/>
      <c r="B378" s="45"/>
      <c r="C378" s="46">
        <f>IF(B378&lt;&gt;"",VLOOKUP(B378,'Tipo Projeto'!$A$3:$B$35,2,0),0)</f>
        <v>0</v>
      </c>
      <c r="D378" s="47"/>
      <c r="E378" s="47"/>
      <c r="F378" s="47"/>
      <c r="G378" s="48"/>
      <c r="H378" s="47"/>
      <c r="I378" s="75">
        <f t="shared" si="10"/>
        <v>0</v>
      </c>
      <c r="J378" s="47"/>
      <c r="K378" s="288">
        <f t="shared" si="11"/>
        <v>0</v>
      </c>
    </row>
    <row r="379" spans="1:11" s="56" customFormat="1" ht="15.75" customHeight="1">
      <c r="A379" s="44"/>
      <c r="B379" s="45"/>
      <c r="C379" s="46">
        <f>IF(B379&lt;&gt;"",VLOOKUP(B379,'Tipo Projeto'!$A$3:$B$35,2,0),0)</f>
        <v>0</v>
      </c>
      <c r="D379" s="47"/>
      <c r="E379" s="47"/>
      <c r="F379" s="47"/>
      <c r="G379" s="48"/>
      <c r="H379" s="47"/>
      <c r="I379" s="75">
        <f t="shared" si="10"/>
        <v>0</v>
      </c>
      <c r="J379" s="47"/>
      <c r="K379" s="288">
        <f t="shared" si="11"/>
        <v>0</v>
      </c>
    </row>
    <row r="380" spans="1:11" s="56" customFormat="1" ht="15.75" customHeight="1">
      <c r="A380" s="44"/>
      <c r="B380" s="45"/>
      <c r="C380" s="46">
        <f>IF(B380&lt;&gt;"",VLOOKUP(B380,'Tipo Projeto'!$A$3:$B$35,2,0),0)</f>
        <v>0</v>
      </c>
      <c r="D380" s="47"/>
      <c r="E380" s="47"/>
      <c r="F380" s="47"/>
      <c r="G380" s="48"/>
      <c r="H380" s="47"/>
      <c r="I380" s="75">
        <f t="shared" si="10"/>
        <v>0</v>
      </c>
      <c r="J380" s="47"/>
      <c r="K380" s="288">
        <f t="shared" si="11"/>
        <v>0</v>
      </c>
    </row>
    <row r="381" spans="1:11" s="56" customFormat="1" ht="15.75" customHeight="1">
      <c r="A381" s="44"/>
      <c r="B381" s="45"/>
      <c r="C381" s="46">
        <f>IF(B381&lt;&gt;"",VLOOKUP(B381,'Tipo Projeto'!$A$3:$B$35,2,0),0)</f>
        <v>0</v>
      </c>
      <c r="D381" s="47"/>
      <c r="E381" s="47"/>
      <c r="F381" s="47"/>
      <c r="G381" s="48"/>
      <c r="H381" s="47"/>
      <c r="I381" s="75">
        <f t="shared" si="10"/>
        <v>0</v>
      </c>
      <c r="J381" s="47"/>
      <c r="K381" s="288">
        <f t="shared" si="11"/>
        <v>0</v>
      </c>
    </row>
    <row r="382" spans="1:11" s="56" customFormat="1" ht="15.75" customHeight="1">
      <c r="A382" s="44"/>
      <c r="B382" s="45"/>
      <c r="C382" s="46">
        <f>IF(B382&lt;&gt;"",VLOOKUP(B382,'Tipo Projeto'!$A$3:$B$35,2,0),0)</f>
        <v>0</v>
      </c>
      <c r="D382" s="47"/>
      <c r="E382" s="47"/>
      <c r="F382" s="47"/>
      <c r="G382" s="48"/>
      <c r="H382" s="47"/>
      <c r="I382" s="75">
        <f t="shared" ref="I382:I445" si="12">IF(B382&lt;&gt;"Manutenção em interface",IF(B382&lt;&gt;"Desenv., Manutenção e Publicação de Páginas Estáticas",IF(H382="EE",4,IF(H382="CE",4,IF(H382="SE",5,IF(H382="ALI",7,IF(H382="AIE",5,0)))))*C382,C382),C382)</f>
        <v>0</v>
      </c>
      <c r="J382" s="47"/>
      <c r="K382" s="288">
        <f t="shared" si="11"/>
        <v>0</v>
      </c>
    </row>
    <row r="383" spans="1:11" s="56" customFormat="1" ht="15.75" customHeight="1">
      <c r="A383" s="44"/>
      <c r="B383" s="45"/>
      <c r="C383" s="46">
        <f>IF(B383&lt;&gt;"",VLOOKUP(B383,'Tipo Projeto'!$A$3:$B$35,2,0),0)</f>
        <v>0</v>
      </c>
      <c r="D383" s="47"/>
      <c r="E383" s="47"/>
      <c r="F383" s="47"/>
      <c r="G383" s="48"/>
      <c r="H383" s="47"/>
      <c r="I383" s="75">
        <f t="shared" si="12"/>
        <v>0</v>
      </c>
      <c r="J383" s="47"/>
      <c r="K383" s="288">
        <f t="shared" si="11"/>
        <v>0</v>
      </c>
    </row>
    <row r="384" spans="1:11" s="56" customFormat="1" ht="15.75" customHeight="1">
      <c r="A384" s="44"/>
      <c r="B384" s="45"/>
      <c r="C384" s="46">
        <f>IF(B384&lt;&gt;"",VLOOKUP(B384,'Tipo Projeto'!$A$3:$B$35,2,0),0)</f>
        <v>0</v>
      </c>
      <c r="D384" s="47"/>
      <c r="E384" s="47"/>
      <c r="F384" s="47"/>
      <c r="G384" s="48"/>
      <c r="H384" s="47"/>
      <c r="I384" s="75">
        <f t="shared" si="12"/>
        <v>0</v>
      </c>
      <c r="J384" s="47"/>
      <c r="K384" s="288">
        <f t="shared" si="11"/>
        <v>0</v>
      </c>
    </row>
    <row r="385" spans="1:11" s="56" customFormat="1" ht="15.75" customHeight="1">
      <c r="A385" s="44"/>
      <c r="B385" s="45"/>
      <c r="C385" s="46">
        <f>IF(B385&lt;&gt;"",VLOOKUP(B385,'Tipo Projeto'!$A$3:$B$35,2,0),0)</f>
        <v>0</v>
      </c>
      <c r="D385" s="47"/>
      <c r="E385" s="47"/>
      <c r="F385" s="47"/>
      <c r="G385" s="48"/>
      <c r="H385" s="47"/>
      <c r="I385" s="75">
        <f t="shared" si="12"/>
        <v>0</v>
      </c>
      <c r="J385" s="47"/>
      <c r="K385" s="288">
        <f t="shared" si="11"/>
        <v>0</v>
      </c>
    </row>
    <row r="386" spans="1:11" s="56" customFormat="1" ht="15.75" customHeight="1">
      <c r="A386" s="44"/>
      <c r="B386" s="45"/>
      <c r="C386" s="46">
        <f>IF(B386&lt;&gt;"",VLOOKUP(B386,'Tipo Projeto'!$A$3:$B$35,2,0),0)</f>
        <v>0</v>
      </c>
      <c r="D386" s="47"/>
      <c r="E386" s="47"/>
      <c r="F386" s="47"/>
      <c r="G386" s="48"/>
      <c r="H386" s="47"/>
      <c r="I386" s="75">
        <f t="shared" si="12"/>
        <v>0</v>
      </c>
      <c r="J386" s="47"/>
      <c r="K386" s="288">
        <f t="shared" si="11"/>
        <v>0</v>
      </c>
    </row>
    <row r="387" spans="1:11" s="56" customFormat="1" ht="15.75" customHeight="1">
      <c r="A387" s="44"/>
      <c r="B387" s="45"/>
      <c r="C387" s="46">
        <f>IF(B387&lt;&gt;"",VLOOKUP(B387,'Tipo Projeto'!$A$3:$B$35,2,0),0)</f>
        <v>0</v>
      </c>
      <c r="D387" s="47"/>
      <c r="E387" s="47"/>
      <c r="F387" s="47"/>
      <c r="G387" s="48"/>
      <c r="H387" s="47"/>
      <c r="I387" s="75">
        <f t="shared" si="12"/>
        <v>0</v>
      </c>
      <c r="J387" s="47"/>
      <c r="K387" s="288">
        <f t="shared" si="11"/>
        <v>0</v>
      </c>
    </row>
    <row r="388" spans="1:11" s="56" customFormat="1" ht="15.75" customHeight="1">
      <c r="A388" s="44"/>
      <c r="B388" s="45"/>
      <c r="C388" s="46">
        <f>IF(B388&lt;&gt;"",VLOOKUP(B388,'Tipo Projeto'!$A$3:$B$35,2,0),0)</f>
        <v>0</v>
      </c>
      <c r="D388" s="47"/>
      <c r="E388" s="47"/>
      <c r="F388" s="47"/>
      <c r="G388" s="48"/>
      <c r="H388" s="47"/>
      <c r="I388" s="75">
        <f t="shared" si="12"/>
        <v>0</v>
      </c>
      <c r="J388" s="47"/>
      <c r="K388" s="288">
        <f t="shared" si="11"/>
        <v>0</v>
      </c>
    </row>
    <row r="389" spans="1:11" s="56" customFormat="1" ht="15.75" customHeight="1">
      <c r="A389" s="44"/>
      <c r="B389" s="45"/>
      <c r="C389" s="46">
        <f>IF(B389&lt;&gt;"",VLOOKUP(B389,'Tipo Projeto'!$A$3:$B$35,2,0),0)</f>
        <v>0</v>
      </c>
      <c r="D389" s="47"/>
      <c r="E389" s="47"/>
      <c r="F389" s="47"/>
      <c r="G389" s="48"/>
      <c r="H389" s="47"/>
      <c r="I389" s="75">
        <f t="shared" si="12"/>
        <v>0</v>
      </c>
      <c r="J389" s="47"/>
      <c r="K389" s="288">
        <f t="shared" si="11"/>
        <v>0</v>
      </c>
    </row>
    <row r="390" spans="1:11" s="56" customFormat="1" ht="15.75" customHeight="1">
      <c r="A390" s="44"/>
      <c r="B390" s="45"/>
      <c r="C390" s="46">
        <f>IF(B390&lt;&gt;"",VLOOKUP(B390,'Tipo Projeto'!$A$3:$B$35,2,0),0)</f>
        <v>0</v>
      </c>
      <c r="D390" s="47"/>
      <c r="E390" s="47"/>
      <c r="F390" s="47"/>
      <c r="G390" s="48"/>
      <c r="H390" s="47"/>
      <c r="I390" s="75">
        <f t="shared" si="12"/>
        <v>0</v>
      </c>
      <c r="J390" s="47"/>
      <c r="K390" s="288">
        <f t="shared" si="11"/>
        <v>0</v>
      </c>
    </row>
    <row r="391" spans="1:11" s="56" customFormat="1" ht="15.75" customHeight="1">
      <c r="A391" s="44"/>
      <c r="B391" s="45"/>
      <c r="C391" s="46">
        <f>IF(B391&lt;&gt;"",VLOOKUP(B391,'Tipo Projeto'!$A$3:$B$35,2,0),0)</f>
        <v>0</v>
      </c>
      <c r="D391" s="47"/>
      <c r="E391" s="47"/>
      <c r="F391" s="47"/>
      <c r="G391" s="48"/>
      <c r="H391" s="47"/>
      <c r="I391" s="75">
        <f t="shared" si="12"/>
        <v>0</v>
      </c>
      <c r="J391" s="47"/>
      <c r="K391" s="288">
        <f t="shared" si="11"/>
        <v>0</v>
      </c>
    </row>
    <row r="392" spans="1:11" s="56" customFormat="1" ht="15.75" customHeight="1">
      <c r="A392" s="44"/>
      <c r="B392" s="45"/>
      <c r="C392" s="46">
        <f>IF(B392&lt;&gt;"",VLOOKUP(B392,'Tipo Projeto'!$A$3:$B$35,2,0),0)</f>
        <v>0</v>
      </c>
      <c r="D392" s="47"/>
      <c r="E392" s="47"/>
      <c r="F392" s="47"/>
      <c r="G392" s="48"/>
      <c r="H392" s="47"/>
      <c r="I392" s="75">
        <f t="shared" si="12"/>
        <v>0</v>
      </c>
      <c r="J392" s="47"/>
      <c r="K392" s="288">
        <f t="shared" si="11"/>
        <v>0</v>
      </c>
    </row>
    <row r="393" spans="1:11" s="56" customFormat="1" ht="15.75" customHeight="1">
      <c r="A393" s="44"/>
      <c r="B393" s="45"/>
      <c r="C393" s="46">
        <f>IF(B393&lt;&gt;"",VLOOKUP(B393,'Tipo Projeto'!$A$3:$B$35,2,0),0)</f>
        <v>0</v>
      </c>
      <c r="D393" s="47"/>
      <c r="E393" s="47"/>
      <c r="F393" s="47"/>
      <c r="G393" s="48"/>
      <c r="H393" s="47"/>
      <c r="I393" s="75">
        <f t="shared" si="12"/>
        <v>0</v>
      </c>
      <c r="J393" s="47"/>
      <c r="K393" s="288">
        <f t="shared" si="11"/>
        <v>0</v>
      </c>
    </row>
    <row r="394" spans="1:11" s="56" customFormat="1" ht="15.75" customHeight="1">
      <c r="A394" s="44"/>
      <c r="B394" s="45"/>
      <c r="C394" s="46">
        <f>IF(B394&lt;&gt;"",VLOOKUP(B394,'Tipo Projeto'!$A$3:$B$35,2,0),0)</f>
        <v>0</v>
      </c>
      <c r="D394" s="47"/>
      <c r="E394" s="47"/>
      <c r="F394" s="47"/>
      <c r="G394" s="48"/>
      <c r="H394" s="47"/>
      <c r="I394" s="75">
        <f t="shared" si="12"/>
        <v>0</v>
      </c>
      <c r="J394" s="47"/>
      <c r="K394" s="288">
        <f t="shared" si="11"/>
        <v>0</v>
      </c>
    </row>
    <row r="395" spans="1:11" s="56" customFormat="1" ht="15.75" customHeight="1">
      <c r="A395" s="44"/>
      <c r="B395" s="45"/>
      <c r="C395" s="46">
        <f>IF(B395&lt;&gt;"",VLOOKUP(B395,'Tipo Projeto'!$A$3:$B$35,2,0),0)</f>
        <v>0</v>
      </c>
      <c r="D395" s="47"/>
      <c r="E395" s="47"/>
      <c r="F395" s="47"/>
      <c r="G395" s="48"/>
      <c r="H395" s="47"/>
      <c r="I395" s="75">
        <f t="shared" si="12"/>
        <v>0</v>
      </c>
      <c r="J395" s="47"/>
      <c r="K395" s="288">
        <f t="shared" si="11"/>
        <v>0</v>
      </c>
    </row>
    <row r="396" spans="1:11" s="56" customFormat="1" ht="15.75" customHeight="1">
      <c r="A396" s="44"/>
      <c r="B396" s="45"/>
      <c r="C396" s="46">
        <f>IF(B396&lt;&gt;"",VLOOKUP(B396,'Tipo Projeto'!$A$3:$B$35,2,0),0)</f>
        <v>0</v>
      </c>
      <c r="D396" s="47"/>
      <c r="E396" s="47"/>
      <c r="F396" s="47"/>
      <c r="G396" s="48"/>
      <c r="H396" s="47"/>
      <c r="I396" s="75">
        <f t="shared" si="12"/>
        <v>0</v>
      </c>
      <c r="J396" s="47"/>
      <c r="K396" s="288">
        <f t="shared" ref="K396:K459" si="13">IF(AND(C396&lt;&gt;0,I396&lt;&gt;0),I396/C396,0)</f>
        <v>0</v>
      </c>
    </row>
    <row r="397" spans="1:11" s="56" customFormat="1" ht="15.75" customHeight="1">
      <c r="A397" s="44"/>
      <c r="B397" s="45"/>
      <c r="C397" s="46">
        <f>IF(B397&lt;&gt;"",VLOOKUP(B397,'Tipo Projeto'!$A$3:$B$35,2,0),0)</f>
        <v>0</v>
      </c>
      <c r="D397" s="47"/>
      <c r="E397" s="47"/>
      <c r="F397" s="47"/>
      <c r="G397" s="48"/>
      <c r="H397" s="47"/>
      <c r="I397" s="75">
        <f t="shared" si="12"/>
        <v>0</v>
      </c>
      <c r="J397" s="47"/>
      <c r="K397" s="288">
        <f t="shared" si="13"/>
        <v>0</v>
      </c>
    </row>
    <row r="398" spans="1:11" s="56" customFormat="1" ht="15.75" customHeight="1">
      <c r="A398" s="44"/>
      <c r="B398" s="45"/>
      <c r="C398" s="46">
        <f>IF(B398&lt;&gt;"",VLOOKUP(B398,'Tipo Projeto'!$A$3:$B$35,2,0),0)</f>
        <v>0</v>
      </c>
      <c r="D398" s="47"/>
      <c r="E398" s="47"/>
      <c r="F398" s="47"/>
      <c r="G398" s="48"/>
      <c r="H398" s="47"/>
      <c r="I398" s="75">
        <f t="shared" si="12"/>
        <v>0</v>
      </c>
      <c r="J398" s="47"/>
      <c r="K398" s="288">
        <f t="shared" si="13"/>
        <v>0</v>
      </c>
    </row>
    <row r="399" spans="1:11" s="56" customFormat="1" ht="15.75" customHeight="1">
      <c r="A399" s="44"/>
      <c r="B399" s="45"/>
      <c r="C399" s="46">
        <f>IF(B399&lt;&gt;"",VLOOKUP(B399,'Tipo Projeto'!$A$3:$B$35,2,0),0)</f>
        <v>0</v>
      </c>
      <c r="D399" s="47"/>
      <c r="E399" s="47"/>
      <c r="F399" s="47"/>
      <c r="G399" s="48"/>
      <c r="H399" s="47"/>
      <c r="I399" s="75">
        <f t="shared" si="12"/>
        <v>0</v>
      </c>
      <c r="J399" s="47"/>
      <c r="K399" s="288">
        <f t="shared" si="13"/>
        <v>0</v>
      </c>
    </row>
    <row r="400" spans="1:11" s="56" customFormat="1" ht="15.75" customHeight="1">
      <c r="A400" s="44"/>
      <c r="B400" s="45"/>
      <c r="C400" s="46">
        <f>IF(B400&lt;&gt;"",VLOOKUP(B400,'Tipo Projeto'!$A$3:$B$35,2,0),0)</f>
        <v>0</v>
      </c>
      <c r="D400" s="47"/>
      <c r="E400" s="47"/>
      <c r="F400" s="47"/>
      <c r="G400" s="48"/>
      <c r="H400" s="47"/>
      <c r="I400" s="75">
        <f t="shared" si="12"/>
        <v>0</v>
      </c>
      <c r="J400" s="47"/>
      <c r="K400" s="288">
        <f t="shared" si="13"/>
        <v>0</v>
      </c>
    </row>
    <row r="401" spans="1:11" s="56" customFormat="1" ht="15.75" customHeight="1">
      <c r="A401" s="44"/>
      <c r="B401" s="45"/>
      <c r="C401" s="46">
        <f>IF(B401&lt;&gt;"",VLOOKUP(B401,'Tipo Projeto'!$A$3:$B$35,2,0),0)</f>
        <v>0</v>
      </c>
      <c r="D401" s="47"/>
      <c r="E401" s="47"/>
      <c r="F401" s="47"/>
      <c r="G401" s="48"/>
      <c r="H401" s="47"/>
      <c r="I401" s="75">
        <f t="shared" si="12"/>
        <v>0</v>
      </c>
      <c r="J401" s="47"/>
      <c r="K401" s="288">
        <f t="shared" si="13"/>
        <v>0</v>
      </c>
    </row>
    <row r="402" spans="1:11" s="56" customFormat="1" ht="15.75" customHeight="1">
      <c r="A402" s="44"/>
      <c r="B402" s="45"/>
      <c r="C402" s="46">
        <f>IF(B402&lt;&gt;"",VLOOKUP(B402,'Tipo Projeto'!$A$3:$B$35,2,0),0)</f>
        <v>0</v>
      </c>
      <c r="D402" s="47"/>
      <c r="E402" s="47"/>
      <c r="F402" s="47"/>
      <c r="G402" s="48"/>
      <c r="H402" s="47"/>
      <c r="I402" s="75">
        <f t="shared" si="12"/>
        <v>0</v>
      </c>
      <c r="J402" s="47"/>
      <c r="K402" s="288">
        <f t="shared" si="13"/>
        <v>0</v>
      </c>
    </row>
    <row r="403" spans="1:11" s="56" customFormat="1" ht="15.75" customHeight="1">
      <c r="A403" s="44"/>
      <c r="B403" s="45"/>
      <c r="C403" s="46">
        <f>IF(B403&lt;&gt;"",VLOOKUP(B403,'Tipo Projeto'!$A$3:$B$35,2,0),0)</f>
        <v>0</v>
      </c>
      <c r="D403" s="47"/>
      <c r="E403" s="47"/>
      <c r="F403" s="47"/>
      <c r="G403" s="48"/>
      <c r="H403" s="47"/>
      <c r="I403" s="75">
        <f t="shared" si="12"/>
        <v>0</v>
      </c>
      <c r="J403" s="47"/>
      <c r="K403" s="288">
        <f t="shared" si="13"/>
        <v>0</v>
      </c>
    </row>
    <row r="404" spans="1:11" s="56" customFormat="1" ht="15.75" customHeight="1">
      <c r="A404" s="44"/>
      <c r="B404" s="45"/>
      <c r="C404" s="46">
        <f>IF(B404&lt;&gt;"",VLOOKUP(B404,'Tipo Projeto'!$A$3:$B$35,2,0),0)</f>
        <v>0</v>
      </c>
      <c r="D404" s="47"/>
      <c r="E404" s="47"/>
      <c r="F404" s="47"/>
      <c r="G404" s="48"/>
      <c r="H404" s="47"/>
      <c r="I404" s="75">
        <f t="shared" si="12"/>
        <v>0</v>
      </c>
      <c r="J404" s="47"/>
      <c r="K404" s="288">
        <f t="shared" si="13"/>
        <v>0</v>
      </c>
    </row>
    <row r="405" spans="1:11" s="56" customFormat="1" ht="15.75" customHeight="1">
      <c r="A405" s="44"/>
      <c r="B405" s="45"/>
      <c r="C405" s="46">
        <f>IF(B405&lt;&gt;"",VLOOKUP(B405,'Tipo Projeto'!$A$3:$B$35,2,0),0)</f>
        <v>0</v>
      </c>
      <c r="D405" s="47"/>
      <c r="E405" s="47"/>
      <c r="F405" s="47"/>
      <c r="G405" s="48"/>
      <c r="H405" s="47"/>
      <c r="I405" s="75">
        <f t="shared" si="12"/>
        <v>0</v>
      </c>
      <c r="J405" s="47"/>
      <c r="K405" s="288">
        <f t="shared" si="13"/>
        <v>0</v>
      </c>
    </row>
    <row r="406" spans="1:11" s="56" customFormat="1" ht="15.75" customHeight="1">
      <c r="A406" s="44"/>
      <c r="B406" s="45"/>
      <c r="C406" s="46">
        <f>IF(B406&lt;&gt;"",VLOOKUP(B406,'Tipo Projeto'!$A$3:$B$35,2,0),0)</f>
        <v>0</v>
      </c>
      <c r="D406" s="47"/>
      <c r="E406" s="47"/>
      <c r="F406" s="47"/>
      <c r="G406" s="48"/>
      <c r="H406" s="47"/>
      <c r="I406" s="75">
        <f t="shared" si="12"/>
        <v>0</v>
      </c>
      <c r="J406" s="47"/>
      <c r="K406" s="288">
        <f t="shared" si="13"/>
        <v>0</v>
      </c>
    </row>
    <row r="407" spans="1:11" s="56" customFormat="1" ht="15.75" customHeight="1">
      <c r="A407" s="44"/>
      <c r="B407" s="45"/>
      <c r="C407" s="46">
        <f>IF(B407&lt;&gt;"",VLOOKUP(B407,'Tipo Projeto'!$A$3:$B$35,2,0),0)</f>
        <v>0</v>
      </c>
      <c r="D407" s="47"/>
      <c r="E407" s="47"/>
      <c r="F407" s="47"/>
      <c r="G407" s="48"/>
      <c r="H407" s="47"/>
      <c r="I407" s="75">
        <f t="shared" si="12"/>
        <v>0</v>
      </c>
      <c r="J407" s="47"/>
      <c r="K407" s="288">
        <f t="shared" si="13"/>
        <v>0</v>
      </c>
    </row>
    <row r="408" spans="1:11" s="56" customFormat="1" ht="15.75" customHeight="1">
      <c r="A408" s="44"/>
      <c r="B408" s="45"/>
      <c r="C408" s="46">
        <f>IF(B408&lt;&gt;"",VLOOKUP(B408,'Tipo Projeto'!$A$3:$B$35,2,0),0)</f>
        <v>0</v>
      </c>
      <c r="D408" s="47"/>
      <c r="E408" s="47"/>
      <c r="F408" s="47"/>
      <c r="G408" s="48"/>
      <c r="H408" s="47"/>
      <c r="I408" s="75">
        <f t="shared" si="12"/>
        <v>0</v>
      </c>
      <c r="J408" s="47"/>
      <c r="K408" s="288">
        <f t="shared" si="13"/>
        <v>0</v>
      </c>
    </row>
    <row r="409" spans="1:11" s="56" customFormat="1" ht="15.75" customHeight="1">
      <c r="A409" s="44"/>
      <c r="B409" s="45"/>
      <c r="C409" s="46">
        <f>IF(B409&lt;&gt;"",VLOOKUP(B409,'Tipo Projeto'!$A$3:$B$35,2,0),0)</f>
        <v>0</v>
      </c>
      <c r="D409" s="47"/>
      <c r="E409" s="47"/>
      <c r="F409" s="47"/>
      <c r="G409" s="48"/>
      <c r="H409" s="47"/>
      <c r="I409" s="75">
        <f t="shared" si="12"/>
        <v>0</v>
      </c>
      <c r="J409" s="47"/>
      <c r="K409" s="288">
        <f t="shared" si="13"/>
        <v>0</v>
      </c>
    </row>
    <row r="410" spans="1:11" s="56" customFormat="1" ht="15.75" customHeight="1">
      <c r="A410" s="44"/>
      <c r="B410" s="45"/>
      <c r="C410" s="46">
        <f>IF(B410&lt;&gt;"",VLOOKUP(B410,'Tipo Projeto'!$A$3:$B$35,2,0),0)</f>
        <v>0</v>
      </c>
      <c r="D410" s="47"/>
      <c r="E410" s="47"/>
      <c r="F410" s="47"/>
      <c r="G410" s="48"/>
      <c r="H410" s="47"/>
      <c r="I410" s="75">
        <f t="shared" si="12"/>
        <v>0</v>
      </c>
      <c r="J410" s="47"/>
      <c r="K410" s="288">
        <f t="shared" si="13"/>
        <v>0</v>
      </c>
    </row>
    <row r="411" spans="1:11" s="56" customFormat="1" ht="15.75" customHeight="1">
      <c r="A411" s="44"/>
      <c r="B411" s="45"/>
      <c r="C411" s="46">
        <f>IF(B411&lt;&gt;"",VLOOKUP(B411,'Tipo Projeto'!$A$3:$B$35,2,0),0)</f>
        <v>0</v>
      </c>
      <c r="D411" s="47"/>
      <c r="E411" s="47"/>
      <c r="F411" s="47"/>
      <c r="G411" s="48"/>
      <c r="H411" s="47"/>
      <c r="I411" s="75">
        <f t="shared" si="12"/>
        <v>0</v>
      </c>
      <c r="J411" s="47"/>
      <c r="K411" s="288">
        <f t="shared" si="13"/>
        <v>0</v>
      </c>
    </row>
    <row r="412" spans="1:11" s="56" customFormat="1" ht="15.75" customHeight="1">
      <c r="A412" s="44"/>
      <c r="B412" s="45"/>
      <c r="C412" s="46">
        <f>IF(B412&lt;&gt;"",VLOOKUP(B412,'Tipo Projeto'!$A$3:$B$35,2,0),0)</f>
        <v>0</v>
      </c>
      <c r="D412" s="47"/>
      <c r="E412" s="47"/>
      <c r="F412" s="47"/>
      <c r="G412" s="48"/>
      <c r="H412" s="47"/>
      <c r="I412" s="75">
        <f t="shared" si="12"/>
        <v>0</v>
      </c>
      <c r="J412" s="47"/>
      <c r="K412" s="288">
        <f t="shared" si="13"/>
        <v>0</v>
      </c>
    </row>
    <row r="413" spans="1:11" s="56" customFormat="1" ht="15.75" customHeight="1">
      <c r="A413" s="44"/>
      <c r="B413" s="45"/>
      <c r="C413" s="46">
        <f>IF(B413&lt;&gt;"",VLOOKUP(B413,'Tipo Projeto'!$A$3:$B$35,2,0),0)</f>
        <v>0</v>
      </c>
      <c r="D413" s="47"/>
      <c r="E413" s="47"/>
      <c r="F413" s="47"/>
      <c r="G413" s="48"/>
      <c r="H413" s="47"/>
      <c r="I413" s="75">
        <f t="shared" si="12"/>
        <v>0</v>
      </c>
      <c r="J413" s="47"/>
      <c r="K413" s="288">
        <f t="shared" si="13"/>
        <v>0</v>
      </c>
    </row>
    <row r="414" spans="1:11" s="56" customFormat="1" ht="15.75" customHeight="1">
      <c r="A414" s="44"/>
      <c r="B414" s="45"/>
      <c r="C414" s="46">
        <f>IF(B414&lt;&gt;"",VLOOKUP(B414,'Tipo Projeto'!$A$3:$B$35,2,0),0)</f>
        <v>0</v>
      </c>
      <c r="D414" s="47"/>
      <c r="E414" s="47"/>
      <c r="F414" s="47"/>
      <c r="G414" s="48"/>
      <c r="H414" s="47"/>
      <c r="I414" s="75">
        <f t="shared" si="12"/>
        <v>0</v>
      </c>
      <c r="J414" s="47"/>
      <c r="K414" s="288">
        <f t="shared" si="13"/>
        <v>0</v>
      </c>
    </row>
    <row r="415" spans="1:11" s="56" customFormat="1" ht="15.75" customHeight="1">
      <c r="A415" s="44"/>
      <c r="B415" s="45"/>
      <c r="C415" s="46">
        <f>IF(B415&lt;&gt;"",VLOOKUP(B415,'Tipo Projeto'!$A$3:$B$35,2,0),0)</f>
        <v>0</v>
      </c>
      <c r="D415" s="47"/>
      <c r="E415" s="47"/>
      <c r="F415" s="47"/>
      <c r="G415" s="48"/>
      <c r="H415" s="47"/>
      <c r="I415" s="75">
        <f t="shared" si="12"/>
        <v>0</v>
      </c>
      <c r="J415" s="47"/>
      <c r="K415" s="288">
        <f t="shared" si="13"/>
        <v>0</v>
      </c>
    </row>
    <row r="416" spans="1:11" s="56" customFormat="1" ht="15.75" customHeight="1">
      <c r="A416" s="44"/>
      <c r="B416" s="45"/>
      <c r="C416" s="46">
        <f>IF(B416&lt;&gt;"",VLOOKUP(B416,'Tipo Projeto'!$A$3:$B$35,2,0),0)</f>
        <v>0</v>
      </c>
      <c r="D416" s="47"/>
      <c r="E416" s="47"/>
      <c r="F416" s="47"/>
      <c r="G416" s="48"/>
      <c r="H416" s="47"/>
      <c r="I416" s="75">
        <f t="shared" si="12"/>
        <v>0</v>
      </c>
      <c r="J416" s="47"/>
      <c r="K416" s="288">
        <f t="shared" si="13"/>
        <v>0</v>
      </c>
    </row>
    <row r="417" spans="1:11" s="56" customFormat="1" ht="15.75" customHeight="1">
      <c r="A417" s="44"/>
      <c r="B417" s="45"/>
      <c r="C417" s="46">
        <f>IF(B417&lt;&gt;"",VLOOKUP(B417,'Tipo Projeto'!$A$3:$B$35,2,0),0)</f>
        <v>0</v>
      </c>
      <c r="D417" s="47"/>
      <c r="E417" s="47"/>
      <c r="F417" s="47"/>
      <c r="G417" s="48"/>
      <c r="H417" s="47"/>
      <c r="I417" s="75">
        <f t="shared" si="12"/>
        <v>0</v>
      </c>
      <c r="J417" s="47"/>
      <c r="K417" s="288">
        <f t="shared" si="13"/>
        <v>0</v>
      </c>
    </row>
    <row r="418" spans="1:11" s="56" customFormat="1" ht="15.75" customHeight="1">
      <c r="A418" s="44"/>
      <c r="B418" s="45"/>
      <c r="C418" s="46">
        <f>IF(B418&lt;&gt;"",VLOOKUP(B418,'Tipo Projeto'!$A$3:$B$35,2,0),0)</f>
        <v>0</v>
      </c>
      <c r="D418" s="47"/>
      <c r="E418" s="47"/>
      <c r="F418" s="47"/>
      <c r="G418" s="48"/>
      <c r="H418" s="47"/>
      <c r="I418" s="75">
        <f t="shared" si="12"/>
        <v>0</v>
      </c>
      <c r="J418" s="47"/>
      <c r="K418" s="288">
        <f t="shared" si="13"/>
        <v>0</v>
      </c>
    </row>
    <row r="419" spans="1:11" s="56" customFormat="1" ht="15.75" customHeight="1">
      <c r="A419" s="44"/>
      <c r="B419" s="45"/>
      <c r="C419" s="46">
        <f>IF(B419&lt;&gt;"",VLOOKUP(B419,'Tipo Projeto'!$A$3:$B$35,2,0),0)</f>
        <v>0</v>
      </c>
      <c r="D419" s="47"/>
      <c r="E419" s="47"/>
      <c r="F419" s="47"/>
      <c r="G419" s="48"/>
      <c r="H419" s="47"/>
      <c r="I419" s="75">
        <f t="shared" si="12"/>
        <v>0</v>
      </c>
      <c r="J419" s="47"/>
      <c r="K419" s="288">
        <f t="shared" si="13"/>
        <v>0</v>
      </c>
    </row>
    <row r="420" spans="1:11" s="56" customFormat="1" ht="15.75" customHeight="1">
      <c r="A420" s="44"/>
      <c r="B420" s="45"/>
      <c r="C420" s="46">
        <f>IF(B420&lt;&gt;"",VLOOKUP(B420,'Tipo Projeto'!$A$3:$B$35,2,0),0)</f>
        <v>0</v>
      </c>
      <c r="D420" s="47"/>
      <c r="E420" s="47"/>
      <c r="F420" s="47"/>
      <c r="G420" s="48"/>
      <c r="H420" s="47"/>
      <c r="I420" s="75">
        <f t="shared" si="12"/>
        <v>0</v>
      </c>
      <c r="J420" s="47"/>
      <c r="K420" s="288">
        <f t="shared" si="13"/>
        <v>0</v>
      </c>
    </row>
    <row r="421" spans="1:11" s="56" customFormat="1" ht="15.75" customHeight="1">
      <c r="A421" s="44"/>
      <c r="B421" s="45"/>
      <c r="C421" s="46">
        <f>IF(B421&lt;&gt;"",VLOOKUP(B421,'Tipo Projeto'!$A$3:$B$35,2,0),0)</f>
        <v>0</v>
      </c>
      <c r="D421" s="47"/>
      <c r="E421" s="47"/>
      <c r="F421" s="47"/>
      <c r="G421" s="48"/>
      <c r="H421" s="47"/>
      <c r="I421" s="75">
        <f t="shared" si="12"/>
        <v>0</v>
      </c>
      <c r="J421" s="47"/>
      <c r="K421" s="288">
        <f t="shared" si="13"/>
        <v>0</v>
      </c>
    </row>
    <row r="422" spans="1:11" s="56" customFormat="1" ht="15.75" customHeight="1">
      <c r="A422" s="44"/>
      <c r="B422" s="45"/>
      <c r="C422" s="46">
        <f>IF(B422&lt;&gt;"",VLOOKUP(B422,'Tipo Projeto'!$A$3:$B$35,2,0),0)</f>
        <v>0</v>
      </c>
      <c r="D422" s="47"/>
      <c r="E422" s="47"/>
      <c r="F422" s="47"/>
      <c r="G422" s="48"/>
      <c r="H422" s="47"/>
      <c r="I422" s="75">
        <f t="shared" si="12"/>
        <v>0</v>
      </c>
      <c r="J422" s="47"/>
      <c r="K422" s="288">
        <f t="shared" si="13"/>
        <v>0</v>
      </c>
    </row>
    <row r="423" spans="1:11" s="56" customFormat="1" ht="15.75" customHeight="1">
      <c r="A423" s="44"/>
      <c r="B423" s="45"/>
      <c r="C423" s="46">
        <f>IF(B423&lt;&gt;"",VLOOKUP(B423,'Tipo Projeto'!$A$3:$B$35,2,0),0)</f>
        <v>0</v>
      </c>
      <c r="D423" s="47"/>
      <c r="E423" s="47"/>
      <c r="F423" s="47"/>
      <c r="G423" s="48"/>
      <c r="H423" s="47"/>
      <c r="I423" s="75">
        <f t="shared" si="12"/>
        <v>0</v>
      </c>
      <c r="J423" s="47"/>
      <c r="K423" s="288">
        <f t="shared" si="13"/>
        <v>0</v>
      </c>
    </row>
    <row r="424" spans="1:11" s="56" customFormat="1" ht="15.75" customHeight="1">
      <c r="A424" s="44"/>
      <c r="B424" s="45"/>
      <c r="C424" s="46">
        <f>IF(B424&lt;&gt;"",VLOOKUP(B424,'Tipo Projeto'!$A$3:$B$35,2,0),0)</f>
        <v>0</v>
      </c>
      <c r="D424" s="47"/>
      <c r="E424" s="47"/>
      <c r="F424" s="47"/>
      <c r="G424" s="48"/>
      <c r="H424" s="47"/>
      <c r="I424" s="75">
        <f t="shared" si="12"/>
        <v>0</v>
      </c>
      <c r="J424" s="47"/>
      <c r="K424" s="288">
        <f t="shared" si="13"/>
        <v>0</v>
      </c>
    </row>
    <row r="425" spans="1:11" s="56" customFormat="1" ht="15.75" customHeight="1">
      <c r="A425" s="44"/>
      <c r="B425" s="45"/>
      <c r="C425" s="46">
        <f>IF(B425&lt;&gt;"",VLOOKUP(B425,'Tipo Projeto'!$A$3:$B$35,2,0),0)</f>
        <v>0</v>
      </c>
      <c r="D425" s="47"/>
      <c r="E425" s="47"/>
      <c r="F425" s="47"/>
      <c r="G425" s="48"/>
      <c r="H425" s="47"/>
      <c r="I425" s="75">
        <f t="shared" si="12"/>
        <v>0</v>
      </c>
      <c r="J425" s="47"/>
      <c r="K425" s="288">
        <f t="shared" si="13"/>
        <v>0</v>
      </c>
    </row>
    <row r="426" spans="1:11" s="56" customFormat="1" ht="15.75" customHeight="1">
      <c r="A426" s="44"/>
      <c r="B426" s="45"/>
      <c r="C426" s="46">
        <f>IF(B426&lt;&gt;"",VLOOKUP(B426,'Tipo Projeto'!$A$3:$B$35,2,0),0)</f>
        <v>0</v>
      </c>
      <c r="D426" s="47"/>
      <c r="E426" s="47"/>
      <c r="F426" s="47"/>
      <c r="G426" s="48"/>
      <c r="H426" s="47"/>
      <c r="I426" s="75">
        <f t="shared" si="12"/>
        <v>0</v>
      </c>
      <c r="J426" s="47"/>
      <c r="K426" s="288">
        <f t="shared" si="13"/>
        <v>0</v>
      </c>
    </row>
    <row r="427" spans="1:11" s="56" customFormat="1" ht="15.75" customHeight="1">
      <c r="A427" s="44"/>
      <c r="B427" s="45"/>
      <c r="C427" s="46">
        <f>IF(B427&lt;&gt;"",VLOOKUP(B427,'Tipo Projeto'!$A$3:$B$35,2,0),0)</f>
        <v>0</v>
      </c>
      <c r="D427" s="47"/>
      <c r="E427" s="47"/>
      <c r="F427" s="47"/>
      <c r="G427" s="48"/>
      <c r="H427" s="47"/>
      <c r="I427" s="75">
        <f t="shared" si="12"/>
        <v>0</v>
      </c>
      <c r="J427" s="47"/>
      <c r="K427" s="288">
        <f t="shared" si="13"/>
        <v>0</v>
      </c>
    </row>
    <row r="428" spans="1:11" s="56" customFormat="1" ht="15.75" customHeight="1">
      <c r="A428" s="44"/>
      <c r="B428" s="45"/>
      <c r="C428" s="46">
        <f>IF(B428&lt;&gt;"",VLOOKUP(B428,'Tipo Projeto'!$A$3:$B$35,2,0),0)</f>
        <v>0</v>
      </c>
      <c r="D428" s="47"/>
      <c r="E428" s="47"/>
      <c r="F428" s="47"/>
      <c r="G428" s="48"/>
      <c r="H428" s="47"/>
      <c r="I428" s="75">
        <f t="shared" si="12"/>
        <v>0</v>
      </c>
      <c r="J428" s="47"/>
      <c r="K428" s="288">
        <f t="shared" si="13"/>
        <v>0</v>
      </c>
    </row>
    <row r="429" spans="1:11" s="56" customFormat="1" ht="15.75" customHeight="1">
      <c r="A429" s="44"/>
      <c r="B429" s="45"/>
      <c r="C429" s="46">
        <f>IF(B429&lt;&gt;"",VLOOKUP(B429,'Tipo Projeto'!$A$3:$B$35,2,0),0)</f>
        <v>0</v>
      </c>
      <c r="D429" s="47"/>
      <c r="E429" s="47"/>
      <c r="F429" s="47"/>
      <c r="G429" s="48"/>
      <c r="H429" s="47"/>
      <c r="I429" s="75">
        <f t="shared" si="12"/>
        <v>0</v>
      </c>
      <c r="J429" s="47"/>
      <c r="K429" s="288">
        <f t="shared" si="13"/>
        <v>0</v>
      </c>
    </row>
    <row r="430" spans="1:11" s="56" customFormat="1" ht="15.75" customHeight="1">
      <c r="A430" s="44"/>
      <c r="B430" s="45"/>
      <c r="C430" s="46">
        <f>IF(B430&lt;&gt;"",VLOOKUP(B430,'Tipo Projeto'!$A$3:$B$35,2,0),0)</f>
        <v>0</v>
      </c>
      <c r="D430" s="47"/>
      <c r="E430" s="47"/>
      <c r="F430" s="47"/>
      <c r="G430" s="48"/>
      <c r="H430" s="47"/>
      <c r="I430" s="75">
        <f t="shared" si="12"/>
        <v>0</v>
      </c>
      <c r="J430" s="47"/>
      <c r="K430" s="288">
        <f t="shared" si="13"/>
        <v>0</v>
      </c>
    </row>
    <row r="431" spans="1:11" s="56" customFormat="1" ht="15.75" customHeight="1">
      <c r="A431" s="44"/>
      <c r="B431" s="45"/>
      <c r="C431" s="46">
        <f>IF(B431&lt;&gt;"",VLOOKUP(B431,'Tipo Projeto'!$A$3:$B$35,2,0),0)</f>
        <v>0</v>
      </c>
      <c r="D431" s="47"/>
      <c r="E431" s="47"/>
      <c r="F431" s="47"/>
      <c r="G431" s="48"/>
      <c r="H431" s="47"/>
      <c r="I431" s="75">
        <f t="shared" si="12"/>
        <v>0</v>
      </c>
      <c r="J431" s="47"/>
      <c r="K431" s="288">
        <f t="shared" si="13"/>
        <v>0</v>
      </c>
    </row>
    <row r="432" spans="1:11" s="56" customFormat="1" ht="15.75" customHeight="1">
      <c r="A432" s="44"/>
      <c r="B432" s="45"/>
      <c r="C432" s="46">
        <f>IF(B432&lt;&gt;"",VLOOKUP(B432,'Tipo Projeto'!$A$3:$B$35,2,0),0)</f>
        <v>0</v>
      </c>
      <c r="D432" s="47"/>
      <c r="E432" s="47"/>
      <c r="F432" s="47"/>
      <c r="G432" s="48"/>
      <c r="H432" s="47"/>
      <c r="I432" s="75">
        <f t="shared" si="12"/>
        <v>0</v>
      </c>
      <c r="J432" s="47"/>
      <c r="K432" s="288">
        <f t="shared" si="13"/>
        <v>0</v>
      </c>
    </row>
    <row r="433" spans="1:11" s="56" customFormat="1" ht="15.75" customHeight="1">
      <c r="A433" s="44"/>
      <c r="B433" s="45"/>
      <c r="C433" s="46">
        <f>IF(B433&lt;&gt;"",VLOOKUP(B433,'Tipo Projeto'!$A$3:$B$35,2,0),0)</f>
        <v>0</v>
      </c>
      <c r="D433" s="47"/>
      <c r="E433" s="47"/>
      <c r="F433" s="47"/>
      <c r="G433" s="48"/>
      <c r="H433" s="47"/>
      <c r="I433" s="75">
        <f t="shared" si="12"/>
        <v>0</v>
      </c>
      <c r="J433" s="47"/>
      <c r="K433" s="288">
        <f t="shared" si="13"/>
        <v>0</v>
      </c>
    </row>
    <row r="434" spans="1:11" s="56" customFormat="1" ht="15.75" customHeight="1">
      <c r="A434" s="44"/>
      <c r="B434" s="45"/>
      <c r="C434" s="46">
        <f>IF(B434&lt;&gt;"",VLOOKUP(B434,'Tipo Projeto'!$A$3:$B$35,2,0),0)</f>
        <v>0</v>
      </c>
      <c r="D434" s="47"/>
      <c r="E434" s="47"/>
      <c r="F434" s="47"/>
      <c r="G434" s="48"/>
      <c r="H434" s="47"/>
      <c r="I434" s="75">
        <f t="shared" si="12"/>
        <v>0</v>
      </c>
      <c r="J434" s="47"/>
      <c r="K434" s="288">
        <f t="shared" si="13"/>
        <v>0</v>
      </c>
    </row>
    <row r="435" spans="1:11" s="56" customFormat="1" ht="15.75" customHeight="1">
      <c r="A435" s="44"/>
      <c r="B435" s="45"/>
      <c r="C435" s="46">
        <f>IF(B435&lt;&gt;"",VLOOKUP(B435,'Tipo Projeto'!$A$3:$B$35,2,0),0)</f>
        <v>0</v>
      </c>
      <c r="D435" s="47"/>
      <c r="E435" s="47"/>
      <c r="F435" s="47"/>
      <c r="G435" s="48"/>
      <c r="H435" s="47"/>
      <c r="I435" s="75">
        <f t="shared" si="12"/>
        <v>0</v>
      </c>
      <c r="J435" s="47"/>
      <c r="K435" s="288">
        <f t="shared" si="13"/>
        <v>0</v>
      </c>
    </row>
    <row r="436" spans="1:11" s="56" customFormat="1" ht="15.75" customHeight="1">
      <c r="A436" s="44"/>
      <c r="B436" s="45"/>
      <c r="C436" s="46">
        <f>IF(B436&lt;&gt;"",VLOOKUP(B436,'Tipo Projeto'!$A$3:$B$35,2,0),0)</f>
        <v>0</v>
      </c>
      <c r="D436" s="47"/>
      <c r="E436" s="47"/>
      <c r="F436" s="47"/>
      <c r="G436" s="48"/>
      <c r="H436" s="47"/>
      <c r="I436" s="75">
        <f t="shared" si="12"/>
        <v>0</v>
      </c>
      <c r="J436" s="47"/>
      <c r="K436" s="288">
        <f t="shared" si="13"/>
        <v>0</v>
      </c>
    </row>
    <row r="437" spans="1:11" s="56" customFormat="1" ht="15.75" customHeight="1">
      <c r="A437" s="44"/>
      <c r="B437" s="45"/>
      <c r="C437" s="46">
        <f>IF(B437&lt;&gt;"",VLOOKUP(B437,'Tipo Projeto'!$A$3:$B$35,2,0),0)</f>
        <v>0</v>
      </c>
      <c r="D437" s="47"/>
      <c r="E437" s="47"/>
      <c r="F437" s="47"/>
      <c r="G437" s="48"/>
      <c r="H437" s="47"/>
      <c r="I437" s="75">
        <f t="shared" si="12"/>
        <v>0</v>
      </c>
      <c r="J437" s="47"/>
      <c r="K437" s="288">
        <f t="shared" si="13"/>
        <v>0</v>
      </c>
    </row>
    <row r="438" spans="1:11" s="56" customFormat="1" ht="15.75" customHeight="1">
      <c r="A438" s="44"/>
      <c r="B438" s="45"/>
      <c r="C438" s="46">
        <f>IF(B438&lt;&gt;"",VLOOKUP(B438,'Tipo Projeto'!$A$3:$B$35,2,0),0)</f>
        <v>0</v>
      </c>
      <c r="D438" s="47"/>
      <c r="E438" s="47"/>
      <c r="F438" s="47"/>
      <c r="G438" s="48"/>
      <c r="H438" s="47"/>
      <c r="I438" s="75">
        <f t="shared" si="12"/>
        <v>0</v>
      </c>
      <c r="J438" s="47"/>
      <c r="K438" s="288">
        <f t="shared" si="13"/>
        <v>0</v>
      </c>
    </row>
    <row r="439" spans="1:11" s="56" customFormat="1" ht="15.75" customHeight="1">
      <c r="A439" s="44"/>
      <c r="B439" s="45"/>
      <c r="C439" s="46">
        <f>IF(B439&lt;&gt;"",VLOOKUP(B439,'Tipo Projeto'!$A$3:$B$35,2,0),0)</f>
        <v>0</v>
      </c>
      <c r="D439" s="47"/>
      <c r="E439" s="47"/>
      <c r="F439" s="47"/>
      <c r="G439" s="48"/>
      <c r="H439" s="47"/>
      <c r="I439" s="75">
        <f t="shared" si="12"/>
        <v>0</v>
      </c>
      <c r="J439" s="47"/>
      <c r="K439" s="288">
        <f t="shared" si="13"/>
        <v>0</v>
      </c>
    </row>
    <row r="440" spans="1:11" s="56" customFormat="1" ht="15.75" customHeight="1">
      <c r="A440" s="44"/>
      <c r="B440" s="45"/>
      <c r="C440" s="46">
        <f>IF(B440&lt;&gt;"",VLOOKUP(B440,'Tipo Projeto'!$A$3:$B$35,2,0),0)</f>
        <v>0</v>
      </c>
      <c r="D440" s="47"/>
      <c r="E440" s="47"/>
      <c r="F440" s="47"/>
      <c r="G440" s="48"/>
      <c r="H440" s="47"/>
      <c r="I440" s="75">
        <f t="shared" si="12"/>
        <v>0</v>
      </c>
      <c r="J440" s="47"/>
      <c r="K440" s="288">
        <f t="shared" si="13"/>
        <v>0</v>
      </c>
    </row>
    <row r="441" spans="1:11" s="56" customFormat="1" ht="15.75" customHeight="1">
      <c r="A441" s="44"/>
      <c r="B441" s="45"/>
      <c r="C441" s="46">
        <f>IF(B441&lt;&gt;"",VLOOKUP(B441,'Tipo Projeto'!$A$3:$B$35,2,0),0)</f>
        <v>0</v>
      </c>
      <c r="D441" s="47"/>
      <c r="E441" s="47"/>
      <c r="F441" s="47"/>
      <c r="G441" s="48"/>
      <c r="H441" s="47"/>
      <c r="I441" s="75">
        <f t="shared" si="12"/>
        <v>0</v>
      </c>
      <c r="J441" s="47"/>
      <c r="K441" s="288">
        <f t="shared" si="13"/>
        <v>0</v>
      </c>
    </row>
    <row r="442" spans="1:11" s="56" customFormat="1" ht="15.75" customHeight="1">
      <c r="A442" s="44"/>
      <c r="B442" s="45"/>
      <c r="C442" s="46">
        <f>IF(B442&lt;&gt;"",VLOOKUP(B442,'Tipo Projeto'!$A$3:$B$35,2,0),0)</f>
        <v>0</v>
      </c>
      <c r="D442" s="47"/>
      <c r="E442" s="47"/>
      <c r="F442" s="47"/>
      <c r="G442" s="48"/>
      <c r="H442" s="47"/>
      <c r="I442" s="75">
        <f t="shared" si="12"/>
        <v>0</v>
      </c>
      <c r="J442" s="47"/>
      <c r="K442" s="288">
        <f t="shared" si="13"/>
        <v>0</v>
      </c>
    </row>
    <row r="443" spans="1:11" s="56" customFormat="1" ht="15.75" customHeight="1">
      <c r="A443" s="44"/>
      <c r="B443" s="45"/>
      <c r="C443" s="46">
        <f>IF(B443&lt;&gt;"",VLOOKUP(B443,'Tipo Projeto'!$A$3:$B$35,2,0),0)</f>
        <v>0</v>
      </c>
      <c r="D443" s="47"/>
      <c r="E443" s="47"/>
      <c r="F443" s="47"/>
      <c r="G443" s="48"/>
      <c r="H443" s="47"/>
      <c r="I443" s="75">
        <f t="shared" si="12"/>
        <v>0</v>
      </c>
      <c r="J443" s="47"/>
      <c r="K443" s="288">
        <f t="shared" si="13"/>
        <v>0</v>
      </c>
    </row>
    <row r="444" spans="1:11" s="56" customFormat="1" ht="15.75" customHeight="1">
      <c r="A444" s="44"/>
      <c r="B444" s="45"/>
      <c r="C444" s="46">
        <f>IF(B444&lt;&gt;"",VLOOKUP(B444,'Tipo Projeto'!$A$3:$B$35,2,0),0)</f>
        <v>0</v>
      </c>
      <c r="D444" s="47"/>
      <c r="E444" s="47"/>
      <c r="F444" s="47"/>
      <c r="G444" s="48"/>
      <c r="H444" s="47"/>
      <c r="I444" s="75">
        <f t="shared" si="12"/>
        <v>0</v>
      </c>
      <c r="J444" s="47"/>
      <c r="K444" s="288">
        <f t="shared" si="13"/>
        <v>0</v>
      </c>
    </row>
    <row r="445" spans="1:11" s="56" customFormat="1" ht="15.75" customHeight="1">
      <c r="A445" s="44"/>
      <c r="B445" s="45"/>
      <c r="C445" s="46">
        <f>IF(B445&lt;&gt;"",VLOOKUP(B445,'Tipo Projeto'!$A$3:$B$35,2,0),0)</f>
        <v>0</v>
      </c>
      <c r="D445" s="47"/>
      <c r="E445" s="47"/>
      <c r="F445" s="47"/>
      <c r="G445" s="48"/>
      <c r="H445" s="47"/>
      <c r="I445" s="75">
        <f t="shared" si="12"/>
        <v>0</v>
      </c>
      <c r="J445" s="47"/>
      <c r="K445" s="288">
        <f t="shared" si="13"/>
        <v>0</v>
      </c>
    </row>
    <row r="446" spans="1:11" s="56" customFormat="1" ht="15.75" customHeight="1">
      <c r="A446" s="44"/>
      <c r="B446" s="45"/>
      <c r="C446" s="46">
        <f>IF(B446&lt;&gt;"",VLOOKUP(B446,'Tipo Projeto'!$A$3:$B$35,2,0),0)</f>
        <v>0</v>
      </c>
      <c r="D446" s="47"/>
      <c r="E446" s="47"/>
      <c r="F446" s="47"/>
      <c r="G446" s="48"/>
      <c r="H446" s="47"/>
      <c r="I446" s="75">
        <f t="shared" ref="I446:I509" si="14">IF(B446&lt;&gt;"Manutenção em interface",IF(B446&lt;&gt;"Desenv., Manutenção e Publicação de Páginas Estáticas",IF(H446="EE",4,IF(H446="CE",4,IF(H446="SE",5,IF(H446="ALI",7,IF(H446="AIE",5,0)))))*C446,C446),C446)</f>
        <v>0</v>
      </c>
      <c r="J446" s="47"/>
      <c r="K446" s="288">
        <f t="shared" si="13"/>
        <v>0</v>
      </c>
    </row>
    <row r="447" spans="1:11" s="56" customFormat="1" ht="15.75" customHeight="1">
      <c r="A447" s="44"/>
      <c r="B447" s="45"/>
      <c r="C447" s="46">
        <f>IF(B447&lt;&gt;"",VLOOKUP(B447,'Tipo Projeto'!$A$3:$B$35,2,0),0)</f>
        <v>0</v>
      </c>
      <c r="D447" s="47"/>
      <c r="E447" s="47"/>
      <c r="F447" s="47"/>
      <c r="G447" s="48"/>
      <c r="H447" s="47"/>
      <c r="I447" s="75">
        <f t="shared" si="14"/>
        <v>0</v>
      </c>
      <c r="J447" s="47"/>
      <c r="K447" s="288">
        <f t="shared" si="13"/>
        <v>0</v>
      </c>
    </row>
    <row r="448" spans="1:11" s="56" customFormat="1" ht="15.75" customHeight="1">
      <c r="A448" s="44"/>
      <c r="B448" s="45"/>
      <c r="C448" s="46">
        <f>IF(B448&lt;&gt;"",VLOOKUP(B448,'Tipo Projeto'!$A$3:$B$35,2,0),0)</f>
        <v>0</v>
      </c>
      <c r="D448" s="47"/>
      <c r="E448" s="47"/>
      <c r="F448" s="47"/>
      <c r="G448" s="48"/>
      <c r="H448" s="47"/>
      <c r="I448" s="75">
        <f t="shared" si="14"/>
        <v>0</v>
      </c>
      <c r="J448" s="47"/>
      <c r="K448" s="288">
        <f t="shared" si="13"/>
        <v>0</v>
      </c>
    </row>
    <row r="449" spans="1:11" s="56" customFormat="1" ht="15.75" customHeight="1">
      <c r="A449" s="44"/>
      <c r="B449" s="45"/>
      <c r="C449" s="46">
        <f>IF(B449&lt;&gt;"",VLOOKUP(B449,'Tipo Projeto'!$A$3:$B$35,2,0),0)</f>
        <v>0</v>
      </c>
      <c r="D449" s="47"/>
      <c r="E449" s="47"/>
      <c r="F449" s="47"/>
      <c r="G449" s="48"/>
      <c r="H449" s="47"/>
      <c r="I449" s="75">
        <f t="shared" si="14"/>
        <v>0</v>
      </c>
      <c r="J449" s="47"/>
      <c r="K449" s="288">
        <f t="shared" si="13"/>
        <v>0</v>
      </c>
    </row>
    <row r="450" spans="1:11" s="56" customFormat="1" ht="15.75" customHeight="1">
      <c r="A450" s="44"/>
      <c r="B450" s="45"/>
      <c r="C450" s="46">
        <f>IF(B450&lt;&gt;"",VLOOKUP(B450,'Tipo Projeto'!$A$3:$B$35,2,0),0)</f>
        <v>0</v>
      </c>
      <c r="D450" s="47"/>
      <c r="E450" s="47"/>
      <c r="F450" s="47"/>
      <c r="G450" s="48"/>
      <c r="H450" s="47"/>
      <c r="I450" s="75">
        <f t="shared" si="14"/>
        <v>0</v>
      </c>
      <c r="J450" s="47"/>
      <c r="K450" s="288">
        <f t="shared" si="13"/>
        <v>0</v>
      </c>
    </row>
    <row r="451" spans="1:11" s="56" customFormat="1" ht="15.75" customHeight="1">
      <c r="A451" s="44"/>
      <c r="B451" s="45"/>
      <c r="C451" s="46">
        <f>IF(B451&lt;&gt;"",VLOOKUP(B451,'Tipo Projeto'!$A$3:$B$35,2,0),0)</f>
        <v>0</v>
      </c>
      <c r="D451" s="47"/>
      <c r="E451" s="47"/>
      <c r="F451" s="47"/>
      <c r="G451" s="48"/>
      <c r="H451" s="47"/>
      <c r="I451" s="75">
        <f t="shared" si="14"/>
        <v>0</v>
      </c>
      <c r="J451" s="47"/>
      <c r="K451" s="288">
        <f t="shared" si="13"/>
        <v>0</v>
      </c>
    </row>
    <row r="452" spans="1:11" s="56" customFormat="1" ht="15.75" customHeight="1">
      <c r="A452" s="44"/>
      <c r="B452" s="45"/>
      <c r="C452" s="46">
        <f>IF(B452&lt;&gt;"",VLOOKUP(B452,'Tipo Projeto'!$A$3:$B$35,2,0),0)</f>
        <v>0</v>
      </c>
      <c r="D452" s="47"/>
      <c r="E452" s="47"/>
      <c r="F452" s="47"/>
      <c r="G452" s="48"/>
      <c r="H452" s="47"/>
      <c r="I452" s="75">
        <f t="shared" si="14"/>
        <v>0</v>
      </c>
      <c r="J452" s="47"/>
      <c r="K452" s="288">
        <f t="shared" si="13"/>
        <v>0</v>
      </c>
    </row>
    <row r="453" spans="1:11" s="56" customFormat="1" ht="15.75" customHeight="1">
      <c r="A453" s="44"/>
      <c r="B453" s="45"/>
      <c r="C453" s="46">
        <f>IF(B453&lt;&gt;"",VLOOKUP(B453,'Tipo Projeto'!$A$3:$B$35,2,0),0)</f>
        <v>0</v>
      </c>
      <c r="D453" s="47"/>
      <c r="E453" s="47"/>
      <c r="F453" s="47"/>
      <c r="G453" s="48"/>
      <c r="H453" s="47"/>
      <c r="I453" s="75">
        <f t="shared" si="14"/>
        <v>0</v>
      </c>
      <c r="J453" s="47"/>
      <c r="K453" s="288">
        <f t="shared" si="13"/>
        <v>0</v>
      </c>
    </row>
    <row r="454" spans="1:11" s="56" customFormat="1" ht="15.75" customHeight="1">
      <c r="A454" s="44"/>
      <c r="B454" s="45"/>
      <c r="C454" s="46">
        <f>IF(B454&lt;&gt;"",VLOOKUP(B454,'Tipo Projeto'!$A$3:$B$35,2,0),0)</f>
        <v>0</v>
      </c>
      <c r="D454" s="47"/>
      <c r="E454" s="47"/>
      <c r="F454" s="47"/>
      <c r="G454" s="48"/>
      <c r="H454" s="47"/>
      <c r="I454" s="75">
        <f t="shared" si="14"/>
        <v>0</v>
      </c>
      <c r="J454" s="47"/>
      <c r="K454" s="288">
        <f t="shared" si="13"/>
        <v>0</v>
      </c>
    </row>
    <row r="455" spans="1:11" s="56" customFormat="1" ht="15.75" customHeight="1">
      <c r="A455" s="44"/>
      <c r="B455" s="45"/>
      <c r="C455" s="46">
        <f>IF(B455&lt;&gt;"",VLOOKUP(B455,'Tipo Projeto'!$A$3:$B$35,2,0),0)</f>
        <v>0</v>
      </c>
      <c r="D455" s="47"/>
      <c r="E455" s="47"/>
      <c r="F455" s="47"/>
      <c r="G455" s="48"/>
      <c r="H455" s="47"/>
      <c r="I455" s="75">
        <f t="shared" si="14"/>
        <v>0</v>
      </c>
      <c r="J455" s="47"/>
      <c r="K455" s="288">
        <f t="shared" si="13"/>
        <v>0</v>
      </c>
    </row>
    <row r="456" spans="1:11" s="56" customFormat="1" ht="15.75" customHeight="1">
      <c r="A456" s="44"/>
      <c r="B456" s="45"/>
      <c r="C456" s="46">
        <f>IF(B456&lt;&gt;"",VLOOKUP(B456,'Tipo Projeto'!$A$3:$B$35,2,0),0)</f>
        <v>0</v>
      </c>
      <c r="D456" s="47"/>
      <c r="E456" s="47"/>
      <c r="F456" s="47"/>
      <c r="G456" s="48"/>
      <c r="H456" s="47"/>
      <c r="I456" s="75">
        <f t="shared" si="14"/>
        <v>0</v>
      </c>
      <c r="J456" s="47"/>
      <c r="K456" s="288">
        <f t="shared" si="13"/>
        <v>0</v>
      </c>
    </row>
    <row r="457" spans="1:11" s="56" customFormat="1" ht="15.75" customHeight="1">
      <c r="A457" s="44"/>
      <c r="B457" s="45"/>
      <c r="C457" s="46">
        <f>IF(B457&lt;&gt;"",VLOOKUP(B457,'Tipo Projeto'!$A$3:$B$35,2,0),0)</f>
        <v>0</v>
      </c>
      <c r="D457" s="47"/>
      <c r="E457" s="47"/>
      <c r="F457" s="47"/>
      <c r="G457" s="48"/>
      <c r="H457" s="47"/>
      <c r="I457" s="75">
        <f t="shared" si="14"/>
        <v>0</v>
      </c>
      <c r="J457" s="47"/>
      <c r="K457" s="288">
        <f t="shared" si="13"/>
        <v>0</v>
      </c>
    </row>
    <row r="458" spans="1:11" s="56" customFormat="1" ht="15.75" customHeight="1">
      <c r="A458" s="44"/>
      <c r="B458" s="45"/>
      <c r="C458" s="46">
        <f>IF(B458&lt;&gt;"",VLOOKUP(B458,'Tipo Projeto'!$A$3:$B$35,2,0),0)</f>
        <v>0</v>
      </c>
      <c r="D458" s="47"/>
      <c r="E458" s="47"/>
      <c r="F458" s="47"/>
      <c r="G458" s="48"/>
      <c r="H458" s="47"/>
      <c r="I458" s="75">
        <f t="shared" si="14"/>
        <v>0</v>
      </c>
      <c r="J458" s="47"/>
      <c r="K458" s="288">
        <f t="shared" si="13"/>
        <v>0</v>
      </c>
    </row>
    <row r="459" spans="1:11" s="56" customFormat="1" ht="15.75" customHeight="1">
      <c r="A459" s="44"/>
      <c r="B459" s="45"/>
      <c r="C459" s="46">
        <f>IF(B459&lt;&gt;"",VLOOKUP(B459,'Tipo Projeto'!$A$3:$B$35,2,0),0)</f>
        <v>0</v>
      </c>
      <c r="D459" s="47"/>
      <c r="E459" s="47"/>
      <c r="F459" s="47"/>
      <c r="G459" s="48"/>
      <c r="H459" s="47"/>
      <c r="I459" s="75">
        <f t="shared" si="14"/>
        <v>0</v>
      </c>
      <c r="J459" s="47"/>
      <c r="K459" s="288">
        <f t="shared" si="13"/>
        <v>0</v>
      </c>
    </row>
    <row r="460" spans="1:11" s="56" customFormat="1" ht="15.75" customHeight="1">
      <c r="A460" s="44"/>
      <c r="B460" s="45"/>
      <c r="C460" s="46">
        <f>IF(B460&lt;&gt;"",VLOOKUP(B460,'Tipo Projeto'!$A$3:$B$35,2,0),0)</f>
        <v>0</v>
      </c>
      <c r="D460" s="47"/>
      <c r="E460" s="47"/>
      <c r="F460" s="47"/>
      <c r="G460" s="48"/>
      <c r="H460" s="47"/>
      <c r="I460" s="75">
        <f t="shared" si="14"/>
        <v>0</v>
      </c>
      <c r="J460" s="47"/>
      <c r="K460" s="288">
        <f t="shared" ref="K460:K523" si="15">IF(AND(C460&lt;&gt;0,I460&lt;&gt;0),I460/C460,0)</f>
        <v>0</v>
      </c>
    </row>
    <row r="461" spans="1:11" s="56" customFormat="1" ht="15.75" customHeight="1">
      <c r="A461" s="44"/>
      <c r="B461" s="45"/>
      <c r="C461" s="46">
        <f>IF(B461&lt;&gt;"",VLOOKUP(B461,'Tipo Projeto'!$A$3:$B$35,2,0),0)</f>
        <v>0</v>
      </c>
      <c r="D461" s="47"/>
      <c r="E461" s="47"/>
      <c r="F461" s="47"/>
      <c r="G461" s="48"/>
      <c r="H461" s="47"/>
      <c r="I461" s="75">
        <f t="shared" si="14"/>
        <v>0</v>
      </c>
      <c r="J461" s="47"/>
      <c r="K461" s="288">
        <f t="shared" si="15"/>
        <v>0</v>
      </c>
    </row>
    <row r="462" spans="1:11" s="56" customFormat="1" ht="15.75" customHeight="1">
      <c r="A462" s="44"/>
      <c r="B462" s="45"/>
      <c r="C462" s="46">
        <f>IF(B462&lt;&gt;"",VLOOKUP(B462,'Tipo Projeto'!$A$3:$B$35,2,0),0)</f>
        <v>0</v>
      </c>
      <c r="D462" s="47"/>
      <c r="E462" s="47"/>
      <c r="F462" s="47"/>
      <c r="G462" s="48"/>
      <c r="H462" s="47"/>
      <c r="I462" s="75">
        <f t="shared" si="14"/>
        <v>0</v>
      </c>
      <c r="J462" s="47"/>
      <c r="K462" s="288">
        <f t="shared" si="15"/>
        <v>0</v>
      </c>
    </row>
    <row r="463" spans="1:11" s="56" customFormat="1" ht="15.75" customHeight="1">
      <c r="A463" s="44"/>
      <c r="B463" s="45"/>
      <c r="C463" s="46">
        <f>IF(B463&lt;&gt;"",VLOOKUP(B463,'Tipo Projeto'!$A$3:$B$35,2,0),0)</f>
        <v>0</v>
      </c>
      <c r="D463" s="47"/>
      <c r="E463" s="47"/>
      <c r="F463" s="47"/>
      <c r="G463" s="48"/>
      <c r="H463" s="47"/>
      <c r="I463" s="75">
        <f t="shared" si="14"/>
        <v>0</v>
      </c>
      <c r="J463" s="47"/>
      <c r="K463" s="288">
        <f t="shared" si="15"/>
        <v>0</v>
      </c>
    </row>
    <row r="464" spans="1:11" s="56" customFormat="1" ht="15.75" customHeight="1">
      <c r="A464" s="44"/>
      <c r="B464" s="45"/>
      <c r="C464" s="46">
        <f>IF(B464&lt;&gt;"",VLOOKUP(B464,'Tipo Projeto'!$A$3:$B$35,2,0),0)</f>
        <v>0</v>
      </c>
      <c r="D464" s="47"/>
      <c r="E464" s="47"/>
      <c r="F464" s="47"/>
      <c r="G464" s="48"/>
      <c r="H464" s="47"/>
      <c r="I464" s="75">
        <f t="shared" si="14"/>
        <v>0</v>
      </c>
      <c r="J464" s="47"/>
      <c r="K464" s="288">
        <f t="shared" si="15"/>
        <v>0</v>
      </c>
    </row>
    <row r="465" spans="1:11" s="56" customFormat="1" ht="15.75" customHeight="1">
      <c r="A465" s="44"/>
      <c r="B465" s="45"/>
      <c r="C465" s="46">
        <f>IF(B465&lt;&gt;"",VLOOKUP(B465,'Tipo Projeto'!$A$3:$B$35,2,0),0)</f>
        <v>0</v>
      </c>
      <c r="D465" s="47"/>
      <c r="E465" s="47"/>
      <c r="F465" s="47"/>
      <c r="G465" s="48"/>
      <c r="H465" s="47"/>
      <c r="I465" s="75">
        <f t="shared" si="14"/>
        <v>0</v>
      </c>
      <c r="J465" s="47"/>
      <c r="K465" s="288">
        <f t="shared" si="15"/>
        <v>0</v>
      </c>
    </row>
    <row r="466" spans="1:11" s="56" customFormat="1" ht="15.75" customHeight="1">
      <c r="A466" s="44"/>
      <c r="B466" s="45"/>
      <c r="C466" s="46">
        <f>IF(B466&lt;&gt;"",VLOOKUP(B466,'Tipo Projeto'!$A$3:$B$35,2,0),0)</f>
        <v>0</v>
      </c>
      <c r="D466" s="47"/>
      <c r="E466" s="47"/>
      <c r="F466" s="47"/>
      <c r="G466" s="48"/>
      <c r="H466" s="47"/>
      <c r="I466" s="75">
        <f t="shared" si="14"/>
        <v>0</v>
      </c>
      <c r="J466" s="47"/>
      <c r="K466" s="288">
        <f t="shared" si="15"/>
        <v>0</v>
      </c>
    </row>
    <row r="467" spans="1:11" s="56" customFormat="1" ht="15.75" customHeight="1">
      <c r="A467" s="44"/>
      <c r="B467" s="45"/>
      <c r="C467" s="46">
        <f>IF(B467&lt;&gt;"",VLOOKUP(B467,'Tipo Projeto'!$A$3:$B$35,2,0),0)</f>
        <v>0</v>
      </c>
      <c r="D467" s="47"/>
      <c r="E467" s="47"/>
      <c r="F467" s="47"/>
      <c r="G467" s="48"/>
      <c r="H467" s="47"/>
      <c r="I467" s="75">
        <f t="shared" si="14"/>
        <v>0</v>
      </c>
      <c r="J467" s="47"/>
      <c r="K467" s="288">
        <f t="shared" si="15"/>
        <v>0</v>
      </c>
    </row>
    <row r="468" spans="1:11" s="56" customFormat="1" ht="15.75" customHeight="1">
      <c r="A468" s="44"/>
      <c r="B468" s="45"/>
      <c r="C468" s="46">
        <f>IF(B468&lt;&gt;"",VLOOKUP(B468,'Tipo Projeto'!$A$3:$B$35,2,0),0)</f>
        <v>0</v>
      </c>
      <c r="D468" s="47"/>
      <c r="E468" s="47"/>
      <c r="F468" s="47"/>
      <c r="G468" s="48"/>
      <c r="H468" s="47"/>
      <c r="I468" s="75">
        <f t="shared" si="14"/>
        <v>0</v>
      </c>
      <c r="J468" s="47"/>
      <c r="K468" s="288">
        <f t="shared" si="15"/>
        <v>0</v>
      </c>
    </row>
    <row r="469" spans="1:11" s="56" customFormat="1" ht="15.75" customHeight="1">
      <c r="A469" s="44"/>
      <c r="B469" s="45"/>
      <c r="C469" s="46">
        <f>IF(B469&lt;&gt;"",VLOOKUP(B469,'Tipo Projeto'!$A$3:$B$35,2,0),0)</f>
        <v>0</v>
      </c>
      <c r="D469" s="47"/>
      <c r="E469" s="47"/>
      <c r="F469" s="47"/>
      <c r="G469" s="48"/>
      <c r="H469" s="47"/>
      <c r="I469" s="75">
        <f t="shared" si="14"/>
        <v>0</v>
      </c>
      <c r="J469" s="47"/>
      <c r="K469" s="288">
        <f t="shared" si="15"/>
        <v>0</v>
      </c>
    </row>
    <row r="470" spans="1:11" s="56" customFormat="1" ht="15.75" customHeight="1">
      <c r="A470" s="44"/>
      <c r="B470" s="45"/>
      <c r="C470" s="46">
        <f>IF(B470&lt;&gt;"",VLOOKUP(B470,'Tipo Projeto'!$A$3:$B$35,2,0),0)</f>
        <v>0</v>
      </c>
      <c r="D470" s="47"/>
      <c r="E470" s="47"/>
      <c r="F470" s="47"/>
      <c r="G470" s="48"/>
      <c r="H470" s="47"/>
      <c r="I470" s="75">
        <f t="shared" si="14"/>
        <v>0</v>
      </c>
      <c r="J470" s="47"/>
      <c r="K470" s="288">
        <f t="shared" si="15"/>
        <v>0</v>
      </c>
    </row>
    <row r="471" spans="1:11" s="56" customFormat="1" ht="15.75" customHeight="1">
      <c r="A471" s="44"/>
      <c r="B471" s="45"/>
      <c r="C471" s="46">
        <f>IF(B471&lt;&gt;"",VLOOKUP(B471,'Tipo Projeto'!$A$3:$B$35,2,0),0)</f>
        <v>0</v>
      </c>
      <c r="D471" s="47"/>
      <c r="E471" s="47"/>
      <c r="F471" s="47"/>
      <c r="G471" s="48"/>
      <c r="H471" s="47"/>
      <c r="I471" s="75">
        <f t="shared" si="14"/>
        <v>0</v>
      </c>
      <c r="J471" s="47"/>
      <c r="K471" s="288">
        <f t="shared" si="15"/>
        <v>0</v>
      </c>
    </row>
    <row r="472" spans="1:11" s="56" customFormat="1" ht="15.75" customHeight="1">
      <c r="A472" s="44"/>
      <c r="B472" s="45"/>
      <c r="C472" s="46">
        <f>IF(B472&lt;&gt;"",VLOOKUP(B472,'Tipo Projeto'!$A$3:$B$35,2,0),0)</f>
        <v>0</v>
      </c>
      <c r="D472" s="47"/>
      <c r="E472" s="47"/>
      <c r="F472" s="47"/>
      <c r="G472" s="48"/>
      <c r="H472" s="47"/>
      <c r="I472" s="75">
        <f t="shared" si="14"/>
        <v>0</v>
      </c>
      <c r="J472" s="47"/>
      <c r="K472" s="288">
        <f t="shared" si="15"/>
        <v>0</v>
      </c>
    </row>
    <row r="473" spans="1:11" s="56" customFormat="1" ht="15.75" customHeight="1">
      <c r="A473" s="44"/>
      <c r="B473" s="45"/>
      <c r="C473" s="46">
        <f>IF(B473&lt;&gt;"",VLOOKUP(B473,'Tipo Projeto'!$A$3:$B$35,2,0),0)</f>
        <v>0</v>
      </c>
      <c r="D473" s="47"/>
      <c r="E473" s="47"/>
      <c r="F473" s="47"/>
      <c r="G473" s="48"/>
      <c r="H473" s="47"/>
      <c r="I473" s="75">
        <f t="shared" si="14"/>
        <v>0</v>
      </c>
      <c r="J473" s="47"/>
      <c r="K473" s="288">
        <f t="shared" si="15"/>
        <v>0</v>
      </c>
    </row>
    <row r="474" spans="1:11" s="56" customFormat="1" ht="15.75" customHeight="1">
      <c r="A474" s="44"/>
      <c r="B474" s="45"/>
      <c r="C474" s="46">
        <f>IF(B474&lt;&gt;"",VLOOKUP(B474,'Tipo Projeto'!$A$3:$B$35,2,0),0)</f>
        <v>0</v>
      </c>
      <c r="D474" s="47"/>
      <c r="E474" s="47"/>
      <c r="F474" s="47"/>
      <c r="G474" s="48"/>
      <c r="H474" s="47"/>
      <c r="I474" s="75">
        <f t="shared" si="14"/>
        <v>0</v>
      </c>
      <c r="J474" s="47"/>
      <c r="K474" s="288">
        <f t="shared" si="15"/>
        <v>0</v>
      </c>
    </row>
    <row r="475" spans="1:11" s="56" customFormat="1" ht="15.75" customHeight="1">
      <c r="A475" s="44"/>
      <c r="B475" s="45"/>
      <c r="C475" s="46">
        <f>IF(B475&lt;&gt;"",VLOOKUP(B475,'Tipo Projeto'!$A$3:$B$35,2,0),0)</f>
        <v>0</v>
      </c>
      <c r="D475" s="47"/>
      <c r="E475" s="47"/>
      <c r="F475" s="47"/>
      <c r="G475" s="48"/>
      <c r="H475" s="47"/>
      <c r="I475" s="75">
        <f t="shared" si="14"/>
        <v>0</v>
      </c>
      <c r="J475" s="47"/>
      <c r="K475" s="288">
        <f t="shared" si="15"/>
        <v>0</v>
      </c>
    </row>
    <row r="476" spans="1:11" s="56" customFormat="1" ht="15.75" customHeight="1">
      <c r="A476" s="44"/>
      <c r="B476" s="45"/>
      <c r="C476" s="46">
        <f>IF(B476&lt;&gt;"",VLOOKUP(B476,'Tipo Projeto'!$A$3:$B$35,2,0),0)</f>
        <v>0</v>
      </c>
      <c r="D476" s="47"/>
      <c r="E476" s="47"/>
      <c r="F476" s="47"/>
      <c r="G476" s="48"/>
      <c r="H476" s="47"/>
      <c r="I476" s="75">
        <f t="shared" si="14"/>
        <v>0</v>
      </c>
      <c r="J476" s="47"/>
      <c r="K476" s="288">
        <f t="shared" si="15"/>
        <v>0</v>
      </c>
    </row>
    <row r="477" spans="1:11" s="56" customFormat="1" ht="15.75" customHeight="1">
      <c r="A477" s="44"/>
      <c r="B477" s="45"/>
      <c r="C477" s="46">
        <f>IF(B477&lt;&gt;"",VLOOKUP(B477,'Tipo Projeto'!$A$3:$B$35,2,0),0)</f>
        <v>0</v>
      </c>
      <c r="D477" s="47"/>
      <c r="E477" s="47"/>
      <c r="F477" s="47"/>
      <c r="G477" s="48"/>
      <c r="H477" s="47"/>
      <c r="I477" s="75">
        <f t="shared" si="14"/>
        <v>0</v>
      </c>
      <c r="J477" s="47"/>
      <c r="K477" s="288">
        <f t="shared" si="15"/>
        <v>0</v>
      </c>
    </row>
    <row r="478" spans="1:11" s="56" customFormat="1" ht="15.75" customHeight="1">
      <c r="A478" s="44"/>
      <c r="B478" s="45"/>
      <c r="C478" s="46">
        <f>IF(B478&lt;&gt;"",VLOOKUP(B478,'Tipo Projeto'!$A$3:$B$35,2,0),0)</f>
        <v>0</v>
      </c>
      <c r="D478" s="47"/>
      <c r="E478" s="47"/>
      <c r="F478" s="47"/>
      <c r="G478" s="48"/>
      <c r="H478" s="47"/>
      <c r="I478" s="75">
        <f t="shared" si="14"/>
        <v>0</v>
      </c>
      <c r="J478" s="47"/>
      <c r="K478" s="288">
        <f t="shared" si="15"/>
        <v>0</v>
      </c>
    </row>
    <row r="479" spans="1:11" s="56" customFormat="1" ht="15.75" customHeight="1">
      <c r="A479" s="44"/>
      <c r="B479" s="45"/>
      <c r="C479" s="46">
        <f>IF(B479&lt;&gt;"",VLOOKUP(B479,'Tipo Projeto'!$A$3:$B$35,2,0),0)</f>
        <v>0</v>
      </c>
      <c r="D479" s="47"/>
      <c r="E479" s="47"/>
      <c r="F479" s="47"/>
      <c r="G479" s="48"/>
      <c r="H479" s="47"/>
      <c r="I479" s="75">
        <f t="shared" si="14"/>
        <v>0</v>
      </c>
      <c r="J479" s="47"/>
      <c r="K479" s="288">
        <f t="shared" si="15"/>
        <v>0</v>
      </c>
    </row>
    <row r="480" spans="1:11" s="56" customFormat="1" ht="15.75" customHeight="1">
      <c r="A480" s="44"/>
      <c r="B480" s="45"/>
      <c r="C480" s="46">
        <f>IF(B480&lt;&gt;"",VLOOKUP(B480,'Tipo Projeto'!$A$3:$B$35,2,0),0)</f>
        <v>0</v>
      </c>
      <c r="D480" s="47"/>
      <c r="E480" s="47"/>
      <c r="F480" s="47"/>
      <c r="G480" s="48"/>
      <c r="H480" s="47"/>
      <c r="I480" s="75">
        <f t="shared" si="14"/>
        <v>0</v>
      </c>
      <c r="J480" s="47"/>
      <c r="K480" s="288">
        <f t="shared" si="15"/>
        <v>0</v>
      </c>
    </row>
    <row r="481" spans="1:11" s="56" customFormat="1" ht="15.75" customHeight="1">
      <c r="A481" s="44"/>
      <c r="B481" s="45"/>
      <c r="C481" s="46">
        <f>IF(B481&lt;&gt;"",VLOOKUP(B481,'Tipo Projeto'!$A$3:$B$35,2,0),0)</f>
        <v>0</v>
      </c>
      <c r="D481" s="47"/>
      <c r="E481" s="47"/>
      <c r="F481" s="47"/>
      <c r="G481" s="48"/>
      <c r="H481" s="47"/>
      <c r="I481" s="75">
        <f t="shared" si="14"/>
        <v>0</v>
      </c>
      <c r="J481" s="47"/>
      <c r="K481" s="288">
        <f t="shared" si="15"/>
        <v>0</v>
      </c>
    </row>
    <row r="482" spans="1:11" s="56" customFormat="1" ht="15.75" customHeight="1">
      <c r="A482" s="44"/>
      <c r="B482" s="45"/>
      <c r="C482" s="46">
        <f>IF(B482&lt;&gt;"",VLOOKUP(B482,'Tipo Projeto'!$A$3:$B$35,2,0),0)</f>
        <v>0</v>
      </c>
      <c r="D482" s="47"/>
      <c r="E482" s="47"/>
      <c r="F482" s="47"/>
      <c r="G482" s="48"/>
      <c r="H482" s="47"/>
      <c r="I482" s="75">
        <f t="shared" si="14"/>
        <v>0</v>
      </c>
      <c r="J482" s="47"/>
      <c r="K482" s="288">
        <f t="shared" si="15"/>
        <v>0</v>
      </c>
    </row>
    <row r="483" spans="1:11" s="56" customFormat="1" ht="15.75" customHeight="1">
      <c r="A483" s="44"/>
      <c r="B483" s="45"/>
      <c r="C483" s="46">
        <f>IF(B483&lt;&gt;"",VLOOKUP(B483,'Tipo Projeto'!$A$3:$B$35,2,0),0)</f>
        <v>0</v>
      </c>
      <c r="D483" s="47"/>
      <c r="E483" s="47"/>
      <c r="F483" s="47"/>
      <c r="G483" s="48"/>
      <c r="H483" s="47"/>
      <c r="I483" s="75">
        <f t="shared" si="14"/>
        <v>0</v>
      </c>
      <c r="J483" s="47"/>
      <c r="K483" s="288">
        <f t="shared" si="15"/>
        <v>0</v>
      </c>
    </row>
    <row r="484" spans="1:11" s="56" customFormat="1" ht="15.75" customHeight="1">
      <c r="A484" s="44"/>
      <c r="B484" s="45"/>
      <c r="C484" s="46">
        <f>IF(B484&lt;&gt;"",VLOOKUP(B484,'Tipo Projeto'!$A$3:$B$35,2,0),0)</f>
        <v>0</v>
      </c>
      <c r="D484" s="47"/>
      <c r="E484" s="47"/>
      <c r="F484" s="47"/>
      <c r="G484" s="48"/>
      <c r="H484" s="47"/>
      <c r="I484" s="75">
        <f t="shared" si="14"/>
        <v>0</v>
      </c>
      <c r="J484" s="47"/>
      <c r="K484" s="288">
        <f t="shared" si="15"/>
        <v>0</v>
      </c>
    </row>
    <row r="485" spans="1:11" s="56" customFormat="1" ht="15.75" customHeight="1">
      <c r="A485" s="44"/>
      <c r="B485" s="45"/>
      <c r="C485" s="46">
        <f>IF(B485&lt;&gt;"",VLOOKUP(B485,'Tipo Projeto'!$A$3:$B$35,2,0),0)</f>
        <v>0</v>
      </c>
      <c r="D485" s="47"/>
      <c r="E485" s="47"/>
      <c r="F485" s="47"/>
      <c r="G485" s="48"/>
      <c r="H485" s="47"/>
      <c r="I485" s="75">
        <f t="shared" si="14"/>
        <v>0</v>
      </c>
      <c r="J485" s="47"/>
      <c r="K485" s="288">
        <f t="shared" si="15"/>
        <v>0</v>
      </c>
    </row>
    <row r="486" spans="1:11" s="56" customFormat="1" ht="15.75" customHeight="1">
      <c r="A486" s="44"/>
      <c r="B486" s="45"/>
      <c r="C486" s="46">
        <f>IF(B486&lt;&gt;"",VLOOKUP(B486,'Tipo Projeto'!$A$3:$B$35,2,0),0)</f>
        <v>0</v>
      </c>
      <c r="D486" s="47"/>
      <c r="E486" s="47"/>
      <c r="F486" s="47"/>
      <c r="G486" s="48"/>
      <c r="H486" s="47"/>
      <c r="I486" s="75">
        <f t="shared" si="14"/>
        <v>0</v>
      </c>
      <c r="J486" s="47"/>
      <c r="K486" s="288">
        <f t="shared" si="15"/>
        <v>0</v>
      </c>
    </row>
    <row r="487" spans="1:11" s="56" customFormat="1" ht="15.75" customHeight="1">
      <c r="A487" s="44"/>
      <c r="B487" s="45"/>
      <c r="C487" s="46">
        <f>IF(B487&lt;&gt;"",VLOOKUP(B487,'Tipo Projeto'!$A$3:$B$35,2,0),0)</f>
        <v>0</v>
      </c>
      <c r="D487" s="47"/>
      <c r="E487" s="47"/>
      <c r="F487" s="47"/>
      <c r="G487" s="48"/>
      <c r="H487" s="47"/>
      <c r="I487" s="75">
        <f t="shared" si="14"/>
        <v>0</v>
      </c>
      <c r="J487" s="47"/>
      <c r="K487" s="288">
        <f t="shared" si="15"/>
        <v>0</v>
      </c>
    </row>
    <row r="488" spans="1:11" s="56" customFormat="1" ht="15.75" customHeight="1">
      <c r="A488" s="44"/>
      <c r="B488" s="45"/>
      <c r="C488" s="46">
        <f>IF(B488&lt;&gt;"",VLOOKUP(B488,'Tipo Projeto'!$A$3:$B$35,2,0),0)</f>
        <v>0</v>
      </c>
      <c r="D488" s="47"/>
      <c r="E488" s="47"/>
      <c r="F488" s="47"/>
      <c r="G488" s="48"/>
      <c r="H488" s="47"/>
      <c r="I488" s="75">
        <f t="shared" si="14"/>
        <v>0</v>
      </c>
      <c r="J488" s="47"/>
      <c r="K488" s="288">
        <f t="shared" si="15"/>
        <v>0</v>
      </c>
    </row>
    <row r="489" spans="1:11" s="56" customFormat="1" ht="15.75" customHeight="1">
      <c r="A489" s="44"/>
      <c r="B489" s="45"/>
      <c r="C489" s="46">
        <f>IF(B489&lt;&gt;"",VLOOKUP(B489,'Tipo Projeto'!$A$3:$B$35,2,0),0)</f>
        <v>0</v>
      </c>
      <c r="D489" s="47"/>
      <c r="E489" s="47"/>
      <c r="F489" s="47"/>
      <c r="G489" s="48"/>
      <c r="H489" s="47"/>
      <c r="I489" s="75">
        <f t="shared" si="14"/>
        <v>0</v>
      </c>
      <c r="J489" s="47"/>
      <c r="K489" s="288">
        <f t="shared" si="15"/>
        <v>0</v>
      </c>
    </row>
    <row r="490" spans="1:11" s="56" customFormat="1" ht="15.75" customHeight="1">
      <c r="A490" s="44"/>
      <c r="B490" s="45"/>
      <c r="C490" s="46">
        <f>IF(B490&lt;&gt;"",VLOOKUP(B490,'Tipo Projeto'!$A$3:$B$35,2,0),0)</f>
        <v>0</v>
      </c>
      <c r="D490" s="47"/>
      <c r="E490" s="47"/>
      <c r="F490" s="47"/>
      <c r="G490" s="48"/>
      <c r="H490" s="47"/>
      <c r="I490" s="75">
        <f t="shared" si="14"/>
        <v>0</v>
      </c>
      <c r="J490" s="47"/>
      <c r="K490" s="288">
        <f t="shared" si="15"/>
        <v>0</v>
      </c>
    </row>
    <row r="491" spans="1:11" s="56" customFormat="1" ht="15.75" customHeight="1">
      <c r="A491" s="44"/>
      <c r="B491" s="45"/>
      <c r="C491" s="46">
        <f>IF(B491&lt;&gt;"",VLOOKUP(B491,'Tipo Projeto'!$A$3:$B$35,2,0),0)</f>
        <v>0</v>
      </c>
      <c r="D491" s="47"/>
      <c r="E491" s="47"/>
      <c r="F491" s="47"/>
      <c r="G491" s="48"/>
      <c r="H491" s="47"/>
      <c r="I491" s="75">
        <f t="shared" si="14"/>
        <v>0</v>
      </c>
      <c r="J491" s="47"/>
      <c r="K491" s="288">
        <f t="shared" si="15"/>
        <v>0</v>
      </c>
    </row>
    <row r="492" spans="1:11" s="56" customFormat="1" ht="15.75" customHeight="1">
      <c r="A492" s="44"/>
      <c r="B492" s="45"/>
      <c r="C492" s="46">
        <f>IF(B492&lt;&gt;"",VLOOKUP(B492,'Tipo Projeto'!$A$3:$B$35,2,0),0)</f>
        <v>0</v>
      </c>
      <c r="D492" s="47"/>
      <c r="E492" s="47"/>
      <c r="F492" s="47"/>
      <c r="G492" s="48"/>
      <c r="H492" s="47"/>
      <c r="I492" s="75">
        <f t="shared" si="14"/>
        <v>0</v>
      </c>
      <c r="J492" s="47"/>
      <c r="K492" s="288">
        <f t="shared" si="15"/>
        <v>0</v>
      </c>
    </row>
    <row r="493" spans="1:11" s="56" customFormat="1" ht="15.75" customHeight="1">
      <c r="A493" s="44"/>
      <c r="B493" s="45"/>
      <c r="C493" s="46">
        <f>IF(B493&lt;&gt;"",VLOOKUP(B493,'Tipo Projeto'!$A$3:$B$35,2,0),0)</f>
        <v>0</v>
      </c>
      <c r="D493" s="47"/>
      <c r="E493" s="47"/>
      <c r="F493" s="47"/>
      <c r="G493" s="48"/>
      <c r="H493" s="47"/>
      <c r="I493" s="75">
        <f t="shared" si="14"/>
        <v>0</v>
      </c>
      <c r="J493" s="47"/>
      <c r="K493" s="288">
        <f t="shared" si="15"/>
        <v>0</v>
      </c>
    </row>
    <row r="494" spans="1:11" s="56" customFormat="1" ht="15.75" customHeight="1">
      <c r="A494" s="44"/>
      <c r="B494" s="45"/>
      <c r="C494" s="46">
        <f>IF(B494&lt;&gt;"",VLOOKUP(B494,'Tipo Projeto'!$A$3:$B$35,2,0),0)</f>
        <v>0</v>
      </c>
      <c r="D494" s="47"/>
      <c r="E494" s="47"/>
      <c r="F494" s="47"/>
      <c r="G494" s="48"/>
      <c r="H494" s="47"/>
      <c r="I494" s="75">
        <f t="shared" si="14"/>
        <v>0</v>
      </c>
      <c r="J494" s="47"/>
      <c r="K494" s="288">
        <f t="shared" si="15"/>
        <v>0</v>
      </c>
    </row>
    <row r="495" spans="1:11" s="56" customFormat="1" ht="15.75" customHeight="1">
      <c r="A495" s="44"/>
      <c r="B495" s="45"/>
      <c r="C495" s="46">
        <f>IF(B495&lt;&gt;"",VLOOKUP(B495,'Tipo Projeto'!$A$3:$B$35,2,0),0)</f>
        <v>0</v>
      </c>
      <c r="D495" s="47"/>
      <c r="E495" s="47"/>
      <c r="F495" s="47"/>
      <c r="G495" s="48"/>
      <c r="H495" s="47"/>
      <c r="I495" s="75">
        <f t="shared" si="14"/>
        <v>0</v>
      </c>
      <c r="J495" s="47"/>
      <c r="K495" s="288">
        <f t="shared" si="15"/>
        <v>0</v>
      </c>
    </row>
    <row r="496" spans="1:11" s="56" customFormat="1" ht="15.75" customHeight="1">
      <c r="A496" s="44"/>
      <c r="B496" s="45"/>
      <c r="C496" s="46">
        <f>IF(B496&lt;&gt;"",VLOOKUP(B496,'Tipo Projeto'!$A$3:$B$35,2,0),0)</f>
        <v>0</v>
      </c>
      <c r="D496" s="47"/>
      <c r="E496" s="47"/>
      <c r="F496" s="47"/>
      <c r="G496" s="48"/>
      <c r="H496" s="47"/>
      <c r="I496" s="75">
        <f t="shared" si="14"/>
        <v>0</v>
      </c>
      <c r="J496" s="47"/>
      <c r="K496" s="288">
        <f t="shared" si="15"/>
        <v>0</v>
      </c>
    </row>
    <row r="497" spans="1:11" s="56" customFormat="1" ht="15.75" customHeight="1">
      <c r="A497" s="44"/>
      <c r="B497" s="45"/>
      <c r="C497" s="46">
        <f>IF(B497&lt;&gt;"",VLOOKUP(B497,'Tipo Projeto'!$A$3:$B$35,2,0),0)</f>
        <v>0</v>
      </c>
      <c r="D497" s="47"/>
      <c r="E497" s="47"/>
      <c r="F497" s="47"/>
      <c r="G497" s="48"/>
      <c r="H497" s="47"/>
      <c r="I497" s="75">
        <f t="shared" si="14"/>
        <v>0</v>
      </c>
      <c r="J497" s="47"/>
      <c r="K497" s="288">
        <f t="shared" si="15"/>
        <v>0</v>
      </c>
    </row>
    <row r="498" spans="1:11" s="56" customFormat="1" ht="15.75" customHeight="1">
      <c r="A498" s="44"/>
      <c r="B498" s="45"/>
      <c r="C498" s="46">
        <f>IF(B498&lt;&gt;"",VLOOKUP(B498,'Tipo Projeto'!$A$3:$B$35,2,0),0)</f>
        <v>0</v>
      </c>
      <c r="D498" s="47"/>
      <c r="E498" s="47"/>
      <c r="F498" s="47"/>
      <c r="G498" s="48"/>
      <c r="H498" s="47"/>
      <c r="I498" s="75">
        <f t="shared" si="14"/>
        <v>0</v>
      </c>
      <c r="J498" s="47"/>
      <c r="K498" s="288">
        <f t="shared" si="15"/>
        <v>0</v>
      </c>
    </row>
    <row r="499" spans="1:11" s="56" customFormat="1" ht="15.75" customHeight="1">
      <c r="A499" s="44"/>
      <c r="B499" s="45"/>
      <c r="C499" s="46">
        <f>IF(B499&lt;&gt;"",VLOOKUP(B499,'Tipo Projeto'!$A$3:$B$35,2,0),0)</f>
        <v>0</v>
      </c>
      <c r="D499" s="47"/>
      <c r="E499" s="47"/>
      <c r="F499" s="47"/>
      <c r="G499" s="48"/>
      <c r="H499" s="47"/>
      <c r="I499" s="75">
        <f t="shared" si="14"/>
        <v>0</v>
      </c>
      <c r="J499" s="47"/>
      <c r="K499" s="288">
        <f t="shared" si="15"/>
        <v>0</v>
      </c>
    </row>
    <row r="500" spans="1:11" s="56" customFormat="1" ht="15.75" customHeight="1">
      <c r="A500" s="44"/>
      <c r="B500" s="45"/>
      <c r="C500" s="46">
        <f>IF(B500&lt;&gt;"",VLOOKUP(B500,'Tipo Projeto'!$A$3:$B$35,2,0),0)</f>
        <v>0</v>
      </c>
      <c r="D500" s="47"/>
      <c r="E500" s="47"/>
      <c r="F500" s="47"/>
      <c r="G500" s="48"/>
      <c r="H500" s="47"/>
      <c r="I500" s="75">
        <f t="shared" si="14"/>
        <v>0</v>
      </c>
      <c r="J500" s="47"/>
      <c r="K500" s="288">
        <f t="shared" si="15"/>
        <v>0</v>
      </c>
    </row>
    <row r="501" spans="1:11" s="56" customFormat="1" ht="15.75" customHeight="1">
      <c r="A501" s="44"/>
      <c r="B501" s="45"/>
      <c r="C501" s="46">
        <f>IF(B501&lt;&gt;"",VLOOKUP(B501,'Tipo Projeto'!$A$3:$B$35,2,0),0)</f>
        <v>0</v>
      </c>
      <c r="D501" s="47"/>
      <c r="E501" s="47"/>
      <c r="F501" s="47"/>
      <c r="G501" s="48"/>
      <c r="H501" s="47"/>
      <c r="I501" s="75">
        <f t="shared" si="14"/>
        <v>0</v>
      </c>
      <c r="J501" s="47"/>
      <c r="K501" s="288">
        <f t="shared" si="15"/>
        <v>0</v>
      </c>
    </row>
    <row r="502" spans="1:11" s="56" customFormat="1" ht="15.75" customHeight="1">
      <c r="A502" s="44"/>
      <c r="B502" s="45"/>
      <c r="C502" s="46">
        <f>IF(B502&lt;&gt;"",VLOOKUP(B502,'Tipo Projeto'!$A$3:$B$35,2,0),0)</f>
        <v>0</v>
      </c>
      <c r="D502" s="47"/>
      <c r="E502" s="47"/>
      <c r="F502" s="47"/>
      <c r="G502" s="48"/>
      <c r="H502" s="47"/>
      <c r="I502" s="75">
        <f t="shared" si="14"/>
        <v>0</v>
      </c>
      <c r="J502" s="47"/>
      <c r="K502" s="288">
        <f t="shared" si="15"/>
        <v>0</v>
      </c>
    </row>
    <row r="503" spans="1:11" s="56" customFormat="1" ht="15.75" customHeight="1">
      <c r="A503" s="44"/>
      <c r="B503" s="45"/>
      <c r="C503" s="46">
        <f>IF(B503&lt;&gt;"",VLOOKUP(B503,'Tipo Projeto'!$A$3:$B$35,2,0),0)</f>
        <v>0</v>
      </c>
      <c r="D503" s="47"/>
      <c r="E503" s="47"/>
      <c r="F503" s="47"/>
      <c r="G503" s="48"/>
      <c r="H503" s="47"/>
      <c r="I503" s="75">
        <f t="shared" si="14"/>
        <v>0</v>
      </c>
      <c r="J503" s="47"/>
      <c r="K503" s="288">
        <f t="shared" si="15"/>
        <v>0</v>
      </c>
    </row>
    <row r="504" spans="1:11" s="56" customFormat="1" ht="15.75" customHeight="1">
      <c r="A504" s="44"/>
      <c r="B504" s="45"/>
      <c r="C504" s="46">
        <f>IF(B504&lt;&gt;"",VLOOKUP(B504,'Tipo Projeto'!$A$3:$B$35,2,0),0)</f>
        <v>0</v>
      </c>
      <c r="D504" s="47"/>
      <c r="E504" s="47"/>
      <c r="F504" s="47"/>
      <c r="G504" s="48"/>
      <c r="H504" s="47"/>
      <c r="I504" s="75">
        <f t="shared" si="14"/>
        <v>0</v>
      </c>
      <c r="J504" s="47"/>
      <c r="K504" s="288">
        <f t="shared" si="15"/>
        <v>0</v>
      </c>
    </row>
    <row r="505" spans="1:11" s="56" customFormat="1" ht="15.75" customHeight="1">
      <c r="A505" s="44"/>
      <c r="B505" s="45"/>
      <c r="C505" s="46">
        <f>IF(B505&lt;&gt;"",VLOOKUP(B505,'Tipo Projeto'!$A$3:$B$35,2,0),0)</f>
        <v>0</v>
      </c>
      <c r="D505" s="47"/>
      <c r="E505" s="47"/>
      <c r="F505" s="47"/>
      <c r="G505" s="48"/>
      <c r="H505" s="47"/>
      <c r="I505" s="75">
        <f t="shared" si="14"/>
        <v>0</v>
      </c>
      <c r="J505" s="47"/>
      <c r="K505" s="288">
        <f t="shared" si="15"/>
        <v>0</v>
      </c>
    </row>
    <row r="506" spans="1:11" s="56" customFormat="1" ht="15.75" customHeight="1">
      <c r="A506" s="44"/>
      <c r="B506" s="45"/>
      <c r="C506" s="46">
        <f>IF(B506&lt;&gt;"",VLOOKUP(B506,'Tipo Projeto'!$A$3:$B$35,2,0),0)</f>
        <v>0</v>
      </c>
      <c r="D506" s="47"/>
      <c r="E506" s="47"/>
      <c r="F506" s="47"/>
      <c r="G506" s="48"/>
      <c r="H506" s="47"/>
      <c r="I506" s="75">
        <f t="shared" si="14"/>
        <v>0</v>
      </c>
      <c r="J506" s="47"/>
      <c r="K506" s="288">
        <f t="shared" si="15"/>
        <v>0</v>
      </c>
    </row>
    <row r="507" spans="1:11" s="56" customFormat="1" ht="15.75" customHeight="1">
      <c r="A507" s="44"/>
      <c r="B507" s="45"/>
      <c r="C507" s="46">
        <f>IF(B507&lt;&gt;"",VLOOKUP(B507,'Tipo Projeto'!$A$3:$B$35,2,0),0)</f>
        <v>0</v>
      </c>
      <c r="D507" s="47"/>
      <c r="E507" s="47"/>
      <c r="F507" s="47"/>
      <c r="G507" s="48"/>
      <c r="H507" s="47"/>
      <c r="I507" s="75">
        <f t="shared" si="14"/>
        <v>0</v>
      </c>
      <c r="J507" s="47"/>
      <c r="K507" s="288">
        <f t="shared" si="15"/>
        <v>0</v>
      </c>
    </row>
    <row r="508" spans="1:11" s="56" customFormat="1" ht="15.75" customHeight="1">
      <c r="A508" s="44"/>
      <c r="B508" s="45"/>
      <c r="C508" s="46">
        <f>IF(B508&lt;&gt;"",VLOOKUP(B508,'Tipo Projeto'!$A$3:$B$35,2,0),0)</f>
        <v>0</v>
      </c>
      <c r="D508" s="47"/>
      <c r="E508" s="47"/>
      <c r="F508" s="47"/>
      <c r="G508" s="48"/>
      <c r="H508" s="47"/>
      <c r="I508" s="75">
        <f t="shared" si="14"/>
        <v>0</v>
      </c>
      <c r="J508" s="47"/>
      <c r="K508" s="288">
        <f t="shared" si="15"/>
        <v>0</v>
      </c>
    </row>
    <row r="509" spans="1:11" s="56" customFormat="1" ht="15.75" customHeight="1">
      <c r="A509" s="44"/>
      <c r="B509" s="45"/>
      <c r="C509" s="46">
        <f>IF(B509&lt;&gt;"",VLOOKUP(B509,'Tipo Projeto'!$A$3:$B$35,2,0),0)</f>
        <v>0</v>
      </c>
      <c r="D509" s="47"/>
      <c r="E509" s="47"/>
      <c r="F509" s="47"/>
      <c r="G509" s="48"/>
      <c r="H509" s="47"/>
      <c r="I509" s="75">
        <f t="shared" si="14"/>
        <v>0</v>
      </c>
      <c r="J509" s="47"/>
      <c r="K509" s="288">
        <f t="shared" si="15"/>
        <v>0</v>
      </c>
    </row>
    <row r="510" spans="1:11" s="56" customFormat="1" ht="15.75" customHeight="1">
      <c r="A510" s="44"/>
      <c r="B510" s="45"/>
      <c r="C510" s="46">
        <f>IF(B510&lt;&gt;"",VLOOKUP(B510,'Tipo Projeto'!$A$3:$B$35,2,0),0)</f>
        <v>0</v>
      </c>
      <c r="D510" s="47"/>
      <c r="E510" s="47"/>
      <c r="F510" s="47"/>
      <c r="G510" s="48"/>
      <c r="H510" s="47"/>
      <c r="I510" s="75">
        <f t="shared" ref="I510:I573" si="16">IF(B510&lt;&gt;"Manutenção em interface",IF(B510&lt;&gt;"Desenv., Manutenção e Publicação de Páginas Estáticas",IF(H510="EE",4,IF(H510="CE",4,IF(H510="SE",5,IF(H510="ALI",7,IF(H510="AIE",5,0)))))*C510,C510),C510)</f>
        <v>0</v>
      </c>
      <c r="J510" s="47"/>
      <c r="K510" s="288">
        <f t="shared" si="15"/>
        <v>0</v>
      </c>
    </row>
    <row r="511" spans="1:11" s="56" customFormat="1" ht="15.75" customHeight="1">
      <c r="A511" s="44"/>
      <c r="B511" s="45"/>
      <c r="C511" s="46">
        <f>IF(B511&lt;&gt;"",VLOOKUP(B511,'Tipo Projeto'!$A$3:$B$35,2,0),0)</f>
        <v>0</v>
      </c>
      <c r="D511" s="47"/>
      <c r="E511" s="47"/>
      <c r="F511" s="47"/>
      <c r="G511" s="48"/>
      <c r="H511" s="47"/>
      <c r="I511" s="75">
        <f t="shared" si="16"/>
        <v>0</v>
      </c>
      <c r="J511" s="47"/>
      <c r="K511" s="288">
        <f t="shared" si="15"/>
        <v>0</v>
      </c>
    </row>
    <row r="512" spans="1:11" s="56" customFormat="1" ht="15.75" customHeight="1">
      <c r="A512" s="44"/>
      <c r="B512" s="45"/>
      <c r="C512" s="46">
        <f>IF(B512&lt;&gt;"",VLOOKUP(B512,'Tipo Projeto'!$A$3:$B$35,2,0),0)</f>
        <v>0</v>
      </c>
      <c r="D512" s="47"/>
      <c r="E512" s="47"/>
      <c r="F512" s="47"/>
      <c r="G512" s="48"/>
      <c r="H512" s="47"/>
      <c r="I512" s="75">
        <f t="shared" si="16"/>
        <v>0</v>
      </c>
      <c r="J512" s="47"/>
      <c r="K512" s="288">
        <f t="shared" si="15"/>
        <v>0</v>
      </c>
    </row>
    <row r="513" spans="1:11" s="56" customFormat="1" ht="15.75" customHeight="1">
      <c r="A513" s="44"/>
      <c r="B513" s="45"/>
      <c r="C513" s="46">
        <f>IF(B513&lt;&gt;"",VLOOKUP(B513,'Tipo Projeto'!$A$3:$B$35,2,0),0)</f>
        <v>0</v>
      </c>
      <c r="D513" s="47"/>
      <c r="E513" s="47"/>
      <c r="F513" s="47"/>
      <c r="G513" s="48"/>
      <c r="H513" s="47"/>
      <c r="I513" s="75">
        <f t="shared" si="16"/>
        <v>0</v>
      </c>
      <c r="J513" s="47"/>
      <c r="K513" s="288">
        <f t="shared" si="15"/>
        <v>0</v>
      </c>
    </row>
    <row r="514" spans="1:11" s="56" customFormat="1" ht="15.75" customHeight="1">
      <c r="A514" s="44"/>
      <c r="B514" s="45"/>
      <c r="C514" s="46">
        <f>IF(B514&lt;&gt;"",VLOOKUP(B514,'Tipo Projeto'!$A$3:$B$35,2,0),0)</f>
        <v>0</v>
      </c>
      <c r="D514" s="47"/>
      <c r="E514" s="47"/>
      <c r="F514" s="47"/>
      <c r="G514" s="48"/>
      <c r="H514" s="47"/>
      <c r="I514" s="75">
        <f t="shared" si="16"/>
        <v>0</v>
      </c>
      <c r="J514" s="47"/>
      <c r="K514" s="288">
        <f t="shared" si="15"/>
        <v>0</v>
      </c>
    </row>
    <row r="515" spans="1:11" s="56" customFormat="1" ht="15.75" customHeight="1">
      <c r="A515" s="44"/>
      <c r="B515" s="45"/>
      <c r="C515" s="46">
        <f>IF(B515&lt;&gt;"",VLOOKUP(B515,'Tipo Projeto'!$A$3:$B$35,2,0),0)</f>
        <v>0</v>
      </c>
      <c r="D515" s="47"/>
      <c r="E515" s="47"/>
      <c r="F515" s="47"/>
      <c r="G515" s="48"/>
      <c r="H515" s="47"/>
      <c r="I515" s="75">
        <f t="shared" si="16"/>
        <v>0</v>
      </c>
      <c r="J515" s="47"/>
      <c r="K515" s="288">
        <f t="shared" si="15"/>
        <v>0</v>
      </c>
    </row>
    <row r="516" spans="1:11" s="56" customFormat="1" ht="15.75" customHeight="1">
      <c r="A516" s="44"/>
      <c r="B516" s="45"/>
      <c r="C516" s="46">
        <f>IF(B516&lt;&gt;"",VLOOKUP(B516,'Tipo Projeto'!$A$3:$B$35,2,0),0)</f>
        <v>0</v>
      </c>
      <c r="D516" s="47"/>
      <c r="E516" s="47"/>
      <c r="F516" s="47"/>
      <c r="G516" s="48"/>
      <c r="H516" s="47"/>
      <c r="I516" s="75">
        <f t="shared" si="16"/>
        <v>0</v>
      </c>
      <c r="J516" s="47"/>
      <c r="K516" s="288">
        <f t="shared" si="15"/>
        <v>0</v>
      </c>
    </row>
    <row r="517" spans="1:11" s="56" customFormat="1" ht="15.75" customHeight="1">
      <c r="A517" s="44"/>
      <c r="B517" s="45"/>
      <c r="C517" s="46">
        <f>IF(B517&lt;&gt;"",VLOOKUP(B517,'Tipo Projeto'!$A$3:$B$35,2,0),0)</f>
        <v>0</v>
      </c>
      <c r="D517" s="47"/>
      <c r="E517" s="47"/>
      <c r="F517" s="47"/>
      <c r="G517" s="48"/>
      <c r="H517" s="47"/>
      <c r="I517" s="75">
        <f t="shared" si="16"/>
        <v>0</v>
      </c>
      <c r="J517" s="47"/>
      <c r="K517" s="288">
        <f t="shared" si="15"/>
        <v>0</v>
      </c>
    </row>
    <row r="518" spans="1:11" s="56" customFormat="1" ht="15.75" customHeight="1">
      <c r="A518" s="44"/>
      <c r="B518" s="45"/>
      <c r="C518" s="46">
        <f>IF(B518&lt;&gt;"",VLOOKUP(B518,'Tipo Projeto'!$A$3:$B$35,2,0),0)</f>
        <v>0</v>
      </c>
      <c r="D518" s="47"/>
      <c r="E518" s="47"/>
      <c r="F518" s="47"/>
      <c r="G518" s="48"/>
      <c r="H518" s="47"/>
      <c r="I518" s="75">
        <f t="shared" si="16"/>
        <v>0</v>
      </c>
      <c r="J518" s="47"/>
      <c r="K518" s="288">
        <f t="shared" si="15"/>
        <v>0</v>
      </c>
    </row>
    <row r="519" spans="1:11" s="56" customFormat="1" ht="15.75" customHeight="1">
      <c r="A519" s="44"/>
      <c r="B519" s="45"/>
      <c r="C519" s="46">
        <f>IF(B519&lt;&gt;"",VLOOKUP(B519,'Tipo Projeto'!$A$3:$B$35,2,0),0)</f>
        <v>0</v>
      </c>
      <c r="D519" s="47"/>
      <c r="E519" s="47"/>
      <c r="F519" s="47"/>
      <c r="G519" s="48"/>
      <c r="H519" s="47"/>
      <c r="I519" s="75">
        <f t="shared" si="16"/>
        <v>0</v>
      </c>
      <c r="J519" s="47"/>
      <c r="K519" s="288">
        <f t="shared" si="15"/>
        <v>0</v>
      </c>
    </row>
    <row r="520" spans="1:11" s="56" customFormat="1" ht="15.75" customHeight="1">
      <c r="A520" s="44"/>
      <c r="B520" s="45"/>
      <c r="C520" s="46">
        <f>IF(B520&lt;&gt;"",VLOOKUP(B520,'Tipo Projeto'!$A$3:$B$35,2,0),0)</f>
        <v>0</v>
      </c>
      <c r="D520" s="47"/>
      <c r="E520" s="47"/>
      <c r="F520" s="47"/>
      <c r="G520" s="48"/>
      <c r="H520" s="47"/>
      <c r="I520" s="75">
        <f t="shared" si="16"/>
        <v>0</v>
      </c>
      <c r="J520" s="47"/>
      <c r="K520" s="288">
        <f t="shared" si="15"/>
        <v>0</v>
      </c>
    </row>
    <row r="521" spans="1:11" s="56" customFormat="1" ht="15.75" customHeight="1">
      <c r="A521" s="44"/>
      <c r="B521" s="45"/>
      <c r="C521" s="46">
        <f>IF(B521&lt;&gt;"",VLOOKUP(B521,'Tipo Projeto'!$A$3:$B$35,2,0),0)</f>
        <v>0</v>
      </c>
      <c r="D521" s="47"/>
      <c r="E521" s="47"/>
      <c r="F521" s="47"/>
      <c r="G521" s="48"/>
      <c r="H521" s="47"/>
      <c r="I521" s="75">
        <f t="shared" si="16"/>
        <v>0</v>
      </c>
      <c r="J521" s="47"/>
      <c r="K521" s="288">
        <f t="shared" si="15"/>
        <v>0</v>
      </c>
    </row>
    <row r="522" spans="1:11" s="56" customFormat="1" ht="15.75" customHeight="1">
      <c r="A522" s="44"/>
      <c r="B522" s="45"/>
      <c r="C522" s="46">
        <f>IF(B522&lt;&gt;"",VLOOKUP(B522,'Tipo Projeto'!$A$3:$B$35,2,0),0)</f>
        <v>0</v>
      </c>
      <c r="D522" s="47"/>
      <c r="E522" s="47"/>
      <c r="F522" s="47"/>
      <c r="G522" s="48"/>
      <c r="H522" s="47"/>
      <c r="I522" s="75">
        <f t="shared" si="16"/>
        <v>0</v>
      </c>
      <c r="J522" s="47"/>
      <c r="K522" s="288">
        <f t="shared" si="15"/>
        <v>0</v>
      </c>
    </row>
    <row r="523" spans="1:11" s="56" customFormat="1" ht="15.75" customHeight="1">
      <c r="A523" s="44"/>
      <c r="B523" s="45"/>
      <c r="C523" s="46">
        <f>IF(B523&lt;&gt;"",VLOOKUP(B523,'Tipo Projeto'!$A$3:$B$35,2,0),0)</f>
        <v>0</v>
      </c>
      <c r="D523" s="47"/>
      <c r="E523" s="47"/>
      <c r="F523" s="47"/>
      <c r="G523" s="48"/>
      <c r="H523" s="47"/>
      <c r="I523" s="75">
        <f t="shared" si="16"/>
        <v>0</v>
      </c>
      <c r="J523" s="47"/>
      <c r="K523" s="288">
        <f t="shared" si="15"/>
        <v>0</v>
      </c>
    </row>
    <row r="524" spans="1:11" s="56" customFormat="1" ht="15.75" customHeight="1">
      <c r="A524" s="44"/>
      <c r="B524" s="45"/>
      <c r="C524" s="46">
        <f>IF(B524&lt;&gt;"",VLOOKUP(B524,'Tipo Projeto'!$A$3:$B$35,2,0),0)</f>
        <v>0</v>
      </c>
      <c r="D524" s="47"/>
      <c r="E524" s="47"/>
      <c r="F524" s="47"/>
      <c r="G524" s="48"/>
      <c r="H524" s="47"/>
      <c r="I524" s="75">
        <f t="shared" si="16"/>
        <v>0</v>
      </c>
      <c r="J524" s="47"/>
      <c r="K524" s="288">
        <f t="shared" ref="K524:K587" si="17">IF(AND(C524&lt;&gt;0,I524&lt;&gt;0),I524/C524,0)</f>
        <v>0</v>
      </c>
    </row>
    <row r="525" spans="1:11" s="56" customFormat="1" ht="15.75" customHeight="1">
      <c r="A525" s="44"/>
      <c r="B525" s="45"/>
      <c r="C525" s="46">
        <f>IF(B525&lt;&gt;"",VLOOKUP(B525,'Tipo Projeto'!$A$3:$B$35,2,0),0)</f>
        <v>0</v>
      </c>
      <c r="D525" s="47"/>
      <c r="E525" s="47"/>
      <c r="F525" s="47"/>
      <c r="G525" s="48"/>
      <c r="H525" s="47"/>
      <c r="I525" s="75">
        <f t="shared" si="16"/>
        <v>0</v>
      </c>
      <c r="J525" s="47"/>
      <c r="K525" s="288">
        <f t="shared" si="17"/>
        <v>0</v>
      </c>
    </row>
    <row r="526" spans="1:11" s="56" customFormat="1" ht="15.75" customHeight="1">
      <c r="A526" s="44"/>
      <c r="B526" s="45"/>
      <c r="C526" s="46">
        <f>IF(B526&lt;&gt;"",VLOOKUP(B526,'Tipo Projeto'!$A$3:$B$35,2,0),0)</f>
        <v>0</v>
      </c>
      <c r="D526" s="47"/>
      <c r="E526" s="47"/>
      <c r="F526" s="47"/>
      <c r="G526" s="48"/>
      <c r="H526" s="47"/>
      <c r="I526" s="75">
        <f t="shared" si="16"/>
        <v>0</v>
      </c>
      <c r="J526" s="47"/>
      <c r="K526" s="288">
        <f t="shared" si="17"/>
        <v>0</v>
      </c>
    </row>
    <row r="527" spans="1:11" s="56" customFormat="1" ht="15.75" customHeight="1">
      <c r="A527" s="44"/>
      <c r="B527" s="45"/>
      <c r="C527" s="46">
        <f>IF(B527&lt;&gt;"",VLOOKUP(B527,'Tipo Projeto'!$A$3:$B$35,2,0),0)</f>
        <v>0</v>
      </c>
      <c r="D527" s="47"/>
      <c r="E527" s="47"/>
      <c r="F527" s="47"/>
      <c r="G527" s="48"/>
      <c r="H527" s="47"/>
      <c r="I527" s="75">
        <f t="shared" si="16"/>
        <v>0</v>
      </c>
      <c r="J527" s="47"/>
      <c r="K527" s="288">
        <f t="shared" si="17"/>
        <v>0</v>
      </c>
    </row>
    <row r="528" spans="1:11" s="56" customFormat="1" ht="15.75" customHeight="1">
      <c r="A528" s="44"/>
      <c r="B528" s="45"/>
      <c r="C528" s="46">
        <f>IF(B528&lt;&gt;"",VLOOKUP(B528,'Tipo Projeto'!$A$3:$B$35,2,0),0)</f>
        <v>0</v>
      </c>
      <c r="D528" s="47"/>
      <c r="E528" s="47"/>
      <c r="F528" s="47"/>
      <c r="G528" s="48"/>
      <c r="H528" s="47"/>
      <c r="I528" s="75">
        <f t="shared" si="16"/>
        <v>0</v>
      </c>
      <c r="J528" s="47"/>
      <c r="K528" s="288">
        <f t="shared" si="17"/>
        <v>0</v>
      </c>
    </row>
    <row r="529" spans="1:11" s="56" customFormat="1" ht="15.75" customHeight="1">
      <c r="A529" s="44"/>
      <c r="B529" s="45"/>
      <c r="C529" s="46">
        <f>IF(B529&lt;&gt;"",VLOOKUP(B529,'Tipo Projeto'!$A$3:$B$35,2,0),0)</f>
        <v>0</v>
      </c>
      <c r="D529" s="47"/>
      <c r="E529" s="47"/>
      <c r="F529" s="47"/>
      <c r="G529" s="48"/>
      <c r="H529" s="47"/>
      <c r="I529" s="75">
        <f t="shared" si="16"/>
        <v>0</v>
      </c>
      <c r="J529" s="47"/>
      <c r="K529" s="288">
        <f t="shared" si="17"/>
        <v>0</v>
      </c>
    </row>
    <row r="530" spans="1:11" s="56" customFormat="1" ht="15.75" customHeight="1">
      <c r="A530" s="44"/>
      <c r="B530" s="45"/>
      <c r="C530" s="46">
        <f>IF(B530&lt;&gt;"",VLOOKUP(B530,'Tipo Projeto'!$A$3:$B$35,2,0),0)</f>
        <v>0</v>
      </c>
      <c r="D530" s="47"/>
      <c r="E530" s="47"/>
      <c r="F530" s="47"/>
      <c r="G530" s="48"/>
      <c r="H530" s="47"/>
      <c r="I530" s="75">
        <f t="shared" si="16"/>
        <v>0</v>
      </c>
      <c r="J530" s="47"/>
      <c r="K530" s="288">
        <f t="shared" si="17"/>
        <v>0</v>
      </c>
    </row>
    <row r="531" spans="1:11" s="56" customFormat="1" ht="15.75" customHeight="1">
      <c r="A531" s="44"/>
      <c r="B531" s="45"/>
      <c r="C531" s="46">
        <f>IF(B531&lt;&gt;"",VLOOKUP(B531,'Tipo Projeto'!$A$3:$B$35,2,0),0)</f>
        <v>0</v>
      </c>
      <c r="D531" s="47"/>
      <c r="E531" s="47"/>
      <c r="F531" s="47"/>
      <c r="G531" s="48"/>
      <c r="H531" s="47"/>
      <c r="I531" s="75">
        <f t="shared" si="16"/>
        <v>0</v>
      </c>
      <c r="J531" s="47"/>
      <c r="K531" s="288">
        <f t="shared" si="17"/>
        <v>0</v>
      </c>
    </row>
    <row r="532" spans="1:11" s="56" customFormat="1" ht="15.75" customHeight="1">
      <c r="A532" s="44"/>
      <c r="B532" s="45"/>
      <c r="C532" s="46">
        <f>IF(B532&lt;&gt;"",VLOOKUP(B532,'Tipo Projeto'!$A$3:$B$35,2,0),0)</f>
        <v>0</v>
      </c>
      <c r="D532" s="47"/>
      <c r="E532" s="47"/>
      <c r="F532" s="47"/>
      <c r="G532" s="48"/>
      <c r="H532" s="47"/>
      <c r="I532" s="75">
        <f t="shared" si="16"/>
        <v>0</v>
      </c>
      <c r="J532" s="47"/>
      <c r="K532" s="288">
        <f t="shared" si="17"/>
        <v>0</v>
      </c>
    </row>
    <row r="533" spans="1:11" s="56" customFormat="1" ht="15.75" customHeight="1">
      <c r="A533" s="44"/>
      <c r="B533" s="45"/>
      <c r="C533" s="46">
        <f>IF(B533&lt;&gt;"",VLOOKUP(B533,'Tipo Projeto'!$A$3:$B$35,2,0),0)</f>
        <v>0</v>
      </c>
      <c r="D533" s="47"/>
      <c r="E533" s="47"/>
      <c r="F533" s="47"/>
      <c r="G533" s="48"/>
      <c r="H533" s="47"/>
      <c r="I533" s="75">
        <f t="shared" si="16"/>
        <v>0</v>
      </c>
      <c r="J533" s="47"/>
      <c r="K533" s="288">
        <f t="shared" si="17"/>
        <v>0</v>
      </c>
    </row>
    <row r="534" spans="1:11" s="56" customFormat="1" ht="15.75" customHeight="1">
      <c r="A534" s="44"/>
      <c r="B534" s="45"/>
      <c r="C534" s="46">
        <f>IF(B534&lt;&gt;"",VLOOKUP(B534,'Tipo Projeto'!$A$3:$B$35,2,0),0)</f>
        <v>0</v>
      </c>
      <c r="D534" s="47"/>
      <c r="E534" s="47"/>
      <c r="F534" s="47"/>
      <c r="G534" s="48"/>
      <c r="H534" s="47"/>
      <c r="I534" s="75">
        <f t="shared" si="16"/>
        <v>0</v>
      </c>
      <c r="J534" s="47"/>
      <c r="K534" s="288">
        <f t="shared" si="17"/>
        <v>0</v>
      </c>
    </row>
    <row r="535" spans="1:11" s="56" customFormat="1" ht="15.75" customHeight="1">
      <c r="A535" s="44"/>
      <c r="B535" s="45"/>
      <c r="C535" s="46">
        <f>IF(B535&lt;&gt;"",VLOOKUP(B535,'Tipo Projeto'!$A$3:$B$35,2,0),0)</f>
        <v>0</v>
      </c>
      <c r="D535" s="47"/>
      <c r="E535" s="47"/>
      <c r="F535" s="47"/>
      <c r="G535" s="48"/>
      <c r="H535" s="47"/>
      <c r="I535" s="75">
        <f t="shared" si="16"/>
        <v>0</v>
      </c>
      <c r="J535" s="47"/>
      <c r="K535" s="288">
        <f t="shared" si="17"/>
        <v>0</v>
      </c>
    </row>
    <row r="536" spans="1:11" s="56" customFormat="1" ht="15.75" customHeight="1">
      <c r="A536" s="44"/>
      <c r="B536" s="45"/>
      <c r="C536" s="46">
        <f>IF(B536&lt;&gt;"",VLOOKUP(B536,'Tipo Projeto'!$A$3:$B$35,2,0),0)</f>
        <v>0</v>
      </c>
      <c r="D536" s="47"/>
      <c r="E536" s="47"/>
      <c r="F536" s="47"/>
      <c r="G536" s="48"/>
      <c r="H536" s="47"/>
      <c r="I536" s="75">
        <f t="shared" si="16"/>
        <v>0</v>
      </c>
      <c r="J536" s="47"/>
      <c r="K536" s="288">
        <f t="shared" si="17"/>
        <v>0</v>
      </c>
    </row>
    <row r="537" spans="1:11" s="56" customFormat="1" ht="15.75" customHeight="1">
      <c r="A537" s="44"/>
      <c r="B537" s="45"/>
      <c r="C537" s="46">
        <f>IF(B537&lt;&gt;"",VLOOKUP(B537,'Tipo Projeto'!$A$3:$B$35,2,0),0)</f>
        <v>0</v>
      </c>
      <c r="D537" s="47"/>
      <c r="E537" s="47"/>
      <c r="F537" s="47"/>
      <c r="G537" s="48"/>
      <c r="H537" s="47"/>
      <c r="I537" s="75">
        <f t="shared" si="16"/>
        <v>0</v>
      </c>
      <c r="J537" s="47"/>
      <c r="K537" s="288">
        <f t="shared" si="17"/>
        <v>0</v>
      </c>
    </row>
    <row r="538" spans="1:11" s="56" customFormat="1" ht="15.75" customHeight="1">
      <c r="A538" s="44"/>
      <c r="B538" s="45"/>
      <c r="C538" s="46">
        <f>IF(B538&lt;&gt;"",VLOOKUP(B538,'Tipo Projeto'!$A$3:$B$35,2,0),0)</f>
        <v>0</v>
      </c>
      <c r="D538" s="47"/>
      <c r="E538" s="47"/>
      <c r="F538" s="47"/>
      <c r="G538" s="48"/>
      <c r="H538" s="47"/>
      <c r="I538" s="75">
        <f t="shared" si="16"/>
        <v>0</v>
      </c>
      <c r="J538" s="47"/>
      <c r="K538" s="288">
        <f t="shared" si="17"/>
        <v>0</v>
      </c>
    </row>
    <row r="539" spans="1:11" s="56" customFormat="1" ht="15.75" customHeight="1">
      <c r="A539" s="44"/>
      <c r="B539" s="45"/>
      <c r="C539" s="46">
        <f>IF(B539&lt;&gt;"",VLOOKUP(B539,'Tipo Projeto'!$A$3:$B$35,2,0),0)</f>
        <v>0</v>
      </c>
      <c r="D539" s="47"/>
      <c r="E539" s="47"/>
      <c r="F539" s="47"/>
      <c r="G539" s="48"/>
      <c r="H539" s="47"/>
      <c r="I539" s="75">
        <f t="shared" si="16"/>
        <v>0</v>
      </c>
      <c r="J539" s="47"/>
      <c r="K539" s="288">
        <f t="shared" si="17"/>
        <v>0</v>
      </c>
    </row>
    <row r="540" spans="1:11" s="56" customFormat="1" ht="15.75" customHeight="1">
      <c r="A540" s="44"/>
      <c r="B540" s="45"/>
      <c r="C540" s="46">
        <f>IF(B540&lt;&gt;"",VLOOKUP(B540,'Tipo Projeto'!$A$3:$B$35,2,0),0)</f>
        <v>0</v>
      </c>
      <c r="D540" s="47"/>
      <c r="E540" s="47"/>
      <c r="F540" s="47"/>
      <c r="G540" s="48"/>
      <c r="H540" s="47"/>
      <c r="I540" s="75">
        <f t="shared" si="16"/>
        <v>0</v>
      </c>
      <c r="J540" s="47"/>
      <c r="K540" s="288">
        <f t="shared" si="17"/>
        <v>0</v>
      </c>
    </row>
    <row r="541" spans="1:11" s="56" customFormat="1" ht="15.75" customHeight="1">
      <c r="A541" s="44"/>
      <c r="B541" s="45"/>
      <c r="C541" s="46">
        <f>IF(B541&lt;&gt;"",VLOOKUP(B541,'Tipo Projeto'!$A$3:$B$35,2,0),0)</f>
        <v>0</v>
      </c>
      <c r="D541" s="47"/>
      <c r="E541" s="47"/>
      <c r="F541" s="47"/>
      <c r="G541" s="48"/>
      <c r="H541" s="47"/>
      <c r="I541" s="75">
        <f t="shared" si="16"/>
        <v>0</v>
      </c>
      <c r="J541" s="47"/>
      <c r="K541" s="288">
        <f t="shared" si="17"/>
        <v>0</v>
      </c>
    </row>
    <row r="542" spans="1:11" s="56" customFormat="1" ht="15.75" customHeight="1">
      <c r="A542" s="44"/>
      <c r="B542" s="45"/>
      <c r="C542" s="46">
        <f>IF(B542&lt;&gt;"",VLOOKUP(B542,'Tipo Projeto'!$A$3:$B$35,2,0),0)</f>
        <v>0</v>
      </c>
      <c r="D542" s="47"/>
      <c r="E542" s="47"/>
      <c r="F542" s="47"/>
      <c r="G542" s="48"/>
      <c r="H542" s="47"/>
      <c r="I542" s="75">
        <f t="shared" si="16"/>
        <v>0</v>
      </c>
      <c r="J542" s="47"/>
      <c r="K542" s="288">
        <f t="shared" si="17"/>
        <v>0</v>
      </c>
    </row>
    <row r="543" spans="1:11" s="56" customFormat="1" ht="15.75" customHeight="1">
      <c r="A543" s="44"/>
      <c r="B543" s="45"/>
      <c r="C543" s="46">
        <f>IF(B543&lt;&gt;"",VLOOKUP(B543,'Tipo Projeto'!$A$3:$B$35,2,0),0)</f>
        <v>0</v>
      </c>
      <c r="D543" s="47"/>
      <c r="E543" s="47"/>
      <c r="F543" s="47"/>
      <c r="G543" s="48"/>
      <c r="H543" s="47"/>
      <c r="I543" s="75">
        <f t="shared" si="16"/>
        <v>0</v>
      </c>
      <c r="J543" s="47"/>
      <c r="K543" s="288">
        <f t="shared" si="17"/>
        <v>0</v>
      </c>
    </row>
    <row r="544" spans="1:11" s="56" customFormat="1" ht="15.75" customHeight="1">
      <c r="A544" s="44"/>
      <c r="B544" s="45"/>
      <c r="C544" s="46">
        <f>IF(B544&lt;&gt;"",VLOOKUP(B544,'Tipo Projeto'!$A$3:$B$35,2,0),0)</f>
        <v>0</v>
      </c>
      <c r="D544" s="47"/>
      <c r="E544" s="47"/>
      <c r="F544" s="47"/>
      <c r="G544" s="48"/>
      <c r="H544" s="47"/>
      <c r="I544" s="75">
        <f t="shared" si="16"/>
        <v>0</v>
      </c>
      <c r="J544" s="47"/>
      <c r="K544" s="288">
        <f t="shared" si="17"/>
        <v>0</v>
      </c>
    </row>
    <row r="545" spans="1:11" s="56" customFormat="1" ht="15.75" customHeight="1">
      <c r="A545" s="44"/>
      <c r="B545" s="45"/>
      <c r="C545" s="46">
        <f>IF(B545&lt;&gt;"",VLOOKUP(B545,'Tipo Projeto'!$A$3:$B$35,2,0),0)</f>
        <v>0</v>
      </c>
      <c r="D545" s="47"/>
      <c r="E545" s="47"/>
      <c r="F545" s="47"/>
      <c r="G545" s="48"/>
      <c r="H545" s="47"/>
      <c r="I545" s="75">
        <f t="shared" si="16"/>
        <v>0</v>
      </c>
      <c r="J545" s="47"/>
      <c r="K545" s="288">
        <f t="shared" si="17"/>
        <v>0</v>
      </c>
    </row>
    <row r="546" spans="1:11" s="56" customFormat="1" ht="15.75" customHeight="1">
      <c r="A546" s="44"/>
      <c r="B546" s="45"/>
      <c r="C546" s="46">
        <f>IF(B546&lt;&gt;"",VLOOKUP(B546,'Tipo Projeto'!$A$3:$B$35,2,0),0)</f>
        <v>0</v>
      </c>
      <c r="D546" s="47"/>
      <c r="E546" s="47"/>
      <c r="F546" s="47"/>
      <c r="G546" s="48"/>
      <c r="H546" s="47"/>
      <c r="I546" s="75">
        <f t="shared" si="16"/>
        <v>0</v>
      </c>
      <c r="J546" s="47"/>
      <c r="K546" s="288">
        <f t="shared" si="17"/>
        <v>0</v>
      </c>
    </row>
    <row r="547" spans="1:11" s="56" customFormat="1" ht="15.75" customHeight="1">
      <c r="A547" s="44"/>
      <c r="B547" s="45"/>
      <c r="C547" s="46">
        <f>IF(B547&lt;&gt;"",VLOOKUP(B547,'Tipo Projeto'!$A$3:$B$35,2,0),0)</f>
        <v>0</v>
      </c>
      <c r="D547" s="47"/>
      <c r="E547" s="47"/>
      <c r="F547" s="47"/>
      <c r="G547" s="48"/>
      <c r="H547" s="47"/>
      <c r="I547" s="75">
        <f t="shared" si="16"/>
        <v>0</v>
      </c>
      <c r="J547" s="47"/>
      <c r="K547" s="288">
        <f t="shared" si="17"/>
        <v>0</v>
      </c>
    </row>
    <row r="548" spans="1:11" s="56" customFormat="1" ht="15.75" customHeight="1">
      <c r="A548" s="44"/>
      <c r="B548" s="45"/>
      <c r="C548" s="46">
        <f>IF(B548&lt;&gt;"",VLOOKUP(B548,'Tipo Projeto'!$A$3:$B$35,2,0),0)</f>
        <v>0</v>
      </c>
      <c r="D548" s="47"/>
      <c r="E548" s="47"/>
      <c r="F548" s="47"/>
      <c r="G548" s="48"/>
      <c r="H548" s="47"/>
      <c r="I548" s="75">
        <f t="shared" si="16"/>
        <v>0</v>
      </c>
      <c r="J548" s="47"/>
      <c r="K548" s="288">
        <f t="shared" si="17"/>
        <v>0</v>
      </c>
    </row>
    <row r="549" spans="1:11" s="56" customFormat="1" ht="15.75" customHeight="1">
      <c r="A549" s="44"/>
      <c r="B549" s="45"/>
      <c r="C549" s="46">
        <f>IF(B549&lt;&gt;"",VLOOKUP(B549,'Tipo Projeto'!$A$3:$B$35,2,0),0)</f>
        <v>0</v>
      </c>
      <c r="D549" s="47"/>
      <c r="E549" s="47"/>
      <c r="F549" s="47"/>
      <c r="G549" s="48"/>
      <c r="H549" s="47"/>
      <c r="I549" s="75">
        <f t="shared" si="16"/>
        <v>0</v>
      </c>
      <c r="J549" s="47"/>
      <c r="K549" s="288">
        <f t="shared" si="17"/>
        <v>0</v>
      </c>
    </row>
    <row r="550" spans="1:11" s="56" customFormat="1" ht="15.75" customHeight="1">
      <c r="A550" s="44"/>
      <c r="B550" s="45"/>
      <c r="C550" s="46">
        <f>IF(B550&lt;&gt;"",VLOOKUP(B550,'Tipo Projeto'!$A$3:$B$35,2,0),0)</f>
        <v>0</v>
      </c>
      <c r="D550" s="47"/>
      <c r="E550" s="47"/>
      <c r="F550" s="47"/>
      <c r="G550" s="48"/>
      <c r="H550" s="47"/>
      <c r="I550" s="75">
        <f t="shared" si="16"/>
        <v>0</v>
      </c>
      <c r="J550" s="47"/>
      <c r="K550" s="288">
        <f t="shared" si="17"/>
        <v>0</v>
      </c>
    </row>
    <row r="551" spans="1:11" s="56" customFormat="1" ht="15.75" customHeight="1">
      <c r="A551" s="44"/>
      <c r="B551" s="45"/>
      <c r="C551" s="46">
        <f>IF(B551&lt;&gt;"",VLOOKUP(B551,'Tipo Projeto'!$A$3:$B$35,2,0),0)</f>
        <v>0</v>
      </c>
      <c r="D551" s="47"/>
      <c r="E551" s="47"/>
      <c r="F551" s="47"/>
      <c r="G551" s="48"/>
      <c r="H551" s="47"/>
      <c r="I551" s="75">
        <f t="shared" si="16"/>
        <v>0</v>
      </c>
      <c r="J551" s="47"/>
      <c r="K551" s="288">
        <f t="shared" si="17"/>
        <v>0</v>
      </c>
    </row>
    <row r="552" spans="1:11" s="56" customFormat="1" ht="15.75" customHeight="1">
      <c r="A552" s="44"/>
      <c r="B552" s="45"/>
      <c r="C552" s="46">
        <f>IF(B552&lt;&gt;"",VLOOKUP(B552,'Tipo Projeto'!$A$3:$B$35,2,0),0)</f>
        <v>0</v>
      </c>
      <c r="D552" s="47"/>
      <c r="E552" s="47"/>
      <c r="F552" s="47"/>
      <c r="G552" s="48"/>
      <c r="H552" s="47"/>
      <c r="I552" s="75">
        <f t="shared" si="16"/>
        <v>0</v>
      </c>
      <c r="J552" s="47"/>
      <c r="K552" s="288">
        <f t="shared" si="17"/>
        <v>0</v>
      </c>
    </row>
    <row r="553" spans="1:11" s="56" customFormat="1" ht="15.75" customHeight="1">
      <c r="A553" s="44"/>
      <c r="B553" s="45"/>
      <c r="C553" s="46">
        <f>IF(B553&lt;&gt;"",VLOOKUP(B553,'Tipo Projeto'!$A$3:$B$35,2,0),0)</f>
        <v>0</v>
      </c>
      <c r="D553" s="47"/>
      <c r="E553" s="47"/>
      <c r="F553" s="47"/>
      <c r="G553" s="48"/>
      <c r="H553" s="47"/>
      <c r="I553" s="75">
        <f t="shared" si="16"/>
        <v>0</v>
      </c>
      <c r="J553" s="47"/>
      <c r="K553" s="288">
        <f t="shared" si="17"/>
        <v>0</v>
      </c>
    </row>
    <row r="554" spans="1:11" s="56" customFormat="1" ht="15.75" customHeight="1">
      <c r="A554" s="44"/>
      <c r="B554" s="45"/>
      <c r="C554" s="46">
        <f>IF(B554&lt;&gt;"",VLOOKUP(B554,'Tipo Projeto'!$A$3:$B$35,2,0),0)</f>
        <v>0</v>
      </c>
      <c r="D554" s="47"/>
      <c r="E554" s="47"/>
      <c r="F554" s="47"/>
      <c r="G554" s="48"/>
      <c r="H554" s="47"/>
      <c r="I554" s="75">
        <f t="shared" si="16"/>
        <v>0</v>
      </c>
      <c r="J554" s="47"/>
      <c r="K554" s="288">
        <f t="shared" si="17"/>
        <v>0</v>
      </c>
    </row>
    <row r="555" spans="1:11" s="56" customFormat="1" ht="15.75" customHeight="1">
      <c r="A555" s="44"/>
      <c r="B555" s="45"/>
      <c r="C555" s="46">
        <f>IF(B555&lt;&gt;"",VLOOKUP(B555,'Tipo Projeto'!$A$3:$B$35,2,0),0)</f>
        <v>0</v>
      </c>
      <c r="D555" s="47"/>
      <c r="E555" s="47"/>
      <c r="F555" s="47"/>
      <c r="G555" s="48"/>
      <c r="H555" s="47"/>
      <c r="I555" s="75">
        <f t="shared" si="16"/>
        <v>0</v>
      </c>
      <c r="J555" s="47"/>
      <c r="K555" s="288">
        <f t="shared" si="17"/>
        <v>0</v>
      </c>
    </row>
    <row r="556" spans="1:11" s="56" customFormat="1" ht="15.75" customHeight="1">
      <c r="A556" s="44"/>
      <c r="B556" s="45"/>
      <c r="C556" s="46">
        <f>IF(B556&lt;&gt;"",VLOOKUP(B556,'Tipo Projeto'!$A$3:$B$35,2,0),0)</f>
        <v>0</v>
      </c>
      <c r="D556" s="47"/>
      <c r="E556" s="47"/>
      <c r="F556" s="47"/>
      <c r="G556" s="48"/>
      <c r="H556" s="47"/>
      <c r="I556" s="75">
        <f t="shared" si="16"/>
        <v>0</v>
      </c>
      <c r="J556" s="47"/>
      <c r="K556" s="288">
        <f t="shared" si="17"/>
        <v>0</v>
      </c>
    </row>
    <row r="557" spans="1:11" s="56" customFormat="1" ht="15.75" customHeight="1">
      <c r="A557" s="44"/>
      <c r="B557" s="45"/>
      <c r="C557" s="46">
        <f>IF(B557&lt;&gt;"",VLOOKUP(B557,'Tipo Projeto'!$A$3:$B$35,2,0),0)</f>
        <v>0</v>
      </c>
      <c r="D557" s="47"/>
      <c r="E557" s="47"/>
      <c r="F557" s="47"/>
      <c r="G557" s="48"/>
      <c r="H557" s="47"/>
      <c r="I557" s="75">
        <f t="shared" si="16"/>
        <v>0</v>
      </c>
      <c r="J557" s="47"/>
      <c r="K557" s="288">
        <f t="shared" si="17"/>
        <v>0</v>
      </c>
    </row>
    <row r="558" spans="1:11" s="56" customFormat="1" ht="15.75" customHeight="1">
      <c r="A558" s="44"/>
      <c r="B558" s="45"/>
      <c r="C558" s="46">
        <f>IF(B558&lt;&gt;"",VLOOKUP(B558,'Tipo Projeto'!$A$3:$B$35,2,0),0)</f>
        <v>0</v>
      </c>
      <c r="D558" s="47"/>
      <c r="E558" s="47"/>
      <c r="F558" s="47"/>
      <c r="G558" s="48"/>
      <c r="H558" s="47"/>
      <c r="I558" s="75">
        <f t="shared" si="16"/>
        <v>0</v>
      </c>
      <c r="J558" s="47"/>
      <c r="K558" s="288">
        <f t="shared" si="17"/>
        <v>0</v>
      </c>
    </row>
    <row r="559" spans="1:11" s="56" customFormat="1" ht="15.75" customHeight="1">
      <c r="A559" s="44"/>
      <c r="B559" s="45"/>
      <c r="C559" s="46">
        <f>IF(B559&lt;&gt;"",VLOOKUP(B559,'Tipo Projeto'!$A$3:$B$35,2,0),0)</f>
        <v>0</v>
      </c>
      <c r="D559" s="47"/>
      <c r="E559" s="47"/>
      <c r="F559" s="47"/>
      <c r="G559" s="48"/>
      <c r="H559" s="47"/>
      <c r="I559" s="75">
        <f t="shared" si="16"/>
        <v>0</v>
      </c>
      <c r="J559" s="47"/>
      <c r="K559" s="288">
        <f t="shared" si="17"/>
        <v>0</v>
      </c>
    </row>
    <row r="560" spans="1:11" s="56" customFormat="1" ht="15.75" customHeight="1">
      <c r="A560" s="44"/>
      <c r="B560" s="45"/>
      <c r="C560" s="46">
        <f>IF(B560&lt;&gt;"",VLOOKUP(B560,'Tipo Projeto'!$A$3:$B$35,2,0),0)</f>
        <v>0</v>
      </c>
      <c r="D560" s="47"/>
      <c r="E560" s="47"/>
      <c r="F560" s="47"/>
      <c r="G560" s="48"/>
      <c r="H560" s="47"/>
      <c r="I560" s="75">
        <f t="shared" si="16"/>
        <v>0</v>
      </c>
      <c r="J560" s="47"/>
      <c r="K560" s="288">
        <f t="shared" si="17"/>
        <v>0</v>
      </c>
    </row>
    <row r="561" spans="1:11" s="56" customFormat="1" ht="15.75" customHeight="1">
      <c r="A561" s="44"/>
      <c r="B561" s="45"/>
      <c r="C561" s="46">
        <f>IF(B561&lt;&gt;"",VLOOKUP(B561,'Tipo Projeto'!$A$3:$B$35,2,0),0)</f>
        <v>0</v>
      </c>
      <c r="D561" s="47"/>
      <c r="E561" s="47"/>
      <c r="F561" s="47"/>
      <c r="G561" s="48"/>
      <c r="H561" s="47"/>
      <c r="I561" s="75">
        <f t="shared" si="16"/>
        <v>0</v>
      </c>
      <c r="J561" s="47"/>
      <c r="K561" s="288">
        <f t="shared" si="17"/>
        <v>0</v>
      </c>
    </row>
    <row r="562" spans="1:11" s="56" customFormat="1" ht="15.75" customHeight="1">
      <c r="A562" s="44"/>
      <c r="B562" s="45"/>
      <c r="C562" s="46">
        <f>IF(B562&lt;&gt;"",VLOOKUP(B562,'Tipo Projeto'!$A$3:$B$35,2,0),0)</f>
        <v>0</v>
      </c>
      <c r="D562" s="47"/>
      <c r="E562" s="47"/>
      <c r="F562" s="47"/>
      <c r="G562" s="48"/>
      <c r="H562" s="47"/>
      <c r="I562" s="75">
        <f t="shared" si="16"/>
        <v>0</v>
      </c>
      <c r="J562" s="47"/>
      <c r="K562" s="288">
        <f t="shared" si="17"/>
        <v>0</v>
      </c>
    </row>
    <row r="563" spans="1:11" s="56" customFormat="1" ht="15.75" customHeight="1">
      <c r="A563" s="44"/>
      <c r="B563" s="45"/>
      <c r="C563" s="46">
        <f>IF(B563&lt;&gt;"",VLOOKUP(B563,'Tipo Projeto'!$A$3:$B$35,2,0),0)</f>
        <v>0</v>
      </c>
      <c r="D563" s="47"/>
      <c r="E563" s="47"/>
      <c r="F563" s="47"/>
      <c r="G563" s="48"/>
      <c r="H563" s="47"/>
      <c r="I563" s="75">
        <f t="shared" si="16"/>
        <v>0</v>
      </c>
      <c r="J563" s="47"/>
      <c r="K563" s="288">
        <f t="shared" si="17"/>
        <v>0</v>
      </c>
    </row>
    <row r="564" spans="1:11" s="56" customFormat="1" ht="15.75" customHeight="1">
      <c r="A564" s="44"/>
      <c r="B564" s="45"/>
      <c r="C564" s="46">
        <f>IF(B564&lt;&gt;"",VLOOKUP(B564,'Tipo Projeto'!$A$3:$B$35,2,0),0)</f>
        <v>0</v>
      </c>
      <c r="D564" s="47"/>
      <c r="E564" s="47"/>
      <c r="F564" s="47"/>
      <c r="G564" s="48"/>
      <c r="H564" s="47"/>
      <c r="I564" s="75">
        <f t="shared" si="16"/>
        <v>0</v>
      </c>
      <c r="J564" s="47"/>
      <c r="K564" s="288">
        <f t="shared" si="17"/>
        <v>0</v>
      </c>
    </row>
    <row r="565" spans="1:11" s="56" customFormat="1" ht="15.75" customHeight="1">
      <c r="A565" s="44"/>
      <c r="B565" s="45"/>
      <c r="C565" s="46">
        <f>IF(B565&lt;&gt;"",VLOOKUP(B565,'Tipo Projeto'!$A$3:$B$35,2,0),0)</f>
        <v>0</v>
      </c>
      <c r="D565" s="47"/>
      <c r="E565" s="47"/>
      <c r="F565" s="47"/>
      <c r="G565" s="48"/>
      <c r="H565" s="47"/>
      <c r="I565" s="75">
        <f t="shared" si="16"/>
        <v>0</v>
      </c>
      <c r="J565" s="47"/>
      <c r="K565" s="288">
        <f t="shared" si="17"/>
        <v>0</v>
      </c>
    </row>
    <row r="566" spans="1:11" s="56" customFormat="1" ht="15.75" customHeight="1">
      <c r="A566" s="44"/>
      <c r="B566" s="45"/>
      <c r="C566" s="46">
        <f>IF(B566&lt;&gt;"",VLOOKUP(B566,'Tipo Projeto'!$A$3:$B$35,2,0),0)</f>
        <v>0</v>
      </c>
      <c r="D566" s="47"/>
      <c r="E566" s="47"/>
      <c r="F566" s="47"/>
      <c r="G566" s="48"/>
      <c r="H566" s="47"/>
      <c r="I566" s="75">
        <f t="shared" si="16"/>
        <v>0</v>
      </c>
      <c r="J566" s="47"/>
      <c r="K566" s="288">
        <f t="shared" si="17"/>
        <v>0</v>
      </c>
    </row>
    <row r="567" spans="1:11" s="56" customFormat="1" ht="15.75" customHeight="1">
      <c r="A567" s="44"/>
      <c r="B567" s="45"/>
      <c r="C567" s="46">
        <f>IF(B567&lt;&gt;"",VLOOKUP(B567,'Tipo Projeto'!$A$3:$B$35,2,0),0)</f>
        <v>0</v>
      </c>
      <c r="D567" s="47"/>
      <c r="E567" s="47"/>
      <c r="F567" s="47"/>
      <c r="G567" s="48"/>
      <c r="H567" s="47"/>
      <c r="I567" s="75">
        <f t="shared" si="16"/>
        <v>0</v>
      </c>
      <c r="J567" s="47"/>
      <c r="K567" s="288">
        <f t="shared" si="17"/>
        <v>0</v>
      </c>
    </row>
    <row r="568" spans="1:11" s="56" customFormat="1" ht="15.75" customHeight="1">
      <c r="A568" s="44"/>
      <c r="B568" s="45"/>
      <c r="C568" s="46">
        <f>IF(B568&lt;&gt;"",VLOOKUP(B568,'Tipo Projeto'!$A$3:$B$35,2,0),0)</f>
        <v>0</v>
      </c>
      <c r="D568" s="47"/>
      <c r="E568" s="47"/>
      <c r="F568" s="47"/>
      <c r="G568" s="48"/>
      <c r="H568" s="47"/>
      <c r="I568" s="75">
        <f t="shared" si="16"/>
        <v>0</v>
      </c>
      <c r="J568" s="47"/>
      <c r="K568" s="288">
        <f t="shared" si="17"/>
        <v>0</v>
      </c>
    </row>
    <row r="569" spans="1:11" s="56" customFormat="1" ht="15.75" customHeight="1">
      <c r="A569" s="44"/>
      <c r="B569" s="45"/>
      <c r="C569" s="46">
        <f>IF(B569&lt;&gt;"",VLOOKUP(B569,'Tipo Projeto'!$A$3:$B$35,2,0),0)</f>
        <v>0</v>
      </c>
      <c r="D569" s="47"/>
      <c r="E569" s="47"/>
      <c r="F569" s="47"/>
      <c r="G569" s="48"/>
      <c r="H569" s="47"/>
      <c r="I569" s="75">
        <f t="shared" si="16"/>
        <v>0</v>
      </c>
      <c r="J569" s="47"/>
      <c r="K569" s="288">
        <f t="shared" si="17"/>
        <v>0</v>
      </c>
    </row>
    <row r="570" spans="1:11" s="56" customFormat="1" ht="15.75" customHeight="1">
      <c r="A570" s="44"/>
      <c r="B570" s="45"/>
      <c r="C570" s="46">
        <f>IF(B570&lt;&gt;"",VLOOKUP(B570,'Tipo Projeto'!$A$3:$B$35,2,0),0)</f>
        <v>0</v>
      </c>
      <c r="D570" s="47"/>
      <c r="E570" s="47"/>
      <c r="F570" s="47"/>
      <c r="G570" s="48"/>
      <c r="H570" s="47"/>
      <c r="I570" s="75">
        <f t="shared" si="16"/>
        <v>0</v>
      </c>
      <c r="J570" s="47"/>
      <c r="K570" s="288">
        <f t="shared" si="17"/>
        <v>0</v>
      </c>
    </row>
    <row r="571" spans="1:11" s="56" customFormat="1" ht="15.75" customHeight="1">
      <c r="A571" s="44"/>
      <c r="B571" s="45"/>
      <c r="C571" s="46">
        <f>IF(B571&lt;&gt;"",VLOOKUP(B571,'Tipo Projeto'!$A$3:$B$35,2,0),0)</f>
        <v>0</v>
      </c>
      <c r="D571" s="47"/>
      <c r="E571" s="47"/>
      <c r="F571" s="47"/>
      <c r="G571" s="48"/>
      <c r="H571" s="47"/>
      <c r="I571" s="75">
        <f t="shared" si="16"/>
        <v>0</v>
      </c>
      <c r="J571" s="47"/>
      <c r="K571" s="288">
        <f t="shared" si="17"/>
        <v>0</v>
      </c>
    </row>
    <row r="572" spans="1:11" s="56" customFormat="1" ht="15.75" customHeight="1">
      <c r="A572" s="44"/>
      <c r="B572" s="45"/>
      <c r="C572" s="46">
        <f>IF(B572&lt;&gt;"",VLOOKUP(B572,'Tipo Projeto'!$A$3:$B$35,2,0),0)</f>
        <v>0</v>
      </c>
      <c r="D572" s="47"/>
      <c r="E572" s="47"/>
      <c r="F572" s="47"/>
      <c r="G572" s="48"/>
      <c r="H572" s="47"/>
      <c r="I572" s="75">
        <f t="shared" si="16"/>
        <v>0</v>
      </c>
      <c r="J572" s="47"/>
      <c r="K572" s="288">
        <f t="shared" si="17"/>
        <v>0</v>
      </c>
    </row>
    <row r="573" spans="1:11" s="56" customFormat="1" ht="15.75" customHeight="1">
      <c r="A573" s="44"/>
      <c r="B573" s="45"/>
      <c r="C573" s="46">
        <f>IF(B573&lt;&gt;"",VLOOKUP(B573,'Tipo Projeto'!$A$3:$B$35,2,0),0)</f>
        <v>0</v>
      </c>
      <c r="D573" s="47"/>
      <c r="E573" s="47"/>
      <c r="F573" s="47"/>
      <c r="G573" s="48"/>
      <c r="H573" s="47"/>
      <c r="I573" s="75">
        <f t="shared" si="16"/>
        <v>0</v>
      </c>
      <c r="J573" s="47"/>
      <c r="K573" s="288">
        <f t="shared" si="17"/>
        <v>0</v>
      </c>
    </row>
    <row r="574" spans="1:11" s="56" customFormat="1" ht="15.75" customHeight="1">
      <c r="A574" s="44"/>
      <c r="B574" s="45"/>
      <c r="C574" s="46">
        <f>IF(B574&lt;&gt;"",VLOOKUP(B574,'Tipo Projeto'!$A$3:$B$35,2,0),0)</f>
        <v>0</v>
      </c>
      <c r="D574" s="47"/>
      <c r="E574" s="47"/>
      <c r="F574" s="47"/>
      <c r="G574" s="48"/>
      <c r="H574" s="47"/>
      <c r="I574" s="75">
        <f t="shared" ref="I574:I637" si="18">IF(B574&lt;&gt;"Manutenção em interface",IF(B574&lt;&gt;"Desenv., Manutenção e Publicação de Páginas Estáticas",IF(H574="EE",4,IF(H574="CE",4,IF(H574="SE",5,IF(H574="ALI",7,IF(H574="AIE",5,0)))))*C574,C574),C574)</f>
        <v>0</v>
      </c>
      <c r="J574" s="47"/>
      <c r="K574" s="288">
        <f t="shared" si="17"/>
        <v>0</v>
      </c>
    </row>
    <row r="575" spans="1:11" s="56" customFormat="1" ht="15.75" customHeight="1">
      <c r="A575" s="44"/>
      <c r="B575" s="45"/>
      <c r="C575" s="46">
        <f>IF(B575&lt;&gt;"",VLOOKUP(B575,'Tipo Projeto'!$A$3:$B$35,2,0),0)</f>
        <v>0</v>
      </c>
      <c r="D575" s="47"/>
      <c r="E575" s="47"/>
      <c r="F575" s="47"/>
      <c r="G575" s="48"/>
      <c r="H575" s="47"/>
      <c r="I575" s="75">
        <f t="shared" si="18"/>
        <v>0</v>
      </c>
      <c r="J575" s="47"/>
      <c r="K575" s="288">
        <f t="shared" si="17"/>
        <v>0</v>
      </c>
    </row>
    <row r="576" spans="1:11" s="56" customFormat="1" ht="15.75" customHeight="1">
      <c r="A576" s="44"/>
      <c r="B576" s="45"/>
      <c r="C576" s="46">
        <f>IF(B576&lt;&gt;"",VLOOKUP(B576,'Tipo Projeto'!$A$3:$B$35,2,0),0)</f>
        <v>0</v>
      </c>
      <c r="D576" s="47"/>
      <c r="E576" s="47"/>
      <c r="F576" s="47"/>
      <c r="G576" s="48"/>
      <c r="H576" s="47"/>
      <c r="I576" s="75">
        <f t="shared" si="18"/>
        <v>0</v>
      </c>
      <c r="J576" s="47"/>
      <c r="K576" s="288">
        <f t="shared" si="17"/>
        <v>0</v>
      </c>
    </row>
    <row r="577" spans="1:11" s="56" customFormat="1" ht="15.75" customHeight="1">
      <c r="A577" s="44"/>
      <c r="B577" s="45"/>
      <c r="C577" s="46">
        <f>IF(B577&lt;&gt;"",VLOOKUP(B577,'Tipo Projeto'!$A$3:$B$35,2,0),0)</f>
        <v>0</v>
      </c>
      <c r="D577" s="47"/>
      <c r="E577" s="47"/>
      <c r="F577" s="47"/>
      <c r="G577" s="48"/>
      <c r="H577" s="47"/>
      <c r="I577" s="75">
        <f t="shared" si="18"/>
        <v>0</v>
      </c>
      <c r="J577" s="47"/>
      <c r="K577" s="288">
        <f t="shared" si="17"/>
        <v>0</v>
      </c>
    </row>
    <row r="578" spans="1:11" s="56" customFormat="1" ht="15.75" customHeight="1">
      <c r="A578" s="44"/>
      <c r="B578" s="45"/>
      <c r="C578" s="46">
        <f>IF(B578&lt;&gt;"",VLOOKUP(B578,'Tipo Projeto'!$A$3:$B$35,2,0),0)</f>
        <v>0</v>
      </c>
      <c r="D578" s="47"/>
      <c r="E578" s="47"/>
      <c r="F578" s="47"/>
      <c r="G578" s="48"/>
      <c r="H578" s="47"/>
      <c r="I578" s="75">
        <f t="shared" si="18"/>
        <v>0</v>
      </c>
      <c r="J578" s="47"/>
      <c r="K578" s="288">
        <f t="shared" si="17"/>
        <v>0</v>
      </c>
    </row>
    <row r="579" spans="1:11" s="56" customFormat="1" ht="15.75" customHeight="1">
      <c r="A579" s="44"/>
      <c r="B579" s="45"/>
      <c r="C579" s="46">
        <f>IF(B579&lt;&gt;"",VLOOKUP(B579,'Tipo Projeto'!$A$3:$B$35,2,0),0)</f>
        <v>0</v>
      </c>
      <c r="D579" s="47"/>
      <c r="E579" s="47"/>
      <c r="F579" s="47"/>
      <c r="G579" s="48"/>
      <c r="H579" s="47"/>
      <c r="I579" s="75">
        <f t="shared" si="18"/>
        <v>0</v>
      </c>
      <c r="J579" s="47"/>
      <c r="K579" s="288">
        <f t="shared" si="17"/>
        <v>0</v>
      </c>
    </row>
    <row r="580" spans="1:11" s="56" customFormat="1" ht="15.75" customHeight="1">
      <c r="A580" s="44"/>
      <c r="B580" s="45"/>
      <c r="C580" s="46">
        <f>IF(B580&lt;&gt;"",VLOOKUP(B580,'Tipo Projeto'!$A$3:$B$35,2,0),0)</f>
        <v>0</v>
      </c>
      <c r="D580" s="47"/>
      <c r="E580" s="47"/>
      <c r="F580" s="47"/>
      <c r="G580" s="48"/>
      <c r="H580" s="47"/>
      <c r="I580" s="75">
        <f t="shared" si="18"/>
        <v>0</v>
      </c>
      <c r="J580" s="47"/>
      <c r="K580" s="288">
        <f t="shared" si="17"/>
        <v>0</v>
      </c>
    </row>
    <row r="581" spans="1:11" s="56" customFormat="1" ht="15.75" customHeight="1">
      <c r="A581" s="44"/>
      <c r="B581" s="45"/>
      <c r="C581" s="46">
        <f>IF(B581&lt;&gt;"",VLOOKUP(B581,'Tipo Projeto'!$A$3:$B$35,2,0),0)</f>
        <v>0</v>
      </c>
      <c r="D581" s="47"/>
      <c r="E581" s="47"/>
      <c r="F581" s="47"/>
      <c r="G581" s="48"/>
      <c r="H581" s="47"/>
      <c r="I581" s="75">
        <f t="shared" si="18"/>
        <v>0</v>
      </c>
      <c r="J581" s="47"/>
      <c r="K581" s="288">
        <f t="shared" si="17"/>
        <v>0</v>
      </c>
    </row>
    <row r="582" spans="1:11" s="56" customFormat="1" ht="15.75" customHeight="1">
      <c r="A582" s="44"/>
      <c r="B582" s="45"/>
      <c r="C582" s="46">
        <f>IF(B582&lt;&gt;"",VLOOKUP(B582,'Tipo Projeto'!$A$3:$B$35,2,0),0)</f>
        <v>0</v>
      </c>
      <c r="D582" s="47"/>
      <c r="E582" s="47"/>
      <c r="F582" s="47"/>
      <c r="G582" s="48"/>
      <c r="H582" s="47"/>
      <c r="I582" s="75">
        <f t="shared" si="18"/>
        <v>0</v>
      </c>
      <c r="J582" s="47"/>
      <c r="K582" s="288">
        <f t="shared" si="17"/>
        <v>0</v>
      </c>
    </row>
    <row r="583" spans="1:11" s="56" customFormat="1" ht="15.75" customHeight="1">
      <c r="A583" s="44"/>
      <c r="B583" s="45"/>
      <c r="C583" s="46">
        <f>IF(B583&lt;&gt;"",VLOOKUP(B583,'Tipo Projeto'!$A$3:$B$35,2,0),0)</f>
        <v>0</v>
      </c>
      <c r="D583" s="47"/>
      <c r="E583" s="47"/>
      <c r="F583" s="47"/>
      <c r="G583" s="48"/>
      <c r="H583" s="47"/>
      <c r="I583" s="75">
        <f t="shared" si="18"/>
        <v>0</v>
      </c>
      <c r="J583" s="47"/>
      <c r="K583" s="288">
        <f t="shared" si="17"/>
        <v>0</v>
      </c>
    </row>
    <row r="584" spans="1:11" s="56" customFormat="1" ht="15.75" customHeight="1">
      <c r="A584" s="44"/>
      <c r="B584" s="45"/>
      <c r="C584" s="46">
        <f>IF(B584&lt;&gt;"",VLOOKUP(B584,'Tipo Projeto'!$A$3:$B$35,2,0),0)</f>
        <v>0</v>
      </c>
      <c r="D584" s="47"/>
      <c r="E584" s="47"/>
      <c r="F584" s="47"/>
      <c r="G584" s="48"/>
      <c r="H584" s="47"/>
      <c r="I584" s="75">
        <f t="shared" si="18"/>
        <v>0</v>
      </c>
      <c r="J584" s="47"/>
      <c r="K584" s="288">
        <f t="shared" si="17"/>
        <v>0</v>
      </c>
    </row>
    <row r="585" spans="1:11" s="56" customFormat="1" ht="15.75" customHeight="1">
      <c r="A585" s="44"/>
      <c r="B585" s="45"/>
      <c r="C585" s="46">
        <f>IF(B585&lt;&gt;"",VLOOKUP(B585,'Tipo Projeto'!$A$3:$B$35,2,0),0)</f>
        <v>0</v>
      </c>
      <c r="D585" s="47"/>
      <c r="E585" s="47"/>
      <c r="F585" s="47"/>
      <c r="G585" s="48"/>
      <c r="H585" s="47"/>
      <c r="I585" s="75">
        <f t="shared" si="18"/>
        <v>0</v>
      </c>
      <c r="J585" s="47"/>
      <c r="K585" s="288">
        <f t="shared" si="17"/>
        <v>0</v>
      </c>
    </row>
    <row r="586" spans="1:11" s="56" customFormat="1" ht="15.75" customHeight="1">
      <c r="A586" s="44"/>
      <c r="B586" s="45"/>
      <c r="C586" s="46">
        <f>IF(B586&lt;&gt;"",VLOOKUP(B586,'Tipo Projeto'!$A$3:$B$35,2,0),0)</f>
        <v>0</v>
      </c>
      <c r="D586" s="47"/>
      <c r="E586" s="47"/>
      <c r="F586" s="47"/>
      <c r="G586" s="48"/>
      <c r="H586" s="47"/>
      <c r="I586" s="75">
        <f t="shared" si="18"/>
        <v>0</v>
      </c>
      <c r="J586" s="47"/>
      <c r="K586" s="288">
        <f t="shared" si="17"/>
        <v>0</v>
      </c>
    </row>
    <row r="587" spans="1:11" s="56" customFormat="1" ht="15.75" customHeight="1">
      <c r="A587" s="44"/>
      <c r="B587" s="45"/>
      <c r="C587" s="46">
        <f>IF(B587&lt;&gt;"",VLOOKUP(B587,'Tipo Projeto'!$A$3:$B$35,2,0),0)</f>
        <v>0</v>
      </c>
      <c r="D587" s="47"/>
      <c r="E587" s="47"/>
      <c r="F587" s="47"/>
      <c r="G587" s="48"/>
      <c r="H587" s="47"/>
      <c r="I587" s="75">
        <f t="shared" si="18"/>
        <v>0</v>
      </c>
      <c r="J587" s="47"/>
      <c r="K587" s="288">
        <f t="shared" si="17"/>
        <v>0</v>
      </c>
    </row>
    <row r="588" spans="1:11" s="56" customFormat="1" ht="15.75" customHeight="1">
      <c r="A588" s="44"/>
      <c r="B588" s="45"/>
      <c r="C588" s="46">
        <f>IF(B588&lt;&gt;"",VLOOKUP(B588,'Tipo Projeto'!$A$3:$B$35,2,0),0)</f>
        <v>0</v>
      </c>
      <c r="D588" s="47"/>
      <c r="E588" s="47"/>
      <c r="F588" s="47"/>
      <c r="G588" s="48"/>
      <c r="H588" s="47"/>
      <c r="I588" s="75">
        <f t="shared" si="18"/>
        <v>0</v>
      </c>
      <c r="J588" s="47"/>
      <c r="K588" s="288">
        <f t="shared" ref="K588:K651" si="19">IF(AND(C588&lt;&gt;0,I588&lt;&gt;0),I588/C588,0)</f>
        <v>0</v>
      </c>
    </row>
    <row r="589" spans="1:11" s="56" customFormat="1" ht="15.75" customHeight="1">
      <c r="A589" s="44"/>
      <c r="B589" s="45"/>
      <c r="C589" s="46">
        <f>IF(B589&lt;&gt;"",VLOOKUP(B589,'Tipo Projeto'!$A$3:$B$35,2,0),0)</f>
        <v>0</v>
      </c>
      <c r="D589" s="47"/>
      <c r="E589" s="47"/>
      <c r="F589" s="47"/>
      <c r="G589" s="48"/>
      <c r="H589" s="47"/>
      <c r="I589" s="75">
        <f t="shared" si="18"/>
        <v>0</v>
      </c>
      <c r="J589" s="47"/>
      <c r="K589" s="288">
        <f t="shared" si="19"/>
        <v>0</v>
      </c>
    </row>
    <row r="590" spans="1:11" s="56" customFormat="1" ht="15.75" customHeight="1">
      <c r="A590" s="44"/>
      <c r="B590" s="45"/>
      <c r="C590" s="46">
        <f>IF(B590&lt;&gt;"",VLOOKUP(B590,'Tipo Projeto'!$A$3:$B$35,2,0),0)</f>
        <v>0</v>
      </c>
      <c r="D590" s="47"/>
      <c r="E590" s="47"/>
      <c r="F590" s="47"/>
      <c r="G590" s="48"/>
      <c r="H590" s="47"/>
      <c r="I590" s="75">
        <f t="shared" si="18"/>
        <v>0</v>
      </c>
      <c r="J590" s="47"/>
      <c r="K590" s="288">
        <f t="shared" si="19"/>
        <v>0</v>
      </c>
    </row>
    <row r="591" spans="1:11" s="56" customFormat="1" ht="15.75" customHeight="1">
      <c r="A591" s="44"/>
      <c r="B591" s="45"/>
      <c r="C591" s="46">
        <f>IF(B591&lt;&gt;"",VLOOKUP(B591,'Tipo Projeto'!$A$3:$B$35,2,0),0)</f>
        <v>0</v>
      </c>
      <c r="D591" s="47"/>
      <c r="E591" s="47"/>
      <c r="F591" s="47"/>
      <c r="G591" s="48"/>
      <c r="H591" s="47"/>
      <c r="I591" s="75">
        <f t="shared" si="18"/>
        <v>0</v>
      </c>
      <c r="J591" s="47"/>
      <c r="K591" s="288">
        <f t="shared" si="19"/>
        <v>0</v>
      </c>
    </row>
    <row r="592" spans="1:11" s="56" customFormat="1" ht="15.75" customHeight="1">
      <c r="A592" s="44"/>
      <c r="B592" s="45"/>
      <c r="C592" s="46">
        <f>IF(B592&lt;&gt;"",VLOOKUP(B592,'Tipo Projeto'!$A$3:$B$35,2,0),0)</f>
        <v>0</v>
      </c>
      <c r="D592" s="47"/>
      <c r="E592" s="47"/>
      <c r="F592" s="47"/>
      <c r="G592" s="48"/>
      <c r="H592" s="47"/>
      <c r="I592" s="75">
        <f t="shared" si="18"/>
        <v>0</v>
      </c>
      <c r="J592" s="47"/>
      <c r="K592" s="288">
        <f t="shared" si="19"/>
        <v>0</v>
      </c>
    </row>
    <row r="593" spans="1:11" s="56" customFormat="1" ht="15.75" customHeight="1">
      <c r="A593" s="44"/>
      <c r="B593" s="45"/>
      <c r="C593" s="46">
        <f>IF(B593&lt;&gt;"",VLOOKUP(B593,'Tipo Projeto'!$A$3:$B$35,2,0),0)</f>
        <v>0</v>
      </c>
      <c r="D593" s="47"/>
      <c r="E593" s="47"/>
      <c r="F593" s="47"/>
      <c r="G593" s="48"/>
      <c r="H593" s="47"/>
      <c r="I593" s="75">
        <f t="shared" si="18"/>
        <v>0</v>
      </c>
      <c r="J593" s="47"/>
      <c r="K593" s="288">
        <f t="shared" si="19"/>
        <v>0</v>
      </c>
    </row>
    <row r="594" spans="1:11" s="56" customFormat="1" ht="15.75" customHeight="1">
      <c r="A594" s="44"/>
      <c r="B594" s="45"/>
      <c r="C594" s="46">
        <f>IF(B594&lt;&gt;"",VLOOKUP(B594,'Tipo Projeto'!$A$3:$B$35,2,0),0)</f>
        <v>0</v>
      </c>
      <c r="D594" s="47"/>
      <c r="E594" s="47"/>
      <c r="F594" s="47"/>
      <c r="G594" s="48"/>
      <c r="H594" s="47"/>
      <c r="I594" s="75">
        <f t="shared" si="18"/>
        <v>0</v>
      </c>
      <c r="J594" s="47"/>
      <c r="K594" s="288">
        <f t="shared" si="19"/>
        <v>0</v>
      </c>
    </row>
    <row r="595" spans="1:11" s="56" customFormat="1" ht="15.75" customHeight="1">
      <c r="A595" s="44"/>
      <c r="B595" s="45"/>
      <c r="C595" s="46">
        <f>IF(B595&lt;&gt;"",VLOOKUP(B595,'Tipo Projeto'!$A$3:$B$35,2,0),0)</f>
        <v>0</v>
      </c>
      <c r="D595" s="47"/>
      <c r="E595" s="47"/>
      <c r="F595" s="47"/>
      <c r="G595" s="48"/>
      <c r="H595" s="47"/>
      <c r="I595" s="75">
        <f t="shared" si="18"/>
        <v>0</v>
      </c>
      <c r="J595" s="47"/>
      <c r="K595" s="288">
        <f t="shared" si="19"/>
        <v>0</v>
      </c>
    </row>
    <row r="596" spans="1:11" s="56" customFormat="1" ht="15.75" customHeight="1">
      <c r="A596" s="44"/>
      <c r="B596" s="45"/>
      <c r="C596" s="46">
        <f>IF(B596&lt;&gt;"",VLOOKUP(B596,'Tipo Projeto'!$A$3:$B$35,2,0),0)</f>
        <v>0</v>
      </c>
      <c r="D596" s="47"/>
      <c r="E596" s="47"/>
      <c r="F596" s="47"/>
      <c r="G596" s="48"/>
      <c r="H596" s="47"/>
      <c r="I596" s="75">
        <f t="shared" si="18"/>
        <v>0</v>
      </c>
      <c r="J596" s="47"/>
      <c r="K596" s="288">
        <f t="shared" si="19"/>
        <v>0</v>
      </c>
    </row>
    <row r="597" spans="1:11" s="56" customFormat="1" ht="15.75" customHeight="1">
      <c r="A597" s="44"/>
      <c r="B597" s="45"/>
      <c r="C597" s="46">
        <f>IF(B597&lt;&gt;"",VLOOKUP(B597,'Tipo Projeto'!$A$3:$B$35,2,0),0)</f>
        <v>0</v>
      </c>
      <c r="D597" s="47"/>
      <c r="E597" s="47"/>
      <c r="F597" s="47"/>
      <c r="G597" s="48"/>
      <c r="H597" s="47"/>
      <c r="I597" s="75">
        <f t="shared" si="18"/>
        <v>0</v>
      </c>
      <c r="J597" s="47"/>
      <c r="K597" s="288">
        <f t="shared" si="19"/>
        <v>0</v>
      </c>
    </row>
    <row r="598" spans="1:11" s="56" customFormat="1" ht="15.75" customHeight="1">
      <c r="A598" s="44"/>
      <c r="B598" s="45"/>
      <c r="C598" s="46">
        <f>IF(B598&lt;&gt;"",VLOOKUP(B598,'Tipo Projeto'!$A$3:$B$35,2,0),0)</f>
        <v>0</v>
      </c>
      <c r="D598" s="47"/>
      <c r="E598" s="47"/>
      <c r="F598" s="47"/>
      <c r="G598" s="48"/>
      <c r="H598" s="47"/>
      <c r="I598" s="75">
        <f t="shared" si="18"/>
        <v>0</v>
      </c>
      <c r="J598" s="47"/>
      <c r="K598" s="288">
        <f t="shared" si="19"/>
        <v>0</v>
      </c>
    </row>
    <row r="599" spans="1:11" s="56" customFormat="1" ht="15.75" customHeight="1">
      <c r="A599" s="44"/>
      <c r="B599" s="45"/>
      <c r="C599" s="46">
        <f>IF(B599&lt;&gt;"",VLOOKUP(B599,'Tipo Projeto'!$A$3:$B$35,2,0),0)</f>
        <v>0</v>
      </c>
      <c r="D599" s="47"/>
      <c r="E599" s="47"/>
      <c r="F599" s="47"/>
      <c r="G599" s="48"/>
      <c r="H599" s="47"/>
      <c r="I599" s="75">
        <f t="shared" si="18"/>
        <v>0</v>
      </c>
      <c r="J599" s="47"/>
      <c r="K599" s="288">
        <f t="shared" si="19"/>
        <v>0</v>
      </c>
    </row>
    <row r="600" spans="1:11" s="56" customFormat="1" ht="15.75" customHeight="1">
      <c r="A600" s="44"/>
      <c r="B600" s="45"/>
      <c r="C600" s="46">
        <f>IF(B600&lt;&gt;"",VLOOKUP(B600,'Tipo Projeto'!$A$3:$B$35,2,0),0)</f>
        <v>0</v>
      </c>
      <c r="D600" s="47"/>
      <c r="E600" s="47"/>
      <c r="F600" s="47"/>
      <c r="G600" s="48"/>
      <c r="H600" s="47"/>
      <c r="I600" s="75">
        <f t="shared" si="18"/>
        <v>0</v>
      </c>
      <c r="J600" s="47"/>
      <c r="K600" s="288">
        <f t="shared" si="19"/>
        <v>0</v>
      </c>
    </row>
    <row r="601" spans="1:11" s="56" customFormat="1" ht="15.75" customHeight="1">
      <c r="A601" s="44"/>
      <c r="B601" s="45"/>
      <c r="C601" s="46">
        <f>IF(B601&lt;&gt;"",VLOOKUP(B601,'Tipo Projeto'!$A$3:$B$35,2,0),0)</f>
        <v>0</v>
      </c>
      <c r="D601" s="47"/>
      <c r="E601" s="47"/>
      <c r="F601" s="47"/>
      <c r="G601" s="48"/>
      <c r="H601" s="47"/>
      <c r="I601" s="75">
        <f t="shared" si="18"/>
        <v>0</v>
      </c>
      <c r="J601" s="47"/>
      <c r="K601" s="288">
        <f t="shared" si="19"/>
        <v>0</v>
      </c>
    </row>
    <row r="602" spans="1:11" s="56" customFormat="1" ht="15.75" customHeight="1">
      <c r="A602" s="44"/>
      <c r="B602" s="45"/>
      <c r="C602" s="46">
        <f>IF(B602&lt;&gt;"",VLOOKUP(B602,'Tipo Projeto'!$A$3:$B$35,2,0),0)</f>
        <v>0</v>
      </c>
      <c r="D602" s="47"/>
      <c r="E602" s="47"/>
      <c r="F602" s="47"/>
      <c r="G602" s="48"/>
      <c r="H602" s="47"/>
      <c r="I602" s="75">
        <f t="shared" si="18"/>
        <v>0</v>
      </c>
      <c r="J602" s="47"/>
      <c r="K602" s="288">
        <f t="shared" si="19"/>
        <v>0</v>
      </c>
    </row>
    <row r="603" spans="1:11" s="56" customFormat="1" ht="15.75" customHeight="1">
      <c r="A603" s="44"/>
      <c r="B603" s="45"/>
      <c r="C603" s="46">
        <f>IF(B603&lt;&gt;"",VLOOKUP(B603,'Tipo Projeto'!$A$3:$B$35,2,0),0)</f>
        <v>0</v>
      </c>
      <c r="D603" s="47"/>
      <c r="E603" s="47"/>
      <c r="F603" s="47"/>
      <c r="G603" s="48"/>
      <c r="H603" s="47"/>
      <c r="I603" s="75">
        <f t="shared" si="18"/>
        <v>0</v>
      </c>
      <c r="J603" s="47"/>
      <c r="K603" s="288">
        <f t="shared" si="19"/>
        <v>0</v>
      </c>
    </row>
    <row r="604" spans="1:11" s="56" customFormat="1" ht="15.75" customHeight="1">
      <c r="A604" s="44"/>
      <c r="B604" s="45"/>
      <c r="C604" s="46">
        <f>IF(B604&lt;&gt;"",VLOOKUP(B604,'Tipo Projeto'!$A$3:$B$35,2,0),0)</f>
        <v>0</v>
      </c>
      <c r="D604" s="47"/>
      <c r="E604" s="47"/>
      <c r="F604" s="47"/>
      <c r="G604" s="48"/>
      <c r="H604" s="47"/>
      <c r="I604" s="75">
        <f t="shared" si="18"/>
        <v>0</v>
      </c>
      <c r="J604" s="47"/>
      <c r="K604" s="288">
        <f t="shared" si="19"/>
        <v>0</v>
      </c>
    </row>
    <row r="605" spans="1:11" s="56" customFormat="1" ht="15.75" customHeight="1">
      <c r="A605" s="44"/>
      <c r="B605" s="45"/>
      <c r="C605" s="46">
        <f>IF(B605&lt;&gt;"",VLOOKUP(B605,'Tipo Projeto'!$A$3:$B$35,2,0),0)</f>
        <v>0</v>
      </c>
      <c r="D605" s="47"/>
      <c r="E605" s="47"/>
      <c r="F605" s="47"/>
      <c r="G605" s="48"/>
      <c r="H605" s="47"/>
      <c r="I605" s="75">
        <f t="shared" si="18"/>
        <v>0</v>
      </c>
      <c r="J605" s="47"/>
      <c r="K605" s="288">
        <f t="shared" si="19"/>
        <v>0</v>
      </c>
    </row>
    <row r="606" spans="1:11" s="56" customFormat="1" ht="15.75" customHeight="1">
      <c r="A606" s="44"/>
      <c r="B606" s="45"/>
      <c r="C606" s="46">
        <f>IF(B606&lt;&gt;"",VLOOKUP(B606,'Tipo Projeto'!$A$3:$B$35,2,0),0)</f>
        <v>0</v>
      </c>
      <c r="D606" s="47"/>
      <c r="E606" s="47"/>
      <c r="F606" s="47"/>
      <c r="G606" s="48"/>
      <c r="H606" s="47"/>
      <c r="I606" s="75">
        <f t="shared" si="18"/>
        <v>0</v>
      </c>
      <c r="J606" s="47"/>
      <c r="K606" s="288">
        <f t="shared" si="19"/>
        <v>0</v>
      </c>
    </row>
    <row r="607" spans="1:11" s="56" customFormat="1" ht="15.75" customHeight="1">
      <c r="A607" s="44"/>
      <c r="B607" s="45"/>
      <c r="C607" s="46">
        <f>IF(B607&lt;&gt;"",VLOOKUP(B607,'Tipo Projeto'!$A$3:$B$35,2,0),0)</f>
        <v>0</v>
      </c>
      <c r="D607" s="47"/>
      <c r="E607" s="47"/>
      <c r="F607" s="47"/>
      <c r="G607" s="48"/>
      <c r="H607" s="47"/>
      <c r="I607" s="75">
        <f t="shared" si="18"/>
        <v>0</v>
      </c>
      <c r="J607" s="47"/>
      <c r="K607" s="288">
        <f t="shared" si="19"/>
        <v>0</v>
      </c>
    </row>
    <row r="608" spans="1:11" s="56" customFormat="1" ht="15.75" customHeight="1">
      <c r="A608" s="44"/>
      <c r="B608" s="45"/>
      <c r="C608" s="46">
        <f>IF(B608&lt;&gt;"",VLOOKUP(B608,'Tipo Projeto'!$A$3:$B$35,2,0),0)</f>
        <v>0</v>
      </c>
      <c r="D608" s="47"/>
      <c r="E608" s="47"/>
      <c r="F608" s="47"/>
      <c r="G608" s="48"/>
      <c r="H608" s="47"/>
      <c r="I608" s="75">
        <f t="shared" si="18"/>
        <v>0</v>
      </c>
      <c r="J608" s="47"/>
      <c r="K608" s="288">
        <f t="shared" si="19"/>
        <v>0</v>
      </c>
    </row>
    <row r="609" spans="1:11" s="56" customFormat="1" ht="15.75" customHeight="1">
      <c r="A609" s="44"/>
      <c r="B609" s="45"/>
      <c r="C609" s="46">
        <f>IF(B609&lt;&gt;"",VLOOKUP(B609,'Tipo Projeto'!$A$3:$B$35,2,0),0)</f>
        <v>0</v>
      </c>
      <c r="D609" s="47"/>
      <c r="E609" s="47"/>
      <c r="F609" s="47"/>
      <c r="G609" s="48"/>
      <c r="H609" s="47"/>
      <c r="I609" s="75">
        <f t="shared" si="18"/>
        <v>0</v>
      </c>
      <c r="J609" s="47"/>
      <c r="K609" s="288">
        <f t="shared" si="19"/>
        <v>0</v>
      </c>
    </row>
    <row r="610" spans="1:11" s="56" customFormat="1" ht="15.75" customHeight="1">
      <c r="A610" s="44"/>
      <c r="B610" s="45"/>
      <c r="C610" s="46">
        <f>IF(B610&lt;&gt;"",VLOOKUP(B610,'Tipo Projeto'!$A$3:$B$35,2,0),0)</f>
        <v>0</v>
      </c>
      <c r="D610" s="47"/>
      <c r="E610" s="47"/>
      <c r="F610" s="47"/>
      <c r="G610" s="48"/>
      <c r="H610" s="47"/>
      <c r="I610" s="75">
        <f t="shared" si="18"/>
        <v>0</v>
      </c>
      <c r="J610" s="47"/>
      <c r="K610" s="288">
        <f t="shared" si="19"/>
        <v>0</v>
      </c>
    </row>
    <row r="611" spans="1:11" s="56" customFormat="1" ht="15.75" customHeight="1">
      <c r="A611" s="44"/>
      <c r="B611" s="45"/>
      <c r="C611" s="46">
        <f>IF(B611&lt;&gt;"",VLOOKUP(B611,'Tipo Projeto'!$A$3:$B$35,2,0),0)</f>
        <v>0</v>
      </c>
      <c r="D611" s="47"/>
      <c r="E611" s="47"/>
      <c r="F611" s="47"/>
      <c r="G611" s="48"/>
      <c r="H611" s="47"/>
      <c r="I611" s="75">
        <f t="shared" si="18"/>
        <v>0</v>
      </c>
      <c r="J611" s="47"/>
      <c r="K611" s="288">
        <f t="shared" si="19"/>
        <v>0</v>
      </c>
    </row>
    <row r="612" spans="1:11" s="56" customFormat="1" ht="15.75" customHeight="1">
      <c r="A612" s="44"/>
      <c r="B612" s="45"/>
      <c r="C612" s="46">
        <f>IF(B612&lt;&gt;"",VLOOKUP(B612,'Tipo Projeto'!$A$3:$B$35,2,0),0)</f>
        <v>0</v>
      </c>
      <c r="D612" s="47"/>
      <c r="E612" s="47"/>
      <c r="F612" s="47"/>
      <c r="G612" s="48"/>
      <c r="H612" s="47"/>
      <c r="I612" s="75">
        <f t="shared" si="18"/>
        <v>0</v>
      </c>
      <c r="J612" s="47"/>
      <c r="K612" s="288">
        <f t="shared" si="19"/>
        <v>0</v>
      </c>
    </row>
    <row r="613" spans="1:11" s="56" customFormat="1" ht="15.75" customHeight="1">
      <c r="A613" s="44"/>
      <c r="B613" s="45"/>
      <c r="C613" s="46">
        <f>IF(B613&lt;&gt;"",VLOOKUP(B613,'Tipo Projeto'!$A$3:$B$35,2,0),0)</f>
        <v>0</v>
      </c>
      <c r="D613" s="47"/>
      <c r="E613" s="47"/>
      <c r="F613" s="47"/>
      <c r="G613" s="48"/>
      <c r="H613" s="47"/>
      <c r="I613" s="75">
        <f t="shared" si="18"/>
        <v>0</v>
      </c>
      <c r="J613" s="47"/>
      <c r="K613" s="288">
        <f t="shared" si="19"/>
        <v>0</v>
      </c>
    </row>
    <row r="614" spans="1:11" s="56" customFormat="1" ht="15.75" customHeight="1">
      <c r="A614" s="44"/>
      <c r="B614" s="45"/>
      <c r="C614" s="46">
        <f>IF(B614&lt;&gt;"",VLOOKUP(B614,'Tipo Projeto'!$A$3:$B$35,2,0),0)</f>
        <v>0</v>
      </c>
      <c r="D614" s="47"/>
      <c r="E614" s="47"/>
      <c r="F614" s="47"/>
      <c r="G614" s="48"/>
      <c r="H614" s="47"/>
      <c r="I614" s="75">
        <f t="shared" si="18"/>
        <v>0</v>
      </c>
      <c r="J614" s="47"/>
      <c r="K614" s="288">
        <f t="shared" si="19"/>
        <v>0</v>
      </c>
    </row>
    <row r="615" spans="1:11" s="56" customFormat="1" ht="15.75" customHeight="1">
      <c r="A615" s="44"/>
      <c r="B615" s="45"/>
      <c r="C615" s="46">
        <f>IF(B615&lt;&gt;"",VLOOKUP(B615,'Tipo Projeto'!$A$3:$B$35,2,0),0)</f>
        <v>0</v>
      </c>
      <c r="D615" s="47"/>
      <c r="E615" s="47"/>
      <c r="F615" s="47"/>
      <c r="G615" s="48"/>
      <c r="H615" s="47"/>
      <c r="I615" s="75">
        <f t="shared" si="18"/>
        <v>0</v>
      </c>
      <c r="J615" s="47"/>
      <c r="K615" s="288">
        <f t="shared" si="19"/>
        <v>0</v>
      </c>
    </row>
    <row r="616" spans="1:11" s="56" customFormat="1" ht="15.75" customHeight="1">
      <c r="A616" s="44"/>
      <c r="B616" s="45"/>
      <c r="C616" s="46">
        <f>IF(B616&lt;&gt;"",VLOOKUP(B616,'Tipo Projeto'!$A$3:$B$35,2,0),0)</f>
        <v>0</v>
      </c>
      <c r="D616" s="47"/>
      <c r="E616" s="47"/>
      <c r="F616" s="47"/>
      <c r="G616" s="48"/>
      <c r="H616" s="47"/>
      <c r="I616" s="75">
        <f t="shared" si="18"/>
        <v>0</v>
      </c>
      <c r="J616" s="47"/>
      <c r="K616" s="288">
        <f t="shared" si="19"/>
        <v>0</v>
      </c>
    </row>
    <row r="617" spans="1:11" s="56" customFormat="1" ht="15.75" customHeight="1">
      <c r="A617" s="44"/>
      <c r="B617" s="45"/>
      <c r="C617" s="46">
        <f>IF(B617&lt;&gt;"",VLOOKUP(B617,'Tipo Projeto'!$A$3:$B$35,2,0),0)</f>
        <v>0</v>
      </c>
      <c r="D617" s="47"/>
      <c r="E617" s="47"/>
      <c r="F617" s="47"/>
      <c r="G617" s="48"/>
      <c r="H617" s="47"/>
      <c r="I617" s="75">
        <f t="shared" si="18"/>
        <v>0</v>
      </c>
      <c r="J617" s="47"/>
      <c r="K617" s="288">
        <f t="shared" si="19"/>
        <v>0</v>
      </c>
    </row>
    <row r="618" spans="1:11" s="56" customFormat="1" ht="15.75" customHeight="1">
      <c r="A618" s="44"/>
      <c r="B618" s="45"/>
      <c r="C618" s="46">
        <f>IF(B618&lt;&gt;"",VLOOKUP(B618,'Tipo Projeto'!$A$3:$B$35,2,0),0)</f>
        <v>0</v>
      </c>
      <c r="D618" s="47"/>
      <c r="E618" s="47"/>
      <c r="F618" s="47"/>
      <c r="G618" s="48"/>
      <c r="H618" s="47"/>
      <c r="I618" s="75">
        <f t="shared" si="18"/>
        <v>0</v>
      </c>
      <c r="J618" s="47"/>
      <c r="K618" s="288">
        <f t="shared" si="19"/>
        <v>0</v>
      </c>
    </row>
    <row r="619" spans="1:11" s="56" customFormat="1" ht="15.75" customHeight="1">
      <c r="A619" s="44"/>
      <c r="B619" s="45"/>
      <c r="C619" s="46">
        <f>IF(B619&lt;&gt;"",VLOOKUP(B619,'Tipo Projeto'!$A$3:$B$35,2,0),0)</f>
        <v>0</v>
      </c>
      <c r="D619" s="47"/>
      <c r="E619" s="47"/>
      <c r="F619" s="47"/>
      <c r="G619" s="48"/>
      <c r="H619" s="47"/>
      <c r="I619" s="75">
        <f t="shared" si="18"/>
        <v>0</v>
      </c>
      <c r="J619" s="47"/>
      <c r="K619" s="288">
        <f t="shared" si="19"/>
        <v>0</v>
      </c>
    </row>
    <row r="620" spans="1:11" s="56" customFormat="1" ht="15.75" customHeight="1">
      <c r="A620" s="44"/>
      <c r="B620" s="45"/>
      <c r="C620" s="46">
        <f>IF(B620&lt;&gt;"",VLOOKUP(B620,'Tipo Projeto'!$A$3:$B$35,2,0),0)</f>
        <v>0</v>
      </c>
      <c r="D620" s="47"/>
      <c r="E620" s="47"/>
      <c r="F620" s="47"/>
      <c r="G620" s="48"/>
      <c r="H620" s="47"/>
      <c r="I620" s="75">
        <f t="shared" si="18"/>
        <v>0</v>
      </c>
      <c r="J620" s="47"/>
      <c r="K620" s="288">
        <f t="shared" si="19"/>
        <v>0</v>
      </c>
    </row>
    <row r="621" spans="1:11" s="56" customFormat="1" ht="15.75" customHeight="1">
      <c r="A621" s="44"/>
      <c r="B621" s="45"/>
      <c r="C621" s="46">
        <f>IF(B621&lt;&gt;"",VLOOKUP(B621,'Tipo Projeto'!$A$3:$B$35,2,0),0)</f>
        <v>0</v>
      </c>
      <c r="D621" s="47"/>
      <c r="E621" s="47"/>
      <c r="F621" s="47"/>
      <c r="G621" s="48"/>
      <c r="H621" s="47"/>
      <c r="I621" s="75">
        <f t="shared" si="18"/>
        <v>0</v>
      </c>
      <c r="J621" s="47"/>
      <c r="K621" s="288">
        <f t="shared" si="19"/>
        <v>0</v>
      </c>
    </row>
    <row r="622" spans="1:11" s="56" customFormat="1" ht="15.75" customHeight="1">
      <c r="A622" s="44"/>
      <c r="B622" s="45"/>
      <c r="C622" s="46">
        <f>IF(B622&lt;&gt;"",VLOOKUP(B622,'Tipo Projeto'!$A$3:$B$35,2,0),0)</f>
        <v>0</v>
      </c>
      <c r="D622" s="47"/>
      <c r="E622" s="47"/>
      <c r="F622" s="47"/>
      <c r="G622" s="48"/>
      <c r="H622" s="47"/>
      <c r="I622" s="75">
        <f t="shared" si="18"/>
        <v>0</v>
      </c>
      <c r="J622" s="47"/>
      <c r="K622" s="288">
        <f t="shared" si="19"/>
        <v>0</v>
      </c>
    </row>
    <row r="623" spans="1:11" s="56" customFormat="1" ht="15.75" customHeight="1">
      <c r="A623" s="44"/>
      <c r="B623" s="45"/>
      <c r="C623" s="46">
        <f>IF(B623&lt;&gt;"",VLOOKUP(B623,'Tipo Projeto'!$A$3:$B$35,2,0),0)</f>
        <v>0</v>
      </c>
      <c r="D623" s="47"/>
      <c r="E623" s="47"/>
      <c r="F623" s="47"/>
      <c r="G623" s="48"/>
      <c r="H623" s="47"/>
      <c r="I623" s="75">
        <f t="shared" si="18"/>
        <v>0</v>
      </c>
      <c r="J623" s="47"/>
      <c r="K623" s="288">
        <f t="shared" si="19"/>
        <v>0</v>
      </c>
    </row>
    <row r="624" spans="1:11" s="56" customFormat="1" ht="15.75" customHeight="1">
      <c r="A624" s="44"/>
      <c r="B624" s="45"/>
      <c r="C624" s="46">
        <f>IF(B624&lt;&gt;"",VLOOKUP(B624,'Tipo Projeto'!$A$3:$B$35,2,0),0)</f>
        <v>0</v>
      </c>
      <c r="D624" s="47"/>
      <c r="E624" s="47"/>
      <c r="F624" s="47"/>
      <c r="G624" s="48"/>
      <c r="H624" s="47"/>
      <c r="I624" s="75">
        <f t="shared" si="18"/>
        <v>0</v>
      </c>
      <c r="J624" s="47"/>
      <c r="K624" s="288">
        <f t="shared" si="19"/>
        <v>0</v>
      </c>
    </row>
    <row r="625" spans="1:11" s="56" customFormat="1" ht="15.75" customHeight="1">
      <c r="A625" s="44"/>
      <c r="B625" s="45"/>
      <c r="C625" s="46">
        <f>IF(B625&lt;&gt;"",VLOOKUP(B625,'Tipo Projeto'!$A$3:$B$35,2,0),0)</f>
        <v>0</v>
      </c>
      <c r="D625" s="47"/>
      <c r="E625" s="47"/>
      <c r="F625" s="47"/>
      <c r="G625" s="48"/>
      <c r="H625" s="47"/>
      <c r="I625" s="75">
        <f t="shared" si="18"/>
        <v>0</v>
      </c>
      <c r="J625" s="47"/>
      <c r="K625" s="288">
        <f t="shared" si="19"/>
        <v>0</v>
      </c>
    </row>
    <row r="626" spans="1:11" s="56" customFormat="1" ht="15.75" customHeight="1">
      <c r="A626" s="44"/>
      <c r="B626" s="45"/>
      <c r="C626" s="46">
        <f>IF(B626&lt;&gt;"",VLOOKUP(B626,'Tipo Projeto'!$A$3:$B$35,2,0),0)</f>
        <v>0</v>
      </c>
      <c r="D626" s="47"/>
      <c r="E626" s="47"/>
      <c r="F626" s="47"/>
      <c r="G626" s="48"/>
      <c r="H626" s="47"/>
      <c r="I626" s="75">
        <f t="shared" si="18"/>
        <v>0</v>
      </c>
      <c r="J626" s="47"/>
      <c r="K626" s="288">
        <f t="shared" si="19"/>
        <v>0</v>
      </c>
    </row>
    <row r="627" spans="1:11" s="56" customFormat="1" ht="15.75" customHeight="1">
      <c r="A627" s="44"/>
      <c r="B627" s="45"/>
      <c r="C627" s="46">
        <f>IF(B627&lt;&gt;"",VLOOKUP(B627,'Tipo Projeto'!$A$3:$B$35,2,0),0)</f>
        <v>0</v>
      </c>
      <c r="D627" s="47"/>
      <c r="E627" s="47"/>
      <c r="F627" s="47"/>
      <c r="G627" s="48"/>
      <c r="H627" s="47"/>
      <c r="I627" s="75">
        <f t="shared" si="18"/>
        <v>0</v>
      </c>
      <c r="J627" s="47"/>
      <c r="K627" s="288">
        <f t="shared" si="19"/>
        <v>0</v>
      </c>
    </row>
    <row r="628" spans="1:11" s="56" customFormat="1" ht="15.75" customHeight="1">
      <c r="A628" s="44"/>
      <c r="B628" s="45"/>
      <c r="C628" s="46">
        <f>IF(B628&lt;&gt;"",VLOOKUP(B628,'Tipo Projeto'!$A$3:$B$35,2,0),0)</f>
        <v>0</v>
      </c>
      <c r="D628" s="47"/>
      <c r="E628" s="47"/>
      <c r="F628" s="47"/>
      <c r="G628" s="48"/>
      <c r="H628" s="47"/>
      <c r="I628" s="75">
        <f t="shared" si="18"/>
        <v>0</v>
      </c>
      <c r="J628" s="47"/>
      <c r="K628" s="288">
        <f t="shared" si="19"/>
        <v>0</v>
      </c>
    </row>
    <row r="629" spans="1:11" s="56" customFormat="1" ht="15.75" customHeight="1">
      <c r="A629" s="44"/>
      <c r="B629" s="45"/>
      <c r="C629" s="46">
        <f>IF(B629&lt;&gt;"",VLOOKUP(B629,'Tipo Projeto'!$A$3:$B$35,2,0),0)</f>
        <v>0</v>
      </c>
      <c r="D629" s="47"/>
      <c r="E629" s="47"/>
      <c r="F629" s="47"/>
      <c r="G629" s="48"/>
      <c r="H629" s="47"/>
      <c r="I629" s="75">
        <f t="shared" si="18"/>
        <v>0</v>
      </c>
      <c r="J629" s="47"/>
      <c r="K629" s="288">
        <f t="shared" si="19"/>
        <v>0</v>
      </c>
    </row>
    <row r="630" spans="1:11" s="56" customFormat="1" ht="15.75" customHeight="1">
      <c r="A630" s="44"/>
      <c r="B630" s="45"/>
      <c r="C630" s="46">
        <f>IF(B630&lt;&gt;"",VLOOKUP(B630,'Tipo Projeto'!$A$3:$B$35,2,0),0)</f>
        <v>0</v>
      </c>
      <c r="D630" s="47"/>
      <c r="E630" s="47"/>
      <c r="F630" s="47"/>
      <c r="G630" s="48"/>
      <c r="H630" s="47"/>
      <c r="I630" s="75">
        <f t="shared" si="18"/>
        <v>0</v>
      </c>
      <c r="J630" s="47"/>
      <c r="K630" s="288">
        <f t="shared" si="19"/>
        <v>0</v>
      </c>
    </row>
    <row r="631" spans="1:11" s="56" customFormat="1" ht="15.75" customHeight="1">
      <c r="A631" s="44"/>
      <c r="B631" s="45"/>
      <c r="C631" s="46">
        <f>IF(B631&lt;&gt;"",VLOOKUP(B631,'Tipo Projeto'!$A$3:$B$35,2,0),0)</f>
        <v>0</v>
      </c>
      <c r="D631" s="47"/>
      <c r="E631" s="47"/>
      <c r="F631" s="47"/>
      <c r="G631" s="48"/>
      <c r="H631" s="47"/>
      <c r="I631" s="75">
        <f t="shared" si="18"/>
        <v>0</v>
      </c>
      <c r="J631" s="47"/>
      <c r="K631" s="288">
        <f t="shared" si="19"/>
        <v>0</v>
      </c>
    </row>
    <row r="632" spans="1:11" s="56" customFormat="1" ht="15.75" customHeight="1">
      <c r="A632" s="44"/>
      <c r="B632" s="45"/>
      <c r="C632" s="46">
        <f>IF(B632&lt;&gt;"",VLOOKUP(B632,'Tipo Projeto'!$A$3:$B$35,2,0),0)</f>
        <v>0</v>
      </c>
      <c r="D632" s="47"/>
      <c r="E632" s="47"/>
      <c r="F632" s="47"/>
      <c r="G632" s="48"/>
      <c r="H632" s="47"/>
      <c r="I632" s="75">
        <f t="shared" si="18"/>
        <v>0</v>
      </c>
      <c r="J632" s="47"/>
      <c r="K632" s="288">
        <f t="shared" si="19"/>
        <v>0</v>
      </c>
    </row>
    <row r="633" spans="1:11" s="56" customFormat="1" ht="15.75" customHeight="1">
      <c r="A633" s="44"/>
      <c r="B633" s="45"/>
      <c r="C633" s="46">
        <f>IF(B633&lt;&gt;"",VLOOKUP(B633,'Tipo Projeto'!$A$3:$B$35,2,0),0)</f>
        <v>0</v>
      </c>
      <c r="D633" s="47"/>
      <c r="E633" s="47"/>
      <c r="F633" s="47"/>
      <c r="G633" s="48"/>
      <c r="H633" s="47"/>
      <c r="I633" s="75">
        <f t="shared" si="18"/>
        <v>0</v>
      </c>
      <c r="J633" s="47"/>
      <c r="K633" s="288">
        <f t="shared" si="19"/>
        <v>0</v>
      </c>
    </row>
    <row r="634" spans="1:11" s="56" customFormat="1" ht="15.75" customHeight="1">
      <c r="A634" s="44"/>
      <c r="B634" s="45"/>
      <c r="C634" s="46">
        <f>IF(B634&lt;&gt;"",VLOOKUP(B634,'Tipo Projeto'!$A$3:$B$35,2,0),0)</f>
        <v>0</v>
      </c>
      <c r="D634" s="47"/>
      <c r="E634" s="47"/>
      <c r="F634" s="47"/>
      <c r="G634" s="48"/>
      <c r="H634" s="47"/>
      <c r="I634" s="75">
        <f t="shared" si="18"/>
        <v>0</v>
      </c>
      <c r="J634" s="47"/>
      <c r="K634" s="288">
        <f t="shared" si="19"/>
        <v>0</v>
      </c>
    </row>
    <row r="635" spans="1:11" s="56" customFormat="1" ht="15.75" customHeight="1">
      <c r="A635" s="44"/>
      <c r="B635" s="45"/>
      <c r="C635" s="46">
        <f>IF(B635&lt;&gt;"",VLOOKUP(B635,'Tipo Projeto'!$A$3:$B$35,2,0),0)</f>
        <v>0</v>
      </c>
      <c r="D635" s="47"/>
      <c r="E635" s="47"/>
      <c r="F635" s="47"/>
      <c r="G635" s="48"/>
      <c r="H635" s="47"/>
      <c r="I635" s="75">
        <f t="shared" si="18"/>
        <v>0</v>
      </c>
      <c r="J635" s="47"/>
      <c r="K635" s="288">
        <f t="shared" si="19"/>
        <v>0</v>
      </c>
    </row>
    <row r="636" spans="1:11" s="56" customFormat="1" ht="15.75" customHeight="1">
      <c r="A636" s="44"/>
      <c r="B636" s="45"/>
      <c r="C636" s="46">
        <f>IF(B636&lt;&gt;"",VLOOKUP(B636,'Tipo Projeto'!$A$3:$B$35,2,0),0)</f>
        <v>0</v>
      </c>
      <c r="D636" s="47"/>
      <c r="E636" s="47"/>
      <c r="F636" s="47"/>
      <c r="G636" s="48"/>
      <c r="H636" s="47"/>
      <c r="I636" s="75">
        <f t="shared" si="18"/>
        <v>0</v>
      </c>
      <c r="J636" s="47"/>
      <c r="K636" s="288">
        <f t="shared" si="19"/>
        <v>0</v>
      </c>
    </row>
    <row r="637" spans="1:11" s="56" customFormat="1" ht="15.75" customHeight="1">
      <c r="A637" s="44"/>
      <c r="B637" s="45"/>
      <c r="C637" s="46">
        <f>IF(B637&lt;&gt;"",VLOOKUP(B637,'Tipo Projeto'!$A$3:$B$35,2,0),0)</f>
        <v>0</v>
      </c>
      <c r="D637" s="47"/>
      <c r="E637" s="47"/>
      <c r="F637" s="47"/>
      <c r="G637" s="48"/>
      <c r="H637" s="47"/>
      <c r="I637" s="75">
        <f t="shared" si="18"/>
        <v>0</v>
      </c>
      <c r="J637" s="47"/>
      <c r="K637" s="288">
        <f t="shared" si="19"/>
        <v>0</v>
      </c>
    </row>
    <row r="638" spans="1:11" s="56" customFormat="1" ht="15.75" customHeight="1">
      <c r="A638" s="44"/>
      <c r="B638" s="45"/>
      <c r="C638" s="46">
        <f>IF(B638&lt;&gt;"",VLOOKUP(B638,'Tipo Projeto'!$A$3:$B$35,2,0),0)</f>
        <v>0</v>
      </c>
      <c r="D638" s="47"/>
      <c r="E638" s="47"/>
      <c r="F638" s="47"/>
      <c r="G638" s="48"/>
      <c r="H638" s="47"/>
      <c r="I638" s="75">
        <f t="shared" ref="I638:I701" si="20">IF(B638&lt;&gt;"Manutenção em interface",IF(B638&lt;&gt;"Desenv., Manutenção e Publicação de Páginas Estáticas",IF(H638="EE",4,IF(H638="CE",4,IF(H638="SE",5,IF(H638="ALI",7,IF(H638="AIE",5,0)))))*C638,C638),C638)</f>
        <v>0</v>
      </c>
      <c r="J638" s="47"/>
      <c r="K638" s="288">
        <f t="shared" si="19"/>
        <v>0</v>
      </c>
    </row>
    <row r="639" spans="1:11" s="56" customFormat="1" ht="15.75" customHeight="1">
      <c r="A639" s="44"/>
      <c r="B639" s="45"/>
      <c r="C639" s="46">
        <f>IF(B639&lt;&gt;"",VLOOKUP(B639,'Tipo Projeto'!$A$3:$B$35,2,0),0)</f>
        <v>0</v>
      </c>
      <c r="D639" s="47"/>
      <c r="E639" s="47"/>
      <c r="F639" s="47"/>
      <c r="G639" s="48"/>
      <c r="H639" s="47"/>
      <c r="I639" s="75">
        <f t="shared" si="20"/>
        <v>0</v>
      </c>
      <c r="J639" s="47"/>
      <c r="K639" s="288">
        <f t="shared" si="19"/>
        <v>0</v>
      </c>
    </row>
    <row r="640" spans="1:11" s="56" customFormat="1" ht="15.75" customHeight="1">
      <c r="A640" s="44"/>
      <c r="B640" s="45"/>
      <c r="C640" s="46">
        <f>IF(B640&lt;&gt;"",VLOOKUP(B640,'Tipo Projeto'!$A$3:$B$35,2,0),0)</f>
        <v>0</v>
      </c>
      <c r="D640" s="47"/>
      <c r="E640" s="47"/>
      <c r="F640" s="47"/>
      <c r="G640" s="48"/>
      <c r="H640" s="47"/>
      <c r="I640" s="75">
        <f t="shared" si="20"/>
        <v>0</v>
      </c>
      <c r="J640" s="47"/>
      <c r="K640" s="288">
        <f t="shared" si="19"/>
        <v>0</v>
      </c>
    </row>
    <row r="641" spans="1:11" s="56" customFormat="1" ht="15.75" customHeight="1">
      <c r="A641" s="44"/>
      <c r="B641" s="45"/>
      <c r="C641" s="46">
        <f>IF(B641&lt;&gt;"",VLOOKUP(B641,'Tipo Projeto'!$A$3:$B$35,2,0),0)</f>
        <v>0</v>
      </c>
      <c r="D641" s="47"/>
      <c r="E641" s="47"/>
      <c r="F641" s="47"/>
      <c r="G641" s="48"/>
      <c r="H641" s="47"/>
      <c r="I641" s="75">
        <f t="shared" si="20"/>
        <v>0</v>
      </c>
      <c r="J641" s="47"/>
      <c r="K641" s="288">
        <f t="shared" si="19"/>
        <v>0</v>
      </c>
    </row>
    <row r="642" spans="1:11" s="56" customFormat="1" ht="15.75" customHeight="1">
      <c r="A642" s="44"/>
      <c r="B642" s="45"/>
      <c r="C642" s="46">
        <f>IF(B642&lt;&gt;"",VLOOKUP(B642,'Tipo Projeto'!$A$3:$B$35,2,0),0)</f>
        <v>0</v>
      </c>
      <c r="D642" s="47"/>
      <c r="E642" s="47"/>
      <c r="F642" s="47"/>
      <c r="G642" s="48"/>
      <c r="H642" s="47"/>
      <c r="I642" s="75">
        <f t="shared" si="20"/>
        <v>0</v>
      </c>
      <c r="J642" s="47"/>
      <c r="K642" s="288">
        <f t="shared" si="19"/>
        <v>0</v>
      </c>
    </row>
    <row r="643" spans="1:11" s="56" customFormat="1" ht="15.75" customHeight="1">
      <c r="A643" s="44"/>
      <c r="B643" s="45"/>
      <c r="C643" s="46">
        <f>IF(B643&lt;&gt;"",VLOOKUP(B643,'Tipo Projeto'!$A$3:$B$35,2,0),0)</f>
        <v>0</v>
      </c>
      <c r="D643" s="47"/>
      <c r="E643" s="47"/>
      <c r="F643" s="47"/>
      <c r="G643" s="48"/>
      <c r="H643" s="47"/>
      <c r="I643" s="75">
        <f t="shared" si="20"/>
        <v>0</v>
      </c>
      <c r="J643" s="47"/>
      <c r="K643" s="288">
        <f t="shared" si="19"/>
        <v>0</v>
      </c>
    </row>
    <row r="644" spans="1:11" s="56" customFormat="1" ht="15.75" customHeight="1">
      <c r="A644" s="44"/>
      <c r="B644" s="45"/>
      <c r="C644" s="46">
        <f>IF(B644&lt;&gt;"",VLOOKUP(B644,'Tipo Projeto'!$A$3:$B$35,2,0),0)</f>
        <v>0</v>
      </c>
      <c r="D644" s="47"/>
      <c r="E644" s="47"/>
      <c r="F644" s="47"/>
      <c r="G644" s="48"/>
      <c r="H644" s="47"/>
      <c r="I644" s="75">
        <f t="shared" si="20"/>
        <v>0</v>
      </c>
      <c r="J644" s="47"/>
      <c r="K644" s="288">
        <f t="shared" si="19"/>
        <v>0</v>
      </c>
    </row>
    <row r="645" spans="1:11" s="56" customFormat="1" ht="15.75" customHeight="1">
      <c r="A645" s="44"/>
      <c r="B645" s="45"/>
      <c r="C645" s="46">
        <f>IF(B645&lt;&gt;"",VLOOKUP(B645,'Tipo Projeto'!$A$3:$B$35,2,0),0)</f>
        <v>0</v>
      </c>
      <c r="D645" s="47"/>
      <c r="E645" s="47"/>
      <c r="F645" s="47"/>
      <c r="G645" s="48"/>
      <c r="H645" s="47"/>
      <c r="I645" s="75">
        <f t="shared" si="20"/>
        <v>0</v>
      </c>
      <c r="J645" s="47"/>
      <c r="K645" s="288">
        <f t="shared" si="19"/>
        <v>0</v>
      </c>
    </row>
    <row r="646" spans="1:11" s="56" customFormat="1" ht="15.75" customHeight="1">
      <c r="A646" s="44"/>
      <c r="B646" s="45"/>
      <c r="C646" s="46">
        <f>IF(B646&lt;&gt;"",VLOOKUP(B646,'Tipo Projeto'!$A$3:$B$35,2,0),0)</f>
        <v>0</v>
      </c>
      <c r="D646" s="47"/>
      <c r="E646" s="47"/>
      <c r="F646" s="47"/>
      <c r="G646" s="48"/>
      <c r="H646" s="47"/>
      <c r="I646" s="75">
        <f t="shared" si="20"/>
        <v>0</v>
      </c>
      <c r="J646" s="47"/>
      <c r="K646" s="288">
        <f t="shared" si="19"/>
        <v>0</v>
      </c>
    </row>
    <row r="647" spans="1:11" s="56" customFormat="1" ht="15.75" customHeight="1">
      <c r="A647" s="44"/>
      <c r="B647" s="45"/>
      <c r="C647" s="46">
        <f>IF(B647&lt;&gt;"",VLOOKUP(B647,'Tipo Projeto'!$A$3:$B$35,2,0),0)</f>
        <v>0</v>
      </c>
      <c r="D647" s="47"/>
      <c r="E647" s="47"/>
      <c r="F647" s="47"/>
      <c r="G647" s="48"/>
      <c r="H647" s="47"/>
      <c r="I647" s="75">
        <f t="shared" si="20"/>
        <v>0</v>
      </c>
      <c r="J647" s="47"/>
      <c r="K647" s="288">
        <f t="shared" si="19"/>
        <v>0</v>
      </c>
    </row>
    <row r="648" spans="1:11" s="56" customFormat="1" ht="15.75" customHeight="1">
      <c r="A648" s="44"/>
      <c r="B648" s="45"/>
      <c r="C648" s="46">
        <f>IF(B648&lt;&gt;"",VLOOKUP(B648,'Tipo Projeto'!$A$3:$B$35,2,0),0)</f>
        <v>0</v>
      </c>
      <c r="D648" s="47"/>
      <c r="E648" s="47"/>
      <c r="F648" s="47"/>
      <c r="G648" s="48"/>
      <c r="H648" s="47"/>
      <c r="I648" s="75">
        <f t="shared" si="20"/>
        <v>0</v>
      </c>
      <c r="J648" s="47"/>
      <c r="K648" s="288">
        <f t="shared" si="19"/>
        <v>0</v>
      </c>
    </row>
    <row r="649" spans="1:11" s="56" customFormat="1" ht="15.75" customHeight="1">
      <c r="A649" s="44"/>
      <c r="B649" s="45"/>
      <c r="C649" s="46">
        <f>IF(B649&lt;&gt;"",VLOOKUP(B649,'Tipo Projeto'!$A$3:$B$35,2,0),0)</f>
        <v>0</v>
      </c>
      <c r="D649" s="47"/>
      <c r="E649" s="47"/>
      <c r="F649" s="47"/>
      <c r="G649" s="48"/>
      <c r="H649" s="47"/>
      <c r="I649" s="75">
        <f t="shared" si="20"/>
        <v>0</v>
      </c>
      <c r="J649" s="47"/>
      <c r="K649" s="288">
        <f t="shared" si="19"/>
        <v>0</v>
      </c>
    </row>
    <row r="650" spans="1:11" s="56" customFormat="1" ht="15.75" customHeight="1">
      <c r="A650" s="44"/>
      <c r="B650" s="45"/>
      <c r="C650" s="46">
        <f>IF(B650&lt;&gt;"",VLOOKUP(B650,'Tipo Projeto'!$A$3:$B$35,2,0),0)</f>
        <v>0</v>
      </c>
      <c r="D650" s="47"/>
      <c r="E650" s="47"/>
      <c r="F650" s="47"/>
      <c r="G650" s="48"/>
      <c r="H650" s="47"/>
      <c r="I650" s="75">
        <f t="shared" si="20"/>
        <v>0</v>
      </c>
      <c r="J650" s="47"/>
      <c r="K650" s="288">
        <f t="shared" si="19"/>
        <v>0</v>
      </c>
    </row>
    <row r="651" spans="1:11" s="56" customFormat="1" ht="15.75" customHeight="1">
      <c r="A651" s="44"/>
      <c r="B651" s="45"/>
      <c r="C651" s="46">
        <f>IF(B651&lt;&gt;"",VLOOKUP(B651,'Tipo Projeto'!$A$3:$B$35,2,0),0)</f>
        <v>0</v>
      </c>
      <c r="D651" s="47"/>
      <c r="E651" s="47"/>
      <c r="F651" s="47"/>
      <c r="G651" s="48"/>
      <c r="H651" s="47"/>
      <c r="I651" s="75">
        <f t="shared" si="20"/>
        <v>0</v>
      </c>
      <c r="J651" s="47"/>
      <c r="K651" s="288">
        <f t="shared" si="19"/>
        <v>0</v>
      </c>
    </row>
    <row r="652" spans="1:11" s="56" customFormat="1" ht="15.75" customHeight="1">
      <c r="A652" s="44"/>
      <c r="B652" s="45"/>
      <c r="C652" s="46">
        <f>IF(B652&lt;&gt;"",VLOOKUP(B652,'Tipo Projeto'!$A$3:$B$35,2,0),0)</f>
        <v>0</v>
      </c>
      <c r="D652" s="47"/>
      <c r="E652" s="47"/>
      <c r="F652" s="47"/>
      <c r="G652" s="48"/>
      <c r="H652" s="47"/>
      <c r="I652" s="75">
        <f t="shared" si="20"/>
        <v>0</v>
      </c>
      <c r="J652" s="47"/>
      <c r="K652" s="288">
        <f t="shared" ref="K652:K715" si="21">IF(AND(C652&lt;&gt;0,I652&lt;&gt;0),I652/C652,0)</f>
        <v>0</v>
      </c>
    </row>
    <row r="653" spans="1:11" s="56" customFormat="1" ht="15.75" customHeight="1">
      <c r="A653" s="44"/>
      <c r="B653" s="45"/>
      <c r="C653" s="46">
        <f>IF(B653&lt;&gt;"",VLOOKUP(B653,'Tipo Projeto'!$A$3:$B$35,2,0),0)</f>
        <v>0</v>
      </c>
      <c r="D653" s="47"/>
      <c r="E653" s="47"/>
      <c r="F653" s="47"/>
      <c r="G653" s="48"/>
      <c r="H653" s="47"/>
      <c r="I653" s="75">
        <f t="shared" si="20"/>
        <v>0</v>
      </c>
      <c r="J653" s="47"/>
      <c r="K653" s="288">
        <f t="shared" si="21"/>
        <v>0</v>
      </c>
    </row>
    <row r="654" spans="1:11" s="56" customFormat="1" ht="15.75" customHeight="1">
      <c r="A654" s="44"/>
      <c r="B654" s="45"/>
      <c r="C654" s="46">
        <f>IF(B654&lt;&gt;"",VLOOKUP(B654,'Tipo Projeto'!$A$3:$B$35,2,0),0)</f>
        <v>0</v>
      </c>
      <c r="D654" s="47"/>
      <c r="E654" s="47"/>
      <c r="F654" s="47"/>
      <c r="G654" s="48"/>
      <c r="H654" s="47"/>
      <c r="I654" s="75">
        <f t="shared" si="20"/>
        <v>0</v>
      </c>
      <c r="J654" s="47"/>
      <c r="K654" s="288">
        <f t="shared" si="21"/>
        <v>0</v>
      </c>
    </row>
    <row r="655" spans="1:11" s="56" customFormat="1" ht="15.75" customHeight="1">
      <c r="A655" s="44"/>
      <c r="B655" s="45"/>
      <c r="C655" s="46">
        <f>IF(B655&lt;&gt;"",VLOOKUP(B655,'Tipo Projeto'!$A$3:$B$35,2,0),0)</f>
        <v>0</v>
      </c>
      <c r="D655" s="47"/>
      <c r="E655" s="47"/>
      <c r="F655" s="47"/>
      <c r="G655" s="48"/>
      <c r="H655" s="47"/>
      <c r="I655" s="75">
        <f t="shared" si="20"/>
        <v>0</v>
      </c>
      <c r="J655" s="47"/>
      <c r="K655" s="288">
        <f t="shared" si="21"/>
        <v>0</v>
      </c>
    </row>
    <row r="656" spans="1:11" s="56" customFormat="1" ht="15.75" customHeight="1">
      <c r="A656" s="44"/>
      <c r="B656" s="45"/>
      <c r="C656" s="46">
        <f>IF(B656&lt;&gt;"",VLOOKUP(B656,'Tipo Projeto'!$A$3:$B$35,2,0),0)</f>
        <v>0</v>
      </c>
      <c r="D656" s="47"/>
      <c r="E656" s="47"/>
      <c r="F656" s="47"/>
      <c r="G656" s="48"/>
      <c r="H656" s="47"/>
      <c r="I656" s="75">
        <f t="shared" si="20"/>
        <v>0</v>
      </c>
      <c r="J656" s="47"/>
      <c r="K656" s="288">
        <f t="shared" si="21"/>
        <v>0</v>
      </c>
    </row>
    <row r="657" spans="1:11" s="56" customFormat="1" ht="15.75" customHeight="1">
      <c r="A657" s="44"/>
      <c r="B657" s="45"/>
      <c r="C657" s="46">
        <f>IF(B657&lt;&gt;"",VLOOKUP(B657,'Tipo Projeto'!$A$3:$B$35,2,0),0)</f>
        <v>0</v>
      </c>
      <c r="D657" s="47"/>
      <c r="E657" s="47"/>
      <c r="F657" s="47"/>
      <c r="G657" s="48"/>
      <c r="H657" s="47"/>
      <c r="I657" s="75">
        <f t="shared" si="20"/>
        <v>0</v>
      </c>
      <c r="J657" s="47"/>
      <c r="K657" s="288">
        <f t="shared" si="21"/>
        <v>0</v>
      </c>
    </row>
    <row r="658" spans="1:11" s="56" customFormat="1" ht="15.75" customHeight="1">
      <c r="A658" s="44"/>
      <c r="B658" s="45"/>
      <c r="C658" s="46">
        <f>IF(B658&lt;&gt;"",VLOOKUP(B658,'Tipo Projeto'!$A$3:$B$35,2,0),0)</f>
        <v>0</v>
      </c>
      <c r="D658" s="47"/>
      <c r="E658" s="47"/>
      <c r="F658" s="47"/>
      <c r="G658" s="48"/>
      <c r="H658" s="47"/>
      <c r="I658" s="75">
        <f t="shared" si="20"/>
        <v>0</v>
      </c>
      <c r="J658" s="47"/>
      <c r="K658" s="288">
        <f t="shared" si="21"/>
        <v>0</v>
      </c>
    </row>
    <row r="659" spans="1:11" s="56" customFormat="1" ht="15.75" customHeight="1">
      <c r="A659" s="44"/>
      <c r="B659" s="45"/>
      <c r="C659" s="46">
        <f>IF(B659&lt;&gt;"",VLOOKUP(B659,'Tipo Projeto'!$A$3:$B$35,2,0),0)</f>
        <v>0</v>
      </c>
      <c r="D659" s="47"/>
      <c r="E659" s="47"/>
      <c r="F659" s="47"/>
      <c r="G659" s="48"/>
      <c r="H659" s="47"/>
      <c r="I659" s="75">
        <f t="shared" si="20"/>
        <v>0</v>
      </c>
      <c r="J659" s="47"/>
      <c r="K659" s="288">
        <f t="shared" si="21"/>
        <v>0</v>
      </c>
    </row>
    <row r="660" spans="1:11" s="56" customFormat="1" ht="15.75" customHeight="1">
      <c r="A660" s="44"/>
      <c r="B660" s="45"/>
      <c r="C660" s="46">
        <f>IF(B660&lt;&gt;"",VLOOKUP(B660,'Tipo Projeto'!$A$3:$B$35,2,0),0)</f>
        <v>0</v>
      </c>
      <c r="D660" s="47"/>
      <c r="E660" s="47"/>
      <c r="F660" s="47"/>
      <c r="G660" s="48"/>
      <c r="H660" s="47"/>
      <c r="I660" s="75">
        <f t="shared" si="20"/>
        <v>0</v>
      </c>
      <c r="J660" s="47"/>
      <c r="K660" s="288">
        <f t="shared" si="21"/>
        <v>0</v>
      </c>
    </row>
    <row r="661" spans="1:11" s="56" customFormat="1" ht="15.75" customHeight="1">
      <c r="A661" s="44"/>
      <c r="B661" s="45"/>
      <c r="C661" s="46">
        <f>IF(B661&lt;&gt;"",VLOOKUP(B661,'Tipo Projeto'!$A$3:$B$35,2,0),0)</f>
        <v>0</v>
      </c>
      <c r="D661" s="47"/>
      <c r="E661" s="47"/>
      <c r="F661" s="47"/>
      <c r="G661" s="48"/>
      <c r="H661" s="47"/>
      <c r="I661" s="75">
        <f t="shared" si="20"/>
        <v>0</v>
      </c>
      <c r="J661" s="47"/>
      <c r="K661" s="288">
        <f t="shared" si="21"/>
        <v>0</v>
      </c>
    </row>
    <row r="662" spans="1:11" s="56" customFormat="1" ht="15.75" customHeight="1">
      <c r="A662" s="44"/>
      <c r="B662" s="45"/>
      <c r="C662" s="46">
        <f>IF(B662&lt;&gt;"",VLOOKUP(B662,'Tipo Projeto'!$A$3:$B$35,2,0),0)</f>
        <v>0</v>
      </c>
      <c r="D662" s="47"/>
      <c r="E662" s="47"/>
      <c r="F662" s="47"/>
      <c r="G662" s="48"/>
      <c r="H662" s="47"/>
      <c r="I662" s="75">
        <f t="shared" si="20"/>
        <v>0</v>
      </c>
      <c r="J662" s="47"/>
      <c r="K662" s="288">
        <f t="shared" si="21"/>
        <v>0</v>
      </c>
    </row>
    <row r="663" spans="1:11" s="56" customFormat="1" ht="15.75" customHeight="1">
      <c r="A663" s="44"/>
      <c r="B663" s="45"/>
      <c r="C663" s="46">
        <f>IF(B663&lt;&gt;"",VLOOKUP(B663,'Tipo Projeto'!$A$3:$B$35,2,0),0)</f>
        <v>0</v>
      </c>
      <c r="D663" s="47"/>
      <c r="E663" s="47"/>
      <c r="F663" s="47"/>
      <c r="G663" s="48"/>
      <c r="H663" s="47"/>
      <c r="I663" s="75">
        <f t="shared" si="20"/>
        <v>0</v>
      </c>
      <c r="J663" s="47"/>
      <c r="K663" s="288">
        <f t="shared" si="21"/>
        <v>0</v>
      </c>
    </row>
    <row r="664" spans="1:11" s="56" customFormat="1" ht="15.75" customHeight="1">
      <c r="A664" s="44"/>
      <c r="B664" s="45"/>
      <c r="C664" s="46">
        <f>IF(B664&lt;&gt;"",VLOOKUP(B664,'Tipo Projeto'!$A$3:$B$35,2,0),0)</f>
        <v>0</v>
      </c>
      <c r="D664" s="47"/>
      <c r="E664" s="47"/>
      <c r="F664" s="47"/>
      <c r="G664" s="48"/>
      <c r="H664" s="47"/>
      <c r="I664" s="75">
        <f t="shared" si="20"/>
        <v>0</v>
      </c>
      <c r="J664" s="47"/>
      <c r="K664" s="288">
        <f t="shared" si="21"/>
        <v>0</v>
      </c>
    </row>
    <row r="665" spans="1:11" s="56" customFormat="1" ht="15.75" customHeight="1">
      <c r="A665" s="44"/>
      <c r="B665" s="45"/>
      <c r="C665" s="46">
        <f>IF(B665&lt;&gt;"",VLOOKUP(B665,'Tipo Projeto'!$A$3:$B$35,2,0),0)</f>
        <v>0</v>
      </c>
      <c r="D665" s="47"/>
      <c r="E665" s="47"/>
      <c r="F665" s="47"/>
      <c r="G665" s="48"/>
      <c r="H665" s="47"/>
      <c r="I665" s="75">
        <f t="shared" si="20"/>
        <v>0</v>
      </c>
      <c r="J665" s="47"/>
      <c r="K665" s="288">
        <f t="shared" si="21"/>
        <v>0</v>
      </c>
    </row>
    <row r="666" spans="1:11" s="56" customFormat="1" ht="15.75" customHeight="1">
      <c r="A666" s="44"/>
      <c r="B666" s="45"/>
      <c r="C666" s="46">
        <f>IF(B666&lt;&gt;"",VLOOKUP(B666,'Tipo Projeto'!$A$3:$B$35,2,0),0)</f>
        <v>0</v>
      </c>
      <c r="D666" s="47"/>
      <c r="E666" s="47"/>
      <c r="F666" s="47"/>
      <c r="G666" s="48"/>
      <c r="H666" s="47"/>
      <c r="I666" s="75">
        <f t="shared" si="20"/>
        <v>0</v>
      </c>
      <c r="J666" s="47"/>
      <c r="K666" s="288">
        <f t="shared" si="21"/>
        <v>0</v>
      </c>
    </row>
    <row r="667" spans="1:11" s="56" customFormat="1" ht="15.75" customHeight="1">
      <c r="A667" s="44"/>
      <c r="B667" s="45"/>
      <c r="C667" s="46">
        <f>IF(B667&lt;&gt;"",VLOOKUP(B667,'Tipo Projeto'!$A$3:$B$35,2,0),0)</f>
        <v>0</v>
      </c>
      <c r="D667" s="47"/>
      <c r="E667" s="47"/>
      <c r="F667" s="47"/>
      <c r="G667" s="48"/>
      <c r="H667" s="47"/>
      <c r="I667" s="75">
        <f t="shared" si="20"/>
        <v>0</v>
      </c>
      <c r="J667" s="47"/>
      <c r="K667" s="288">
        <f t="shared" si="21"/>
        <v>0</v>
      </c>
    </row>
    <row r="668" spans="1:11" s="56" customFormat="1" ht="15.75" customHeight="1">
      <c r="A668" s="44"/>
      <c r="B668" s="45"/>
      <c r="C668" s="46">
        <f>IF(B668&lt;&gt;"",VLOOKUP(B668,'Tipo Projeto'!$A$3:$B$35,2,0),0)</f>
        <v>0</v>
      </c>
      <c r="D668" s="47"/>
      <c r="E668" s="47"/>
      <c r="F668" s="47"/>
      <c r="G668" s="48"/>
      <c r="H668" s="47"/>
      <c r="I668" s="75">
        <f t="shared" si="20"/>
        <v>0</v>
      </c>
      <c r="J668" s="47"/>
      <c r="K668" s="288">
        <f t="shared" si="21"/>
        <v>0</v>
      </c>
    </row>
    <row r="669" spans="1:11" s="56" customFormat="1" ht="15.75" customHeight="1">
      <c r="A669" s="44"/>
      <c r="B669" s="45"/>
      <c r="C669" s="46">
        <f>IF(B669&lt;&gt;"",VLOOKUP(B669,'Tipo Projeto'!$A$3:$B$35,2,0),0)</f>
        <v>0</v>
      </c>
      <c r="D669" s="47"/>
      <c r="E669" s="47"/>
      <c r="F669" s="47"/>
      <c r="G669" s="48"/>
      <c r="H669" s="47"/>
      <c r="I669" s="75">
        <f t="shared" si="20"/>
        <v>0</v>
      </c>
      <c r="J669" s="47"/>
      <c r="K669" s="288">
        <f t="shared" si="21"/>
        <v>0</v>
      </c>
    </row>
    <row r="670" spans="1:11" s="56" customFormat="1" ht="15.75" customHeight="1">
      <c r="A670" s="44"/>
      <c r="B670" s="45"/>
      <c r="C670" s="46">
        <f>IF(B670&lt;&gt;"",VLOOKUP(B670,'Tipo Projeto'!$A$3:$B$35,2,0),0)</f>
        <v>0</v>
      </c>
      <c r="D670" s="47"/>
      <c r="E670" s="47"/>
      <c r="F670" s="47"/>
      <c r="G670" s="48"/>
      <c r="H670" s="47"/>
      <c r="I670" s="75">
        <f t="shared" si="20"/>
        <v>0</v>
      </c>
      <c r="J670" s="47"/>
      <c r="K670" s="288">
        <f t="shared" si="21"/>
        <v>0</v>
      </c>
    </row>
    <row r="671" spans="1:11" s="56" customFormat="1" ht="15.75" customHeight="1">
      <c r="A671" s="44"/>
      <c r="B671" s="45"/>
      <c r="C671" s="46">
        <f>IF(B671&lt;&gt;"",VLOOKUP(B671,'Tipo Projeto'!$A$3:$B$35,2,0),0)</f>
        <v>0</v>
      </c>
      <c r="D671" s="47"/>
      <c r="E671" s="47"/>
      <c r="F671" s="47"/>
      <c r="G671" s="48"/>
      <c r="H671" s="47"/>
      <c r="I671" s="75">
        <f t="shared" si="20"/>
        <v>0</v>
      </c>
      <c r="J671" s="47"/>
      <c r="K671" s="288">
        <f t="shared" si="21"/>
        <v>0</v>
      </c>
    </row>
    <row r="672" spans="1:11" s="56" customFormat="1" ht="15.75" customHeight="1">
      <c r="A672" s="44"/>
      <c r="B672" s="45"/>
      <c r="C672" s="46">
        <f>IF(B672&lt;&gt;"",VLOOKUP(B672,'Tipo Projeto'!$A$3:$B$35,2,0),0)</f>
        <v>0</v>
      </c>
      <c r="D672" s="47"/>
      <c r="E672" s="47"/>
      <c r="F672" s="47"/>
      <c r="G672" s="48"/>
      <c r="H672" s="47"/>
      <c r="I672" s="75">
        <f t="shared" si="20"/>
        <v>0</v>
      </c>
      <c r="J672" s="47"/>
      <c r="K672" s="288">
        <f t="shared" si="21"/>
        <v>0</v>
      </c>
    </row>
    <row r="673" spans="1:11" s="56" customFormat="1" ht="15.75" customHeight="1">
      <c r="A673" s="44"/>
      <c r="B673" s="45"/>
      <c r="C673" s="46">
        <f>IF(B673&lt;&gt;"",VLOOKUP(B673,'Tipo Projeto'!$A$3:$B$35,2,0),0)</f>
        <v>0</v>
      </c>
      <c r="D673" s="47"/>
      <c r="E673" s="47"/>
      <c r="F673" s="47"/>
      <c r="G673" s="48"/>
      <c r="H673" s="47"/>
      <c r="I673" s="75">
        <f t="shared" si="20"/>
        <v>0</v>
      </c>
      <c r="J673" s="47"/>
      <c r="K673" s="288">
        <f t="shared" si="21"/>
        <v>0</v>
      </c>
    </row>
    <row r="674" spans="1:11" s="56" customFormat="1" ht="15.75" customHeight="1">
      <c r="A674" s="44"/>
      <c r="B674" s="45"/>
      <c r="C674" s="46">
        <f>IF(B674&lt;&gt;"",VLOOKUP(B674,'Tipo Projeto'!$A$3:$B$35,2,0),0)</f>
        <v>0</v>
      </c>
      <c r="D674" s="47"/>
      <c r="E674" s="47"/>
      <c r="F674" s="47"/>
      <c r="G674" s="48"/>
      <c r="H674" s="47"/>
      <c r="I674" s="75">
        <f t="shared" si="20"/>
        <v>0</v>
      </c>
      <c r="J674" s="47"/>
      <c r="K674" s="288">
        <f t="shared" si="21"/>
        <v>0</v>
      </c>
    </row>
    <row r="675" spans="1:11" s="56" customFormat="1" ht="15.75" customHeight="1">
      <c r="A675" s="44"/>
      <c r="B675" s="45"/>
      <c r="C675" s="46">
        <f>IF(B675&lt;&gt;"",VLOOKUP(B675,'Tipo Projeto'!$A$3:$B$35,2,0),0)</f>
        <v>0</v>
      </c>
      <c r="D675" s="47"/>
      <c r="E675" s="47"/>
      <c r="F675" s="47"/>
      <c r="G675" s="48"/>
      <c r="H675" s="47"/>
      <c r="I675" s="75">
        <f t="shared" si="20"/>
        <v>0</v>
      </c>
      <c r="J675" s="47"/>
      <c r="K675" s="288">
        <f t="shared" si="21"/>
        <v>0</v>
      </c>
    </row>
    <row r="676" spans="1:11" s="56" customFormat="1" ht="15.75" customHeight="1">
      <c r="A676" s="44"/>
      <c r="B676" s="45"/>
      <c r="C676" s="46">
        <f>IF(B676&lt;&gt;"",VLOOKUP(B676,'Tipo Projeto'!$A$3:$B$35,2,0),0)</f>
        <v>0</v>
      </c>
      <c r="D676" s="47"/>
      <c r="E676" s="47"/>
      <c r="F676" s="47"/>
      <c r="G676" s="48"/>
      <c r="H676" s="47"/>
      <c r="I676" s="75">
        <f t="shared" si="20"/>
        <v>0</v>
      </c>
      <c r="J676" s="47"/>
      <c r="K676" s="288">
        <f t="shared" si="21"/>
        <v>0</v>
      </c>
    </row>
    <row r="677" spans="1:11" s="56" customFormat="1" ht="15.75" customHeight="1">
      <c r="A677" s="44"/>
      <c r="B677" s="45"/>
      <c r="C677" s="46">
        <f>IF(B677&lt;&gt;"",VLOOKUP(B677,'Tipo Projeto'!$A$3:$B$35,2,0),0)</f>
        <v>0</v>
      </c>
      <c r="D677" s="47"/>
      <c r="E677" s="47"/>
      <c r="F677" s="47"/>
      <c r="G677" s="48"/>
      <c r="H677" s="47"/>
      <c r="I677" s="75">
        <f t="shared" si="20"/>
        <v>0</v>
      </c>
      <c r="J677" s="47"/>
      <c r="K677" s="288">
        <f t="shared" si="21"/>
        <v>0</v>
      </c>
    </row>
    <row r="678" spans="1:11" s="56" customFormat="1" ht="15.75" customHeight="1">
      <c r="A678" s="44"/>
      <c r="B678" s="45"/>
      <c r="C678" s="46">
        <f>IF(B678&lt;&gt;"",VLOOKUP(B678,'Tipo Projeto'!$A$3:$B$35,2,0),0)</f>
        <v>0</v>
      </c>
      <c r="D678" s="47"/>
      <c r="E678" s="47"/>
      <c r="F678" s="47"/>
      <c r="G678" s="48"/>
      <c r="H678" s="47"/>
      <c r="I678" s="75">
        <f t="shared" si="20"/>
        <v>0</v>
      </c>
      <c r="J678" s="47"/>
      <c r="K678" s="288">
        <f t="shared" si="21"/>
        <v>0</v>
      </c>
    </row>
    <row r="679" spans="1:11" s="56" customFormat="1" ht="15.75" customHeight="1">
      <c r="A679" s="44"/>
      <c r="B679" s="45"/>
      <c r="C679" s="46">
        <f>IF(B679&lt;&gt;"",VLOOKUP(B679,'Tipo Projeto'!$A$3:$B$35,2,0),0)</f>
        <v>0</v>
      </c>
      <c r="D679" s="47"/>
      <c r="E679" s="47"/>
      <c r="F679" s="47"/>
      <c r="G679" s="48"/>
      <c r="H679" s="47"/>
      <c r="I679" s="75">
        <f t="shared" si="20"/>
        <v>0</v>
      </c>
      <c r="J679" s="47"/>
      <c r="K679" s="288">
        <f t="shared" si="21"/>
        <v>0</v>
      </c>
    </row>
    <row r="680" spans="1:11" s="56" customFormat="1" ht="15.75" customHeight="1">
      <c r="A680" s="44"/>
      <c r="B680" s="45"/>
      <c r="C680" s="46">
        <f>IF(B680&lt;&gt;"",VLOOKUP(B680,'Tipo Projeto'!$A$3:$B$35,2,0),0)</f>
        <v>0</v>
      </c>
      <c r="D680" s="47"/>
      <c r="E680" s="47"/>
      <c r="F680" s="47"/>
      <c r="G680" s="48"/>
      <c r="H680" s="47"/>
      <c r="I680" s="75">
        <f t="shared" si="20"/>
        <v>0</v>
      </c>
      <c r="J680" s="47"/>
      <c r="K680" s="288">
        <f t="shared" si="21"/>
        <v>0</v>
      </c>
    </row>
    <row r="681" spans="1:11" s="56" customFormat="1" ht="15.75" customHeight="1">
      <c r="A681" s="44"/>
      <c r="B681" s="45"/>
      <c r="C681" s="46">
        <f>IF(B681&lt;&gt;"",VLOOKUP(B681,'Tipo Projeto'!$A$3:$B$35,2,0),0)</f>
        <v>0</v>
      </c>
      <c r="D681" s="47"/>
      <c r="E681" s="47"/>
      <c r="F681" s="47"/>
      <c r="G681" s="48"/>
      <c r="H681" s="47"/>
      <c r="I681" s="75">
        <f t="shared" si="20"/>
        <v>0</v>
      </c>
      <c r="J681" s="47"/>
      <c r="K681" s="288">
        <f t="shared" si="21"/>
        <v>0</v>
      </c>
    </row>
    <row r="682" spans="1:11" s="56" customFormat="1" ht="15.75" customHeight="1">
      <c r="A682" s="44"/>
      <c r="B682" s="45"/>
      <c r="C682" s="46">
        <f>IF(B682&lt;&gt;"",VLOOKUP(B682,'Tipo Projeto'!$A$3:$B$35,2,0),0)</f>
        <v>0</v>
      </c>
      <c r="D682" s="47"/>
      <c r="E682" s="47"/>
      <c r="F682" s="47"/>
      <c r="G682" s="48"/>
      <c r="H682" s="47"/>
      <c r="I682" s="75">
        <f t="shared" si="20"/>
        <v>0</v>
      </c>
      <c r="J682" s="47"/>
      <c r="K682" s="288">
        <f t="shared" si="21"/>
        <v>0</v>
      </c>
    </row>
    <row r="683" spans="1:11" s="56" customFormat="1" ht="15.75" customHeight="1">
      <c r="A683" s="44"/>
      <c r="B683" s="45"/>
      <c r="C683" s="46">
        <f>IF(B683&lt;&gt;"",VLOOKUP(B683,'Tipo Projeto'!$A$3:$B$35,2,0),0)</f>
        <v>0</v>
      </c>
      <c r="D683" s="47"/>
      <c r="E683" s="47"/>
      <c r="F683" s="47"/>
      <c r="G683" s="48"/>
      <c r="H683" s="47"/>
      <c r="I683" s="75">
        <f t="shared" si="20"/>
        <v>0</v>
      </c>
      <c r="J683" s="47"/>
      <c r="K683" s="288">
        <f t="shared" si="21"/>
        <v>0</v>
      </c>
    </row>
    <row r="684" spans="1:11" s="56" customFormat="1" ht="15.75" customHeight="1">
      <c r="A684" s="44"/>
      <c r="B684" s="45"/>
      <c r="C684" s="46">
        <f>IF(B684&lt;&gt;"",VLOOKUP(B684,'Tipo Projeto'!$A$3:$B$35,2,0),0)</f>
        <v>0</v>
      </c>
      <c r="D684" s="47"/>
      <c r="E684" s="47"/>
      <c r="F684" s="47"/>
      <c r="G684" s="48"/>
      <c r="H684" s="47"/>
      <c r="I684" s="75">
        <f t="shared" si="20"/>
        <v>0</v>
      </c>
      <c r="J684" s="47"/>
      <c r="K684" s="288">
        <f t="shared" si="21"/>
        <v>0</v>
      </c>
    </row>
    <row r="685" spans="1:11" s="56" customFormat="1" ht="15.75" customHeight="1">
      <c r="A685" s="44"/>
      <c r="B685" s="45"/>
      <c r="C685" s="46">
        <f>IF(B685&lt;&gt;"",VLOOKUP(B685,'Tipo Projeto'!$A$3:$B$35,2,0),0)</f>
        <v>0</v>
      </c>
      <c r="D685" s="47"/>
      <c r="E685" s="47"/>
      <c r="F685" s="47"/>
      <c r="G685" s="48"/>
      <c r="H685" s="47"/>
      <c r="I685" s="75">
        <f t="shared" si="20"/>
        <v>0</v>
      </c>
      <c r="J685" s="47"/>
      <c r="K685" s="288">
        <f t="shared" si="21"/>
        <v>0</v>
      </c>
    </row>
    <row r="686" spans="1:11" s="56" customFormat="1" ht="15.75" customHeight="1">
      <c r="A686" s="44"/>
      <c r="B686" s="45"/>
      <c r="C686" s="46">
        <f>IF(B686&lt;&gt;"",VLOOKUP(B686,'Tipo Projeto'!$A$3:$B$35,2,0),0)</f>
        <v>0</v>
      </c>
      <c r="D686" s="47"/>
      <c r="E686" s="47"/>
      <c r="F686" s="47"/>
      <c r="G686" s="48"/>
      <c r="H686" s="47"/>
      <c r="I686" s="75">
        <f t="shared" si="20"/>
        <v>0</v>
      </c>
      <c r="J686" s="47"/>
      <c r="K686" s="288">
        <f t="shared" si="21"/>
        <v>0</v>
      </c>
    </row>
    <row r="687" spans="1:11" s="56" customFormat="1" ht="15.75" customHeight="1">
      <c r="A687" s="44"/>
      <c r="B687" s="45"/>
      <c r="C687" s="46">
        <f>IF(B687&lt;&gt;"",VLOOKUP(B687,'Tipo Projeto'!$A$3:$B$35,2,0),0)</f>
        <v>0</v>
      </c>
      <c r="D687" s="47"/>
      <c r="E687" s="47"/>
      <c r="F687" s="47"/>
      <c r="G687" s="48"/>
      <c r="H687" s="47"/>
      <c r="I687" s="75">
        <f t="shared" si="20"/>
        <v>0</v>
      </c>
      <c r="J687" s="47"/>
      <c r="K687" s="288">
        <f t="shared" si="21"/>
        <v>0</v>
      </c>
    </row>
    <row r="688" spans="1:11" s="56" customFormat="1" ht="15.75" customHeight="1">
      <c r="A688" s="44"/>
      <c r="B688" s="45"/>
      <c r="C688" s="46">
        <f>IF(B688&lt;&gt;"",VLOOKUP(B688,'Tipo Projeto'!$A$3:$B$35,2,0),0)</f>
        <v>0</v>
      </c>
      <c r="D688" s="47"/>
      <c r="E688" s="47"/>
      <c r="F688" s="47"/>
      <c r="G688" s="48"/>
      <c r="H688" s="47"/>
      <c r="I688" s="75">
        <f t="shared" si="20"/>
        <v>0</v>
      </c>
      <c r="J688" s="47"/>
      <c r="K688" s="288">
        <f t="shared" si="21"/>
        <v>0</v>
      </c>
    </row>
    <row r="689" spans="1:11" s="56" customFormat="1" ht="15.75" customHeight="1">
      <c r="A689" s="44"/>
      <c r="B689" s="45"/>
      <c r="C689" s="46">
        <f>IF(B689&lt;&gt;"",VLOOKUP(B689,'Tipo Projeto'!$A$3:$B$35,2,0),0)</f>
        <v>0</v>
      </c>
      <c r="D689" s="47"/>
      <c r="E689" s="47"/>
      <c r="F689" s="47"/>
      <c r="G689" s="48"/>
      <c r="H689" s="47"/>
      <c r="I689" s="75">
        <f t="shared" si="20"/>
        <v>0</v>
      </c>
      <c r="J689" s="47"/>
      <c r="K689" s="288">
        <f t="shared" si="21"/>
        <v>0</v>
      </c>
    </row>
    <row r="690" spans="1:11" s="56" customFormat="1" ht="15.75" customHeight="1">
      <c r="A690" s="44"/>
      <c r="B690" s="45"/>
      <c r="C690" s="46">
        <f>IF(B690&lt;&gt;"",VLOOKUP(B690,'Tipo Projeto'!$A$3:$B$35,2,0),0)</f>
        <v>0</v>
      </c>
      <c r="D690" s="47"/>
      <c r="E690" s="47"/>
      <c r="F690" s="47"/>
      <c r="G690" s="48"/>
      <c r="H690" s="47"/>
      <c r="I690" s="75">
        <f t="shared" si="20"/>
        <v>0</v>
      </c>
      <c r="J690" s="47"/>
      <c r="K690" s="288">
        <f t="shared" si="21"/>
        <v>0</v>
      </c>
    </row>
    <row r="691" spans="1:11" s="56" customFormat="1" ht="15.75" customHeight="1">
      <c r="A691" s="44"/>
      <c r="B691" s="45"/>
      <c r="C691" s="46">
        <f>IF(B691&lt;&gt;"",VLOOKUP(B691,'Tipo Projeto'!$A$3:$B$35,2,0),0)</f>
        <v>0</v>
      </c>
      <c r="D691" s="47"/>
      <c r="E691" s="47"/>
      <c r="F691" s="47"/>
      <c r="G691" s="48"/>
      <c r="H691" s="47"/>
      <c r="I691" s="75">
        <f t="shared" si="20"/>
        <v>0</v>
      </c>
      <c r="J691" s="47"/>
      <c r="K691" s="288">
        <f t="shared" si="21"/>
        <v>0</v>
      </c>
    </row>
    <row r="692" spans="1:11" s="56" customFormat="1" ht="15.75" customHeight="1">
      <c r="A692" s="44"/>
      <c r="B692" s="45"/>
      <c r="C692" s="46">
        <f>IF(B692&lt;&gt;"",VLOOKUP(B692,'Tipo Projeto'!$A$3:$B$35,2,0),0)</f>
        <v>0</v>
      </c>
      <c r="D692" s="47"/>
      <c r="E692" s="47"/>
      <c r="F692" s="47"/>
      <c r="G692" s="48"/>
      <c r="H692" s="47"/>
      <c r="I692" s="75">
        <f t="shared" si="20"/>
        <v>0</v>
      </c>
      <c r="J692" s="47"/>
      <c r="K692" s="288">
        <f t="shared" si="21"/>
        <v>0</v>
      </c>
    </row>
    <row r="693" spans="1:11" s="56" customFormat="1" ht="15.75" customHeight="1">
      <c r="A693" s="44"/>
      <c r="B693" s="45"/>
      <c r="C693" s="46">
        <f>IF(B693&lt;&gt;"",VLOOKUP(B693,'Tipo Projeto'!$A$3:$B$35,2,0),0)</f>
        <v>0</v>
      </c>
      <c r="D693" s="47"/>
      <c r="E693" s="47"/>
      <c r="F693" s="47"/>
      <c r="G693" s="48"/>
      <c r="H693" s="47"/>
      <c r="I693" s="75">
        <f t="shared" si="20"/>
        <v>0</v>
      </c>
      <c r="J693" s="47"/>
      <c r="K693" s="288">
        <f t="shared" si="21"/>
        <v>0</v>
      </c>
    </row>
    <row r="694" spans="1:11" s="56" customFormat="1" ht="15.75" customHeight="1">
      <c r="A694" s="44"/>
      <c r="B694" s="45"/>
      <c r="C694" s="46">
        <f>IF(B694&lt;&gt;"",VLOOKUP(B694,'Tipo Projeto'!$A$3:$B$35,2,0),0)</f>
        <v>0</v>
      </c>
      <c r="D694" s="47"/>
      <c r="E694" s="47"/>
      <c r="F694" s="47"/>
      <c r="G694" s="48"/>
      <c r="H694" s="47"/>
      <c r="I694" s="75">
        <f t="shared" si="20"/>
        <v>0</v>
      </c>
      <c r="J694" s="47"/>
      <c r="K694" s="288">
        <f t="shared" si="21"/>
        <v>0</v>
      </c>
    </row>
    <row r="695" spans="1:11" s="56" customFormat="1" ht="15.75" customHeight="1">
      <c r="A695" s="44"/>
      <c r="B695" s="45"/>
      <c r="C695" s="46">
        <f>IF(B695&lt;&gt;"",VLOOKUP(B695,'Tipo Projeto'!$A$3:$B$35,2,0),0)</f>
        <v>0</v>
      </c>
      <c r="D695" s="47"/>
      <c r="E695" s="47"/>
      <c r="F695" s="47"/>
      <c r="G695" s="48"/>
      <c r="H695" s="47"/>
      <c r="I695" s="75">
        <f t="shared" si="20"/>
        <v>0</v>
      </c>
      <c r="J695" s="47"/>
      <c r="K695" s="288">
        <f t="shared" si="21"/>
        <v>0</v>
      </c>
    </row>
    <row r="696" spans="1:11" s="56" customFormat="1" ht="15.75" customHeight="1">
      <c r="A696" s="44"/>
      <c r="B696" s="45"/>
      <c r="C696" s="46">
        <f>IF(B696&lt;&gt;"",VLOOKUP(B696,'Tipo Projeto'!$A$3:$B$35,2,0),0)</f>
        <v>0</v>
      </c>
      <c r="D696" s="47"/>
      <c r="E696" s="47"/>
      <c r="F696" s="47"/>
      <c r="G696" s="48"/>
      <c r="H696" s="47"/>
      <c r="I696" s="75">
        <f t="shared" si="20"/>
        <v>0</v>
      </c>
      <c r="J696" s="47"/>
      <c r="K696" s="288">
        <f t="shared" si="21"/>
        <v>0</v>
      </c>
    </row>
    <row r="697" spans="1:11" s="56" customFormat="1" ht="15.75" customHeight="1">
      <c r="A697" s="44"/>
      <c r="B697" s="45"/>
      <c r="C697" s="46">
        <f>IF(B697&lt;&gt;"",VLOOKUP(B697,'Tipo Projeto'!$A$3:$B$35,2,0),0)</f>
        <v>0</v>
      </c>
      <c r="D697" s="47"/>
      <c r="E697" s="47"/>
      <c r="F697" s="47"/>
      <c r="G697" s="48"/>
      <c r="H697" s="47"/>
      <c r="I697" s="75">
        <f t="shared" si="20"/>
        <v>0</v>
      </c>
      <c r="J697" s="47"/>
      <c r="K697" s="288">
        <f t="shared" si="21"/>
        <v>0</v>
      </c>
    </row>
    <row r="698" spans="1:11" s="56" customFormat="1" ht="15.75" customHeight="1">
      <c r="A698" s="44"/>
      <c r="B698" s="45"/>
      <c r="C698" s="46">
        <f>IF(B698&lt;&gt;"",VLOOKUP(B698,'Tipo Projeto'!$A$3:$B$35,2,0),0)</f>
        <v>0</v>
      </c>
      <c r="D698" s="47"/>
      <c r="E698" s="47"/>
      <c r="F698" s="47"/>
      <c r="G698" s="48"/>
      <c r="H698" s="47"/>
      <c r="I698" s="75">
        <f t="shared" si="20"/>
        <v>0</v>
      </c>
      <c r="J698" s="47"/>
      <c r="K698" s="288">
        <f t="shared" si="21"/>
        <v>0</v>
      </c>
    </row>
    <row r="699" spans="1:11" s="56" customFormat="1" ht="15.75" customHeight="1">
      <c r="A699" s="44"/>
      <c r="B699" s="45"/>
      <c r="C699" s="46">
        <f>IF(B699&lt;&gt;"",VLOOKUP(B699,'Tipo Projeto'!$A$3:$B$35,2,0),0)</f>
        <v>0</v>
      </c>
      <c r="D699" s="47"/>
      <c r="E699" s="47"/>
      <c r="F699" s="47"/>
      <c r="G699" s="48"/>
      <c r="H699" s="47"/>
      <c r="I699" s="75">
        <f t="shared" si="20"/>
        <v>0</v>
      </c>
      <c r="J699" s="47"/>
      <c r="K699" s="288">
        <f t="shared" si="21"/>
        <v>0</v>
      </c>
    </row>
    <row r="700" spans="1:11" s="56" customFormat="1" ht="15.75" customHeight="1">
      <c r="A700" s="44"/>
      <c r="B700" s="45"/>
      <c r="C700" s="46">
        <f>IF(B700&lt;&gt;"",VLOOKUP(B700,'Tipo Projeto'!$A$3:$B$35,2,0),0)</f>
        <v>0</v>
      </c>
      <c r="D700" s="47"/>
      <c r="E700" s="47"/>
      <c r="F700" s="47"/>
      <c r="G700" s="48"/>
      <c r="H700" s="47"/>
      <c r="I700" s="75">
        <f t="shared" si="20"/>
        <v>0</v>
      </c>
      <c r="J700" s="47"/>
      <c r="K700" s="288">
        <f t="shared" si="21"/>
        <v>0</v>
      </c>
    </row>
    <row r="701" spans="1:11" s="56" customFormat="1" ht="15.75" customHeight="1">
      <c r="A701" s="44"/>
      <c r="B701" s="45"/>
      <c r="C701" s="46">
        <f>IF(B701&lt;&gt;"",VLOOKUP(B701,'Tipo Projeto'!$A$3:$B$35,2,0),0)</f>
        <v>0</v>
      </c>
      <c r="D701" s="47"/>
      <c r="E701" s="47"/>
      <c r="F701" s="47"/>
      <c r="G701" s="48"/>
      <c r="H701" s="47"/>
      <c r="I701" s="75">
        <f t="shared" si="20"/>
        <v>0</v>
      </c>
      <c r="J701" s="47"/>
      <c r="K701" s="288">
        <f t="shared" si="21"/>
        <v>0</v>
      </c>
    </row>
    <row r="702" spans="1:11" s="56" customFormat="1" ht="15.75" customHeight="1">
      <c r="A702" s="44"/>
      <c r="B702" s="45"/>
      <c r="C702" s="46">
        <f>IF(B702&lt;&gt;"",VLOOKUP(B702,'Tipo Projeto'!$A$3:$B$35,2,0),0)</f>
        <v>0</v>
      </c>
      <c r="D702" s="47"/>
      <c r="E702" s="47"/>
      <c r="F702" s="47"/>
      <c r="G702" s="48"/>
      <c r="H702" s="47"/>
      <c r="I702" s="75">
        <f t="shared" ref="I702:I765" si="22">IF(B702&lt;&gt;"Manutenção em interface",IF(B702&lt;&gt;"Desenv., Manutenção e Publicação de Páginas Estáticas",IF(H702="EE",4,IF(H702="CE",4,IF(H702="SE",5,IF(H702="ALI",7,IF(H702="AIE",5,0)))))*C702,C702),C702)</f>
        <v>0</v>
      </c>
      <c r="J702" s="47"/>
      <c r="K702" s="288">
        <f t="shared" si="21"/>
        <v>0</v>
      </c>
    </row>
    <row r="703" spans="1:11" s="56" customFormat="1" ht="15.75" customHeight="1">
      <c r="A703" s="44"/>
      <c r="B703" s="45"/>
      <c r="C703" s="46">
        <f>IF(B703&lt;&gt;"",VLOOKUP(B703,'Tipo Projeto'!$A$3:$B$35,2,0),0)</f>
        <v>0</v>
      </c>
      <c r="D703" s="47"/>
      <c r="E703" s="47"/>
      <c r="F703" s="47"/>
      <c r="G703" s="48"/>
      <c r="H703" s="47"/>
      <c r="I703" s="75">
        <f t="shared" si="22"/>
        <v>0</v>
      </c>
      <c r="J703" s="47"/>
      <c r="K703" s="288">
        <f t="shared" si="21"/>
        <v>0</v>
      </c>
    </row>
    <row r="704" spans="1:11" s="56" customFormat="1" ht="15.75" customHeight="1">
      <c r="A704" s="44"/>
      <c r="B704" s="45"/>
      <c r="C704" s="46">
        <f>IF(B704&lt;&gt;"",VLOOKUP(B704,'Tipo Projeto'!$A$3:$B$35,2,0),0)</f>
        <v>0</v>
      </c>
      <c r="D704" s="47"/>
      <c r="E704" s="47"/>
      <c r="F704" s="47"/>
      <c r="G704" s="48"/>
      <c r="H704" s="47"/>
      <c r="I704" s="75">
        <f t="shared" si="22"/>
        <v>0</v>
      </c>
      <c r="J704" s="47"/>
      <c r="K704" s="288">
        <f t="shared" si="21"/>
        <v>0</v>
      </c>
    </row>
    <row r="705" spans="1:11" s="56" customFormat="1" ht="15.75" customHeight="1">
      <c r="A705" s="44"/>
      <c r="B705" s="45"/>
      <c r="C705" s="46">
        <f>IF(B705&lt;&gt;"",VLOOKUP(B705,'Tipo Projeto'!$A$3:$B$35,2,0),0)</f>
        <v>0</v>
      </c>
      <c r="D705" s="47"/>
      <c r="E705" s="47"/>
      <c r="F705" s="47"/>
      <c r="G705" s="48"/>
      <c r="H705" s="47"/>
      <c r="I705" s="75">
        <f t="shared" si="22"/>
        <v>0</v>
      </c>
      <c r="J705" s="47"/>
      <c r="K705" s="288">
        <f t="shared" si="21"/>
        <v>0</v>
      </c>
    </row>
    <row r="706" spans="1:11" s="56" customFormat="1" ht="15.75" customHeight="1">
      <c r="A706" s="44"/>
      <c r="B706" s="45"/>
      <c r="C706" s="46">
        <f>IF(B706&lt;&gt;"",VLOOKUP(B706,'Tipo Projeto'!$A$3:$B$35,2,0),0)</f>
        <v>0</v>
      </c>
      <c r="D706" s="47"/>
      <c r="E706" s="47"/>
      <c r="F706" s="47"/>
      <c r="G706" s="48"/>
      <c r="H706" s="47"/>
      <c r="I706" s="75">
        <f t="shared" si="22"/>
        <v>0</v>
      </c>
      <c r="J706" s="47"/>
      <c r="K706" s="288">
        <f t="shared" si="21"/>
        <v>0</v>
      </c>
    </row>
    <row r="707" spans="1:11" s="56" customFormat="1" ht="15.75" customHeight="1">
      <c r="A707" s="44"/>
      <c r="B707" s="45"/>
      <c r="C707" s="46">
        <f>IF(B707&lt;&gt;"",VLOOKUP(B707,'Tipo Projeto'!$A$3:$B$35,2,0),0)</f>
        <v>0</v>
      </c>
      <c r="D707" s="47"/>
      <c r="E707" s="47"/>
      <c r="F707" s="47"/>
      <c r="G707" s="48"/>
      <c r="H707" s="47"/>
      <c r="I707" s="75">
        <f t="shared" si="22"/>
        <v>0</v>
      </c>
      <c r="J707" s="47"/>
      <c r="K707" s="288">
        <f t="shared" si="21"/>
        <v>0</v>
      </c>
    </row>
    <row r="708" spans="1:11" s="56" customFormat="1" ht="15.75" customHeight="1">
      <c r="A708" s="44"/>
      <c r="B708" s="45"/>
      <c r="C708" s="46">
        <f>IF(B708&lt;&gt;"",VLOOKUP(B708,'Tipo Projeto'!$A$3:$B$35,2,0),0)</f>
        <v>0</v>
      </c>
      <c r="D708" s="47"/>
      <c r="E708" s="47"/>
      <c r="F708" s="47"/>
      <c r="G708" s="48"/>
      <c r="H708" s="47"/>
      <c r="I708" s="75">
        <f t="shared" si="22"/>
        <v>0</v>
      </c>
      <c r="J708" s="47"/>
      <c r="K708" s="288">
        <f t="shared" si="21"/>
        <v>0</v>
      </c>
    </row>
    <row r="709" spans="1:11" s="56" customFormat="1" ht="15.75" customHeight="1">
      <c r="A709" s="44"/>
      <c r="B709" s="45"/>
      <c r="C709" s="46">
        <f>IF(B709&lt;&gt;"",VLOOKUP(B709,'Tipo Projeto'!$A$3:$B$35,2,0),0)</f>
        <v>0</v>
      </c>
      <c r="D709" s="47"/>
      <c r="E709" s="47"/>
      <c r="F709" s="47"/>
      <c r="G709" s="48"/>
      <c r="H709" s="47"/>
      <c r="I709" s="75">
        <f t="shared" si="22"/>
        <v>0</v>
      </c>
      <c r="J709" s="47"/>
      <c r="K709" s="288">
        <f t="shared" si="21"/>
        <v>0</v>
      </c>
    </row>
    <row r="710" spans="1:11" s="56" customFormat="1" ht="15.75" customHeight="1">
      <c r="A710" s="44"/>
      <c r="B710" s="45"/>
      <c r="C710" s="46">
        <f>IF(B710&lt;&gt;"",VLOOKUP(B710,'Tipo Projeto'!$A$3:$B$35,2,0),0)</f>
        <v>0</v>
      </c>
      <c r="D710" s="47"/>
      <c r="E710" s="47"/>
      <c r="F710" s="47"/>
      <c r="G710" s="48"/>
      <c r="H710" s="47"/>
      <c r="I710" s="75">
        <f t="shared" si="22"/>
        <v>0</v>
      </c>
      <c r="J710" s="47"/>
      <c r="K710" s="288">
        <f t="shared" si="21"/>
        <v>0</v>
      </c>
    </row>
    <row r="711" spans="1:11" s="56" customFormat="1" ht="15.75" customHeight="1">
      <c r="A711" s="44"/>
      <c r="B711" s="45"/>
      <c r="C711" s="46">
        <f>IF(B711&lt;&gt;"",VLOOKUP(B711,'Tipo Projeto'!$A$3:$B$35,2,0),0)</f>
        <v>0</v>
      </c>
      <c r="D711" s="47"/>
      <c r="E711" s="47"/>
      <c r="F711" s="47"/>
      <c r="G711" s="48"/>
      <c r="H711" s="47"/>
      <c r="I711" s="75">
        <f t="shared" si="22"/>
        <v>0</v>
      </c>
      <c r="J711" s="47"/>
      <c r="K711" s="288">
        <f t="shared" si="21"/>
        <v>0</v>
      </c>
    </row>
    <row r="712" spans="1:11" s="56" customFormat="1" ht="15.75" customHeight="1">
      <c r="A712" s="44"/>
      <c r="B712" s="45"/>
      <c r="C712" s="46">
        <f>IF(B712&lt;&gt;"",VLOOKUP(B712,'Tipo Projeto'!$A$3:$B$35,2,0),0)</f>
        <v>0</v>
      </c>
      <c r="D712" s="47"/>
      <c r="E712" s="47"/>
      <c r="F712" s="47"/>
      <c r="G712" s="48"/>
      <c r="H712" s="47"/>
      <c r="I712" s="75">
        <f t="shared" si="22"/>
        <v>0</v>
      </c>
      <c r="J712" s="47"/>
      <c r="K712" s="288">
        <f t="shared" si="21"/>
        <v>0</v>
      </c>
    </row>
    <row r="713" spans="1:11" s="56" customFormat="1" ht="15.75" customHeight="1">
      <c r="A713" s="44"/>
      <c r="B713" s="45"/>
      <c r="C713" s="46">
        <f>IF(B713&lt;&gt;"",VLOOKUP(B713,'Tipo Projeto'!$A$3:$B$35,2,0),0)</f>
        <v>0</v>
      </c>
      <c r="D713" s="47"/>
      <c r="E713" s="47"/>
      <c r="F713" s="47"/>
      <c r="G713" s="48"/>
      <c r="H713" s="47"/>
      <c r="I713" s="75">
        <f t="shared" si="22"/>
        <v>0</v>
      </c>
      <c r="J713" s="47"/>
      <c r="K713" s="288">
        <f t="shared" si="21"/>
        <v>0</v>
      </c>
    </row>
    <row r="714" spans="1:11" s="56" customFormat="1" ht="15.75" customHeight="1">
      <c r="A714" s="44"/>
      <c r="B714" s="45"/>
      <c r="C714" s="46">
        <f>IF(B714&lt;&gt;"",VLOOKUP(B714,'Tipo Projeto'!$A$3:$B$35,2,0),0)</f>
        <v>0</v>
      </c>
      <c r="D714" s="47"/>
      <c r="E714" s="47"/>
      <c r="F714" s="47"/>
      <c r="G714" s="48"/>
      <c r="H714" s="47"/>
      <c r="I714" s="75">
        <f t="shared" si="22"/>
        <v>0</v>
      </c>
      <c r="J714" s="47"/>
      <c r="K714" s="288">
        <f t="shared" si="21"/>
        <v>0</v>
      </c>
    </row>
    <row r="715" spans="1:11" s="56" customFormat="1" ht="15.75" customHeight="1">
      <c r="A715" s="44"/>
      <c r="B715" s="45"/>
      <c r="C715" s="46">
        <f>IF(B715&lt;&gt;"",VLOOKUP(B715,'Tipo Projeto'!$A$3:$B$35,2,0),0)</f>
        <v>0</v>
      </c>
      <c r="D715" s="47"/>
      <c r="E715" s="47"/>
      <c r="F715" s="47"/>
      <c r="G715" s="48"/>
      <c r="H715" s="47"/>
      <c r="I715" s="75">
        <f t="shared" si="22"/>
        <v>0</v>
      </c>
      <c r="J715" s="47"/>
      <c r="K715" s="288">
        <f t="shared" si="21"/>
        <v>0</v>
      </c>
    </row>
    <row r="716" spans="1:11" s="56" customFormat="1" ht="15.75" customHeight="1">
      <c r="A716" s="44"/>
      <c r="B716" s="45"/>
      <c r="C716" s="46">
        <f>IF(B716&lt;&gt;"",VLOOKUP(B716,'Tipo Projeto'!$A$3:$B$35,2,0),0)</f>
        <v>0</v>
      </c>
      <c r="D716" s="47"/>
      <c r="E716" s="47"/>
      <c r="F716" s="47"/>
      <c r="G716" s="48"/>
      <c r="H716" s="47"/>
      <c r="I716" s="75">
        <f t="shared" si="22"/>
        <v>0</v>
      </c>
      <c r="J716" s="47"/>
      <c r="K716" s="288">
        <f t="shared" ref="K716:K779" si="23">IF(AND(C716&lt;&gt;0,I716&lt;&gt;0),I716/C716,0)</f>
        <v>0</v>
      </c>
    </row>
    <row r="717" spans="1:11" s="56" customFormat="1" ht="15.75" customHeight="1">
      <c r="A717" s="44"/>
      <c r="B717" s="45"/>
      <c r="C717" s="46">
        <f>IF(B717&lt;&gt;"",VLOOKUP(B717,'Tipo Projeto'!$A$3:$B$35,2,0),0)</f>
        <v>0</v>
      </c>
      <c r="D717" s="47"/>
      <c r="E717" s="47"/>
      <c r="F717" s="47"/>
      <c r="G717" s="48"/>
      <c r="H717" s="47"/>
      <c r="I717" s="75">
        <f t="shared" si="22"/>
        <v>0</v>
      </c>
      <c r="J717" s="47"/>
      <c r="K717" s="288">
        <f t="shared" si="23"/>
        <v>0</v>
      </c>
    </row>
    <row r="718" spans="1:11" s="56" customFormat="1" ht="15.75" customHeight="1">
      <c r="A718" s="44"/>
      <c r="B718" s="45"/>
      <c r="C718" s="46">
        <f>IF(B718&lt;&gt;"",VLOOKUP(B718,'Tipo Projeto'!$A$3:$B$35,2,0),0)</f>
        <v>0</v>
      </c>
      <c r="D718" s="47"/>
      <c r="E718" s="47"/>
      <c r="F718" s="47"/>
      <c r="G718" s="48"/>
      <c r="H718" s="47"/>
      <c r="I718" s="75">
        <f t="shared" si="22"/>
        <v>0</v>
      </c>
      <c r="J718" s="47"/>
      <c r="K718" s="288">
        <f t="shared" si="23"/>
        <v>0</v>
      </c>
    </row>
    <row r="719" spans="1:11" s="56" customFormat="1" ht="15.75" customHeight="1">
      <c r="A719" s="44"/>
      <c r="B719" s="45"/>
      <c r="C719" s="46">
        <f>IF(B719&lt;&gt;"",VLOOKUP(B719,'Tipo Projeto'!$A$3:$B$35,2,0),0)</f>
        <v>0</v>
      </c>
      <c r="D719" s="47"/>
      <c r="E719" s="47"/>
      <c r="F719" s="47"/>
      <c r="G719" s="48"/>
      <c r="H719" s="47"/>
      <c r="I719" s="75">
        <f t="shared" si="22"/>
        <v>0</v>
      </c>
      <c r="J719" s="47"/>
      <c r="K719" s="288">
        <f t="shared" si="23"/>
        <v>0</v>
      </c>
    </row>
    <row r="720" spans="1:11" s="56" customFormat="1" ht="15.75" customHeight="1">
      <c r="A720" s="44"/>
      <c r="B720" s="45"/>
      <c r="C720" s="46">
        <f>IF(B720&lt;&gt;"",VLOOKUP(B720,'Tipo Projeto'!$A$3:$B$35,2,0),0)</f>
        <v>0</v>
      </c>
      <c r="D720" s="47"/>
      <c r="E720" s="47"/>
      <c r="F720" s="47"/>
      <c r="G720" s="48"/>
      <c r="H720" s="47"/>
      <c r="I720" s="75">
        <f t="shared" si="22"/>
        <v>0</v>
      </c>
      <c r="J720" s="47"/>
      <c r="K720" s="288">
        <f t="shared" si="23"/>
        <v>0</v>
      </c>
    </row>
    <row r="721" spans="1:11" s="56" customFormat="1" ht="15.75" customHeight="1">
      <c r="A721" s="44"/>
      <c r="B721" s="45"/>
      <c r="C721" s="46">
        <f>IF(B721&lt;&gt;"",VLOOKUP(B721,'Tipo Projeto'!$A$3:$B$35,2,0),0)</f>
        <v>0</v>
      </c>
      <c r="D721" s="47"/>
      <c r="E721" s="47"/>
      <c r="F721" s="47"/>
      <c r="G721" s="48"/>
      <c r="H721" s="47"/>
      <c r="I721" s="75">
        <f t="shared" si="22"/>
        <v>0</v>
      </c>
      <c r="J721" s="47"/>
      <c r="K721" s="288">
        <f t="shared" si="23"/>
        <v>0</v>
      </c>
    </row>
    <row r="722" spans="1:11" s="56" customFormat="1" ht="15.75" customHeight="1">
      <c r="A722" s="44"/>
      <c r="B722" s="45"/>
      <c r="C722" s="46">
        <f>IF(B722&lt;&gt;"",VLOOKUP(B722,'Tipo Projeto'!$A$3:$B$35,2,0),0)</f>
        <v>0</v>
      </c>
      <c r="D722" s="47"/>
      <c r="E722" s="47"/>
      <c r="F722" s="47"/>
      <c r="G722" s="48"/>
      <c r="H722" s="47"/>
      <c r="I722" s="75">
        <f t="shared" si="22"/>
        <v>0</v>
      </c>
      <c r="J722" s="47"/>
      <c r="K722" s="288">
        <f t="shared" si="23"/>
        <v>0</v>
      </c>
    </row>
    <row r="723" spans="1:11" s="56" customFormat="1" ht="15.75" customHeight="1">
      <c r="A723" s="44"/>
      <c r="B723" s="45"/>
      <c r="C723" s="46">
        <f>IF(B723&lt;&gt;"",VLOOKUP(B723,'Tipo Projeto'!$A$3:$B$35,2,0),0)</f>
        <v>0</v>
      </c>
      <c r="D723" s="47"/>
      <c r="E723" s="47"/>
      <c r="F723" s="47"/>
      <c r="G723" s="48"/>
      <c r="H723" s="47"/>
      <c r="I723" s="75">
        <f t="shared" si="22"/>
        <v>0</v>
      </c>
      <c r="J723" s="47"/>
      <c r="K723" s="288">
        <f t="shared" si="23"/>
        <v>0</v>
      </c>
    </row>
    <row r="724" spans="1:11" s="56" customFormat="1" ht="15.75" customHeight="1">
      <c r="A724" s="44"/>
      <c r="B724" s="45"/>
      <c r="C724" s="46">
        <f>IF(B724&lt;&gt;"",VLOOKUP(B724,'Tipo Projeto'!$A$3:$B$35,2,0),0)</f>
        <v>0</v>
      </c>
      <c r="D724" s="47"/>
      <c r="E724" s="47"/>
      <c r="F724" s="47"/>
      <c r="G724" s="48"/>
      <c r="H724" s="47"/>
      <c r="I724" s="75">
        <f t="shared" si="22"/>
        <v>0</v>
      </c>
      <c r="J724" s="47"/>
      <c r="K724" s="288">
        <f t="shared" si="23"/>
        <v>0</v>
      </c>
    </row>
    <row r="725" spans="1:11" s="56" customFormat="1" ht="15.75" customHeight="1">
      <c r="A725" s="44"/>
      <c r="B725" s="45"/>
      <c r="C725" s="46">
        <f>IF(B725&lt;&gt;"",VLOOKUP(B725,'Tipo Projeto'!$A$3:$B$35,2,0),0)</f>
        <v>0</v>
      </c>
      <c r="D725" s="47"/>
      <c r="E725" s="47"/>
      <c r="F725" s="47"/>
      <c r="G725" s="48"/>
      <c r="H725" s="47"/>
      <c r="I725" s="75">
        <f t="shared" si="22"/>
        <v>0</v>
      </c>
      <c r="J725" s="47"/>
      <c r="K725" s="288">
        <f t="shared" si="23"/>
        <v>0</v>
      </c>
    </row>
    <row r="726" spans="1:11" s="56" customFormat="1" ht="15.75" customHeight="1">
      <c r="A726" s="44"/>
      <c r="B726" s="45"/>
      <c r="C726" s="46">
        <f>IF(B726&lt;&gt;"",VLOOKUP(B726,'Tipo Projeto'!$A$3:$B$35,2,0),0)</f>
        <v>0</v>
      </c>
      <c r="D726" s="47"/>
      <c r="E726" s="47"/>
      <c r="F726" s="47"/>
      <c r="G726" s="48"/>
      <c r="H726" s="47"/>
      <c r="I726" s="75">
        <f t="shared" si="22"/>
        <v>0</v>
      </c>
      <c r="J726" s="47"/>
      <c r="K726" s="288">
        <f t="shared" si="23"/>
        <v>0</v>
      </c>
    </row>
    <row r="727" spans="1:11" s="56" customFormat="1" ht="15.75" customHeight="1">
      <c r="A727" s="44"/>
      <c r="B727" s="45"/>
      <c r="C727" s="46">
        <f>IF(B727&lt;&gt;"",VLOOKUP(B727,'Tipo Projeto'!$A$3:$B$35,2,0),0)</f>
        <v>0</v>
      </c>
      <c r="D727" s="47"/>
      <c r="E727" s="47"/>
      <c r="F727" s="47"/>
      <c r="G727" s="48"/>
      <c r="H727" s="47"/>
      <c r="I727" s="75">
        <f t="shared" si="22"/>
        <v>0</v>
      </c>
      <c r="J727" s="47"/>
      <c r="K727" s="288">
        <f t="shared" si="23"/>
        <v>0</v>
      </c>
    </row>
    <row r="728" spans="1:11" s="56" customFormat="1" ht="15.75" customHeight="1">
      <c r="A728" s="44"/>
      <c r="B728" s="45"/>
      <c r="C728" s="46">
        <f>IF(B728&lt;&gt;"",VLOOKUP(B728,'Tipo Projeto'!$A$3:$B$35,2,0),0)</f>
        <v>0</v>
      </c>
      <c r="D728" s="47"/>
      <c r="E728" s="47"/>
      <c r="F728" s="47"/>
      <c r="G728" s="48"/>
      <c r="H728" s="47"/>
      <c r="I728" s="75">
        <f t="shared" si="22"/>
        <v>0</v>
      </c>
      <c r="J728" s="47"/>
      <c r="K728" s="288">
        <f t="shared" si="23"/>
        <v>0</v>
      </c>
    </row>
    <row r="729" spans="1:11" s="56" customFormat="1" ht="15.75" customHeight="1">
      <c r="A729" s="44"/>
      <c r="B729" s="45"/>
      <c r="C729" s="46">
        <f>IF(B729&lt;&gt;"",VLOOKUP(B729,'Tipo Projeto'!$A$3:$B$35,2,0),0)</f>
        <v>0</v>
      </c>
      <c r="D729" s="47"/>
      <c r="E729" s="47"/>
      <c r="F729" s="47"/>
      <c r="G729" s="48"/>
      <c r="H729" s="47"/>
      <c r="I729" s="75">
        <f t="shared" si="22"/>
        <v>0</v>
      </c>
      <c r="J729" s="47"/>
      <c r="K729" s="288">
        <f t="shared" si="23"/>
        <v>0</v>
      </c>
    </row>
    <row r="730" spans="1:11" s="56" customFormat="1" ht="15.75" customHeight="1">
      <c r="A730" s="44"/>
      <c r="B730" s="45"/>
      <c r="C730" s="46">
        <f>IF(B730&lt;&gt;"",VLOOKUP(B730,'Tipo Projeto'!$A$3:$B$35,2,0),0)</f>
        <v>0</v>
      </c>
      <c r="D730" s="47"/>
      <c r="E730" s="47"/>
      <c r="F730" s="47"/>
      <c r="G730" s="48"/>
      <c r="H730" s="47"/>
      <c r="I730" s="75">
        <f t="shared" si="22"/>
        <v>0</v>
      </c>
      <c r="J730" s="47"/>
      <c r="K730" s="288">
        <f t="shared" si="23"/>
        <v>0</v>
      </c>
    </row>
    <row r="731" spans="1:11" s="56" customFormat="1" ht="15.75" customHeight="1">
      <c r="A731" s="44"/>
      <c r="B731" s="45"/>
      <c r="C731" s="46">
        <f>IF(B731&lt;&gt;"",VLOOKUP(B731,'Tipo Projeto'!$A$3:$B$35,2,0),0)</f>
        <v>0</v>
      </c>
      <c r="D731" s="47"/>
      <c r="E731" s="47"/>
      <c r="F731" s="47"/>
      <c r="G731" s="48"/>
      <c r="H731" s="47"/>
      <c r="I731" s="75">
        <f t="shared" si="22"/>
        <v>0</v>
      </c>
      <c r="J731" s="47"/>
      <c r="K731" s="288">
        <f t="shared" si="23"/>
        <v>0</v>
      </c>
    </row>
    <row r="732" spans="1:11" s="56" customFormat="1" ht="15.75" customHeight="1">
      <c r="A732" s="44"/>
      <c r="B732" s="45"/>
      <c r="C732" s="46">
        <f>IF(B732&lt;&gt;"",VLOOKUP(B732,'Tipo Projeto'!$A$3:$B$35,2,0),0)</f>
        <v>0</v>
      </c>
      <c r="D732" s="47"/>
      <c r="E732" s="47"/>
      <c r="F732" s="47"/>
      <c r="G732" s="48"/>
      <c r="H732" s="47"/>
      <c r="I732" s="75">
        <f t="shared" si="22"/>
        <v>0</v>
      </c>
      <c r="J732" s="47"/>
      <c r="K732" s="288">
        <f t="shared" si="23"/>
        <v>0</v>
      </c>
    </row>
    <row r="733" spans="1:11" s="56" customFormat="1" ht="15.75" customHeight="1">
      <c r="A733" s="44"/>
      <c r="B733" s="45"/>
      <c r="C733" s="46">
        <f>IF(B733&lt;&gt;"",VLOOKUP(B733,'Tipo Projeto'!$A$3:$B$35,2,0),0)</f>
        <v>0</v>
      </c>
      <c r="D733" s="47"/>
      <c r="E733" s="47"/>
      <c r="F733" s="47"/>
      <c r="G733" s="48"/>
      <c r="H733" s="47"/>
      <c r="I733" s="75">
        <f t="shared" si="22"/>
        <v>0</v>
      </c>
      <c r="J733" s="47"/>
      <c r="K733" s="288">
        <f t="shared" si="23"/>
        <v>0</v>
      </c>
    </row>
    <row r="734" spans="1:11" s="56" customFormat="1" ht="15.75" customHeight="1">
      <c r="A734" s="44"/>
      <c r="B734" s="45"/>
      <c r="C734" s="46">
        <f>IF(B734&lt;&gt;"",VLOOKUP(B734,'Tipo Projeto'!$A$3:$B$35,2,0),0)</f>
        <v>0</v>
      </c>
      <c r="D734" s="47"/>
      <c r="E734" s="47"/>
      <c r="F734" s="47"/>
      <c r="G734" s="48"/>
      <c r="H734" s="47"/>
      <c r="I734" s="75">
        <f t="shared" si="22"/>
        <v>0</v>
      </c>
      <c r="J734" s="47"/>
      <c r="K734" s="288">
        <f t="shared" si="23"/>
        <v>0</v>
      </c>
    </row>
    <row r="735" spans="1:11" s="56" customFormat="1" ht="15.75" customHeight="1">
      <c r="A735" s="44"/>
      <c r="B735" s="45"/>
      <c r="C735" s="46">
        <f>IF(B735&lt;&gt;"",VLOOKUP(B735,'Tipo Projeto'!$A$3:$B$35,2,0),0)</f>
        <v>0</v>
      </c>
      <c r="D735" s="47"/>
      <c r="E735" s="47"/>
      <c r="F735" s="47"/>
      <c r="G735" s="48"/>
      <c r="H735" s="47"/>
      <c r="I735" s="75">
        <f t="shared" si="22"/>
        <v>0</v>
      </c>
      <c r="J735" s="47"/>
      <c r="K735" s="288">
        <f t="shared" si="23"/>
        <v>0</v>
      </c>
    </row>
    <row r="736" spans="1:11" s="56" customFormat="1" ht="15.75" customHeight="1">
      <c r="A736" s="44"/>
      <c r="B736" s="45"/>
      <c r="C736" s="46">
        <f>IF(B736&lt;&gt;"",VLOOKUP(B736,'Tipo Projeto'!$A$3:$B$35,2,0),0)</f>
        <v>0</v>
      </c>
      <c r="D736" s="47"/>
      <c r="E736" s="47"/>
      <c r="F736" s="47"/>
      <c r="G736" s="48"/>
      <c r="H736" s="47"/>
      <c r="I736" s="75">
        <f t="shared" si="22"/>
        <v>0</v>
      </c>
      <c r="J736" s="47"/>
      <c r="K736" s="288">
        <f t="shared" si="23"/>
        <v>0</v>
      </c>
    </row>
    <row r="737" spans="1:11" s="56" customFormat="1" ht="15.75" customHeight="1">
      <c r="A737" s="44"/>
      <c r="B737" s="45"/>
      <c r="C737" s="46">
        <f>IF(B737&lt;&gt;"",VLOOKUP(B737,'Tipo Projeto'!$A$3:$B$35,2,0),0)</f>
        <v>0</v>
      </c>
      <c r="D737" s="47"/>
      <c r="E737" s="47"/>
      <c r="F737" s="47"/>
      <c r="G737" s="48"/>
      <c r="H737" s="47"/>
      <c r="I737" s="75">
        <f t="shared" si="22"/>
        <v>0</v>
      </c>
      <c r="J737" s="47"/>
      <c r="K737" s="288">
        <f t="shared" si="23"/>
        <v>0</v>
      </c>
    </row>
    <row r="738" spans="1:11" s="56" customFormat="1" ht="15.75" customHeight="1">
      <c r="A738" s="44"/>
      <c r="B738" s="45"/>
      <c r="C738" s="46">
        <f>IF(B738&lt;&gt;"",VLOOKUP(B738,'Tipo Projeto'!$A$3:$B$35,2,0),0)</f>
        <v>0</v>
      </c>
      <c r="D738" s="47"/>
      <c r="E738" s="47"/>
      <c r="F738" s="47"/>
      <c r="G738" s="48"/>
      <c r="H738" s="47"/>
      <c r="I738" s="75">
        <f t="shared" si="22"/>
        <v>0</v>
      </c>
      <c r="J738" s="47"/>
      <c r="K738" s="288">
        <f t="shared" si="23"/>
        <v>0</v>
      </c>
    </row>
    <row r="739" spans="1:11" s="56" customFormat="1" ht="15.75" customHeight="1">
      <c r="A739" s="44"/>
      <c r="B739" s="45"/>
      <c r="C739" s="46">
        <f>IF(B739&lt;&gt;"",VLOOKUP(B739,'Tipo Projeto'!$A$3:$B$35,2,0),0)</f>
        <v>0</v>
      </c>
      <c r="D739" s="47"/>
      <c r="E739" s="47"/>
      <c r="F739" s="47"/>
      <c r="G739" s="48"/>
      <c r="H739" s="47"/>
      <c r="I739" s="75">
        <f t="shared" si="22"/>
        <v>0</v>
      </c>
      <c r="J739" s="47"/>
      <c r="K739" s="288">
        <f t="shared" si="23"/>
        <v>0</v>
      </c>
    </row>
    <row r="740" spans="1:11" s="56" customFormat="1" ht="15.75" customHeight="1">
      <c r="A740" s="44"/>
      <c r="B740" s="45"/>
      <c r="C740" s="46">
        <f>IF(B740&lt;&gt;"",VLOOKUP(B740,'Tipo Projeto'!$A$3:$B$35,2,0),0)</f>
        <v>0</v>
      </c>
      <c r="D740" s="47"/>
      <c r="E740" s="47"/>
      <c r="F740" s="47"/>
      <c r="G740" s="48"/>
      <c r="H740" s="47"/>
      <c r="I740" s="75">
        <f t="shared" si="22"/>
        <v>0</v>
      </c>
      <c r="J740" s="47"/>
      <c r="K740" s="288">
        <f t="shared" si="23"/>
        <v>0</v>
      </c>
    </row>
    <row r="741" spans="1:11" s="56" customFormat="1" ht="15.75" customHeight="1">
      <c r="A741" s="44"/>
      <c r="B741" s="45"/>
      <c r="C741" s="46">
        <f>IF(B741&lt;&gt;"",VLOOKUP(B741,'Tipo Projeto'!$A$3:$B$35,2,0),0)</f>
        <v>0</v>
      </c>
      <c r="D741" s="47"/>
      <c r="E741" s="47"/>
      <c r="F741" s="47"/>
      <c r="G741" s="48"/>
      <c r="H741" s="47"/>
      <c r="I741" s="75">
        <f t="shared" si="22"/>
        <v>0</v>
      </c>
      <c r="J741" s="47"/>
      <c r="K741" s="288">
        <f t="shared" si="23"/>
        <v>0</v>
      </c>
    </row>
    <row r="742" spans="1:11" s="56" customFormat="1" ht="15.75" customHeight="1">
      <c r="A742" s="44"/>
      <c r="B742" s="45"/>
      <c r="C742" s="46">
        <f>IF(B742&lt;&gt;"",VLOOKUP(B742,'Tipo Projeto'!$A$3:$B$35,2,0),0)</f>
        <v>0</v>
      </c>
      <c r="D742" s="47"/>
      <c r="E742" s="47"/>
      <c r="F742" s="47"/>
      <c r="G742" s="48"/>
      <c r="H742" s="47"/>
      <c r="I742" s="75">
        <f t="shared" si="22"/>
        <v>0</v>
      </c>
      <c r="J742" s="47"/>
      <c r="K742" s="288">
        <f t="shared" si="23"/>
        <v>0</v>
      </c>
    </row>
    <row r="743" spans="1:11" s="56" customFormat="1" ht="15.75" customHeight="1">
      <c r="A743" s="44"/>
      <c r="B743" s="45"/>
      <c r="C743" s="46">
        <f>IF(B743&lt;&gt;"",VLOOKUP(B743,'Tipo Projeto'!$A$3:$B$35,2,0),0)</f>
        <v>0</v>
      </c>
      <c r="D743" s="47"/>
      <c r="E743" s="47"/>
      <c r="F743" s="47"/>
      <c r="G743" s="48"/>
      <c r="H743" s="47"/>
      <c r="I743" s="75">
        <f t="shared" si="22"/>
        <v>0</v>
      </c>
      <c r="J743" s="47"/>
      <c r="K743" s="288">
        <f t="shared" si="23"/>
        <v>0</v>
      </c>
    </row>
    <row r="744" spans="1:11" s="56" customFormat="1" ht="15.75" customHeight="1">
      <c r="A744" s="44"/>
      <c r="B744" s="45"/>
      <c r="C744" s="46">
        <f>IF(B744&lt;&gt;"",VLOOKUP(B744,'Tipo Projeto'!$A$3:$B$35,2,0),0)</f>
        <v>0</v>
      </c>
      <c r="D744" s="47"/>
      <c r="E744" s="47"/>
      <c r="F744" s="47"/>
      <c r="G744" s="48"/>
      <c r="H744" s="47"/>
      <c r="I744" s="75">
        <f t="shared" si="22"/>
        <v>0</v>
      </c>
      <c r="J744" s="47"/>
      <c r="K744" s="288">
        <f t="shared" si="23"/>
        <v>0</v>
      </c>
    </row>
    <row r="745" spans="1:11" s="56" customFormat="1" ht="15.75" customHeight="1">
      <c r="A745" s="44"/>
      <c r="B745" s="45"/>
      <c r="C745" s="46">
        <f>IF(B745&lt;&gt;"",VLOOKUP(B745,'Tipo Projeto'!$A$3:$B$35,2,0),0)</f>
        <v>0</v>
      </c>
      <c r="D745" s="47"/>
      <c r="E745" s="47"/>
      <c r="F745" s="47"/>
      <c r="G745" s="48"/>
      <c r="H745" s="47"/>
      <c r="I745" s="75">
        <f t="shared" si="22"/>
        <v>0</v>
      </c>
      <c r="J745" s="47"/>
      <c r="K745" s="288">
        <f t="shared" si="23"/>
        <v>0</v>
      </c>
    </row>
    <row r="746" spans="1:11" s="56" customFormat="1" ht="15.75" customHeight="1">
      <c r="A746" s="44"/>
      <c r="B746" s="45"/>
      <c r="C746" s="46">
        <f>IF(B746&lt;&gt;"",VLOOKUP(B746,'Tipo Projeto'!$A$3:$B$35,2,0),0)</f>
        <v>0</v>
      </c>
      <c r="D746" s="47"/>
      <c r="E746" s="47"/>
      <c r="F746" s="47"/>
      <c r="G746" s="48"/>
      <c r="H746" s="47"/>
      <c r="I746" s="75">
        <f t="shared" si="22"/>
        <v>0</v>
      </c>
      <c r="J746" s="47"/>
      <c r="K746" s="288">
        <f t="shared" si="23"/>
        <v>0</v>
      </c>
    </row>
    <row r="747" spans="1:11" s="56" customFormat="1" ht="15.75" customHeight="1">
      <c r="A747" s="44"/>
      <c r="B747" s="45"/>
      <c r="C747" s="46">
        <f>IF(B747&lt;&gt;"",VLOOKUP(B747,'Tipo Projeto'!$A$3:$B$35,2,0),0)</f>
        <v>0</v>
      </c>
      <c r="D747" s="47"/>
      <c r="E747" s="47"/>
      <c r="F747" s="47"/>
      <c r="G747" s="48"/>
      <c r="H747" s="47"/>
      <c r="I747" s="75">
        <f t="shared" si="22"/>
        <v>0</v>
      </c>
      <c r="J747" s="47"/>
      <c r="K747" s="288">
        <f t="shared" si="23"/>
        <v>0</v>
      </c>
    </row>
    <row r="748" spans="1:11" s="56" customFormat="1" ht="15.75" customHeight="1">
      <c r="A748" s="44"/>
      <c r="B748" s="45"/>
      <c r="C748" s="46">
        <f>IF(B748&lt;&gt;"",VLOOKUP(B748,'Tipo Projeto'!$A$3:$B$35,2,0),0)</f>
        <v>0</v>
      </c>
      <c r="D748" s="47"/>
      <c r="E748" s="47"/>
      <c r="F748" s="47"/>
      <c r="G748" s="48"/>
      <c r="H748" s="47"/>
      <c r="I748" s="75">
        <f t="shared" si="22"/>
        <v>0</v>
      </c>
      <c r="J748" s="47"/>
      <c r="K748" s="288">
        <f t="shared" si="23"/>
        <v>0</v>
      </c>
    </row>
    <row r="749" spans="1:11" s="56" customFormat="1" ht="15.75" customHeight="1">
      <c r="A749" s="44"/>
      <c r="B749" s="45"/>
      <c r="C749" s="46">
        <f>IF(B749&lt;&gt;"",VLOOKUP(B749,'Tipo Projeto'!$A$3:$B$35,2,0),0)</f>
        <v>0</v>
      </c>
      <c r="D749" s="47"/>
      <c r="E749" s="47"/>
      <c r="F749" s="47"/>
      <c r="G749" s="48"/>
      <c r="H749" s="47"/>
      <c r="I749" s="75">
        <f t="shared" si="22"/>
        <v>0</v>
      </c>
      <c r="J749" s="47"/>
      <c r="K749" s="288">
        <f t="shared" si="23"/>
        <v>0</v>
      </c>
    </row>
    <row r="750" spans="1:11" s="56" customFormat="1" ht="15.75" customHeight="1">
      <c r="A750" s="44"/>
      <c r="B750" s="45"/>
      <c r="C750" s="46">
        <f>IF(B750&lt;&gt;"",VLOOKUP(B750,'Tipo Projeto'!$A$3:$B$35,2,0),0)</f>
        <v>0</v>
      </c>
      <c r="D750" s="47"/>
      <c r="E750" s="47"/>
      <c r="F750" s="47"/>
      <c r="G750" s="48"/>
      <c r="H750" s="47"/>
      <c r="I750" s="75">
        <f t="shared" si="22"/>
        <v>0</v>
      </c>
      <c r="J750" s="47"/>
      <c r="K750" s="288">
        <f t="shared" si="23"/>
        <v>0</v>
      </c>
    </row>
    <row r="751" spans="1:11" s="56" customFormat="1" ht="15.75" customHeight="1">
      <c r="A751" s="44"/>
      <c r="B751" s="45"/>
      <c r="C751" s="46">
        <f>IF(B751&lt;&gt;"",VLOOKUP(B751,'Tipo Projeto'!$A$3:$B$35,2,0),0)</f>
        <v>0</v>
      </c>
      <c r="D751" s="47"/>
      <c r="E751" s="47"/>
      <c r="F751" s="47"/>
      <c r="G751" s="48"/>
      <c r="H751" s="47"/>
      <c r="I751" s="75">
        <f t="shared" si="22"/>
        <v>0</v>
      </c>
      <c r="J751" s="47"/>
      <c r="K751" s="288">
        <f t="shared" si="23"/>
        <v>0</v>
      </c>
    </row>
    <row r="752" spans="1:11" s="56" customFormat="1" ht="15.75" customHeight="1">
      <c r="A752" s="44"/>
      <c r="B752" s="45"/>
      <c r="C752" s="46">
        <f>IF(B752&lt;&gt;"",VLOOKUP(B752,'Tipo Projeto'!$A$3:$B$35,2,0),0)</f>
        <v>0</v>
      </c>
      <c r="D752" s="47"/>
      <c r="E752" s="47"/>
      <c r="F752" s="47"/>
      <c r="G752" s="48"/>
      <c r="H752" s="47"/>
      <c r="I752" s="75">
        <f t="shared" si="22"/>
        <v>0</v>
      </c>
      <c r="J752" s="47"/>
      <c r="K752" s="288">
        <f t="shared" si="23"/>
        <v>0</v>
      </c>
    </row>
    <row r="753" spans="1:11" s="56" customFormat="1" ht="15.75" customHeight="1">
      <c r="A753" s="44"/>
      <c r="B753" s="45"/>
      <c r="C753" s="46">
        <f>IF(B753&lt;&gt;"",VLOOKUP(B753,'Tipo Projeto'!$A$3:$B$35,2,0),0)</f>
        <v>0</v>
      </c>
      <c r="D753" s="47"/>
      <c r="E753" s="47"/>
      <c r="F753" s="47"/>
      <c r="G753" s="48"/>
      <c r="H753" s="47"/>
      <c r="I753" s="75">
        <f t="shared" si="22"/>
        <v>0</v>
      </c>
      <c r="J753" s="47"/>
      <c r="K753" s="288">
        <f t="shared" si="23"/>
        <v>0</v>
      </c>
    </row>
    <row r="754" spans="1:11" s="56" customFormat="1" ht="15.75" customHeight="1">
      <c r="A754" s="44"/>
      <c r="B754" s="45"/>
      <c r="C754" s="46">
        <f>IF(B754&lt;&gt;"",VLOOKUP(B754,'Tipo Projeto'!$A$3:$B$35,2,0),0)</f>
        <v>0</v>
      </c>
      <c r="D754" s="47"/>
      <c r="E754" s="47"/>
      <c r="F754" s="47"/>
      <c r="G754" s="48"/>
      <c r="H754" s="47"/>
      <c r="I754" s="75">
        <f t="shared" si="22"/>
        <v>0</v>
      </c>
      <c r="J754" s="47"/>
      <c r="K754" s="288">
        <f t="shared" si="23"/>
        <v>0</v>
      </c>
    </row>
    <row r="755" spans="1:11" s="56" customFormat="1" ht="15.75" customHeight="1">
      <c r="A755" s="44"/>
      <c r="B755" s="45"/>
      <c r="C755" s="46">
        <f>IF(B755&lt;&gt;"",VLOOKUP(B755,'Tipo Projeto'!$A$3:$B$35,2,0),0)</f>
        <v>0</v>
      </c>
      <c r="D755" s="47"/>
      <c r="E755" s="47"/>
      <c r="F755" s="47"/>
      <c r="G755" s="48"/>
      <c r="H755" s="47"/>
      <c r="I755" s="75">
        <f t="shared" si="22"/>
        <v>0</v>
      </c>
      <c r="J755" s="47"/>
      <c r="K755" s="288">
        <f t="shared" si="23"/>
        <v>0</v>
      </c>
    </row>
    <row r="756" spans="1:11" s="56" customFormat="1" ht="15.75" customHeight="1">
      <c r="A756" s="44"/>
      <c r="B756" s="45"/>
      <c r="C756" s="46">
        <f>IF(B756&lt;&gt;"",VLOOKUP(B756,'Tipo Projeto'!$A$3:$B$35,2,0),0)</f>
        <v>0</v>
      </c>
      <c r="D756" s="47"/>
      <c r="E756" s="47"/>
      <c r="F756" s="47"/>
      <c r="G756" s="48"/>
      <c r="H756" s="47"/>
      <c r="I756" s="75">
        <f t="shared" si="22"/>
        <v>0</v>
      </c>
      <c r="J756" s="47"/>
      <c r="K756" s="288">
        <f t="shared" si="23"/>
        <v>0</v>
      </c>
    </row>
    <row r="757" spans="1:11" s="56" customFormat="1" ht="15.75" customHeight="1">
      <c r="A757" s="44"/>
      <c r="B757" s="45"/>
      <c r="C757" s="46">
        <f>IF(B757&lt;&gt;"",VLOOKUP(B757,'Tipo Projeto'!$A$3:$B$35,2,0),0)</f>
        <v>0</v>
      </c>
      <c r="D757" s="47"/>
      <c r="E757" s="47"/>
      <c r="F757" s="47"/>
      <c r="G757" s="48"/>
      <c r="H757" s="47"/>
      <c r="I757" s="75">
        <f t="shared" si="22"/>
        <v>0</v>
      </c>
      <c r="J757" s="47"/>
      <c r="K757" s="288">
        <f t="shared" si="23"/>
        <v>0</v>
      </c>
    </row>
    <row r="758" spans="1:11" s="56" customFormat="1" ht="15.75" customHeight="1">
      <c r="A758" s="44"/>
      <c r="B758" s="45"/>
      <c r="C758" s="46">
        <f>IF(B758&lt;&gt;"",VLOOKUP(B758,'Tipo Projeto'!$A$3:$B$35,2,0),0)</f>
        <v>0</v>
      </c>
      <c r="D758" s="47"/>
      <c r="E758" s="47"/>
      <c r="F758" s="47"/>
      <c r="G758" s="48"/>
      <c r="H758" s="47"/>
      <c r="I758" s="75">
        <f t="shared" si="22"/>
        <v>0</v>
      </c>
      <c r="J758" s="47"/>
      <c r="K758" s="288">
        <f t="shared" si="23"/>
        <v>0</v>
      </c>
    </row>
    <row r="759" spans="1:11" s="56" customFormat="1" ht="15.75" customHeight="1">
      <c r="A759" s="44"/>
      <c r="B759" s="45"/>
      <c r="C759" s="46">
        <f>IF(B759&lt;&gt;"",VLOOKUP(B759,'Tipo Projeto'!$A$3:$B$35,2,0),0)</f>
        <v>0</v>
      </c>
      <c r="D759" s="47"/>
      <c r="E759" s="47"/>
      <c r="F759" s="47"/>
      <c r="G759" s="48"/>
      <c r="H759" s="47"/>
      <c r="I759" s="75">
        <f t="shared" si="22"/>
        <v>0</v>
      </c>
      <c r="J759" s="47"/>
      <c r="K759" s="288">
        <f t="shared" si="23"/>
        <v>0</v>
      </c>
    </row>
    <row r="760" spans="1:11" s="56" customFormat="1" ht="15.75" customHeight="1">
      <c r="A760" s="44"/>
      <c r="B760" s="45"/>
      <c r="C760" s="46">
        <f>IF(B760&lt;&gt;"",VLOOKUP(B760,'Tipo Projeto'!$A$3:$B$35,2,0),0)</f>
        <v>0</v>
      </c>
      <c r="D760" s="47"/>
      <c r="E760" s="47"/>
      <c r="F760" s="47"/>
      <c r="G760" s="48"/>
      <c r="H760" s="47"/>
      <c r="I760" s="75">
        <f t="shared" si="22"/>
        <v>0</v>
      </c>
      <c r="J760" s="47"/>
      <c r="K760" s="288">
        <f t="shared" si="23"/>
        <v>0</v>
      </c>
    </row>
    <row r="761" spans="1:11" s="56" customFormat="1" ht="15.75" customHeight="1">
      <c r="A761" s="44"/>
      <c r="B761" s="45"/>
      <c r="C761" s="46">
        <f>IF(B761&lt;&gt;"",VLOOKUP(B761,'Tipo Projeto'!$A$3:$B$35,2,0),0)</f>
        <v>0</v>
      </c>
      <c r="D761" s="47"/>
      <c r="E761" s="47"/>
      <c r="F761" s="47"/>
      <c r="G761" s="48"/>
      <c r="H761" s="47"/>
      <c r="I761" s="75">
        <f t="shared" si="22"/>
        <v>0</v>
      </c>
      <c r="J761" s="47"/>
      <c r="K761" s="288">
        <f t="shared" si="23"/>
        <v>0</v>
      </c>
    </row>
    <row r="762" spans="1:11" s="56" customFormat="1" ht="15.75" customHeight="1">
      <c r="A762" s="44"/>
      <c r="B762" s="45"/>
      <c r="C762" s="46">
        <f>IF(B762&lt;&gt;"",VLOOKUP(B762,'Tipo Projeto'!$A$3:$B$35,2,0),0)</f>
        <v>0</v>
      </c>
      <c r="D762" s="47"/>
      <c r="E762" s="47"/>
      <c r="F762" s="47"/>
      <c r="G762" s="48"/>
      <c r="H762" s="47"/>
      <c r="I762" s="75">
        <f t="shared" si="22"/>
        <v>0</v>
      </c>
      <c r="J762" s="47"/>
      <c r="K762" s="288">
        <f t="shared" si="23"/>
        <v>0</v>
      </c>
    </row>
    <row r="763" spans="1:11" s="56" customFormat="1" ht="15.75" customHeight="1">
      <c r="A763" s="44"/>
      <c r="B763" s="45"/>
      <c r="C763" s="46">
        <f>IF(B763&lt;&gt;"",VLOOKUP(B763,'Tipo Projeto'!$A$3:$B$35,2,0),0)</f>
        <v>0</v>
      </c>
      <c r="D763" s="47"/>
      <c r="E763" s="47"/>
      <c r="F763" s="47"/>
      <c r="G763" s="48"/>
      <c r="H763" s="47"/>
      <c r="I763" s="75">
        <f t="shared" si="22"/>
        <v>0</v>
      </c>
      <c r="J763" s="47"/>
      <c r="K763" s="288">
        <f t="shared" si="23"/>
        <v>0</v>
      </c>
    </row>
    <row r="764" spans="1:11" s="56" customFormat="1" ht="15.75" customHeight="1">
      <c r="A764" s="44"/>
      <c r="B764" s="45"/>
      <c r="C764" s="46">
        <f>IF(B764&lt;&gt;"",VLOOKUP(B764,'Tipo Projeto'!$A$3:$B$35,2,0),0)</f>
        <v>0</v>
      </c>
      <c r="D764" s="47"/>
      <c r="E764" s="47"/>
      <c r="F764" s="47"/>
      <c r="G764" s="48"/>
      <c r="H764" s="47"/>
      <c r="I764" s="75">
        <f t="shared" si="22"/>
        <v>0</v>
      </c>
      <c r="J764" s="47"/>
      <c r="K764" s="288">
        <f t="shared" si="23"/>
        <v>0</v>
      </c>
    </row>
    <row r="765" spans="1:11" s="56" customFormat="1" ht="15.75" customHeight="1">
      <c r="A765" s="44"/>
      <c r="B765" s="45"/>
      <c r="C765" s="46">
        <f>IF(B765&lt;&gt;"",VLOOKUP(B765,'Tipo Projeto'!$A$3:$B$35,2,0),0)</f>
        <v>0</v>
      </c>
      <c r="D765" s="47"/>
      <c r="E765" s="47"/>
      <c r="F765" s="47"/>
      <c r="G765" s="48"/>
      <c r="H765" s="47"/>
      <c r="I765" s="75">
        <f t="shared" si="22"/>
        <v>0</v>
      </c>
      <c r="J765" s="47"/>
      <c r="K765" s="288">
        <f t="shared" si="23"/>
        <v>0</v>
      </c>
    </row>
    <row r="766" spans="1:11" s="56" customFormat="1" ht="15.75" customHeight="1">
      <c r="A766" s="44"/>
      <c r="B766" s="45"/>
      <c r="C766" s="46">
        <f>IF(B766&lt;&gt;"",VLOOKUP(B766,'Tipo Projeto'!$A$3:$B$35,2,0),0)</f>
        <v>0</v>
      </c>
      <c r="D766" s="47"/>
      <c r="E766" s="47"/>
      <c r="F766" s="47"/>
      <c r="G766" s="48"/>
      <c r="H766" s="47"/>
      <c r="I766" s="75">
        <f t="shared" ref="I766:I829" si="24">IF(B766&lt;&gt;"Manutenção em interface",IF(B766&lt;&gt;"Desenv., Manutenção e Publicação de Páginas Estáticas",IF(H766="EE",4,IF(H766="CE",4,IF(H766="SE",5,IF(H766="ALI",7,IF(H766="AIE",5,0)))))*C766,C766),C766)</f>
        <v>0</v>
      </c>
      <c r="J766" s="47"/>
      <c r="K766" s="288">
        <f t="shared" si="23"/>
        <v>0</v>
      </c>
    </row>
    <row r="767" spans="1:11" s="56" customFormat="1" ht="15.75" customHeight="1">
      <c r="A767" s="44"/>
      <c r="B767" s="45"/>
      <c r="C767" s="46">
        <f>IF(B767&lt;&gt;"",VLOOKUP(B767,'Tipo Projeto'!$A$3:$B$35,2,0),0)</f>
        <v>0</v>
      </c>
      <c r="D767" s="47"/>
      <c r="E767" s="47"/>
      <c r="F767" s="47"/>
      <c r="G767" s="48"/>
      <c r="H767" s="47"/>
      <c r="I767" s="75">
        <f t="shared" si="24"/>
        <v>0</v>
      </c>
      <c r="J767" s="47"/>
      <c r="K767" s="288">
        <f t="shared" si="23"/>
        <v>0</v>
      </c>
    </row>
    <row r="768" spans="1:11" s="56" customFormat="1" ht="15.75" customHeight="1">
      <c r="A768" s="44"/>
      <c r="B768" s="45"/>
      <c r="C768" s="46">
        <f>IF(B768&lt;&gt;"",VLOOKUP(B768,'Tipo Projeto'!$A$3:$B$35,2,0),0)</f>
        <v>0</v>
      </c>
      <c r="D768" s="47"/>
      <c r="E768" s="47"/>
      <c r="F768" s="47"/>
      <c r="G768" s="48"/>
      <c r="H768" s="47"/>
      <c r="I768" s="75">
        <f t="shared" si="24"/>
        <v>0</v>
      </c>
      <c r="J768" s="47"/>
      <c r="K768" s="288">
        <f t="shared" si="23"/>
        <v>0</v>
      </c>
    </row>
    <row r="769" spans="1:11" s="56" customFormat="1" ht="15.75" customHeight="1">
      <c r="A769" s="44"/>
      <c r="B769" s="45"/>
      <c r="C769" s="46">
        <f>IF(B769&lt;&gt;"",VLOOKUP(B769,'Tipo Projeto'!$A$3:$B$35,2,0),0)</f>
        <v>0</v>
      </c>
      <c r="D769" s="47"/>
      <c r="E769" s="47"/>
      <c r="F769" s="47"/>
      <c r="G769" s="48"/>
      <c r="H769" s="47"/>
      <c r="I769" s="75">
        <f t="shared" si="24"/>
        <v>0</v>
      </c>
      <c r="J769" s="47"/>
      <c r="K769" s="288">
        <f t="shared" si="23"/>
        <v>0</v>
      </c>
    </row>
    <row r="770" spans="1:11" s="56" customFormat="1" ht="15.75" customHeight="1">
      <c r="A770" s="44"/>
      <c r="B770" s="45"/>
      <c r="C770" s="46">
        <f>IF(B770&lt;&gt;"",VLOOKUP(B770,'Tipo Projeto'!$A$3:$B$35,2,0),0)</f>
        <v>0</v>
      </c>
      <c r="D770" s="47"/>
      <c r="E770" s="47"/>
      <c r="F770" s="47"/>
      <c r="G770" s="48"/>
      <c r="H770" s="47"/>
      <c r="I770" s="75">
        <f t="shared" si="24"/>
        <v>0</v>
      </c>
      <c r="J770" s="47"/>
      <c r="K770" s="288">
        <f t="shared" si="23"/>
        <v>0</v>
      </c>
    </row>
    <row r="771" spans="1:11" s="56" customFormat="1" ht="15.75" customHeight="1">
      <c r="A771" s="44"/>
      <c r="B771" s="45"/>
      <c r="C771" s="46">
        <f>IF(B771&lt;&gt;"",VLOOKUP(B771,'Tipo Projeto'!$A$3:$B$35,2,0),0)</f>
        <v>0</v>
      </c>
      <c r="D771" s="47"/>
      <c r="E771" s="47"/>
      <c r="F771" s="47"/>
      <c r="G771" s="48"/>
      <c r="H771" s="47"/>
      <c r="I771" s="75">
        <f t="shared" si="24"/>
        <v>0</v>
      </c>
      <c r="J771" s="47"/>
      <c r="K771" s="288">
        <f t="shared" si="23"/>
        <v>0</v>
      </c>
    </row>
    <row r="772" spans="1:11" s="56" customFormat="1" ht="15.75" customHeight="1">
      <c r="A772" s="44"/>
      <c r="B772" s="45"/>
      <c r="C772" s="46">
        <f>IF(B772&lt;&gt;"",VLOOKUP(B772,'Tipo Projeto'!$A$3:$B$35,2,0),0)</f>
        <v>0</v>
      </c>
      <c r="D772" s="47"/>
      <c r="E772" s="47"/>
      <c r="F772" s="47"/>
      <c r="G772" s="48"/>
      <c r="H772" s="47"/>
      <c r="I772" s="75">
        <f t="shared" si="24"/>
        <v>0</v>
      </c>
      <c r="J772" s="47"/>
      <c r="K772" s="288">
        <f t="shared" si="23"/>
        <v>0</v>
      </c>
    </row>
    <row r="773" spans="1:11" s="56" customFormat="1" ht="15.75" customHeight="1">
      <c r="A773" s="44"/>
      <c r="B773" s="45"/>
      <c r="C773" s="46">
        <f>IF(B773&lt;&gt;"",VLOOKUP(B773,'Tipo Projeto'!$A$3:$B$35,2,0),0)</f>
        <v>0</v>
      </c>
      <c r="D773" s="47"/>
      <c r="E773" s="47"/>
      <c r="F773" s="47"/>
      <c r="G773" s="48"/>
      <c r="H773" s="47"/>
      <c r="I773" s="75">
        <f t="shared" si="24"/>
        <v>0</v>
      </c>
      <c r="J773" s="47"/>
      <c r="K773" s="288">
        <f t="shared" si="23"/>
        <v>0</v>
      </c>
    </row>
    <row r="774" spans="1:11" s="56" customFormat="1" ht="15.75" customHeight="1">
      <c r="A774" s="44"/>
      <c r="B774" s="45"/>
      <c r="C774" s="46">
        <f>IF(B774&lt;&gt;"",VLOOKUP(B774,'Tipo Projeto'!$A$3:$B$35,2,0),0)</f>
        <v>0</v>
      </c>
      <c r="D774" s="47"/>
      <c r="E774" s="47"/>
      <c r="F774" s="47"/>
      <c r="G774" s="48"/>
      <c r="H774" s="47"/>
      <c r="I774" s="75">
        <f t="shared" si="24"/>
        <v>0</v>
      </c>
      <c r="J774" s="47"/>
      <c r="K774" s="288">
        <f t="shared" si="23"/>
        <v>0</v>
      </c>
    </row>
    <row r="775" spans="1:11" s="56" customFormat="1" ht="15.75" customHeight="1">
      <c r="A775" s="44"/>
      <c r="B775" s="45"/>
      <c r="C775" s="46">
        <f>IF(B775&lt;&gt;"",VLOOKUP(B775,'Tipo Projeto'!$A$3:$B$35,2,0),0)</f>
        <v>0</v>
      </c>
      <c r="D775" s="47"/>
      <c r="E775" s="47"/>
      <c r="F775" s="47"/>
      <c r="G775" s="48"/>
      <c r="H775" s="47"/>
      <c r="I775" s="75">
        <f t="shared" si="24"/>
        <v>0</v>
      </c>
      <c r="J775" s="47"/>
      <c r="K775" s="288">
        <f t="shared" si="23"/>
        <v>0</v>
      </c>
    </row>
    <row r="776" spans="1:11" s="56" customFormat="1" ht="15.75" customHeight="1">
      <c r="A776" s="44"/>
      <c r="B776" s="45"/>
      <c r="C776" s="46">
        <f>IF(B776&lt;&gt;"",VLOOKUP(B776,'Tipo Projeto'!$A$3:$B$35,2,0),0)</f>
        <v>0</v>
      </c>
      <c r="D776" s="47"/>
      <c r="E776" s="47"/>
      <c r="F776" s="47"/>
      <c r="G776" s="48"/>
      <c r="H776" s="47"/>
      <c r="I776" s="75">
        <f t="shared" si="24"/>
        <v>0</v>
      </c>
      <c r="J776" s="47"/>
      <c r="K776" s="288">
        <f t="shared" si="23"/>
        <v>0</v>
      </c>
    </row>
    <row r="777" spans="1:11" s="56" customFormat="1" ht="15.75" customHeight="1">
      <c r="A777" s="44"/>
      <c r="B777" s="45"/>
      <c r="C777" s="46">
        <f>IF(B777&lt;&gt;"",VLOOKUP(B777,'Tipo Projeto'!$A$3:$B$35,2,0),0)</f>
        <v>0</v>
      </c>
      <c r="D777" s="47"/>
      <c r="E777" s="47"/>
      <c r="F777" s="47"/>
      <c r="G777" s="48"/>
      <c r="H777" s="47"/>
      <c r="I777" s="75">
        <f t="shared" si="24"/>
        <v>0</v>
      </c>
      <c r="J777" s="47"/>
      <c r="K777" s="288">
        <f t="shared" si="23"/>
        <v>0</v>
      </c>
    </row>
    <row r="778" spans="1:11" s="56" customFormat="1" ht="15.75" customHeight="1">
      <c r="A778" s="44"/>
      <c r="B778" s="45"/>
      <c r="C778" s="46">
        <f>IF(B778&lt;&gt;"",VLOOKUP(B778,'Tipo Projeto'!$A$3:$B$35,2,0),0)</f>
        <v>0</v>
      </c>
      <c r="D778" s="47"/>
      <c r="E778" s="47"/>
      <c r="F778" s="47"/>
      <c r="G778" s="48"/>
      <c r="H778" s="47"/>
      <c r="I778" s="75">
        <f t="shared" si="24"/>
        <v>0</v>
      </c>
      <c r="J778" s="47"/>
      <c r="K778" s="288">
        <f t="shared" si="23"/>
        <v>0</v>
      </c>
    </row>
    <row r="779" spans="1:11" s="56" customFormat="1" ht="15.75" customHeight="1">
      <c r="A779" s="44"/>
      <c r="B779" s="45"/>
      <c r="C779" s="46">
        <f>IF(B779&lt;&gt;"",VLOOKUP(B779,'Tipo Projeto'!$A$3:$B$35,2,0),0)</f>
        <v>0</v>
      </c>
      <c r="D779" s="47"/>
      <c r="E779" s="47"/>
      <c r="F779" s="47"/>
      <c r="G779" s="48"/>
      <c r="H779" s="47"/>
      <c r="I779" s="75">
        <f t="shared" si="24"/>
        <v>0</v>
      </c>
      <c r="J779" s="47"/>
      <c r="K779" s="288">
        <f t="shared" si="23"/>
        <v>0</v>
      </c>
    </row>
    <row r="780" spans="1:11" s="56" customFormat="1" ht="15.75" customHeight="1">
      <c r="A780" s="44"/>
      <c r="B780" s="45"/>
      <c r="C780" s="46">
        <f>IF(B780&lt;&gt;"",VLOOKUP(B780,'Tipo Projeto'!$A$3:$B$35,2,0),0)</f>
        <v>0</v>
      </c>
      <c r="D780" s="47"/>
      <c r="E780" s="47"/>
      <c r="F780" s="47"/>
      <c r="G780" s="48"/>
      <c r="H780" s="47"/>
      <c r="I780" s="75">
        <f t="shared" si="24"/>
        <v>0</v>
      </c>
      <c r="J780" s="47"/>
      <c r="K780" s="288">
        <f t="shared" ref="K780:K843" si="25">IF(AND(C780&lt;&gt;0,I780&lt;&gt;0),I780/C780,0)</f>
        <v>0</v>
      </c>
    </row>
    <row r="781" spans="1:11" s="56" customFormat="1" ht="15.75" customHeight="1">
      <c r="A781" s="44"/>
      <c r="B781" s="45"/>
      <c r="C781" s="46">
        <f>IF(B781&lt;&gt;"",VLOOKUP(B781,'Tipo Projeto'!$A$3:$B$35,2,0),0)</f>
        <v>0</v>
      </c>
      <c r="D781" s="47"/>
      <c r="E781" s="47"/>
      <c r="F781" s="47"/>
      <c r="G781" s="48"/>
      <c r="H781" s="47"/>
      <c r="I781" s="75">
        <f t="shared" si="24"/>
        <v>0</v>
      </c>
      <c r="J781" s="47"/>
      <c r="K781" s="288">
        <f t="shared" si="25"/>
        <v>0</v>
      </c>
    </row>
    <row r="782" spans="1:11" s="56" customFormat="1" ht="15.75" customHeight="1">
      <c r="A782" s="44"/>
      <c r="B782" s="45"/>
      <c r="C782" s="46">
        <f>IF(B782&lt;&gt;"",VLOOKUP(B782,'Tipo Projeto'!$A$3:$B$35,2,0),0)</f>
        <v>0</v>
      </c>
      <c r="D782" s="47"/>
      <c r="E782" s="47"/>
      <c r="F782" s="47"/>
      <c r="G782" s="48"/>
      <c r="H782" s="47"/>
      <c r="I782" s="75">
        <f t="shared" si="24"/>
        <v>0</v>
      </c>
      <c r="J782" s="47"/>
      <c r="K782" s="288">
        <f t="shared" si="25"/>
        <v>0</v>
      </c>
    </row>
    <row r="783" spans="1:11" s="56" customFormat="1" ht="15.75" customHeight="1">
      <c r="A783" s="44"/>
      <c r="B783" s="45"/>
      <c r="C783" s="46">
        <f>IF(B783&lt;&gt;"",VLOOKUP(B783,'Tipo Projeto'!$A$3:$B$35,2,0),0)</f>
        <v>0</v>
      </c>
      <c r="D783" s="47"/>
      <c r="E783" s="47"/>
      <c r="F783" s="47"/>
      <c r="G783" s="48"/>
      <c r="H783" s="47"/>
      <c r="I783" s="75">
        <f t="shared" si="24"/>
        <v>0</v>
      </c>
      <c r="J783" s="47"/>
      <c r="K783" s="288">
        <f t="shared" si="25"/>
        <v>0</v>
      </c>
    </row>
    <row r="784" spans="1:11" s="56" customFormat="1" ht="15.75" customHeight="1">
      <c r="A784" s="44"/>
      <c r="B784" s="45"/>
      <c r="C784" s="46">
        <f>IF(B784&lt;&gt;"",VLOOKUP(B784,'Tipo Projeto'!$A$3:$B$35,2,0),0)</f>
        <v>0</v>
      </c>
      <c r="D784" s="47"/>
      <c r="E784" s="47"/>
      <c r="F784" s="47"/>
      <c r="G784" s="48"/>
      <c r="H784" s="47"/>
      <c r="I784" s="75">
        <f t="shared" si="24"/>
        <v>0</v>
      </c>
      <c r="J784" s="47"/>
      <c r="K784" s="288">
        <f t="shared" si="25"/>
        <v>0</v>
      </c>
    </row>
    <row r="785" spans="1:11" s="56" customFormat="1" ht="15.75" customHeight="1">
      <c r="A785" s="44"/>
      <c r="B785" s="45"/>
      <c r="C785" s="46">
        <f>IF(B785&lt;&gt;"",VLOOKUP(B785,'Tipo Projeto'!$A$3:$B$35,2,0),0)</f>
        <v>0</v>
      </c>
      <c r="D785" s="47"/>
      <c r="E785" s="47"/>
      <c r="F785" s="47"/>
      <c r="G785" s="48"/>
      <c r="H785" s="47"/>
      <c r="I785" s="75">
        <f t="shared" si="24"/>
        <v>0</v>
      </c>
      <c r="J785" s="47"/>
      <c r="K785" s="288">
        <f t="shared" si="25"/>
        <v>0</v>
      </c>
    </row>
    <row r="786" spans="1:11" s="56" customFormat="1" ht="15.75" customHeight="1">
      <c r="A786" s="44"/>
      <c r="B786" s="45"/>
      <c r="C786" s="46">
        <f>IF(B786&lt;&gt;"",VLOOKUP(B786,'Tipo Projeto'!$A$3:$B$35,2,0),0)</f>
        <v>0</v>
      </c>
      <c r="D786" s="47"/>
      <c r="E786" s="47"/>
      <c r="F786" s="47"/>
      <c r="G786" s="48"/>
      <c r="H786" s="47"/>
      <c r="I786" s="75">
        <f t="shared" si="24"/>
        <v>0</v>
      </c>
      <c r="J786" s="47"/>
      <c r="K786" s="288">
        <f t="shared" si="25"/>
        <v>0</v>
      </c>
    </row>
    <row r="787" spans="1:11" s="56" customFormat="1" ht="15.75" customHeight="1">
      <c r="A787" s="44"/>
      <c r="B787" s="45"/>
      <c r="C787" s="46">
        <f>IF(B787&lt;&gt;"",VLOOKUP(B787,'Tipo Projeto'!$A$3:$B$35,2,0),0)</f>
        <v>0</v>
      </c>
      <c r="D787" s="47"/>
      <c r="E787" s="47"/>
      <c r="F787" s="47"/>
      <c r="G787" s="48"/>
      <c r="H787" s="47"/>
      <c r="I787" s="75">
        <f t="shared" si="24"/>
        <v>0</v>
      </c>
      <c r="J787" s="47"/>
      <c r="K787" s="288">
        <f t="shared" si="25"/>
        <v>0</v>
      </c>
    </row>
    <row r="788" spans="1:11" s="56" customFormat="1" ht="15.75" customHeight="1">
      <c r="A788" s="44"/>
      <c r="B788" s="45"/>
      <c r="C788" s="46">
        <f>IF(B788&lt;&gt;"",VLOOKUP(B788,'Tipo Projeto'!$A$3:$B$35,2,0),0)</f>
        <v>0</v>
      </c>
      <c r="D788" s="47"/>
      <c r="E788" s="47"/>
      <c r="F788" s="47"/>
      <c r="G788" s="48"/>
      <c r="H788" s="47"/>
      <c r="I788" s="75">
        <f t="shared" si="24"/>
        <v>0</v>
      </c>
      <c r="J788" s="47"/>
      <c r="K788" s="288">
        <f t="shared" si="25"/>
        <v>0</v>
      </c>
    </row>
    <row r="789" spans="1:11" s="56" customFormat="1" ht="15.75" customHeight="1">
      <c r="A789" s="44"/>
      <c r="B789" s="45"/>
      <c r="C789" s="46">
        <f>IF(B789&lt;&gt;"",VLOOKUP(B789,'Tipo Projeto'!$A$3:$B$35,2,0),0)</f>
        <v>0</v>
      </c>
      <c r="D789" s="47"/>
      <c r="E789" s="47"/>
      <c r="F789" s="47"/>
      <c r="G789" s="48"/>
      <c r="H789" s="47"/>
      <c r="I789" s="75">
        <f t="shared" si="24"/>
        <v>0</v>
      </c>
      <c r="J789" s="47"/>
      <c r="K789" s="288">
        <f t="shared" si="25"/>
        <v>0</v>
      </c>
    </row>
    <row r="790" spans="1:11" s="56" customFormat="1" ht="15.75" customHeight="1">
      <c r="A790" s="44"/>
      <c r="B790" s="45"/>
      <c r="C790" s="46">
        <f>IF(B790&lt;&gt;"",VLOOKUP(B790,'Tipo Projeto'!$A$3:$B$35,2,0),0)</f>
        <v>0</v>
      </c>
      <c r="D790" s="47"/>
      <c r="E790" s="47"/>
      <c r="F790" s="47"/>
      <c r="G790" s="48"/>
      <c r="H790" s="47"/>
      <c r="I790" s="75">
        <f t="shared" si="24"/>
        <v>0</v>
      </c>
      <c r="J790" s="47"/>
      <c r="K790" s="288">
        <f t="shared" si="25"/>
        <v>0</v>
      </c>
    </row>
    <row r="791" spans="1:11" s="56" customFormat="1" ht="15.75" customHeight="1">
      <c r="A791" s="44"/>
      <c r="B791" s="45"/>
      <c r="C791" s="46">
        <f>IF(B791&lt;&gt;"",VLOOKUP(B791,'Tipo Projeto'!$A$3:$B$35,2,0),0)</f>
        <v>0</v>
      </c>
      <c r="D791" s="47"/>
      <c r="E791" s="47"/>
      <c r="F791" s="47"/>
      <c r="G791" s="48"/>
      <c r="H791" s="47"/>
      <c r="I791" s="75">
        <f t="shared" si="24"/>
        <v>0</v>
      </c>
      <c r="J791" s="47"/>
      <c r="K791" s="288">
        <f t="shared" si="25"/>
        <v>0</v>
      </c>
    </row>
    <row r="792" spans="1:11" s="56" customFormat="1" ht="15.75" customHeight="1">
      <c r="A792" s="44"/>
      <c r="B792" s="45"/>
      <c r="C792" s="46">
        <f>IF(B792&lt;&gt;"",VLOOKUP(B792,'Tipo Projeto'!$A$3:$B$35,2,0),0)</f>
        <v>0</v>
      </c>
      <c r="D792" s="47"/>
      <c r="E792" s="47"/>
      <c r="F792" s="47"/>
      <c r="G792" s="48"/>
      <c r="H792" s="47"/>
      <c r="I792" s="75">
        <f t="shared" si="24"/>
        <v>0</v>
      </c>
      <c r="J792" s="47"/>
      <c r="K792" s="288">
        <f t="shared" si="25"/>
        <v>0</v>
      </c>
    </row>
    <row r="793" spans="1:11" s="56" customFormat="1" ht="15.75" customHeight="1">
      <c r="A793" s="44"/>
      <c r="B793" s="45"/>
      <c r="C793" s="46">
        <f>IF(B793&lt;&gt;"",VLOOKUP(B793,'Tipo Projeto'!$A$3:$B$35,2,0),0)</f>
        <v>0</v>
      </c>
      <c r="D793" s="47"/>
      <c r="E793" s="47"/>
      <c r="F793" s="47"/>
      <c r="G793" s="48"/>
      <c r="H793" s="47"/>
      <c r="I793" s="75">
        <f t="shared" si="24"/>
        <v>0</v>
      </c>
      <c r="J793" s="47"/>
      <c r="K793" s="288">
        <f t="shared" si="25"/>
        <v>0</v>
      </c>
    </row>
    <row r="794" spans="1:11" s="56" customFormat="1" ht="15.75" customHeight="1">
      <c r="A794" s="44"/>
      <c r="B794" s="45"/>
      <c r="C794" s="46">
        <f>IF(B794&lt;&gt;"",VLOOKUP(B794,'Tipo Projeto'!$A$3:$B$35,2,0),0)</f>
        <v>0</v>
      </c>
      <c r="D794" s="47"/>
      <c r="E794" s="47"/>
      <c r="F794" s="47"/>
      <c r="G794" s="48"/>
      <c r="H794" s="47"/>
      <c r="I794" s="75">
        <f t="shared" si="24"/>
        <v>0</v>
      </c>
      <c r="J794" s="47"/>
      <c r="K794" s="288">
        <f t="shared" si="25"/>
        <v>0</v>
      </c>
    </row>
    <row r="795" spans="1:11" s="56" customFormat="1" ht="15.75" customHeight="1">
      <c r="A795" s="44"/>
      <c r="B795" s="45"/>
      <c r="C795" s="46">
        <f>IF(B795&lt;&gt;"",VLOOKUP(B795,'Tipo Projeto'!$A$3:$B$35,2,0),0)</f>
        <v>0</v>
      </c>
      <c r="D795" s="47"/>
      <c r="E795" s="47"/>
      <c r="F795" s="47"/>
      <c r="G795" s="48"/>
      <c r="H795" s="47"/>
      <c r="I795" s="75">
        <f t="shared" si="24"/>
        <v>0</v>
      </c>
      <c r="J795" s="47"/>
      <c r="K795" s="288">
        <f t="shared" si="25"/>
        <v>0</v>
      </c>
    </row>
    <row r="796" spans="1:11" s="56" customFormat="1" ht="15.75" customHeight="1">
      <c r="A796" s="44"/>
      <c r="B796" s="45"/>
      <c r="C796" s="46">
        <f>IF(B796&lt;&gt;"",VLOOKUP(B796,'Tipo Projeto'!$A$3:$B$35,2,0),0)</f>
        <v>0</v>
      </c>
      <c r="D796" s="47"/>
      <c r="E796" s="47"/>
      <c r="F796" s="47"/>
      <c r="G796" s="48"/>
      <c r="H796" s="47"/>
      <c r="I796" s="75">
        <f t="shared" si="24"/>
        <v>0</v>
      </c>
      <c r="J796" s="47"/>
      <c r="K796" s="288">
        <f t="shared" si="25"/>
        <v>0</v>
      </c>
    </row>
    <row r="797" spans="1:11" s="56" customFormat="1" ht="15.75" customHeight="1">
      <c r="A797" s="44"/>
      <c r="B797" s="45"/>
      <c r="C797" s="46">
        <f>IF(B797&lt;&gt;"",VLOOKUP(B797,'Tipo Projeto'!$A$3:$B$35,2,0),0)</f>
        <v>0</v>
      </c>
      <c r="D797" s="47"/>
      <c r="E797" s="47"/>
      <c r="F797" s="47"/>
      <c r="G797" s="48"/>
      <c r="H797" s="47"/>
      <c r="I797" s="75">
        <f t="shared" si="24"/>
        <v>0</v>
      </c>
      <c r="J797" s="47"/>
      <c r="K797" s="288">
        <f t="shared" si="25"/>
        <v>0</v>
      </c>
    </row>
    <row r="798" spans="1:11" s="56" customFormat="1" ht="15.75" customHeight="1">
      <c r="A798" s="44"/>
      <c r="B798" s="45"/>
      <c r="C798" s="46">
        <f>IF(B798&lt;&gt;"",VLOOKUP(B798,'Tipo Projeto'!$A$3:$B$35,2,0),0)</f>
        <v>0</v>
      </c>
      <c r="D798" s="47"/>
      <c r="E798" s="47"/>
      <c r="F798" s="47"/>
      <c r="G798" s="48"/>
      <c r="H798" s="47"/>
      <c r="I798" s="75">
        <f t="shared" si="24"/>
        <v>0</v>
      </c>
      <c r="J798" s="47"/>
      <c r="K798" s="288">
        <f t="shared" si="25"/>
        <v>0</v>
      </c>
    </row>
    <row r="799" spans="1:11" s="56" customFormat="1" ht="15.75" customHeight="1">
      <c r="A799" s="44"/>
      <c r="B799" s="45"/>
      <c r="C799" s="46">
        <f>IF(B799&lt;&gt;"",VLOOKUP(B799,'Tipo Projeto'!$A$3:$B$35,2,0),0)</f>
        <v>0</v>
      </c>
      <c r="D799" s="47"/>
      <c r="E799" s="47"/>
      <c r="F799" s="47"/>
      <c r="G799" s="48"/>
      <c r="H799" s="47"/>
      <c r="I799" s="75">
        <f t="shared" si="24"/>
        <v>0</v>
      </c>
      <c r="J799" s="47"/>
      <c r="K799" s="288">
        <f t="shared" si="25"/>
        <v>0</v>
      </c>
    </row>
    <row r="800" spans="1:11" s="56" customFormat="1" ht="15.75" customHeight="1">
      <c r="A800" s="44"/>
      <c r="B800" s="45"/>
      <c r="C800" s="46">
        <f>IF(B800&lt;&gt;"",VLOOKUP(B800,'Tipo Projeto'!$A$3:$B$35,2,0),0)</f>
        <v>0</v>
      </c>
      <c r="D800" s="47"/>
      <c r="E800" s="47"/>
      <c r="F800" s="47"/>
      <c r="G800" s="48"/>
      <c r="H800" s="47"/>
      <c r="I800" s="75">
        <f t="shared" si="24"/>
        <v>0</v>
      </c>
      <c r="J800" s="47"/>
      <c r="K800" s="288">
        <f t="shared" si="25"/>
        <v>0</v>
      </c>
    </row>
    <row r="801" spans="1:11" s="56" customFormat="1" ht="15.75" customHeight="1">
      <c r="A801" s="44"/>
      <c r="B801" s="45"/>
      <c r="C801" s="46">
        <f>IF(B801&lt;&gt;"",VLOOKUP(B801,'Tipo Projeto'!$A$3:$B$35,2,0),0)</f>
        <v>0</v>
      </c>
      <c r="D801" s="47"/>
      <c r="E801" s="47"/>
      <c r="F801" s="47"/>
      <c r="G801" s="48"/>
      <c r="H801" s="47"/>
      <c r="I801" s="75">
        <f t="shared" si="24"/>
        <v>0</v>
      </c>
      <c r="J801" s="47"/>
      <c r="K801" s="288">
        <f t="shared" si="25"/>
        <v>0</v>
      </c>
    </row>
    <row r="802" spans="1:11" s="56" customFormat="1" ht="15.75" customHeight="1">
      <c r="A802" s="44"/>
      <c r="B802" s="45"/>
      <c r="C802" s="46">
        <f>IF(B802&lt;&gt;"",VLOOKUP(B802,'Tipo Projeto'!$A$3:$B$35,2,0),0)</f>
        <v>0</v>
      </c>
      <c r="D802" s="47"/>
      <c r="E802" s="47"/>
      <c r="F802" s="47"/>
      <c r="G802" s="48"/>
      <c r="H802" s="47"/>
      <c r="I802" s="75">
        <f t="shared" si="24"/>
        <v>0</v>
      </c>
      <c r="J802" s="47"/>
      <c r="K802" s="288">
        <f t="shared" si="25"/>
        <v>0</v>
      </c>
    </row>
    <row r="803" spans="1:11" s="56" customFormat="1" ht="15.75" customHeight="1">
      <c r="A803" s="44"/>
      <c r="B803" s="45"/>
      <c r="C803" s="46">
        <f>IF(B803&lt;&gt;"",VLOOKUP(B803,'Tipo Projeto'!$A$3:$B$35,2,0),0)</f>
        <v>0</v>
      </c>
      <c r="D803" s="47"/>
      <c r="E803" s="47"/>
      <c r="F803" s="47"/>
      <c r="G803" s="48"/>
      <c r="H803" s="47"/>
      <c r="I803" s="75">
        <f t="shared" si="24"/>
        <v>0</v>
      </c>
      <c r="J803" s="47"/>
      <c r="K803" s="288">
        <f t="shared" si="25"/>
        <v>0</v>
      </c>
    </row>
    <row r="804" spans="1:11" s="56" customFormat="1" ht="15.75" customHeight="1">
      <c r="A804" s="44"/>
      <c r="B804" s="45"/>
      <c r="C804" s="46">
        <f>IF(B804&lt;&gt;"",VLOOKUP(B804,'Tipo Projeto'!$A$3:$B$35,2,0),0)</f>
        <v>0</v>
      </c>
      <c r="D804" s="47"/>
      <c r="E804" s="47"/>
      <c r="F804" s="47"/>
      <c r="G804" s="48"/>
      <c r="H804" s="47"/>
      <c r="I804" s="75">
        <f t="shared" si="24"/>
        <v>0</v>
      </c>
      <c r="J804" s="47"/>
      <c r="K804" s="288">
        <f t="shared" si="25"/>
        <v>0</v>
      </c>
    </row>
    <row r="805" spans="1:11" s="56" customFormat="1" ht="15.75" customHeight="1">
      <c r="A805" s="44"/>
      <c r="B805" s="45"/>
      <c r="C805" s="46">
        <f>IF(B805&lt;&gt;"",VLOOKUP(B805,'Tipo Projeto'!$A$3:$B$35,2,0),0)</f>
        <v>0</v>
      </c>
      <c r="D805" s="47"/>
      <c r="E805" s="47"/>
      <c r="F805" s="47"/>
      <c r="G805" s="48"/>
      <c r="H805" s="47"/>
      <c r="I805" s="75">
        <f t="shared" si="24"/>
        <v>0</v>
      </c>
      <c r="J805" s="47"/>
      <c r="K805" s="288">
        <f t="shared" si="25"/>
        <v>0</v>
      </c>
    </row>
    <row r="806" spans="1:11" s="56" customFormat="1" ht="15.75" customHeight="1">
      <c r="A806" s="44"/>
      <c r="B806" s="45"/>
      <c r="C806" s="46">
        <f>IF(B806&lt;&gt;"",VLOOKUP(B806,'Tipo Projeto'!$A$3:$B$35,2,0),0)</f>
        <v>0</v>
      </c>
      <c r="D806" s="47"/>
      <c r="E806" s="47"/>
      <c r="F806" s="47"/>
      <c r="G806" s="48"/>
      <c r="H806" s="47"/>
      <c r="I806" s="75">
        <f t="shared" si="24"/>
        <v>0</v>
      </c>
      <c r="J806" s="47"/>
      <c r="K806" s="288">
        <f t="shared" si="25"/>
        <v>0</v>
      </c>
    </row>
    <row r="807" spans="1:11" s="56" customFormat="1" ht="15.75" customHeight="1">
      <c r="A807" s="44"/>
      <c r="B807" s="45"/>
      <c r="C807" s="46">
        <f>IF(B807&lt;&gt;"",VLOOKUP(B807,'Tipo Projeto'!$A$3:$B$35,2,0),0)</f>
        <v>0</v>
      </c>
      <c r="D807" s="47"/>
      <c r="E807" s="47"/>
      <c r="F807" s="47"/>
      <c r="G807" s="48"/>
      <c r="H807" s="47"/>
      <c r="I807" s="75">
        <f t="shared" si="24"/>
        <v>0</v>
      </c>
      <c r="J807" s="47"/>
      <c r="K807" s="288">
        <f t="shared" si="25"/>
        <v>0</v>
      </c>
    </row>
    <row r="808" spans="1:11" s="56" customFormat="1" ht="15.75" customHeight="1">
      <c r="A808" s="44"/>
      <c r="B808" s="45"/>
      <c r="C808" s="46">
        <f>IF(B808&lt;&gt;"",VLOOKUP(B808,'Tipo Projeto'!$A$3:$B$35,2,0),0)</f>
        <v>0</v>
      </c>
      <c r="D808" s="47"/>
      <c r="E808" s="47"/>
      <c r="F808" s="47"/>
      <c r="G808" s="48"/>
      <c r="H808" s="47"/>
      <c r="I808" s="75">
        <f t="shared" si="24"/>
        <v>0</v>
      </c>
      <c r="J808" s="47"/>
      <c r="K808" s="288">
        <f t="shared" si="25"/>
        <v>0</v>
      </c>
    </row>
    <row r="809" spans="1:11" s="56" customFormat="1" ht="15.75" customHeight="1">
      <c r="A809" s="44"/>
      <c r="B809" s="45"/>
      <c r="C809" s="46">
        <f>IF(B809&lt;&gt;"",VLOOKUP(B809,'Tipo Projeto'!$A$3:$B$35,2,0),0)</f>
        <v>0</v>
      </c>
      <c r="D809" s="47"/>
      <c r="E809" s="47"/>
      <c r="F809" s="47"/>
      <c r="G809" s="48"/>
      <c r="H809" s="47"/>
      <c r="I809" s="75">
        <f t="shared" si="24"/>
        <v>0</v>
      </c>
      <c r="J809" s="47"/>
      <c r="K809" s="288">
        <f t="shared" si="25"/>
        <v>0</v>
      </c>
    </row>
    <row r="810" spans="1:11" s="56" customFormat="1" ht="15.75" customHeight="1">
      <c r="A810" s="44"/>
      <c r="B810" s="45"/>
      <c r="C810" s="46">
        <f>IF(B810&lt;&gt;"",VLOOKUP(B810,'Tipo Projeto'!$A$3:$B$35,2,0),0)</f>
        <v>0</v>
      </c>
      <c r="D810" s="47"/>
      <c r="E810" s="47"/>
      <c r="F810" s="47"/>
      <c r="G810" s="48"/>
      <c r="H810" s="47"/>
      <c r="I810" s="75">
        <f t="shared" si="24"/>
        <v>0</v>
      </c>
      <c r="J810" s="47"/>
      <c r="K810" s="288">
        <f t="shared" si="25"/>
        <v>0</v>
      </c>
    </row>
    <row r="811" spans="1:11" s="56" customFormat="1" ht="15.75" customHeight="1">
      <c r="A811" s="44"/>
      <c r="B811" s="45"/>
      <c r="C811" s="46">
        <f>IF(B811&lt;&gt;"",VLOOKUP(B811,'Tipo Projeto'!$A$3:$B$35,2,0),0)</f>
        <v>0</v>
      </c>
      <c r="D811" s="47"/>
      <c r="E811" s="47"/>
      <c r="F811" s="47"/>
      <c r="G811" s="48"/>
      <c r="H811" s="47"/>
      <c r="I811" s="75">
        <f t="shared" si="24"/>
        <v>0</v>
      </c>
      <c r="J811" s="47"/>
      <c r="K811" s="288">
        <f t="shared" si="25"/>
        <v>0</v>
      </c>
    </row>
    <row r="812" spans="1:11" s="56" customFormat="1" ht="15.75" customHeight="1">
      <c r="A812" s="44"/>
      <c r="B812" s="45"/>
      <c r="C812" s="46">
        <f>IF(B812&lt;&gt;"",VLOOKUP(B812,'Tipo Projeto'!$A$3:$B$35,2,0),0)</f>
        <v>0</v>
      </c>
      <c r="D812" s="47"/>
      <c r="E812" s="47"/>
      <c r="F812" s="47"/>
      <c r="G812" s="48"/>
      <c r="H812" s="47"/>
      <c r="I812" s="75">
        <f t="shared" si="24"/>
        <v>0</v>
      </c>
      <c r="J812" s="47"/>
      <c r="K812" s="288">
        <f t="shared" si="25"/>
        <v>0</v>
      </c>
    </row>
    <row r="813" spans="1:11" s="56" customFormat="1" ht="15.75" customHeight="1">
      <c r="A813" s="44"/>
      <c r="B813" s="45"/>
      <c r="C813" s="46">
        <f>IF(B813&lt;&gt;"",VLOOKUP(B813,'Tipo Projeto'!$A$3:$B$35,2,0),0)</f>
        <v>0</v>
      </c>
      <c r="D813" s="47"/>
      <c r="E813" s="47"/>
      <c r="F813" s="47"/>
      <c r="G813" s="48"/>
      <c r="H813" s="47"/>
      <c r="I813" s="75">
        <f t="shared" si="24"/>
        <v>0</v>
      </c>
      <c r="J813" s="47"/>
      <c r="K813" s="288">
        <f t="shared" si="25"/>
        <v>0</v>
      </c>
    </row>
    <row r="814" spans="1:11" s="56" customFormat="1" ht="15.75" customHeight="1">
      <c r="A814" s="44"/>
      <c r="B814" s="45"/>
      <c r="C814" s="46">
        <f>IF(B814&lt;&gt;"",VLOOKUP(B814,'Tipo Projeto'!$A$3:$B$35,2,0),0)</f>
        <v>0</v>
      </c>
      <c r="D814" s="47"/>
      <c r="E814" s="47"/>
      <c r="F814" s="47"/>
      <c r="G814" s="48"/>
      <c r="H814" s="47"/>
      <c r="I814" s="75">
        <f t="shared" si="24"/>
        <v>0</v>
      </c>
      <c r="J814" s="47"/>
      <c r="K814" s="288">
        <f t="shared" si="25"/>
        <v>0</v>
      </c>
    </row>
    <row r="815" spans="1:11" s="56" customFormat="1" ht="15.75" customHeight="1">
      <c r="A815" s="44"/>
      <c r="B815" s="45"/>
      <c r="C815" s="46">
        <f>IF(B815&lt;&gt;"",VLOOKUP(B815,'Tipo Projeto'!$A$3:$B$35,2,0),0)</f>
        <v>0</v>
      </c>
      <c r="D815" s="47"/>
      <c r="E815" s="47"/>
      <c r="F815" s="47"/>
      <c r="G815" s="48"/>
      <c r="H815" s="47"/>
      <c r="I815" s="75">
        <f t="shared" si="24"/>
        <v>0</v>
      </c>
      <c r="J815" s="47"/>
      <c r="K815" s="288">
        <f t="shared" si="25"/>
        <v>0</v>
      </c>
    </row>
    <row r="816" spans="1:11" s="56" customFormat="1" ht="15.75" customHeight="1">
      <c r="A816" s="44"/>
      <c r="B816" s="45"/>
      <c r="C816" s="46">
        <f>IF(B816&lt;&gt;"",VLOOKUP(B816,'Tipo Projeto'!$A$3:$B$35,2,0),0)</f>
        <v>0</v>
      </c>
      <c r="D816" s="47"/>
      <c r="E816" s="47"/>
      <c r="F816" s="47"/>
      <c r="G816" s="48"/>
      <c r="H816" s="47"/>
      <c r="I816" s="75">
        <f t="shared" si="24"/>
        <v>0</v>
      </c>
      <c r="J816" s="47"/>
      <c r="K816" s="288">
        <f t="shared" si="25"/>
        <v>0</v>
      </c>
    </row>
    <row r="817" spans="1:11" s="56" customFormat="1" ht="15.75" customHeight="1">
      <c r="A817" s="44"/>
      <c r="B817" s="45"/>
      <c r="C817" s="46">
        <f>IF(B817&lt;&gt;"",VLOOKUP(B817,'Tipo Projeto'!$A$3:$B$35,2,0),0)</f>
        <v>0</v>
      </c>
      <c r="D817" s="47"/>
      <c r="E817" s="47"/>
      <c r="F817" s="47"/>
      <c r="G817" s="48"/>
      <c r="H817" s="47"/>
      <c r="I817" s="75">
        <f t="shared" si="24"/>
        <v>0</v>
      </c>
      <c r="J817" s="47"/>
      <c r="K817" s="288">
        <f t="shared" si="25"/>
        <v>0</v>
      </c>
    </row>
    <row r="818" spans="1:11" s="56" customFormat="1" ht="15.75" customHeight="1">
      <c r="A818" s="44"/>
      <c r="B818" s="45"/>
      <c r="C818" s="46">
        <f>IF(B818&lt;&gt;"",VLOOKUP(B818,'Tipo Projeto'!$A$3:$B$35,2,0),0)</f>
        <v>0</v>
      </c>
      <c r="D818" s="47"/>
      <c r="E818" s="47"/>
      <c r="F818" s="47"/>
      <c r="G818" s="48"/>
      <c r="H818" s="47"/>
      <c r="I818" s="75">
        <f t="shared" si="24"/>
        <v>0</v>
      </c>
      <c r="J818" s="47"/>
      <c r="K818" s="288">
        <f t="shared" si="25"/>
        <v>0</v>
      </c>
    </row>
    <row r="819" spans="1:11" s="56" customFormat="1" ht="15.75" customHeight="1">
      <c r="A819" s="44"/>
      <c r="B819" s="45"/>
      <c r="C819" s="46">
        <f>IF(B819&lt;&gt;"",VLOOKUP(B819,'Tipo Projeto'!$A$3:$B$35,2,0),0)</f>
        <v>0</v>
      </c>
      <c r="D819" s="47"/>
      <c r="E819" s="47"/>
      <c r="F819" s="47"/>
      <c r="G819" s="48"/>
      <c r="H819" s="47"/>
      <c r="I819" s="75">
        <f t="shared" si="24"/>
        <v>0</v>
      </c>
      <c r="J819" s="47"/>
      <c r="K819" s="288">
        <f t="shared" si="25"/>
        <v>0</v>
      </c>
    </row>
    <row r="820" spans="1:11" s="56" customFormat="1" ht="15.75" customHeight="1">
      <c r="A820" s="44"/>
      <c r="B820" s="45"/>
      <c r="C820" s="46">
        <f>IF(B820&lt;&gt;"",VLOOKUP(B820,'Tipo Projeto'!$A$3:$B$35,2,0),0)</f>
        <v>0</v>
      </c>
      <c r="D820" s="47"/>
      <c r="E820" s="47"/>
      <c r="F820" s="47"/>
      <c r="G820" s="48"/>
      <c r="H820" s="47"/>
      <c r="I820" s="75">
        <f t="shared" si="24"/>
        <v>0</v>
      </c>
      <c r="J820" s="47"/>
      <c r="K820" s="288">
        <f t="shared" si="25"/>
        <v>0</v>
      </c>
    </row>
    <row r="821" spans="1:11" s="56" customFormat="1" ht="15.75" customHeight="1">
      <c r="A821" s="44"/>
      <c r="B821" s="45"/>
      <c r="C821" s="46">
        <f>IF(B821&lt;&gt;"",VLOOKUP(B821,'Tipo Projeto'!$A$3:$B$35,2,0),0)</f>
        <v>0</v>
      </c>
      <c r="D821" s="47"/>
      <c r="E821" s="47"/>
      <c r="F821" s="47"/>
      <c r="G821" s="48"/>
      <c r="H821" s="47"/>
      <c r="I821" s="75">
        <f t="shared" si="24"/>
        <v>0</v>
      </c>
      <c r="J821" s="47"/>
      <c r="K821" s="288">
        <f t="shared" si="25"/>
        <v>0</v>
      </c>
    </row>
    <row r="822" spans="1:11" s="56" customFormat="1" ht="15.75" customHeight="1">
      <c r="A822" s="44"/>
      <c r="B822" s="45"/>
      <c r="C822" s="46">
        <f>IF(B822&lt;&gt;"",VLOOKUP(B822,'Tipo Projeto'!$A$3:$B$35,2,0),0)</f>
        <v>0</v>
      </c>
      <c r="D822" s="47"/>
      <c r="E822" s="47"/>
      <c r="F822" s="47"/>
      <c r="G822" s="48"/>
      <c r="H822" s="47"/>
      <c r="I822" s="75">
        <f t="shared" si="24"/>
        <v>0</v>
      </c>
      <c r="J822" s="47"/>
      <c r="K822" s="288">
        <f t="shared" si="25"/>
        <v>0</v>
      </c>
    </row>
    <row r="823" spans="1:11" s="56" customFormat="1" ht="15.75" customHeight="1">
      <c r="A823" s="44"/>
      <c r="B823" s="45"/>
      <c r="C823" s="46">
        <f>IF(B823&lt;&gt;"",VLOOKUP(B823,'Tipo Projeto'!$A$3:$B$35,2,0),0)</f>
        <v>0</v>
      </c>
      <c r="D823" s="47"/>
      <c r="E823" s="47"/>
      <c r="F823" s="47"/>
      <c r="G823" s="48"/>
      <c r="H823" s="47"/>
      <c r="I823" s="75">
        <f t="shared" si="24"/>
        <v>0</v>
      </c>
      <c r="J823" s="47"/>
      <c r="K823" s="288">
        <f t="shared" si="25"/>
        <v>0</v>
      </c>
    </row>
    <row r="824" spans="1:11" s="56" customFormat="1" ht="15.75" customHeight="1">
      <c r="A824" s="44"/>
      <c r="B824" s="45"/>
      <c r="C824" s="46">
        <f>IF(B824&lt;&gt;"",VLOOKUP(B824,'Tipo Projeto'!$A$3:$B$35,2,0),0)</f>
        <v>0</v>
      </c>
      <c r="D824" s="47"/>
      <c r="E824" s="47"/>
      <c r="F824" s="47"/>
      <c r="G824" s="48"/>
      <c r="H824" s="47"/>
      <c r="I824" s="75">
        <f t="shared" si="24"/>
        <v>0</v>
      </c>
      <c r="J824" s="47"/>
      <c r="K824" s="288">
        <f t="shared" si="25"/>
        <v>0</v>
      </c>
    </row>
    <row r="825" spans="1:11" s="56" customFormat="1" ht="15.75" customHeight="1">
      <c r="A825" s="44"/>
      <c r="B825" s="45"/>
      <c r="C825" s="46">
        <f>IF(B825&lt;&gt;"",VLOOKUP(B825,'Tipo Projeto'!$A$3:$B$35,2,0),0)</f>
        <v>0</v>
      </c>
      <c r="D825" s="47"/>
      <c r="E825" s="47"/>
      <c r="F825" s="47"/>
      <c r="G825" s="48"/>
      <c r="H825" s="47"/>
      <c r="I825" s="75">
        <f t="shared" si="24"/>
        <v>0</v>
      </c>
      <c r="J825" s="47"/>
      <c r="K825" s="288">
        <f t="shared" si="25"/>
        <v>0</v>
      </c>
    </row>
    <row r="826" spans="1:11" s="56" customFormat="1" ht="15.75" customHeight="1">
      <c r="A826" s="44"/>
      <c r="B826" s="45"/>
      <c r="C826" s="46">
        <f>IF(B826&lt;&gt;"",VLOOKUP(B826,'Tipo Projeto'!$A$3:$B$35,2,0),0)</f>
        <v>0</v>
      </c>
      <c r="D826" s="47"/>
      <c r="E826" s="47"/>
      <c r="F826" s="47"/>
      <c r="G826" s="48"/>
      <c r="H826" s="47"/>
      <c r="I826" s="75">
        <f t="shared" si="24"/>
        <v>0</v>
      </c>
      <c r="J826" s="47"/>
      <c r="K826" s="288">
        <f t="shared" si="25"/>
        <v>0</v>
      </c>
    </row>
    <row r="827" spans="1:11" s="56" customFormat="1" ht="15.75" customHeight="1">
      <c r="A827" s="44"/>
      <c r="B827" s="45"/>
      <c r="C827" s="46">
        <f>IF(B827&lt;&gt;"",VLOOKUP(B827,'Tipo Projeto'!$A$3:$B$35,2,0),0)</f>
        <v>0</v>
      </c>
      <c r="D827" s="47"/>
      <c r="E827" s="47"/>
      <c r="F827" s="47"/>
      <c r="G827" s="48"/>
      <c r="H827" s="47"/>
      <c r="I827" s="75">
        <f t="shared" si="24"/>
        <v>0</v>
      </c>
      <c r="J827" s="47"/>
      <c r="K827" s="288">
        <f t="shared" si="25"/>
        <v>0</v>
      </c>
    </row>
    <row r="828" spans="1:11" s="56" customFormat="1" ht="15.75" customHeight="1">
      <c r="A828" s="44"/>
      <c r="B828" s="45"/>
      <c r="C828" s="46">
        <f>IF(B828&lt;&gt;"",VLOOKUP(B828,'Tipo Projeto'!$A$3:$B$35,2,0),0)</f>
        <v>0</v>
      </c>
      <c r="D828" s="47"/>
      <c r="E828" s="47"/>
      <c r="F828" s="47"/>
      <c r="G828" s="48"/>
      <c r="H828" s="47"/>
      <c r="I828" s="75">
        <f t="shared" si="24"/>
        <v>0</v>
      </c>
      <c r="J828" s="47"/>
      <c r="K828" s="288">
        <f t="shared" si="25"/>
        <v>0</v>
      </c>
    </row>
    <row r="829" spans="1:11" s="56" customFormat="1" ht="15.75" customHeight="1">
      <c r="A829" s="44"/>
      <c r="B829" s="45"/>
      <c r="C829" s="46">
        <f>IF(B829&lt;&gt;"",VLOOKUP(B829,'Tipo Projeto'!$A$3:$B$35,2,0),0)</f>
        <v>0</v>
      </c>
      <c r="D829" s="47"/>
      <c r="E829" s="47"/>
      <c r="F829" s="47"/>
      <c r="G829" s="48"/>
      <c r="H829" s="47"/>
      <c r="I829" s="75">
        <f t="shared" si="24"/>
        <v>0</v>
      </c>
      <c r="J829" s="47"/>
      <c r="K829" s="288">
        <f t="shared" si="25"/>
        <v>0</v>
      </c>
    </row>
    <row r="830" spans="1:11" s="56" customFormat="1" ht="15.75" customHeight="1">
      <c r="A830" s="44"/>
      <c r="B830" s="45"/>
      <c r="C830" s="46">
        <f>IF(B830&lt;&gt;"",VLOOKUP(B830,'Tipo Projeto'!$A$3:$B$35,2,0),0)</f>
        <v>0</v>
      </c>
      <c r="D830" s="47"/>
      <c r="E830" s="47"/>
      <c r="F830" s="47"/>
      <c r="G830" s="48"/>
      <c r="H830" s="47"/>
      <c r="I830" s="75">
        <f t="shared" ref="I830:I893" si="26">IF(B830&lt;&gt;"Manutenção em interface",IF(B830&lt;&gt;"Desenv., Manutenção e Publicação de Páginas Estáticas",IF(H830="EE",4,IF(H830="CE",4,IF(H830="SE",5,IF(H830="ALI",7,IF(H830="AIE",5,0)))))*C830,C830),C830)</f>
        <v>0</v>
      </c>
      <c r="J830" s="47"/>
      <c r="K830" s="288">
        <f t="shared" si="25"/>
        <v>0</v>
      </c>
    </row>
    <row r="831" spans="1:11" s="56" customFormat="1" ht="15.75" customHeight="1">
      <c r="A831" s="44"/>
      <c r="B831" s="45"/>
      <c r="C831" s="46">
        <f>IF(B831&lt;&gt;"",VLOOKUP(B831,'Tipo Projeto'!$A$3:$B$35,2,0),0)</f>
        <v>0</v>
      </c>
      <c r="D831" s="47"/>
      <c r="E831" s="47"/>
      <c r="F831" s="47"/>
      <c r="G831" s="48"/>
      <c r="H831" s="47"/>
      <c r="I831" s="75">
        <f t="shared" si="26"/>
        <v>0</v>
      </c>
      <c r="J831" s="47"/>
      <c r="K831" s="288">
        <f t="shared" si="25"/>
        <v>0</v>
      </c>
    </row>
    <row r="832" spans="1:11" s="56" customFormat="1" ht="15.75" customHeight="1">
      <c r="A832" s="44"/>
      <c r="B832" s="45"/>
      <c r="C832" s="46">
        <f>IF(B832&lt;&gt;"",VLOOKUP(B832,'Tipo Projeto'!$A$3:$B$35,2,0),0)</f>
        <v>0</v>
      </c>
      <c r="D832" s="47"/>
      <c r="E832" s="47"/>
      <c r="F832" s="47"/>
      <c r="G832" s="48"/>
      <c r="H832" s="47"/>
      <c r="I832" s="75">
        <f t="shared" si="26"/>
        <v>0</v>
      </c>
      <c r="J832" s="47"/>
      <c r="K832" s="288">
        <f t="shared" si="25"/>
        <v>0</v>
      </c>
    </row>
    <row r="833" spans="1:11" s="56" customFormat="1" ht="15.75" customHeight="1">
      <c r="A833" s="44"/>
      <c r="B833" s="45"/>
      <c r="C833" s="46">
        <f>IF(B833&lt;&gt;"",VLOOKUP(B833,'Tipo Projeto'!$A$3:$B$35,2,0),0)</f>
        <v>0</v>
      </c>
      <c r="D833" s="47"/>
      <c r="E833" s="47"/>
      <c r="F833" s="47"/>
      <c r="G833" s="48"/>
      <c r="H833" s="47"/>
      <c r="I833" s="75">
        <f t="shared" si="26"/>
        <v>0</v>
      </c>
      <c r="J833" s="47"/>
      <c r="K833" s="288">
        <f t="shared" si="25"/>
        <v>0</v>
      </c>
    </row>
    <row r="834" spans="1:11" s="56" customFormat="1" ht="15.75" customHeight="1">
      <c r="A834" s="44"/>
      <c r="B834" s="45"/>
      <c r="C834" s="46">
        <f>IF(B834&lt;&gt;"",VLOOKUP(B834,'Tipo Projeto'!$A$3:$B$35,2,0),0)</f>
        <v>0</v>
      </c>
      <c r="D834" s="47"/>
      <c r="E834" s="47"/>
      <c r="F834" s="47"/>
      <c r="G834" s="48"/>
      <c r="H834" s="47"/>
      <c r="I834" s="75">
        <f t="shared" si="26"/>
        <v>0</v>
      </c>
      <c r="J834" s="47"/>
      <c r="K834" s="288">
        <f t="shared" si="25"/>
        <v>0</v>
      </c>
    </row>
    <row r="835" spans="1:11" s="56" customFormat="1" ht="15.75" customHeight="1">
      <c r="A835" s="44"/>
      <c r="B835" s="45"/>
      <c r="C835" s="46">
        <f>IF(B835&lt;&gt;"",VLOOKUP(B835,'Tipo Projeto'!$A$3:$B$35,2,0),0)</f>
        <v>0</v>
      </c>
      <c r="D835" s="47"/>
      <c r="E835" s="47"/>
      <c r="F835" s="47"/>
      <c r="G835" s="48"/>
      <c r="H835" s="47"/>
      <c r="I835" s="75">
        <f t="shared" si="26"/>
        <v>0</v>
      </c>
      <c r="J835" s="47"/>
      <c r="K835" s="288">
        <f t="shared" si="25"/>
        <v>0</v>
      </c>
    </row>
    <row r="836" spans="1:11" s="56" customFormat="1" ht="15.75" customHeight="1">
      <c r="A836" s="44"/>
      <c r="B836" s="45"/>
      <c r="C836" s="46">
        <f>IF(B836&lt;&gt;"",VLOOKUP(B836,'Tipo Projeto'!$A$3:$B$35,2,0),0)</f>
        <v>0</v>
      </c>
      <c r="D836" s="47"/>
      <c r="E836" s="47"/>
      <c r="F836" s="47"/>
      <c r="G836" s="48"/>
      <c r="H836" s="47"/>
      <c r="I836" s="75">
        <f t="shared" si="26"/>
        <v>0</v>
      </c>
      <c r="J836" s="47"/>
      <c r="K836" s="288">
        <f t="shared" si="25"/>
        <v>0</v>
      </c>
    </row>
    <row r="837" spans="1:11" s="56" customFormat="1" ht="15.75" customHeight="1">
      <c r="A837" s="44"/>
      <c r="B837" s="45"/>
      <c r="C837" s="46">
        <f>IF(B837&lt;&gt;"",VLOOKUP(B837,'Tipo Projeto'!$A$3:$B$35,2,0),0)</f>
        <v>0</v>
      </c>
      <c r="D837" s="47"/>
      <c r="E837" s="47"/>
      <c r="F837" s="47"/>
      <c r="G837" s="48"/>
      <c r="H837" s="47"/>
      <c r="I837" s="75">
        <f t="shared" si="26"/>
        <v>0</v>
      </c>
      <c r="J837" s="47"/>
      <c r="K837" s="288">
        <f t="shared" si="25"/>
        <v>0</v>
      </c>
    </row>
    <row r="838" spans="1:11" s="56" customFormat="1" ht="15.75" customHeight="1">
      <c r="A838" s="44"/>
      <c r="B838" s="45"/>
      <c r="C838" s="46">
        <f>IF(B838&lt;&gt;"",VLOOKUP(B838,'Tipo Projeto'!$A$3:$B$35,2,0),0)</f>
        <v>0</v>
      </c>
      <c r="D838" s="47"/>
      <c r="E838" s="47"/>
      <c r="F838" s="47"/>
      <c r="G838" s="48"/>
      <c r="H838" s="47"/>
      <c r="I838" s="75">
        <f t="shared" si="26"/>
        <v>0</v>
      </c>
      <c r="J838" s="47"/>
      <c r="K838" s="288">
        <f t="shared" si="25"/>
        <v>0</v>
      </c>
    </row>
    <row r="839" spans="1:11" s="56" customFormat="1" ht="15.75" customHeight="1">
      <c r="A839" s="44"/>
      <c r="B839" s="45"/>
      <c r="C839" s="46">
        <f>IF(B839&lt;&gt;"",VLOOKUP(B839,'Tipo Projeto'!$A$3:$B$35,2,0),0)</f>
        <v>0</v>
      </c>
      <c r="D839" s="47"/>
      <c r="E839" s="47"/>
      <c r="F839" s="47"/>
      <c r="G839" s="48"/>
      <c r="H839" s="47"/>
      <c r="I839" s="75">
        <f t="shared" si="26"/>
        <v>0</v>
      </c>
      <c r="J839" s="47"/>
      <c r="K839" s="288">
        <f t="shared" si="25"/>
        <v>0</v>
      </c>
    </row>
    <row r="840" spans="1:11" s="56" customFormat="1" ht="15.75" customHeight="1">
      <c r="A840" s="44"/>
      <c r="B840" s="45"/>
      <c r="C840" s="46">
        <f>IF(B840&lt;&gt;"",VLOOKUP(B840,'Tipo Projeto'!$A$3:$B$35,2,0),0)</f>
        <v>0</v>
      </c>
      <c r="D840" s="47"/>
      <c r="E840" s="47"/>
      <c r="F840" s="47"/>
      <c r="G840" s="48"/>
      <c r="H840" s="47"/>
      <c r="I840" s="75">
        <f t="shared" si="26"/>
        <v>0</v>
      </c>
      <c r="J840" s="47"/>
      <c r="K840" s="288">
        <f t="shared" si="25"/>
        <v>0</v>
      </c>
    </row>
    <row r="841" spans="1:11" s="56" customFormat="1" ht="15.75" customHeight="1">
      <c r="A841" s="44"/>
      <c r="B841" s="45"/>
      <c r="C841" s="46">
        <f>IF(B841&lt;&gt;"",VLOOKUP(B841,'Tipo Projeto'!$A$3:$B$35,2,0),0)</f>
        <v>0</v>
      </c>
      <c r="D841" s="47"/>
      <c r="E841" s="47"/>
      <c r="F841" s="47"/>
      <c r="G841" s="48"/>
      <c r="H841" s="47"/>
      <c r="I841" s="75">
        <f t="shared" si="26"/>
        <v>0</v>
      </c>
      <c r="J841" s="47"/>
      <c r="K841" s="288">
        <f t="shared" si="25"/>
        <v>0</v>
      </c>
    </row>
    <row r="842" spans="1:11" s="56" customFormat="1" ht="15.75" customHeight="1">
      <c r="A842" s="44"/>
      <c r="B842" s="45"/>
      <c r="C842" s="46">
        <f>IF(B842&lt;&gt;"",VLOOKUP(B842,'Tipo Projeto'!$A$3:$B$35,2,0),0)</f>
        <v>0</v>
      </c>
      <c r="D842" s="47"/>
      <c r="E842" s="47"/>
      <c r="F842" s="47"/>
      <c r="G842" s="48"/>
      <c r="H842" s="47"/>
      <c r="I842" s="75">
        <f t="shared" si="26"/>
        <v>0</v>
      </c>
      <c r="J842" s="47"/>
      <c r="K842" s="288">
        <f t="shared" si="25"/>
        <v>0</v>
      </c>
    </row>
    <row r="843" spans="1:11" s="56" customFormat="1" ht="15.75" customHeight="1">
      <c r="A843" s="44"/>
      <c r="B843" s="45"/>
      <c r="C843" s="46">
        <f>IF(B843&lt;&gt;"",VLOOKUP(B843,'Tipo Projeto'!$A$3:$B$35,2,0),0)</f>
        <v>0</v>
      </c>
      <c r="D843" s="47"/>
      <c r="E843" s="47"/>
      <c r="F843" s="47"/>
      <c r="G843" s="48"/>
      <c r="H843" s="47"/>
      <c r="I843" s="75">
        <f t="shared" si="26"/>
        <v>0</v>
      </c>
      <c r="J843" s="47"/>
      <c r="K843" s="288">
        <f t="shared" si="25"/>
        <v>0</v>
      </c>
    </row>
    <row r="844" spans="1:11" s="56" customFormat="1" ht="15.75" customHeight="1">
      <c r="A844" s="44"/>
      <c r="B844" s="45"/>
      <c r="C844" s="46">
        <f>IF(B844&lt;&gt;"",VLOOKUP(B844,'Tipo Projeto'!$A$3:$B$35,2,0),0)</f>
        <v>0</v>
      </c>
      <c r="D844" s="47"/>
      <c r="E844" s="47"/>
      <c r="F844" s="47"/>
      <c r="G844" s="48"/>
      <c r="H844" s="47"/>
      <c r="I844" s="75">
        <f t="shared" si="26"/>
        <v>0</v>
      </c>
      <c r="J844" s="47"/>
      <c r="K844" s="288">
        <f t="shared" ref="K844:K907" si="27">IF(AND(C844&lt;&gt;0,I844&lt;&gt;0),I844/C844,0)</f>
        <v>0</v>
      </c>
    </row>
    <row r="845" spans="1:11" s="56" customFormat="1" ht="15.75" customHeight="1">
      <c r="A845" s="44"/>
      <c r="B845" s="45"/>
      <c r="C845" s="46">
        <f>IF(B845&lt;&gt;"",VLOOKUP(B845,'Tipo Projeto'!$A$3:$B$35,2,0),0)</f>
        <v>0</v>
      </c>
      <c r="D845" s="47"/>
      <c r="E845" s="47"/>
      <c r="F845" s="47"/>
      <c r="G845" s="48"/>
      <c r="H845" s="47"/>
      <c r="I845" s="75">
        <f t="shared" si="26"/>
        <v>0</v>
      </c>
      <c r="J845" s="47"/>
      <c r="K845" s="288">
        <f t="shared" si="27"/>
        <v>0</v>
      </c>
    </row>
    <row r="846" spans="1:11" s="56" customFormat="1" ht="15.75" customHeight="1">
      <c r="A846" s="44"/>
      <c r="B846" s="45"/>
      <c r="C846" s="46">
        <f>IF(B846&lt;&gt;"",VLOOKUP(B846,'Tipo Projeto'!$A$3:$B$35,2,0),0)</f>
        <v>0</v>
      </c>
      <c r="D846" s="47"/>
      <c r="E846" s="47"/>
      <c r="F846" s="47"/>
      <c r="G846" s="48"/>
      <c r="H846" s="47"/>
      <c r="I846" s="75">
        <f t="shared" si="26"/>
        <v>0</v>
      </c>
      <c r="J846" s="47"/>
      <c r="K846" s="288">
        <f t="shared" si="27"/>
        <v>0</v>
      </c>
    </row>
    <row r="847" spans="1:11" s="56" customFormat="1" ht="15.75" customHeight="1">
      <c r="A847" s="44"/>
      <c r="B847" s="45"/>
      <c r="C847" s="46">
        <f>IF(B847&lt;&gt;"",VLOOKUP(B847,'Tipo Projeto'!$A$3:$B$35,2,0),0)</f>
        <v>0</v>
      </c>
      <c r="D847" s="47"/>
      <c r="E847" s="47"/>
      <c r="F847" s="47"/>
      <c r="G847" s="48"/>
      <c r="H847" s="47"/>
      <c r="I847" s="75">
        <f t="shared" si="26"/>
        <v>0</v>
      </c>
      <c r="J847" s="47"/>
      <c r="K847" s="288">
        <f t="shared" si="27"/>
        <v>0</v>
      </c>
    </row>
    <row r="848" spans="1:11" s="56" customFormat="1" ht="15.75" customHeight="1">
      <c r="A848" s="44"/>
      <c r="B848" s="45"/>
      <c r="C848" s="46">
        <f>IF(B848&lt;&gt;"",VLOOKUP(B848,'Tipo Projeto'!$A$3:$B$35,2,0),0)</f>
        <v>0</v>
      </c>
      <c r="D848" s="47"/>
      <c r="E848" s="47"/>
      <c r="F848" s="47"/>
      <c r="G848" s="48"/>
      <c r="H848" s="47"/>
      <c r="I848" s="75">
        <f t="shared" si="26"/>
        <v>0</v>
      </c>
      <c r="J848" s="47"/>
      <c r="K848" s="288">
        <f t="shared" si="27"/>
        <v>0</v>
      </c>
    </row>
    <row r="849" spans="1:11" s="56" customFormat="1" ht="15.75" customHeight="1">
      <c r="A849" s="44"/>
      <c r="B849" s="45"/>
      <c r="C849" s="46">
        <f>IF(B849&lt;&gt;"",VLOOKUP(B849,'Tipo Projeto'!$A$3:$B$35,2,0),0)</f>
        <v>0</v>
      </c>
      <c r="D849" s="47"/>
      <c r="E849" s="47"/>
      <c r="F849" s="47"/>
      <c r="G849" s="48"/>
      <c r="H849" s="47"/>
      <c r="I849" s="75">
        <f t="shared" si="26"/>
        <v>0</v>
      </c>
      <c r="J849" s="47"/>
      <c r="K849" s="288">
        <f t="shared" si="27"/>
        <v>0</v>
      </c>
    </row>
    <row r="850" spans="1:11" s="56" customFormat="1" ht="15.75" customHeight="1">
      <c r="A850" s="44"/>
      <c r="B850" s="45"/>
      <c r="C850" s="46">
        <f>IF(B850&lt;&gt;"",VLOOKUP(B850,'Tipo Projeto'!$A$3:$B$35,2,0),0)</f>
        <v>0</v>
      </c>
      <c r="D850" s="47"/>
      <c r="E850" s="47"/>
      <c r="F850" s="47"/>
      <c r="G850" s="48"/>
      <c r="H850" s="47"/>
      <c r="I850" s="75">
        <f t="shared" si="26"/>
        <v>0</v>
      </c>
      <c r="J850" s="47"/>
      <c r="K850" s="288">
        <f t="shared" si="27"/>
        <v>0</v>
      </c>
    </row>
    <row r="851" spans="1:11" s="56" customFormat="1" ht="15.75" customHeight="1">
      <c r="A851" s="44"/>
      <c r="B851" s="45"/>
      <c r="C851" s="46">
        <f>IF(B851&lt;&gt;"",VLOOKUP(B851,'Tipo Projeto'!$A$3:$B$35,2,0),0)</f>
        <v>0</v>
      </c>
      <c r="D851" s="47"/>
      <c r="E851" s="47"/>
      <c r="F851" s="47"/>
      <c r="G851" s="48"/>
      <c r="H851" s="47"/>
      <c r="I851" s="75">
        <f t="shared" si="26"/>
        <v>0</v>
      </c>
      <c r="J851" s="47"/>
      <c r="K851" s="288">
        <f t="shared" si="27"/>
        <v>0</v>
      </c>
    </row>
    <row r="852" spans="1:11" s="56" customFormat="1" ht="15.75" customHeight="1">
      <c r="A852" s="44"/>
      <c r="B852" s="45"/>
      <c r="C852" s="46">
        <f>IF(B852&lt;&gt;"",VLOOKUP(B852,'Tipo Projeto'!$A$3:$B$35,2,0),0)</f>
        <v>0</v>
      </c>
      <c r="D852" s="47"/>
      <c r="E852" s="47"/>
      <c r="F852" s="47"/>
      <c r="G852" s="48"/>
      <c r="H852" s="47"/>
      <c r="I852" s="75">
        <f t="shared" si="26"/>
        <v>0</v>
      </c>
      <c r="J852" s="47"/>
      <c r="K852" s="288">
        <f t="shared" si="27"/>
        <v>0</v>
      </c>
    </row>
    <row r="853" spans="1:11" s="56" customFormat="1" ht="15.75" customHeight="1">
      <c r="A853" s="44"/>
      <c r="B853" s="45"/>
      <c r="C853" s="46">
        <f>IF(B853&lt;&gt;"",VLOOKUP(B853,'Tipo Projeto'!$A$3:$B$35,2,0),0)</f>
        <v>0</v>
      </c>
      <c r="D853" s="47"/>
      <c r="E853" s="47"/>
      <c r="F853" s="47"/>
      <c r="G853" s="48"/>
      <c r="H853" s="47"/>
      <c r="I853" s="75">
        <f t="shared" si="26"/>
        <v>0</v>
      </c>
      <c r="J853" s="47"/>
      <c r="K853" s="288">
        <f t="shared" si="27"/>
        <v>0</v>
      </c>
    </row>
    <row r="854" spans="1:11" s="56" customFormat="1" ht="15.75" customHeight="1">
      <c r="A854" s="44"/>
      <c r="B854" s="45"/>
      <c r="C854" s="46">
        <f>IF(B854&lt;&gt;"",VLOOKUP(B854,'Tipo Projeto'!$A$3:$B$35,2,0),0)</f>
        <v>0</v>
      </c>
      <c r="D854" s="47"/>
      <c r="E854" s="47"/>
      <c r="F854" s="47"/>
      <c r="G854" s="48"/>
      <c r="H854" s="47"/>
      <c r="I854" s="75">
        <f t="shared" si="26"/>
        <v>0</v>
      </c>
      <c r="J854" s="47"/>
      <c r="K854" s="288">
        <f t="shared" si="27"/>
        <v>0</v>
      </c>
    </row>
    <row r="855" spans="1:11" s="56" customFormat="1" ht="15.75" customHeight="1">
      <c r="A855" s="44"/>
      <c r="B855" s="45"/>
      <c r="C855" s="46">
        <f>IF(B855&lt;&gt;"",VLOOKUP(B855,'Tipo Projeto'!$A$3:$B$35,2,0),0)</f>
        <v>0</v>
      </c>
      <c r="D855" s="47"/>
      <c r="E855" s="47"/>
      <c r="F855" s="47"/>
      <c r="G855" s="48"/>
      <c r="H855" s="47"/>
      <c r="I855" s="75">
        <f t="shared" si="26"/>
        <v>0</v>
      </c>
      <c r="J855" s="47"/>
      <c r="K855" s="288">
        <f t="shared" si="27"/>
        <v>0</v>
      </c>
    </row>
    <row r="856" spans="1:11" s="56" customFormat="1" ht="15.75" customHeight="1">
      <c r="A856" s="44"/>
      <c r="B856" s="45"/>
      <c r="C856" s="46">
        <f>IF(B856&lt;&gt;"",VLOOKUP(B856,'Tipo Projeto'!$A$3:$B$35,2,0),0)</f>
        <v>0</v>
      </c>
      <c r="D856" s="47"/>
      <c r="E856" s="47"/>
      <c r="F856" s="47"/>
      <c r="G856" s="48"/>
      <c r="H856" s="47"/>
      <c r="I856" s="75">
        <f t="shared" si="26"/>
        <v>0</v>
      </c>
      <c r="J856" s="47"/>
      <c r="K856" s="288">
        <f t="shared" si="27"/>
        <v>0</v>
      </c>
    </row>
    <row r="857" spans="1:11" s="56" customFormat="1" ht="15.75" customHeight="1">
      <c r="A857" s="44"/>
      <c r="B857" s="45"/>
      <c r="C857" s="46">
        <f>IF(B857&lt;&gt;"",VLOOKUP(B857,'Tipo Projeto'!$A$3:$B$35,2,0),0)</f>
        <v>0</v>
      </c>
      <c r="D857" s="47"/>
      <c r="E857" s="47"/>
      <c r="F857" s="47"/>
      <c r="G857" s="48"/>
      <c r="H857" s="47"/>
      <c r="I857" s="75">
        <f t="shared" si="26"/>
        <v>0</v>
      </c>
      <c r="J857" s="47"/>
      <c r="K857" s="288">
        <f t="shared" si="27"/>
        <v>0</v>
      </c>
    </row>
    <row r="858" spans="1:11" s="56" customFormat="1" ht="15.75" customHeight="1">
      <c r="A858" s="44"/>
      <c r="B858" s="45"/>
      <c r="C858" s="46">
        <f>IF(B858&lt;&gt;"",VLOOKUP(B858,'Tipo Projeto'!$A$3:$B$35,2,0),0)</f>
        <v>0</v>
      </c>
      <c r="D858" s="47"/>
      <c r="E858" s="47"/>
      <c r="F858" s="47"/>
      <c r="G858" s="48"/>
      <c r="H858" s="47"/>
      <c r="I858" s="75">
        <f t="shared" si="26"/>
        <v>0</v>
      </c>
      <c r="J858" s="47"/>
      <c r="K858" s="288">
        <f t="shared" si="27"/>
        <v>0</v>
      </c>
    </row>
    <row r="859" spans="1:11" s="56" customFormat="1" ht="15.75" customHeight="1">
      <c r="A859" s="44"/>
      <c r="B859" s="45"/>
      <c r="C859" s="46">
        <f>IF(B859&lt;&gt;"",VLOOKUP(B859,'Tipo Projeto'!$A$3:$B$35,2,0),0)</f>
        <v>0</v>
      </c>
      <c r="D859" s="47"/>
      <c r="E859" s="47"/>
      <c r="F859" s="47"/>
      <c r="G859" s="48"/>
      <c r="H859" s="47"/>
      <c r="I859" s="75">
        <f t="shared" si="26"/>
        <v>0</v>
      </c>
      <c r="J859" s="47"/>
      <c r="K859" s="288">
        <f t="shared" si="27"/>
        <v>0</v>
      </c>
    </row>
    <row r="860" spans="1:11" s="56" customFormat="1" ht="15.75" customHeight="1">
      <c r="A860" s="44"/>
      <c r="B860" s="45"/>
      <c r="C860" s="46">
        <f>IF(B860&lt;&gt;"",VLOOKUP(B860,'Tipo Projeto'!$A$3:$B$35,2,0),0)</f>
        <v>0</v>
      </c>
      <c r="D860" s="47"/>
      <c r="E860" s="47"/>
      <c r="F860" s="47"/>
      <c r="G860" s="48"/>
      <c r="H860" s="47"/>
      <c r="I860" s="75">
        <f t="shared" si="26"/>
        <v>0</v>
      </c>
      <c r="J860" s="47"/>
      <c r="K860" s="288">
        <f t="shared" si="27"/>
        <v>0</v>
      </c>
    </row>
    <row r="861" spans="1:11" s="56" customFormat="1" ht="15.75" customHeight="1">
      <c r="A861" s="44"/>
      <c r="B861" s="45"/>
      <c r="C861" s="46">
        <f>IF(B861&lt;&gt;"",VLOOKUP(B861,'Tipo Projeto'!$A$3:$B$35,2,0),0)</f>
        <v>0</v>
      </c>
      <c r="D861" s="47"/>
      <c r="E861" s="47"/>
      <c r="F861" s="47"/>
      <c r="G861" s="48"/>
      <c r="H861" s="47"/>
      <c r="I861" s="75">
        <f t="shared" si="26"/>
        <v>0</v>
      </c>
      <c r="J861" s="47"/>
      <c r="K861" s="288">
        <f t="shared" si="27"/>
        <v>0</v>
      </c>
    </row>
    <row r="862" spans="1:11" s="56" customFormat="1" ht="15.75" customHeight="1">
      <c r="A862" s="44"/>
      <c r="B862" s="45"/>
      <c r="C862" s="46">
        <f>IF(B862&lt;&gt;"",VLOOKUP(B862,'Tipo Projeto'!$A$3:$B$35,2,0),0)</f>
        <v>0</v>
      </c>
      <c r="D862" s="47"/>
      <c r="E862" s="47"/>
      <c r="F862" s="47"/>
      <c r="G862" s="48"/>
      <c r="H862" s="47"/>
      <c r="I862" s="75">
        <f t="shared" si="26"/>
        <v>0</v>
      </c>
      <c r="J862" s="47"/>
      <c r="K862" s="288">
        <f t="shared" si="27"/>
        <v>0</v>
      </c>
    </row>
    <row r="863" spans="1:11" s="56" customFormat="1" ht="15.75" customHeight="1">
      <c r="A863" s="44"/>
      <c r="B863" s="45"/>
      <c r="C863" s="46">
        <f>IF(B863&lt;&gt;"",VLOOKUP(B863,'Tipo Projeto'!$A$3:$B$35,2,0),0)</f>
        <v>0</v>
      </c>
      <c r="D863" s="47"/>
      <c r="E863" s="47"/>
      <c r="F863" s="47"/>
      <c r="G863" s="48"/>
      <c r="H863" s="47"/>
      <c r="I863" s="75">
        <f t="shared" si="26"/>
        <v>0</v>
      </c>
      <c r="J863" s="47"/>
      <c r="K863" s="288">
        <f t="shared" si="27"/>
        <v>0</v>
      </c>
    </row>
    <row r="864" spans="1:11" s="56" customFormat="1" ht="15.75" customHeight="1">
      <c r="A864" s="44"/>
      <c r="B864" s="45"/>
      <c r="C864" s="46">
        <f>IF(B864&lt;&gt;"",VLOOKUP(B864,'Tipo Projeto'!$A$3:$B$35,2,0),0)</f>
        <v>0</v>
      </c>
      <c r="D864" s="47"/>
      <c r="E864" s="47"/>
      <c r="F864" s="47"/>
      <c r="G864" s="48"/>
      <c r="H864" s="47"/>
      <c r="I864" s="75">
        <f t="shared" si="26"/>
        <v>0</v>
      </c>
      <c r="J864" s="47"/>
      <c r="K864" s="288">
        <f t="shared" si="27"/>
        <v>0</v>
      </c>
    </row>
    <row r="865" spans="1:11" s="56" customFormat="1" ht="15.75" customHeight="1">
      <c r="A865" s="44"/>
      <c r="B865" s="45"/>
      <c r="C865" s="46">
        <f>IF(B865&lt;&gt;"",VLOOKUP(B865,'Tipo Projeto'!$A$3:$B$35,2,0),0)</f>
        <v>0</v>
      </c>
      <c r="D865" s="47"/>
      <c r="E865" s="47"/>
      <c r="F865" s="47"/>
      <c r="G865" s="48"/>
      <c r="H865" s="47"/>
      <c r="I865" s="75">
        <f t="shared" si="26"/>
        <v>0</v>
      </c>
      <c r="J865" s="47"/>
      <c r="K865" s="288">
        <f t="shared" si="27"/>
        <v>0</v>
      </c>
    </row>
    <row r="866" spans="1:11" s="56" customFormat="1" ht="15.75" customHeight="1">
      <c r="A866" s="44"/>
      <c r="B866" s="45"/>
      <c r="C866" s="46">
        <f>IF(B866&lt;&gt;"",VLOOKUP(B866,'Tipo Projeto'!$A$3:$B$35,2,0),0)</f>
        <v>0</v>
      </c>
      <c r="D866" s="47"/>
      <c r="E866" s="47"/>
      <c r="F866" s="47"/>
      <c r="G866" s="48"/>
      <c r="H866" s="47"/>
      <c r="I866" s="75">
        <f t="shared" si="26"/>
        <v>0</v>
      </c>
      <c r="J866" s="47"/>
      <c r="K866" s="288">
        <f t="shared" si="27"/>
        <v>0</v>
      </c>
    </row>
    <row r="867" spans="1:11" s="56" customFormat="1" ht="15.75" customHeight="1">
      <c r="A867" s="44"/>
      <c r="B867" s="45"/>
      <c r="C867" s="46">
        <f>IF(B867&lt;&gt;"",VLOOKUP(B867,'Tipo Projeto'!$A$3:$B$35,2,0),0)</f>
        <v>0</v>
      </c>
      <c r="D867" s="47"/>
      <c r="E867" s="47"/>
      <c r="F867" s="47"/>
      <c r="G867" s="48"/>
      <c r="H867" s="47"/>
      <c r="I867" s="75">
        <f t="shared" si="26"/>
        <v>0</v>
      </c>
      <c r="J867" s="47"/>
      <c r="K867" s="288">
        <f t="shared" si="27"/>
        <v>0</v>
      </c>
    </row>
    <row r="868" spans="1:11" s="56" customFormat="1" ht="15.75" customHeight="1">
      <c r="A868" s="44"/>
      <c r="B868" s="45"/>
      <c r="C868" s="46">
        <f>IF(B868&lt;&gt;"",VLOOKUP(B868,'Tipo Projeto'!$A$3:$B$35,2,0),0)</f>
        <v>0</v>
      </c>
      <c r="D868" s="47"/>
      <c r="E868" s="47"/>
      <c r="F868" s="47"/>
      <c r="G868" s="48"/>
      <c r="H868" s="47"/>
      <c r="I868" s="75">
        <f t="shared" si="26"/>
        <v>0</v>
      </c>
      <c r="J868" s="47"/>
      <c r="K868" s="288">
        <f t="shared" si="27"/>
        <v>0</v>
      </c>
    </row>
    <row r="869" spans="1:11" s="56" customFormat="1" ht="15.75" customHeight="1">
      <c r="A869" s="44"/>
      <c r="B869" s="45"/>
      <c r="C869" s="46">
        <f>IF(B869&lt;&gt;"",VLOOKUP(B869,'Tipo Projeto'!$A$3:$B$35,2,0),0)</f>
        <v>0</v>
      </c>
      <c r="D869" s="47"/>
      <c r="E869" s="47"/>
      <c r="F869" s="47"/>
      <c r="G869" s="48"/>
      <c r="H869" s="47"/>
      <c r="I869" s="75">
        <f t="shared" si="26"/>
        <v>0</v>
      </c>
      <c r="J869" s="47"/>
      <c r="K869" s="288">
        <f t="shared" si="27"/>
        <v>0</v>
      </c>
    </row>
    <row r="870" spans="1:11" s="56" customFormat="1" ht="15.75" customHeight="1">
      <c r="A870" s="44"/>
      <c r="B870" s="45"/>
      <c r="C870" s="46">
        <f>IF(B870&lt;&gt;"",VLOOKUP(B870,'Tipo Projeto'!$A$3:$B$35,2,0),0)</f>
        <v>0</v>
      </c>
      <c r="D870" s="47"/>
      <c r="E870" s="47"/>
      <c r="F870" s="47"/>
      <c r="G870" s="48"/>
      <c r="H870" s="47"/>
      <c r="I870" s="75">
        <f t="shared" si="26"/>
        <v>0</v>
      </c>
      <c r="J870" s="47"/>
      <c r="K870" s="288">
        <f t="shared" si="27"/>
        <v>0</v>
      </c>
    </row>
    <row r="871" spans="1:11" s="56" customFormat="1" ht="15.75" customHeight="1">
      <c r="A871" s="44"/>
      <c r="B871" s="45"/>
      <c r="C871" s="46">
        <f>IF(B871&lt;&gt;"",VLOOKUP(B871,'Tipo Projeto'!$A$3:$B$35,2,0),0)</f>
        <v>0</v>
      </c>
      <c r="D871" s="47"/>
      <c r="E871" s="47"/>
      <c r="F871" s="47"/>
      <c r="G871" s="48"/>
      <c r="H871" s="47"/>
      <c r="I871" s="75">
        <f t="shared" si="26"/>
        <v>0</v>
      </c>
      <c r="J871" s="47"/>
      <c r="K871" s="288">
        <f t="shared" si="27"/>
        <v>0</v>
      </c>
    </row>
    <row r="872" spans="1:11" s="56" customFormat="1" ht="15.75" customHeight="1">
      <c r="A872" s="44"/>
      <c r="B872" s="45"/>
      <c r="C872" s="46">
        <f>IF(B872&lt;&gt;"",VLOOKUP(B872,'Tipo Projeto'!$A$3:$B$35,2,0),0)</f>
        <v>0</v>
      </c>
      <c r="D872" s="47"/>
      <c r="E872" s="47"/>
      <c r="F872" s="47"/>
      <c r="G872" s="48"/>
      <c r="H872" s="47"/>
      <c r="I872" s="75">
        <f t="shared" si="26"/>
        <v>0</v>
      </c>
      <c r="J872" s="47"/>
      <c r="K872" s="288">
        <f t="shared" si="27"/>
        <v>0</v>
      </c>
    </row>
    <row r="873" spans="1:11" s="56" customFormat="1" ht="15.75" customHeight="1">
      <c r="A873" s="44"/>
      <c r="B873" s="45"/>
      <c r="C873" s="46">
        <f>IF(B873&lt;&gt;"",VLOOKUP(B873,'Tipo Projeto'!$A$3:$B$35,2,0),0)</f>
        <v>0</v>
      </c>
      <c r="D873" s="47"/>
      <c r="E873" s="47"/>
      <c r="F873" s="47"/>
      <c r="G873" s="48"/>
      <c r="H873" s="47"/>
      <c r="I873" s="75">
        <f t="shared" si="26"/>
        <v>0</v>
      </c>
      <c r="J873" s="47"/>
      <c r="K873" s="288">
        <f t="shared" si="27"/>
        <v>0</v>
      </c>
    </row>
    <row r="874" spans="1:11" s="56" customFormat="1" ht="15.75" customHeight="1">
      <c r="A874" s="44"/>
      <c r="B874" s="45"/>
      <c r="C874" s="46">
        <f>IF(B874&lt;&gt;"",VLOOKUP(B874,'Tipo Projeto'!$A$3:$B$35,2,0),0)</f>
        <v>0</v>
      </c>
      <c r="D874" s="47"/>
      <c r="E874" s="47"/>
      <c r="F874" s="47"/>
      <c r="G874" s="48"/>
      <c r="H874" s="47"/>
      <c r="I874" s="75">
        <f t="shared" si="26"/>
        <v>0</v>
      </c>
      <c r="J874" s="47"/>
      <c r="K874" s="288">
        <f t="shared" si="27"/>
        <v>0</v>
      </c>
    </row>
    <row r="875" spans="1:11" s="56" customFormat="1" ht="15.75" customHeight="1">
      <c r="A875" s="44"/>
      <c r="B875" s="45"/>
      <c r="C875" s="46">
        <f>IF(B875&lt;&gt;"",VLOOKUP(B875,'Tipo Projeto'!$A$3:$B$35,2,0),0)</f>
        <v>0</v>
      </c>
      <c r="D875" s="47"/>
      <c r="E875" s="47"/>
      <c r="F875" s="47"/>
      <c r="G875" s="48"/>
      <c r="H875" s="47"/>
      <c r="I875" s="75">
        <f t="shared" si="26"/>
        <v>0</v>
      </c>
      <c r="J875" s="47"/>
      <c r="K875" s="288">
        <f t="shared" si="27"/>
        <v>0</v>
      </c>
    </row>
    <row r="876" spans="1:11" s="56" customFormat="1" ht="15.75" customHeight="1">
      <c r="A876" s="44"/>
      <c r="B876" s="45"/>
      <c r="C876" s="46">
        <f>IF(B876&lt;&gt;"",VLOOKUP(B876,'Tipo Projeto'!$A$3:$B$35,2,0),0)</f>
        <v>0</v>
      </c>
      <c r="D876" s="47"/>
      <c r="E876" s="47"/>
      <c r="F876" s="47"/>
      <c r="G876" s="48"/>
      <c r="H876" s="47"/>
      <c r="I876" s="75">
        <f t="shared" si="26"/>
        <v>0</v>
      </c>
      <c r="J876" s="47"/>
      <c r="K876" s="288">
        <f t="shared" si="27"/>
        <v>0</v>
      </c>
    </row>
    <row r="877" spans="1:11" s="56" customFormat="1" ht="15.75" customHeight="1">
      <c r="A877" s="44"/>
      <c r="B877" s="45"/>
      <c r="C877" s="46">
        <f>IF(B877&lt;&gt;"",VLOOKUP(B877,'Tipo Projeto'!$A$3:$B$35,2,0),0)</f>
        <v>0</v>
      </c>
      <c r="D877" s="47"/>
      <c r="E877" s="47"/>
      <c r="F877" s="47"/>
      <c r="G877" s="48"/>
      <c r="H877" s="47"/>
      <c r="I877" s="75">
        <f t="shared" si="26"/>
        <v>0</v>
      </c>
      <c r="J877" s="47"/>
      <c r="K877" s="288">
        <f t="shared" si="27"/>
        <v>0</v>
      </c>
    </row>
    <row r="878" spans="1:11" s="56" customFormat="1" ht="15.75" customHeight="1">
      <c r="A878" s="44"/>
      <c r="B878" s="45"/>
      <c r="C878" s="46">
        <f>IF(B878&lt;&gt;"",VLOOKUP(B878,'Tipo Projeto'!$A$3:$B$35,2,0),0)</f>
        <v>0</v>
      </c>
      <c r="D878" s="47"/>
      <c r="E878" s="47"/>
      <c r="F878" s="47"/>
      <c r="G878" s="48"/>
      <c r="H878" s="47"/>
      <c r="I878" s="75">
        <f t="shared" si="26"/>
        <v>0</v>
      </c>
      <c r="J878" s="47"/>
      <c r="K878" s="288">
        <f t="shared" si="27"/>
        <v>0</v>
      </c>
    </row>
    <row r="879" spans="1:11" s="56" customFormat="1" ht="15.75" customHeight="1">
      <c r="A879" s="44"/>
      <c r="B879" s="45"/>
      <c r="C879" s="46">
        <f>IF(B879&lt;&gt;"",VLOOKUP(B879,'Tipo Projeto'!$A$3:$B$35,2,0),0)</f>
        <v>0</v>
      </c>
      <c r="D879" s="47"/>
      <c r="E879" s="47"/>
      <c r="F879" s="47"/>
      <c r="G879" s="48"/>
      <c r="H879" s="47"/>
      <c r="I879" s="75">
        <f t="shared" si="26"/>
        <v>0</v>
      </c>
      <c r="J879" s="47"/>
      <c r="K879" s="288">
        <f t="shared" si="27"/>
        <v>0</v>
      </c>
    </row>
    <row r="880" spans="1:11" s="56" customFormat="1" ht="15.75" customHeight="1">
      <c r="A880" s="44"/>
      <c r="B880" s="45"/>
      <c r="C880" s="46">
        <f>IF(B880&lt;&gt;"",VLOOKUP(B880,'Tipo Projeto'!$A$3:$B$35,2,0),0)</f>
        <v>0</v>
      </c>
      <c r="D880" s="47"/>
      <c r="E880" s="47"/>
      <c r="F880" s="47"/>
      <c r="G880" s="48"/>
      <c r="H880" s="47"/>
      <c r="I880" s="75">
        <f t="shared" si="26"/>
        <v>0</v>
      </c>
      <c r="J880" s="47"/>
      <c r="K880" s="288">
        <f t="shared" si="27"/>
        <v>0</v>
      </c>
    </row>
    <row r="881" spans="1:11" s="56" customFormat="1" ht="15.75" customHeight="1">
      <c r="A881" s="44"/>
      <c r="B881" s="45"/>
      <c r="C881" s="46">
        <f>IF(B881&lt;&gt;"",VLOOKUP(B881,'Tipo Projeto'!$A$3:$B$35,2,0),0)</f>
        <v>0</v>
      </c>
      <c r="D881" s="47"/>
      <c r="E881" s="47"/>
      <c r="F881" s="47"/>
      <c r="G881" s="48"/>
      <c r="H881" s="47"/>
      <c r="I881" s="75">
        <f t="shared" si="26"/>
        <v>0</v>
      </c>
      <c r="J881" s="47"/>
      <c r="K881" s="288">
        <f t="shared" si="27"/>
        <v>0</v>
      </c>
    </row>
    <row r="882" spans="1:11" s="56" customFormat="1" ht="15.75" customHeight="1">
      <c r="A882" s="44"/>
      <c r="B882" s="45"/>
      <c r="C882" s="46">
        <f>IF(B882&lt;&gt;"",VLOOKUP(B882,'Tipo Projeto'!$A$3:$B$35,2,0),0)</f>
        <v>0</v>
      </c>
      <c r="D882" s="47"/>
      <c r="E882" s="47"/>
      <c r="F882" s="47"/>
      <c r="G882" s="48"/>
      <c r="H882" s="47"/>
      <c r="I882" s="75">
        <f t="shared" si="26"/>
        <v>0</v>
      </c>
      <c r="J882" s="47"/>
      <c r="K882" s="288">
        <f t="shared" si="27"/>
        <v>0</v>
      </c>
    </row>
    <row r="883" spans="1:11" s="56" customFormat="1" ht="15.75" customHeight="1">
      <c r="A883" s="44"/>
      <c r="B883" s="45"/>
      <c r="C883" s="46">
        <f>IF(B883&lt;&gt;"",VLOOKUP(B883,'Tipo Projeto'!$A$3:$B$35,2,0),0)</f>
        <v>0</v>
      </c>
      <c r="D883" s="47"/>
      <c r="E883" s="47"/>
      <c r="F883" s="47"/>
      <c r="G883" s="48"/>
      <c r="H883" s="47"/>
      <c r="I883" s="75">
        <f t="shared" si="26"/>
        <v>0</v>
      </c>
      <c r="J883" s="47"/>
      <c r="K883" s="288">
        <f t="shared" si="27"/>
        <v>0</v>
      </c>
    </row>
    <row r="884" spans="1:11" s="56" customFormat="1" ht="15.75" customHeight="1">
      <c r="A884" s="44"/>
      <c r="B884" s="45"/>
      <c r="C884" s="46">
        <f>IF(B884&lt;&gt;"",VLOOKUP(B884,'Tipo Projeto'!$A$3:$B$35,2,0),0)</f>
        <v>0</v>
      </c>
      <c r="D884" s="47"/>
      <c r="E884" s="47"/>
      <c r="F884" s="47"/>
      <c r="G884" s="48"/>
      <c r="H884" s="47"/>
      <c r="I884" s="75">
        <f t="shared" si="26"/>
        <v>0</v>
      </c>
      <c r="J884" s="47"/>
      <c r="K884" s="288">
        <f t="shared" si="27"/>
        <v>0</v>
      </c>
    </row>
    <row r="885" spans="1:11" s="56" customFormat="1" ht="15.75" customHeight="1">
      <c r="A885" s="44"/>
      <c r="B885" s="45"/>
      <c r="C885" s="46">
        <f>IF(B885&lt;&gt;"",VLOOKUP(B885,'Tipo Projeto'!$A$3:$B$35,2,0),0)</f>
        <v>0</v>
      </c>
      <c r="D885" s="47"/>
      <c r="E885" s="47"/>
      <c r="F885" s="47"/>
      <c r="G885" s="48"/>
      <c r="H885" s="47"/>
      <c r="I885" s="75">
        <f t="shared" si="26"/>
        <v>0</v>
      </c>
      <c r="J885" s="47"/>
      <c r="K885" s="288">
        <f t="shared" si="27"/>
        <v>0</v>
      </c>
    </row>
    <row r="886" spans="1:11" s="56" customFormat="1" ht="15.75" customHeight="1">
      <c r="A886" s="44"/>
      <c r="B886" s="45"/>
      <c r="C886" s="46">
        <f>IF(B886&lt;&gt;"",VLOOKUP(B886,'Tipo Projeto'!$A$3:$B$35,2,0),0)</f>
        <v>0</v>
      </c>
      <c r="D886" s="47"/>
      <c r="E886" s="47"/>
      <c r="F886" s="47"/>
      <c r="G886" s="48"/>
      <c r="H886" s="47"/>
      <c r="I886" s="75">
        <f t="shared" si="26"/>
        <v>0</v>
      </c>
      <c r="J886" s="47"/>
      <c r="K886" s="288">
        <f t="shared" si="27"/>
        <v>0</v>
      </c>
    </row>
    <row r="887" spans="1:11" s="56" customFormat="1" ht="15.75" customHeight="1">
      <c r="A887" s="44"/>
      <c r="B887" s="45"/>
      <c r="C887" s="46">
        <f>IF(B887&lt;&gt;"",VLOOKUP(B887,'Tipo Projeto'!$A$3:$B$35,2,0),0)</f>
        <v>0</v>
      </c>
      <c r="D887" s="47"/>
      <c r="E887" s="47"/>
      <c r="F887" s="47"/>
      <c r="G887" s="48"/>
      <c r="H887" s="47"/>
      <c r="I887" s="75">
        <f t="shared" si="26"/>
        <v>0</v>
      </c>
      <c r="J887" s="47"/>
      <c r="K887" s="288">
        <f t="shared" si="27"/>
        <v>0</v>
      </c>
    </row>
    <row r="888" spans="1:11" s="56" customFormat="1" ht="15.75" customHeight="1">
      <c r="A888" s="44"/>
      <c r="B888" s="45"/>
      <c r="C888" s="46">
        <f>IF(B888&lt;&gt;"",VLOOKUP(B888,'Tipo Projeto'!$A$3:$B$35,2,0),0)</f>
        <v>0</v>
      </c>
      <c r="D888" s="47"/>
      <c r="E888" s="47"/>
      <c r="F888" s="47"/>
      <c r="G888" s="48"/>
      <c r="H888" s="47"/>
      <c r="I888" s="75">
        <f t="shared" si="26"/>
        <v>0</v>
      </c>
      <c r="J888" s="47"/>
      <c r="K888" s="288">
        <f t="shared" si="27"/>
        <v>0</v>
      </c>
    </row>
    <row r="889" spans="1:11" s="56" customFormat="1" ht="15.75" customHeight="1">
      <c r="A889" s="44"/>
      <c r="B889" s="45"/>
      <c r="C889" s="46">
        <f>IF(B889&lt;&gt;"",VLOOKUP(B889,'Tipo Projeto'!$A$3:$B$35,2,0),0)</f>
        <v>0</v>
      </c>
      <c r="D889" s="47"/>
      <c r="E889" s="47"/>
      <c r="F889" s="47"/>
      <c r="G889" s="48"/>
      <c r="H889" s="47"/>
      <c r="I889" s="75">
        <f t="shared" si="26"/>
        <v>0</v>
      </c>
      <c r="J889" s="47"/>
      <c r="K889" s="288">
        <f t="shared" si="27"/>
        <v>0</v>
      </c>
    </row>
    <row r="890" spans="1:11" s="56" customFormat="1" ht="15.75" customHeight="1">
      <c r="A890" s="44"/>
      <c r="B890" s="45"/>
      <c r="C890" s="46">
        <f>IF(B890&lt;&gt;"",VLOOKUP(B890,'Tipo Projeto'!$A$3:$B$35,2,0),0)</f>
        <v>0</v>
      </c>
      <c r="D890" s="47"/>
      <c r="E890" s="47"/>
      <c r="F890" s="47"/>
      <c r="G890" s="48"/>
      <c r="H890" s="47"/>
      <c r="I890" s="75">
        <f t="shared" si="26"/>
        <v>0</v>
      </c>
      <c r="J890" s="47"/>
      <c r="K890" s="288">
        <f t="shared" si="27"/>
        <v>0</v>
      </c>
    </row>
    <row r="891" spans="1:11" s="56" customFormat="1" ht="15.75" customHeight="1">
      <c r="A891" s="44"/>
      <c r="B891" s="45"/>
      <c r="C891" s="46">
        <f>IF(B891&lt;&gt;"",VLOOKUP(B891,'Tipo Projeto'!$A$3:$B$35,2,0),0)</f>
        <v>0</v>
      </c>
      <c r="D891" s="47"/>
      <c r="E891" s="47"/>
      <c r="F891" s="47"/>
      <c r="G891" s="48"/>
      <c r="H891" s="47"/>
      <c r="I891" s="75">
        <f t="shared" si="26"/>
        <v>0</v>
      </c>
      <c r="J891" s="47"/>
      <c r="K891" s="288">
        <f t="shared" si="27"/>
        <v>0</v>
      </c>
    </row>
    <row r="892" spans="1:11" s="56" customFormat="1" ht="15.75" customHeight="1">
      <c r="A892" s="44"/>
      <c r="B892" s="45"/>
      <c r="C892" s="46">
        <f>IF(B892&lt;&gt;"",VLOOKUP(B892,'Tipo Projeto'!$A$3:$B$35,2,0),0)</f>
        <v>0</v>
      </c>
      <c r="D892" s="47"/>
      <c r="E892" s="47"/>
      <c r="F892" s="47"/>
      <c r="G892" s="48"/>
      <c r="H892" s="47"/>
      <c r="I892" s="75">
        <f t="shared" si="26"/>
        <v>0</v>
      </c>
      <c r="J892" s="47"/>
      <c r="K892" s="288">
        <f t="shared" si="27"/>
        <v>0</v>
      </c>
    </row>
    <row r="893" spans="1:11" s="56" customFormat="1" ht="15.75" customHeight="1">
      <c r="A893" s="44"/>
      <c r="B893" s="45"/>
      <c r="C893" s="46">
        <f>IF(B893&lt;&gt;"",VLOOKUP(B893,'Tipo Projeto'!$A$3:$B$35,2,0),0)</f>
        <v>0</v>
      </c>
      <c r="D893" s="47"/>
      <c r="E893" s="47"/>
      <c r="F893" s="47"/>
      <c r="G893" s="48"/>
      <c r="H893" s="47"/>
      <c r="I893" s="75">
        <f t="shared" si="26"/>
        <v>0</v>
      </c>
      <c r="J893" s="47"/>
      <c r="K893" s="288">
        <f t="shared" si="27"/>
        <v>0</v>
      </c>
    </row>
    <row r="894" spans="1:11" s="56" customFormat="1" ht="15.75" customHeight="1">
      <c r="A894" s="44"/>
      <c r="B894" s="45"/>
      <c r="C894" s="46">
        <f>IF(B894&lt;&gt;"",VLOOKUP(B894,'Tipo Projeto'!$A$3:$B$35,2,0),0)</f>
        <v>0</v>
      </c>
      <c r="D894" s="47"/>
      <c r="E894" s="47"/>
      <c r="F894" s="47"/>
      <c r="G894" s="48"/>
      <c r="H894" s="47"/>
      <c r="I894" s="75">
        <f t="shared" ref="I894:I957" si="28">IF(B894&lt;&gt;"Manutenção em interface",IF(B894&lt;&gt;"Desenv., Manutenção e Publicação de Páginas Estáticas",IF(H894="EE",4,IF(H894="CE",4,IF(H894="SE",5,IF(H894="ALI",7,IF(H894="AIE",5,0)))))*C894,C894),C894)</f>
        <v>0</v>
      </c>
      <c r="J894" s="47"/>
      <c r="K894" s="288">
        <f t="shared" si="27"/>
        <v>0</v>
      </c>
    </row>
    <row r="895" spans="1:11" s="56" customFormat="1" ht="15.75" customHeight="1">
      <c r="A895" s="44"/>
      <c r="B895" s="45"/>
      <c r="C895" s="46">
        <f>IF(B895&lt;&gt;"",VLOOKUP(B895,'Tipo Projeto'!$A$3:$B$35,2,0),0)</f>
        <v>0</v>
      </c>
      <c r="D895" s="47"/>
      <c r="E895" s="47"/>
      <c r="F895" s="47"/>
      <c r="G895" s="48"/>
      <c r="H895" s="47"/>
      <c r="I895" s="75">
        <f t="shared" si="28"/>
        <v>0</v>
      </c>
      <c r="J895" s="47"/>
      <c r="K895" s="288">
        <f t="shared" si="27"/>
        <v>0</v>
      </c>
    </row>
    <row r="896" spans="1:11" s="56" customFormat="1" ht="15.75" customHeight="1">
      <c r="A896" s="44"/>
      <c r="B896" s="45"/>
      <c r="C896" s="46">
        <f>IF(B896&lt;&gt;"",VLOOKUP(B896,'Tipo Projeto'!$A$3:$B$35,2,0),0)</f>
        <v>0</v>
      </c>
      <c r="D896" s="47"/>
      <c r="E896" s="47"/>
      <c r="F896" s="47"/>
      <c r="G896" s="48"/>
      <c r="H896" s="47"/>
      <c r="I896" s="75">
        <f t="shared" si="28"/>
        <v>0</v>
      </c>
      <c r="J896" s="47"/>
      <c r="K896" s="288">
        <f t="shared" si="27"/>
        <v>0</v>
      </c>
    </row>
    <row r="897" spans="1:11" s="56" customFormat="1" ht="15.75" customHeight="1">
      <c r="A897" s="44"/>
      <c r="B897" s="45"/>
      <c r="C897" s="46">
        <f>IF(B897&lt;&gt;"",VLOOKUP(B897,'Tipo Projeto'!$A$3:$B$35,2,0),0)</f>
        <v>0</v>
      </c>
      <c r="D897" s="47"/>
      <c r="E897" s="47"/>
      <c r="F897" s="47"/>
      <c r="G897" s="48"/>
      <c r="H897" s="47"/>
      <c r="I897" s="75">
        <f t="shared" si="28"/>
        <v>0</v>
      </c>
      <c r="J897" s="47"/>
      <c r="K897" s="288">
        <f t="shared" si="27"/>
        <v>0</v>
      </c>
    </row>
    <row r="898" spans="1:11" s="56" customFormat="1" ht="15.75" customHeight="1">
      <c r="A898" s="44"/>
      <c r="B898" s="45"/>
      <c r="C898" s="46">
        <f>IF(B898&lt;&gt;"",VLOOKUP(B898,'Tipo Projeto'!$A$3:$B$35,2,0),0)</f>
        <v>0</v>
      </c>
      <c r="D898" s="47"/>
      <c r="E898" s="47"/>
      <c r="F898" s="47"/>
      <c r="G898" s="48"/>
      <c r="H898" s="47"/>
      <c r="I898" s="75">
        <f t="shared" si="28"/>
        <v>0</v>
      </c>
      <c r="J898" s="47"/>
      <c r="K898" s="288">
        <f t="shared" si="27"/>
        <v>0</v>
      </c>
    </row>
    <row r="899" spans="1:11" s="56" customFormat="1" ht="15.75" customHeight="1">
      <c r="A899" s="44"/>
      <c r="B899" s="45"/>
      <c r="C899" s="46">
        <f>IF(B899&lt;&gt;"",VLOOKUP(B899,'Tipo Projeto'!$A$3:$B$35,2,0),0)</f>
        <v>0</v>
      </c>
      <c r="D899" s="47"/>
      <c r="E899" s="47"/>
      <c r="F899" s="47"/>
      <c r="G899" s="48"/>
      <c r="H899" s="47"/>
      <c r="I899" s="75">
        <f t="shared" si="28"/>
        <v>0</v>
      </c>
      <c r="J899" s="47"/>
      <c r="K899" s="288">
        <f t="shared" si="27"/>
        <v>0</v>
      </c>
    </row>
    <row r="900" spans="1:11" s="56" customFormat="1" ht="15.75" customHeight="1">
      <c r="A900" s="44"/>
      <c r="B900" s="45"/>
      <c r="C900" s="46">
        <f>IF(B900&lt;&gt;"",VLOOKUP(B900,'Tipo Projeto'!$A$3:$B$35,2,0),0)</f>
        <v>0</v>
      </c>
      <c r="D900" s="47"/>
      <c r="E900" s="47"/>
      <c r="F900" s="47"/>
      <c r="G900" s="48"/>
      <c r="H900" s="47"/>
      <c r="I900" s="75">
        <f t="shared" si="28"/>
        <v>0</v>
      </c>
      <c r="J900" s="47"/>
      <c r="K900" s="288">
        <f t="shared" si="27"/>
        <v>0</v>
      </c>
    </row>
    <row r="901" spans="1:11" s="56" customFormat="1" ht="15.75" customHeight="1">
      <c r="A901" s="44"/>
      <c r="B901" s="45"/>
      <c r="C901" s="46">
        <f>IF(B901&lt;&gt;"",VLOOKUP(B901,'Tipo Projeto'!$A$3:$B$35,2,0),0)</f>
        <v>0</v>
      </c>
      <c r="D901" s="47"/>
      <c r="E901" s="47"/>
      <c r="F901" s="47"/>
      <c r="G901" s="48"/>
      <c r="H901" s="47"/>
      <c r="I901" s="75">
        <f t="shared" si="28"/>
        <v>0</v>
      </c>
      <c r="J901" s="47"/>
      <c r="K901" s="288">
        <f t="shared" si="27"/>
        <v>0</v>
      </c>
    </row>
    <row r="902" spans="1:11" s="56" customFormat="1" ht="15.75" customHeight="1">
      <c r="A902" s="44"/>
      <c r="B902" s="45"/>
      <c r="C902" s="46">
        <f>IF(B902&lt;&gt;"",VLOOKUP(B902,'Tipo Projeto'!$A$3:$B$35,2,0),0)</f>
        <v>0</v>
      </c>
      <c r="D902" s="47"/>
      <c r="E902" s="47"/>
      <c r="F902" s="47"/>
      <c r="G902" s="48"/>
      <c r="H902" s="47"/>
      <c r="I902" s="75">
        <f t="shared" si="28"/>
        <v>0</v>
      </c>
      <c r="J902" s="47"/>
      <c r="K902" s="288">
        <f t="shared" si="27"/>
        <v>0</v>
      </c>
    </row>
    <row r="903" spans="1:11" s="56" customFormat="1" ht="15.75" customHeight="1">
      <c r="A903" s="44"/>
      <c r="B903" s="45"/>
      <c r="C903" s="46">
        <f>IF(B903&lt;&gt;"",VLOOKUP(B903,'Tipo Projeto'!$A$3:$B$35,2,0),0)</f>
        <v>0</v>
      </c>
      <c r="D903" s="47"/>
      <c r="E903" s="47"/>
      <c r="F903" s="47"/>
      <c r="G903" s="48"/>
      <c r="H903" s="47"/>
      <c r="I903" s="75">
        <f t="shared" si="28"/>
        <v>0</v>
      </c>
      <c r="J903" s="47"/>
      <c r="K903" s="288">
        <f t="shared" si="27"/>
        <v>0</v>
      </c>
    </row>
    <row r="904" spans="1:11" s="56" customFormat="1" ht="15.75" customHeight="1">
      <c r="A904" s="44"/>
      <c r="B904" s="45"/>
      <c r="C904" s="46">
        <f>IF(B904&lt;&gt;"",VLOOKUP(B904,'Tipo Projeto'!$A$3:$B$35,2,0),0)</f>
        <v>0</v>
      </c>
      <c r="D904" s="47"/>
      <c r="E904" s="47"/>
      <c r="F904" s="47"/>
      <c r="G904" s="48"/>
      <c r="H904" s="47"/>
      <c r="I904" s="75">
        <f t="shared" si="28"/>
        <v>0</v>
      </c>
      <c r="J904" s="47"/>
      <c r="K904" s="288">
        <f t="shared" si="27"/>
        <v>0</v>
      </c>
    </row>
    <row r="905" spans="1:11" s="56" customFormat="1" ht="15.75" customHeight="1">
      <c r="A905" s="44"/>
      <c r="B905" s="45"/>
      <c r="C905" s="46">
        <f>IF(B905&lt;&gt;"",VLOOKUP(B905,'Tipo Projeto'!$A$3:$B$35,2,0),0)</f>
        <v>0</v>
      </c>
      <c r="D905" s="47"/>
      <c r="E905" s="47"/>
      <c r="F905" s="47"/>
      <c r="G905" s="48"/>
      <c r="H905" s="47"/>
      <c r="I905" s="75">
        <f t="shared" si="28"/>
        <v>0</v>
      </c>
      <c r="J905" s="47"/>
      <c r="K905" s="288">
        <f t="shared" si="27"/>
        <v>0</v>
      </c>
    </row>
    <row r="906" spans="1:11" s="56" customFormat="1" ht="15.75" customHeight="1">
      <c r="A906" s="44"/>
      <c r="B906" s="45"/>
      <c r="C906" s="46">
        <f>IF(B906&lt;&gt;"",VLOOKUP(B906,'Tipo Projeto'!$A$3:$B$35,2,0),0)</f>
        <v>0</v>
      </c>
      <c r="D906" s="47"/>
      <c r="E906" s="47"/>
      <c r="F906" s="47"/>
      <c r="G906" s="48"/>
      <c r="H906" s="47"/>
      <c r="I906" s="75">
        <f t="shared" si="28"/>
        <v>0</v>
      </c>
      <c r="J906" s="47"/>
      <c r="K906" s="288">
        <f t="shared" si="27"/>
        <v>0</v>
      </c>
    </row>
    <row r="907" spans="1:11" s="56" customFormat="1" ht="15.75" customHeight="1">
      <c r="A907" s="44"/>
      <c r="B907" s="45"/>
      <c r="C907" s="46">
        <f>IF(B907&lt;&gt;"",VLOOKUP(B907,'Tipo Projeto'!$A$3:$B$35,2,0),0)</f>
        <v>0</v>
      </c>
      <c r="D907" s="47"/>
      <c r="E907" s="47"/>
      <c r="F907" s="47"/>
      <c r="G907" s="48"/>
      <c r="H907" s="47"/>
      <c r="I907" s="75">
        <f t="shared" si="28"/>
        <v>0</v>
      </c>
      <c r="J907" s="47"/>
      <c r="K907" s="288">
        <f t="shared" si="27"/>
        <v>0</v>
      </c>
    </row>
    <row r="908" spans="1:11" s="56" customFormat="1" ht="15.75" customHeight="1">
      <c r="A908" s="44"/>
      <c r="B908" s="45"/>
      <c r="C908" s="46">
        <f>IF(B908&lt;&gt;"",VLOOKUP(B908,'Tipo Projeto'!$A$3:$B$35,2,0),0)</f>
        <v>0</v>
      </c>
      <c r="D908" s="47"/>
      <c r="E908" s="47"/>
      <c r="F908" s="47"/>
      <c r="G908" s="48"/>
      <c r="H908" s="47"/>
      <c r="I908" s="75">
        <f t="shared" si="28"/>
        <v>0</v>
      </c>
      <c r="J908" s="47"/>
      <c r="K908" s="288">
        <f t="shared" ref="K908:K971" si="29">IF(AND(C908&lt;&gt;0,I908&lt;&gt;0),I908/C908,0)</f>
        <v>0</v>
      </c>
    </row>
    <row r="909" spans="1:11" s="56" customFormat="1" ht="15.75" customHeight="1">
      <c r="A909" s="44"/>
      <c r="B909" s="45"/>
      <c r="C909" s="46">
        <f>IF(B909&lt;&gt;"",VLOOKUP(B909,'Tipo Projeto'!$A$3:$B$35,2,0),0)</f>
        <v>0</v>
      </c>
      <c r="D909" s="47"/>
      <c r="E909" s="47"/>
      <c r="F909" s="47"/>
      <c r="G909" s="48"/>
      <c r="H909" s="47"/>
      <c r="I909" s="75">
        <f t="shared" si="28"/>
        <v>0</v>
      </c>
      <c r="J909" s="47"/>
      <c r="K909" s="288">
        <f t="shared" si="29"/>
        <v>0</v>
      </c>
    </row>
    <row r="910" spans="1:11" s="56" customFormat="1" ht="15.75" customHeight="1">
      <c r="A910" s="44"/>
      <c r="B910" s="45"/>
      <c r="C910" s="46">
        <f>IF(B910&lt;&gt;"",VLOOKUP(B910,'Tipo Projeto'!$A$3:$B$35,2,0),0)</f>
        <v>0</v>
      </c>
      <c r="D910" s="47"/>
      <c r="E910" s="47"/>
      <c r="F910" s="47"/>
      <c r="G910" s="48"/>
      <c r="H910" s="47"/>
      <c r="I910" s="75">
        <f t="shared" si="28"/>
        <v>0</v>
      </c>
      <c r="J910" s="47"/>
      <c r="K910" s="288">
        <f t="shared" si="29"/>
        <v>0</v>
      </c>
    </row>
    <row r="911" spans="1:11" s="56" customFormat="1" ht="15.75" customHeight="1">
      <c r="A911" s="44"/>
      <c r="B911" s="45"/>
      <c r="C911" s="46">
        <f>IF(B911&lt;&gt;"",VLOOKUP(B911,'Tipo Projeto'!$A$3:$B$35,2,0),0)</f>
        <v>0</v>
      </c>
      <c r="D911" s="47"/>
      <c r="E911" s="47"/>
      <c r="F911" s="47"/>
      <c r="G911" s="48"/>
      <c r="H911" s="47"/>
      <c r="I911" s="75">
        <f t="shared" si="28"/>
        <v>0</v>
      </c>
      <c r="J911" s="47"/>
      <c r="K911" s="288">
        <f t="shared" si="29"/>
        <v>0</v>
      </c>
    </row>
    <row r="912" spans="1:11" s="56" customFormat="1" ht="15.75" customHeight="1">
      <c r="A912" s="44"/>
      <c r="B912" s="45"/>
      <c r="C912" s="46">
        <f>IF(B912&lt;&gt;"",VLOOKUP(B912,'Tipo Projeto'!$A$3:$B$35,2,0),0)</f>
        <v>0</v>
      </c>
      <c r="D912" s="47"/>
      <c r="E912" s="47"/>
      <c r="F912" s="47"/>
      <c r="G912" s="48"/>
      <c r="H912" s="47"/>
      <c r="I912" s="75">
        <f t="shared" si="28"/>
        <v>0</v>
      </c>
      <c r="J912" s="47"/>
      <c r="K912" s="288">
        <f t="shared" si="29"/>
        <v>0</v>
      </c>
    </row>
    <row r="913" spans="1:11" s="56" customFormat="1" ht="15.75" customHeight="1">
      <c r="A913" s="44"/>
      <c r="B913" s="45"/>
      <c r="C913" s="46">
        <f>IF(B913&lt;&gt;"",VLOOKUP(B913,'Tipo Projeto'!$A$3:$B$35,2,0),0)</f>
        <v>0</v>
      </c>
      <c r="D913" s="47"/>
      <c r="E913" s="47"/>
      <c r="F913" s="47"/>
      <c r="G913" s="48"/>
      <c r="H913" s="47"/>
      <c r="I913" s="75">
        <f t="shared" si="28"/>
        <v>0</v>
      </c>
      <c r="J913" s="47"/>
      <c r="K913" s="288">
        <f t="shared" si="29"/>
        <v>0</v>
      </c>
    </row>
    <row r="914" spans="1:11" s="56" customFormat="1" ht="15.75" customHeight="1">
      <c r="A914" s="44"/>
      <c r="B914" s="45"/>
      <c r="C914" s="46">
        <f>IF(B914&lt;&gt;"",VLOOKUP(B914,'Tipo Projeto'!$A$3:$B$35,2,0),0)</f>
        <v>0</v>
      </c>
      <c r="D914" s="47"/>
      <c r="E914" s="47"/>
      <c r="F914" s="47"/>
      <c r="G914" s="48"/>
      <c r="H914" s="47"/>
      <c r="I914" s="75">
        <f t="shared" si="28"/>
        <v>0</v>
      </c>
      <c r="J914" s="47"/>
      <c r="K914" s="288">
        <f t="shared" si="29"/>
        <v>0</v>
      </c>
    </row>
    <row r="915" spans="1:11" s="56" customFormat="1" ht="15.75" customHeight="1">
      <c r="A915" s="44"/>
      <c r="B915" s="45"/>
      <c r="C915" s="46">
        <f>IF(B915&lt;&gt;"",VLOOKUP(B915,'Tipo Projeto'!$A$3:$B$35,2,0),0)</f>
        <v>0</v>
      </c>
      <c r="D915" s="47"/>
      <c r="E915" s="47"/>
      <c r="F915" s="47"/>
      <c r="G915" s="48"/>
      <c r="H915" s="47"/>
      <c r="I915" s="75">
        <f t="shared" si="28"/>
        <v>0</v>
      </c>
      <c r="J915" s="47"/>
      <c r="K915" s="288">
        <f t="shared" si="29"/>
        <v>0</v>
      </c>
    </row>
    <row r="916" spans="1:11" s="56" customFormat="1" ht="15.75" customHeight="1">
      <c r="A916" s="44"/>
      <c r="B916" s="45"/>
      <c r="C916" s="46">
        <f>IF(B916&lt;&gt;"",VLOOKUP(B916,'Tipo Projeto'!$A$3:$B$35,2,0),0)</f>
        <v>0</v>
      </c>
      <c r="D916" s="47"/>
      <c r="E916" s="47"/>
      <c r="F916" s="47"/>
      <c r="G916" s="48"/>
      <c r="H916" s="47"/>
      <c r="I916" s="75">
        <f t="shared" si="28"/>
        <v>0</v>
      </c>
      <c r="J916" s="47"/>
      <c r="K916" s="288">
        <f t="shared" si="29"/>
        <v>0</v>
      </c>
    </row>
    <row r="917" spans="1:11" s="56" customFormat="1" ht="15.75" customHeight="1">
      <c r="A917" s="44"/>
      <c r="B917" s="45"/>
      <c r="C917" s="46">
        <f>IF(B917&lt;&gt;"",VLOOKUP(B917,'Tipo Projeto'!$A$3:$B$35,2,0),0)</f>
        <v>0</v>
      </c>
      <c r="D917" s="47"/>
      <c r="E917" s="47"/>
      <c r="F917" s="47"/>
      <c r="G917" s="48"/>
      <c r="H917" s="47"/>
      <c r="I917" s="75">
        <f t="shared" si="28"/>
        <v>0</v>
      </c>
      <c r="J917" s="47"/>
      <c r="K917" s="288">
        <f t="shared" si="29"/>
        <v>0</v>
      </c>
    </row>
    <row r="918" spans="1:11" s="56" customFormat="1" ht="15.75" customHeight="1">
      <c r="A918" s="44"/>
      <c r="B918" s="45"/>
      <c r="C918" s="46">
        <f>IF(B918&lt;&gt;"",VLOOKUP(B918,'Tipo Projeto'!$A$3:$B$35,2,0),0)</f>
        <v>0</v>
      </c>
      <c r="D918" s="47"/>
      <c r="E918" s="47"/>
      <c r="F918" s="47"/>
      <c r="G918" s="48"/>
      <c r="H918" s="47"/>
      <c r="I918" s="75">
        <f t="shared" si="28"/>
        <v>0</v>
      </c>
      <c r="J918" s="47"/>
      <c r="K918" s="288">
        <f t="shared" si="29"/>
        <v>0</v>
      </c>
    </row>
    <row r="919" spans="1:11" s="56" customFormat="1" ht="15.75" customHeight="1">
      <c r="A919" s="44"/>
      <c r="B919" s="45"/>
      <c r="C919" s="46">
        <f>IF(B919&lt;&gt;"",VLOOKUP(B919,'Tipo Projeto'!$A$3:$B$35,2,0),0)</f>
        <v>0</v>
      </c>
      <c r="D919" s="47"/>
      <c r="E919" s="47"/>
      <c r="F919" s="47"/>
      <c r="G919" s="48"/>
      <c r="H919" s="47"/>
      <c r="I919" s="75">
        <f t="shared" si="28"/>
        <v>0</v>
      </c>
      <c r="J919" s="47"/>
      <c r="K919" s="288">
        <f t="shared" si="29"/>
        <v>0</v>
      </c>
    </row>
    <row r="920" spans="1:11" s="56" customFormat="1" ht="15.75" customHeight="1">
      <c r="A920" s="44"/>
      <c r="B920" s="45"/>
      <c r="C920" s="46">
        <f>IF(B920&lt;&gt;"",VLOOKUP(B920,'Tipo Projeto'!$A$3:$B$35,2,0),0)</f>
        <v>0</v>
      </c>
      <c r="D920" s="47"/>
      <c r="E920" s="47"/>
      <c r="F920" s="47"/>
      <c r="G920" s="48"/>
      <c r="H920" s="47"/>
      <c r="I920" s="75">
        <f t="shared" si="28"/>
        <v>0</v>
      </c>
      <c r="J920" s="47"/>
      <c r="K920" s="288">
        <f t="shared" si="29"/>
        <v>0</v>
      </c>
    </row>
    <row r="921" spans="1:11" s="56" customFormat="1" ht="15.75" customHeight="1">
      <c r="A921" s="44"/>
      <c r="B921" s="45"/>
      <c r="C921" s="46">
        <f>IF(B921&lt;&gt;"",VLOOKUP(B921,'Tipo Projeto'!$A$3:$B$35,2,0),0)</f>
        <v>0</v>
      </c>
      <c r="D921" s="47"/>
      <c r="E921" s="47"/>
      <c r="F921" s="47"/>
      <c r="G921" s="48"/>
      <c r="H921" s="47"/>
      <c r="I921" s="75">
        <f t="shared" si="28"/>
        <v>0</v>
      </c>
      <c r="J921" s="47"/>
      <c r="K921" s="288">
        <f t="shared" si="29"/>
        <v>0</v>
      </c>
    </row>
    <row r="922" spans="1:11" s="56" customFormat="1" ht="15.75" customHeight="1">
      <c r="A922" s="44"/>
      <c r="B922" s="45"/>
      <c r="C922" s="46">
        <f>IF(B922&lt;&gt;"",VLOOKUP(B922,'Tipo Projeto'!$A$3:$B$35,2,0),0)</f>
        <v>0</v>
      </c>
      <c r="D922" s="47"/>
      <c r="E922" s="47"/>
      <c r="F922" s="47"/>
      <c r="G922" s="48"/>
      <c r="H922" s="47"/>
      <c r="I922" s="75">
        <f t="shared" si="28"/>
        <v>0</v>
      </c>
      <c r="J922" s="47"/>
      <c r="K922" s="288">
        <f t="shared" si="29"/>
        <v>0</v>
      </c>
    </row>
    <row r="923" spans="1:11" s="56" customFormat="1" ht="15.75" customHeight="1">
      <c r="A923" s="44"/>
      <c r="B923" s="45"/>
      <c r="C923" s="46">
        <f>IF(B923&lt;&gt;"",VLOOKUP(B923,'Tipo Projeto'!$A$3:$B$35,2,0),0)</f>
        <v>0</v>
      </c>
      <c r="D923" s="47"/>
      <c r="E923" s="47"/>
      <c r="F923" s="47"/>
      <c r="G923" s="48"/>
      <c r="H923" s="47"/>
      <c r="I923" s="75">
        <f t="shared" si="28"/>
        <v>0</v>
      </c>
      <c r="J923" s="47"/>
      <c r="K923" s="288">
        <f t="shared" si="29"/>
        <v>0</v>
      </c>
    </row>
    <row r="924" spans="1:11" s="56" customFormat="1" ht="15.75" customHeight="1">
      <c r="A924" s="44"/>
      <c r="B924" s="45"/>
      <c r="C924" s="46">
        <f>IF(B924&lt;&gt;"",VLOOKUP(B924,'Tipo Projeto'!$A$3:$B$35,2,0),0)</f>
        <v>0</v>
      </c>
      <c r="D924" s="47"/>
      <c r="E924" s="47"/>
      <c r="F924" s="47"/>
      <c r="G924" s="48"/>
      <c r="H924" s="47"/>
      <c r="I924" s="75">
        <f t="shared" si="28"/>
        <v>0</v>
      </c>
      <c r="J924" s="47"/>
      <c r="K924" s="288">
        <f t="shared" si="29"/>
        <v>0</v>
      </c>
    </row>
    <row r="925" spans="1:11" s="56" customFormat="1" ht="15.75" customHeight="1">
      <c r="A925" s="44"/>
      <c r="B925" s="45"/>
      <c r="C925" s="46">
        <f>IF(B925&lt;&gt;"",VLOOKUP(B925,'Tipo Projeto'!$A$3:$B$35,2,0),0)</f>
        <v>0</v>
      </c>
      <c r="D925" s="47"/>
      <c r="E925" s="47"/>
      <c r="F925" s="47"/>
      <c r="G925" s="48"/>
      <c r="H925" s="47"/>
      <c r="I925" s="75">
        <f t="shared" si="28"/>
        <v>0</v>
      </c>
      <c r="J925" s="47"/>
      <c r="K925" s="288">
        <f t="shared" si="29"/>
        <v>0</v>
      </c>
    </row>
    <row r="926" spans="1:11" s="56" customFormat="1" ht="15.75" customHeight="1">
      <c r="A926" s="44"/>
      <c r="B926" s="45"/>
      <c r="C926" s="46">
        <f>IF(B926&lt;&gt;"",VLOOKUP(B926,'Tipo Projeto'!$A$3:$B$35,2,0),0)</f>
        <v>0</v>
      </c>
      <c r="D926" s="47"/>
      <c r="E926" s="47"/>
      <c r="F926" s="47"/>
      <c r="G926" s="48"/>
      <c r="H926" s="47"/>
      <c r="I926" s="75">
        <f t="shared" si="28"/>
        <v>0</v>
      </c>
      <c r="J926" s="47"/>
      <c r="K926" s="288">
        <f t="shared" si="29"/>
        <v>0</v>
      </c>
    </row>
    <row r="927" spans="1:11" s="56" customFormat="1" ht="15.75" customHeight="1">
      <c r="A927" s="44"/>
      <c r="B927" s="45"/>
      <c r="C927" s="46">
        <f>IF(B927&lt;&gt;"",VLOOKUP(B927,'Tipo Projeto'!$A$3:$B$35,2,0),0)</f>
        <v>0</v>
      </c>
      <c r="D927" s="47"/>
      <c r="E927" s="47"/>
      <c r="F927" s="47"/>
      <c r="G927" s="48"/>
      <c r="H927" s="47"/>
      <c r="I927" s="75">
        <f t="shared" si="28"/>
        <v>0</v>
      </c>
      <c r="J927" s="47"/>
      <c r="K927" s="288">
        <f t="shared" si="29"/>
        <v>0</v>
      </c>
    </row>
    <row r="928" spans="1:11" s="56" customFormat="1" ht="15.75" customHeight="1">
      <c r="A928" s="44"/>
      <c r="B928" s="45"/>
      <c r="C928" s="46">
        <f>IF(B928&lt;&gt;"",VLOOKUP(B928,'Tipo Projeto'!$A$3:$B$35,2,0),0)</f>
        <v>0</v>
      </c>
      <c r="D928" s="47"/>
      <c r="E928" s="47"/>
      <c r="F928" s="47"/>
      <c r="G928" s="48"/>
      <c r="H928" s="47"/>
      <c r="I928" s="75">
        <f t="shared" si="28"/>
        <v>0</v>
      </c>
      <c r="J928" s="47"/>
      <c r="K928" s="288">
        <f t="shared" si="29"/>
        <v>0</v>
      </c>
    </row>
    <row r="929" spans="1:11" s="56" customFormat="1" ht="15.75" customHeight="1">
      <c r="A929" s="44"/>
      <c r="B929" s="45"/>
      <c r="C929" s="46">
        <f>IF(B929&lt;&gt;"",VLOOKUP(B929,'Tipo Projeto'!$A$3:$B$35,2,0),0)</f>
        <v>0</v>
      </c>
      <c r="D929" s="47"/>
      <c r="E929" s="47"/>
      <c r="F929" s="47"/>
      <c r="G929" s="48"/>
      <c r="H929" s="47"/>
      <c r="I929" s="75">
        <f t="shared" si="28"/>
        <v>0</v>
      </c>
      <c r="J929" s="47"/>
      <c r="K929" s="288">
        <f t="shared" si="29"/>
        <v>0</v>
      </c>
    </row>
    <row r="930" spans="1:11" s="56" customFormat="1" ht="15.75" customHeight="1">
      <c r="A930" s="44"/>
      <c r="B930" s="45"/>
      <c r="C930" s="46">
        <f>IF(B930&lt;&gt;"",VLOOKUP(B930,'Tipo Projeto'!$A$3:$B$35,2,0),0)</f>
        <v>0</v>
      </c>
      <c r="D930" s="47"/>
      <c r="E930" s="47"/>
      <c r="F930" s="47"/>
      <c r="G930" s="48"/>
      <c r="H930" s="47"/>
      <c r="I930" s="75">
        <f t="shared" si="28"/>
        <v>0</v>
      </c>
      <c r="J930" s="47"/>
      <c r="K930" s="288">
        <f t="shared" si="29"/>
        <v>0</v>
      </c>
    </row>
    <row r="931" spans="1:11" s="56" customFormat="1" ht="15.75" customHeight="1">
      <c r="A931" s="44"/>
      <c r="B931" s="45"/>
      <c r="C931" s="46">
        <f>IF(B931&lt;&gt;"",VLOOKUP(B931,'Tipo Projeto'!$A$3:$B$35,2,0),0)</f>
        <v>0</v>
      </c>
      <c r="D931" s="47"/>
      <c r="E931" s="47"/>
      <c r="F931" s="47"/>
      <c r="G931" s="48"/>
      <c r="H931" s="47"/>
      <c r="I931" s="75">
        <f t="shared" si="28"/>
        <v>0</v>
      </c>
      <c r="J931" s="47"/>
      <c r="K931" s="288">
        <f t="shared" si="29"/>
        <v>0</v>
      </c>
    </row>
    <row r="932" spans="1:11" s="56" customFormat="1" ht="15.75" customHeight="1">
      <c r="A932" s="44"/>
      <c r="B932" s="45"/>
      <c r="C932" s="46">
        <f>IF(B932&lt;&gt;"",VLOOKUP(B932,'Tipo Projeto'!$A$3:$B$35,2,0),0)</f>
        <v>0</v>
      </c>
      <c r="D932" s="47"/>
      <c r="E932" s="47"/>
      <c r="F932" s="47"/>
      <c r="G932" s="48"/>
      <c r="H932" s="47"/>
      <c r="I932" s="75">
        <f t="shared" si="28"/>
        <v>0</v>
      </c>
      <c r="J932" s="47"/>
      <c r="K932" s="288">
        <f t="shared" si="29"/>
        <v>0</v>
      </c>
    </row>
    <row r="933" spans="1:11" s="56" customFormat="1" ht="15.75" customHeight="1">
      <c r="A933" s="44"/>
      <c r="B933" s="45"/>
      <c r="C933" s="46">
        <f>IF(B933&lt;&gt;"",VLOOKUP(B933,'Tipo Projeto'!$A$3:$B$35,2,0),0)</f>
        <v>0</v>
      </c>
      <c r="D933" s="47"/>
      <c r="E933" s="47"/>
      <c r="F933" s="47"/>
      <c r="G933" s="48"/>
      <c r="H933" s="47"/>
      <c r="I933" s="75">
        <f t="shared" si="28"/>
        <v>0</v>
      </c>
      <c r="J933" s="47"/>
      <c r="K933" s="288">
        <f t="shared" si="29"/>
        <v>0</v>
      </c>
    </row>
    <row r="934" spans="1:11" s="56" customFormat="1" ht="15.75" customHeight="1">
      <c r="A934" s="44"/>
      <c r="B934" s="45"/>
      <c r="C934" s="46">
        <f>IF(B934&lt;&gt;"",VLOOKUP(B934,'Tipo Projeto'!$A$3:$B$35,2,0),0)</f>
        <v>0</v>
      </c>
      <c r="D934" s="47"/>
      <c r="E934" s="47"/>
      <c r="F934" s="47"/>
      <c r="G934" s="48"/>
      <c r="H934" s="47"/>
      <c r="I934" s="75">
        <f t="shared" si="28"/>
        <v>0</v>
      </c>
      <c r="J934" s="47"/>
      <c r="K934" s="288">
        <f t="shared" si="29"/>
        <v>0</v>
      </c>
    </row>
    <row r="935" spans="1:11" s="56" customFormat="1" ht="15.75" customHeight="1">
      <c r="A935" s="44"/>
      <c r="B935" s="45"/>
      <c r="C935" s="46">
        <f>IF(B935&lt;&gt;"",VLOOKUP(B935,'Tipo Projeto'!$A$3:$B$35,2,0),0)</f>
        <v>0</v>
      </c>
      <c r="D935" s="47"/>
      <c r="E935" s="47"/>
      <c r="F935" s="47"/>
      <c r="G935" s="48"/>
      <c r="H935" s="47"/>
      <c r="I935" s="75">
        <f t="shared" si="28"/>
        <v>0</v>
      </c>
      <c r="J935" s="47"/>
      <c r="K935" s="288">
        <f t="shared" si="29"/>
        <v>0</v>
      </c>
    </row>
    <row r="936" spans="1:11" s="56" customFormat="1" ht="15.75" customHeight="1">
      <c r="A936" s="44"/>
      <c r="B936" s="45"/>
      <c r="C936" s="46">
        <f>IF(B936&lt;&gt;"",VLOOKUP(B936,'Tipo Projeto'!$A$3:$B$35,2,0),0)</f>
        <v>0</v>
      </c>
      <c r="D936" s="47"/>
      <c r="E936" s="47"/>
      <c r="F936" s="47"/>
      <c r="G936" s="48"/>
      <c r="H936" s="47"/>
      <c r="I936" s="75">
        <f t="shared" si="28"/>
        <v>0</v>
      </c>
      <c r="J936" s="47"/>
      <c r="K936" s="288">
        <f t="shared" si="29"/>
        <v>0</v>
      </c>
    </row>
    <row r="937" spans="1:11" s="56" customFormat="1" ht="15.75" customHeight="1">
      <c r="A937" s="44"/>
      <c r="B937" s="45"/>
      <c r="C937" s="46">
        <f>IF(B937&lt;&gt;"",VLOOKUP(B937,'Tipo Projeto'!$A$3:$B$35,2,0),0)</f>
        <v>0</v>
      </c>
      <c r="D937" s="47"/>
      <c r="E937" s="47"/>
      <c r="F937" s="47"/>
      <c r="G937" s="48"/>
      <c r="H937" s="47"/>
      <c r="I937" s="75">
        <f t="shared" si="28"/>
        <v>0</v>
      </c>
      <c r="J937" s="47"/>
      <c r="K937" s="288">
        <f t="shared" si="29"/>
        <v>0</v>
      </c>
    </row>
    <row r="938" spans="1:11" s="56" customFormat="1" ht="15.75" customHeight="1">
      <c r="A938" s="44"/>
      <c r="B938" s="45"/>
      <c r="C938" s="46">
        <f>IF(B938&lt;&gt;"",VLOOKUP(B938,'Tipo Projeto'!$A$3:$B$35,2,0),0)</f>
        <v>0</v>
      </c>
      <c r="D938" s="47"/>
      <c r="E938" s="47"/>
      <c r="F938" s="47"/>
      <c r="G938" s="48"/>
      <c r="H938" s="47"/>
      <c r="I938" s="75">
        <f t="shared" si="28"/>
        <v>0</v>
      </c>
      <c r="J938" s="47"/>
      <c r="K938" s="288">
        <f t="shared" si="29"/>
        <v>0</v>
      </c>
    </row>
    <row r="939" spans="1:11" s="56" customFormat="1" ht="15.75" customHeight="1">
      <c r="A939" s="44"/>
      <c r="B939" s="45"/>
      <c r="C939" s="46">
        <f>IF(B939&lt;&gt;"",VLOOKUP(B939,'Tipo Projeto'!$A$3:$B$35,2,0),0)</f>
        <v>0</v>
      </c>
      <c r="D939" s="47"/>
      <c r="E939" s="47"/>
      <c r="F939" s="47"/>
      <c r="G939" s="48"/>
      <c r="H939" s="47"/>
      <c r="I939" s="75">
        <f t="shared" si="28"/>
        <v>0</v>
      </c>
      <c r="J939" s="47"/>
      <c r="K939" s="288">
        <f t="shared" si="29"/>
        <v>0</v>
      </c>
    </row>
    <row r="940" spans="1:11" s="56" customFormat="1" ht="15.75" customHeight="1">
      <c r="A940" s="44"/>
      <c r="B940" s="45"/>
      <c r="C940" s="46">
        <f>IF(B940&lt;&gt;"",VLOOKUP(B940,'Tipo Projeto'!$A$3:$B$35,2,0),0)</f>
        <v>0</v>
      </c>
      <c r="D940" s="47"/>
      <c r="E940" s="47"/>
      <c r="F940" s="47"/>
      <c r="G940" s="48"/>
      <c r="H940" s="47"/>
      <c r="I940" s="75">
        <f t="shared" si="28"/>
        <v>0</v>
      </c>
      <c r="J940" s="47"/>
      <c r="K940" s="288">
        <f t="shared" si="29"/>
        <v>0</v>
      </c>
    </row>
    <row r="941" spans="1:11" s="56" customFormat="1" ht="15.75" customHeight="1">
      <c r="A941" s="44"/>
      <c r="B941" s="45"/>
      <c r="C941" s="46">
        <f>IF(B941&lt;&gt;"",VLOOKUP(B941,'Tipo Projeto'!$A$3:$B$35,2,0),0)</f>
        <v>0</v>
      </c>
      <c r="D941" s="47"/>
      <c r="E941" s="47"/>
      <c r="F941" s="47"/>
      <c r="G941" s="48"/>
      <c r="H941" s="47"/>
      <c r="I941" s="75">
        <f t="shared" si="28"/>
        <v>0</v>
      </c>
      <c r="J941" s="47"/>
      <c r="K941" s="288">
        <f t="shared" si="29"/>
        <v>0</v>
      </c>
    </row>
    <row r="942" spans="1:11" s="56" customFormat="1" ht="15.75" customHeight="1">
      <c r="A942" s="44"/>
      <c r="B942" s="45"/>
      <c r="C942" s="46">
        <f>IF(B942&lt;&gt;"",VLOOKUP(B942,'Tipo Projeto'!$A$3:$B$35,2,0),0)</f>
        <v>0</v>
      </c>
      <c r="D942" s="47"/>
      <c r="E942" s="47"/>
      <c r="F942" s="47"/>
      <c r="G942" s="48"/>
      <c r="H942" s="47"/>
      <c r="I942" s="75">
        <f t="shared" si="28"/>
        <v>0</v>
      </c>
      <c r="J942" s="47"/>
      <c r="K942" s="288">
        <f t="shared" si="29"/>
        <v>0</v>
      </c>
    </row>
    <row r="943" spans="1:11" s="56" customFormat="1" ht="15.75" customHeight="1">
      <c r="A943" s="44"/>
      <c r="B943" s="45"/>
      <c r="C943" s="46">
        <f>IF(B943&lt;&gt;"",VLOOKUP(B943,'Tipo Projeto'!$A$3:$B$35,2,0),0)</f>
        <v>0</v>
      </c>
      <c r="D943" s="47"/>
      <c r="E943" s="47"/>
      <c r="F943" s="47"/>
      <c r="G943" s="48"/>
      <c r="H943" s="47"/>
      <c r="I943" s="75">
        <f t="shared" si="28"/>
        <v>0</v>
      </c>
      <c r="J943" s="47"/>
      <c r="K943" s="288">
        <f t="shared" si="29"/>
        <v>0</v>
      </c>
    </row>
    <row r="944" spans="1:11" s="56" customFormat="1" ht="15.75" customHeight="1">
      <c r="A944" s="44"/>
      <c r="B944" s="45"/>
      <c r="C944" s="46">
        <f>IF(B944&lt;&gt;"",VLOOKUP(B944,'Tipo Projeto'!$A$3:$B$35,2,0),0)</f>
        <v>0</v>
      </c>
      <c r="D944" s="47"/>
      <c r="E944" s="47"/>
      <c r="F944" s="47"/>
      <c r="G944" s="48"/>
      <c r="H944" s="47"/>
      <c r="I944" s="75">
        <f t="shared" si="28"/>
        <v>0</v>
      </c>
      <c r="J944" s="47"/>
      <c r="K944" s="288">
        <f t="shared" si="29"/>
        <v>0</v>
      </c>
    </row>
    <row r="945" spans="1:11" s="56" customFormat="1" ht="15.75" customHeight="1">
      <c r="A945" s="44"/>
      <c r="B945" s="45"/>
      <c r="C945" s="46">
        <f>IF(B945&lt;&gt;"",VLOOKUP(B945,'Tipo Projeto'!$A$3:$B$35,2,0),0)</f>
        <v>0</v>
      </c>
      <c r="D945" s="47"/>
      <c r="E945" s="47"/>
      <c r="F945" s="47"/>
      <c r="G945" s="48"/>
      <c r="H945" s="47"/>
      <c r="I945" s="75">
        <f t="shared" si="28"/>
        <v>0</v>
      </c>
      <c r="J945" s="47"/>
      <c r="K945" s="288">
        <f t="shared" si="29"/>
        <v>0</v>
      </c>
    </row>
    <row r="946" spans="1:11" s="56" customFormat="1" ht="15.75" customHeight="1">
      <c r="A946" s="44"/>
      <c r="B946" s="45"/>
      <c r="C946" s="46">
        <f>IF(B946&lt;&gt;"",VLOOKUP(B946,'Tipo Projeto'!$A$3:$B$35,2,0),0)</f>
        <v>0</v>
      </c>
      <c r="D946" s="47"/>
      <c r="E946" s="47"/>
      <c r="F946" s="47"/>
      <c r="G946" s="48"/>
      <c r="H946" s="47"/>
      <c r="I946" s="75">
        <f t="shared" si="28"/>
        <v>0</v>
      </c>
      <c r="J946" s="47"/>
      <c r="K946" s="288">
        <f t="shared" si="29"/>
        <v>0</v>
      </c>
    </row>
    <row r="947" spans="1:11" s="56" customFormat="1" ht="15.75" customHeight="1">
      <c r="A947" s="44"/>
      <c r="B947" s="45"/>
      <c r="C947" s="46">
        <f>IF(B947&lt;&gt;"",VLOOKUP(B947,'Tipo Projeto'!$A$3:$B$35,2,0),0)</f>
        <v>0</v>
      </c>
      <c r="D947" s="47"/>
      <c r="E947" s="47"/>
      <c r="F947" s="47"/>
      <c r="G947" s="48"/>
      <c r="H947" s="47"/>
      <c r="I947" s="75">
        <f t="shared" si="28"/>
        <v>0</v>
      </c>
      <c r="J947" s="47"/>
      <c r="K947" s="288">
        <f t="shared" si="29"/>
        <v>0</v>
      </c>
    </row>
    <row r="948" spans="1:11" s="56" customFormat="1" ht="15.75" customHeight="1">
      <c r="A948" s="44"/>
      <c r="B948" s="45"/>
      <c r="C948" s="46">
        <f>IF(B948&lt;&gt;"",VLOOKUP(B948,'Tipo Projeto'!$A$3:$B$35,2,0),0)</f>
        <v>0</v>
      </c>
      <c r="D948" s="47"/>
      <c r="E948" s="47"/>
      <c r="F948" s="47"/>
      <c r="G948" s="48"/>
      <c r="H948" s="47"/>
      <c r="I948" s="75">
        <f t="shared" si="28"/>
        <v>0</v>
      </c>
      <c r="J948" s="47"/>
      <c r="K948" s="288">
        <f t="shared" si="29"/>
        <v>0</v>
      </c>
    </row>
    <row r="949" spans="1:11" s="56" customFormat="1" ht="15.75" customHeight="1">
      <c r="A949" s="44"/>
      <c r="B949" s="45"/>
      <c r="C949" s="46">
        <f>IF(B949&lt;&gt;"",VLOOKUP(B949,'Tipo Projeto'!$A$3:$B$35,2,0),0)</f>
        <v>0</v>
      </c>
      <c r="D949" s="47"/>
      <c r="E949" s="47"/>
      <c r="F949" s="47"/>
      <c r="G949" s="48"/>
      <c r="H949" s="47"/>
      <c r="I949" s="75">
        <f t="shared" si="28"/>
        <v>0</v>
      </c>
      <c r="J949" s="47"/>
      <c r="K949" s="288">
        <f t="shared" si="29"/>
        <v>0</v>
      </c>
    </row>
    <row r="950" spans="1:11" s="56" customFormat="1" ht="15.75" customHeight="1">
      <c r="A950" s="44"/>
      <c r="B950" s="45"/>
      <c r="C950" s="46">
        <f>IF(B950&lt;&gt;"",VLOOKUP(B950,'Tipo Projeto'!$A$3:$B$35,2,0),0)</f>
        <v>0</v>
      </c>
      <c r="D950" s="47"/>
      <c r="E950" s="47"/>
      <c r="F950" s="47"/>
      <c r="G950" s="48"/>
      <c r="H950" s="47"/>
      <c r="I950" s="75">
        <f t="shared" si="28"/>
        <v>0</v>
      </c>
      <c r="J950" s="47"/>
      <c r="K950" s="288">
        <f t="shared" si="29"/>
        <v>0</v>
      </c>
    </row>
    <row r="951" spans="1:11" s="56" customFormat="1" ht="15.75" customHeight="1">
      <c r="A951" s="44"/>
      <c r="B951" s="45"/>
      <c r="C951" s="46">
        <f>IF(B951&lt;&gt;"",VLOOKUP(B951,'Tipo Projeto'!$A$3:$B$35,2,0),0)</f>
        <v>0</v>
      </c>
      <c r="D951" s="47"/>
      <c r="E951" s="47"/>
      <c r="F951" s="47"/>
      <c r="G951" s="48"/>
      <c r="H951" s="47"/>
      <c r="I951" s="75">
        <f t="shared" si="28"/>
        <v>0</v>
      </c>
      <c r="J951" s="47"/>
      <c r="K951" s="288">
        <f t="shared" si="29"/>
        <v>0</v>
      </c>
    </row>
    <row r="952" spans="1:11" s="56" customFormat="1" ht="15.75" customHeight="1">
      <c r="A952" s="44"/>
      <c r="B952" s="45"/>
      <c r="C952" s="46">
        <f>IF(B952&lt;&gt;"",VLOOKUP(B952,'Tipo Projeto'!$A$3:$B$35,2,0),0)</f>
        <v>0</v>
      </c>
      <c r="D952" s="47"/>
      <c r="E952" s="47"/>
      <c r="F952" s="47"/>
      <c r="G952" s="48"/>
      <c r="H952" s="47"/>
      <c r="I952" s="75">
        <f t="shared" si="28"/>
        <v>0</v>
      </c>
      <c r="J952" s="47"/>
      <c r="K952" s="288">
        <f t="shared" si="29"/>
        <v>0</v>
      </c>
    </row>
    <row r="953" spans="1:11" s="56" customFormat="1" ht="15.75" customHeight="1">
      <c r="A953" s="44"/>
      <c r="B953" s="45"/>
      <c r="C953" s="46">
        <f>IF(B953&lt;&gt;"",VLOOKUP(B953,'Tipo Projeto'!$A$3:$B$35,2,0),0)</f>
        <v>0</v>
      </c>
      <c r="D953" s="47"/>
      <c r="E953" s="47"/>
      <c r="F953" s="47"/>
      <c r="G953" s="48"/>
      <c r="H953" s="47"/>
      <c r="I953" s="75">
        <f t="shared" si="28"/>
        <v>0</v>
      </c>
      <c r="J953" s="47"/>
      <c r="K953" s="288">
        <f t="shared" si="29"/>
        <v>0</v>
      </c>
    </row>
    <row r="954" spans="1:11" s="56" customFormat="1" ht="15.75" customHeight="1">
      <c r="A954" s="44"/>
      <c r="B954" s="45"/>
      <c r="C954" s="46">
        <f>IF(B954&lt;&gt;"",VLOOKUP(B954,'Tipo Projeto'!$A$3:$B$35,2,0),0)</f>
        <v>0</v>
      </c>
      <c r="D954" s="47"/>
      <c r="E954" s="47"/>
      <c r="F954" s="47"/>
      <c r="G954" s="48"/>
      <c r="H954" s="47"/>
      <c r="I954" s="75">
        <f t="shared" si="28"/>
        <v>0</v>
      </c>
      <c r="J954" s="47"/>
      <c r="K954" s="288">
        <f t="shared" si="29"/>
        <v>0</v>
      </c>
    </row>
    <row r="955" spans="1:11" s="56" customFormat="1" ht="15.75" customHeight="1">
      <c r="A955" s="44"/>
      <c r="B955" s="45"/>
      <c r="C955" s="46">
        <f>IF(B955&lt;&gt;"",VLOOKUP(B955,'Tipo Projeto'!$A$3:$B$35,2,0),0)</f>
        <v>0</v>
      </c>
      <c r="D955" s="47"/>
      <c r="E955" s="47"/>
      <c r="F955" s="47"/>
      <c r="G955" s="48"/>
      <c r="H955" s="47"/>
      <c r="I955" s="75">
        <f t="shared" si="28"/>
        <v>0</v>
      </c>
      <c r="J955" s="47"/>
      <c r="K955" s="288">
        <f t="shared" si="29"/>
        <v>0</v>
      </c>
    </row>
    <row r="956" spans="1:11" s="56" customFormat="1" ht="15.75" customHeight="1">
      <c r="A956" s="44"/>
      <c r="B956" s="45"/>
      <c r="C956" s="46">
        <f>IF(B956&lt;&gt;"",VLOOKUP(B956,'Tipo Projeto'!$A$3:$B$35,2,0),0)</f>
        <v>0</v>
      </c>
      <c r="D956" s="47"/>
      <c r="E956" s="47"/>
      <c r="F956" s="47"/>
      <c r="G956" s="48"/>
      <c r="H956" s="47"/>
      <c r="I956" s="75">
        <f t="shared" si="28"/>
        <v>0</v>
      </c>
      <c r="J956" s="47"/>
      <c r="K956" s="288">
        <f t="shared" si="29"/>
        <v>0</v>
      </c>
    </row>
    <row r="957" spans="1:11" s="56" customFormat="1" ht="15.75" customHeight="1">
      <c r="A957" s="44"/>
      <c r="B957" s="45"/>
      <c r="C957" s="46">
        <f>IF(B957&lt;&gt;"",VLOOKUP(B957,'Tipo Projeto'!$A$3:$B$35,2,0),0)</f>
        <v>0</v>
      </c>
      <c r="D957" s="47"/>
      <c r="E957" s="47"/>
      <c r="F957" s="47"/>
      <c r="G957" s="48"/>
      <c r="H957" s="47"/>
      <c r="I957" s="75">
        <f t="shared" si="28"/>
        <v>0</v>
      </c>
      <c r="J957" s="47"/>
      <c r="K957" s="288">
        <f t="shared" si="29"/>
        <v>0</v>
      </c>
    </row>
    <row r="958" spans="1:11" s="56" customFormat="1" ht="15.75" customHeight="1">
      <c r="A958" s="44"/>
      <c r="B958" s="45"/>
      <c r="C958" s="46">
        <f>IF(B958&lt;&gt;"",VLOOKUP(B958,'Tipo Projeto'!$A$3:$B$35,2,0),0)</f>
        <v>0</v>
      </c>
      <c r="D958" s="47"/>
      <c r="E958" s="47"/>
      <c r="F958" s="47"/>
      <c r="G958" s="48"/>
      <c r="H958" s="47"/>
      <c r="I958" s="75">
        <f t="shared" ref="I958:I1021" si="30">IF(B958&lt;&gt;"Manutenção em interface",IF(B958&lt;&gt;"Desenv., Manutenção e Publicação de Páginas Estáticas",IF(H958="EE",4,IF(H958="CE",4,IF(H958="SE",5,IF(H958="ALI",7,IF(H958="AIE",5,0)))))*C958,C958),C958)</f>
        <v>0</v>
      </c>
      <c r="J958" s="47"/>
      <c r="K958" s="288">
        <f t="shared" si="29"/>
        <v>0</v>
      </c>
    </row>
    <row r="959" spans="1:11" s="56" customFormat="1" ht="15.75" customHeight="1">
      <c r="A959" s="44"/>
      <c r="B959" s="45"/>
      <c r="C959" s="46">
        <f>IF(B959&lt;&gt;"",VLOOKUP(B959,'Tipo Projeto'!$A$3:$B$35,2,0),0)</f>
        <v>0</v>
      </c>
      <c r="D959" s="47"/>
      <c r="E959" s="47"/>
      <c r="F959" s="47"/>
      <c r="G959" s="48"/>
      <c r="H959" s="47"/>
      <c r="I959" s="75">
        <f t="shared" si="30"/>
        <v>0</v>
      </c>
      <c r="J959" s="47"/>
      <c r="K959" s="288">
        <f t="shared" si="29"/>
        <v>0</v>
      </c>
    </row>
    <row r="960" spans="1:11" s="56" customFormat="1" ht="15.75" customHeight="1">
      <c r="A960" s="44"/>
      <c r="B960" s="45"/>
      <c r="C960" s="46">
        <f>IF(B960&lt;&gt;"",VLOOKUP(B960,'Tipo Projeto'!$A$3:$B$35,2,0),0)</f>
        <v>0</v>
      </c>
      <c r="D960" s="47"/>
      <c r="E960" s="47"/>
      <c r="F960" s="47"/>
      <c r="G960" s="48"/>
      <c r="H960" s="47"/>
      <c r="I960" s="75">
        <f t="shared" si="30"/>
        <v>0</v>
      </c>
      <c r="J960" s="47"/>
      <c r="K960" s="288">
        <f t="shared" si="29"/>
        <v>0</v>
      </c>
    </row>
    <row r="961" spans="1:11" s="56" customFormat="1" ht="15.75" customHeight="1">
      <c r="A961" s="44"/>
      <c r="B961" s="45"/>
      <c r="C961" s="46">
        <f>IF(B961&lt;&gt;"",VLOOKUP(B961,'Tipo Projeto'!$A$3:$B$35,2,0),0)</f>
        <v>0</v>
      </c>
      <c r="D961" s="47"/>
      <c r="E961" s="47"/>
      <c r="F961" s="47"/>
      <c r="G961" s="48"/>
      <c r="H961" s="47"/>
      <c r="I961" s="75">
        <f t="shared" si="30"/>
        <v>0</v>
      </c>
      <c r="J961" s="47"/>
      <c r="K961" s="288">
        <f t="shared" si="29"/>
        <v>0</v>
      </c>
    </row>
    <row r="962" spans="1:11" s="56" customFormat="1" ht="15.75" customHeight="1">
      <c r="A962" s="44"/>
      <c r="B962" s="45"/>
      <c r="C962" s="46">
        <f>IF(B962&lt;&gt;"",VLOOKUP(B962,'Tipo Projeto'!$A$3:$B$35,2,0),0)</f>
        <v>0</v>
      </c>
      <c r="D962" s="47"/>
      <c r="E962" s="47"/>
      <c r="F962" s="47"/>
      <c r="G962" s="48"/>
      <c r="H962" s="47"/>
      <c r="I962" s="75">
        <f t="shared" si="30"/>
        <v>0</v>
      </c>
      <c r="J962" s="47"/>
      <c r="K962" s="288">
        <f t="shared" si="29"/>
        <v>0</v>
      </c>
    </row>
    <row r="963" spans="1:11" s="56" customFormat="1" ht="15.75" customHeight="1">
      <c r="A963" s="44"/>
      <c r="B963" s="45"/>
      <c r="C963" s="46">
        <f>IF(B963&lt;&gt;"",VLOOKUP(B963,'Tipo Projeto'!$A$3:$B$35,2,0),0)</f>
        <v>0</v>
      </c>
      <c r="D963" s="47"/>
      <c r="E963" s="47"/>
      <c r="F963" s="47"/>
      <c r="G963" s="48"/>
      <c r="H963" s="47"/>
      <c r="I963" s="75">
        <f t="shared" si="30"/>
        <v>0</v>
      </c>
      <c r="J963" s="47"/>
      <c r="K963" s="288">
        <f t="shared" si="29"/>
        <v>0</v>
      </c>
    </row>
    <row r="964" spans="1:11" s="56" customFormat="1" ht="15.75" customHeight="1">
      <c r="A964" s="44"/>
      <c r="B964" s="45"/>
      <c r="C964" s="46">
        <f>IF(B964&lt;&gt;"",VLOOKUP(B964,'Tipo Projeto'!$A$3:$B$35,2,0),0)</f>
        <v>0</v>
      </c>
      <c r="D964" s="47"/>
      <c r="E964" s="47"/>
      <c r="F964" s="47"/>
      <c r="G964" s="48"/>
      <c r="H964" s="47"/>
      <c r="I964" s="75">
        <f t="shared" si="30"/>
        <v>0</v>
      </c>
      <c r="J964" s="47"/>
      <c r="K964" s="288">
        <f t="shared" si="29"/>
        <v>0</v>
      </c>
    </row>
    <row r="965" spans="1:11" s="56" customFormat="1" ht="15.75" customHeight="1">
      <c r="A965" s="44"/>
      <c r="B965" s="45"/>
      <c r="C965" s="46">
        <f>IF(B965&lt;&gt;"",VLOOKUP(B965,'Tipo Projeto'!$A$3:$B$35,2,0),0)</f>
        <v>0</v>
      </c>
      <c r="D965" s="47"/>
      <c r="E965" s="47"/>
      <c r="F965" s="47"/>
      <c r="G965" s="48"/>
      <c r="H965" s="47"/>
      <c r="I965" s="75">
        <f t="shared" si="30"/>
        <v>0</v>
      </c>
      <c r="J965" s="47"/>
      <c r="K965" s="288">
        <f t="shared" si="29"/>
        <v>0</v>
      </c>
    </row>
    <row r="966" spans="1:11" s="56" customFormat="1" ht="15.75" customHeight="1">
      <c r="A966" s="44"/>
      <c r="B966" s="45"/>
      <c r="C966" s="46">
        <f>IF(B966&lt;&gt;"",VLOOKUP(B966,'Tipo Projeto'!$A$3:$B$35,2,0),0)</f>
        <v>0</v>
      </c>
      <c r="D966" s="47"/>
      <c r="E966" s="47"/>
      <c r="F966" s="47"/>
      <c r="G966" s="48"/>
      <c r="H966" s="47"/>
      <c r="I966" s="75">
        <f t="shared" si="30"/>
        <v>0</v>
      </c>
      <c r="J966" s="47"/>
      <c r="K966" s="288">
        <f t="shared" si="29"/>
        <v>0</v>
      </c>
    </row>
    <row r="967" spans="1:11" s="56" customFormat="1" ht="15.75" customHeight="1">
      <c r="A967" s="44"/>
      <c r="B967" s="45"/>
      <c r="C967" s="46">
        <f>IF(B967&lt;&gt;"",VLOOKUP(B967,'Tipo Projeto'!$A$3:$B$35,2,0),0)</f>
        <v>0</v>
      </c>
      <c r="D967" s="47"/>
      <c r="E967" s="47"/>
      <c r="F967" s="47"/>
      <c r="G967" s="48"/>
      <c r="H967" s="47"/>
      <c r="I967" s="75">
        <f t="shared" si="30"/>
        <v>0</v>
      </c>
      <c r="J967" s="47"/>
      <c r="K967" s="288">
        <f t="shared" si="29"/>
        <v>0</v>
      </c>
    </row>
    <row r="968" spans="1:11" s="56" customFormat="1" ht="15.75" customHeight="1">
      <c r="A968" s="44"/>
      <c r="B968" s="45"/>
      <c r="C968" s="46">
        <f>IF(B968&lt;&gt;"",VLOOKUP(B968,'Tipo Projeto'!$A$3:$B$35,2,0),0)</f>
        <v>0</v>
      </c>
      <c r="D968" s="47"/>
      <c r="E968" s="47"/>
      <c r="F968" s="47"/>
      <c r="G968" s="48"/>
      <c r="H968" s="47"/>
      <c r="I968" s="75">
        <f t="shared" si="30"/>
        <v>0</v>
      </c>
      <c r="J968" s="47"/>
      <c r="K968" s="288">
        <f t="shared" si="29"/>
        <v>0</v>
      </c>
    </row>
    <row r="969" spans="1:11" s="56" customFormat="1" ht="15.75" customHeight="1">
      <c r="A969" s="44"/>
      <c r="B969" s="45"/>
      <c r="C969" s="46">
        <f>IF(B969&lt;&gt;"",VLOOKUP(B969,'Tipo Projeto'!$A$3:$B$35,2,0),0)</f>
        <v>0</v>
      </c>
      <c r="D969" s="47"/>
      <c r="E969" s="47"/>
      <c r="F969" s="47"/>
      <c r="G969" s="48"/>
      <c r="H969" s="47"/>
      <c r="I969" s="75">
        <f t="shared" si="30"/>
        <v>0</v>
      </c>
      <c r="J969" s="47"/>
      <c r="K969" s="288">
        <f t="shared" si="29"/>
        <v>0</v>
      </c>
    </row>
    <row r="970" spans="1:11" s="56" customFormat="1" ht="15.75" customHeight="1">
      <c r="A970" s="44"/>
      <c r="B970" s="45"/>
      <c r="C970" s="46">
        <f>IF(B970&lt;&gt;"",VLOOKUP(B970,'Tipo Projeto'!$A$3:$B$35,2,0),0)</f>
        <v>0</v>
      </c>
      <c r="D970" s="47"/>
      <c r="E970" s="47"/>
      <c r="F970" s="47"/>
      <c r="G970" s="48"/>
      <c r="H970" s="47"/>
      <c r="I970" s="75">
        <f t="shared" si="30"/>
        <v>0</v>
      </c>
      <c r="J970" s="47"/>
      <c r="K970" s="288">
        <f t="shared" si="29"/>
        <v>0</v>
      </c>
    </row>
    <row r="971" spans="1:11" s="56" customFormat="1" ht="15.75" customHeight="1">
      <c r="A971" s="44"/>
      <c r="B971" s="45"/>
      <c r="C971" s="46">
        <f>IF(B971&lt;&gt;"",VLOOKUP(B971,'Tipo Projeto'!$A$3:$B$35,2,0),0)</f>
        <v>0</v>
      </c>
      <c r="D971" s="47"/>
      <c r="E971" s="47"/>
      <c r="F971" s="47"/>
      <c r="G971" s="48"/>
      <c r="H971" s="47"/>
      <c r="I971" s="75">
        <f t="shared" si="30"/>
        <v>0</v>
      </c>
      <c r="J971" s="47"/>
      <c r="K971" s="288">
        <f t="shared" si="29"/>
        <v>0</v>
      </c>
    </row>
    <row r="972" spans="1:11" s="56" customFormat="1" ht="15.75" customHeight="1">
      <c r="A972" s="44"/>
      <c r="B972" s="45"/>
      <c r="C972" s="46">
        <f>IF(B972&lt;&gt;"",VLOOKUP(B972,'Tipo Projeto'!$A$3:$B$35,2,0),0)</f>
        <v>0</v>
      </c>
      <c r="D972" s="47"/>
      <c r="E972" s="47"/>
      <c r="F972" s="47"/>
      <c r="G972" s="48"/>
      <c r="H972" s="47"/>
      <c r="I972" s="75">
        <f t="shared" si="30"/>
        <v>0</v>
      </c>
      <c r="J972" s="47"/>
      <c r="K972" s="288">
        <f t="shared" ref="K972:K1035" si="31">IF(AND(C972&lt;&gt;0,I972&lt;&gt;0),I972/C972,0)</f>
        <v>0</v>
      </c>
    </row>
    <row r="973" spans="1:11" s="56" customFormat="1" ht="15.75" customHeight="1">
      <c r="A973" s="44"/>
      <c r="B973" s="45"/>
      <c r="C973" s="46">
        <f>IF(B973&lt;&gt;"",VLOOKUP(B973,'Tipo Projeto'!$A$3:$B$35,2,0),0)</f>
        <v>0</v>
      </c>
      <c r="D973" s="47"/>
      <c r="E973" s="47"/>
      <c r="F973" s="47"/>
      <c r="G973" s="48"/>
      <c r="H973" s="47"/>
      <c r="I973" s="75">
        <f t="shared" si="30"/>
        <v>0</v>
      </c>
      <c r="J973" s="47"/>
      <c r="K973" s="288">
        <f t="shared" si="31"/>
        <v>0</v>
      </c>
    </row>
    <row r="974" spans="1:11" s="56" customFormat="1" ht="15.75" customHeight="1">
      <c r="A974" s="44"/>
      <c r="B974" s="45"/>
      <c r="C974" s="46">
        <f>IF(B974&lt;&gt;"",VLOOKUP(B974,'Tipo Projeto'!$A$3:$B$35,2,0),0)</f>
        <v>0</v>
      </c>
      <c r="D974" s="47"/>
      <c r="E974" s="47"/>
      <c r="F974" s="47"/>
      <c r="G974" s="48"/>
      <c r="H974" s="47"/>
      <c r="I974" s="75">
        <f t="shared" si="30"/>
        <v>0</v>
      </c>
      <c r="J974" s="47"/>
      <c r="K974" s="288">
        <f t="shared" si="31"/>
        <v>0</v>
      </c>
    </row>
    <row r="975" spans="1:11" s="56" customFormat="1" ht="15.75" customHeight="1">
      <c r="A975" s="44"/>
      <c r="B975" s="45"/>
      <c r="C975" s="46">
        <f>IF(B975&lt;&gt;"",VLOOKUP(B975,'Tipo Projeto'!$A$3:$B$35,2,0),0)</f>
        <v>0</v>
      </c>
      <c r="D975" s="47"/>
      <c r="E975" s="47"/>
      <c r="F975" s="47"/>
      <c r="G975" s="48"/>
      <c r="H975" s="47"/>
      <c r="I975" s="75">
        <f t="shared" si="30"/>
        <v>0</v>
      </c>
      <c r="J975" s="47"/>
      <c r="K975" s="288">
        <f t="shared" si="31"/>
        <v>0</v>
      </c>
    </row>
    <row r="976" spans="1:11" s="56" customFormat="1" ht="15.75" customHeight="1">
      <c r="A976" s="44"/>
      <c r="B976" s="45"/>
      <c r="C976" s="46">
        <f>IF(B976&lt;&gt;"",VLOOKUP(B976,'Tipo Projeto'!$A$3:$B$35,2,0),0)</f>
        <v>0</v>
      </c>
      <c r="D976" s="47"/>
      <c r="E976" s="47"/>
      <c r="F976" s="47"/>
      <c r="G976" s="48"/>
      <c r="H976" s="47"/>
      <c r="I976" s="75">
        <f t="shared" si="30"/>
        <v>0</v>
      </c>
      <c r="J976" s="47"/>
      <c r="K976" s="288">
        <f t="shared" si="31"/>
        <v>0</v>
      </c>
    </row>
    <row r="977" spans="1:11" s="56" customFormat="1" ht="15.75" customHeight="1">
      <c r="A977" s="44"/>
      <c r="B977" s="45"/>
      <c r="C977" s="46">
        <f>IF(B977&lt;&gt;"",VLOOKUP(B977,'Tipo Projeto'!$A$3:$B$35,2,0),0)</f>
        <v>0</v>
      </c>
      <c r="D977" s="47"/>
      <c r="E977" s="47"/>
      <c r="F977" s="47"/>
      <c r="G977" s="48"/>
      <c r="H977" s="47"/>
      <c r="I977" s="75">
        <f t="shared" si="30"/>
        <v>0</v>
      </c>
      <c r="J977" s="47"/>
      <c r="K977" s="288">
        <f t="shared" si="31"/>
        <v>0</v>
      </c>
    </row>
    <row r="978" spans="1:11" s="56" customFormat="1" ht="15.75" customHeight="1">
      <c r="A978" s="44"/>
      <c r="B978" s="45"/>
      <c r="C978" s="46">
        <f>IF(B978&lt;&gt;"",VLOOKUP(B978,'Tipo Projeto'!$A$3:$B$35,2,0),0)</f>
        <v>0</v>
      </c>
      <c r="D978" s="47"/>
      <c r="E978" s="47"/>
      <c r="F978" s="47"/>
      <c r="G978" s="48"/>
      <c r="H978" s="47"/>
      <c r="I978" s="75">
        <f t="shared" si="30"/>
        <v>0</v>
      </c>
      <c r="J978" s="47"/>
      <c r="K978" s="288">
        <f t="shared" si="31"/>
        <v>0</v>
      </c>
    </row>
    <row r="979" spans="1:11" s="56" customFormat="1" ht="15.75" customHeight="1">
      <c r="A979" s="44"/>
      <c r="B979" s="45"/>
      <c r="C979" s="46">
        <f>IF(B979&lt;&gt;"",VLOOKUP(B979,'Tipo Projeto'!$A$3:$B$35,2,0),0)</f>
        <v>0</v>
      </c>
      <c r="D979" s="47"/>
      <c r="E979" s="47"/>
      <c r="F979" s="47"/>
      <c r="G979" s="48"/>
      <c r="H979" s="47"/>
      <c r="I979" s="75">
        <f t="shared" si="30"/>
        <v>0</v>
      </c>
      <c r="J979" s="47"/>
      <c r="K979" s="288">
        <f t="shared" si="31"/>
        <v>0</v>
      </c>
    </row>
    <row r="980" spans="1:11" s="56" customFormat="1" ht="15.75" customHeight="1">
      <c r="A980" s="44"/>
      <c r="B980" s="45"/>
      <c r="C980" s="46">
        <f>IF(B980&lt;&gt;"",VLOOKUP(B980,'Tipo Projeto'!$A$3:$B$35,2,0),0)</f>
        <v>0</v>
      </c>
      <c r="D980" s="47"/>
      <c r="E980" s="47"/>
      <c r="F980" s="47"/>
      <c r="G980" s="48"/>
      <c r="H980" s="47"/>
      <c r="I980" s="75">
        <f t="shared" si="30"/>
        <v>0</v>
      </c>
      <c r="J980" s="47"/>
      <c r="K980" s="288">
        <f t="shared" si="31"/>
        <v>0</v>
      </c>
    </row>
    <row r="981" spans="1:11" s="56" customFormat="1" ht="15.75" customHeight="1">
      <c r="A981" s="44"/>
      <c r="B981" s="45"/>
      <c r="C981" s="46">
        <f>IF(B981&lt;&gt;"",VLOOKUP(B981,'Tipo Projeto'!$A$3:$B$35,2,0),0)</f>
        <v>0</v>
      </c>
      <c r="D981" s="47"/>
      <c r="E981" s="47"/>
      <c r="F981" s="47"/>
      <c r="G981" s="48"/>
      <c r="H981" s="47"/>
      <c r="I981" s="75">
        <f t="shared" si="30"/>
        <v>0</v>
      </c>
      <c r="J981" s="47"/>
      <c r="K981" s="288">
        <f t="shared" si="31"/>
        <v>0</v>
      </c>
    </row>
    <row r="982" spans="1:11" s="56" customFormat="1" ht="15.75" customHeight="1">
      <c r="A982" s="44"/>
      <c r="B982" s="45"/>
      <c r="C982" s="46">
        <f>IF(B982&lt;&gt;"",VLOOKUP(B982,'Tipo Projeto'!$A$3:$B$35,2,0),0)</f>
        <v>0</v>
      </c>
      <c r="D982" s="47"/>
      <c r="E982" s="47"/>
      <c r="F982" s="47"/>
      <c r="G982" s="48"/>
      <c r="H982" s="47"/>
      <c r="I982" s="75">
        <f t="shared" si="30"/>
        <v>0</v>
      </c>
      <c r="J982" s="47"/>
      <c r="K982" s="288">
        <f t="shared" si="31"/>
        <v>0</v>
      </c>
    </row>
    <row r="983" spans="1:11" s="56" customFormat="1" ht="15.75" customHeight="1">
      <c r="A983" s="44"/>
      <c r="B983" s="45"/>
      <c r="C983" s="46">
        <f>IF(B983&lt;&gt;"",VLOOKUP(B983,'Tipo Projeto'!$A$3:$B$35,2,0),0)</f>
        <v>0</v>
      </c>
      <c r="D983" s="47"/>
      <c r="E983" s="47"/>
      <c r="F983" s="47"/>
      <c r="G983" s="48"/>
      <c r="H983" s="47"/>
      <c r="I983" s="75">
        <f t="shared" si="30"/>
        <v>0</v>
      </c>
      <c r="J983" s="47"/>
      <c r="K983" s="288">
        <f t="shared" si="31"/>
        <v>0</v>
      </c>
    </row>
    <row r="984" spans="1:11" s="56" customFormat="1" ht="15.75" customHeight="1">
      <c r="A984" s="44"/>
      <c r="B984" s="45"/>
      <c r="C984" s="46">
        <f>IF(B984&lt;&gt;"",VLOOKUP(B984,'Tipo Projeto'!$A$3:$B$35,2,0),0)</f>
        <v>0</v>
      </c>
      <c r="D984" s="47"/>
      <c r="E984" s="47"/>
      <c r="F984" s="47"/>
      <c r="G984" s="48"/>
      <c r="H984" s="47"/>
      <c r="I984" s="75">
        <f t="shared" si="30"/>
        <v>0</v>
      </c>
      <c r="J984" s="47"/>
      <c r="K984" s="288">
        <f t="shared" si="31"/>
        <v>0</v>
      </c>
    </row>
    <row r="985" spans="1:11" s="56" customFormat="1" ht="15.75" customHeight="1">
      <c r="A985" s="44"/>
      <c r="B985" s="45"/>
      <c r="C985" s="46">
        <f>IF(B985&lt;&gt;"",VLOOKUP(B985,'Tipo Projeto'!$A$3:$B$35,2,0),0)</f>
        <v>0</v>
      </c>
      <c r="D985" s="47"/>
      <c r="E985" s="47"/>
      <c r="F985" s="47"/>
      <c r="G985" s="48"/>
      <c r="H985" s="47"/>
      <c r="I985" s="75">
        <f t="shared" si="30"/>
        <v>0</v>
      </c>
      <c r="J985" s="47"/>
      <c r="K985" s="288">
        <f t="shared" si="31"/>
        <v>0</v>
      </c>
    </row>
    <row r="986" spans="1:11" s="56" customFormat="1" ht="15.75" customHeight="1">
      <c r="A986" s="44"/>
      <c r="B986" s="45"/>
      <c r="C986" s="46">
        <f>IF(B986&lt;&gt;"",VLOOKUP(B986,'Tipo Projeto'!$A$3:$B$35,2,0),0)</f>
        <v>0</v>
      </c>
      <c r="D986" s="47"/>
      <c r="E986" s="47"/>
      <c r="F986" s="47"/>
      <c r="G986" s="48"/>
      <c r="H986" s="47"/>
      <c r="I986" s="75">
        <f t="shared" si="30"/>
        <v>0</v>
      </c>
      <c r="J986" s="47"/>
      <c r="K986" s="288">
        <f t="shared" si="31"/>
        <v>0</v>
      </c>
    </row>
    <row r="987" spans="1:11" s="56" customFormat="1" ht="15.75" customHeight="1">
      <c r="A987" s="44"/>
      <c r="B987" s="45"/>
      <c r="C987" s="46">
        <f>IF(B987&lt;&gt;"",VLOOKUP(B987,'Tipo Projeto'!$A$3:$B$35,2,0),0)</f>
        <v>0</v>
      </c>
      <c r="D987" s="47"/>
      <c r="E987" s="47"/>
      <c r="F987" s="47"/>
      <c r="G987" s="48"/>
      <c r="H987" s="47"/>
      <c r="I987" s="75">
        <f t="shared" si="30"/>
        <v>0</v>
      </c>
      <c r="J987" s="47"/>
      <c r="K987" s="288">
        <f t="shared" si="31"/>
        <v>0</v>
      </c>
    </row>
    <row r="988" spans="1:11" s="56" customFormat="1" ht="15.75" customHeight="1">
      <c r="A988" s="44"/>
      <c r="B988" s="45"/>
      <c r="C988" s="46">
        <f>IF(B988&lt;&gt;"",VLOOKUP(B988,'Tipo Projeto'!$A$3:$B$35,2,0),0)</f>
        <v>0</v>
      </c>
      <c r="D988" s="47"/>
      <c r="E988" s="47"/>
      <c r="F988" s="47"/>
      <c r="G988" s="48"/>
      <c r="H988" s="47"/>
      <c r="I988" s="75">
        <f t="shared" si="30"/>
        <v>0</v>
      </c>
      <c r="J988" s="47"/>
      <c r="K988" s="288">
        <f t="shared" si="31"/>
        <v>0</v>
      </c>
    </row>
    <row r="989" spans="1:11" s="56" customFormat="1" ht="15.75" customHeight="1">
      <c r="A989" s="44"/>
      <c r="B989" s="45"/>
      <c r="C989" s="46">
        <f>IF(B989&lt;&gt;"",VLOOKUP(B989,'Tipo Projeto'!$A$3:$B$35,2,0),0)</f>
        <v>0</v>
      </c>
      <c r="D989" s="47"/>
      <c r="E989" s="47"/>
      <c r="F989" s="47"/>
      <c r="G989" s="48"/>
      <c r="H989" s="47"/>
      <c r="I989" s="75">
        <f t="shared" si="30"/>
        <v>0</v>
      </c>
      <c r="J989" s="47"/>
      <c r="K989" s="288">
        <f t="shared" si="31"/>
        <v>0</v>
      </c>
    </row>
    <row r="990" spans="1:11" s="56" customFormat="1" ht="15.75" customHeight="1">
      <c r="A990" s="44"/>
      <c r="B990" s="45"/>
      <c r="C990" s="46">
        <f>IF(B990&lt;&gt;"",VLOOKUP(B990,'Tipo Projeto'!$A$3:$B$35,2,0),0)</f>
        <v>0</v>
      </c>
      <c r="D990" s="47"/>
      <c r="E990" s="47"/>
      <c r="F990" s="47"/>
      <c r="G990" s="48"/>
      <c r="H990" s="47"/>
      <c r="I990" s="75">
        <f t="shared" si="30"/>
        <v>0</v>
      </c>
      <c r="J990" s="47"/>
      <c r="K990" s="288">
        <f t="shared" si="31"/>
        <v>0</v>
      </c>
    </row>
    <row r="991" spans="1:11" s="56" customFormat="1" ht="15.75" customHeight="1">
      <c r="A991" s="44"/>
      <c r="B991" s="45"/>
      <c r="C991" s="46">
        <f>IF(B991&lt;&gt;"",VLOOKUP(B991,'Tipo Projeto'!$A$3:$B$35,2,0),0)</f>
        <v>0</v>
      </c>
      <c r="D991" s="47"/>
      <c r="E991" s="47"/>
      <c r="F991" s="47"/>
      <c r="G991" s="48"/>
      <c r="H991" s="47"/>
      <c r="I991" s="75">
        <f t="shared" si="30"/>
        <v>0</v>
      </c>
      <c r="J991" s="47"/>
      <c r="K991" s="288">
        <f t="shared" si="31"/>
        <v>0</v>
      </c>
    </row>
    <row r="992" spans="1:11" s="56" customFormat="1" ht="15.75" customHeight="1">
      <c r="A992" s="44"/>
      <c r="B992" s="45"/>
      <c r="C992" s="46">
        <f>IF(B992&lt;&gt;"",VLOOKUP(B992,'Tipo Projeto'!$A$3:$B$35,2,0),0)</f>
        <v>0</v>
      </c>
      <c r="D992" s="47"/>
      <c r="E992" s="47"/>
      <c r="F992" s="47"/>
      <c r="G992" s="48"/>
      <c r="H992" s="47"/>
      <c r="I992" s="75">
        <f t="shared" si="30"/>
        <v>0</v>
      </c>
      <c r="J992" s="47"/>
      <c r="K992" s="288">
        <f t="shared" si="31"/>
        <v>0</v>
      </c>
    </row>
    <row r="993" spans="1:11" s="56" customFormat="1" ht="15.75" customHeight="1">
      <c r="A993" s="44"/>
      <c r="B993" s="45"/>
      <c r="C993" s="46">
        <f>IF(B993&lt;&gt;"",VLOOKUP(B993,'Tipo Projeto'!$A$3:$B$35,2,0),0)</f>
        <v>0</v>
      </c>
      <c r="D993" s="47"/>
      <c r="E993" s="47"/>
      <c r="F993" s="47"/>
      <c r="G993" s="48"/>
      <c r="H993" s="47"/>
      <c r="I993" s="75">
        <f t="shared" si="30"/>
        <v>0</v>
      </c>
      <c r="J993" s="47"/>
      <c r="K993" s="288">
        <f t="shared" si="31"/>
        <v>0</v>
      </c>
    </row>
    <row r="994" spans="1:11" s="56" customFormat="1" ht="15.75" customHeight="1">
      <c r="A994" s="44"/>
      <c r="B994" s="45"/>
      <c r="C994" s="46">
        <f>IF(B994&lt;&gt;"",VLOOKUP(B994,'Tipo Projeto'!$A$3:$B$35,2,0),0)</f>
        <v>0</v>
      </c>
      <c r="D994" s="47"/>
      <c r="E994" s="47"/>
      <c r="F994" s="47"/>
      <c r="G994" s="48"/>
      <c r="H994" s="47"/>
      <c r="I994" s="75">
        <f t="shared" si="30"/>
        <v>0</v>
      </c>
      <c r="J994" s="47"/>
      <c r="K994" s="288">
        <f t="shared" si="31"/>
        <v>0</v>
      </c>
    </row>
    <row r="995" spans="1:11" s="56" customFormat="1" ht="15.75" customHeight="1">
      <c r="A995" s="44"/>
      <c r="B995" s="45"/>
      <c r="C995" s="46">
        <f>IF(B995&lt;&gt;"",VLOOKUP(B995,'Tipo Projeto'!$A$3:$B$35,2,0),0)</f>
        <v>0</v>
      </c>
      <c r="D995" s="47"/>
      <c r="E995" s="47"/>
      <c r="F995" s="47"/>
      <c r="G995" s="48"/>
      <c r="H995" s="47"/>
      <c r="I995" s="75">
        <f t="shared" si="30"/>
        <v>0</v>
      </c>
      <c r="J995" s="47"/>
      <c r="K995" s="288">
        <f t="shared" si="31"/>
        <v>0</v>
      </c>
    </row>
    <row r="996" spans="1:11" s="56" customFormat="1" ht="15.75" customHeight="1">
      <c r="A996" s="44"/>
      <c r="B996" s="45"/>
      <c r="C996" s="46">
        <f>IF(B996&lt;&gt;"",VLOOKUP(B996,'Tipo Projeto'!$A$3:$B$35,2,0),0)</f>
        <v>0</v>
      </c>
      <c r="D996" s="47"/>
      <c r="E996" s="47"/>
      <c r="F996" s="47"/>
      <c r="G996" s="48"/>
      <c r="H996" s="47"/>
      <c r="I996" s="75">
        <f t="shared" si="30"/>
        <v>0</v>
      </c>
      <c r="J996" s="47"/>
      <c r="K996" s="288">
        <f t="shared" si="31"/>
        <v>0</v>
      </c>
    </row>
    <row r="997" spans="1:11" s="56" customFormat="1" ht="15.75" customHeight="1">
      <c r="A997" s="44"/>
      <c r="B997" s="45"/>
      <c r="C997" s="46">
        <f>IF(B997&lt;&gt;"",VLOOKUP(B997,'Tipo Projeto'!$A$3:$B$35,2,0),0)</f>
        <v>0</v>
      </c>
      <c r="D997" s="47"/>
      <c r="E997" s="47"/>
      <c r="F997" s="47"/>
      <c r="G997" s="48"/>
      <c r="H997" s="47"/>
      <c r="I997" s="75">
        <f t="shared" si="30"/>
        <v>0</v>
      </c>
      <c r="J997" s="47"/>
      <c r="K997" s="288">
        <f t="shared" si="31"/>
        <v>0</v>
      </c>
    </row>
    <row r="998" spans="1:11" s="56" customFormat="1" ht="15.75" customHeight="1">
      <c r="A998" s="44"/>
      <c r="B998" s="45"/>
      <c r="C998" s="46">
        <f>IF(B998&lt;&gt;"",VLOOKUP(B998,'Tipo Projeto'!$A$3:$B$35,2,0),0)</f>
        <v>0</v>
      </c>
      <c r="D998" s="47"/>
      <c r="E998" s="47"/>
      <c r="F998" s="47"/>
      <c r="G998" s="48"/>
      <c r="H998" s="47"/>
      <c r="I998" s="75">
        <f t="shared" si="30"/>
        <v>0</v>
      </c>
      <c r="J998" s="47"/>
      <c r="K998" s="288">
        <f t="shared" si="31"/>
        <v>0</v>
      </c>
    </row>
    <row r="999" spans="1:11" s="56" customFormat="1" ht="15.75" customHeight="1">
      <c r="A999" s="44"/>
      <c r="B999" s="45"/>
      <c r="C999" s="46">
        <f>IF(B999&lt;&gt;"",VLOOKUP(B999,'Tipo Projeto'!$A$3:$B$35,2,0),0)</f>
        <v>0</v>
      </c>
      <c r="D999" s="47"/>
      <c r="E999" s="47"/>
      <c r="F999" s="47"/>
      <c r="G999" s="48"/>
      <c r="H999" s="47"/>
      <c r="I999" s="75">
        <f t="shared" si="30"/>
        <v>0</v>
      </c>
      <c r="J999" s="47"/>
      <c r="K999" s="288">
        <f t="shared" si="31"/>
        <v>0</v>
      </c>
    </row>
    <row r="1000" spans="1:11" s="56" customFormat="1" ht="15.75" customHeight="1">
      <c r="A1000" s="44"/>
      <c r="B1000" s="45"/>
      <c r="C1000" s="46">
        <f>IF(B1000&lt;&gt;"",VLOOKUP(B1000,'Tipo Projeto'!$A$3:$B$35,2,0),0)</f>
        <v>0</v>
      </c>
      <c r="D1000" s="47"/>
      <c r="E1000" s="47"/>
      <c r="F1000" s="47"/>
      <c r="G1000" s="48"/>
      <c r="H1000" s="47"/>
      <c r="I1000" s="75">
        <f t="shared" si="30"/>
        <v>0</v>
      </c>
      <c r="J1000" s="47"/>
      <c r="K1000" s="288">
        <f t="shared" si="31"/>
        <v>0</v>
      </c>
    </row>
    <row r="1001" spans="1:11" s="56" customFormat="1" ht="15.75" customHeight="1">
      <c r="A1001" s="44"/>
      <c r="B1001" s="45"/>
      <c r="C1001" s="46">
        <f>IF(B1001&lt;&gt;"",VLOOKUP(B1001,'Tipo Projeto'!$A$3:$B$35,2,0),0)</f>
        <v>0</v>
      </c>
      <c r="D1001" s="47"/>
      <c r="E1001" s="47"/>
      <c r="F1001" s="47"/>
      <c r="G1001" s="48"/>
      <c r="H1001" s="47"/>
      <c r="I1001" s="75">
        <f t="shared" si="30"/>
        <v>0</v>
      </c>
      <c r="J1001" s="47"/>
      <c r="K1001" s="288">
        <f t="shared" si="31"/>
        <v>0</v>
      </c>
    </row>
    <row r="1002" spans="1:11" s="56" customFormat="1" ht="15.75" customHeight="1">
      <c r="A1002" s="44"/>
      <c r="B1002" s="45"/>
      <c r="C1002" s="46">
        <f>IF(B1002&lt;&gt;"",VLOOKUP(B1002,'Tipo Projeto'!$A$3:$B$35,2,0),0)</f>
        <v>0</v>
      </c>
      <c r="D1002" s="47"/>
      <c r="E1002" s="47"/>
      <c r="F1002" s="47"/>
      <c r="G1002" s="48"/>
      <c r="H1002" s="47"/>
      <c r="I1002" s="75">
        <f t="shared" si="30"/>
        <v>0</v>
      </c>
      <c r="J1002" s="47"/>
      <c r="K1002" s="288">
        <f t="shared" si="31"/>
        <v>0</v>
      </c>
    </row>
    <row r="1003" spans="1:11" s="56" customFormat="1" ht="15.75" customHeight="1">
      <c r="A1003" s="44"/>
      <c r="B1003" s="45"/>
      <c r="C1003" s="46">
        <f>IF(B1003&lt;&gt;"",VLOOKUP(B1003,'Tipo Projeto'!$A$3:$B$35,2,0),0)</f>
        <v>0</v>
      </c>
      <c r="D1003" s="47"/>
      <c r="E1003" s="47"/>
      <c r="F1003" s="47"/>
      <c r="G1003" s="48"/>
      <c r="H1003" s="47"/>
      <c r="I1003" s="75">
        <f t="shared" si="30"/>
        <v>0</v>
      </c>
      <c r="J1003" s="47"/>
      <c r="K1003" s="288">
        <f t="shared" si="31"/>
        <v>0</v>
      </c>
    </row>
    <row r="1004" spans="1:11" s="56" customFormat="1" ht="15.75" customHeight="1">
      <c r="A1004" s="44"/>
      <c r="B1004" s="45"/>
      <c r="C1004" s="46">
        <f>IF(B1004&lt;&gt;"",VLOOKUP(B1004,'Tipo Projeto'!$A$3:$B$35,2,0),0)</f>
        <v>0</v>
      </c>
      <c r="D1004" s="47"/>
      <c r="E1004" s="47"/>
      <c r="F1004" s="47"/>
      <c r="G1004" s="48"/>
      <c r="H1004" s="47"/>
      <c r="I1004" s="75">
        <f t="shared" si="30"/>
        <v>0</v>
      </c>
      <c r="J1004" s="47"/>
      <c r="K1004" s="288">
        <f t="shared" si="31"/>
        <v>0</v>
      </c>
    </row>
    <row r="1005" spans="1:11" s="56" customFormat="1" ht="15.75" customHeight="1">
      <c r="A1005" s="44"/>
      <c r="B1005" s="45"/>
      <c r="C1005" s="46">
        <f>IF(B1005&lt;&gt;"",VLOOKUP(B1005,'Tipo Projeto'!$A$3:$B$35,2,0),0)</f>
        <v>0</v>
      </c>
      <c r="D1005" s="47"/>
      <c r="E1005" s="47"/>
      <c r="F1005" s="47"/>
      <c r="G1005" s="48"/>
      <c r="H1005" s="47"/>
      <c r="I1005" s="75">
        <f t="shared" si="30"/>
        <v>0</v>
      </c>
      <c r="J1005" s="47"/>
      <c r="K1005" s="288">
        <f t="shared" si="31"/>
        <v>0</v>
      </c>
    </row>
    <row r="1006" spans="1:11" s="56" customFormat="1" ht="15.75" customHeight="1">
      <c r="A1006" s="44"/>
      <c r="B1006" s="45"/>
      <c r="C1006" s="46">
        <f>IF(B1006&lt;&gt;"",VLOOKUP(B1006,'Tipo Projeto'!$A$3:$B$35,2,0),0)</f>
        <v>0</v>
      </c>
      <c r="D1006" s="47"/>
      <c r="E1006" s="47"/>
      <c r="F1006" s="47"/>
      <c r="G1006" s="48"/>
      <c r="H1006" s="47"/>
      <c r="I1006" s="75">
        <f t="shared" si="30"/>
        <v>0</v>
      </c>
      <c r="J1006" s="47"/>
      <c r="K1006" s="288">
        <f t="shared" si="31"/>
        <v>0</v>
      </c>
    </row>
    <row r="1007" spans="1:11" s="56" customFormat="1" ht="15.75" customHeight="1">
      <c r="A1007" s="44"/>
      <c r="B1007" s="45"/>
      <c r="C1007" s="46">
        <f>IF(B1007&lt;&gt;"",VLOOKUP(B1007,'Tipo Projeto'!$A$3:$B$35,2,0),0)</f>
        <v>0</v>
      </c>
      <c r="D1007" s="47"/>
      <c r="E1007" s="47"/>
      <c r="F1007" s="47"/>
      <c r="G1007" s="48"/>
      <c r="H1007" s="47"/>
      <c r="I1007" s="75">
        <f t="shared" si="30"/>
        <v>0</v>
      </c>
      <c r="J1007" s="47"/>
      <c r="K1007" s="288">
        <f t="shared" si="31"/>
        <v>0</v>
      </c>
    </row>
    <row r="1008" spans="1:11" s="56" customFormat="1" ht="15.75" customHeight="1">
      <c r="A1008" s="44"/>
      <c r="B1008" s="45"/>
      <c r="C1008" s="46">
        <f>IF(B1008&lt;&gt;"",VLOOKUP(B1008,'Tipo Projeto'!$A$3:$B$35,2,0),0)</f>
        <v>0</v>
      </c>
      <c r="D1008" s="47"/>
      <c r="E1008" s="47"/>
      <c r="F1008" s="47"/>
      <c r="G1008" s="48"/>
      <c r="H1008" s="47"/>
      <c r="I1008" s="75">
        <f t="shared" si="30"/>
        <v>0</v>
      </c>
      <c r="J1008" s="47"/>
      <c r="K1008" s="288">
        <f t="shared" si="31"/>
        <v>0</v>
      </c>
    </row>
    <row r="1009" spans="1:11" s="56" customFormat="1" ht="15.75" customHeight="1">
      <c r="A1009" s="44"/>
      <c r="B1009" s="45"/>
      <c r="C1009" s="46">
        <f>IF(B1009&lt;&gt;"",VLOOKUP(B1009,'Tipo Projeto'!$A$3:$B$35,2,0),0)</f>
        <v>0</v>
      </c>
      <c r="D1009" s="47"/>
      <c r="E1009" s="47"/>
      <c r="F1009" s="47"/>
      <c r="G1009" s="48"/>
      <c r="H1009" s="47"/>
      <c r="I1009" s="75">
        <f t="shared" si="30"/>
        <v>0</v>
      </c>
      <c r="J1009" s="47"/>
      <c r="K1009" s="288">
        <f t="shared" si="31"/>
        <v>0</v>
      </c>
    </row>
    <row r="1010" spans="1:11" s="56" customFormat="1" ht="15.75" customHeight="1">
      <c r="A1010" s="44"/>
      <c r="B1010" s="45"/>
      <c r="C1010" s="46">
        <f>IF(B1010&lt;&gt;"",VLOOKUP(B1010,'Tipo Projeto'!$A$3:$B$35,2,0),0)</f>
        <v>0</v>
      </c>
      <c r="D1010" s="47"/>
      <c r="E1010" s="47"/>
      <c r="F1010" s="47"/>
      <c r="G1010" s="48"/>
      <c r="H1010" s="47"/>
      <c r="I1010" s="75">
        <f t="shared" si="30"/>
        <v>0</v>
      </c>
      <c r="J1010" s="47"/>
      <c r="K1010" s="288">
        <f t="shared" si="31"/>
        <v>0</v>
      </c>
    </row>
    <row r="1011" spans="1:11" s="56" customFormat="1" ht="15.75" customHeight="1">
      <c r="A1011" s="44"/>
      <c r="B1011" s="45"/>
      <c r="C1011" s="46">
        <f>IF(B1011&lt;&gt;"",VLOOKUP(B1011,'Tipo Projeto'!$A$3:$B$35,2,0),0)</f>
        <v>0</v>
      </c>
      <c r="D1011" s="47"/>
      <c r="E1011" s="47"/>
      <c r="F1011" s="47"/>
      <c r="G1011" s="48"/>
      <c r="H1011" s="47"/>
      <c r="I1011" s="75">
        <f t="shared" si="30"/>
        <v>0</v>
      </c>
      <c r="J1011" s="47"/>
      <c r="K1011" s="288">
        <f t="shared" si="31"/>
        <v>0</v>
      </c>
    </row>
    <row r="1012" spans="1:11" s="56" customFormat="1" ht="15.75" customHeight="1">
      <c r="A1012" s="44"/>
      <c r="B1012" s="45"/>
      <c r="C1012" s="46">
        <f>IF(B1012&lt;&gt;"",VLOOKUP(B1012,'Tipo Projeto'!$A$3:$B$35,2,0),0)</f>
        <v>0</v>
      </c>
      <c r="D1012" s="47"/>
      <c r="E1012" s="47"/>
      <c r="F1012" s="47"/>
      <c r="G1012" s="48"/>
      <c r="H1012" s="47"/>
      <c r="I1012" s="75">
        <f t="shared" si="30"/>
        <v>0</v>
      </c>
      <c r="J1012" s="47"/>
      <c r="K1012" s="288">
        <f t="shared" si="31"/>
        <v>0</v>
      </c>
    </row>
    <row r="1013" spans="1:11" s="56" customFormat="1" ht="15.75" customHeight="1">
      <c r="A1013" s="44"/>
      <c r="B1013" s="45"/>
      <c r="C1013" s="46">
        <f>IF(B1013&lt;&gt;"",VLOOKUP(B1013,'Tipo Projeto'!$A$3:$B$35,2,0),0)</f>
        <v>0</v>
      </c>
      <c r="D1013" s="47"/>
      <c r="E1013" s="47"/>
      <c r="F1013" s="47"/>
      <c r="G1013" s="48"/>
      <c r="H1013" s="47"/>
      <c r="I1013" s="75">
        <f t="shared" si="30"/>
        <v>0</v>
      </c>
      <c r="J1013" s="47"/>
      <c r="K1013" s="288">
        <f t="shared" si="31"/>
        <v>0</v>
      </c>
    </row>
    <row r="1014" spans="1:11" s="56" customFormat="1" ht="15.75" customHeight="1">
      <c r="A1014" s="44"/>
      <c r="B1014" s="45"/>
      <c r="C1014" s="46">
        <f>IF(B1014&lt;&gt;"",VLOOKUP(B1014,'Tipo Projeto'!$A$3:$B$35,2,0),0)</f>
        <v>0</v>
      </c>
      <c r="D1014" s="47"/>
      <c r="E1014" s="47"/>
      <c r="F1014" s="47"/>
      <c r="G1014" s="48"/>
      <c r="H1014" s="47"/>
      <c r="I1014" s="75">
        <f t="shared" si="30"/>
        <v>0</v>
      </c>
      <c r="J1014" s="47"/>
      <c r="K1014" s="288">
        <f t="shared" si="31"/>
        <v>0</v>
      </c>
    </row>
    <row r="1015" spans="1:11" s="56" customFormat="1" ht="15.75" customHeight="1">
      <c r="A1015" s="44"/>
      <c r="B1015" s="45"/>
      <c r="C1015" s="46">
        <f>IF(B1015&lt;&gt;"",VLOOKUP(B1015,'Tipo Projeto'!$A$3:$B$35,2,0),0)</f>
        <v>0</v>
      </c>
      <c r="D1015" s="47"/>
      <c r="E1015" s="47"/>
      <c r="F1015" s="47"/>
      <c r="G1015" s="48"/>
      <c r="H1015" s="47"/>
      <c r="I1015" s="75">
        <f t="shared" si="30"/>
        <v>0</v>
      </c>
      <c r="J1015" s="47"/>
      <c r="K1015" s="288">
        <f t="shared" si="31"/>
        <v>0</v>
      </c>
    </row>
    <row r="1016" spans="1:11" s="56" customFormat="1" ht="15.75" customHeight="1">
      <c r="A1016" s="44"/>
      <c r="B1016" s="45"/>
      <c r="C1016" s="46">
        <f>IF(B1016&lt;&gt;"",VLOOKUP(B1016,'Tipo Projeto'!$A$3:$B$35,2,0),0)</f>
        <v>0</v>
      </c>
      <c r="D1016" s="47"/>
      <c r="E1016" s="47"/>
      <c r="F1016" s="47"/>
      <c r="G1016" s="48"/>
      <c r="H1016" s="47"/>
      <c r="I1016" s="75">
        <f t="shared" si="30"/>
        <v>0</v>
      </c>
      <c r="J1016" s="47"/>
      <c r="K1016" s="288">
        <f t="shared" si="31"/>
        <v>0</v>
      </c>
    </row>
    <row r="1017" spans="1:11" s="56" customFormat="1" ht="15.75" customHeight="1">
      <c r="A1017" s="44"/>
      <c r="B1017" s="45"/>
      <c r="C1017" s="46">
        <f>IF(B1017&lt;&gt;"",VLOOKUP(B1017,'Tipo Projeto'!$A$3:$B$35,2,0),0)</f>
        <v>0</v>
      </c>
      <c r="D1017" s="47"/>
      <c r="E1017" s="47"/>
      <c r="F1017" s="47"/>
      <c r="G1017" s="48"/>
      <c r="H1017" s="47"/>
      <c r="I1017" s="75">
        <f t="shared" si="30"/>
        <v>0</v>
      </c>
      <c r="J1017" s="47"/>
      <c r="K1017" s="288">
        <f t="shared" si="31"/>
        <v>0</v>
      </c>
    </row>
    <row r="1018" spans="1:11" s="56" customFormat="1" ht="15.75" customHeight="1">
      <c r="A1018" s="44"/>
      <c r="B1018" s="45"/>
      <c r="C1018" s="46">
        <f>IF(B1018&lt;&gt;"",VLOOKUP(B1018,'Tipo Projeto'!$A$3:$B$35,2,0),0)</f>
        <v>0</v>
      </c>
      <c r="D1018" s="47"/>
      <c r="E1018" s="47"/>
      <c r="F1018" s="47"/>
      <c r="G1018" s="48"/>
      <c r="H1018" s="47"/>
      <c r="I1018" s="75">
        <f t="shared" si="30"/>
        <v>0</v>
      </c>
      <c r="J1018" s="47"/>
      <c r="K1018" s="288">
        <f t="shared" si="31"/>
        <v>0</v>
      </c>
    </row>
    <row r="1019" spans="1:11" s="56" customFormat="1" ht="15.75" customHeight="1">
      <c r="A1019" s="44"/>
      <c r="B1019" s="45"/>
      <c r="C1019" s="46">
        <f>IF(B1019&lt;&gt;"",VLOOKUP(B1019,'Tipo Projeto'!$A$3:$B$35,2,0),0)</f>
        <v>0</v>
      </c>
      <c r="D1019" s="47"/>
      <c r="E1019" s="47"/>
      <c r="F1019" s="47"/>
      <c r="G1019" s="48"/>
      <c r="H1019" s="47"/>
      <c r="I1019" s="75">
        <f t="shared" si="30"/>
        <v>0</v>
      </c>
      <c r="J1019" s="47"/>
      <c r="K1019" s="288">
        <f t="shared" si="31"/>
        <v>0</v>
      </c>
    </row>
    <row r="1020" spans="1:11" s="56" customFormat="1" ht="15.75" customHeight="1">
      <c r="A1020" s="44"/>
      <c r="B1020" s="45"/>
      <c r="C1020" s="46">
        <f>IF(B1020&lt;&gt;"",VLOOKUP(B1020,'Tipo Projeto'!$A$3:$B$35,2,0),0)</f>
        <v>0</v>
      </c>
      <c r="D1020" s="47"/>
      <c r="E1020" s="47"/>
      <c r="F1020" s="47"/>
      <c r="G1020" s="48"/>
      <c r="H1020" s="47"/>
      <c r="I1020" s="75">
        <f t="shared" si="30"/>
        <v>0</v>
      </c>
      <c r="J1020" s="47"/>
      <c r="K1020" s="288">
        <f t="shared" si="31"/>
        <v>0</v>
      </c>
    </row>
    <row r="1021" spans="1:11" s="56" customFormat="1" ht="15.75" customHeight="1">
      <c r="A1021" s="44"/>
      <c r="B1021" s="45"/>
      <c r="C1021" s="46">
        <f>IF(B1021&lt;&gt;"",VLOOKUP(B1021,'Tipo Projeto'!$A$3:$B$35,2,0),0)</f>
        <v>0</v>
      </c>
      <c r="D1021" s="47"/>
      <c r="E1021" s="47"/>
      <c r="F1021" s="47"/>
      <c r="G1021" s="48"/>
      <c r="H1021" s="47"/>
      <c r="I1021" s="75">
        <f t="shared" si="30"/>
        <v>0</v>
      </c>
      <c r="J1021" s="47"/>
      <c r="K1021" s="288">
        <f t="shared" si="31"/>
        <v>0</v>
      </c>
    </row>
    <row r="1022" spans="1:11" s="56" customFormat="1" ht="15.75" customHeight="1">
      <c r="A1022" s="44"/>
      <c r="B1022" s="45"/>
      <c r="C1022" s="46">
        <f>IF(B1022&lt;&gt;"",VLOOKUP(B1022,'Tipo Projeto'!$A$3:$B$35,2,0),0)</f>
        <v>0</v>
      </c>
      <c r="D1022" s="47"/>
      <c r="E1022" s="47"/>
      <c r="F1022" s="47"/>
      <c r="G1022" s="48"/>
      <c r="H1022" s="47"/>
      <c r="I1022" s="75">
        <f t="shared" ref="I1022:I1081" si="32">IF(B1022&lt;&gt;"Manutenção em interface",IF(B1022&lt;&gt;"Desenv., Manutenção e Publicação de Páginas Estáticas",IF(H1022="EE",4,IF(H1022="CE",4,IF(H1022="SE",5,IF(H1022="ALI",7,IF(H1022="AIE",5,0)))))*C1022,C1022),C1022)</f>
        <v>0</v>
      </c>
      <c r="J1022" s="47"/>
      <c r="K1022" s="288">
        <f t="shared" si="31"/>
        <v>0</v>
      </c>
    </row>
    <row r="1023" spans="1:11" s="56" customFormat="1" ht="15.75" customHeight="1">
      <c r="A1023" s="44"/>
      <c r="B1023" s="45"/>
      <c r="C1023" s="46">
        <f>IF(B1023&lt;&gt;"",VLOOKUP(B1023,'Tipo Projeto'!$A$3:$B$35,2,0),0)</f>
        <v>0</v>
      </c>
      <c r="D1023" s="47"/>
      <c r="E1023" s="47"/>
      <c r="F1023" s="47"/>
      <c r="G1023" s="48"/>
      <c r="H1023" s="47"/>
      <c r="I1023" s="75">
        <f t="shared" si="32"/>
        <v>0</v>
      </c>
      <c r="J1023" s="47"/>
      <c r="K1023" s="288">
        <f t="shared" si="31"/>
        <v>0</v>
      </c>
    </row>
    <row r="1024" spans="1:11" s="56" customFormat="1" ht="15.75" customHeight="1">
      <c r="A1024" s="44"/>
      <c r="B1024" s="45"/>
      <c r="C1024" s="46">
        <f>IF(B1024&lt;&gt;"",VLOOKUP(B1024,'Tipo Projeto'!$A$3:$B$35,2,0),0)</f>
        <v>0</v>
      </c>
      <c r="D1024" s="47"/>
      <c r="E1024" s="47"/>
      <c r="F1024" s="47"/>
      <c r="G1024" s="48"/>
      <c r="H1024" s="47"/>
      <c r="I1024" s="75">
        <f t="shared" si="32"/>
        <v>0</v>
      </c>
      <c r="J1024" s="47"/>
      <c r="K1024" s="288">
        <f t="shared" si="31"/>
        <v>0</v>
      </c>
    </row>
    <row r="1025" spans="1:11" s="56" customFormat="1" ht="15.75" customHeight="1">
      <c r="A1025" s="44"/>
      <c r="B1025" s="45"/>
      <c r="C1025" s="46">
        <f>IF(B1025&lt;&gt;"",VLOOKUP(B1025,'Tipo Projeto'!$A$3:$B$35,2,0),0)</f>
        <v>0</v>
      </c>
      <c r="D1025" s="47"/>
      <c r="E1025" s="47"/>
      <c r="F1025" s="47"/>
      <c r="G1025" s="48"/>
      <c r="H1025" s="47"/>
      <c r="I1025" s="75">
        <f t="shared" si="32"/>
        <v>0</v>
      </c>
      <c r="J1025" s="47"/>
      <c r="K1025" s="288">
        <f t="shared" si="31"/>
        <v>0</v>
      </c>
    </row>
    <row r="1026" spans="1:11" s="56" customFormat="1" ht="15.75" customHeight="1">
      <c r="A1026" s="44"/>
      <c r="B1026" s="45"/>
      <c r="C1026" s="46">
        <f>IF(B1026&lt;&gt;"",VLOOKUP(B1026,'Tipo Projeto'!$A$3:$B$35,2,0),0)</f>
        <v>0</v>
      </c>
      <c r="D1026" s="47"/>
      <c r="E1026" s="47"/>
      <c r="F1026" s="47"/>
      <c r="G1026" s="48"/>
      <c r="H1026" s="47"/>
      <c r="I1026" s="75">
        <f t="shared" si="32"/>
        <v>0</v>
      </c>
      <c r="J1026" s="47"/>
      <c r="K1026" s="288">
        <f t="shared" si="31"/>
        <v>0</v>
      </c>
    </row>
    <row r="1027" spans="1:11" s="56" customFormat="1" ht="15.75" customHeight="1">
      <c r="A1027" s="44"/>
      <c r="B1027" s="45"/>
      <c r="C1027" s="46">
        <f>IF(B1027&lt;&gt;"",VLOOKUP(B1027,'Tipo Projeto'!$A$3:$B$35,2,0),0)</f>
        <v>0</v>
      </c>
      <c r="D1027" s="47"/>
      <c r="E1027" s="47"/>
      <c r="F1027" s="47"/>
      <c r="G1027" s="48"/>
      <c r="H1027" s="47"/>
      <c r="I1027" s="75">
        <f t="shared" si="32"/>
        <v>0</v>
      </c>
      <c r="J1027" s="47"/>
      <c r="K1027" s="288">
        <f t="shared" si="31"/>
        <v>0</v>
      </c>
    </row>
    <row r="1028" spans="1:11" s="56" customFormat="1" ht="15.75" customHeight="1">
      <c r="A1028" s="44"/>
      <c r="B1028" s="45"/>
      <c r="C1028" s="46">
        <f>IF(B1028&lt;&gt;"",VLOOKUP(B1028,'Tipo Projeto'!$A$3:$B$35,2,0),0)</f>
        <v>0</v>
      </c>
      <c r="D1028" s="47"/>
      <c r="E1028" s="47"/>
      <c r="F1028" s="47"/>
      <c r="G1028" s="48"/>
      <c r="H1028" s="47"/>
      <c r="I1028" s="75">
        <f t="shared" si="32"/>
        <v>0</v>
      </c>
      <c r="J1028" s="47"/>
      <c r="K1028" s="288">
        <f t="shared" si="31"/>
        <v>0</v>
      </c>
    </row>
    <row r="1029" spans="1:11" s="56" customFormat="1" ht="15.75" customHeight="1">
      <c r="A1029" s="44"/>
      <c r="B1029" s="45"/>
      <c r="C1029" s="46">
        <f>IF(B1029&lt;&gt;"",VLOOKUP(B1029,'Tipo Projeto'!$A$3:$B$35,2,0),0)</f>
        <v>0</v>
      </c>
      <c r="D1029" s="47"/>
      <c r="E1029" s="47"/>
      <c r="F1029" s="47"/>
      <c r="G1029" s="48"/>
      <c r="H1029" s="47"/>
      <c r="I1029" s="75">
        <f t="shared" si="32"/>
        <v>0</v>
      </c>
      <c r="J1029" s="47"/>
      <c r="K1029" s="288">
        <f t="shared" si="31"/>
        <v>0</v>
      </c>
    </row>
    <row r="1030" spans="1:11" s="56" customFormat="1" ht="15.75" customHeight="1">
      <c r="A1030" s="44"/>
      <c r="B1030" s="45"/>
      <c r="C1030" s="46">
        <f>IF(B1030&lt;&gt;"",VLOOKUP(B1030,'Tipo Projeto'!$A$3:$B$35,2,0),0)</f>
        <v>0</v>
      </c>
      <c r="D1030" s="47"/>
      <c r="E1030" s="47"/>
      <c r="F1030" s="47"/>
      <c r="G1030" s="48"/>
      <c r="H1030" s="47"/>
      <c r="I1030" s="75">
        <f t="shared" si="32"/>
        <v>0</v>
      </c>
      <c r="J1030" s="47"/>
      <c r="K1030" s="288">
        <f t="shared" si="31"/>
        <v>0</v>
      </c>
    </row>
    <row r="1031" spans="1:11" s="56" customFormat="1" ht="15.75" customHeight="1">
      <c r="A1031" s="44"/>
      <c r="B1031" s="45"/>
      <c r="C1031" s="46">
        <f>IF(B1031&lt;&gt;"",VLOOKUP(B1031,'Tipo Projeto'!$A$3:$B$35,2,0),0)</f>
        <v>0</v>
      </c>
      <c r="D1031" s="47"/>
      <c r="E1031" s="47"/>
      <c r="F1031" s="47"/>
      <c r="G1031" s="48"/>
      <c r="H1031" s="47"/>
      <c r="I1031" s="75">
        <f t="shared" si="32"/>
        <v>0</v>
      </c>
      <c r="J1031" s="47"/>
      <c r="K1031" s="288">
        <f t="shared" si="31"/>
        <v>0</v>
      </c>
    </row>
    <row r="1032" spans="1:11" s="56" customFormat="1" ht="15.75" customHeight="1">
      <c r="A1032" s="44"/>
      <c r="B1032" s="45"/>
      <c r="C1032" s="46">
        <f>IF(B1032&lt;&gt;"",VLOOKUP(B1032,'Tipo Projeto'!$A$3:$B$35,2,0),0)</f>
        <v>0</v>
      </c>
      <c r="D1032" s="47"/>
      <c r="E1032" s="47"/>
      <c r="F1032" s="47"/>
      <c r="G1032" s="48"/>
      <c r="H1032" s="47"/>
      <c r="I1032" s="75">
        <f t="shared" si="32"/>
        <v>0</v>
      </c>
      <c r="J1032" s="47"/>
      <c r="K1032" s="288">
        <f t="shared" si="31"/>
        <v>0</v>
      </c>
    </row>
    <row r="1033" spans="1:11" s="56" customFormat="1" ht="15.75" customHeight="1">
      <c r="A1033" s="44"/>
      <c r="B1033" s="45"/>
      <c r="C1033" s="46">
        <f>IF(B1033&lt;&gt;"",VLOOKUP(B1033,'Tipo Projeto'!$A$3:$B$35,2,0),0)</f>
        <v>0</v>
      </c>
      <c r="D1033" s="47"/>
      <c r="E1033" s="47"/>
      <c r="F1033" s="47"/>
      <c r="G1033" s="48"/>
      <c r="H1033" s="47"/>
      <c r="I1033" s="75">
        <f t="shared" si="32"/>
        <v>0</v>
      </c>
      <c r="J1033" s="47"/>
      <c r="K1033" s="288">
        <f t="shared" si="31"/>
        <v>0</v>
      </c>
    </row>
    <row r="1034" spans="1:11" s="56" customFormat="1" ht="15.75" customHeight="1">
      <c r="A1034" s="44"/>
      <c r="B1034" s="45"/>
      <c r="C1034" s="46">
        <f>IF(B1034&lt;&gt;"",VLOOKUP(B1034,'Tipo Projeto'!$A$3:$B$35,2,0),0)</f>
        <v>0</v>
      </c>
      <c r="D1034" s="47"/>
      <c r="E1034" s="47"/>
      <c r="F1034" s="47"/>
      <c r="G1034" s="48"/>
      <c r="H1034" s="47"/>
      <c r="I1034" s="75">
        <f t="shared" si="32"/>
        <v>0</v>
      </c>
      <c r="J1034" s="47"/>
      <c r="K1034" s="288">
        <f t="shared" si="31"/>
        <v>0</v>
      </c>
    </row>
    <row r="1035" spans="1:11" s="56" customFormat="1" ht="15.75" customHeight="1">
      <c r="A1035" s="44"/>
      <c r="B1035" s="45"/>
      <c r="C1035" s="46">
        <f>IF(B1035&lt;&gt;"",VLOOKUP(B1035,'Tipo Projeto'!$A$3:$B$35,2,0),0)</f>
        <v>0</v>
      </c>
      <c r="D1035" s="47"/>
      <c r="E1035" s="47"/>
      <c r="F1035" s="47"/>
      <c r="G1035" s="48"/>
      <c r="H1035" s="47"/>
      <c r="I1035" s="75">
        <f t="shared" si="32"/>
        <v>0</v>
      </c>
      <c r="J1035" s="47"/>
      <c r="K1035" s="288">
        <f t="shared" si="31"/>
        <v>0</v>
      </c>
    </row>
    <row r="1036" spans="1:11" s="56" customFormat="1" ht="15.75" customHeight="1">
      <c r="A1036" s="44"/>
      <c r="B1036" s="45"/>
      <c r="C1036" s="46">
        <f>IF(B1036&lt;&gt;"",VLOOKUP(B1036,'Tipo Projeto'!$A$3:$B$35,2,0),0)</f>
        <v>0</v>
      </c>
      <c r="D1036" s="47"/>
      <c r="E1036" s="47"/>
      <c r="F1036" s="47"/>
      <c r="G1036" s="48"/>
      <c r="H1036" s="47"/>
      <c r="I1036" s="75">
        <f t="shared" si="32"/>
        <v>0</v>
      </c>
      <c r="J1036" s="47"/>
      <c r="K1036" s="288">
        <f t="shared" ref="K1036:K1081" si="33">IF(AND(C1036&lt;&gt;0,I1036&lt;&gt;0),I1036/C1036,0)</f>
        <v>0</v>
      </c>
    </row>
    <row r="1037" spans="1:11" s="56" customFormat="1" ht="15.75" customHeight="1">
      <c r="A1037" s="44"/>
      <c r="B1037" s="45"/>
      <c r="C1037" s="46">
        <f>IF(B1037&lt;&gt;"",VLOOKUP(B1037,'Tipo Projeto'!$A$3:$B$35,2,0),0)</f>
        <v>0</v>
      </c>
      <c r="D1037" s="47"/>
      <c r="E1037" s="47"/>
      <c r="F1037" s="47"/>
      <c r="G1037" s="48"/>
      <c r="H1037" s="47"/>
      <c r="I1037" s="75">
        <f t="shared" si="32"/>
        <v>0</v>
      </c>
      <c r="J1037" s="47"/>
      <c r="K1037" s="288">
        <f t="shared" si="33"/>
        <v>0</v>
      </c>
    </row>
    <row r="1038" spans="1:11" s="56" customFormat="1" ht="15.75" customHeight="1">
      <c r="A1038" s="44"/>
      <c r="B1038" s="45"/>
      <c r="C1038" s="46">
        <f>IF(B1038&lt;&gt;"",VLOOKUP(B1038,'Tipo Projeto'!$A$3:$B$35,2,0),0)</f>
        <v>0</v>
      </c>
      <c r="D1038" s="47"/>
      <c r="E1038" s="47"/>
      <c r="F1038" s="47"/>
      <c r="G1038" s="48"/>
      <c r="H1038" s="47"/>
      <c r="I1038" s="75">
        <f t="shared" si="32"/>
        <v>0</v>
      </c>
      <c r="J1038" s="47"/>
      <c r="K1038" s="288">
        <f t="shared" si="33"/>
        <v>0</v>
      </c>
    </row>
    <row r="1039" spans="1:11" s="56" customFormat="1" ht="15.75" customHeight="1">
      <c r="A1039" s="44"/>
      <c r="B1039" s="45"/>
      <c r="C1039" s="46">
        <f>IF(B1039&lt;&gt;"",VLOOKUP(B1039,'Tipo Projeto'!$A$3:$B$35,2,0),0)</f>
        <v>0</v>
      </c>
      <c r="D1039" s="47"/>
      <c r="E1039" s="47"/>
      <c r="F1039" s="47"/>
      <c r="G1039" s="48"/>
      <c r="H1039" s="47"/>
      <c r="I1039" s="75">
        <f t="shared" si="32"/>
        <v>0</v>
      </c>
      <c r="J1039" s="47"/>
      <c r="K1039" s="288">
        <f t="shared" si="33"/>
        <v>0</v>
      </c>
    </row>
    <row r="1040" spans="1:11" s="56" customFormat="1" ht="15.75" customHeight="1">
      <c r="A1040" s="44"/>
      <c r="B1040" s="45"/>
      <c r="C1040" s="46">
        <f>IF(B1040&lt;&gt;"",VLOOKUP(B1040,'Tipo Projeto'!$A$3:$B$35,2,0),0)</f>
        <v>0</v>
      </c>
      <c r="D1040" s="47"/>
      <c r="E1040" s="47"/>
      <c r="F1040" s="47"/>
      <c r="G1040" s="48"/>
      <c r="H1040" s="47"/>
      <c r="I1040" s="75">
        <f t="shared" si="32"/>
        <v>0</v>
      </c>
      <c r="J1040" s="47"/>
      <c r="K1040" s="288">
        <f t="shared" si="33"/>
        <v>0</v>
      </c>
    </row>
    <row r="1041" spans="1:11" s="56" customFormat="1" ht="15.75" customHeight="1">
      <c r="A1041" s="44"/>
      <c r="B1041" s="45"/>
      <c r="C1041" s="46">
        <f>IF(B1041&lt;&gt;"",VLOOKUP(B1041,'Tipo Projeto'!$A$3:$B$35,2,0),0)</f>
        <v>0</v>
      </c>
      <c r="D1041" s="47"/>
      <c r="E1041" s="47"/>
      <c r="F1041" s="47"/>
      <c r="G1041" s="48"/>
      <c r="H1041" s="47"/>
      <c r="I1041" s="75">
        <f t="shared" si="32"/>
        <v>0</v>
      </c>
      <c r="J1041" s="47"/>
      <c r="K1041" s="288">
        <f t="shared" si="33"/>
        <v>0</v>
      </c>
    </row>
    <row r="1042" spans="1:11" s="56" customFormat="1" ht="15.75" customHeight="1">
      <c r="A1042" s="44"/>
      <c r="B1042" s="45"/>
      <c r="C1042" s="46">
        <f>IF(B1042&lt;&gt;"",VLOOKUP(B1042,'Tipo Projeto'!$A$3:$B$35,2,0),0)</f>
        <v>0</v>
      </c>
      <c r="D1042" s="47"/>
      <c r="E1042" s="47"/>
      <c r="F1042" s="47"/>
      <c r="G1042" s="48"/>
      <c r="H1042" s="47"/>
      <c r="I1042" s="75">
        <f t="shared" si="32"/>
        <v>0</v>
      </c>
      <c r="J1042" s="47"/>
      <c r="K1042" s="288">
        <f t="shared" si="33"/>
        <v>0</v>
      </c>
    </row>
    <row r="1043" spans="1:11" s="56" customFormat="1" ht="15.75" customHeight="1">
      <c r="A1043" s="44"/>
      <c r="B1043" s="45"/>
      <c r="C1043" s="46">
        <f>IF(B1043&lt;&gt;"",VLOOKUP(B1043,'Tipo Projeto'!$A$3:$B$35,2,0),0)</f>
        <v>0</v>
      </c>
      <c r="D1043" s="47"/>
      <c r="E1043" s="47"/>
      <c r="F1043" s="47"/>
      <c r="G1043" s="48"/>
      <c r="H1043" s="47"/>
      <c r="I1043" s="75">
        <f t="shared" si="32"/>
        <v>0</v>
      </c>
      <c r="J1043" s="47"/>
      <c r="K1043" s="288">
        <f t="shared" si="33"/>
        <v>0</v>
      </c>
    </row>
    <row r="1044" spans="1:11" s="56" customFormat="1" ht="15.75" customHeight="1">
      <c r="A1044" s="44"/>
      <c r="B1044" s="45"/>
      <c r="C1044" s="46">
        <f>IF(B1044&lt;&gt;"",VLOOKUP(B1044,'Tipo Projeto'!$A$3:$B$35,2,0),0)</f>
        <v>0</v>
      </c>
      <c r="D1044" s="47"/>
      <c r="E1044" s="47"/>
      <c r="F1044" s="47"/>
      <c r="G1044" s="48"/>
      <c r="H1044" s="47"/>
      <c r="I1044" s="75">
        <f t="shared" si="32"/>
        <v>0</v>
      </c>
      <c r="J1044" s="47"/>
      <c r="K1044" s="288">
        <f t="shared" si="33"/>
        <v>0</v>
      </c>
    </row>
    <row r="1045" spans="1:11" s="56" customFormat="1" ht="15.75" customHeight="1">
      <c r="A1045" s="44"/>
      <c r="B1045" s="45"/>
      <c r="C1045" s="46">
        <f>IF(B1045&lt;&gt;"",VLOOKUP(B1045,'Tipo Projeto'!$A$3:$B$35,2,0),0)</f>
        <v>0</v>
      </c>
      <c r="D1045" s="47"/>
      <c r="E1045" s="47"/>
      <c r="F1045" s="47"/>
      <c r="G1045" s="48"/>
      <c r="H1045" s="47"/>
      <c r="I1045" s="75">
        <f t="shared" si="32"/>
        <v>0</v>
      </c>
      <c r="J1045" s="47"/>
      <c r="K1045" s="288">
        <f t="shared" si="33"/>
        <v>0</v>
      </c>
    </row>
    <row r="1046" spans="1:11" s="56" customFormat="1" ht="15.75" customHeight="1">
      <c r="A1046" s="44"/>
      <c r="B1046" s="45"/>
      <c r="C1046" s="46">
        <f>IF(B1046&lt;&gt;"",VLOOKUP(B1046,'Tipo Projeto'!$A$3:$B$35,2,0),0)</f>
        <v>0</v>
      </c>
      <c r="D1046" s="47"/>
      <c r="E1046" s="47"/>
      <c r="F1046" s="47"/>
      <c r="G1046" s="48"/>
      <c r="H1046" s="47"/>
      <c r="I1046" s="75">
        <f t="shared" si="32"/>
        <v>0</v>
      </c>
      <c r="J1046" s="47"/>
      <c r="K1046" s="288">
        <f t="shared" si="33"/>
        <v>0</v>
      </c>
    </row>
    <row r="1047" spans="1:11" s="56" customFormat="1" ht="15.75" customHeight="1">
      <c r="A1047" s="44"/>
      <c r="B1047" s="45"/>
      <c r="C1047" s="46">
        <f>IF(B1047&lt;&gt;"",VLOOKUP(B1047,'Tipo Projeto'!$A$3:$B$35,2,0),0)</f>
        <v>0</v>
      </c>
      <c r="D1047" s="47"/>
      <c r="E1047" s="47"/>
      <c r="F1047" s="47"/>
      <c r="G1047" s="48"/>
      <c r="H1047" s="47"/>
      <c r="I1047" s="75">
        <f t="shared" si="32"/>
        <v>0</v>
      </c>
      <c r="J1047" s="47"/>
      <c r="K1047" s="288">
        <f t="shared" si="33"/>
        <v>0</v>
      </c>
    </row>
    <row r="1048" spans="1:11" s="56" customFormat="1" ht="15.75" customHeight="1">
      <c r="A1048" s="44"/>
      <c r="B1048" s="45"/>
      <c r="C1048" s="46">
        <f>IF(B1048&lt;&gt;"",VLOOKUP(B1048,'Tipo Projeto'!$A$3:$B$35,2,0),0)</f>
        <v>0</v>
      </c>
      <c r="D1048" s="47"/>
      <c r="E1048" s="47"/>
      <c r="F1048" s="47"/>
      <c r="G1048" s="48"/>
      <c r="H1048" s="47"/>
      <c r="I1048" s="75">
        <f t="shared" si="32"/>
        <v>0</v>
      </c>
      <c r="J1048" s="47"/>
      <c r="K1048" s="288">
        <f t="shared" si="33"/>
        <v>0</v>
      </c>
    </row>
    <row r="1049" spans="1:11" s="56" customFormat="1" ht="15.75" customHeight="1">
      <c r="A1049" s="44"/>
      <c r="B1049" s="45"/>
      <c r="C1049" s="46">
        <f>IF(B1049&lt;&gt;"",VLOOKUP(B1049,'Tipo Projeto'!$A$3:$B$35,2,0),0)</f>
        <v>0</v>
      </c>
      <c r="D1049" s="47"/>
      <c r="E1049" s="47"/>
      <c r="F1049" s="47"/>
      <c r="G1049" s="48"/>
      <c r="H1049" s="47"/>
      <c r="I1049" s="75">
        <f t="shared" si="32"/>
        <v>0</v>
      </c>
      <c r="J1049" s="47"/>
      <c r="K1049" s="288">
        <f t="shared" si="33"/>
        <v>0</v>
      </c>
    </row>
    <row r="1050" spans="1:11" s="56" customFormat="1" ht="15.75" customHeight="1">
      <c r="A1050" s="44"/>
      <c r="B1050" s="45"/>
      <c r="C1050" s="46">
        <f>IF(B1050&lt;&gt;"",VLOOKUP(B1050,'Tipo Projeto'!$A$3:$B$35,2,0),0)</f>
        <v>0</v>
      </c>
      <c r="D1050" s="47"/>
      <c r="E1050" s="47"/>
      <c r="F1050" s="47"/>
      <c r="G1050" s="48"/>
      <c r="H1050" s="47"/>
      <c r="I1050" s="75">
        <f t="shared" si="32"/>
        <v>0</v>
      </c>
      <c r="J1050" s="47"/>
      <c r="K1050" s="288">
        <f t="shared" si="33"/>
        <v>0</v>
      </c>
    </row>
    <row r="1051" spans="1:11" s="56" customFormat="1" ht="15.75" customHeight="1">
      <c r="A1051" s="44"/>
      <c r="B1051" s="45"/>
      <c r="C1051" s="46">
        <f>IF(B1051&lt;&gt;"",VLOOKUP(B1051,'Tipo Projeto'!$A$3:$B$35,2,0),0)</f>
        <v>0</v>
      </c>
      <c r="D1051" s="47"/>
      <c r="E1051" s="47"/>
      <c r="F1051" s="47"/>
      <c r="G1051" s="48"/>
      <c r="H1051" s="47"/>
      <c r="I1051" s="75">
        <f t="shared" si="32"/>
        <v>0</v>
      </c>
      <c r="J1051" s="47"/>
      <c r="K1051" s="288">
        <f t="shared" si="33"/>
        <v>0</v>
      </c>
    </row>
    <row r="1052" spans="1:11" s="56" customFormat="1" ht="15.75" customHeight="1">
      <c r="A1052" s="44"/>
      <c r="B1052" s="45"/>
      <c r="C1052" s="46">
        <f>IF(B1052&lt;&gt;"",VLOOKUP(B1052,'Tipo Projeto'!$A$3:$B$35,2,0),0)</f>
        <v>0</v>
      </c>
      <c r="D1052" s="47"/>
      <c r="E1052" s="47"/>
      <c r="F1052" s="47"/>
      <c r="G1052" s="48"/>
      <c r="H1052" s="47"/>
      <c r="I1052" s="75">
        <f t="shared" si="32"/>
        <v>0</v>
      </c>
      <c r="J1052" s="47"/>
      <c r="K1052" s="288">
        <f t="shared" si="33"/>
        <v>0</v>
      </c>
    </row>
    <row r="1053" spans="1:11" s="56" customFormat="1" ht="15.75" customHeight="1">
      <c r="A1053" s="44"/>
      <c r="B1053" s="45"/>
      <c r="C1053" s="46">
        <f>IF(B1053&lt;&gt;"",VLOOKUP(B1053,'Tipo Projeto'!$A$3:$B$35,2,0),0)</f>
        <v>0</v>
      </c>
      <c r="D1053" s="47"/>
      <c r="E1053" s="47"/>
      <c r="F1053" s="47"/>
      <c r="G1053" s="48"/>
      <c r="H1053" s="47"/>
      <c r="I1053" s="75">
        <f t="shared" si="32"/>
        <v>0</v>
      </c>
      <c r="J1053" s="47"/>
      <c r="K1053" s="288">
        <f t="shared" si="33"/>
        <v>0</v>
      </c>
    </row>
    <row r="1054" spans="1:11" s="56" customFormat="1" ht="15.75" customHeight="1">
      <c r="A1054" s="44"/>
      <c r="B1054" s="45"/>
      <c r="C1054" s="46">
        <f>IF(B1054&lt;&gt;"",VLOOKUP(B1054,'Tipo Projeto'!$A$3:$B$35,2,0),0)</f>
        <v>0</v>
      </c>
      <c r="D1054" s="47"/>
      <c r="E1054" s="47"/>
      <c r="F1054" s="47"/>
      <c r="G1054" s="48"/>
      <c r="H1054" s="47"/>
      <c r="I1054" s="75">
        <f t="shared" si="32"/>
        <v>0</v>
      </c>
      <c r="J1054" s="47"/>
      <c r="K1054" s="288">
        <f t="shared" si="33"/>
        <v>0</v>
      </c>
    </row>
    <row r="1055" spans="1:11" s="56" customFormat="1" ht="15.75" customHeight="1">
      <c r="A1055" s="44"/>
      <c r="B1055" s="45"/>
      <c r="C1055" s="46">
        <f>IF(B1055&lt;&gt;"",VLOOKUP(B1055,'Tipo Projeto'!$A$3:$B$35,2,0),0)</f>
        <v>0</v>
      </c>
      <c r="D1055" s="47"/>
      <c r="E1055" s="47"/>
      <c r="F1055" s="47"/>
      <c r="G1055" s="48"/>
      <c r="H1055" s="47"/>
      <c r="I1055" s="75">
        <f t="shared" si="32"/>
        <v>0</v>
      </c>
      <c r="J1055" s="47"/>
      <c r="K1055" s="288">
        <f t="shared" si="33"/>
        <v>0</v>
      </c>
    </row>
    <row r="1056" spans="1:11" s="56" customFormat="1" ht="15.75" customHeight="1">
      <c r="A1056" s="44"/>
      <c r="B1056" s="45"/>
      <c r="C1056" s="46">
        <f>IF(B1056&lt;&gt;"",VLOOKUP(B1056,'Tipo Projeto'!$A$3:$B$35,2,0),0)</f>
        <v>0</v>
      </c>
      <c r="D1056" s="47"/>
      <c r="E1056" s="47"/>
      <c r="F1056" s="47"/>
      <c r="G1056" s="48"/>
      <c r="H1056" s="47"/>
      <c r="I1056" s="75">
        <f t="shared" si="32"/>
        <v>0</v>
      </c>
      <c r="J1056" s="47"/>
      <c r="K1056" s="288">
        <f t="shared" si="33"/>
        <v>0</v>
      </c>
    </row>
    <row r="1057" spans="1:11" s="56" customFormat="1" ht="15.75" customHeight="1">
      <c r="A1057" s="44"/>
      <c r="B1057" s="45"/>
      <c r="C1057" s="46">
        <f>IF(B1057&lt;&gt;"",VLOOKUP(B1057,'Tipo Projeto'!$A$3:$B$35,2,0),0)</f>
        <v>0</v>
      </c>
      <c r="D1057" s="47"/>
      <c r="E1057" s="47"/>
      <c r="F1057" s="47"/>
      <c r="G1057" s="48"/>
      <c r="H1057" s="47"/>
      <c r="I1057" s="75">
        <f t="shared" si="32"/>
        <v>0</v>
      </c>
      <c r="J1057" s="47"/>
      <c r="K1057" s="288">
        <f t="shared" si="33"/>
        <v>0</v>
      </c>
    </row>
    <row r="1058" spans="1:11" s="56" customFormat="1" ht="15.75" customHeight="1">
      <c r="A1058" s="44"/>
      <c r="B1058" s="45"/>
      <c r="C1058" s="46">
        <f>IF(B1058&lt;&gt;"",VLOOKUP(B1058,'Tipo Projeto'!$A$3:$B$35,2,0),0)</f>
        <v>0</v>
      </c>
      <c r="D1058" s="47"/>
      <c r="E1058" s="47"/>
      <c r="F1058" s="47"/>
      <c r="G1058" s="48"/>
      <c r="H1058" s="47"/>
      <c r="I1058" s="75">
        <f t="shared" si="32"/>
        <v>0</v>
      </c>
      <c r="J1058" s="47"/>
      <c r="K1058" s="288">
        <f t="shared" si="33"/>
        <v>0</v>
      </c>
    </row>
    <row r="1059" spans="1:11" s="56" customFormat="1" ht="15.75" customHeight="1">
      <c r="A1059" s="44"/>
      <c r="B1059" s="45"/>
      <c r="C1059" s="46">
        <f>IF(B1059&lt;&gt;"",VLOOKUP(B1059,'Tipo Projeto'!$A$3:$B$35,2,0),0)</f>
        <v>0</v>
      </c>
      <c r="D1059" s="47"/>
      <c r="E1059" s="47"/>
      <c r="F1059" s="47"/>
      <c r="G1059" s="48"/>
      <c r="H1059" s="47"/>
      <c r="I1059" s="75">
        <f t="shared" si="32"/>
        <v>0</v>
      </c>
      <c r="J1059" s="47"/>
      <c r="K1059" s="288">
        <f t="shared" si="33"/>
        <v>0</v>
      </c>
    </row>
    <row r="1060" spans="1:11" s="56" customFormat="1" ht="15.75" customHeight="1">
      <c r="A1060" s="44"/>
      <c r="B1060" s="45"/>
      <c r="C1060" s="46">
        <f>IF(B1060&lt;&gt;"",VLOOKUP(B1060,'Tipo Projeto'!$A$3:$B$35,2,0),0)</f>
        <v>0</v>
      </c>
      <c r="D1060" s="47"/>
      <c r="E1060" s="47"/>
      <c r="F1060" s="47"/>
      <c r="G1060" s="48"/>
      <c r="H1060" s="47"/>
      <c r="I1060" s="75">
        <f t="shared" si="32"/>
        <v>0</v>
      </c>
      <c r="J1060" s="47"/>
      <c r="K1060" s="288">
        <f t="shared" si="33"/>
        <v>0</v>
      </c>
    </row>
    <row r="1061" spans="1:11" s="56" customFormat="1" ht="15.75" customHeight="1">
      <c r="A1061" s="44"/>
      <c r="B1061" s="45"/>
      <c r="C1061" s="46">
        <f>IF(B1061&lt;&gt;"",VLOOKUP(B1061,'Tipo Projeto'!$A$3:$B$35,2,0),0)</f>
        <v>0</v>
      </c>
      <c r="D1061" s="47"/>
      <c r="E1061" s="47"/>
      <c r="F1061" s="47"/>
      <c r="G1061" s="48"/>
      <c r="H1061" s="47"/>
      <c r="I1061" s="75">
        <f t="shared" si="32"/>
        <v>0</v>
      </c>
      <c r="J1061" s="47"/>
      <c r="K1061" s="288">
        <f t="shared" si="33"/>
        <v>0</v>
      </c>
    </row>
    <row r="1062" spans="1:11" s="56" customFormat="1" ht="15.75" customHeight="1">
      <c r="A1062" s="44"/>
      <c r="B1062" s="45"/>
      <c r="C1062" s="46">
        <f>IF(B1062&lt;&gt;"",VLOOKUP(B1062,'Tipo Projeto'!$A$3:$B$35,2,0),0)</f>
        <v>0</v>
      </c>
      <c r="D1062" s="47"/>
      <c r="E1062" s="47"/>
      <c r="F1062" s="47"/>
      <c r="G1062" s="48"/>
      <c r="H1062" s="47"/>
      <c r="I1062" s="75">
        <f t="shared" si="32"/>
        <v>0</v>
      </c>
      <c r="J1062" s="47"/>
      <c r="K1062" s="288">
        <f t="shared" si="33"/>
        <v>0</v>
      </c>
    </row>
    <row r="1063" spans="1:11" s="56" customFormat="1" ht="15.75" customHeight="1">
      <c r="A1063" s="44"/>
      <c r="B1063" s="45"/>
      <c r="C1063" s="46">
        <f>IF(B1063&lt;&gt;"",VLOOKUP(B1063,'Tipo Projeto'!$A$3:$B$35,2,0),0)</f>
        <v>0</v>
      </c>
      <c r="D1063" s="47"/>
      <c r="E1063" s="47"/>
      <c r="F1063" s="47"/>
      <c r="G1063" s="48"/>
      <c r="H1063" s="47"/>
      <c r="I1063" s="75">
        <f t="shared" si="32"/>
        <v>0</v>
      </c>
      <c r="J1063" s="47"/>
      <c r="K1063" s="288">
        <f t="shared" si="33"/>
        <v>0</v>
      </c>
    </row>
    <row r="1064" spans="1:11" s="56" customFormat="1" ht="15.75" customHeight="1">
      <c r="A1064" s="44"/>
      <c r="B1064" s="45"/>
      <c r="C1064" s="46">
        <f>IF(B1064&lt;&gt;"",VLOOKUP(B1064,'Tipo Projeto'!$A$3:$B$35,2,0),0)</f>
        <v>0</v>
      </c>
      <c r="D1064" s="47"/>
      <c r="E1064" s="47"/>
      <c r="F1064" s="47"/>
      <c r="G1064" s="48"/>
      <c r="H1064" s="47"/>
      <c r="I1064" s="75">
        <f t="shared" si="32"/>
        <v>0</v>
      </c>
      <c r="J1064" s="47"/>
      <c r="K1064" s="288">
        <f t="shared" si="33"/>
        <v>0</v>
      </c>
    </row>
    <row r="1065" spans="1:11" s="56" customFormat="1" ht="15.75" customHeight="1">
      <c r="A1065" s="44"/>
      <c r="B1065" s="45"/>
      <c r="C1065" s="46">
        <f>IF(B1065&lt;&gt;"",VLOOKUP(B1065,'Tipo Projeto'!$A$3:$B$35,2,0),0)</f>
        <v>0</v>
      </c>
      <c r="D1065" s="47"/>
      <c r="E1065" s="47"/>
      <c r="F1065" s="47"/>
      <c r="G1065" s="48"/>
      <c r="H1065" s="47"/>
      <c r="I1065" s="75">
        <f t="shared" si="32"/>
        <v>0</v>
      </c>
      <c r="J1065" s="47"/>
      <c r="K1065" s="288">
        <f t="shared" si="33"/>
        <v>0</v>
      </c>
    </row>
    <row r="1066" spans="1:11" s="56" customFormat="1" ht="15.75" customHeight="1">
      <c r="A1066" s="44"/>
      <c r="B1066" s="45"/>
      <c r="C1066" s="46">
        <f>IF(B1066&lt;&gt;"",VLOOKUP(B1066,'Tipo Projeto'!$A$3:$B$35,2,0),0)</f>
        <v>0</v>
      </c>
      <c r="D1066" s="47"/>
      <c r="E1066" s="47"/>
      <c r="F1066" s="47"/>
      <c r="G1066" s="48"/>
      <c r="H1066" s="47"/>
      <c r="I1066" s="75">
        <f t="shared" si="32"/>
        <v>0</v>
      </c>
      <c r="J1066" s="47"/>
      <c r="K1066" s="288">
        <f t="shared" si="33"/>
        <v>0</v>
      </c>
    </row>
    <row r="1067" spans="1:11" s="56" customFormat="1" ht="15.75" customHeight="1">
      <c r="A1067" s="44"/>
      <c r="B1067" s="45"/>
      <c r="C1067" s="46">
        <f>IF(B1067&lt;&gt;"",VLOOKUP(B1067,'Tipo Projeto'!$A$3:$B$35,2,0),0)</f>
        <v>0</v>
      </c>
      <c r="D1067" s="47"/>
      <c r="E1067" s="47"/>
      <c r="F1067" s="47"/>
      <c r="G1067" s="48"/>
      <c r="H1067" s="47"/>
      <c r="I1067" s="75">
        <f t="shared" si="32"/>
        <v>0</v>
      </c>
      <c r="J1067" s="47"/>
      <c r="K1067" s="288">
        <f t="shared" si="33"/>
        <v>0</v>
      </c>
    </row>
    <row r="1068" spans="1:11" s="56" customFormat="1" ht="15.75" customHeight="1">
      <c r="A1068" s="44"/>
      <c r="B1068" s="45"/>
      <c r="C1068" s="46">
        <f>IF(B1068&lt;&gt;"",VLOOKUP(B1068,'Tipo Projeto'!$A$3:$B$35,2,0),0)</f>
        <v>0</v>
      </c>
      <c r="D1068" s="47"/>
      <c r="E1068" s="47"/>
      <c r="F1068" s="47"/>
      <c r="G1068" s="48"/>
      <c r="H1068" s="47"/>
      <c r="I1068" s="75">
        <f t="shared" si="32"/>
        <v>0</v>
      </c>
      <c r="J1068" s="47"/>
      <c r="K1068" s="288">
        <f t="shared" si="33"/>
        <v>0</v>
      </c>
    </row>
    <row r="1069" spans="1:11" s="56" customFormat="1" ht="15.75" customHeight="1">
      <c r="A1069" s="44"/>
      <c r="B1069" s="45"/>
      <c r="C1069" s="46">
        <f>IF(B1069&lt;&gt;"",VLOOKUP(B1069,'Tipo Projeto'!$A$3:$B$35,2,0),0)</f>
        <v>0</v>
      </c>
      <c r="D1069" s="47"/>
      <c r="E1069" s="47"/>
      <c r="F1069" s="47"/>
      <c r="G1069" s="48"/>
      <c r="H1069" s="47"/>
      <c r="I1069" s="75">
        <f t="shared" si="32"/>
        <v>0</v>
      </c>
      <c r="J1069" s="47"/>
      <c r="K1069" s="288">
        <f t="shared" si="33"/>
        <v>0</v>
      </c>
    </row>
    <row r="1070" spans="1:11" s="56" customFormat="1" ht="15.75" customHeight="1">
      <c r="A1070" s="44"/>
      <c r="B1070" s="45"/>
      <c r="C1070" s="46">
        <f>IF(B1070&lt;&gt;"",VLOOKUP(B1070,'Tipo Projeto'!$A$3:$B$35,2,0),0)</f>
        <v>0</v>
      </c>
      <c r="D1070" s="47"/>
      <c r="E1070" s="47"/>
      <c r="F1070" s="47"/>
      <c r="G1070" s="48"/>
      <c r="H1070" s="47"/>
      <c r="I1070" s="75">
        <f t="shared" si="32"/>
        <v>0</v>
      </c>
      <c r="J1070" s="47"/>
      <c r="K1070" s="288">
        <f t="shared" si="33"/>
        <v>0</v>
      </c>
    </row>
    <row r="1071" spans="1:11" s="56" customFormat="1" ht="15.75" customHeight="1">
      <c r="A1071" s="44"/>
      <c r="B1071" s="45"/>
      <c r="C1071" s="46">
        <f>IF(B1071&lt;&gt;"",VLOOKUP(B1071,'Tipo Projeto'!$A$3:$B$35,2,0),0)</f>
        <v>0</v>
      </c>
      <c r="D1071" s="47"/>
      <c r="E1071" s="47"/>
      <c r="F1071" s="47"/>
      <c r="G1071" s="48"/>
      <c r="H1071" s="47"/>
      <c r="I1071" s="75">
        <f t="shared" si="32"/>
        <v>0</v>
      </c>
      <c r="J1071" s="47"/>
      <c r="K1071" s="288">
        <f t="shared" si="33"/>
        <v>0</v>
      </c>
    </row>
    <row r="1072" spans="1:11" s="56" customFormat="1" ht="15.75" customHeight="1">
      <c r="A1072" s="44"/>
      <c r="B1072" s="45"/>
      <c r="C1072" s="46">
        <f>IF(B1072&lt;&gt;"",VLOOKUP(B1072,'Tipo Projeto'!$A$3:$B$35,2,0),0)</f>
        <v>0</v>
      </c>
      <c r="D1072" s="47"/>
      <c r="E1072" s="47"/>
      <c r="F1072" s="47"/>
      <c r="G1072" s="48"/>
      <c r="H1072" s="47"/>
      <c r="I1072" s="75">
        <f t="shared" si="32"/>
        <v>0</v>
      </c>
      <c r="J1072" s="47"/>
      <c r="K1072" s="288">
        <f t="shared" si="33"/>
        <v>0</v>
      </c>
    </row>
    <row r="1073" spans="1:11" s="56" customFormat="1" ht="15.75" customHeight="1">
      <c r="A1073" s="44"/>
      <c r="B1073" s="45"/>
      <c r="C1073" s="46">
        <f>IF(B1073&lt;&gt;"",VLOOKUP(B1073,'Tipo Projeto'!$A$3:$B$35,2,0),0)</f>
        <v>0</v>
      </c>
      <c r="D1073" s="47"/>
      <c r="E1073" s="47"/>
      <c r="F1073" s="47"/>
      <c r="G1073" s="48"/>
      <c r="H1073" s="47"/>
      <c r="I1073" s="75">
        <f t="shared" si="32"/>
        <v>0</v>
      </c>
      <c r="J1073" s="47"/>
      <c r="K1073" s="288">
        <f t="shared" si="33"/>
        <v>0</v>
      </c>
    </row>
    <row r="1074" spans="1:11" s="56" customFormat="1" ht="15.75" customHeight="1">
      <c r="A1074" s="44"/>
      <c r="B1074" s="45"/>
      <c r="C1074" s="46">
        <f>IF(B1074&lt;&gt;"",VLOOKUP(B1074,'Tipo Projeto'!$A$3:$B$35,2,0),0)</f>
        <v>0</v>
      </c>
      <c r="D1074" s="47"/>
      <c r="E1074" s="47"/>
      <c r="F1074" s="47"/>
      <c r="G1074" s="48"/>
      <c r="H1074" s="47"/>
      <c r="I1074" s="75">
        <f t="shared" si="32"/>
        <v>0</v>
      </c>
      <c r="J1074" s="47"/>
      <c r="K1074" s="288">
        <f t="shared" si="33"/>
        <v>0</v>
      </c>
    </row>
    <row r="1075" spans="1:11" s="56" customFormat="1" ht="15.75" customHeight="1">
      <c r="A1075" s="44"/>
      <c r="B1075" s="45"/>
      <c r="C1075" s="46">
        <f>IF(B1075&lt;&gt;"",VLOOKUP(B1075,'Tipo Projeto'!$A$3:$B$35,2,0),0)</f>
        <v>0</v>
      </c>
      <c r="D1075" s="47"/>
      <c r="E1075" s="47"/>
      <c r="F1075" s="47"/>
      <c r="G1075" s="48"/>
      <c r="H1075" s="47"/>
      <c r="I1075" s="75">
        <f t="shared" si="32"/>
        <v>0</v>
      </c>
      <c r="J1075" s="47"/>
      <c r="K1075" s="288">
        <f t="shared" si="33"/>
        <v>0</v>
      </c>
    </row>
    <row r="1076" spans="1:11" s="56" customFormat="1" ht="15.75" customHeight="1">
      <c r="A1076" s="44"/>
      <c r="B1076" s="45"/>
      <c r="C1076" s="46">
        <f>IF(B1076&lt;&gt;"",VLOOKUP(B1076,'Tipo Projeto'!$A$3:$B$35,2,0),0)</f>
        <v>0</v>
      </c>
      <c r="D1076" s="47"/>
      <c r="E1076" s="47"/>
      <c r="F1076" s="47"/>
      <c r="G1076" s="48"/>
      <c r="H1076" s="47"/>
      <c r="I1076" s="75">
        <f t="shared" si="32"/>
        <v>0</v>
      </c>
      <c r="J1076" s="47"/>
      <c r="K1076" s="288">
        <f t="shared" si="33"/>
        <v>0</v>
      </c>
    </row>
    <row r="1077" spans="1:11" s="56" customFormat="1" ht="15.75" customHeight="1">
      <c r="A1077" s="44"/>
      <c r="B1077" s="45"/>
      <c r="C1077" s="46">
        <f>IF(B1077&lt;&gt;"",VLOOKUP(B1077,'Tipo Projeto'!$A$3:$B$35,2,0),0)</f>
        <v>0</v>
      </c>
      <c r="D1077" s="47"/>
      <c r="E1077" s="47"/>
      <c r="F1077" s="47"/>
      <c r="G1077" s="48"/>
      <c r="H1077" s="47"/>
      <c r="I1077" s="75">
        <f t="shared" si="32"/>
        <v>0</v>
      </c>
      <c r="J1077" s="47"/>
      <c r="K1077" s="288">
        <f t="shared" si="33"/>
        <v>0</v>
      </c>
    </row>
    <row r="1078" spans="1:11" s="56" customFormat="1" ht="15.75" customHeight="1">
      <c r="A1078" s="44"/>
      <c r="B1078" s="45"/>
      <c r="C1078" s="46">
        <f>IF(B1078&lt;&gt;"",VLOOKUP(B1078,'Tipo Projeto'!$A$3:$B$35,2,0),0)</f>
        <v>0</v>
      </c>
      <c r="D1078" s="47"/>
      <c r="E1078" s="47"/>
      <c r="F1078" s="47"/>
      <c r="G1078" s="48"/>
      <c r="H1078" s="47"/>
      <c r="I1078" s="75">
        <f t="shared" si="32"/>
        <v>0</v>
      </c>
      <c r="J1078" s="47"/>
      <c r="K1078" s="288">
        <f t="shared" si="33"/>
        <v>0</v>
      </c>
    </row>
    <row r="1079" spans="1:11" s="56" customFormat="1" ht="15.75" customHeight="1">
      <c r="A1079" s="44"/>
      <c r="B1079" s="45"/>
      <c r="C1079" s="46">
        <f>IF(B1079&lt;&gt;"",VLOOKUP(B1079,'Tipo Projeto'!$A$3:$B$35,2,0),0)</f>
        <v>0</v>
      </c>
      <c r="D1079" s="47"/>
      <c r="E1079" s="47"/>
      <c r="F1079" s="47"/>
      <c r="G1079" s="48"/>
      <c r="H1079" s="47"/>
      <c r="I1079" s="75">
        <f t="shared" si="32"/>
        <v>0</v>
      </c>
      <c r="J1079" s="47"/>
      <c r="K1079" s="288">
        <f t="shared" si="33"/>
        <v>0</v>
      </c>
    </row>
    <row r="1080" spans="1:11" s="56" customFormat="1" ht="15.75" customHeight="1">
      <c r="A1080" s="44"/>
      <c r="B1080" s="45"/>
      <c r="C1080" s="46">
        <f>IF(B1080&lt;&gt;"",VLOOKUP(B1080,'Tipo Projeto'!$A$3:$B$35,2,0),0)</f>
        <v>0</v>
      </c>
      <c r="D1080" s="47"/>
      <c r="E1080" s="47"/>
      <c r="F1080" s="47"/>
      <c r="G1080" s="48"/>
      <c r="H1080" s="47"/>
      <c r="I1080" s="75">
        <f t="shared" si="32"/>
        <v>0</v>
      </c>
      <c r="J1080" s="47"/>
      <c r="K1080" s="288">
        <f t="shared" si="33"/>
        <v>0</v>
      </c>
    </row>
    <row r="1081" spans="1:11" s="56" customFormat="1" ht="15.75" customHeight="1">
      <c r="A1081" s="44"/>
      <c r="B1081" s="45"/>
      <c r="C1081" s="46">
        <f>IF(B1081&lt;&gt;"",VLOOKUP(B1081,'Tipo Projeto'!$A$3:$B$35,2,0),0)</f>
        <v>0</v>
      </c>
      <c r="D1081" s="47"/>
      <c r="E1081" s="47"/>
      <c r="F1081" s="47"/>
      <c r="G1081" s="48"/>
      <c r="H1081" s="47"/>
      <c r="I1081" s="75">
        <f t="shared" si="32"/>
        <v>0</v>
      </c>
      <c r="J1081" s="47"/>
      <c r="K1081" s="288">
        <f t="shared" si="33"/>
        <v>0</v>
      </c>
    </row>
    <row r="1082" spans="1:11" s="56" customFormat="1" ht="14">
      <c r="A1082" s="241" t="s">
        <v>66</v>
      </c>
      <c r="B1082" s="241"/>
      <c r="C1082" s="241"/>
      <c r="D1082" s="241"/>
      <c r="E1082" s="241"/>
      <c r="F1082" s="241"/>
      <c r="G1082" s="241"/>
      <c r="H1082" s="241"/>
      <c r="I1082" s="241"/>
      <c r="J1082" s="241"/>
    </row>
    <row r="1083" spans="1:11" ht="13" customHeight="1">
      <c r="A1083" s="65"/>
      <c r="D1083" s="67"/>
      <c r="E1083" s="67"/>
      <c r="F1083" s="67"/>
      <c r="G1083" s="247" t="s">
        <v>81</v>
      </c>
      <c r="H1083" s="247"/>
      <c r="I1083" s="70">
        <f>SUM(I10:I1082)</f>
        <v>0</v>
      </c>
    </row>
  </sheetData>
  <mergeCells count="21">
    <mergeCell ref="K8:K9"/>
    <mergeCell ref="G1083:H1083"/>
    <mergeCell ref="F8:F9"/>
    <mergeCell ref="G8:G9"/>
    <mergeCell ref="H8:I8"/>
    <mergeCell ref="J8:J9"/>
    <mergeCell ref="A10:J10"/>
    <mergeCell ref="A8:A9"/>
    <mergeCell ref="B8:B9"/>
    <mergeCell ref="C8:C9"/>
    <mergeCell ref="D8:D9"/>
    <mergeCell ref="E8:E9"/>
    <mergeCell ref="A1082:J1082"/>
    <mergeCell ref="C1:J1"/>
    <mergeCell ref="A2:B2"/>
    <mergeCell ref="H3:J3"/>
    <mergeCell ref="H4:J4"/>
    <mergeCell ref="A5:B6"/>
    <mergeCell ref="C5:D6"/>
    <mergeCell ref="H5:J5"/>
    <mergeCell ref="H6:J6"/>
  </mergeCells>
  <conditionalFormatting sqref="H11:H1081">
    <cfRule type="cellIs" dxfId="6" priority="2" operator="between">
      <formula>"Desenvolvimento"</formula>
      <formula>"Manutenção"</formula>
    </cfRule>
  </conditionalFormatting>
  <dataValidations count="2">
    <dataValidation type="list" allowBlank="1" showInputMessage="1" showErrorMessage="1" errorTitle="Erro" error="Selecione uma das opções apresentada" sqref="H11:H1081" xr:uid="{00000000-0002-0000-0400-000000000000}">
      <formula1>"-------,EE,SE,CE,ALI,AIE"</formula1>
      <formula2>0</formula2>
    </dataValidation>
    <dataValidation type="list" allowBlank="1" showInputMessage="1" showErrorMessage="1" sqref="B11:B1081" xr:uid="{00000000-0002-0000-0400-000001000000}">
      <formula1>TipoProjeto</formula1>
      <formula2>0</formula2>
    </dataValidation>
  </dataValidations>
  <pageMargins left="0.196527777777778" right="0.196527777777778" top="0.32986111111111099" bottom="0.42986111111111103" header="0.179861111111111" footer="0.27569444444444402"/>
  <pageSetup paperSize="9" firstPageNumber="0" fitToHeight="10" orientation="landscape" horizontalDpi="300" verticalDpi="300"/>
  <headerFooter>
    <oddHeader>&amp;C&amp;A</oddHeader>
    <oddFooter>&amp;CPágina &amp;P de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405"/>
  <sheetViews>
    <sheetView showGridLines="0" zoomScale="85" zoomScaleNormal="85" workbookViewId="0">
      <selection activeCell="C11" sqref="C11"/>
    </sheetView>
  </sheetViews>
  <sheetFormatPr defaultColWidth="8.81640625" defaultRowHeight="12.5"/>
  <cols>
    <col min="1" max="1" width="0.81640625" style="16" customWidth="1" collapsed="1"/>
    <col min="2" max="2" width="4.54296875" style="15" customWidth="1" collapsed="1"/>
    <col min="3" max="3" width="34.1796875" style="17" customWidth="1" collapsed="1"/>
    <col min="4" max="4" width="14.453125" style="17" hidden="1" customWidth="1" collapsed="1"/>
    <col min="5" max="5" width="10.1796875" style="17" customWidth="1" collapsed="1"/>
    <col min="6" max="6" width="7.81640625" style="17" customWidth="1" collapsed="1"/>
    <col min="7" max="7" width="15.54296875" style="17" customWidth="1" collapsed="1"/>
    <col min="8" max="8" width="19.54296875" style="17" customWidth="1" collapsed="1"/>
    <col min="9" max="9" width="44" style="18" customWidth="1" collapsed="1"/>
    <col min="10" max="10" width="11.54296875" style="15" customWidth="1" collapsed="1"/>
    <col min="11" max="11" width="9.453125" style="16" customWidth="1" collapsed="1"/>
    <col min="12" max="12" width="8.453125" style="16" customWidth="1" collapsed="1"/>
    <col min="13" max="14" width="9.1796875" style="16" customWidth="1" collapsed="1"/>
    <col min="15" max="15" width="9.54296875" style="16" customWidth="1" collapsed="1"/>
    <col min="16" max="24" width="9.1796875" style="16" customWidth="1" collapsed="1"/>
    <col min="25" max="16384" width="8.81640625" style="16"/>
  </cols>
  <sheetData>
    <row r="1" spans="2:21" ht="69" customHeight="1">
      <c r="B1" s="2" t="s">
        <v>82</v>
      </c>
      <c r="C1" s="79"/>
      <c r="D1" s="79"/>
      <c r="E1" s="79"/>
      <c r="F1" s="79"/>
      <c r="G1" s="219" t="s">
        <v>83</v>
      </c>
      <c r="H1" s="219"/>
      <c r="I1" s="219"/>
      <c r="J1" s="219"/>
      <c r="K1" s="219"/>
      <c r="L1" s="219"/>
      <c r="M1" s="80"/>
      <c r="N1" s="80"/>
      <c r="O1" s="77"/>
      <c r="P1" s="77"/>
      <c r="Q1" s="77"/>
      <c r="R1" s="77"/>
      <c r="S1" s="77"/>
      <c r="T1" s="77"/>
      <c r="U1" s="77"/>
    </row>
    <row r="2" spans="2:21" ht="9" customHeight="1">
      <c r="B2" s="78"/>
      <c r="C2" s="32"/>
      <c r="D2" s="32"/>
      <c r="E2" s="32"/>
      <c r="F2" s="32"/>
      <c r="G2" s="32"/>
      <c r="H2" s="32"/>
      <c r="I2" s="32"/>
      <c r="J2" s="32"/>
      <c r="K2" s="32"/>
      <c r="L2" s="32"/>
      <c r="M2" s="32"/>
    </row>
    <row r="3" spans="2:21" ht="18.649999999999999" customHeight="1">
      <c r="B3" s="245" t="s">
        <v>84</v>
      </c>
      <c r="C3" s="245"/>
      <c r="D3" s="249" t="str">
        <f>TEXT(J404,"#.##0,0#")</f>
        <v>0,0</v>
      </c>
      <c r="E3" s="249"/>
      <c r="F3" s="22"/>
      <c r="G3" s="22"/>
      <c r="H3" s="22"/>
      <c r="I3" s="27" t="s">
        <v>7</v>
      </c>
      <c r="J3" s="213"/>
      <c r="K3" s="213"/>
      <c r="L3" s="213"/>
    </row>
    <row r="4" spans="2:21" ht="18.649999999999999" customHeight="1">
      <c r="B4" s="245"/>
      <c r="C4" s="245"/>
      <c r="D4" s="249"/>
      <c r="E4" s="249"/>
      <c r="F4" s="22"/>
      <c r="G4" s="22"/>
      <c r="H4" s="22"/>
      <c r="I4" s="27" t="s">
        <v>8</v>
      </c>
      <c r="J4" s="211"/>
      <c r="K4" s="211"/>
      <c r="L4" s="211"/>
    </row>
    <row r="5" spans="2:21" ht="18.649999999999999" customHeight="1">
      <c r="B5" s="245" t="s">
        <v>85</v>
      </c>
      <c r="C5" s="245"/>
      <c r="D5" s="249" t="str">
        <f>TEXT(K404,"#.##0,0#")</f>
        <v>0,0</v>
      </c>
      <c r="E5" s="249"/>
      <c r="F5" s="22"/>
      <c r="G5" s="22"/>
      <c r="H5" s="22"/>
      <c r="I5" s="27" t="s">
        <v>9</v>
      </c>
      <c r="J5" s="213"/>
      <c r="K5" s="213"/>
      <c r="L5" s="213"/>
    </row>
    <row r="6" spans="2:21" ht="18.649999999999999" customHeight="1">
      <c r="B6" s="245"/>
      <c r="C6" s="245"/>
      <c r="D6" s="249"/>
      <c r="E6" s="249"/>
      <c r="F6" s="22"/>
      <c r="G6" s="22"/>
      <c r="H6" s="22"/>
      <c r="I6" s="27" t="s">
        <v>10</v>
      </c>
      <c r="J6" s="211"/>
      <c r="K6" s="211"/>
      <c r="L6" s="211"/>
    </row>
    <row r="7" spans="2:21" ht="9" customHeight="1">
      <c r="B7" s="81"/>
      <c r="C7" s="81"/>
      <c r="D7" s="81"/>
      <c r="E7" s="81"/>
      <c r="F7" s="81"/>
      <c r="G7" s="81"/>
      <c r="H7" s="81"/>
      <c r="I7" s="82"/>
      <c r="J7" s="82"/>
      <c r="K7" s="82"/>
      <c r="L7" s="82"/>
    </row>
    <row r="8" spans="2:21" s="38" customFormat="1" ht="26.5" customHeight="1">
      <c r="B8" s="217" t="s">
        <v>43</v>
      </c>
      <c r="C8" s="218" t="s">
        <v>86</v>
      </c>
      <c r="D8" s="83" t="s">
        <v>52</v>
      </c>
      <c r="E8" s="237" t="s">
        <v>87</v>
      </c>
      <c r="F8" s="237" t="s">
        <v>70</v>
      </c>
      <c r="G8" s="237" t="s">
        <v>47</v>
      </c>
      <c r="H8" s="237"/>
      <c r="I8" s="220" t="s">
        <v>88</v>
      </c>
      <c r="J8" s="250" t="s">
        <v>72</v>
      </c>
      <c r="K8" s="250"/>
      <c r="L8" s="250" t="s">
        <v>73</v>
      </c>
    </row>
    <row r="9" spans="2:21" s="43" customFormat="1" ht="15.5">
      <c r="B9" s="217"/>
      <c r="C9" s="218"/>
      <c r="D9" s="34"/>
      <c r="E9" s="237"/>
      <c r="F9" s="237"/>
      <c r="G9" s="237"/>
      <c r="H9" s="237"/>
      <c r="I9" s="220"/>
      <c r="J9" s="35" t="s">
        <v>26</v>
      </c>
      <c r="K9" s="35" t="s">
        <v>53</v>
      </c>
      <c r="L9" s="250"/>
    </row>
    <row r="10" spans="2:21" s="56" customFormat="1" ht="14">
      <c r="B10" s="241" t="s">
        <v>77</v>
      </c>
      <c r="C10" s="241"/>
      <c r="D10" s="241"/>
      <c r="E10" s="241"/>
      <c r="F10" s="241"/>
      <c r="G10" s="241"/>
      <c r="H10" s="241"/>
      <c r="I10" s="241"/>
      <c r="J10" s="241"/>
      <c r="K10" s="241"/>
      <c r="L10" s="241"/>
    </row>
    <row r="11" spans="2:21" s="56" customFormat="1" ht="24" customHeight="1">
      <c r="B11" s="44"/>
      <c r="C11" s="47"/>
      <c r="D11" s="84"/>
      <c r="E11" s="84"/>
      <c r="F11" s="84"/>
      <c r="G11" s="248"/>
      <c r="H11" s="248"/>
      <c r="I11" s="48"/>
      <c r="J11" s="75" t="str">
        <f t="shared" ref="J11:J74" si="0">IF($C11&lt;&gt;"",$E11*1.5,"")</f>
        <v/>
      </c>
      <c r="K11" s="85" t="str">
        <f t="shared" ref="K11:K74" si="1">IFERROR($J11/10,"")</f>
        <v/>
      </c>
      <c r="L11" s="47"/>
    </row>
    <row r="12" spans="2:21" s="56" customFormat="1" ht="14.15" customHeight="1">
      <c r="B12" s="44"/>
      <c r="C12" s="47"/>
      <c r="D12" s="84"/>
      <c r="E12" s="84"/>
      <c r="F12" s="84"/>
      <c r="G12" s="248" t="s">
        <v>89</v>
      </c>
      <c r="H12" s="248"/>
      <c r="I12" s="48"/>
      <c r="J12" s="75" t="str">
        <f t="shared" si="0"/>
        <v/>
      </c>
      <c r="K12" s="85" t="str">
        <f t="shared" si="1"/>
        <v/>
      </c>
      <c r="L12" s="47"/>
    </row>
    <row r="13" spans="2:21" s="56" customFormat="1" ht="14">
      <c r="B13" s="44"/>
      <c r="C13" s="47"/>
      <c r="D13" s="84"/>
      <c r="E13" s="84"/>
      <c r="F13" s="84"/>
      <c r="G13" s="248"/>
      <c r="H13" s="248"/>
      <c r="I13" s="48"/>
      <c r="J13" s="75" t="str">
        <f t="shared" si="0"/>
        <v/>
      </c>
      <c r="K13" s="85" t="str">
        <f t="shared" si="1"/>
        <v/>
      </c>
      <c r="L13" s="47"/>
    </row>
    <row r="14" spans="2:21" s="56" customFormat="1" ht="14">
      <c r="B14" s="44"/>
      <c r="C14" s="47"/>
      <c r="D14" s="84"/>
      <c r="E14" s="84"/>
      <c r="F14" s="84"/>
      <c r="G14" s="248"/>
      <c r="H14" s="248"/>
      <c r="I14" s="48"/>
      <c r="J14" s="75" t="str">
        <f t="shared" si="0"/>
        <v/>
      </c>
      <c r="K14" s="85" t="str">
        <f t="shared" si="1"/>
        <v/>
      </c>
      <c r="L14" s="47"/>
    </row>
    <row r="15" spans="2:21" s="56" customFormat="1" ht="14">
      <c r="B15" s="44"/>
      <c r="C15" s="47"/>
      <c r="D15" s="84"/>
      <c r="E15" s="84"/>
      <c r="F15" s="84"/>
      <c r="G15" s="248"/>
      <c r="H15" s="248"/>
      <c r="I15" s="48"/>
      <c r="J15" s="75" t="str">
        <f t="shared" si="0"/>
        <v/>
      </c>
      <c r="K15" s="85" t="str">
        <f t="shared" si="1"/>
        <v/>
      </c>
      <c r="L15" s="47"/>
    </row>
    <row r="16" spans="2:21" s="56" customFormat="1" ht="14">
      <c r="B16" s="44"/>
      <c r="C16" s="47"/>
      <c r="D16" s="84"/>
      <c r="E16" s="84"/>
      <c r="F16" s="84"/>
      <c r="G16" s="248"/>
      <c r="H16" s="248"/>
      <c r="I16" s="48"/>
      <c r="J16" s="75" t="str">
        <f t="shared" si="0"/>
        <v/>
      </c>
      <c r="K16" s="85" t="str">
        <f t="shared" si="1"/>
        <v/>
      </c>
      <c r="L16" s="47"/>
    </row>
    <row r="17" spans="2:12" s="56" customFormat="1" ht="14">
      <c r="B17" s="44"/>
      <c r="C17" s="47"/>
      <c r="D17" s="84"/>
      <c r="E17" s="84"/>
      <c r="F17" s="84"/>
      <c r="G17" s="248"/>
      <c r="H17" s="248"/>
      <c r="I17" s="48"/>
      <c r="J17" s="75" t="str">
        <f t="shared" si="0"/>
        <v/>
      </c>
      <c r="K17" s="85" t="str">
        <f t="shared" si="1"/>
        <v/>
      </c>
      <c r="L17" s="47"/>
    </row>
    <row r="18" spans="2:12" s="56" customFormat="1" ht="14">
      <c r="B18" s="44"/>
      <c r="C18" s="47"/>
      <c r="D18" s="84"/>
      <c r="E18" s="84"/>
      <c r="F18" s="84"/>
      <c r="G18" s="248"/>
      <c r="H18" s="248"/>
      <c r="I18" s="48"/>
      <c r="J18" s="75" t="str">
        <f t="shared" si="0"/>
        <v/>
      </c>
      <c r="K18" s="85" t="str">
        <f t="shared" si="1"/>
        <v/>
      </c>
      <c r="L18" s="47"/>
    </row>
    <row r="19" spans="2:12" s="56" customFormat="1" ht="14">
      <c r="B19" s="44"/>
      <c r="C19" s="47"/>
      <c r="D19" s="84"/>
      <c r="E19" s="84"/>
      <c r="F19" s="84"/>
      <c r="G19" s="248"/>
      <c r="H19" s="248"/>
      <c r="I19" s="48"/>
      <c r="J19" s="75" t="str">
        <f t="shared" si="0"/>
        <v/>
      </c>
      <c r="K19" s="85" t="str">
        <f t="shared" si="1"/>
        <v/>
      </c>
      <c r="L19" s="47"/>
    </row>
    <row r="20" spans="2:12" s="56" customFormat="1" ht="14">
      <c r="B20" s="44"/>
      <c r="C20" s="47"/>
      <c r="D20" s="84"/>
      <c r="E20" s="84"/>
      <c r="F20" s="84"/>
      <c r="G20" s="248"/>
      <c r="H20" s="248"/>
      <c r="I20" s="48"/>
      <c r="J20" s="75" t="str">
        <f t="shared" si="0"/>
        <v/>
      </c>
      <c r="K20" s="85" t="str">
        <f t="shared" si="1"/>
        <v/>
      </c>
      <c r="L20" s="47"/>
    </row>
    <row r="21" spans="2:12" s="56" customFormat="1" ht="14">
      <c r="B21" s="44"/>
      <c r="C21" s="47"/>
      <c r="D21" s="84"/>
      <c r="E21" s="84"/>
      <c r="F21" s="84"/>
      <c r="G21" s="248"/>
      <c r="H21" s="248"/>
      <c r="I21" s="48"/>
      <c r="J21" s="75" t="str">
        <f t="shared" si="0"/>
        <v/>
      </c>
      <c r="K21" s="85" t="str">
        <f t="shared" si="1"/>
        <v/>
      </c>
      <c r="L21" s="47"/>
    </row>
    <row r="22" spans="2:12" s="56" customFormat="1" ht="14">
      <c r="B22" s="44"/>
      <c r="C22" s="47"/>
      <c r="D22" s="84"/>
      <c r="E22" s="84"/>
      <c r="F22" s="84"/>
      <c r="G22" s="248"/>
      <c r="H22" s="248"/>
      <c r="I22" s="48"/>
      <c r="J22" s="75" t="str">
        <f t="shared" si="0"/>
        <v/>
      </c>
      <c r="K22" s="85" t="str">
        <f t="shared" si="1"/>
        <v/>
      </c>
      <c r="L22" s="47"/>
    </row>
    <row r="23" spans="2:12" s="56" customFormat="1" ht="14">
      <c r="B23" s="44"/>
      <c r="C23" s="47"/>
      <c r="D23" s="84"/>
      <c r="E23" s="84"/>
      <c r="F23" s="84"/>
      <c r="G23" s="248"/>
      <c r="H23" s="248"/>
      <c r="I23" s="48"/>
      <c r="J23" s="75" t="str">
        <f t="shared" si="0"/>
        <v/>
      </c>
      <c r="K23" s="85" t="str">
        <f t="shared" si="1"/>
        <v/>
      </c>
      <c r="L23" s="47"/>
    </row>
    <row r="24" spans="2:12" s="56" customFormat="1" ht="14">
      <c r="B24" s="44"/>
      <c r="C24" s="47"/>
      <c r="D24" s="84"/>
      <c r="E24" s="84"/>
      <c r="F24" s="84"/>
      <c r="G24" s="248"/>
      <c r="H24" s="248"/>
      <c r="I24" s="48"/>
      <c r="J24" s="75" t="str">
        <f t="shared" si="0"/>
        <v/>
      </c>
      <c r="K24" s="85" t="str">
        <f t="shared" si="1"/>
        <v/>
      </c>
      <c r="L24" s="47"/>
    </row>
    <row r="25" spans="2:12" s="56" customFormat="1" ht="14">
      <c r="B25" s="44"/>
      <c r="C25" s="47"/>
      <c r="D25" s="84"/>
      <c r="E25" s="84"/>
      <c r="F25" s="84"/>
      <c r="G25" s="248"/>
      <c r="H25" s="248"/>
      <c r="I25" s="48"/>
      <c r="J25" s="75" t="str">
        <f t="shared" si="0"/>
        <v/>
      </c>
      <c r="K25" s="85" t="str">
        <f t="shared" si="1"/>
        <v/>
      </c>
      <c r="L25" s="47"/>
    </row>
    <row r="26" spans="2:12" s="56" customFormat="1" ht="14">
      <c r="B26" s="44"/>
      <c r="C26" s="47"/>
      <c r="D26" s="84"/>
      <c r="E26" s="84"/>
      <c r="F26" s="84"/>
      <c r="G26" s="248"/>
      <c r="H26" s="248"/>
      <c r="I26" s="48"/>
      <c r="J26" s="75" t="str">
        <f t="shared" si="0"/>
        <v/>
      </c>
      <c r="K26" s="85" t="str">
        <f t="shared" si="1"/>
        <v/>
      </c>
      <c r="L26" s="47"/>
    </row>
    <row r="27" spans="2:12" s="56" customFormat="1" ht="14">
      <c r="B27" s="44"/>
      <c r="C27" s="47"/>
      <c r="D27" s="84"/>
      <c r="E27" s="84"/>
      <c r="F27" s="84"/>
      <c r="G27" s="248"/>
      <c r="H27" s="248"/>
      <c r="I27" s="48"/>
      <c r="J27" s="75" t="str">
        <f t="shared" si="0"/>
        <v/>
      </c>
      <c r="K27" s="85" t="str">
        <f t="shared" si="1"/>
        <v/>
      </c>
      <c r="L27" s="47"/>
    </row>
    <row r="28" spans="2:12" s="56" customFormat="1" ht="14">
      <c r="B28" s="44"/>
      <c r="C28" s="47"/>
      <c r="D28" s="84"/>
      <c r="E28" s="84"/>
      <c r="F28" s="84"/>
      <c r="G28" s="248"/>
      <c r="H28" s="248"/>
      <c r="I28" s="48"/>
      <c r="J28" s="75" t="str">
        <f t="shared" si="0"/>
        <v/>
      </c>
      <c r="K28" s="85" t="str">
        <f t="shared" si="1"/>
        <v/>
      </c>
      <c r="L28" s="47"/>
    </row>
    <row r="29" spans="2:12" s="56" customFormat="1" ht="14">
      <c r="B29" s="44"/>
      <c r="C29" s="47"/>
      <c r="D29" s="84"/>
      <c r="E29" s="84"/>
      <c r="F29" s="84"/>
      <c r="G29" s="248"/>
      <c r="H29" s="248"/>
      <c r="I29" s="86"/>
      <c r="J29" s="75" t="str">
        <f t="shared" si="0"/>
        <v/>
      </c>
      <c r="K29" s="85" t="str">
        <f t="shared" si="1"/>
        <v/>
      </c>
      <c r="L29" s="47"/>
    </row>
    <row r="30" spans="2:12" s="56" customFormat="1" ht="14">
      <c r="B30" s="44"/>
      <c r="C30" s="47"/>
      <c r="D30" s="84"/>
      <c r="E30" s="84"/>
      <c r="F30" s="84"/>
      <c r="G30" s="248"/>
      <c r="H30" s="248"/>
      <c r="I30" s="86"/>
      <c r="J30" s="75" t="str">
        <f t="shared" si="0"/>
        <v/>
      </c>
      <c r="K30" s="85" t="str">
        <f t="shared" si="1"/>
        <v/>
      </c>
      <c r="L30" s="47"/>
    </row>
    <row r="31" spans="2:12" s="56" customFormat="1" ht="14">
      <c r="B31" s="44"/>
      <c r="C31" s="47"/>
      <c r="D31" s="84"/>
      <c r="E31" s="84"/>
      <c r="F31" s="84"/>
      <c r="G31" s="248"/>
      <c r="H31" s="248"/>
      <c r="I31" s="48"/>
      <c r="J31" s="75" t="str">
        <f t="shared" si="0"/>
        <v/>
      </c>
      <c r="K31" s="85" t="str">
        <f t="shared" si="1"/>
        <v/>
      </c>
      <c r="L31" s="47"/>
    </row>
    <row r="32" spans="2:12" s="56" customFormat="1" ht="14">
      <c r="B32" s="44"/>
      <c r="C32" s="47"/>
      <c r="D32" s="84"/>
      <c r="E32" s="84"/>
      <c r="F32" s="84"/>
      <c r="G32" s="248"/>
      <c r="H32" s="248"/>
      <c r="I32" s="48"/>
      <c r="J32" s="75" t="str">
        <f t="shared" si="0"/>
        <v/>
      </c>
      <c r="K32" s="85" t="str">
        <f t="shared" si="1"/>
        <v/>
      </c>
      <c r="L32" s="47"/>
    </row>
    <row r="33" spans="2:12" s="56" customFormat="1" ht="14">
      <c r="B33" s="44"/>
      <c r="C33" s="47"/>
      <c r="D33" s="84"/>
      <c r="E33" s="84"/>
      <c r="F33" s="84"/>
      <c r="G33" s="248"/>
      <c r="H33" s="248"/>
      <c r="I33" s="48"/>
      <c r="J33" s="75" t="str">
        <f t="shared" si="0"/>
        <v/>
      </c>
      <c r="K33" s="85" t="str">
        <f t="shared" si="1"/>
        <v/>
      </c>
      <c r="L33" s="47"/>
    </row>
    <row r="34" spans="2:12" s="56" customFormat="1" ht="14">
      <c r="B34" s="44"/>
      <c r="C34" s="47"/>
      <c r="D34" s="84"/>
      <c r="E34" s="84"/>
      <c r="F34" s="84"/>
      <c r="G34" s="248"/>
      <c r="H34" s="248"/>
      <c r="I34" s="48"/>
      <c r="J34" s="75" t="str">
        <f t="shared" si="0"/>
        <v/>
      </c>
      <c r="K34" s="85" t="str">
        <f t="shared" si="1"/>
        <v/>
      </c>
      <c r="L34" s="47"/>
    </row>
    <row r="35" spans="2:12" s="56" customFormat="1" ht="14">
      <c r="B35" s="44"/>
      <c r="C35" s="47"/>
      <c r="D35" s="84"/>
      <c r="E35" s="84"/>
      <c r="F35" s="84"/>
      <c r="G35" s="248"/>
      <c r="H35" s="248"/>
      <c r="I35" s="48"/>
      <c r="J35" s="75" t="str">
        <f t="shared" si="0"/>
        <v/>
      </c>
      <c r="K35" s="85" t="str">
        <f t="shared" si="1"/>
        <v/>
      </c>
      <c r="L35" s="47"/>
    </row>
    <row r="36" spans="2:12" s="56" customFormat="1" ht="14">
      <c r="B36" s="44"/>
      <c r="C36" s="47"/>
      <c r="D36" s="84"/>
      <c r="E36" s="84"/>
      <c r="F36" s="84"/>
      <c r="G36" s="248"/>
      <c r="H36" s="248"/>
      <c r="I36" s="48"/>
      <c r="J36" s="75" t="str">
        <f t="shared" si="0"/>
        <v/>
      </c>
      <c r="K36" s="85" t="str">
        <f t="shared" si="1"/>
        <v/>
      </c>
      <c r="L36" s="47"/>
    </row>
    <row r="37" spans="2:12" s="56" customFormat="1" ht="14">
      <c r="B37" s="44"/>
      <c r="C37" s="47"/>
      <c r="D37" s="84"/>
      <c r="E37" s="84"/>
      <c r="F37" s="84"/>
      <c r="G37" s="248"/>
      <c r="H37" s="248"/>
      <c r="I37" s="48"/>
      <c r="J37" s="75" t="str">
        <f t="shared" si="0"/>
        <v/>
      </c>
      <c r="K37" s="85" t="str">
        <f t="shared" si="1"/>
        <v/>
      </c>
      <c r="L37" s="47"/>
    </row>
    <row r="38" spans="2:12" s="56" customFormat="1" ht="14">
      <c r="B38" s="44"/>
      <c r="C38" s="47"/>
      <c r="D38" s="84"/>
      <c r="E38" s="84"/>
      <c r="F38" s="84"/>
      <c r="G38" s="248"/>
      <c r="H38" s="248"/>
      <c r="I38" s="48"/>
      <c r="J38" s="75" t="str">
        <f t="shared" si="0"/>
        <v/>
      </c>
      <c r="K38" s="85" t="str">
        <f t="shared" si="1"/>
        <v/>
      </c>
      <c r="L38" s="47"/>
    </row>
    <row r="39" spans="2:12" s="56" customFormat="1" ht="14">
      <c r="B39" s="44"/>
      <c r="C39" s="47"/>
      <c r="D39" s="84"/>
      <c r="E39" s="84"/>
      <c r="F39" s="84"/>
      <c r="G39" s="248"/>
      <c r="H39" s="248"/>
      <c r="I39" s="48"/>
      <c r="J39" s="75" t="str">
        <f t="shared" si="0"/>
        <v/>
      </c>
      <c r="K39" s="85" t="str">
        <f t="shared" si="1"/>
        <v/>
      </c>
      <c r="L39" s="47"/>
    </row>
    <row r="40" spans="2:12" s="56" customFormat="1" ht="14">
      <c r="B40" s="44"/>
      <c r="C40" s="47"/>
      <c r="D40" s="84"/>
      <c r="E40" s="84"/>
      <c r="F40" s="84"/>
      <c r="G40" s="248"/>
      <c r="H40" s="248"/>
      <c r="I40" s="48"/>
      <c r="J40" s="75" t="str">
        <f t="shared" si="0"/>
        <v/>
      </c>
      <c r="K40" s="85" t="str">
        <f t="shared" si="1"/>
        <v/>
      </c>
      <c r="L40" s="47"/>
    </row>
    <row r="41" spans="2:12" s="56" customFormat="1" ht="14">
      <c r="B41" s="44"/>
      <c r="C41" s="47"/>
      <c r="D41" s="84"/>
      <c r="E41" s="84"/>
      <c r="F41" s="84"/>
      <c r="G41" s="248"/>
      <c r="H41" s="248"/>
      <c r="I41" s="48"/>
      <c r="J41" s="75" t="str">
        <f t="shared" si="0"/>
        <v/>
      </c>
      <c r="K41" s="85" t="str">
        <f t="shared" si="1"/>
        <v/>
      </c>
      <c r="L41" s="47"/>
    </row>
    <row r="42" spans="2:12" s="56" customFormat="1" ht="14">
      <c r="B42" s="44"/>
      <c r="C42" s="47"/>
      <c r="D42" s="84"/>
      <c r="E42" s="84"/>
      <c r="F42" s="84"/>
      <c r="G42" s="248"/>
      <c r="H42" s="248"/>
      <c r="I42" s="48"/>
      <c r="J42" s="75" t="str">
        <f t="shared" si="0"/>
        <v/>
      </c>
      <c r="K42" s="85" t="str">
        <f t="shared" si="1"/>
        <v/>
      </c>
      <c r="L42" s="47"/>
    </row>
    <row r="43" spans="2:12" s="56" customFormat="1" ht="14">
      <c r="B43" s="44"/>
      <c r="C43" s="47"/>
      <c r="D43" s="84"/>
      <c r="E43" s="84"/>
      <c r="F43" s="84"/>
      <c r="G43" s="248"/>
      <c r="H43" s="248"/>
      <c r="I43" s="48"/>
      <c r="J43" s="75" t="str">
        <f t="shared" si="0"/>
        <v/>
      </c>
      <c r="K43" s="85" t="str">
        <f t="shared" si="1"/>
        <v/>
      </c>
      <c r="L43" s="47"/>
    </row>
    <row r="44" spans="2:12" s="56" customFormat="1" ht="14">
      <c r="B44" s="44"/>
      <c r="C44" s="47"/>
      <c r="D44" s="84"/>
      <c r="E44" s="84"/>
      <c r="F44" s="84"/>
      <c r="G44" s="248"/>
      <c r="H44" s="248"/>
      <c r="I44" s="48"/>
      <c r="J44" s="75" t="str">
        <f t="shared" si="0"/>
        <v/>
      </c>
      <c r="K44" s="85" t="str">
        <f t="shared" si="1"/>
        <v/>
      </c>
      <c r="L44" s="47"/>
    </row>
    <row r="45" spans="2:12" s="56" customFormat="1" ht="14">
      <c r="B45" s="44"/>
      <c r="C45" s="47"/>
      <c r="D45" s="84"/>
      <c r="E45" s="84"/>
      <c r="F45" s="84"/>
      <c r="G45" s="248"/>
      <c r="H45" s="248"/>
      <c r="I45" s="48"/>
      <c r="J45" s="75" t="str">
        <f t="shared" si="0"/>
        <v/>
      </c>
      <c r="K45" s="85" t="str">
        <f t="shared" si="1"/>
        <v/>
      </c>
      <c r="L45" s="47"/>
    </row>
    <row r="46" spans="2:12" s="56" customFormat="1" ht="14">
      <c r="B46" s="44"/>
      <c r="C46" s="47"/>
      <c r="D46" s="84"/>
      <c r="E46" s="84"/>
      <c r="F46" s="84"/>
      <c r="G46" s="248"/>
      <c r="H46" s="248"/>
      <c r="I46" s="48"/>
      <c r="J46" s="75" t="str">
        <f t="shared" si="0"/>
        <v/>
      </c>
      <c r="K46" s="85" t="str">
        <f t="shared" si="1"/>
        <v/>
      </c>
      <c r="L46" s="47"/>
    </row>
    <row r="47" spans="2:12" s="56" customFormat="1" ht="14">
      <c r="B47" s="44"/>
      <c r="C47" s="47"/>
      <c r="D47" s="84"/>
      <c r="E47" s="84"/>
      <c r="F47" s="84"/>
      <c r="G47" s="248"/>
      <c r="H47" s="248"/>
      <c r="I47" s="48"/>
      <c r="J47" s="75" t="str">
        <f t="shared" si="0"/>
        <v/>
      </c>
      <c r="K47" s="85" t="str">
        <f t="shared" si="1"/>
        <v/>
      </c>
      <c r="L47" s="47"/>
    </row>
    <row r="48" spans="2:12" s="56" customFormat="1" ht="14">
      <c r="B48" s="44"/>
      <c r="C48" s="47"/>
      <c r="D48" s="84"/>
      <c r="E48" s="84"/>
      <c r="F48" s="84"/>
      <c r="G48" s="248"/>
      <c r="H48" s="248"/>
      <c r="I48" s="48"/>
      <c r="J48" s="75" t="str">
        <f t="shared" si="0"/>
        <v/>
      </c>
      <c r="K48" s="85" t="str">
        <f t="shared" si="1"/>
        <v/>
      </c>
      <c r="L48" s="47"/>
    </row>
    <row r="49" spans="2:12" s="56" customFormat="1" ht="14">
      <c r="B49" s="44"/>
      <c r="C49" s="47"/>
      <c r="D49" s="84"/>
      <c r="E49" s="84"/>
      <c r="F49" s="84"/>
      <c r="G49" s="248"/>
      <c r="H49" s="248"/>
      <c r="I49" s="48"/>
      <c r="J49" s="75" t="str">
        <f t="shared" si="0"/>
        <v/>
      </c>
      <c r="K49" s="85" t="str">
        <f t="shared" si="1"/>
        <v/>
      </c>
      <c r="L49" s="47"/>
    </row>
    <row r="50" spans="2:12" s="56" customFormat="1" ht="14">
      <c r="B50" s="44"/>
      <c r="C50" s="47"/>
      <c r="D50" s="84"/>
      <c r="E50" s="84"/>
      <c r="F50" s="84"/>
      <c r="G50" s="248"/>
      <c r="H50" s="248"/>
      <c r="I50" s="48"/>
      <c r="J50" s="75" t="str">
        <f t="shared" si="0"/>
        <v/>
      </c>
      <c r="K50" s="85" t="str">
        <f t="shared" si="1"/>
        <v/>
      </c>
      <c r="L50" s="47"/>
    </row>
    <row r="51" spans="2:12" s="56" customFormat="1" ht="14">
      <c r="B51" s="44"/>
      <c r="C51" s="47"/>
      <c r="D51" s="84"/>
      <c r="E51" s="84"/>
      <c r="F51" s="84"/>
      <c r="G51" s="248"/>
      <c r="H51" s="248"/>
      <c r="I51" s="48"/>
      <c r="J51" s="75" t="str">
        <f t="shared" si="0"/>
        <v/>
      </c>
      <c r="K51" s="85" t="str">
        <f t="shared" si="1"/>
        <v/>
      </c>
      <c r="L51" s="47"/>
    </row>
    <row r="52" spans="2:12" s="56" customFormat="1" ht="14">
      <c r="B52" s="44"/>
      <c r="C52" s="47"/>
      <c r="D52" s="84"/>
      <c r="E52" s="84"/>
      <c r="F52" s="84"/>
      <c r="G52" s="248"/>
      <c r="H52" s="248"/>
      <c r="I52" s="48"/>
      <c r="J52" s="75" t="str">
        <f t="shared" si="0"/>
        <v/>
      </c>
      <c r="K52" s="85" t="str">
        <f t="shared" si="1"/>
        <v/>
      </c>
      <c r="L52" s="47"/>
    </row>
    <row r="53" spans="2:12" s="56" customFormat="1" ht="14">
      <c r="B53" s="44"/>
      <c r="C53" s="47"/>
      <c r="D53" s="84"/>
      <c r="E53" s="84"/>
      <c r="F53" s="84"/>
      <c r="G53" s="248"/>
      <c r="H53" s="248"/>
      <c r="I53" s="48"/>
      <c r="J53" s="75" t="str">
        <f t="shared" si="0"/>
        <v/>
      </c>
      <c r="K53" s="85" t="str">
        <f t="shared" si="1"/>
        <v/>
      </c>
      <c r="L53" s="47"/>
    </row>
    <row r="54" spans="2:12" s="56" customFormat="1" ht="14">
      <c r="B54" s="44"/>
      <c r="C54" s="47"/>
      <c r="D54" s="84"/>
      <c r="E54" s="84"/>
      <c r="F54" s="84"/>
      <c r="G54" s="248"/>
      <c r="H54" s="248"/>
      <c r="I54" s="48"/>
      <c r="J54" s="75" t="str">
        <f t="shared" si="0"/>
        <v/>
      </c>
      <c r="K54" s="85" t="str">
        <f t="shared" si="1"/>
        <v/>
      </c>
      <c r="L54" s="47"/>
    </row>
    <row r="55" spans="2:12" s="56" customFormat="1" ht="14">
      <c r="B55" s="44"/>
      <c r="C55" s="47"/>
      <c r="D55" s="84"/>
      <c r="E55" s="84"/>
      <c r="F55" s="84"/>
      <c r="G55" s="248"/>
      <c r="H55" s="248"/>
      <c r="I55" s="48"/>
      <c r="J55" s="75" t="str">
        <f t="shared" si="0"/>
        <v/>
      </c>
      <c r="K55" s="85" t="str">
        <f t="shared" si="1"/>
        <v/>
      </c>
      <c r="L55" s="47"/>
    </row>
    <row r="56" spans="2:12" s="56" customFormat="1" ht="14">
      <c r="B56" s="44"/>
      <c r="C56" s="47"/>
      <c r="D56" s="84"/>
      <c r="E56" s="84"/>
      <c r="F56" s="84"/>
      <c r="G56" s="248"/>
      <c r="H56" s="248"/>
      <c r="I56" s="48"/>
      <c r="J56" s="75" t="str">
        <f t="shared" si="0"/>
        <v/>
      </c>
      <c r="K56" s="85" t="str">
        <f t="shared" si="1"/>
        <v/>
      </c>
      <c r="L56" s="47"/>
    </row>
    <row r="57" spans="2:12" s="56" customFormat="1" ht="14">
      <c r="B57" s="44"/>
      <c r="C57" s="47"/>
      <c r="D57" s="84"/>
      <c r="E57" s="84"/>
      <c r="F57" s="84"/>
      <c r="G57" s="248"/>
      <c r="H57" s="248"/>
      <c r="I57" s="48"/>
      <c r="J57" s="75" t="str">
        <f t="shared" si="0"/>
        <v/>
      </c>
      <c r="K57" s="85" t="str">
        <f t="shared" si="1"/>
        <v/>
      </c>
      <c r="L57" s="47"/>
    </row>
    <row r="58" spans="2:12" s="56" customFormat="1" ht="14">
      <c r="B58" s="44"/>
      <c r="C58" s="47"/>
      <c r="D58" s="84"/>
      <c r="E58" s="84"/>
      <c r="F58" s="84"/>
      <c r="G58" s="248"/>
      <c r="H58" s="248"/>
      <c r="I58" s="48"/>
      <c r="J58" s="75" t="str">
        <f t="shared" si="0"/>
        <v/>
      </c>
      <c r="K58" s="85" t="str">
        <f t="shared" si="1"/>
        <v/>
      </c>
      <c r="L58" s="47"/>
    </row>
    <row r="59" spans="2:12" s="56" customFormat="1" ht="14">
      <c r="B59" s="44"/>
      <c r="C59" s="47"/>
      <c r="D59" s="84"/>
      <c r="E59" s="84"/>
      <c r="F59" s="84"/>
      <c r="G59" s="248"/>
      <c r="H59" s="248"/>
      <c r="I59" s="48"/>
      <c r="J59" s="75" t="str">
        <f t="shared" si="0"/>
        <v/>
      </c>
      <c r="K59" s="85" t="str">
        <f t="shared" si="1"/>
        <v/>
      </c>
      <c r="L59" s="47"/>
    </row>
    <row r="60" spans="2:12" s="56" customFormat="1" ht="14">
      <c r="B60" s="44"/>
      <c r="C60" s="47"/>
      <c r="D60" s="84"/>
      <c r="E60" s="84"/>
      <c r="F60" s="84"/>
      <c r="G60" s="248"/>
      <c r="H60" s="248"/>
      <c r="I60" s="48"/>
      <c r="J60" s="75" t="str">
        <f t="shared" si="0"/>
        <v/>
      </c>
      <c r="K60" s="85" t="str">
        <f t="shared" si="1"/>
        <v/>
      </c>
      <c r="L60" s="47"/>
    </row>
    <row r="61" spans="2:12" s="56" customFormat="1" ht="14">
      <c r="B61" s="44"/>
      <c r="C61" s="47"/>
      <c r="D61" s="84"/>
      <c r="E61" s="84"/>
      <c r="F61" s="84"/>
      <c r="G61" s="248"/>
      <c r="H61" s="248"/>
      <c r="I61" s="48"/>
      <c r="J61" s="75" t="str">
        <f t="shared" si="0"/>
        <v/>
      </c>
      <c r="K61" s="85" t="str">
        <f t="shared" si="1"/>
        <v/>
      </c>
      <c r="L61" s="47"/>
    </row>
    <row r="62" spans="2:12" s="56" customFormat="1" ht="14">
      <c r="B62" s="44"/>
      <c r="C62" s="47"/>
      <c r="D62" s="84"/>
      <c r="E62" s="84"/>
      <c r="F62" s="84"/>
      <c r="G62" s="248"/>
      <c r="H62" s="248"/>
      <c r="I62" s="48"/>
      <c r="J62" s="75" t="str">
        <f t="shared" si="0"/>
        <v/>
      </c>
      <c r="K62" s="85" t="str">
        <f t="shared" si="1"/>
        <v/>
      </c>
      <c r="L62" s="47"/>
    </row>
    <row r="63" spans="2:12" s="56" customFormat="1" ht="14">
      <c r="B63" s="44"/>
      <c r="C63" s="47"/>
      <c r="D63" s="84"/>
      <c r="E63" s="84"/>
      <c r="F63" s="84"/>
      <c r="G63" s="248"/>
      <c r="H63" s="248"/>
      <c r="I63" s="48"/>
      <c r="J63" s="75" t="str">
        <f t="shared" si="0"/>
        <v/>
      </c>
      <c r="K63" s="85" t="str">
        <f t="shared" si="1"/>
        <v/>
      </c>
      <c r="L63" s="47"/>
    </row>
    <row r="64" spans="2:12" s="56" customFormat="1" ht="14">
      <c r="B64" s="44"/>
      <c r="C64" s="47"/>
      <c r="D64" s="84"/>
      <c r="E64" s="84"/>
      <c r="F64" s="84"/>
      <c r="G64" s="248"/>
      <c r="H64" s="248"/>
      <c r="I64" s="48"/>
      <c r="J64" s="75" t="str">
        <f t="shared" si="0"/>
        <v/>
      </c>
      <c r="K64" s="85" t="str">
        <f t="shared" si="1"/>
        <v/>
      </c>
      <c r="L64" s="47"/>
    </row>
    <row r="65" spans="2:12" s="56" customFormat="1" ht="14">
      <c r="B65" s="44"/>
      <c r="C65" s="47"/>
      <c r="D65" s="84"/>
      <c r="E65" s="84"/>
      <c r="F65" s="84"/>
      <c r="G65" s="248"/>
      <c r="H65" s="248"/>
      <c r="I65" s="48"/>
      <c r="J65" s="75" t="str">
        <f t="shared" si="0"/>
        <v/>
      </c>
      <c r="K65" s="85" t="str">
        <f t="shared" si="1"/>
        <v/>
      </c>
      <c r="L65" s="47"/>
    </row>
    <row r="66" spans="2:12" s="56" customFormat="1" ht="14">
      <c r="B66" s="44"/>
      <c r="C66" s="47"/>
      <c r="D66" s="84"/>
      <c r="E66" s="84"/>
      <c r="F66" s="84"/>
      <c r="G66" s="248"/>
      <c r="H66" s="248"/>
      <c r="I66" s="48"/>
      <c r="J66" s="75" t="str">
        <f t="shared" si="0"/>
        <v/>
      </c>
      <c r="K66" s="85" t="str">
        <f t="shared" si="1"/>
        <v/>
      </c>
      <c r="L66" s="47"/>
    </row>
    <row r="67" spans="2:12" s="56" customFormat="1" ht="14">
      <c r="B67" s="44"/>
      <c r="C67" s="47"/>
      <c r="D67" s="84"/>
      <c r="E67" s="84"/>
      <c r="F67" s="84"/>
      <c r="G67" s="248"/>
      <c r="H67" s="248"/>
      <c r="I67" s="48"/>
      <c r="J67" s="75" t="str">
        <f t="shared" si="0"/>
        <v/>
      </c>
      <c r="K67" s="85" t="str">
        <f t="shared" si="1"/>
        <v/>
      </c>
      <c r="L67" s="47"/>
    </row>
    <row r="68" spans="2:12" s="56" customFormat="1" ht="14">
      <c r="B68" s="44"/>
      <c r="C68" s="47"/>
      <c r="D68" s="84"/>
      <c r="E68" s="84"/>
      <c r="F68" s="84"/>
      <c r="G68" s="248"/>
      <c r="H68" s="248"/>
      <c r="I68" s="48"/>
      <c r="J68" s="75" t="str">
        <f t="shared" si="0"/>
        <v/>
      </c>
      <c r="K68" s="85" t="str">
        <f t="shared" si="1"/>
        <v/>
      </c>
      <c r="L68" s="47"/>
    </row>
    <row r="69" spans="2:12" s="56" customFormat="1" ht="14">
      <c r="B69" s="44"/>
      <c r="C69" s="47"/>
      <c r="D69" s="84"/>
      <c r="E69" s="84"/>
      <c r="F69" s="84"/>
      <c r="G69" s="248"/>
      <c r="H69" s="248"/>
      <c r="I69" s="48"/>
      <c r="J69" s="75" t="str">
        <f t="shared" si="0"/>
        <v/>
      </c>
      <c r="K69" s="85" t="str">
        <f t="shared" si="1"/>
        <v/>
      </c>
      <c r="L69" s="47"/>
    </row>
    <row r="70" spans="2:12" s="56" customFormat="1" ht="14">
      <c r="B70" s="44"/>
      <c r="C70" s="47"/>
      <c r="D70" s="84"/>
      <c r="E70" s="84"/>
      <c r="F70" s="84"/>
      <c r="G70" s="248"/>
      <c r="H70" s="248"/>
      <c r="I70" s="48"/>
      <c r="J70" s="75" t="str">
        <f t="shared" si="0"/>
        <v/>
      </c>
      <c r="K70" s="85" t="str">
        <f t="shared" si="1"/>
        <v/>
      </c>
      <c r="L70" s="47"/>
    </row>
    <row r="71" spans="2:12" s="56" customFormat="1" ht="14">
      <c r="B71" s="44"/>
      <c r="C71" s="47"/>
      <c r="D71" s="84"/>
      <c r="E71" s="84"/>
      <c r="F71" s="84"/>
      <c r="G71" s="248"/>
      <c r="H71" s="248"/>
      <c r="I71" s="48"/>
      <c r="J71" s="75" t="str">
        <f t="shared" si="0"/>
        <v/>
      </c>
      <c r="K71" s="85" t="str">
        <f t="shared" si="1"/>
        <v/>
      </c>
      <c r="L71" s="47"/>
    </row>
    <row r="72" spans="2:12" s="56" customFormat="1" ht="14">
      <c r="B72" s="44"/>
      <c r="C72" s="47"/>
      <c r="D72" s="84"/>
      <c r="E72" s="84"/>
      <c r="F72" s="84"/>
      <c r="G72" s="248"/>
      <c r="H72" s="248"/>
      <c r="I72" s="48"/>
      <c r="J72" s="75" t="str">
        <f t="shared" si="0"/>
        <v/>
      </c>
      <c r="K72" s="85" t="str">
        <f t="shared" si="1"/>
        <v/>
      </c>
      <c r="L72" s="47"/>
    </row>
    <row r="73" spans="2:12" s="56" customFormat="1" ht="14">
      <c r="B73" s="44"/>
      <c r="C73" s="47"/>
      <c r="D73" s="84"/>
      <c r="E73" s="84"/>
      <c r="F73" s="84"/>
      <c r="G73" s="248"/>
      <c r="H73" s="248"/>
      <c r="I73" s="48"/>
      <c r="J73" s="75" t="str">
        <f t="shared" si="0"/>
        <v/>
      </c>
      <c r="K73" s="85" t="str">
        <f t="shared" si="1"/>
        <v/>
      </c>
      <c r="L73" s="47"/>
    </row>
    <row r="74" spans="2:12" s="56" customFormat="1" ht="14">
      <c r="B74" s="44"/>
      <c r="C74" s="47"/>
      <c r="D74" s="84"/>
      <c r="E74" s="84"/>
      <c r="F74" s="84"/>
      <c r="G74" s="248"/>
      <c r="H74" s="248"/>
      <c r="I74" s="48"/>
      <c r="J74" s="75" t="str">
        <f t="shared" si="0"/>
        <v/>
      </c>
      <c r="K74" s="85" t="str">
        <f t="shared" si="1"/>
        <v/>
      </c>
      <c r="L74" s="47"/>
    </row>
    <row r="75" spans="2:12" s="56" customFormat="1" ht="14">
      <c r="B75" s="44"/>
      <c r="C75" s="47"/>
      <c r="D75" s="84"/>
      <c r="E75" s="84"/>
      <c r="F75" s="84"/>
      <c r="G75" s="248"/>
      <c r="H75" s="248"/>
      <c r="I75" s="48"/>
      <c r="J75" s="75" t="str">
        <f t="shared" ref="J75:J138" si="2">IF($C75&lt;&gt;"",$E75*1.5,"")</f>
        <v/>
      </c>
      <c r="K75" s="85" t="str">
        <f t="shared" ref="K75:K138" si="3">IFERROR($J75/10,"")</f>
        <v/>
      </c>
      <c r="L75" s="47"/>
    </row>
    <row r="76" spans="2:12" s="56" customFormat="1" ht="14">
      <c r="B76" s="44"/>
      <c r="C76" s="47"/>
      <c r="D76" s="84"/>
      <c r="E76" s="84"/>
      <c r="F76" s="84"/>
      <c r="G76" s="248"/>
      <c r="H76" s="248"/>
      <c r="I76" s="48"/>
      <c r="J76" s="75" t="str">
        <f t="shared" si="2"/>
        <v/>
      </c>
      <c r="K76" s="85" t="str">
        <f t="shared" si="3"/>
        <v/>
      </c>
      <c r="L76" s="47"/>
    </row>
    <row r="77" spans="2:12" s="56" customFormat="1" ht="14">
      <c r="B77" s="44"/>
      <c r="C77" s="47"/>
      <c r="D77" s="84"/>
      <c r="E77" s="84"/>
      <c r="F77" s="84"/>
      <c r="G77" s="248"/>
      <c r="H77" s="248"/>
      <c r="I77" s="48"/>
      <c r="J77" s="75" t="str">
        <f t="shared" si="2"/>
        <v/>
      </c>
      <c r="K77" s="85" t="str">
        <f t="shared" si="3"/>
        <v/>
      </c>
      <c r="L77" s="47"/>
    </row>
    <row r="78" spans="2:12" s="56" customFormat="1" ht="14">
      <c r="B78" s="44"/>
      <c r="C78" s="47"/>
      <c r="D78" s="84"/>
      <c r="E78" s="84"/>
      <c r="F78" s="84"/>
      <c r="G78" s="248"/>
      <c r="H78" s="248"/>
      <c r="I78" s="48"/>
      <c r="J78" s="75" t="str">
        <f t="shared" si="2"/>
        <v/>
      </c>
      <c r="K78" s="85" t="str">
        <f t="shared" si="3"/>
        <v/>
      </c>
      <c r="L78" s="47"/>
    </row>
    <row r="79" spans="2:12" s="56" customFormat="1" ht="14">
      <c r="B79" s="44"/>
      <c r="C79" s="47"/>
      <c r="D79" s="84"/>
      <c r="E79" s="84"/>
      <c r="F79" s="84"/>
      <c r="G79" s="248"/>
      <c r="H79" s="248"/>
      <c r="I79" s="48"/>
      <c r="J79" s="75" t="str">
        <f t="shared" si="2"/>
        <v/>
      </c>
      <c r="K79" s="85" t="str">
        <f t="shared" si="3"/>
        <v/>
      </c>
      <c r="L79" s="47"/>
    </row>
    <row r="80" spans="2:12" s="56" customFormat="1" ht="14">
      <c r="B80" s="44"/>
      <c r="C80" s="47"/>
      <c r="D80" s="84"/>
      <c r="E80" s="84"/>
      <c r="F80" s="84"/>
      <c r="G80" s="248"/>
      <c r="H80" s="248"/>
      <c r="I80" s="48"/>
      <c r="J80" s="75" t="str">
        <f t="shared" si="2"/>
        <v/>
      </c>
      <c r="K80" s="85" t="str">
        <f t="shared" si="3"/>
        <v/>
      </c>
      <c r="L80" s="47"/>
    </row>
    <row r="81" spans="2:12" s="56" customFormat="1" ht="14">
      <c r="B81" s="44"/>
      <c r="C81" s="47"/>
      <c r="D81" s="84"/>
      <c r="E81" s="84"/>
      <c r="F81" s="84"/>
      <c r="G81" s="248"/>
      <c r="H81" s="248"/>
      <c r="I81" s="48"/>
      <c r="J81" s="75" t="str">
        <f t="shared" si="2"/>
        <v/>
      </c>
      <c r="K81" s="85" t="str">
        <f t="shared" si="3"/>
        <v/>
      </c>
      <c r="L81" s="47"/>
    </row>
    <row r="82" spans="2:12" s="56" customFormat="1" ht="14">
      <c r="B82" s="44"/>
      <c r="C82" s="47"/>
      <c r="D82" s="84"/>
      <c r="E82" s="84"/>
      <c r="F82" s="84"/>
      <c r="G82" s="248"/>
      <c r="H82" s="248"/>
      <c r="I82" s="48"/>
      <c r="J82" s="75" t="str">
        <f t="shared" si="2"/>
        <v/>
      </c>
      <c r="K82" s="85" t="str">
        <f t="shared" si="3"/>
        <v/>
      </c>
      <c r="L82" s="47"/>
    </row>
    <row r="83" spans="2:12" s="56" customFormat="1" ht="14">
      <c r="B83" s="44"/>
      <c r="C83" s="47"/>
      <c r="D83" s="84"/>
      <c r="E83" s="84"/>
      <c r="F83" s="84"/>
      <c r="G83" s="248"/>
      <c r="H83" s="248"/>
      <c r="I83" s="48"/>
      <c r="J83" s="75" t="str">
        <f t="shared" si="2"/>
        <v/>
      </c>
      <c r="K83" s="85" t="str">
        <f t="shared" si="3"/>
        <v/>
      </c>
      <c r="L83" s="47"/>
    </row>
    <row r="84" spans="2:12" s="56" customFormat="1" ht="14">
      <c r="B84" s="44"/>
      <c r="C84" s="47"/>
      <c r="D84" s="84"/>
      <c r="E84" s="84"/>
      <c r="F84" s="84"/>
      <c r="G84" s="248"/>
      <c r="H84" s="248"/>
      <c r="I84" s="48"/>
      <c r="J84" s="75" t="str">
        <f t="shared" si="2"/>
        <v/>
      </c>
      <c r="K84" s="85" t="str">
        <f t="shared" si="3"/>
        <v/>
      </c>
      <c r="L84" s="47"/>
    </row>
    <row r="85" spans="2:12" s="56" customFormat="1" ht="14">
      <c r="B85" s="44"/>
      <c r="C85" s="47"/>
      <c r="D85" s="84"/>
      <c r="E85" s="84"/>
      <c r="F85" s="84"/>
      <c r="G85" s="248"/>
      <c r="H85" s="248"/>
      <c r="I85" s="48"/>
      <c r="J85" s="75" t="str">
        <f t="shared" si="2"/>
        <v/>
      </c>
      <c r="K85" s="85" t="str">
        <f t="shared" si="3"/>
        <v/>
      </c>
      <c r="L85" s="47"/>
    </row>
    <row r="86" spans="2:12" s="56" customFormat="1" ht="14">
      <c r="B86" s="44"/>
      <c r="C86" s="47"/>
      <c r="D86" s="84"/>
      <c r="E86" s="84"/>
      <c r="F86" s="84"/>
      <c r="G86" s="248"/>
      <c r="H86" s="248"/>
      <c r="I86" s="48"/>
      <c r="J86" s="75" t="str">
        <f t="shared" si="2"/>
        <v/>
      </c>
      <c r="K86" s="85" t="str">
        <f t="shared" si="3"/>
        <v/>
      </c>
      <c r="L86" s="47"/>
    </row>
    <row r="87" spans="2:12" s="56" customFormat="1" ht="14">
      <c r="B87" s="44"/>
      <c r="C87" s="47"/>
      <c r="D87" s="84"/>
      <c r="E87" s="84"/>
      <c r="F87" s="84"/>
      <c r="G87" s="248"/>
      <c r="H87" s="248"/>
      <c r="I87" s="48"/>
      <c r="J87" s="75" t="str">
        <f t="shared" si="2"/>
        <v/>
      </c>
      <c r="K87" s="85" t="str">
        <f t="shared" si="3"/>
        <v/>
      </c>
      <c r="L87" s="47"/>
    </row>
    <row r="88" spans="2:12" s="56" customFormat="1" ht="14">
      <c r="B88" s="44"/>
      <c r="C88" s="47"/>
      <c r="D88" s="84"/>
      <c r="E88" s="84"/>
      <c r="F88" s="84"/>
      <c r="G88" s="248"/>
      <c r="H88" s="248"/>
      <c r="I88" s="48"/>
      <c r="J88" s="75" t="str">
        <f t="shared" si="2"/>
        <v/>
      </c>
      <c r="K88" s="85" t="str">
        <f t="shared" si="3"/>
        <v/>
      </c>
      <c r="L88" s="47"/>
    </row>
    <row r="89" spans="2:12" s="56" customFormat="1" ht="14">
      <c r="B89" s="44"/>
      <c r="C89" s="47"/>
      <c r="D89" s="84"/>
      <c r="E89" s="84"/>
      <c r="F89" s="84"/>
      <c r="G89" s="248"/>
      <c r="H89" s="248"/>
      <c r="I89" s="48"/>
      <c r="J89" s="75" t="str">
        <f t="shared" si="2"/>
        <v/>
      </c>
      <c r="K89" s="85" t="str">
        <f t="shared" si="3"/>
        <v/>
      </c>
      <c r="L89" s="47"/>
    </row>
    <row r="90" spans="2:12" s="56" customFormat="1" ht="14">
      <c r="B90" s="44"/>
      <c r="C90" s="47"/>
      <c r="D90" s="84"/>
      <c r="E90" s="84"/>
      <c r="F90" s="84"/>
      <c r="G90" s="248"/>
      <c r="H90" s="248"/>
      <c r="I90" s="48"/>
      <c r="J90" s="75" t="str">
        <f t="shared" si="2"/>
        <v/>
      </c>
      <c r="K90" s="85" t="str">
        <f t="shared" si="3"/>
        <v/>
      </c>
      <c r="L90" s="47"/>
    </row>
    <row r="91" spans="2:12" s="56" customFormat="1" ht="14">
      <c r="B91" s="44"/>
      <c r="C91" s="47"/>
      <c r="D91" s="84"/>
      <c r="E91" s="84"/>
      <c r="F91" s="84"/>
      <c r="G91" s="248"/>
      <c r="H91" s="248"/>
      <c r="I91" s="48"/>
      <c r="J91" s="75" t="str">
        <f t="shared" si="2"/>
        <v/>
      </c>
      <c r="K91" s="85" t="str">
        <f t="shared" si="3"/>
        <v/>
      </c>
      <c r="L91" s="47"/>
    </row>
    <row r="92" spans="2:12" s="56" customFormat="1" ht="14">
      <c r="B92" s="44"/>
      <c r="C92" s="47"/>
      <c r="D92" s="84"/>
      <c r="E92" s="84"/>
      <c r="F92" s="84"/>
      <c r="G92" s="248"/>
      <c r="H92" s="248"/>
      <c r="I92" s="48"/>
      <c r="J92" s="75" t="str">
        <f t="shared" si="2"/>
        <v/>
      </c>
      <c r="K92" s="85" t="str">
        <f t="shared" si="3"/>
        <v/>
      </c>
      <c r="L92" s="47"/>
    </row>
    <row r="93" spans="2:12" s="56" customFormat="1" ht="14">
      <c r="B93" s="44"/>
      <c r="C93" s="47"/>
      <c r="D93" s="84"/>
      <c r="E93" s="84"/>
      <c r="F93" s="84"/>
      <c r="G93" s="248"/>
      <c r="H93" s="248"/>
      <c r="I93" s="48"/>
      <c r="J93" s="75" t="str">
        <f t="shared" si="2"/>
        <v/>
      </c>
      <c r="K93" s="85" t="str">
        <f t="shared" si="3"/>
        <v/>
      </c>
      <c r="L93" s="47"/>
    </row>
    <row r="94" spans="2:12" s="56" customFormat="1" ht="14">
      <c r="B94" s="44"/>
      <c r="C94" s="47"/>
      <c r="D94" s="84"/>
      <c r="E94" s="84"/>
      <c r="F94" s="84"/>
      <c r="G94" s="248"/>
      <c r="H94" s="248"/>
      <c r="I94" s="48"/>
      <c r="J94" s="75" t="str">
        <f t="shared" si="2"/>
        <v/>
      </c>
      <c r="K94" s="85" t="str">
        <f t="shared" si="3"/>
        <v/>
      </c>
      <c r="L94" s="47"/>
    </row>
    <row r="95" spans="2:12" s="56" customFormat="1" ht="14">
      <c r="B95" s="44"/>
      <c r="C95" s="47"/>
      <c r="D95" s="84"/>
      <c r="E95" s="84"/>
      <c r="F95" s="84"/>
      <c r="G95" s="248"/>
      <c r="H95" s="248"/>
      <c r="I95" s="48"/>
      <c r="J95" s="75" t="str">
        <f t="shared" si="2"/>
        <v/>
      </c>
      <c r="K95" s="85" t="str">
        <f t="shared" si="3"/>
        <v/>
      </c>
      <c r="L95" s="47"/>
    </row>
    <row r="96" spans="2:12" s="56" customFormat="1" ht="14">
      <c r="B96" s="44"/>
      <c r="C96" s="47"/>
      <c r="D96" s="84"/>
      <c r="E96" s="84"/>
      <c r="F96" s="84"/>
      <c r="G96" s="248"/>
      <c r="H96" s="248"/>
      <c r="I96" s="48"/>
      <c r="J96" s="75" t="str">
        <f t="shared" si="2"/>
        <v/>
      </c>
      <c r="K96" s="85" t="str">
        <f t="shared" si="3"/>
        <v/>
      </c>
      <c r="L96" s="47"/>
    </row>
    <row r="97" spans="2:12" s="56" customFormat="1" ht="14">
      <c r="B97" s="44"/>
      <c r="C97" s="47"/>
      <c r="D97" s="84"/>
      <c r="E97" s="84"/>
      <c r="F97" s="84"/>
      <c r="G97" s="248"/>
      <c r="H97" s="248"/>
      <c r="I97" s="48"/>
      <c r="J97" s="75" t="str">
        <f t="shared" si="2"/>
        <v/>
      </c>
      <c r="K97" s="85" t="str">
        <f t="shared" si="3"/>
        <v/>
      </c>
      <c r="L97" s="47"/>
    </row>
    <row r="98" spans="2:12" s="56" customFormat="1" ht="14">
      <c r="B98" s="44"/>
      <c r="C98" s="47"/>
      <c r="D98" s="84"/>
      <c r="E98" s="84"/>
      <c r="F98" s="84"/>
      <c r="G98" s="248"/>
      <c r="H98" s="248"/>
      <c r="I98" s="48"/>
      <c r="J98" s="75" t="str">
        <f t="shared" si="2"/>
        <v/>
      </c>
      <c r="K98" s="85" t="str">
        <f t="shared" si="3"/>
        <v/>
      </c>
      <c r="L98" s="47"/>
    </row>
    <row r="99" spans="2:12" s="56" customFormat="1" ht="14">
      <c r="B99" s="44"/>
      <c r="C99" s="47"/>
      <c r="D99" s="84"/>
      <c r="E99" s="84"/>
      <c r="F99" s="84"/>
      <c r="G99" s="248"/>
      <c r="H99" s="248"/>
      <c r="I99" s="48"/>
      <c r="J99" s="75" t="str">
        <f t="shared" si="2"/>
        <v/>
      </c>
      <c r="K99" s="85" t="str">
        <f t="shared" si="3"/>
        <v/>
      </c>
      <c r="L99" s="47"/>
    </row>
    <row r="100" spans="2:12" s="56" customFormat="1" ht="14">
      <c r="B100" s="44"/>
      <c r="C100" s="47"/>
      <c r="D100" s="84"/>
      <c r="E100" s="84"/>
      <c r="F100" s="84"/>
      <c r="G100" s="248"/>
      <c r="H100" s="248"/>
      <c r="I100" s="48"/>
      <c r="J100" s="75" t="str">
        <f t="shared" si="2"/>
        <v/>
      </c>
      <c r="K100" s="85" t="str">
        <f t="shared" si="3"/>
        <v/>
      </c>
      <c r="L100" s="47"/>
    </row>
    <row r="101" spans="2:12" s="56" customFormat="1" ht="14">
      <c r="B101" s="44"/>
      <c r="C101" s="47"/>
      <c r="D101" s="84"/>
      <c r="E101" s="84"/>
      <c r="F101" s="84"/>
      <c r="G101" s="248"/>
      <c r="H101" s="248"/>
      <c r="I101" s="48"/>
      <c r="J101" s="75" t="str">
        <f t="shared" si="2"/>
        <v/>
      </c>
      <c r="K101" s="85" t="str">
        <f t="shared" si="3"/>
        <v/>
      </c>
      <c r="L101" s="47"/>
    </row>
    <row r="102" spans="2:12" s="56" customFormat="1" ht="14">
      <c r="B102" s="44"/>
      <c r="C102" s="47"/>
      <c r="D102" s="84"/>
      <c r="E102" s="84"/>
      <c r="F102" s="84"/>
      <c r="G102" s="248"/>
      <c r="H102" s="248"/>
      <c r="I102" s="48"/>
      <c r="J102" s="75" t="str">
        <f t="shared" si="2"/>
        <v/>
      </c>
      <c r="K102" s="85" t="str">
        <f t="shared" si="3"/>
        <v/>
      </c>
      <c r="L102" s="47"/>
    </row>
    <row r="103" spans="2:12" s="56" customFormat="1" ht="14">
      <c r="B103" s="44"/>
      <c r="C103" s="47"/>
      <c r="D103" s="84"/>
      <c r="E103" s="84"/>
      <c r="F103" s="84"/>
      <c r="G103" s="248"/>
      <c r="H103" s="248"/>
      <c r="I103" s="48"/>
      <c r="J103" s="75" t="str">
        <f t="shared" si="2"/>
        <v/>
      </c>
      <c r="K103" s="85" t="str">
        <f t="shared" si="3"/>
        <v/>
      </c>
      <c r="L103" s="47"/>
    </row>
    <row r="104" spans="2:12" s="56" customFormat="1" ht="14">
      <c r="B104" s="44"/>
      <c r="C104" s="47"/>
      <c r="D104" s="84"/>
      <c r="E104" s="84"/>
      <c r="F104" s="84"/>
      <c r="G104" s="248"/>
      <c r="H104" s="248"/>
      <c r="I104" s="48"/>
      <c r="J104" s="75" t="str">
        <f t="shared" si="2"/>
        <v/>
      </c>
      <c r="K104" s="85" t="str">
        <f t="shared" si="3"/>
        <v/>
      </c>
      <c r="L104" s="47"/>
    </row>
    <row r="105" spans="2:12" s="56" customFormat="1" ht="14">
      <c r="B105" s="44"/>
      <c r="C105" s="47"/>
      <c r="D105" s="84"/>
      <c r="E105" s="84"/>
      <c r="F105" s="84"/>
      <c r="G105" s="248"/>
      <c r="H105" s="248"/>
      <c r="I105" s="48"/>
      <c r="J105" s="75" t="str">
        <f t="shared" si="2"/>
        <v/>
      </c>
      <c r="K105" s="85" t="str">
        <f t="shared" si="3"/>
        <v/>
      </c>
      <c r="L105" s="47"/>
    </row>
    <row r="106" spans="2:12" s="56" customFormat="1" ht="14">
      <c r="B106" s="44"/>
      <c r="C106" s="47"/>
      <c r="D106" s="84"/>
      <c r="E106" s="84"/>
      <c r="F106" s="84"/>
      <c r="G106" s="248"/>
      <c r="H106" s="248"/>
      <c r="I106" s="48"/>
      <c r="J106" s="75" t="str">
        <f t="shared" si="2"/>
        <v/>
      </c>
      <c r="K106" s="85" t="str">
        <f t="shared" si="3"/>
        <v/>
      </c>
      <c r="L106" s="47"/>
    </row>
    <row r="107" spans="2:12" s="56" customFormat="1" ht="14">
      <c r="B107" s="44"/>
      <c r="C107" s="47"/>
      <c r="D107" s="84"/>
      <c r="E107" s="84"/>
      <c r="F107" s="84"/>
      <c r="G107" s="248"/>
      <c r="H107" s="248"/>
      <c r="I107" s="48"/>
      <c r="J107" s="75" t="str">
        <f t="shared" si="2"/>
        <v/>
      </c>
      <c r="K107" s="85" t="str">
        <f t="shared" si="3"/>
        <v/>
      </c>
      <c r="L107" s="47"/>
    </row>
    <row r="108" spans="2:12" s="56" customFormat="1" ht="14">
      <c r="B108" s="44"/>
      <c r="C108" s="47"/>
      <c r="D108" s="84"/>
      <c r="E108" s="84"/>
      <c r="F108" s="84"/>
      <c r="G108" s="248"/>
      <c r="H108" s="248"/>
      <c r="I108" s="48"/>
      <c r="J108" s="75" t="str">
        <f t="shared" si="2"/>
        <v/>
      </c>
      <c r="K108" s="85" t="str">
        <f t="shared" si="3"/>
        <v/>
      </c>
      <c r="L108" s="47"/>
    </row>
    <row r="109" spans="2:12" s="56" customFormat="1" ht="14">
      <c r="B109" s="44"/>
      <c r="C109" s="47"/>
      <c r="D109" s="84"/>
      <c r="E109" s="84"/>
      <c r="F109" s="84"/>
      <c r="G109" s="248"/>
      <c r="H109" s="248"/>
      <c r="I109" s="48"/>
      <c r="J109" s="75" t="str">
        <f t="shared" si="2"/>
        <v/>
      </c>
      <c r="K109" s="85" t="str">
        <f t="shared" si="3"/>
        <v/>
      </c>
      <c r="L109" s="47"/>
    </row>
    <row r="110" spans="2:12" s="56" customFormat="1" ht="14.15" customHeight="1">
      <c r="B110" s="44"/>
      <c r="C110" s="47"/>
      <c r="D110" s="84"/>
      <c r="E110" s="84"/>
      <c r="F110" s="84"/>
      <c r="G110" s="248" t="s">
        <v>89</v>
      </c>
      <c r="H110" s="248"/>
      <c r="I110" s="48"/>
      <c r="J110" s="75" t="str">
        <f t="shared" si="2"/>
        <v/>
      </c>
      <c r="K110" s="85" t="str">
        <f t="shared" si="3"/>
        <v/>
      </c>
      <c r="L110" s="47"/>
    </row>
    <row r="111" spans="2:12" s="56" customFormat="1" ht="14">
      <c r="B111" s="44"/>
      <c r="C111" s="47"/>
      <c r="D111" s="84"/>
      <c r="E111" s="84"/>
      <c r="F111" s="84"/>
      <c r="G111" s="248"/>
      <c r="H111" s="248"/>
      <c r="I111" s="48"/>
      <c r="J111" s="75" t="str">
        <f t="shared" si="2"/>
        <v/>
      </c>
      <c r="K111" s="85" t="str">
        <f t="shared" si="3"/>
        <v/>
      </c>
      <c r="L111" s="47"/>
    </row>
    <row r="112" spans="2:12" s="56" customFormat="1" ht="14">
      <c r="B112" s="44"/>
      <c r="C112" s="47"/>
      <c r="D112" s="84"/>
      <c r="E112" s="84"/>
      <c r="F112" s="84"/>
      <c r="G112" s="248"/>
      <c r="H112" s="248"/>
      <c r="I112" s="48"/>
      <c r="J112" s="75" t="str">
        <f t="shared" si="2"/>
        <v/>
      </c>
      <c r="K112" s="85" t="str">
        <f t="shared" si="3"/>
        <v/>
      </c>
      <c r="L112" s="47"/>
    </row>
    <row r="113" spans="2:12" s="56" customFormat="1" ht="14">
      <c r="B113" s="44"/>
      <c r="C113" s="47"/>
      <c r="D113" s="84"/>
      <c r="E113" s="84"/>
      <c r="F113" s="84"/>
      <c r="G113" s="248"/>
      <c r="H113" s="248"/>
      <c r="I113" s="48"/>
      <c r="J113" s="75" t="str">
        <f t="shared" si="2"/>
        <v/>
      </c>
      <c r="K113" s="85" t="str">
        <f t="shared" si="3"/>
        <v/>
      </c>
      <c r="L113" s="47"/>
    </row>
    <row r="114" spans="2:12" s="56" customFormat="1" ht="14">
      <c r="B114" s="44"/>
      <c r="C114" s="47"/>
      <c r="D114" s="84"/>
      <c r="E114" s="84"/>
      <c r="F114" s="84"/>
      <c r="G114" s="248"/>
      <c r="H114" s="248"/>
      <c r="I114" s="48"/>
      <c r="J114" s="75" t="str">
        <f t="shared" si="2"/>
        <v/>
      </c>
      <c r="K114" s="85" t="str">
        <f t="shared" si="3"/>
        <v/>
      </c>
      <c r="L114" s="47"/>
    </row>
    <row r="115" spans="2:12" s="56" customFormat="1" ht="14">
      <c r="B115" s="44"/>
      <c r="C115" s="47"/>
      <c r="D115" s="84"/>
      <c r="E115" s="84"/>
      <c r="F115" s="84"/>
      <c r="G115" s="248"/>
      <c r="H115" s="248"/>
      <c r="I115" s="48"/>
      <c r="J115" s="75" t="str">
        <f t="shared" si="2"/>
        <v/>
      </c>
      <c r="K115" s="85" t="str">
        <f t="shared" si="3"/>
        <v/>
      </c>
      <c r="L115" s="47"/>
    </row>
    <row r="116" spans="2:12" s="56" customFormat="1" ht="14">
      <c r="B116" s="44"/>
      <c r="C116" s="47"/>
      <c r="D116" s="84"/>
      <c r="E116" s="84"/>
      <c r="F116" s="84"/>
      <c r="G116" s="248"/>
      <c r="H116" s="248"/>
      <c r="I116" s="48"/>
      <c r="J116" s="75" t="str">
        <f t="shared" si="2"/>
        <v/>
      </c>
      <c r="K116" s="85" t="str">
        <f t="shared" si="3"/>
        <v/>
      </c>
      <c r="L116" s="47"/>
    </row>
    <row r="117" spans="2:12" s="56" customFormat="1" ht="14">
      <c r="B117" s="44"/>
      <c r="C117" s="47"/>
      <c r="D117" s="84"/>
      <c r="E117" s="84"/>
      <c r="F117" s="84"/>
      <c r="G117" s="248"/>
      <c r="H117" s="248"/>
      <c r="I117" s="48"/>
      <c r="J117" s="75" t="str">
        <f t="shared" si="2"/>
        <v/>
      </c>
      <c r="K117" s="85" t="str">
        <f t="shared" si="3"/>
        <v/>
      </c>
      <c r="L117" s="47"/>
    </row>
    <row r="118" spans="2:12" s="56" customFormat="1" ht="14">
      <c r="B118" s="44"/>
      <c r="C118" s="47"/>
      <c r="D118" s="84"/>
      <c r="E118" s="84"/>
      <c r="F118" s="84"/>
      <c r="G118" s="248"/>
      <c r="H118" s="248"/>
      <c r="I118" s="48"/>
      <c r="J118" s="75" t="str">
        <f t="shared" si="2"/>
        <v/>
      </c>
      <c r="K118" s="85" t="str">
        <f t="shared" si="3"/>
        <v/>
      </c>
      <c r="L118" s="47"/>
    </row>
    <row r="119" spans="2:12" s="56" customFormat="1" ht="14">
      <c r="B119" s="44"/>
      <c r="C119" s="47"/>
      <c r="D119" s="84"/>
      <c r="E119" s="84"/>
      <c r="F119" s="84"/>
      <c r="G119" s="248"/>
      <c r="H119" s="248"/>
      <c r="I119" s="48"/>
      <c r="J119" s="75" t="str">
        <f t="shared" si="2"/>
        <v/>
      </c>
      <c r="K119" s="85" t="str">
        <f t="shared" si="3"/>
        <v/>
      </c>
      <c r="L119" s="47"/>
    </row>
    <row r="120" spans="2:12" s="56" customFormat="1" ht="14">
      <c r="B120" s="44"/>
      <c r="C120" s="47"/>
      <c r="D120" s="84"/>
      <c r="E120" s="84"/>
      <c r="F120" s="84"/>
      <c r="G120" s="248"/>
      <c r="H120" s="248"/>
      <c r="I120" s="48"/>
      <c r="J120" s="75" t="str">
        <f t="shared" si="2"/>
        <v/>
      </c>
      <c r="K120" s="85" t="str">
        <f t="shared" si="3"/>
        <v/>
      </c>
      <c r="L120" s="47"/>
    </row>
    <row r="121" spans="2:12" s="56" customFormat="1" ht="14">
      <c r="B121" s="44"/>
      <c r="C121" s="47"/>
      <c r="D121" s="84"/>
      <c r="E121" s="84"/>
      <c r="F121" s="84"/>
      <c r="G121" s="248"/>
      <c r="H121" s="248"/>
      <c r="I121" s="48"/>
      <c r="J121" s="75" t="str">
        <f t="shared" si="2"/>
        <v/>
      </c>
      <c r="K121" s="85" t="str">
        <f t="shared" si="3"/>
        <v/>
      </c>
      <c r="L121" s="47"/>
    </row>
    <row r="122" spans="2:12" s="56" customFormat="1" ht="14">
      <c r="B122" s="44"/>
      <c r="C122" s="47"/>
      <c r="D122" s="84"/>
      <c r="E122" s="84"/>
      <c r="F122" s="84"/>
      <c r="G122" s="248"/>
      <c r="H122" s="248"/>
      <c r="I122" s="48"/>
      <c r="J122" s="75" t="str">
        <f t="shared" si="2"/>
        <v/>
      </c>
      <c r="K122" s="85" t="str">
        <f t="shared" si="3"/>
        <v/>
      </c>
      <c r="L122" s="47"/>
    </row>
    <row r="123" spans="2:12" s="56" customFormat="1" ht="14">
      <c r="B123" s="44"/>
      <c r="C123" s="47"/>
      <c r="D123" s="84"/>
      <c r="E123" s="84"/>
      <c r="F123" s="84"/>
      <c r="G123" s="248"/>
      <c r="H123" s="248"/>
      <c r="I123" s="48"/>
      <c r="J123" s="75" t="str">
        <f t="shared" si="2"/>
        <v/>
      </c>
      <c r="K123" s="85" t="str">
        <f t="shared" si="3"/>
        <v/>
      </c>
      <c r="L123" s="47"/>
    </row>
    <row r="124" spans="2:12" s="56" customFormat="1" ht="14">
      <c r="B124" s="44"/>
      <c r="C124" s="47"/>
      <c r="D124" s="84"/>
      <c r="E124" s="84"/>
      <c r="F124" s="84"/>
      <c r="G124" s="248"/>
      <c r="H124" s="248"/>
      <c r="I124" s="48"/>
      <c r="J124" s="75" t="str">
        <f t="shared" si="2"/>
        <v/>
      </c>
      <c r="K124" s="85" t="str">
        <f t="shared" si="3"/>
        <v/>
      </c>
      <c r="L124" s="47"/>
    </row>
    <row r="125" spans="2:12" s="56" customFormat="1" ht="14">
      <c r="B125" s="44"/>
      <c r="C125" s="47"/>
      <c r="D125" s="84"/>
      <c r="E125" s="84"/>
      <c r="F125" s="84"/>
      <c r="G125" s="248"/>
      <c r="H125" s="248"/>
      <c r="I125" s="48"/>
      <c r="J125" s="75" t="str">
        <f t="shared" si="2"/>
        <v/>
      </c>
      <c r="K125" s="85" t="str">
        <f t="shared" si="3"/>
        <v/>
      </c>
      <c r="L125" s="47"/>
    </row>
    <row r="126" spans="2:12" s="56" customFormat="1" ht="14">
      <c r="B126" s="44"/>
      <c r="C126" s="47"/>
      <c r="D126" s="84"/>
      <c r="E126" s="84"/>
      <c r="F126" s="84"/>
      <c r="G126" s="248"/>
      <c r="H126" s="248"/>
      <c r="I126" s="48"/>
      <c r="J126" s="75" t="str">
        <f t="shared" si="2"/>
        <v/>
      </c>
      <c r="K126" s="85" t="str">
        <f t="shared" si="3"/>
        <v/>
      </c>
      <c r="L126" s="47"/>
    </row>
    <row r="127" spans="2:12" s="56" customFormat="1" ht="14">
      <c r="B127" s="44"/>
      <c r="C127" s="47"/>
      <c r="D127" s="84"/>
      <c r="E127" s="84"/>
      <c r="F127" s="84"/>
      <c r="G127" s="248"/>
      <c r="H127" s="248"/>
      <c r="I127" s="86"/>
      <c r="J127" s="75" t="str">
        <f t="shared" si="2"/>
        <v/>
      </c>
      <c r="K127" s="85" t="str">
        <f t="shared" si="3"/>
        <v/>
      </c>
      <c r="L127" s="47"/>
    </row>
    <row r="128" spans="2:12" s="56" customFormat="1" ht="14">
      <c r="B128" s="44"/>
      <c r="C128" s="47"/>
      <c r="D128" s="84"/>
      <c r="E128" s="84"/>
      <c r="F128" s="84"/>
      <c r="G128" s="248"/>
      <c r="H128" s="248"/>
      <c r="I128" s="86"/>
      <c r="J128" s="75" t="str">
        <f t="shared" si="2"/>
        <v/>
      </c>
      <c r="K128" s="85" t="str">
        <f t="shared" si="3"/>
        <v/>
      </c>
      <c r="L128" s="47"/>
    </row>
    <row r="129" spans="2:12" s="56" customFormat="1" ht="14">
      <c r="B129" s="44"/>
      <c r="C129" s="47"/>
      <c r="D129" s="84"/>
      <c r="E129" s="84"/>
      <c r="F129" s="84"/>
      <c r="G129" s="248"/>
      <c r="H129" s="248"/>
      <c r="I129" s="48"/>
      <c r="J129" s="75" t="str">
        <f t="shared" si="2"/>
        <v/>
      </c>
      <c r="K129" s="85" t="str">
        <f t="shared" si="3"/>
        <v/>
      </c>
      <c r="L129" s="47"/>
    </row>
    <row r="130" spans="2:12" s="56" customFormat="1" ht="14">
      <c r="B130" s="44"/>
      <c r="C130" s="47"/>
      <c r="D130" s="84"/>
      <c r="E130" s="84"/>
      <c r="F130" s="84"/>
      <c r="G130" s="248"/>
      <c r="H130" s="248"/>
      <c r="I130" s="48"/>
      <c r="J130" s="75" t="str">
        <f t="shared" si="2"/>
        <v/>
      </c>
      <c r="K130" s="85" t="str">
        <f t="shared" si="3"/>
        <v/>
      </c>
      <c r="L130" s="47"/>
    </row>
    <row r="131" spans="2:12" s="56" customFormat="1" ht="14">
      <c r="B131" s="44"/>
      <c r="C131" s="47"/>
      <c r="D131" s="84"/>
      <c r="E131" s="84"/>
      <c r="F131" s="84"/>
      <c r="G131" s="248"/>
      <c r="H131" s="248"/>
      <c r="I131" s="48"/>
      <c r="J131" s="75" t="str">
        <f t="shared" si="2"/>
        <v/>
      </c>
      <c r="K131" s="85" t="str">
        <f t="shared" si="3"/>
        <v/>
      </c>
      <c r="L131" s="47"/>
    </row>
    <row r="132" spans="2:12" s="56" customFormat="1" ht="14">
      <c r="B132" s="44"/>
      <c r="C132" s="47"/>
      <c r="D132" s="84"/>
      <c r="E132" s="84"/>
      <c r="F132" s="84"/>
      <c r="G132" s="248"/>
      <c r="H132" s="248"/>
      <c r="I132" s="48"/>
      <c r="J132" s="75" t="str">
        <f t="shared" si="2"/>
        <v/>
      </c>
      <c r="K132" s="85" t="str">
        <f t="shared" si="3"/>
        <v/>
      </c>
      <c r="L132" s="47"/>
    </row>
    <row r="133" spans="2:12" s="56" customFormat="1" ht="14">
      <c r="B133" s="44"/>
      <c r="C133" s="47"/>
      <c r="D133" s="84"/>
      <c r="E133" s="84"/>
      <c r="F133" s="84"/>
      <c r="G133" s="248"/>
      <c r="H133" s="248"/>
      <c r="I133" s="48"/>
      <c r="J133" s="75" t="str">
        <f t="shared" si="2"/>
        <v/>
      </c>
      <c r="K133" s="85" t="str">
        <f t="shared" si="3"/>
        <v/>
      </c>
      <c r="L133" s="47"/>
    </row>
    <row r="134" spans="2:12" s="56" customFormat="1" ht="14">
      <c r="B134" s="44"/>
      <c r="C134" s="47"/>
      <c r="D134" s="84"/>
      <c r="E134" s="84"/>
      <c r="F134" s="84"/>
      <c r="G134" s="248"/>
      <c r="H134" s="248"/>
      <c r="I134" s="48"/>
      <c r="J134" s="75" t="str">
        <f t="shared" si="2"/>
        <v/>
      </c>
      <c r="K134" s="85" t="str">
        <f t="shared" si="3"/>
        <v/>
      </c>
      <c r="L134" s="47"/>
    </row>
    <row r="135" spans="2:12" s="56" customFormat="1" ht="14">
      <c r="B135" s="44"/>
      <c r="C135" s="47"/>
      <c r="D135" s="84"/>
      <c r="E135" s="84"/>
      <c r="F135" s="84"/>
      <c r="G135" s="248"/>
      <c r="H135" s="248"/>
      <c r="I135" s="48"/>
      <c r="J135" s="75" t="str">
        <f t="shared" si="2"/>
        <v/>
      </c>
      <c r="K135" s="85" t="str">
        <f t="shared" si="3"/>
        <v/>
      </c>
      <c r="L135" s="47"/>
    </row>
    <row r="136" spans="2:12" s="56" customFormat="1" ht="14">
      <c r="B136" s="44"/>
      <c r="C136" s="47"/>
      <c r="D136" s="84"/>
      <c r="E136" s="84"/>
      <c r="F136" s="84"/>
      <c r="G136" s="248"/>
      <c r="H136" s="248"/>
      <c r="I136" s="48"/>
      <c r="J136" s="75" t="str">
        <f t="shared" si="2"/>
        <v/>
      </c>
      <c r="K136" s="85" t="str">
        <f t="shared" si="3"/>
        <v/>
      </c>
      <c r="L136" s="47"/>
    </row>
    <row r="137" spans="2:12" s="56" customFormat="1" ht="14">
      <c r="B137" s="44"/>
      <c r="C137" s="47"/>
      <c r="D137" s="84"/>
      <c r="E137" s="84"/>
      <c r="F137" s="84"/>
      <c r="G137" s="248"/>
      <c r="H137" s="248"/>
      <c r="I137" s="48"/>
      <c r="J137" s="75" t="str">
        <f t="shared" si="2"/>
        <v/>
      </c>
      <c r="K137" s="85" t="str">
        <f t="shared" si="3"/>
        <v/>
      </c>
      <c r="L137" s="47"/>
    </row>
    <row r="138" spans="2:12" s="56" customFormat="1" ht="14">
      <c r="B138" s="44"/>
      <c r="C138" s="47"/>
      <c r="D138" s="84"/>
      <c r="E138" s="84"/>
      <c r="F138" s="84"/>
      <c r="G138" s="248"/>
      <c r="H138" s="248"/>
      <c r="I138" s="48"/>
      <c r="J138" s="75" t="str">
        <f t="shared" si="2"/>
        <v/>
      </c>
      <c r="K138" s="85" t="str">
        <f t="shared" si="3"/>
        <v/>
      </c>
      <c r="L138" s="47"/>
    </row>
    <row r="139" spans="2:12" s="56" customFormat="1" ht="14">
      <c r="B139" s="44"/>
      <c r="C139" s="47"/>
      <c r="D139" s="84"/>
      <c r="E139" s="84"/>
      <c r="F139" s="84"/>
      <c r="G139" s="248"/>
      <c r="H139" s="248"/>
      <c r="I139" s="48"/>
      <c r="J139" s="75" t="str">
        <f t="shared" ref="J139:J202" si="4">IF($C139&lt;&gt;"",$E139*1.5,"")</f>
        <v/>
      </c>
      <c r="K139" s="85" t="str">
        <f t="shared" ref="K139:K202" si="5">IFERROR($J139/10,"")</f>
        <v/>
      </c>
      <c r="L139" s="47"/>
    </row>
    <row r="140" spans="2:12" s="56" customFormat="1" ht="14">
      <c r="B140" s="44"/>
      <c r="C140" s="47"/>
      <c r="D140" s="84"/>
      <c r="E140" s="84"/>
      <c r="F140" s="84"/>
      <c r="G140" s="248"/>
      <c r="H140" s="248"/>
      <c r="I140" s="48"/>
      <c r="J140" s="75" t="str">
        <f t="shared" si="4"/>
        <v/>
      </c>
      <c r="K140" s="85" t="str">
        <f t="shared" si="5"/>
        <v/>
      </c>
      <c r="L140" s="47"/>
    </row>
    <row r="141" spans="2:12" s="56" customFormat="1" ht="14">
      <c r="B141" s="44"/>
      <c r="C141" s="47"/>
      <c r="D141" s="84"/>
      <c r="E141" s="84"/>
      <c r="F141" s="84"/>
      <c r="G141" s="248"/>
      <c r="H141" s="248"/>
      <c r="I141" s="48"/>
      <c r="J141" s="75" t="str">
        <f t="shared" si="4"/>
        <v/>
      </c>
      <c r="K141" s="85" t="str">
        <f t="shared" si="5"/>
        <v/>
      </c>
      <c r="L141" s="47"/>
    </row>
    <row r="142" spans="2:12" s="56" customFormat="1" ht="14">
      <c r="B142" s="44"/>
      <c r="C142" s="47"/>
      <c r="D142" s="84"/>
      <c r="E142" s="84"/>
      <c r="F142" s="84"/>
      <c r="G142" s="248"/>
      <c r="H142" s="248"/>
      <c r="I142" s="48"/>
      <c r="J142" s="75" t="str">
        <f t="shared" si="4"/>
        <v/>
      </c>
      <c r="K142" s="85" t="str">
        <f t="shared" si="5"/>
        <v/>
      </c>
      <c r="L142" s="47"/>
    </row>
    <row r="143" spans="2:12" s="56" customFormat="1" ht="14">
      <c r="B143" s="44"/>
      <c r="C143" s="47"/>
      <c r="D143" s="84"/>
      <c r="E143" s="84"/>
      <c r="F143" s="84"/>
      <c r="G143" s="248"/>
      <c r="H143" s="248"/>
      <c r="I143" s="48"/>
      <c r="J143" s="75" t="str">
        <f t="shared" si="4"/>
        <v/>
      </c>
      <c r="K143" s="85" t="str">
        <f t="shared" si="5"/>
        <v/>
      </c>
      <c r="L143" s="47"/>
    </row>
    <row r="144" spans="2:12" s="56" customFormat="1" ht="14">
      <c r="B144" s="44"/>
      <c r="C144" s="47"/>
      <c r="D144" s="84"/>
      <c r="E144" s="84"/>
      <c r="F144" s="84"/>
      <c r="G144" s="248"/>
      <c r="H144" s="248"/>
      <c r="I144" s="48"/>
      <c r="J144" s="75" t="str">
        <f t="shared" si="4"/>
        <v/>
      </c>
      <c r="K144" s="85" t="str">
        <f t="shared" si="5"/>
        <v/>
      </c>
      <c r="L144" s="47"/>
    </row>
    <row r="145" spans="2:12" s="56" customFormat="1" ht="14">
      <c r="B145" s="44"/>
      <c r="C145" s="47"/>
      <c r="D145" s="84"/>
      <c r="E145" s="84"/>
      <c r="F145" s="84"/>
      <c r="G145" s="248"/>
      <c r="H145" s="248"/>
      <c r="I145" s="48"/>
      <c r="J145" s="75" t="str">
        <f t="shared" si="4"/>
        <v/>
      </c>
      <c r="K145" s="85" t="str">
        <f t="shared" si="5"/>
        <v/>
      </c>
      <c r="L145" s="47"/>
    </row>
    <row r="146" spans="2:12" s="56" customFormat="1" ht="14">
      <c r="B146" s="44"/>
      <c r="C146" s="47"/>
      <c r="D146" s="84"/>
      <c r="E146" s="84"/>
      <c r="F146" s="84"/>
      <c r="G146" s="248"/>
      <c r="H146" s="248"/>
      <c r="I146" s="48"/>
      <c r="J146" s="75" t="str">
        <f t="shared" si="4"/>
        <v/>
      </c>
      <c r="K146" s="85" t="str">
        <f t="shared" si="5"/>
        <v/>
      </c>
      <c r="L146" s="47"/>
    </row>
    <row r="147" spans="2:12" s="56" customFormat="1" ht="14">
      <c r="B147" s="44"/>
      <c r="C147" s="47"/>
      <c r="D147" s="84"/>
      <c r="E147" s="84"/>
      <c r="F147" s="84"/>
      <c r="G147" s="248"/>
      <c r="H147" s="248"/>
      <c r="I147" s="48"/>
      <c r="J147" s="75" t="str">
        <f t="shared" si="4"/>
        <v/>
      </c>
      <c r="K147" s="85" t="str">
        <f t="shared" si="5"/>
        <v/>
      </c>
      <c r="L147" s="47"/>
    </row>
    <row r="148" spans="2:12" s="56" customFormat="1" ht="14">
      <c r="B148" s="44"/>
      <c r="C148" s="47"/>
      <c r="D148" s="84"/>
      <c r="E148" s="84"/>
      <c r="F148" s="84"/>
      <c r="G148" s="248"/>
      <c r="H148" s="248"/>
      <c r="I148" s="48"/>
      <c r="J148" s="75" t="str">
        <f t="shared" si="4"/>
        <v/>
      </c>
      <c r="K148" s="85" t="str">
        <f t="shared" si="5"/>
        <v/>
      </c>
      <c r="L148" s="47"/>
    </row>
    <row r="149" spans="2:12" s="56" customFormat="1" ht="14">
      <c r="B149" s="44"/>
      <c r="C149" s="47"/>
      <c r="D149" s="84"/>
      <c r="E149" s="84"/>
      <c r="F149" s="84"/>
      <c r="G149" s="248"/>
      <c r="H149" s="248"/>
      <c r="I149" s="48"/>
      <c r="J149" s="75" t="str">
        <f t="shared" si="4"/>
        <v/>
      </c>
      <c r="K149" s="85" t="str">
        <f t="shared" si="5"/>
        <v/>
      </c>
      <c r="L149" s="47"/>
    </row>
    <row r="150" spans="2:12" s="56" customFormat="1" ht="14">
      <c r="B150" s="44"/>
      <c r="C150" s="47"/>
      <c r="D150" s="84"/>
      <c r="E150" s="84"/>
      <c r="F150" s="84"/>
      <c r="G150" s="248"/>
      <c r="H150" s="248"/>
      <c r="I150" s="48"/>
      <c r="J150" s="75" t="str">
        <f t="shared" si="4"/>
        <v/>
      </c>
      <c r="K150" s="85" t="str">
        <f t="shared" si="5"/>
        <v/>
      </c>
      <c r="L150" s="47"/>
    </row>
    <row r="151" spans="2:12" s="56" customFormat="1" ht="14">
      <c r="B151" s="44"/>
      <c r="C151" s="47"/>
      <c r="D151" s="84"/>
      <c r="E151" s="84"/>
      <c r="F151" s="84"/>
      <c r="G151" s="248"/>
      <c r="H151" s="248"/>
      <c r="I151" s="48"/>
      <c r="J151" s="75" t="str">
        <f t="shared" si="4"/>
        <v/>
      </c>
      <c r="K151" s="85" t="str">
        <f t="shared" si="5"/>
        <v/>
      </c>
      <c r="L151" s="47"/>
    </row>
    <row r="152" spans="2:12" s="56" customFormat="1" ht="14">
      <c r="B152" s="44"/>
      <c r="C152" s="47"/>
      <c r="D152" s="84"/>
      <c r="E152" s="84"/>
      <c r="F152" s="84"/>
      <c r="G152" s="248"/>
      <c r="H152" s="248"/>
      <c r="I152" s="48"/>
      <c r="J152" s="75" t="str">
        <f t="shared" si="4"/>
        <v/>
      </c>
      <c r="K152" s="85" t="str">
        <f t="shared" si="5"/>
        <v/>
      </c>
      <c r="L152" s="47"/>
    </row>
    <row r="153" spans="2:12" s="56" customFormat="1" ht="14">
      <c r="B153" s="44"/>
      <c r="C153" s="47"/>
      <c r="D153" s="84"/>
      <c r="E153" s="84"/>
      <c r="F153" s="84"/>
      <c r="G153" s="248"/>
      <c r="H153" s="248"/>
      <c r="I153" s="48"/>
      <c r="J153" s="75" t="str">
        <f t="shared" si="4"/>
        <v/>
      </c>
      <c r="K153" s="85" t="str">
        <f t="shared" si="5"/>
        <v/>
      </c>
      <c r="L153" s="47"/>
    </row>
    <row r="154" spans="2:12" s="56" customFormat="1" ht="14">
      <c r="B154" s="44"/>
      <c r="C154" s="47"/>
      <c r="D154" s="84"/>
      <c r="E154" s="84"/>
      <c r="F154" s="84"/>
      <c r="G154" s="248"/>
      <c r="H154" s="248"/>
      <c r="I154" s="48"/>
      <c r="J154" s="75" t="str">
        <f t="shared" si="4"/>
        <v/>
      </c>
      <c r="K154" s="85" t="str">
        <f t="shared" si="5"/>
        <v/>
      </c>
      <c r="L154" s="47"/>
    </row>
    <row r="155" spans="2:12" s="56" customFormat="1" ht="14">
      <c r="B155" s="44"/>
      <c r="C155" s="47"/>
      <c r="D155" s="84"/>
      <c r="E155" s="84"/>
      <c r="F155" s="84"/>
      <c r="G155" s="248"/>
      <c r="H155" s="248"/>
      <c r="I155" s="48"/>
      <c r="J155" s="75" t="str">
        <f t="shared" si="4"/>
        <v/>
      </c>
      <c r="K155" s="85" t="str">
        <f t="shared" si="5"/>
        <v/>
      </c>
      <c r="L155" s="47"/>
    </row>
    <row r="156" spans="2:12" s="56" customFormat="1" ht="14">
      <c r="B156" s="44"/>
      <c r="C156" s="47"/>
      <c r="D156" s="84"/>
      <c r="E156" s="84"/>
      <c r="F156" s="84"/>
      <c r="G156" s="248"/>
      <c r="H156" s="248"/>
      <c r="I156" s="48"/>
      <c r="J156" s="75" t="str">
        <f t="shared" si="4"/>
        <v/>
      </c>
      <c r="K156" s="85" t="str">
        <f t="shared" si="5"/>
        <v/>
      </c>
      <c r="L156" s="47"/>
    </row>
    <row r="157" spans="2:12" s="56" customFormat="1" ht="14">
      <c r="B157" s="44"/>
      <c r="C157" s="47"/>
      <c r="D157" s="84"/>
      <c r="E157" s="84"/>
      <c r="F157" s="84"/>
      <c r="G157" s="248"/>
      <c r="H157" s="248"/>
      <c r="I157" s="48"/>
      <c r="J157" s="75" t="str">
        <f t="shared" si="4"/>
        <v/>
      </c>
      <c r="K157" s="85" t="str">
        <f t="shared" si="5"/>
        <v/>
      </c>
      <c r="L157" s="47"/>
    </row>
    <row r="158" spans="2:12" s="56" customFormat="1" ht="14">
      <c r="B158" s="44"/>
      <c r="C158" s="47"/>
      <c r="D158" s="84"/>
      <c r="E158" s="84"/>
      <c r="F158" s="84"/>
      <c r="G158" s="248"/>
      <c r="H158" s="248"/>
      <c r="I158" s="48"/>
      <c r="J158" s="75" t="str">
        <f t="shared" si="4"/>
        <v/>
      </c>
      <c r="K158" s="85" t="str">
        <f t="shared" si="5"/>
        <v/>
      </c>
      <c r="L158" s="47"/>
    </row>
    <row r="159" spans="2:12" s="56" customFormat="1" ht="14">
      <c r="B159" s="44"/>
      <c r="C159" s="47"/>
      <c r="D159" s="84"/>
      <c r="E159" s="84"/>
      <c r="F159" s="84"/>
      <c r="G159" s="248"/>
      <c r="H159" s="248"/>
      <c r="I159" s="48"/>
      <c r="J159" s="75" t="str">
        <f t="shared" si="4"/>
        <v/>
      </c>
      <c r="K159" s="85" t="str">
        <f t="shared" si="5"/>
        <v/>
      </c>
      <c r="L159" s="47"/>
    </row>
    <row r="160" spans="2:12" s="56" customFormat="1" ht="14">
      <c r="B160" s="44"/>
      <c r="C160" s="47"/>
      <c r="D160" s="84"/>
      <c r="E160" s="84"/>
      <c r="F160" s="84"/>
      <c r="G160" s="248"/>
      <c r="H160" s="248"/>
      <c r="I160" s="48"/>
      <c r="J160" s="75" t="str">
        <f t="shared" si="4"/>
        <v/>
      </c>
      <c r="K160" s="85" t="str">
        <f t="shared" si="5"/>
        <v/>
      </c>
      <c r="L160" s="47"/>
    </row>
    <row r="161" spans="2:12" s="56" customFormat="1" ht="14">
      <c r="B161" s="44"/>
      <c r="C161" s="47"/>
      <c r="D161" s="84"/>
      <c r="E161" s="84"/>
      <c r="F161" s="84"/>
      <c r="G161" s="248"/>
      <c r="H161" s="248"/>
      <c r="I161" s="48"/>
      <c r="J161" s="75" t="str">
        <f t="shared" si="4"/>
        <v/>
      </c>
      <c r="K161" s="85" t="str">
        <f t="shared" si="5"/>
        <v/>
      </c>
      <c r="L161" s="47"/>
    </row>
    <row r="162" spans="2:12" s="56" customFormat="1" ht="14">
      <c r="B162" s="44"/>
      <c r="C162" s="47"/>
      <c r="D162" s="84"/>
      <c r="E162" s="84"/>
      <c r="F162" s="84"/>
      <c r="G162" s="248"/>
      <c r="H162" s="248"/>
      <c r="I162" s="48"/>
      <c r="J162" s="75" t="str">
        <f t="shared" si="4"/>
        <v/>
      </c>
      <c r="K162" s="85" t="str">
        <f t="shared" si="5"/>
        <v/>
      </c>
      <c r="L162" s="47"/>
    </row>
    <row r="163" spans="2:12" s="56" customFormat="1" ht="14">
      <c r="B163" s="44"/>
      <c r="C163" s="47"/>
      <c r="D163" s="84"/>
      <c r="E163" s="84"/>
      <c r="F163" s="84"/>
      <c r="G163" s="248"/>
      <c r="H163" s="248"/>
      <c r="I163" s="48"/>
      <c r="J163" s="75" t="str">
        <f t="shared" si="4"/>
        <v/>
      </c>
      <c r="K163" s="85" t="str">
        <f t="shared" si="5"/>
        <v/>
      </c>
      <c r="L163" s="47"/>
    </row>
    <row r="164" spans="2:12" s="56" customFormat="1" ht="14">
      <c r="B164" s="44"/>
      <c r="C164" s="47"/>
      <c r="D164" s="84"/>
      <c r="E164" s="84"/>
      <c r="F164" s="84"/>
      <c r="G164" s="248"/>
      <c r="H164" s="248"/>
      <c r="I164" s="48"/>
      <c r="J164" s="75" t="str">
        <f t="shared" si="4"/>
        <v/>
      </c>
      <c r="K164" s="85" t="str">
        <f t="shared" si="5"/>
        <v/>
      </c>
      <c r="L164" s="47"/>
    </row>
    <row r="165" spans="2:12" s="56" customFormat="1" ht="14">
      <c r="B165" s="44"/>
      <c r="C165" s="47"/>
      <c r="D165" s="84"/>
      <c r="E165" s="84"/>
      <c r="F165" s="84"/>
      <c r="G165" s="248"/>
      <c r="H165" s="248"/>
      <c r="I165" s="48"/>
      <c r="J165" s="75" t="str">
        <f t="shared" si="4"/>
        <v/>
      </c>
      <c r="K165" s="85" t="str">
        <f t="shared" si="5"/>
        <v/>
      </c>
      <c r="L165" s="47"/>
    </row>
    <row r="166" spans="2:12" s="56" customFormat="1" ht="14">
      <c r="B166" s="44"/>
      <c r="C166" s="47"/>
      <c r="D166" s="84"/>
      <c r="E166" s="84"/>
      <c r="F166" s="84"/>
      <c r="G166" s="248"/>
      <c r="H166" s="248"/>
      <c r="I166" s="48"/>
      <c r="J166" s="75" t="str">
        <f t="shared" si="4"/>
        <v/>
      </c>
      <c r="K166" s="85" t="str">
        <f t="shared" si="5"/>
        <v/>
      </c>
      <c r="L166" s="47"/>
    </row>
    <row r="167" spans="2:12" s="56" customFormat="1" ht="14">
      <c r="B167" s="44"/>
      <c r="C167" s="47"/>
      <c r="D167" s="84"/>
      <c r="E167" s="84"/>
      <c r="F167" s="84"/>
      <c r="G167" s="248"/>
      <c r="H167" s="248"/>
      <c r="I167" s="48"/>
      <c r="J167" s="75" t="str">
        <f t="shared" si="4"/>
        <v/>
      </c>
      <c r="K167" s="85" t="str">
        <f t="shared" si="5"/>
        <v/>
      </c>
      <c r="L167" s="47"/>
    </row>
    <row r="168" spans="2:12" s="56" customFormat="1" ht="14">
      <c r="B168" s="44"/>
      <c r="C168" s="47"/>
      <c r="D168" s="84"/>
      <c r="E168" s="84"/>
      <c r="F168" s="84"/>
      <c r="G168" s="248"/>
      <c r="H168" s="248"/>
      <c r="I168" s="48"/>
      <c r="J168" s="75" t="str">
        <f t="shared" si="4"/>
        <v/>
      </c>
      <c r="K168" s="85" t="str">
        <f t="shared" si="5"/>
        <v/>
      </c>
      <c r="L168" s="47"/>
    </row>
    <row r="169" spans="2:12" s="56" customFormat="1" ht="14">
      <c r="B169" s="44"/>
      <c r="C169" s="47"/>
      <c r="D169" s="84"/>
      <c r="E169" s="84"/>
      <c r="F169" s="84"/>
      <c r="G169" s="248"/>
      <c r="H169" s="248"/>
      <c r="I169" s="48"/>
      <c r="J169" s="75" t="str">
        <f t="shared" si="4"/>
        <v/>
      </c>
      <c r="K169" s="85" t="str">
        <f t="shared" si="5"/>
        <v/>
      </c>
      <c r="L169" s="47"/>
    </row>
    <row r="170" spans="2:12" s="56" customFormat="1" ht="14">
      <c r="B170" s="44"/>
      <c r="C170" s="47"/>
      <c r="D170" s="84"/>
      <c r="E170" s="84"/>
      <c r="F170" s="84"/>
      <c r="G170" s="248"/>
      <c r="H170" s="248"/>
      <c r="I170" s="48"/>
      <c r="J170" s="75" t="str">
        <f t="shared" si="4"/>
        <v/>
      </c>
      <c r="K170" s="85" t="str">
        <f t="shared" si="5"/>
        <v/>
      </c>
      <c r="L170" s="47"/>
    </row>
    <row r="171" spans="2:12" s="56" customFormat="1" ht="14">
      <c r="B171" s="44"/>
      <c r="C171" s="47"/>
      <c r="D171" s="84"/>
      <c r="E171" s="84"/>
      <c r="F171" s="84"/>
      <c r="G171" s="248"/>
      <c r="H171" s="248"/>
      <c r="I171" s="48"/>
      <c r="J171" s="75" t="str">
        <f t="shared" si="4"/>
        <v/>
      </c>
      <c r="K171" s="85" t="str">
        <f t="shared" si="5"/>
        <v/>
      </c>
      <c r="L171" s="47"/>
    </row>
    <row r="172" spans="2:12" s="56" customFormat="1" ht="14">
      <c r="B172" s="44"/>
      <c r="C172" s="47"/>
      <c r="D172" s="84"/>
      <c r="E172" s="84"/>
      <c r="F172" s="84"/>
      <c r="G172" s="248"/>
      <c r="H172" s="248"/>
      <c r="I172" s="48"/>
      <c r="J172" s="75" t="str">
        <f t="shared" si="4"/>
        <v/>
      </c>
      <c r="K172" s="85" t="str">
        <f t="shared" si="5"/>
        <v/>
      </c>
      <c r="L172" s="47"/>
    </row>
    <row r="173" spans="2:12" s="56" customFormat="1" ht="14">
      <c r="B173" s="44"/>
      <c r="C173" s="47"/>
      <c r="D173" s="84"/>
      <c r="E173" s="84"/>
      <c r="F173" s="84"/>
      <c r="G173" s="248"/>
      <c r="H173" s="248"/>
      <c r="I173" s="48"/>
      <c r="J173" s="75" t="str">
        <f t="shared" si="4"/>
        <v/>
      </c>
      <c r="K173" s="85" t="str">
        <f t="shared" si="5"/>
        <v/>
      </c>
      <c r="L173" s="47"/>
    </row>
    <row r="174" spans="2:12" s="56" customFormat="1" ht="14">
      <c r="B174" s="44"/>
      <c r="C174" s="47"/>
      <c r="D174" s="84"/>
      <c r="E174" s="84"/>
      <c r="F174" s="84"/>
      <c r="G174" s="248"/>
      <c r="H174" s="248"/>
      <c r="I174" s="48"/>
      <c r="J174" s="75" t="str">
        <f t="shared" si="4"/>
        <v/>
      </c>
      <c r="K174" s="85" t="str">
        <f t="shared" si="5"/>
        <v/>
      </c>
      <c r="L174" s="47"/>
    </row>
    <row r="175" spans="2:12" s="56" customFormat="1" ht="14">
      <c r="B175" s="44"/>
      <c r="C175" s="47"/>
      <c r="D175" s="84"/>
      <c r="E175" s="84"/>
      <c r="F175" s="84"/>
      <c r="G175" s="248"/>
      <c r="H175" s="248"/>
      <c r="I175" s="48"/>
      <c r="J175" s="75" t="str">
        <f t="shared" si="4"/>
        <v/>
      </c>
      <c r="K175" s="85" t="str">
        <f t="shared" si="5"/>
        <v/>
      </c>
      <c r="L175" s="47"/>
    </row>
    <row r="176" spans="2:12" s="56" customFormat="1" ht="14">
      <c r="B176" s="44"/>
      <c r="C176" s="47"/>
      <c r="D176" s="84"/>
      <c r="E176" s="84"/>
      <c r="F176" s="84"/>
      <c r="G176" s="248"/>
      <c r="H176" s="248"/>
      <c r="I176" s="48"/>
      <c r="J176" s="75" t="str">
        <f t="shared" si="4"/>
        <v/>
      </c>
      <c r="K176" s="85" t="str">
        <f t="shared" si="5"/>
        <v/>
      </c>
      <c r="L176" s="47"/>
    </row>
    <row r="177" spans="2:12" s="56" customFormat="1" ht="14">
      <c r="B177" s="44"/>
      <c r="C177" s="47"/>
      <c r="D177" s="84"/>
      <c r="E177" s="84"/>
      <c r="F177" s="84"/>
      <c r="G177" s="248"/>
      <c r="H177" s="248"/>
      <c r="I177" s="48"/>
      <c r="J177" s="75" t="str">
        <f t="shared" si="4"/>
        <v/>
      </c>
      <c r="K177" s="85" t="str">
        <f t="shared" si="5"/>
        <v/>
      </c>
      <c r="L177" s="47"/>
    </row>
    <row r="178" spans="2:12" s="56" customFormat="1" ht="14">
      <c r="B178" s="44"/>
      <c r="C178" s="47"/>
      <c r="D178" s="84"/>
      <c r="E178" s="84"/>
      <c r="F178" s="84"/>
      <c r="G178" s="248"/>
      <c r="H178" s="248"/>
      <c r="I178" s="48"/>
      <c r="J178" s="75" t="str">
        <f t="shared" si="4"/>
        <v/>
      </c>
      <c r="K178" s="85" t="str">
        <f t="shared" si="5"/>
        <v/>
      </c>
      <c r="L178" s="47"/>
    </row>
    <row r="179" spans="2:12" s="56" customFormat="1" ht="14">
      <c r="B179" s="44"/>
      <c r="C179" s="47"/>
      <c r="D179" s="84"/>
      <c r="E179" s="84"/>
      <c r="F179" s="84"/>
      <c r="G179" s="248"/>
      <c r="H179" s="248"/>
      <c r="I179" s="48"/>
      <c r="J179" s="75" t="str">
        <f t="shared" si="4"/>
        <v/>
      </c>
      <c r="K179" s="85" t="str">
        <f t="shared" si="5"/>
        <v/>
      </c>
      <c r="L179" s="47"/>
    </row>
    <row r="180" spans="2:12" s="56" customFormat="1" ht="14">
      <c r="B180" s="44"/>
      <c r="C180" s="47"/>
      <c r="D180" s="84"/>
      <c r="E180" s="84"/>
      <c r="F180" s="84"/>
      <c r="G180" s="248"/>
      <c r="H180" s="248"/>
      <c r="I180" s="48"/>
      <c r="J180" s="75" t="str">
        <f t="shared" si="4"/>
        <v/>
      </c>
      <c r="K180" s="85" t="str">
        <f t="shared" si="5"/>
        <v/>
      </c>
      <c r="L180" s="47"/>
    </row>
    <row r="181" spans="2:12" s="56" customFormat="1" ht="14">
      <c r="B181" s="44"/>
      <c r="C181" s="47"/>
      <c r="D181" s="84"/>
      <c r="E181" s="84"/>
      <c r="F181" s="84"/>
      <c r="G181" s="248"/>
      <c r="H181" s="248"/>
      <c r="I181" s="48"/>
      <c r="J181" s="75" t="str">
        <f t="shared" si="4"/>
        <v/>
      </c>
      <c r="K181" s="85" t="str">
        <f t="shared" si="5"/>
        <v/>
      </c>
      <c r="L181" s="47"/>
    </row>
    <row r="182" spans="2:12" s="56" customFormat="1" ht="14">
      <c r="B182" s="44"/>
      <c r="C182" s="47"/>
      <c r="D182" s="84"/>
      <c r="E182" s="84"/>
      <c r="F182" s="84"/>
      <c r="G182" s="248"/>
      <c r="H182" s="248"/>
      <c r="I182" s="48"/>
      <c r="J182" s="75" t="str">
        <f t="shared" si="4"/>
        <v/>
      </c>
      <c r="K182" s="85" t="str">
        <f t="shared" si="5"/>
        <v/>
      </c>
      <c r="L182" s="47"/>
    </row>
    <row r="183" spans="2:12" s="56" customFormat="1" ht="14">
      <c r="B183" s="44"/>
      <c r="C183" s="47"/>
      <c r="D183" s="84"/>
      <c r="E183" s="84"/>
      <c r="F183" s="84"/>
      <c r="G183" s="248"/>
      <c r="H183" s="248"/>
      <c r="I183" s="48"/>
      <c r="J183" s="75" t="str">
        <f t="shared" si="4"/>
        <v/>
      </c>
      <c r="K183" s="85" t="str">
        <f t="shared" si="5"/>
        <v/>
      </c>
      <c r="L183" s="47"/>
    </row>
    <row r="184" spans="2:12" s="56" customFormat="1" ht="14">
      <c r="B184" s="44"/>
      <c r="C184" s="47"/>
      <c r="D184" s="84"/>
      <c r="E184" s="84"/>
      <c r="F184" s="84"/>
      <c r="G184" s="248"/>
      <c r="H184" s="248"/>
      <c r="I184" s="48"/>
      <c r="J184" s="75" t="str">
        <f t="shared" si="4"/>
        <v/>
      </c>
      <c r="K184" s="85" t="str">
        <f t="shared" si="5"/>
        <v/>
      </c>
      <c r="L184" s="47"/>
    </row>
    <row r="185" spans="2:12" s="56" customFormat="1" ht="14">
      <c r="B185" s="44"/>
      <c r="C185" s="47"/>
      <c r="D185" s="84"/>
      <c r="E185" s="84"/>
      <c r="F185" s="84"/>
      <c r="G185" s="248"/>
      <c r="H185" s="248"/>
      <c r="I185" s="48"/>
      <c r="J185" s="75" t="str">
        <f t="shared" si="4"/>
        <v/>
      </c>
      <c r="K185" s="85" t="str">
        <f t="shared" si="5"/>
        <v/>
      </c>
      <c r="L185" s="47"/>
    </row>
    <row r="186" spans="2:12" s="56" customFormat="1" ht="14">
      <c r="B186" s="44"/>
      <c r="C186" s="47"/>
      <c r="D186" s="84"/>
      <c r="E186" s="84"/>
      <c r="F186" s="84"/>
      <c r="G186" s="248"/>
      <c r="H186" s="248"/>
      <c r="I186" s="48"/>
      <c r="J186" s="75" t="str">
        <f t="shared" si="4"/>
        <v/>
      </c>
      <c r="K186" s="85" t="str">
        <f t="shared" si="5"/>
        <v/>
      </c>
      <c r="L186" s="47"/>
    </row>
    <row r="187" spans="2:12" s="56" customFormat="1" ht="14">
      <c r="B187" s="44"/>
      <c r="C187" s="47"/>
      <c r="D187" s="84"/>
      <c r="E187" s="84"/>
      <c r="F187" s="84"/>
      <c r="G187" s="248"/>
      <c r="H187" s="248"/>
      <c r="I187" s="48"/>
      <c r="J187" s="75" t="str">
        <f t="shared" si="4"/>
        <v/>
      </c>
      <c r="K187" s="85" t="str">
        <f t="shared" si="5"/>
        <v/>
      </c>
      <c r="L187" s="47"/>
    </row>
    <row r="188" spans="2:12" s="56" customFormat="1" ht="14">
      <c r="B188" s="44"/>
      <c r="C188" s="47"/>
      <c r="D188" s="84"/>
      <c r="E188" s="84"/>
      <c r="F188" s="84"/>
      <c r="G188" s="248"/>
      <c r="H188" s="248"/>
      <c r="I188" s="48"/>
      <c r="J188" s="75" t="str">
        <f t="shared" si="4"/>
        <v/>
      </c>
      <c r="K188" s="85" t="str">
        <f t="shared" si="5"/>
        <v/>
      </c>
      <c r="L188" s="47"/>
    </row>
    <row r="189" spans="2:12" s="56" customFormat="1" ht="14">
      <c r="B189" s="44"/>
      <c r="C189" s="47"/>
      <c r="D189" s="84"/>
      <c r="E189" s="84"/>
      <c r="F189" s="84"/>
      <c r="G189" s="248"/>
      <c r="H189" s="248"/>
      <c r="I189" s="48"/>
      <c r="J189" s="75" t="str">
        <f t="shared" si="4"/>
        <v/>
      </c>
      <c r="K189" s="85" t="str">
        <f t="shared" si="5"/>
        <v/>
      </c>
      <c r="L189" s="47"/>
    </row>
    <row r="190" spans="2:12" s="56" customFormat="1" ht="14">
      <c r="B190" s="44"/>
      <c r="C190" s="47"/>
      <c r="D190" s="84"/>
      <c r="E190" s="84"/>
      <c r="F190" s="84"/>
      <c r="G190" s="248"/>
      <c r="H190" s="248"/>
      <c r="I190" s="48"/>
      <c r="J190" s="75" t="str">
        <f t="shared" si="4"/>
        <v/>
      </c>
      <c r="K190" s="85" t="str">
        <f t="shared" si="5"/>
        <v/>
      </c>
      <c r="L190" s="47"/>
    </row>
    <row r="191" spans="2:12" s="56" customFormat="1" ht="14">
      <c r="B191" s="44"/>
      <c r="C191" s="47"/>
      <c r="D191" s="84"/>
      <c r="E191" s="84"/>
      <c r="F191" s="84"/>
      <c r="G191" s="248"/>
      <c r="H191" s="248"/>
      <c r="I191" s="48"/>
      <c r="J191" s="75" t="str">
        <f t="shared" si="4"/>
        <v/>
      </c>
      <c r="K191" s="85" t="str">
        <f t="shared" si="5"/>
        <v/>
      </c>
      <c r="L191" s="47"/>
    </row>
    <row r="192" spans="2:12" s="56" customFormat="1" ht="14">
      <c r="B192" s="44"/>
      <c r="C192" s="47"/>
      <c r="D192" s="84"/>
      <c r="E192" s="84"/>
      <c r="F192" s="84"/>
      <c r="G192" s="248"/>
      <c r="H192" s="248"/>
      <c r="I192" s="48"/>
      <c r="J192" s="75" t="str">
        <f t="shared" si="4"/>
        <v/>
      </c>
      <c r="K192" s="85" t="str">
        <f t="shared" si="5"/>
        <v/>
      </c>
      <c r="L192" s="47"/>
    </row>
    <row r="193" spans="2:12" s="56" customFormat="1" ht="14">
      <c r="B193" s="44"/>
      <c r="C193" s="47"/>
      <c r="D193" s="84"/>
      <c r="E193" s="84"/>
      <c r="F193" s="84"/>
      <c r="G193" s="248"/>
      <c r="H193" s="248"/>
      <c r="I193" s="48"/>
      <c r="J193" s="75" t="str">
        <f t="shared" si="4"/>
        <v/>
      </c>
      <c r="K193" s="85" t="str">
        <f t="shared" si="5"/>
        <v/>
      </c>
      <c r="L193" s="47"/>
    </row>
    <row r="194" spans="2:12" s="56" customFormat="1" ht="14">
      <c r="B194" s="44"/>
      <c r="C194" s="47"/>
      <c r="D194" s="84"/>
      <c r="E194" s="84"/>
      <c r="F194" s="84"/>
      <c r="G194" s="248"/>
      <c r="H194" s="248"/>
      <c r="I194" s="48"/>
      <c r="J194" s="75" t="str">
        <f t="shared" si="4"/>
        <v/>
      </c>
      <c r="K194" s="85" t="str">
        <f t="shared" si="5"/>
        <v/>
      </c>
      <c r="L194" s="47"/>
    </row>
    <row r="195" spans="2:12" s="56" customFormat="1" ht="14">
      <c r="B195" s="44"/>
      <c r="C195" s="47"/>
      <c r="D195" s="84"/>
      <c r="E195" s="84"/>
      <c r="F195" s="84"/>
      <c r="G195" s="248"/>
      <c r="H195" s="248"/>
      <c r="I195" s="48"/>
      <c r="J195" s="75" t="str">
        <f t="shared" si="4"/>
        <v/>
      </c>
      <c r="K195" s="85" t="str">
        <f t="shared" si="5"/>
        <v/>
      </c>
      <c r="L195" s="47"/>
    </row>
    <row r="196" spans="2:12" s="56" customFormat="1" ht="14">
      <c r="B196" s="44"/>
      <c r="C196" s="47"/>
      <c r="D196" s="84"/>
      <c r="E196" s="84"/>
      <c r="F196" s="84"/>
      <c r="G196" s="248"/>
      <c r="H196" s="248"/>
      <c r="I196" s="48"/>
      <c r="J196" s="75" t="str">
        <f t="shared" si="4"/>
        <v/>
      </c>
      <c r="K196" s="85" t="str">
        <f t="shared" si="5"/>
        <v/>
      </c>
      <c r="L196" s="47"/>
    </row>
    <row r="197" spans="2:12" s="56" customFormat="1" ht="14">
      <c r="B197" s="44"/>
      <c r="C197" s="47"/>
      <c r="D197" s="84"/>
      <c r="E197" s="84"/>
      <c r="F197" s="84"/>
      <c r="G197" s="248"/>
      <c r="H197" s="248"/>
      <c r="I197" s="48"/>
      <c r="J197" s="75" t="str">
        <f t="shared" si="4"/>
        <v/>
      </c>
      <c r="K197" s="85" t="str">
        <f t="shared" si="5"/>
        <v/>
      </c>
      <c r="L197" s="47"/>
    </row>
    <row r="198" spans="2:12" s="56" customFormat="1" ht="14">
      <c r="B198" s="44"/>
      <c r="C198" s="47"/>
      <c r="D198" s="84"/>
      <c r="E198" s="84"/>
      <c r="F198" s="84"/>
      <c r="G198" s="248"/>
      <c r="H198" s="248"/>
      <c r="I198" s="48"/>
      <c r="J198" s="75" t="str">
        <f t="shared" si="4"/>
        <v/>
      </c>
      <c r="K198" s="85" t="str">
        <f t="shared" si="5"/>
        <v/>
      </c>
      <c r="L198" s="47"/>
    </row>
    <row r="199" spans="2:12" s="56" customFormat="1" ht="14">
      <c r="B199" s="44"/>
      <c r="C199" s="47"/>
      <c r="D199" s="84"/>
      <c r="E199" s="84"/>
      <c r="F199" s="84"/>
      <c r="G199" s="248"/>
      <c r="H199" s="248"/>
      <c r="I199" s="48"/>
      <c r="J199" s="75" t="str">
        <f t="shared" si="4"/>
        <v/>
      </c>
      <c r="K199" s="85" t="str">
        <f t="shared" si="5"/>
        <v/>
      </c>
      <c r="L199" s="47"/>
    </row>
    <row r="200" spans="2:12" s="56" customFormat="1" ht="14">
      <c r="B200" s="44"/>
      <c r="C200" s="47"/>
      <c r="D200" s="84"/>
      <c r="E200" s="84"/>
      <c r="F200" s="84"/>
      <c r="G200" s="248"/>
      <c r="H200" s="248"/>
      <c r="I200" s="48"/>
      <c r="J200" s="75" t="str">
        <f t="shared" si="4"/>
        <v/>
      </c>
      <c r="K200" s="85" t="str">
        <f t="shared" si="5"/>
        <v/>
      </c>
      <c r="L200" s="47"/>
    </row>
    <row r="201" spans="2:12" s="56" customFormat="1" ht="14">
      <c r="B201" s="44"/>
      <c r="C201" s="47"/>
      <c r="D201" s="84"/>
      <c r="E201" s="84"/>
      <c r="F201" s="84"/>
      <c r="G201" s="248"/>
      <c r="H201" s="248"/>
      <c r="I201" s="48"/>
      <c r="J201" s="75" t="str">
        <f t="shared" si="4"/>
        <v/>
      </c>
      <c r="K201" s="85" t="str">
        <f t="shared" si="5"/>
        <v/>
      </c>
      <c r="L201" s="47"/>
    </row>
    <row r="202" spans="2:12" s="56" customFormat="1" ht="14">
      <c r="B202" s="44"/>
      <c r="C202" s="47"/>
      <c r="D202" s="84"/>
      <c r="E202" s="84"/>
      <c r="F202" s="84"/>
      <c r="G202" s="248"/>
      <c r="H202" s="248"/>
      <c r="I202" s="48"/>
      <c r="J202" s="75" t="str">
        <f t="shared" si="4"/>
        <v/>
      </c>
      <c r="K202" s="85" t="str">
        <f t="shared" si="5"/>
        <v/>
      </c>
      <c r="L202" s="47"/>
    </row>
    <row r="203" spans="2:12" s="56" customFormat="1" ht="14">
      <c r="B203" s="44"/>
      <c r="C203" s="47"/>
      <c r="D203" s="84"/>
      <c r="E203" s="84"/>
      <c r="F203" s="84"/>
      <c r="G203" s="248"/>
      <c r="H203" s="248"/>
      <c r="I203" s="48"/>
      <c r="J203" s="75" t="str">
        <f t="shared" ref="J203:J266" si="6">IF($C203&lt;&gt;"",$E203*1.5,"")</f>
        <v/>
      </c>
      <c r="K203" s="85" t="str">
        <f t="shared" ref="K203:K266" si="7">IFERROR($J203/10,"")</f>
        <v/>
      </c>
      <c r="L203" s="47"/>
    </row>
    <row r="204" spans="2:12" s="56" customFormat="1" ht="14">
      <c r="B204" s="44"/>
      <c r="C204" s="47"/>
      <c r="D204" s="84"/>
      <c r="E204" s="84"/>
      <c r="F204" s="84"/>
      <c r="G204" s="248"/>
      <c r="H204" s="248"/>
      <c r="I204" s="48"/>
      <c r="J204" s="75" t="str">
        <f t="shared" si="6"/>
        <v/>
      </c>
      <c r="K204" s="85" t="str">
        <f t="shared" si="7"/>
        <v/>
      </c>
      <c r="L204" s="47"/>
    </row>
    <row r="205" spans="2:12" s="56" customFormat="1" ht="14">
      <c r="B205" s="44"/>
      <c r="C205" s="47"/>
      <c r="D205" s="84"/>
      <c r="E205" s="84"/>
      <c r="F205" s="84"/>
      <c r="G205" s="248"/>
      <c r="H205" s="248"/>
      <c r="I205" s="48"/>
      <c r="J205" s="75" t="str">
        <f t="shared" si="6"/>
        <v/>
      </c>
      <c r="K205" s="85" t="str">
        <f t="shared" si="7"/>
        <v/>
      </c>
      <c r="L205" s="47"/>
    </row>
    <row r="206" spans="2:12" s="56" customFormat="1" ht="14">
      <c r="B206" s="44"/>
      <c r="C206" s="47"/>
      <c r="D206" s="84"/>
      <c r="E206" s="84"/>
      <c r="F206" s="84"/>
      <c r="G206" s="248"/>
      <c r="H206" s="248"/>
      <c r="I206" s="48"/>
      <c r="J206" s="75" t="str">
        <f t="shared" si="6"/>
        <v/>
      </c>
      <c r="K206" s="85" t="str">
        <f t="shared" si="7"/>
        <v/>
      </c>
      <c r="L206" s="47"/>
    </row>
    <row r="207" spans="2:12" s="56" customFormat="1" ht="24" customHeight="1">
      <c r="B207" s="44"/>
      <c r="C207" s="47"/>
      <c r="D207" s="84"/>
      <c r="E207" s="84"/>
      <c r="F207" s="84"/>
      <c r="G207" s="248"/>
      <c r="H207" s="248"/>
      <c r="I207" s="48"/>
      <c r="J207" s="75" t="str">
        <f t="shared" si="6"/>
        <v/>
      </c>
      <c r="K207" s="85" t="str">
        <f t="shared" si="7"/>
        <v/>
      </c>
      <c r="L207" s="47"/>
    </row>
    <row r="208" spans="2:12" s="56" customFormat="1" ht="14.15" customHeight="1">
      <c r="B208" s="44"/>
      <c r="C208" s="47"/>
      <c r="D208" s="84"/>
      <c r="E208" s="84"/>
      <c r="F208" s="84"/>
      <c r="G208" s="248" t="s">
        <v>89</v>
      </c>
      <c r="H208" s="248"/>
      <c r="I208" s="48"/>
      <c r="J208" s="75" t="str">
        <f t="shared" si="6"/>
        <v/>
      </c>
      <c r="K208" s="85" t="str">
        <f t="shared" si="7"/>
        <v/>
      </c>
      <c r="L208" s="47"/>
    </row>
    <row r="209" spans="2:12" s="56" customFormat="1" ht="14">
      <c r="B209" s="44"/>
      <c r="C209" s="47"/>
      <c r="D209" s="84"/>
      <c r="E209" s="84"/>
      <c r="F209" s="84"/>
      <c r="G209" s="248"/>
      <c r="H209" s="248"/>
      <c r="I209" s="48"/>
      <c r="J209" s="75" t="str">
        <f t="shared" si="6"/>
        <v/>
      </c>
      <c r="K209" s="85" t="str">
        <f t="shared" si="7"/>
        <v/>
      </c>
      <c r="L209" s="47"/>
    </row>
    <row r="210" spans="2:12" s="56" customFormat="1" ht="14">
      <c r="B210" s="44"/>
      <c r="C210" s="47"/>
      <c r="D210" s="84"/>
      <c r="E210" s="84"/>
      <c r="F210" s="84"/>
      <c r="G210" s="248"/>
      <c r="H210" s="248"/>
      <c r="I210" s="48"/>
      <c r="J210" s="75" t="str">
        <f t="shared" si="6"/>
        <v/>
      </c>
      <c r="K210" s="85" t="str">
        <f t="shared" si="7"/>
        <v/>
      </c>
      <c r="L210" s="47"/>
    </row>
    <row r="211" spans="2:12" s="56" customFormat="1" ht="14">
      <c r="B211" s="44"/>
      <c r="C211" s="47"/>
      <c r="D211" s="84"/>
      <c r="E211" s="84"/>
      <c r="F211" s="84"/>
      <c r="G211" s="248"/>
      <c r="H211" s="248"/>
      <c r="I211" s="48"/>
      <c r="J211" s="75" t="str">
        <f t="shared" si="6"/>
        <v/>
      </c>
      <c r="K211" s="85" t="str">
        <f t="shared" si="7"/>
        <v/>
      </c>
      <c r="L211" s="47"/>
    </row>
    <row r="212" spans="2:12" s="56" customFormat="1" ht="14">
      <c r="B212" s="44"/>
      <c r="C212" s="47"/>
      <c r="D212" s="84"/>
      <c r="E212" s="84"/>
      <c r="F212" s="84"/>
      <c r="G212" s="248"/>
      <c r="H212" s="248"/>
      <c r="I212" s="48"/>
      <c r="J212" s="75" t="str">
        <f t="shared" si="6"/>
        <v/>
      </c>
      <c r="K212" s="85" t="str">
        <f t="shared" si="7"/>
        <v/>
      </c>
      <c r="L212" s="47"/>
    </row>
    <row r="213" spans="2:12" s="56" customFormat="1" ht="14">
      <c r="B213" s="44"/>
      <c r="C213" s="47"/>
      <c r="D213" s="84"/>
      <c r="E213" s="84"/>
      <c r="F213" s="84"/>
      <c r="G213" s="248"/>
      <c r="H213" s="248"/>
      <c r="I213" s="48"/>
      <c r="J213" s="75" t="str">
        <f t="shared" si="6"/>
        <v/>
      </c>
      <c r="K213" s="85" t="str">
        <f t="shared" si="7"/>
        <v/>
      </c>
      <c r="L213" s="47"/>
    </row>
    <row r="214" spans="2:12" s="56" customFormat="1" ht="14">
      <c r="B214" s="44"/>
      <c r="C214" s="47"/>
      <c r="D214" s="84"/>
      <c r="E214" s="84"/>
      <c r="F214" s="84"/>
      <c r="G214" s="248"/>
      <c r="H214" s="248"/>
      <c r="I214" s="48"/>
      <c r="J214" s="75" t="str">
        <f t="shared" si="6"/>
        <v/>
      </c>
      <c r="K214" s="85" t="str">
        <f t="shared" si="7"/>
        <v/>
      </c>
      <c r="L214" s="47"/>
    </row>
    <row r="215" spans="2:12" s="56" customFormat="1" ht="14">
      <c r="B215" s="44"/>
      <c r="C215" s="47"/>
      <c r="D215" s="84"/>
      <c r="E215" s="84"/>
      <c r="F215" s="84"/>
      <c r="G215" s="248"/>
      <c r="H215" s="248"/>
      <c r="I215" s="48"/>
      <c r="J215" s="75" t="str">
        <f t="shared" si="6"/>
        <v/>
      </c>
      <c r="K215" s="85" t="str">
        <f t="shared" si="7"/>
        <v/>
      </c>
      <c r="L215" s="47"/>
    </row>
    <row r="216" spans="2:12" s="56" customFormat="1" ht="14">
      <c r="B216" s="44"/>
      <c r="C216" s="47"/>
      <c r="D216" s="84"/>
      <c r="E216" s="84"/>
      <c r="F216" s="84"/>
      <c r="G216" s="248"/>
      <c r="H216" s="248"/>
      <c r="I216" s="48"/>
      <c r="J216" s="75" t="str">
        <f t="shared" si="6"/>
        <v/>
      </c>
      <c r="K216" s="85" t="str">
        <f t="shared" si="7"/>
        <v/>
      </c>
      <c r="L216" s="47"/>
    </row>
    <row r="217" spans="2:12" s="56" customFormat="1" ht="14">
      <c r="B217" s="44"/>
      <c r="C217" s="47"/>
      <c r="D217" s="84"/>
      <c r="E217" s="84"/>
      <c r="F217" s="84"/>
      <c r="G217" s="248"/>
      <c r="H217" s="248"/>
      <c r="I217" s="48"/>
      <c r="J217" s="75" t="str">
        <f t="shared" si="6"/>
        <v/>
      </c>
      <c r="K217" s="85" t="str">
        <f t="shared" si="7"/>
        <v/>
      </c>
      <c r="L217" s="47"/>
    </row>
    <row r="218" spans="2:12" s="56" customFormat="1" ht="14">
      <c r="B218" s="44"/>
      <c r="C218" s="47"/>
      <c r="D218" s="84"/>
      <c r="E218" s="84"/>
      <c r="F218" s="84"/>
      <c r="G218" s="248"/>
      <c r="H218" s="248"/>
      <c r="I218" s="48"/>
      <c r="J218" s="75" t="str">
        <f t="shared" si="6"/>
        <v/>
      </c>
      <c r="K218" s="85" t="str">
        <f t="shared" si="7"/>
        <v/>
      </c>
      <c r="L218" s="47"/>
    </row>
    <row r="219" spans="2:12" s="56" customFormat="1" ht="14">
      <c r="B219" s="44"/>
      <c r="C219" s="47"/>
      <c r="D219" s="84"/>
      <c r="E219" s="84"/>
      <c r="F219" s="84"/>
      <c r="G219" s="248"/>
      <c r="H219" s="248"/>
      <c r="I219" s="48"/>
      <c r="J219" s="75" t="str">
        <f t="shared" si="6"/>
        <v/>
      </c>
      <c r="K219" s="85" t="str">
        <f t="shared" si="7"/>
        <v/>
      </c>
      <c r="L219" s="47"/>
    </row>
    <row r="220" spans="2:12" s="56" customFormat="1" ht="14">
      <c r="B220" s="44"/>
      <c r="C220" s="47"/>
      <c r="D220" s="84"/>
      <c r="E220" s="84"/>
      <c r="F220" s="84"/>
      <c r="G220" s="248"/>
      <c r="H220" s="248"/>
      <c r="I220" s="48"/>
      <c r="J220" s="75" t="str">
        <f t="shared" si="6"/>
        <v/>
      </c>
      <c r="K220" s="85" t="str">
        <f t="shared" si="7"/>
        <v/>
      </c>
      <c r="L220" s="47"/>
    </row>
    <row r="221" spans="2:12" s="56" customFormat="1" ht="14">
      <c r="B221" s="44"/>
      <c r="C221" s="47"/>
      <c r="D221" s="84"/>
      <c r="E221" s="84"/>
      <c r="F221" s="84"/>
      <c r="G221" s="248"/>
      <c r="H221" s="248"/>
      <c r="I221" s="48"/>
      <c r="J221" s="75" t="str">
        <f t="shared" si="6"/>
        <v/>
      </c>
      <c r="K221" s="85" t="str">
        <f t="shared" si="7"/>
        <v/>
      </c>
      <c r="L221" s="47"/>
    </row>
    <row r="222" spans="2:12" s="56" customFormat="1" ht="14">
      <c r="B222" s="44"/>
      <c r="C222" s="47"/>
      <c r="D222" s="84"/>
      <c r="E222" s="84"/>
      <c r="F222" s="84"/>
      <c r="G222" s="248"/>
      <c r="H222" s="248"/>
      <c r="I222" s="48"/>
      <c r="J222" s="75" t="str">
        <f t="shared" si="6"/>
        <v/>
      </c>
      <c r="K222" s="85" t="str">
        <f t="shared" si="7"/>
        <v/>
      </c>
      <c r="L222" s="47"/>
    </row>
    <row r="223" spans="2:12" s="56" customFormat="1" ht="14">
      <c r="B223" s="44"/>
      <c r="C223" s="47"/>
      <c r="D223" s="84"/>
      <c r="E223" s="84"/>
      <c r="F223" s="84"/>
      <c r="G223" s="248"/>
      <c r="H223" s="248"/>
      <c r="I223" s="48"/>
      <c r="J223" s="75" t="str">
        <f t="shared" si="6"/>
        <v/>
      </c>
      <c r="K223" s="85" t="str">
        <f t="shared" si="7"/>
        <v/>
      </c>
      <c r="L223" s="47"/>
    </row>
    <row r="224" spans="2:12" s="56" customFormat="1" ht="14">
      <c r="B224" s="44"/>
      <c r="C224" s="47"/>
      <c r="D224" s="84"/>
      <c r="E224" s="84"/>
      <c r="F224" s="84"/>
      <c r="G224" s="248"/>
      <c r="H224" s="248"/>
      <c r="I224" s="48"/>
      <c r="J224" s="75" t="str">
        <f t="shared" si="6"/>
        <v/>
      </c>
      <c r="K224" s="85" t="str">
        <f t="shared" si="7"/>
        <v/>
      </c>
      <c r="L224" s="47"/>
    </row>
    <row r="225" spans="2:12" s="56" customFormat="1" ht="14">
      <c r="B225" s="44"/>
      <c r="C225" s="47"/>
      <c r="D225" s="84"/>
      <c r="E225" s="84"/>
      <c r="F225" s="84"/>
      <c r="G225" s="248"/>
      <c r="H225" s="248"/>
      <c r="I225" s="86"/>
      <c r="J225" s="75" t="str">
        <f t="shared" si="6"/>
        <v/>
      </c>
      <c r="K225" s="85" t="str">
        <f t="shared" si="7"/>
        <v/>
      </c>
      <c r="L225" s="47"/>
    </row>
    <row r="226" spans="2:12" s="56" customFormat="1" ht="14">
      <c r="B226" s="44"/>
      <c r="C226" s="47"/>
      <c r="D226" s="84"/>
      <c r="E226" s="84"/>
      <c r="F226" s="84"/>
      <c r="G226" s="248"/>
      <c r="H226" s="248"/>
      <c r="I226" s="86"/>
      <c r="J226" s="75" t="str">
        <f t="shared" si="6"/>
        <v/>
      </c>
      <c r="K226" s="85" t="str">
        <f t="shared" si="7"/>
        <v/>
      </c>
      <c r="L226" s="47"/>
    </row>
    <row r="227" spans="2:12" s="56" customFormat="1" ht="14">
      <c r="B227" s="44"/>
      <c r="C227" s="47"/>
      <c r="D227" s="84"/>
      <c r="E227" s="84"/>
      <c r="F227" s="84"/>
      <c r="G227" s="248"/>
      <c r="H227" s="248"/>
      <c r="I227" s="48"/>
      <c r="J227" s="75" t="str">
        <f t="shared" si="6"/>
        <v/>
      </c>
      <c r="K227" s="85" t="str">
        <f t="shared" si="7"/>
        <v/>
      </c>
      <c r="L227" s="47"/>
    </row>
    <row r="228" spans="2:12" s="56" customFormat="1" ht="14">
      <c r="B228" s="44"/>
      <c r="C228" s="47"/>
      <c r="D228" s="84"/>
      <c r="E228" s="84"/>
      <c r="F228" s="84"/>
      <c r="G228" s="248"/>
      <c r="H228" s="248"/>
      <c r="I228" s="48"/>
      <c r="J228" s="75" t="str">
        <f t="shared" si="6"/>
        <v/>
      </c>
      <c r="K228" s="85" t="str">
        <f t="shared" si="7"/>
        <v/>
      </c>
      <c r="L228" s="47"/>
    </row>
    <row r="229" spans="2:12" s="56" customFormat="1" ht="14">
      <c r="B229" s="44"/>
      <c r="C229" s="47"/>
      <c r="D229" s="84"/>
      <c r="E229" s="84"/>
      <c r="F229" s="84"/>
      <c r="G229" s="248"/>
      <c r="H229" s="248"/>
      <c r="I229" s="48"/>
      <c r="J229" s="75" t="str">
        <f t="shared" si="6"/>
        <v/>
      </c>
      <c r="K229" s="85" t="str">
        <f t="shared" si="7"/>
        <v/>
      </c>
      <c r="L229" s="47"/>
    </row>
    <row r="230" spans="2:12" s="56" customFormat="1" ht="14">
      <c r="B230" s="44"/>
      <c r="C230" s="47"/>
      <c r="D230" s="84"/>
      <c r="E230" s="84"/>
      <c r="F230" s="84"/>
      <c r="G230" s="248"/>
      <c r="H230" s="248"/>
      <c r="I230" s="48"/>
      <c r="J230" s="75" t="str">
        <f t="shared" si="6"/>
        <v/>
      </c>
      <c r="K230" s="85" t="str">
        <f t="shared" si="7"/>
        <v/>
      </c>
      <c r="L230" s="47"/>
    </row>
    <row r="231" spans="2:12" s="56" customFormat="1" ht="14">
      <c r="B231" s="44"/>
      <c r="C231" s="47"/>
      <c r="D231" s="84"/>
      <c r="E231" s="84"/>
      <c r="F231" s="84"/>
      <c r="G231" s="248"/>
      <c r="H231" s="248"/>
      <c r="I231" s="48"/>
      <c r="J231" s="75" t="str">
        <f t="shared" si="6"/>
        <v/>
      </c>
      <c r="K231" s="85" t="str">
        <f t="shared" si="7"/>
        <v/>
      </c>
      <c r="L231" s="47"/>
    </row>
    <row r="232" spans="2:12" s="56" customFormat="1" ht="14">
      <c r="B232" s="44"/>
      <c r="C232" s="47"/>
      <c r="D232" s="84"/>
      <c r="E232" s="84"/>
      <c r="F232" s="84"/>
      <c r="G232" s="248"/>
      <c r="H232" s="248"/>
      <c r="I232" s="48"/>
      <c r="J232" s="75" t="str">
        <f t="shared" si="6"/>
        <v/>
      </c>
      <c r="K232" s="85" t="str">
        <f t="shared" si="7"/>
        <v/>
      </c>
      <c r="L232" s="47"/>
    </row>
    <row r="233" spans="2:12" s="56" customFormat="1" ht="14">
      <c r="B233" s="44"/>
      <c r="C233" s="47"/>
      <c r="D233" s="84"/>
      <c r="E233" s="84"/>
      <c r="F233" s="84"/>
      <c r="G233" s="248"/>
      <c r="H233" s="248"/>
      <c r="I233" s="48"/>
      <c r="J233" s="75" t="str">
        <f t="shared" si="6"/>
        <v/>
      </c>
      <c r="K233" s="85" t="str">
        <f t="shared" si="7"/>
        <v/>
      </c>
      <c r="L233" s="47"/>
    </row>
    <row r="234" spans="2:12" s="56" customFormat="1" ht="14">
      <c r="B234" s="44"/>
      <c r="C234" s="47"/>
      <c r="D234" s="84"/>
      <c r="E234" s="84"/>
      <c r="F234" s="84"/>
      <c r="G234" s="248"/>
      <c r="H234" s="248"/>
      <c r="I234" s="48"/>
      <c r="J234" s="75" t="str">
        <f t="shared" si="6"/>
        <v/>
      </c>
      <c r="K234" s="85" t="str">
        <f t="shared" si="7"/>
        <v/>
      </c>
      <c r="L234" s="47"/>
    </row>
    <row r="235" spans="2:12" s="56" customFormat="1" ht="14">
      <c r="B235" s="44"/>
      <c r="C235" s="47"/>
      <c r="D235" s="84"/>
      <c r="E235" s="84"/>
      <c r="F235" s="84"/>
      <c r="G235" s="248"/>
      <c r="H235" s="248"/>
      <c r="I235" s="48"/>
      <c r="J235" s="75" t="str">
        <f t="shared" si="6"/>
        <v/>
      </c>
      <c r="K235" s="85" t="str">
        <f t="shared" si="7"/>
        <v/>
      </c>
      <c r="L235" s="47"/>
    </row>
    <row r="236" spans="2:12" s="56" customFormat="1" ht="14">
      <c r="B236" s="44"/>
      <c r="C236" s="47"/>
      <c r="D236" s="84"/>
      <c r="E236" s="84"/>
      <c r="F236" s="84"/>
      <c r="G236" s="248"/>
      <c r="H236" s="248"/>
      <c r="I236" s="48"/>
      <c r="J236" s="75" t="str">
        <f t="shared" si="6"/>
        <v/>
      </c>
      <c r="K236" s="85" t="str">
        <f t="shared" si="7"/>
        <v/>
      </c>
      <c r="L236" s="47"/>
    </row>
    <row r="237" spans="2:12" s="56" customFormat="1" ht="14">
      <c r="B237" s="44"/>
      <c r="C237" s="47"/>
      <c r="D237" s="84"/>
      <c r="E237" s="84"/>
      <c r="F237" s="84"/>
      <c r="G237" s="248"/>
      <c r="H237" s="248"/>
      <c r="I237" s="48"/>
      <c r="J237" s="75" t="str">
        <f t="shared" si="6"/>
        <v/>
      </c>
      <c r="K237" s="85" t="str">
        <f t="shared" si="7"/>
        <v/>
      </c>
      <c r="L237" s="47"/>
    </row>
    <row r="238" spans="2:12" s="56" customFormat="1" ht="14">
      <c r="B238" s="44"/>
      <c r="C238" s="47"/>
      <c r="D238" s="84"/>
      <c r="E238" s="84"/>
      <c r="F238" s="84"/>
      <c r="G238" s="248"/>
      <c r="H238" s="248"/>
      <c r="I238" s="48"/>
      <c r="J238" s="75" t="str">
        <f t="shared" si="6"/>
        <v/>
      </c>
      <c r="K238" s="85" t="str">
        <f t="shared" si="7"/>
        <v/>
      </c>
      <c r="L238" s="47"/>
    </row>
    <row r="239" spans="2:12" s="56" customFormat="1" ht="14">
      <c r="B239" s="44"/>
      <c r="C239" s="47"/>
      <c r="D239" s="84"/>
      <c r="E239" s="84"/>
      <c r="F239" s="84"/>
      <c r="G239" s="248"/>
      <c r="H239" s="248"/>
      <c r="I239" s="48"/>
      <c r="J239" s="75" t="str">
        <f t="shared" si="6"/>
        <v/>
      </c>
      <c r="K239" s="85" t="str">
        <f t="shared" si="7"/>
        <v/>
      </c>
      <c r="L239" s="47"/>
    </row>
    <row r="240" spans="2:12" s="56" customFormat="1" ht="14">
      <c r="B240" s="44"/>
      <c r="C240" s="47"/>
      <c r="D240" s="84"/>
      <c r="E240" s="84"/>
      <c r="F240" s="84"/>
      <c r="G240" s="248"/>
      <c r="H240" s="248"/>
      <c r="I240" s="48"/>
      <c r="J240" s="75" t="str">
        <f t="shared" si="6"/>
        <v/>
      </c>
      <c r="K240" s="85" t="str">
        <f t="shared" si="7"/>
        <v/>
      </c>
      <c r="L240" s="47"/>
    </row>
    <row r="241" spans="2:12" s="56" customFormat="1" ht="14">
      <c r="B241" s="44"/>
      <c r="C241" s="47"/>
      <c r="D241" s="84"/>
      <c r="E241" s="84"/>
      <c r="F241" s="84"/>
      <c r="G241" s="248"/>
      <c r="H241" s="248"/>
      <c r="I241" s="48"/>
      <c r="J241" s="75" t="str">
        <f t="shared" si="6"/>
        <v/>
      </c>
      <c r="K241" s="85" t="str">
        <f t="shared" si="7"/>
        <v/>
      </c>
      <c r="L241" s="47"/>
    </row>
    <row r="242" spans="2:12" s="56" customFormat="1" ht="14">
      <c r="B242" s="44"/>
      <c r="C242" s="47"/>
      <c r="D242" s="84"/>
      <c r="E242" s="84"/>
      <c r="F242" s="84"/>
      <c r="G242" s="248"/>
      <c r="H242" s="248"/>
      <c r="I242" s="48"/>
      <c r="J242" s="75" t="str">
        <f t="shared" si="6"/>
        <v/>
      </c>
      <c r="K242" s="85" t="str">
        <f t="shared" si="7"/>
        <v/>
      </c>
      <c r="L242" s="47"/>
    </row>
    <row r="243" spans="2:12" s="56" customFormat="1" ht="14">
      <c r="B243" s="44"/>
      <c r="C243" s="47"/>
      <c r="D243" s="84"/>
      <c r="E243" s="84"/>
      <c r="F243" s="84"/>
      <c r="G243" s="248"/>
      <c r="H243" s="248"/>
      <c r="I243" s="48"/>
      <c r="J243" s="75" t="str">
        <f t="shared" si="6"/>
        <v/>
      </c>
      <c r="K243" s="85" t="str">
        <f t="shared" si="7"/>
        <v/>
      </c>
      <c r="L243" s="47"/>
    </row>
    <row r="244" spans="2:12" s="56" customFormat="1" ht="14">
      <c r="B244" s="44"/>
      <c r="C244" s="47"/>
      <c r="D244" s="84"/>
      <c r="E244" s="84"/>
      <c r="F244" s="84"/>
      <c r="G244" s="248"/>
      <c r="H244" s="248"/>
      <c r="I244" s="48"/>
      <c r="J244" s="75" t="str">
        <f t="shared" si="6"/>
        <v/>
      </c>
      <c r="K244" s="85" t="str">
        <f t="shared" si="7"/>
        <v/>
      </c>
      <c r="L244" s="47"/>
    </row>
    <row r="245" spans="2:12" s="56" customFormat="1" ht="14">
      <c r="B245" s="44"/>
      <c r="C245" s="47"/>
      <c r="D245" s="84"/>
      <c r="E245" s="84"/>
      <c r="F245" s="84"/>
      <c r="G245" s="248"/>
      <c r="H245" s="248"/>
      <c r="I245" s="48"/>
      <c r="J245" s="75" t="str">
        <f t="shared" si="6"/>
        <v/>
      </c>
      <c r="K245" s="85" t="str">
        <f t="shared" si="7"/>
        <v/>
      </c>
      <c r="L245" s="47"/>
    </row>
    <row r="246" spans="2:12" s="56" customFormat="1" ht="14">
      <c r="B246" s="44"/>
      <c r="C246" s="47"/>
      <c r="D246" s="84"/>
      <c r="E246" s="84"/>
      <c r="F246" s="84"/>
      <c r="G246" s="248"/>
      <c r="H246" s="248"/>
      <c r="I246" s="48"/>
      <c r="J246" s="75" t="str">
        <f t="shared" si="6"/>
        <v/>
      </c>
      <c r="K246" s="85" t="str">
        <f t="shared" si="7"/>
        <v/>
      </c>
      <c r="L246" s="47"/>
    </row>
    <row r="247" spans="2:12" s="56" customFormat="1" ht="14">
      <c r="B247" s="44"/>
      <c r="C247" s="47"/>
      <c r="D247" s="84"/>
      <c r="E247" s="84"/>
      <c r="F247" s="84"/>
      <c r="G247" s="248"/>
      <c r="H247" s="248"/>
      <c r="I247" s="48"/>
      <c r="J247" s="75" t="str">
        <f t="shared" si="6"/>
        <v/>
      </c>
      <c r="K247" s="85" t="str">
        <f t="shared" si="7"/>
        <v/>
      </c>
      <c r="L247" s="47"/>
    </row>
    <row r="248" spans="2:12" s="56" customFormat="1" ht="14">
      <c r="B248" s="44"/>
      <c r="C248" s="47"/>
      <c r="D248" s="84"/>
      <c r="E248" s="84"/>
      <c r="F248" s="84"/>
      <c r="G248" s="248"/>
      <c r="H248" s="248"/>
      <c r="I248" s="48"/>
      <c r="J248" s="75" t="str">
        <f t="shared" si="6"/>
        <v/>
      </c>
      <c r="K248" s="85" t="str">
        <f t="shared" si="7"/>
        <v/>
      </c>
      <c r="L248" s="47"/>
    </row>
    <row r="249" spans="2:12" s="56" customFormat="1" ht="14">
      <c r="B249" s="44"/>
      <c r="C249" s="47"/>
      <c r="D249" s="84"/>
      <c r="E249" s="84"/>
      <c r="F249" s="84"/>
      <c r="G249" s="248"/>
      <c r="H249" s="248"/>
      <c r="I249" s="48"/>
      <c r="J249" s="75" t="str">
        <f t="shared" si="6"/>
        <v/>
      </c>
      <c r="K249" s="85" t="str">
        <f t="shared" si="7"/>
        <v/>
      </c>
      <c r="L249" s="47"/>
    </row>
    <row r="250" spans="2:12" s="56" customFormat="1" ht="14">
      <c r="B250" s="44"/>
      <c r="C250" s="47"/>
      <c r="D250" s="84"/>
      <c r="E250" s="84"/>
      <c r="F250" s="84"/>
      <c r="G250" s="248"/>
      <c r="H250" s="248"/>
      <c r="I250" s="48"/>
      <c r="J250" s="75" t="str">
        <f t="shared" si="6"/>
        <v/>
      </c>
      <c r="K250" s="85" t="str">
        <f t="shared" si="7"/>
        <v/>
      </c>
      <c r="L250" s="47"/>
    </row>
    <row r="251" spans="2:12" s="56" customFormat="1" ht="14">
      <c r="B251" s="44"/>
      <c r="C251" s="47"/>
      <c r="D251" s="84"/>
      <c r="E251" s="84"/>
      <c r="F251" s="84"/>
      <c r="G251" s="248"/>
      <c r="H251" s="248"/>
      <c r="I251" s="48"/>
      <c r="J251" s="75" t="str">
        <f t="shared" si="6"/>
        <v/>
      </c>
      <c r="K251" s="85" t="str">
        <f t="shared" si="7"/>
        <v/>
      </c>
      <c r="L251" s="47"/>
    </row>
    <row r="252" spans="2:12" s="56" customFormat="1" ht="14">
      <c r="B252" s="44"/>
      <c r="C252" s="47"/>
      <c r="D252" s="84"/>
      <c r="E252" s="84"/>
      <c r="F252" s="84"/>
      <c r="G252" s="248"/>
      <c r="H252" s="248"/>
      <c r="I252" s="48"/>
      <c r="J252" s="75" t="str">
        <f t="shared" si="6"/>
        <v/>
      </c>
      <c r="K252" s="85" t="str">
        <f t="shared" si="7"/>
        <v/>
      </c>
      <c r="L252" s="47"/>
    </row>
    <row r="253" spans="2:12" s="56" customFormat="1" ht="14">
      <c r="B253" s="44"/>
      <c r="C253" s="47"/>
      <c r="D253" s="84"/>
      <c r="E253" s="84"/>
      <c r="F253" s="84"/>
      <c r="G253" s="248"/>
      <c r="H253" s="248"/>
      <c r="I253" s="48"/>
      <c r="J253" s="75" t="str">
        <f t="shared" si="6"/>
        <v/>
      </c>
      <c r="K253" s="85" t="str">
        <f t="shared" si="7"/>
        <v/>
      </c>
      <c r="L253" s="47"/>
    </row>
    <row r="254" spans="2:12" s="56" customFormat="1" ht="14">
      <c r="B254" s="44"/>
      <c r="C254" s="47"/>
      <c r="D254" s="84"/>
      <c r="E254" s="84"/>
      <c r="F254" s="84"/>
      <c r="G254" s="248"/>
      <c r="H254" s="248"/>
      <c r="I254" s="48"/>
      <c r="J254" s="75" t="str">
        <f t="shared" si="6"/>
        <v/>
      </c>
      <c r="K254" s="85" t="str">
        <f t="shared" si="7"/>
        <v/>
      </c>
      <c r="L254" s="47"/>
    </row>
    <row r="255" spans="2:12" s="56" customFormat="1" ht="14">
      <c r="B255" s="44"/>
      <c r="C255" s="47"/>
      <c r="D255" s="84"/>
      <c r="E255" s="84"/>
      <c r="F255" s="84"/>
      <c r="G255" s="248"/>
      <c r="H255" s="248"/>
      <c r="I255" s="48"/>
      <c r="J255" s="75" t="str">
        <f t="shared" si="6"/>
        <v/>
      </c>
      <c r="K255" s="85" t="str">
        <f t="shared" si="7"/>
        <v/>
      </c>
      <c r="L255" s="47"/>
    </row>
    <row r="256" spans="2:12" s="56" customFormat="1" ht="14">
      <c r="B256" s="44"/>
      <c r="C256" s="47"/>
      <c r="D256" s="84"/>
      <c r="E256" s="84"/>
      <c r="F256" s="84"/>
      <c r="G256" s="248"/>
      <c r="H256" s="248"/>
      <c r="I256" s="48"/>
      <c r="J256" s="75" t="str">
        <f t="shared" si="6"/>
        <v/>
      </c>
      <c r="K256" s="85" t="str">
        <f t="shared" si="7"/>
        <v/>
      </c>
      <c r="L256" s="47"/>
    </row>
    <row r="257" spans="2:12" s="56" customFormat="1" ht="14">
      <c r="B257" s="44"/>
      <c r="C257" s="47"/>
      <c r="D257" s="84"/>
      <c r="E257" s="84"/>
      <c r="F257" s="84"/>
      <c r="G257" s="248"/>
      <c r="H257" s="248"/>
      <c r="I257" s="48"/>
      <c r="J257" s="75" t="str">
        <f t="shared" si="6"/>
        <v/>
      </c>
      <c r="K257" s="85" t="str">
        <f t="shared" si="7"/>
        <v/>
      </c>
      <c r="L257" s="47"/>
    </row>
    <row r="258" spans="2:12" s="56" customFormat="1" ht="14">
      <c r="B258" s="44"/>
      <c r="C258" s="47"/>
      <c r="D258" s="84"/>
      <c r="E258" s="84"/>
      <c r="F258" s="84"/>
      <c r="G258" s="248"/>
      <c r="H258" s="248"/>
      <c r="I258" s="48"/>
      <c r="J258" s="75" t="str">
        <f t="shared" si="6"/>
        <v/>
      </c>
      <c r="K258" s="85" t="str">
        <f t="shared" si="7"/>
        <v/>
      </c>
      <c r="L258" s="47"/>
    </row>
    <row r="259" spans="2:12" s="56" customFormat="1" ht="14">
      <c r="B259" s="44"/>
      <c r="C259" s="47"/>
      <c r="D259" s="84"/>
      <c r="E259" s="84"/>
      <c r="F259" s="84"/>
      <c r="G259" s="248"/>
      <c r="H259" s="248"/>
      <c r="I259" s="48"/>
      <c r="J259" s="75" t="str">
        <f t="shared" si="6"/>
        <v/>
      </c>
      <c r="K259" s="85" t="str">
        <f t="shared" si="7"/>
        <v/>
      </c>
      <c r="L259" s="47"/>
    </row>
    <row r="260" spans="2:12" s="56" customFormat="1" ht="14">
      <c r="B260" s="44"/>
      <c r="C260" s="47"/>
      <c r="D260" s="84"/>
      <c r="E260" s="84"/>
      <c r="F260" s="84"/>
      <c r="G260" s="248"/>
      <c r="H260" s="248"/>
      <c r="I260" s="48"/>
      <c r="J260" s="75" t="str">
        <f t="shared" si="6"/>
        <v/>
      </c>
      <c r="K260" s="85" t="str">
        <f t="shared" si="7"/>
        <v/>
      </c>
      <c r="L260" s="47"/>
    </row>
    <row r="261" spans="2:12" s="56" customFormat="1" ht="14">
      <c r="B261" s="44"/>
      <c r="C261" s="47"/>
      <c r="D261" s="84"/>
      <c r="E261" s="84"/>
      <c r="F261" s="84"/>
      <c r="G261" s="248"/>
      <c r="H261" s="248"/>
      <c r="I261" s="48"/>
      <c r="J261" s="75" t="str">
        <f t="shared" si="6"/>
        <v/>
      </c>
      <c r="K261" s="85" t="str">
        <f t="shared" si="7"/>
        <v/>
      </c>
      <c r="L261" s="47"/>
    </row>
    <row r="262" spans="2:12" s="56" customFormat="1" ht="14">
      <c r="B262" s="44"/>
      <c r="C262" s="47"/>
      <c r="D262" s="84"/>
      <c r="E262" s="84"/>
      <c r="F262" s="84"/>
      <c r="G262" s="248"/>
      <c r="H262" s="248"/>
      <c r="I262" s="48"/>
      <c r="J262" s="75" t="str">
        <f t="shared" si="6"/>
        <v/>
      </c>
      <c r="K262" s="85" t="str">
        <f t="shared" si="7"/>
        <v/>
      </c>
      <c r="L262" s="47"/>
    </row>
    <row r="263" spans="2:12" s="56" customFormat="1" ht="14">
      <c r="B263" s="44"/>
      <c r="C263" s="47"/>
      <c r="D263" s="84"/>
      <c r="E263" s="84"/>
      <c r="F263" s="84"/>
      <c r="G263" s="248"/>
      <c r="H263" s="248"/>
      <c r="I263" s="48"/>
      <c r="J263" s="75" t="str">
        <f t="shared" si="6"/>
        <v/>
      </c>
      <c r="K263" s="85" t="str">
        <f t="shared" si="7"/>
        <v/>
      </c>
      <c r="L263" s="47"/>
    </row>
    <row r="264" spans="2:12" s="56" customFormat="1" ht="14">
      <c r="B264" s="44"/>
      <c r="C264" s="47"/>
      <c r="D264" s="84"/>
      <c r="E264" s="84"/>
      <c r="F264" s="84"/>
      <c r="G264" s="248"/>
      <c r="H264" s="248"/>
      <c r="I264" s="48"/>
      <c r="J264" s="75" t="str">
        <f t="shared" si="6"/>
        <v/>
      </c>
      <c r="K264" s="85" t="str">
        <f t="shared" si="7"/>
        <v/>
      </c>
      <c r="L264" s="47"/>
    </row>
    <row r="265" spans="2:12" s="56" customFormat="1" ht="14">
      <c r="B265" s="44"/>
      <c r="C265" s="47"/>
      <c r="D265" s="84"/>
      <c r="E265" s="84"/>
      <c r="F265" s="84"/>
      <c r="G265" s="248"/>
      <c r="H265" s="248"/>
      <c r="I265" s="48"/>
      <c r="J265" s="75" t="str">
        <f t="shared" si="6"/>
        <v/>
      </c>
      <c r="K265" s="85" t="str">
        <f t="shared" si="7"/>
        <v/>
      </c>
      <c r="L265" s="47"/>
    </row>
    <row r="266" spans="2:12" s="56" customFormat="1" ht="14">
      <c r="B266" s="44"/>
      <c r="C266" s="47"/>
      <c r="D266" s="84"/>
      <c r="E266" s="84"/>
      <c r="F266" s="84"/>
      <c r="G266" s="248"/>
      <c r="H266" s="248"/>
      <c r="I266" s="48"/>
      <c r="J266" s="75" t="str">
        <f t="shared" si="6"/>
        <v/>
      </c>
      <c r="K266" s="85" t="str">
        <f t="shared" si="7"/>
        <v/>
      </c>
      <c r="L266" s="47"/>
    </row>
    <row r="267" spans="2:12" s="56" customFormat="1" ht="14">
      <c r="B267" s="44"/>
      <c r="C267" s="47"/>
      <c r="D267" s="84"/>
      <c r="E267" s="84"/>
      <c r="F267" s="84"/>
      <c r="G267" s="248"/>
      <c r="H267" s="248"/>
      <c r="I267" s="48"/>
      <c r="J267" s="75" t="str">
        <f t="shared" ref="J267:J330" si="8">IF($C267&lt;&gt;"",$E267*1.5,"")</f>
        <v/>
      </c>
      <c r="K267" s="85" t="str">
        <f t="shared" ref="K267:K330" si="9">IFERROR($J267/10,"")</f>
        <v/>
      </c>
      <c r="L267" s="47"/>
    </row>
    <row r="268" spans="2:12" s="56" customFormat="1" ht="14">
      <c r="B268" s="44"/>
      <c r="C268" s="47"/>
      <c r="D268" s="84"/>
      <c r="E268" s="84"/>
      <c r="F268" s="84"/>
      <c r="G268" s="248"/>
      <c r="H268" s="248"/>
      <c r="I268" s="48"/>
      <c r="J268" s="75" t="str">
        <f t="shared" si="8"/>
        <v/>
      </c>
      <c r="K268" s="85" t="str">
        <f t="shared" si="9"/>
        <v/>
      </c>
      <c r="L268" s="47"/>
    </row>
    <row r="269" spans="2:12" s="56" customFormat="1" ht="14">
      <c r="B269" s="44"/>
      <c r="C269" s="47"/>
      <c r="D269" s="84"/>
      <c r="E269" s="84"/>
      <c r="F269" s="84"/>
      <c r="G269" s="248"/>
      <c r="H269" s="248"/>
      <c r="I269" s="48"/>
      <c r="J269" s="75" t="str">
        <f t="shared" si="8"/>
        <v/>
      </c>
      <c r="K269" s="85" t="str">
        <f t="shared" si="9"/>
        <v/>
      </c>
      <c r="L269" s="47"/>
    </row>
    <row r="270" spans="2:12" s="56" customFormat="1" ht="14">
      <c r="B270" s="44"/>
      <c r="C270" s="47"/>
      <c r="D270" s="84"/>
      <c r="E270" s="84"/>
      <c r="F270" s="84"/>
      <c r="G270" s="248"/>
      <c r="H270" s="248"/>
      <c r="I270" s="48"/>
      <c r="J270" s="75" t="str">
        <f t="shared" si="8"/>
        <v/>
      </c>
      <c r="K270" s="85" t="str">
        <f t="shared" si="9"/>
        <v/>
      </c>
      <c r="L270" s="47"/>
    </row>
    <row r="271" spans="2:12" s="56" customFormat="1" ht="14">
      <c r="B271" s="44"/>
      <c r="C271" s="47"/>
      <c r="D271" s="84"/>
      <c r="E271" s="84"/>
      <c r="F271" s="84"/>
      <c r="G271" s="248"/>
      <c r="H271" s="248"/>
      <c r="I271" s="48"/>
      <c r="J271" s="75" t="str">
        <f t="shared" si="8"/>
        <v/>
      </c>
      <c r="K271" s="85" t="str">
        <f t="shared" si="9"/>
        <v/>
      </c>
      <c r="L271" s="47"/>
    </row>
    <row r="272" spans="2:12" s="56" customFormat="1" ht="14">
      <c r="B272" s="44"/>
      <c r="C272" s="47"/>
      <c r="D272" s="84"/>
      <c r="E272" s="84"/>
      <c r="F272" s="84"/>
      <c r="G272" s="248"/>
      <c r="H272" s="248"/>
      <c r="I272" s="48"/>
      <c r="J272" s="75" t="str">
        <f t="shared" si="8"/>
        <v/>
      </c>
      <c r="K272" s="85" t="str">
        <f t="shared" si="9"/>
        <v/>
      </c>
      <c r="L272" s="47"/>
    </row>
    <row r="273" spans="2:12" s="56" customFormat="1" ht="14">
      <c r="B273" s="44"/>
      <c r="C273" s="47"/>
      <c r="D273" s="84"/>
      <c r="E273" s="84"/>
      <c r="F273" s="84"/>
      <c r="G273" s="248"/>
      <c r="H273" s="248"/>
      <c r="I273" s="48"/>
      <c r="J273" s="75" t="str">
        <f t="shared" si="8"/>
        <v/>
      </c>
      <c r="K273" s="85" t="str">
        <f t="shared" si="9"/>
        <v/>
      </c>
      <c r="L273" s="47"/>
    </row>
    <row r="274" spans="2:12" s="56" customFormat="1" ht="14">
      <c r="B274" s="44"/>
      <c r="C274" s="47"/>
      <c r="D274" s="84"/>
      <c r="E274" s="84"/>
      <c r="F274" s="84"/>
      <c r="G274" s="248"/>
      <c r="H274" s="248"/>
      <c r="I274" s="48"/>
      <c r="J274" s="75" t="str">
        <f t="shared" si="8"/>
        <v/>
      </c>
      <c r="K274" s="85" t="str">
        <f t="shared" si="9"/>
        <v/>
      </c>
      <c r="L274" s="47"/>
    </row>
    <row r="275" spans="2:12" s="56" customFormat="1" ht="14">
      <c r="B275" s="44"/>
      <c r="C275" s="47"/>
      <c r="D275" s="84"/>
      <c r="E275" s="84"/>
      <c r="F275" s="84"/>
      <c r="G275" s="248"/>
      <c r="H275" s="248"/>
      <c r="I275" s="48"/>
      <c r="J275" s="75" t="str">
        <f t="shared" si="8"/>
        <v/>
      </c>
      <c r="K275" s="85" t="str">
        <f t="shared" si="9"/>
        <v/>
      </c>
      <c r="L275" s="47"/>
    </row>
    <row r="276" spans="2:12" s="56" customFormat="1" ht="14">
      <c r="B276" s="44"/>
      <c r="C276" s="47"/>
      <c r="D276" s="84"/>
      <c r="E276" s="84"/>
      <c r="F276" s="84"/>
      <c r="G276" s="248"/>
      <c r="H276" s="248"/>
      <c r="I276" s="48"/>
      <c r="J276" s="75" t="str">
        <f t="shared" si="8"/>
        <v/>
      </c>
      <c r="K276" s="85" t="str">
        <f t="shared" si="9"/>
        <v/>
      </c>
      <c r="L276" s="47"/>
    </row>
    <row r="277" spans="2:12" s="56" customFormat="1" ht="14">
      <c r="B277" s="44"/>
      <c r="C277" s="47"/>
      <c r="D277" s="84"/>
      <c r="E277" s="84"/>
      <c r="F277" s="84"/>
      <c r="G277" s="248"/>
      <c r="H277" s="248"/>
      <c r="I277" s="48"/>
      <c r="J277" s="75" t="str">
        <f t="shared" si="8"/>
        <v/>
      </c>
      <c r="K277" s="85" t="str">
        <f t="shared" si="9"/>
        <v/>
      </c>
      <c r="L277" s="47"/>
    </row>
    <row r="278" spans="2:12" s="56" customFormat="1" ht="14">
      <c r="B278" s="44"/>
      <c r="C278" s="47"/>
      <c r="D278" s="84"/>
      <c r="E278" s="84"/>
      <c r="F278" s="84"/>
      <c r="G278" s="248"/>
      <c r="H278" s="248"/>
      <c r="I278" s="48"/>
      <c r="J278" s="75" t="str">
        <f t="shared" si="8"/>
        <v/>
      </c>
      <c r="K278" s="85" t="str">
        <f t="shared" si="9"/>
        <v/>
      </c>
      <c r="L278" s="47"/>
    </row>
    <row r="279" spans="2:12" s="56" customFormat="1" ht="14">
      <c r="B279" s="44"/>
      <c r="C279" s="47"/>
      <c r="D279" s="84"/>
      <c r="E279" s="84"/>
      <c r="F279" s="84"/>
      <c r="G279" s="248"/>
      <c r="H279" s="248"/>
      <c r="I279" s="48"/>
      <c r="J279" s="75" t="str">
        <f t="shared" si="8"/>
        <v/>
      </c>
      <c r="K279" s="85" t="str">
        <f t="shared" si="9"/>
        <v/>
      </c>
      <c r="L279" s="47"/>
    </row>
    <row r="280" spans="2:12" s="56" customFormat="1" ht="14">
      <c r="B280" s="44"/>
      <c r="C280" s="47"/>
      <c r="D280" s="84"/>
      <c r="E280" s="84"/>
      <c r="F280" s="84"/>
      <c r="G280" s="248"/>
      <c r="H280" s="248"/>
      <c r="I280" s="48"/>
      <c r="J280" s="75" t="str">
        <f t="shared" si="8"/>
        <v/>
      </c>
      <c r="K280" s="85" t="str">
        <f t="shared" si="9"/>
        <v/>
      </c>
      <c r="L280" s="47"/>
    </row>
    <row r="281" spans="2:12" s="56" customFormat="1" ht="14">
      <c r="B281" s="44"/>
      <c r="C281" s="47"/>
      <c r="D281" s="84"/>
      <c r="E281" s="84"/>
      <c r="F281" s="84"/>
      <c r="G281" s="248"/>
      <c r="H281" s="248"/>
      <c r="I281" s="48"/>
      <c r="J281" s="75" t="str">
        <f t="shared" si="8"/>
        <v/>
      </c>
      <c r="K281" s="85" t="str">
        <f t="shared" si="9"/>
        <v/>
      </c>
      <c r="L281" s="47"/>
    </row>
    <row r="282" spans="2:12" s="56" customFormat="1" ht="14">
      <c r="B282" s="44"/>
      <c r="C282" s="47"/>
      <c r="D282" s="84"/>
      <c r="E282" s="84"/>
      <c r="F282" s="84"/>
      <c r="G282" s="248"/>
      <c r="H282" s="248"/>
      <c r="I282" s="48"/>
      <c r="J282" s="75" t="str">
        <f t="shared" si="8"/>
        <v/>
      </c>
      <c r="K282" s="85" t="str">
        <f t="shared" si="9"/>
        <v/>
      </c>
      <c r="L282" s="47"/>
    </row>
    <row r="283" spans="2:12" s="56" customFormat="1" ht="14">
      <c r="B283" s="44"/>
      <c r="C283" s="47"/>
      <c r="D283" s="84"/>
      <c r="E283" s="84"/>
      <c r="F283" s="84"/>
      <c r="G283" s="248"/>
      <c r="H283" s="248"/>
      <c r="I283" s="48"/>
      <c r="J283" s="75" t="str">
        <f t="shared" si="8"/>
        <v/>
      </c>
      <c r="K283" s="85" t="str">
        <f t="shared" si="9"/>
        <v/>
      </c>
      <c r="L283" s="47"/>
    </row>
    <row r="284" spans="2:12" s="56" customFormat="1" ht="14">
      <c r="B284" s="44"/>
      <c r="C284" s="47"/>
      <c r="D284" s="84"/>
      <c r="E284" s="84"/>
      <c r="F284" s="84"/>
      <c r="G284" s="248"/>
      <c r="H284" s="248"/>
      <c r="I284" s="48"/>
      <c r="J284" s="75" t="str">
        <f t="shared" si="8"/>
        <v/>
      </c>
      <c r="K284" s="85" t="str">
        <f t="shared" si="9"/>
        <v/>
      </c>
      <c r="L284" s="47"/>
    </row>
    <row r="285" spans="2:12" s="56" customFormat="1" ht="14">
      <c r="B285" s="44"/>
      <c r="C285" s="47"/>
      <c r="D285" s="84"/>
      <c r="E285" s="84"/>
      <c r="F285" s="84"/>
      <c r="G285" s="248"/>
      <c r="H285" s="248"/>
      <c r="I285" s="48"/>
      <c r="J285" s="75" t="str">
        <f t="shared" si="8"/>
        <v/>
      </c>
      <c r="K285" s="85" t="str">
        <f t="shared" si="9"/>
        <v/>
      </c>
      <c r="L285" s="47"/>
    </row>
    <row r="286" spans="2:12" s="56" customFormat="1" ht="14">
      <c r="B286" s="44"/>
      <c r="C286" s="47"/>
      <c r="D286" s="84"/>
      <c r="E286" s="84"/>
      <c r="F286" s="84"/>
      <c r="G286" s="248"/>
      <c r="H286" s="248"/>
      <c r="I286" s="48"/>
      <c r="J286" s="75" t="str">
        <f t="shared" si="8"/>
        <v/>
      </c>
      <c r="K286" s="85" t="str">
        <f t="shared" si="9"/>
        <v/>
      </c>
      <c r="L286" s="47"/>
    </row>
    <row r="287" spans="2:12" s="56" customFormat="1" ht="14">
      <c r="B287" s="44"/>
      <c r="C287" s="47"/>
      <c r="D287" s="84"/>
      <c r="E287" s="84"/>
      <c r="F287" s="84"/>
      <c r="G287" s="248"/>
      <c r="H287" s="248"/>
      <c r="I287" s="48"/>
      <c r="J287" s="75" t="str">
        <f t="shared" si="8"/>
        <v/>
      </c>
      <c r="K287" s="85" t="str">
        <f t="shared" si="9"/>
        <v/>
      </c>
      <c r="L287" s="47"/>
    </row>
    <row r="288" spans="2:12" s="56" customFormat="1" ht="14">
      <c r="B288" s="44"/>
      <c r="C288" s="47"/>
      <c r="D288" s="84"/>
      <c r="E288" s="84"/>
      <c r="F288" s="84"/>
      <c r="G288" s="248"/>
      <c r="H288" s="248"/>
      <c r="I288" s="48"/>
      <c r="J288" s="75" t="str">
        <f t="shared" si="8"/>
        <v/>
      </c>
      <c r="K288" s="85" t="str">
        <f t="shared" si="9"/>
        <v/>
      </c>
      <c r="L288" s="47"/>
    </row>
    <row r="289" spans="2:12" s="56" customFormat="1" ht="14">
      <c r="B289" s="44"/>
      <c r="C289" s="47"/>
      <c r="D289" s="84"/>
      <c r="E289" s="84"/>
      <c r="F289" s="84"/>
      <c r="G289" s="248"/>
      <c r="H289" s="248"/>
      <c r="I289" s="48"/>
      <c r="J289" s="75" t="str">
        <f t="shared" si="8"/>
        <v/>
      </c>
      <c r="K289" s="85" t="str">
        <f t="shared" si="9"/>
        <v/>
      </c>
      <c r="L289" s="47"/>
    </row>
    <row r="290" spans="2:12" s="56" customFormat="1" ht="14">
      <c r="B290" s="44"/>
      <c r="C290" s="47"/>
      <c r="D290" s="84"/>
      <c r="E290" s="84"/>
      <c r="F290" s="84"/>
      <c r="G290" s="248"/>
      <c r="H290" s="248"/>
      <c r="I290" s="48"/>
      <c r="J290" s="75" t="str">
        <f t="shared" si="8"/>
        <v/>
      </c>
      <c r="K290" s="85" t="str">
        <f t="shared" si="9"/>
        <v/>
      </c>
      <c r="L290" s="47"/>
    </row>
    <row r="291" spans="2:12" s="56" customFormat="1" ht="14">
      <c r="B291" s="44"/>
      <c r="C291" s="47"/>
      <c r="D291" s="84"/>
      <c r="E291" s="84"/>
      <c r="F291" s="84"/>
      <c r="G291" s="248"/>
      <c r="H291" s="248"/>
      <c r="I291" s="48"/>
      <c r="J291" s="75" t="str">
        <f t="shared" si="8"/>
        <v/>
      </c>
      <c r="K291" s="85" t="str">
        <f t="shared" si="9"/>
        <v/>
      </c>
      <c r="L291" s="47"/>
    </row>
    <row r="292" spans="2:12" s="56" customFormat="1" ht="14">
      <c r="B292" s="44"/>
      <c r="C292" s="47"/>
      <c r="D292" s="84"/>
      <c r="E292" s="84"/>
      <c r="F292" s="84"/>
      <c r="G292" s="248"/>
      <c r="H292" s="248"/>
      <c r="I292" s="48"/>
      <c r="J292" s="75" t="str">
        <f t="shared" si="8"/>
        <v/>
      </c>
      <c r="K292" s="85" t="str">
        <f t="shared" si="9"/>
        <v/>
      </c>
      <c r="L292" s="47"/>
    </row>
    <row r="293" spans="2:12" s="56" customFormat="1" ht="14">
      <c r="B293" s="44"/>
      <c r="C293" s="47"/>
      <c r="D293" s="84"/>
      <c r="E293" s="84"/>
      <c r="F293" s="84"/>
      <c r="G293" s="248"/>
      <c r="H293" s="248"/>
      <c r="I293" s="48"/>
      <c r="J293" s="75" t="str">
        <f t="shared" si="8"/>
        <v/>
      </c>
      <c r="K293" s="85" t="str">
        <f t="shared" si="9"/>
        <v/>
      </c>
      <c r="L293" s="47"/>
    </row>
    <row r="294" spans="2:12" s="56" customFormat="1" ht="14">
      <c r="B294" s="44"/>
      <c r="C294" s="47"/>
      <c r="D294" s="84"/>
      <c r="E294" s="84"/>
      <c r="F294" s="84"/>
      <c r="G294" s="248"/>
      <c r="H294" s="248"/>
      <c r="I294" s="48"/>
      <c r="J294" s="75" t="str">
        <f t="shared" si="8"/>
        <v/>
      </c>
      <c r="K294" s="85" t="str">
        <f t="shared" si="9"/>
        <v/>
      </c>
      <c r="L294" s="47"/>
    </row>
    <row r="295" spans="2:12" s="56" customFormat="1" ht="14">
      <c r="B295" s="44"/>
      <c r="C295" s="47"/>
      <c r="D295" s="84"/>
      <c r="E295" s="84"/>
      <c r="F295" s="84"/>
      <c r="G295" s="248"/>
      <c r="H295" s="248"/>
      <c r="I295" s="48"/>
      <c r="J295" s="75" t="str">
        <f t="shared" si="8"/>
        <v/>
      </c>
      <c r="K295" s="85" t="str">
        <f t="shared" si="9"/>
        <v/>
      </c>
      <c r="L295" s="47"/>
    </row>
    <row r="296" spans="2:12" s="56" customFormat="1" ht="14">
      <c r="B296" s="44"/>
      <c r="C296" s="47"/>
      <c r="D296" s="84"/>
      <c r="E296" s="84"/>
      <c r="F296" s="84"/>
      <c r="G296" s="248"/>
      <c r="H296" s="248"/>
      <c r="I296" s="48"/>
      <c r="J296" s="75" t="str">
        <f t="shared" si="8"/>
        <v/>
      </c>
      <c r="K296" s="85" t="str">
        <f t="shared" si="9"/>
        <v/>
      </c>
      <c r="L296" s="47"/>
    </row>
    <row r="297" spans="2:12" s="56" customFormat="1" ht="14">
      <c r="B297" s="44"/>
      <c r="C297" s="47"/>
      <c r="D297" s="84"/>
      <c r="E297" s="84"/>
      <c r="F297" s="84"/>
      <c r="G297" s="248"/>
      <c r="H297" s="248"/>
      <c r="I297" s="48"/>
      <c r="J297" s="75" t="str">
        <f t="shared" si="8"/>
        <v/>
      </c>
      <c r="K297" s="85" t="str">
        <f t="shared" si="9"/>
        <v/>
      </c>
      <c r="L297" s="47"/>
    </row>
    <row r="298" spans="2:12" s="56" customFormat="1" ht="14">
      <c r="B298" s="44"/>
      <c r="C298" s="47"/>
      <c r="D298" s="84"/>
      <c r="E298" s="84"/>
      <c r="F298" s="84"/>
      <c r="G298" s="248"/>
      <c r="H298" s="248"/>
      <c r="I298" s="48"/>
      <c r="J298" s="75" t="str">
        <f t="shared" si="8"/>
        <v/>
      </c>
      <c r="K298" s="85" t="str">
        <f t="shared" si="9"/>
        <v/>
      </c>
      <c r="L298" s="47"/>
    </row>
    <row r="299" spans="2:12" s="56" customFormat="1" ht="14">
      <c r="B299" s="44"/>
      <c r="C299" s="47"/>
      <c r="D299" s="84"/>
      <c r="E299" s="84"/>
      <c r="F299" s="84"/>
      <c r="G299" s="248"/>
      <c r="H299" s="248"/>
      <c r="I299" s="48"/>
      <c r="J299" s="75" t="str">
        <f t="shared" si="8"/>
        <v/>
      </c>
      <c r="K299" s="85" t="str">
        <f t="shared" si="9"/>
        <v/>
      </c>
      <c r="L299" s="47"/>
    </row>
    <row r="300" spans="2:12" s="56" customFormat="1" ht="14">
      <c r="B300" s="44"/>
      <c r="C300" s="47"/>
      <c r="D300" s="84"/>
      <c r="E300" s="84"/>
      <c r="F300" s="84"/>
      <c r="G300" s="248"/>
      <c r="H300" s="248"/>
      <c r="I300" s="48"/>
      <c r="J300" s="75" t="str">
        <f t="shared" si="8"/>
        <v/>
      </c>
      <c r="K300" s="85" t="str">
        <f t="shared" si="9"/>
        <v/>
      </c>
      <c r="L300" s="47"/>
    </row>
    <row r="301" spans="2:12" s="56" customFormat="1" ht="14">
      <c r="B301" s="44"/>
      <c r="C301" s="47"/>
      <c r="D301" s="84"/>
      <c r="E301" s="84"/>
      <c r="F301" s="84"/>
      <c r="G301" s="248"/>
      <c r="H301" s="248"/>
      <c r="I301" s="48"/>
      <c r="J301" s="75" t="str">
        <f t="shared" si="8"/>
        <v/>
      </c>
      <c r="K301" s="85" t="str">
        <f t="shared" si="9"/>
        <v/>
      </c>
      <c r="L301" s="47"/>
    </row>
    <row r="302" spans="2:12" s="56" customFormat="1" ht="14">
      <c r="B302" s="44"/>
      <c r="C302" s="47"/>
      <c r="D302" s="84"/>
      <c r="E302" s="84"/>
      <c r="F302" s="84"/>
      <c r="G302" s="248"/>
      <c r="H302" s="248"/>
      <c r="I302" s="48"/>
      <c r="J302" s="75" t="str">
        <f t="shared" si="8"/>
        <v/>
      </c>
      <c r="K302" s="85" t="str">
        <f t="shared" si="9"/>
        <v/>
      </c>
      <c r="L302" s="47"/>
    </row>
    <row r="303" spans="2:12" s="56" customFormat="1" ht="14">
      <c r="B303" s="44"/>
      <c r="C303" s="47"/>
      <c r="D303" s="84"/>
      <c r="E303" s="84"/>
      <c r="F303" s="84"/>
      <c r="G303" s="248"/>
      <c r="H303" s="248"/>
      <c r="I303" s="48"/>
      <c r="J303" s="75" t="str">
        <f t="shared" si="8"/>
        <v/>
      </c>
      <c r="K303" s="85" t="str">
        <f t="shared" si="9"/>
        <v/>
      </c>
      <c r="L303" s="47"/>
    </row>
    <row r="304" spans="2:12" s="56" customFormat="1" ht="14">
      <c r="B304" s="44"/>
      <c r="C304" s="47"/>
      <c r="D304" s="84"/>
      <c r="E304" s="84"/>
      <c r="F304" s="84"/>
      <c r="G304" s="248"/>
      <c r="H304" s="248"/>
      <c r="I304" s="48"/>
      <c r="J304" s="75" t="str">
        <f t="shared" si="8"/>
        <v/>
      </c>
      <c r="K304" s="85" t="str">
        <f t="shared" si="9"/>
        <v/>
      </c>
      <c r="L304" s="47"/>
    </row>
    <row r="305" spans="2:12" s="56" customFormat="1" ht="14">
      <c r="B305" s="44"/>
      <c r="C305" s="47"/>
      <c r="D305" s="84"/>
      <c r="E305" s="84"/>
      <c r="F305" s="84"/>
      <c r="G305" s="248"/>
      <c r="H305" s="248"/>
      <c r="I305" s="48"/>
      <c r="J305" s="75" t="str">
        <f t="shared" si="8"/>
        <v/>
      </c>
      <c r="K305" s="85" t="str">
        <f t="shared" si="9"/>
        <v/>
      </c>
      <c r="L305" s="47"/>
    </row>
    <row r="306" spans="2:12" s="56" customFormat="1" ht="14.15" customHeight="1">
      <c r="B306" s="44"/>
      <c r="C306" s="47"/>
      <c r="D306" s="84"/>
      <c r="E306" s="84"/>
      <c r="F306" s="84"/>
      <c r="G306" s="248" t="s">
        <v>89</v>
      </c>
      <c r="H306" s="248"/>
      <c r="I306" s="48"/>
      <c r="J306" s="75" t="str">
        <f t="shared" si="8"/>
        <v/>
      </c>
      <c r="K306" s="85" t="str">
        <f t="shared" si="9"/>
        <v/>
      </c>
      <c r="L306" s="47"/>
    </row>
    <row r="307" spans="2:12" s="56" customFormat="1" ht="14">
      <c r="B307" s="44"/>
      <c r="C307" s="47"/>
      <c r="D307" s="84"/>
      <c r="E307" s="84"/>
      <c r="F307" s="84"/>
      <c r="G307" s="248"/>
      <c r="H307" s="248"/>
      <c r="I307" s="48"/>
      <c r="J307" s="75" t="str">
        <f t="shared" si="8"/>
        <v/>
      </c>
      <c r="K307" s="85" t="str">
        <f t="shared" si="9"/>
        <v/>
      </c>
      <c r="L307" s="47"/>
    </row>
    <row r="308" spans="2:12" s="56" customFormat="1" ht="14">
      <c r="B308" s="44"/>
      <c r="C308" s="47"/>
      <c r="D308" s="84"/>
      <c r="E308" s="84"/>
      <c r="F308" s="84"/>
      <c r="G308" s="248"/>
      <c r="H308" s="248"/>
      <c r="I308" s="48"/>
      <c r="J308" s="75" t="str">
        <f t="shared" si="8"/>
        <v/>
      </c>
      <c r="K308" s="85" t="str">
        <f t="shared" si="9"/>
        <v/>
      </c>
      <c r="L308" s="47"/>
    </row>
    <row r="309" spans="2:12" s="56" customFormat="1" ht="14">
      <c r="B309" s="44"/>
      <c r="C309" s="47"/>
      <c r="D309" s="84"/>
      <c r="E309" s="84"/>
      <c r="F309" s="84"/>
      <c r="G309" s="248"/>
      <c r="H309" s="248"/>
      <c r="I309" s="48"/>
      <c r="J309" s="75" t="str">
        <f t="shared" si="8"/>
        <v/>
      </c>
      <c r="K309" s="85" t="str">
        <f t="shared" si="9"/>
        <v/>
      </c>
      <c r="L309" s="47"/>
    </row>
    <row r="310" spans="2:12" s="56" customFormat="1" ht="14">
      <c r="B310" s="44"/>
      <c r="C310" s="47"/>
      <c r="D310" s="84"/>
      <c r="E310" s="84"/>
      <c r="F310" s="84"/>
      <c r="G310" s="248"/>
      <c r="H310" s="248"/>
      <c r="I310" s="48"/>
      <c r="J310" s="75" t="str">
        <f t="shared" si="8"/>
        <v/>
      </c>
      <c r="K310" s="85" t="str">
        <f t="shared" si="9"/>
        <v/>
      </c>
      <c r="L310" s="47"/>
    </row>
    <row r="311" spans="2:12" s="56" customFormat="1" ht="14">
      <c r="B311" s="44"/>
      <c r="C311" s="47"/>
      <c r="D311" s="84"/>
      <c r="E311" s="84"/>
      <c r="F311" s="84"/>
      <c r="G311" s="248"/>
      <c r="H311" s="248"/>
      <c r="I311" s="48"/>
      <c r="J311" s="75" t="str">
        <f t="shared" si="8"/>
        <v/>
      </c>
      <c r="K311" s="85" t="str">
        <f t="shared" si="9"/>
        <v/>
      </c>
      <c r="L311" s="47"/>
    </row>
    <row r="312" spans="2:12" s="56" customFormat="1" ht="14">
      <c r="B312" s="44"/>
      <c r="C312" s="47"/>
      <c r="D312" s="84"/>
      <c r="E312" s="84"/>
      <c r="F312" s="84"/>
      <c r="G312" s="248"/>
      <c r="H312" s="248"/>
      <c r="I312" s="48"/>
      <c r="J312" s="75" t="str">
        <f t="shared" si="8"/>
        <v/>
      </c>
      <c r="K312" s="85" t="str">
        <f t="shared" si="9"/>
        <v/>
      </c>
      <c r="L312" s="47"/>
    </row>
    <row r="313" spans="2:12" s="56" customFormat="1" ht="14">
      <c r="B313" s="44"/>
      <c r="C313" s="47"/>
      <c r="D313" s="84"/>
      <c r="E313" s="84"/>
      <c r="F313" s="84"/>
      <c r="G313" s="248"/>
      <c r="H313" s="248"/>
      <c r="I313" s="48"/>
      <c r="J313" s="75" t="str">
        <f t="shared" si="8"/>
        <v/>
      </c>
      <c r="K313" s="85" t="str">
        <f t="shared" si="9"/>
        <v/>
      </c>
      <c r="L313" s="47"/>
    </row>
    <row r="314" spans="2:12" s="56" customFormat="1" ht="14">
      <c r="B314" s="44"/>
      <c r="C314" s="47"/>
      <c r="D314" s="84"/>
      <c r="E314" s="84"/>
      <c r="F314" s="84"/>
      <c r="G314" s="248"/>
      <c r="H314" s="248"/>
      <c r="I314" s="48"/>
      <c r="J314" s="75" t="str">
        <f t="shared" si="8"/>
        <v/>
      </c>
      <c r="K314" s="85" t="str">
        <f t="shared" si="9"/>
        <v/>
      </c>
      <c r="L314" s="47"/>
    </row>
    <row r="315" spans="2:12" s="56" customFormat="1" ht="14">
      <c r="B315" s="44"/>
      <c r="C315" s="47"/>
      <c r="D315" s="84"/>
      <c r="E315" s="84"/>
      <c r="F315" s="84"/>
      <c r="G315" s="248"/>
      <c r="H315" s="248"/>
      <c r="I315" s="48"/>
      <c r="J315" s="75" t="str">
        <f t="shared" si="8"/>
        <v/>
      </c>
      <c r="K315" s="85" t="str">
        <f t="shared" si="9"/>
        <v/>
      </c>
      <c r="L315" s="47"/>
    </row>
    <row r="316" spans="2:12" s="56" customFormat="1" ht="14">
      <c r="B316" s="44"/>
      <c r="C316" s="47"/>
      <c r="D316" s="84"/>
      <c r="E316" s="84"/>
      <c r="F316" s="84"/>
      <c r="G316" s="248"/>
      <c r="H316" s="248"/>
      <c r="I316" s="48"/>
      <c r="J316" s="75" t="str">
        <f t="shared" si="8"/>
        <v/>
      </c>
      <c r="K316" s="85" t="str">
        <f t="shared" si="9"/>
        <v/>
      </c>
      <c r="L316" s="47"/>
    </row>
    <row r="317" spans="2:12" s="56" customFormat="1" ht="14">
      <c r="B317" s="44"/>
      <c r="C317" s="47"/>
      <c r="D317" s="84"/>
      <c r="E317" s="84"/>
      <c r="F317" s="84"/>
      <c r="G317" s="248"/>
      <c r="H317" s="248"/>
      <c r="I317" s="48"/>
      <c r="J317" s="75" t="str">
        <f t="shared" si="8"/>
        <v/>
      </c>
      <c r="K317" s="85" t="str">
        <f t="shared" si="9"/>
        <v/>
      </c>
      <c r="L317" s="47"/>
    </row>
    <row r="318" spans="2:12" s="56" customFormat="1" ht="14">
      <c r="B318" s="44"/>
      <c r="C318" s="47"/>
      <c r="D318" s="84"/>
      <c r="E318" s="84"/>
      <c r="F318" s="84"/>
      <c r="G318" s="248"/>
      <c r="H318" s="248"/>
      <c r="I318" s="48"/>
      <c r="J318" s="75" t="str">
        <f t="shared" si="8"/>
        <v/>
      </c>
      <c r="K318" s="85" t="str">
        <f t="shared" si="9"/>
        <v/>
      </c>
      <c r="L318" s="47"/>
    </row>
    <row r="319" spans="2:12" s="56" customFormat="1" ht="14">
      <c r="B319" s="44"/>
      <c r="C319" s="47"/>
      <c r="D319" s="84"/>
      <c r="E319" s="84"/>
      <c r="F319" s="84"/>
      <c r="G319" s="248"/>
      <c r="H319" s="248"/>
      <c r="I319" s="48"/>
      <c r="J319" s="75" t="str">
        <f t="shared" si="8"/>
        <v/>
      </c>
      <c r="K319" s="85" t="str">
        <f t="shared" si="9"/>
        <v/>
      </c>
      <c r="L319" s="47"/>
    </row>
    <row r="320" spans="2:12" s="56" customFormat="1" ht="14">
      <c r="B320" s="44"/>
      <c r="C320" s="47"/>
      <c r="D320" s="84"/>
      <c r="E320" s="84"/>
      <c r="F320" s="84"/>
      <c r="G320" s="248"/>
      <c r="H320" s="248"/>
      <c r="I320" s="48"/>
      <c r="J320" s="75" t="str">
        <f t="shared" si="8"/>
        <v/>
      </c>
      <c r="K320" s="85" t="str">
        <f t="shared" si="9"/>
        <v/>
      </c>
      <c r="L320" s="47"/>
    </row>
    <row r="321" spans="2:12" s="56" customFormat="1" ht="14">
      <c r="B321" s="44"/>
      <c r="C321" s="47"/>
      <c r="D321" s="84"/>
      <c r="E321" s="84"/>
      <c r="F321" s="84"/>
      <c r="G321" s="248"/>
      <c r="H321" s="248"/>
      <c r="I321" s="48"/>
      <c r="J321" s="75" t="str">
        <f t="shared" si="8"/>
        <v/>
      </c>
      <c r="K321" s="85" t="str">
        <f t="shared" si="9"/>
        <v/>
      </c>
      <c r="L321" s="47"/>
    </row>
    <row r="322" spans="2:12" s="56" customFormat="1" ht="14">
      <c r="B322" s="44"/>
      <c r="C322" s="47"/>
      <c r="D322" s="84"/>
      <c r="E322" s="84"/>
      <c r="F322" s="84"/>
      <c r="G322" s="248"/>
      <c r="H322" s="248"/>
      <c r="I322" s="48"/>
      <c r="J322" s="75" t="str">
        <f t="shared" si="8"/>
        <v/>
      </c>
      <c r="K322" s="85" t="str">
        <f t="shared" si="9"/>
        <v/>
      </c>
      <c r="L322" s="47"/>
    </row>
    <row r="323" spans="2:12" s="56" customFormat="1" ht="14">
      <c r="B323" s="44"/>
      <c r="C323" s="47"/>
      <c r="D323" s="84"/>
      <c r="E323" s="84"/>
      <c r="F323" s="84"/>
      <c r="G323" s="248"/>
      <c r="H323" s="248"/>
      <c r="I323" s="86"/>
      <c r="J323" s="75" t="str">
        <f t="shared" si="8"/>
        <v/>
      </c>
      <c r="K323" s="85" t="str">
        <f t="shared" si="9"/>
        <v/>
      </c>
      <c r="L323" s="47"/>
    </row>
    <row r="324" spans="2:12" s="56" customFormat="1" ht="14">
      <c r="B324" s="44"/>
      <c r="C324" s="47"/>
      <c r="D324" s="84"/>
      <c r="E324" s="84"/>
      <c r="F324" s="84"/>
      <c r="G324" s="248"/>
      <c r="H324" s="248"/>
      <c r="I324" s="86"/>
      <c r="J324" s="75" t="str">
        <f t="shared" si="8"/>
        <v/>
      </c>
      <c r="K324" s="85" t="str">
        <f t="shared" si="9"/>
        <v/>
      </c>
      <c r="L324" s="47"/>
    </row>
    <row r="325" spans="2:12" s="56" customFormat="1" ht="14">
      <c r="B325" s="44"/>
      <c r="C325" s="47"/>
      <c r="D325" s="84"/>
      <c r="E325" s="84"/>
      <c r="F325" s="84"/>
      <c r="G325" s="248"/>
      <c r="H325" s="248"/>
      <c r="I325" s="48"/>
      <c r="J325" s="75" t="str">
        <f t="shared" si="8"/>
        <v/>
      </c>
      <c r="K325" s="85" t="str">
        <f t="shared" si="9"/>
        <v/>
      </c>
      <c r="L325" s="47"/>
    </row>
    <row r="326" spans="2:12" s="56" customFormat="1" ht="14">
      <c r="B326" s="44"/>
      <c r="C326" s="47"/>
      <c r="D326" s="84"/>
      <c r="E326" s="84"/>
      <c r="F326" s="84"/>
      <c r="G326" s="248"/>
      <c r="H326" s="248"/>
      <c r="I326" s="48"/>
      <c r="J326" s="75" t="str">
        <f t="shared" si="8"/>
        <v/>
      </c>
      <c r="K326" s="85" t="str">
        <f t="shared" si="9"/>
        <v/>
      </c>
      <c r="L326" s="47"/>
    </row>
    <row r="327" spans="2:12" s="56" customFormat="1" ht="14">
      <c r="B327" s="44"/>
      <c r="C327" s="47"/>
      <c r="D327" s="84"/>
      <c r="E327" s="84"/>
      <c r="F327" s="84"/>
      <c r="G327" s="248"/>
      <c r="H327" s="248"/>
      <c r="I327" s="48"/>
      <c r="J327" s="75" t="str">
        <f t="shared" si="8"/>
        <v/>
      </c>
      <c r="K327" s="85" t="str">
        <f t="shared" si="9"/>
        <v/>
      </c>
      <c r="L327" s="47"/>
    </row>
    <row r="328" spans="2:12" s="56" customFormat="1" ht="14">
      <c r="B328" s="44"/>
      <c r="C328" s="47"/>
      <c r="D328" s="84"/>
      <c r="E328" s="84"/>
      <c r="F328" s="84"/>
      <c r="G328" s="248"/>
      <c r="H328" s="248"/>
      <c r="I328" s="48"/>
      <c r="J328" s="75" t="str">
        <f t="shared" si="8"/>
        <v/>
      </c>
      <c r="K328" s="85" t="str">
        <f t="shared" si="9"/>
        <v/>
      </c>
      <c r="L328" s="47"/>
    </row>
    <row r="329" spans="2:12" s="56" customFormat="1" ht="14">
      <c r="B329" s="44"/>
      <c r="C329" s="47"/>
      <c r="D329" s="84"/>
      <c r="E329" s="84"/>
      <c r="F329" s="84"/>
      <c r="G329" s="248"/>
      <c r="H329" s="248"/>
      <c r="I329" s="48"/>
      <c r="J329" s="75" t="str">
        <f t="shared" si="8"/>
        <v/>
      </c>
      <c r="K329" s="85" t="str">
        <f t="shared" si="9"/>
        <v/>
      </c>
      <c r="L329" s="47"/>
    </row>
    <row r="330" spans="2:12" s="56" customFormat="1" ht="14">
      <c r="B330" s="44"/>
      <c r="C330" s="47"/>
      <c r="D330" s="84"/>
      <c r="E330" s="84"/>
      <c r="F330" s="84"/>
      <c r="G330" s="248"/>
      <c r="H330" s="248"/>
      <c r="I330" s="48"/>
      <c r="J330" s="75" t="str">
        <f t="shared" si="8"/>
        <v/>
      </c>
      <c r="K330" s="85" t="str">
        <f t="shared" si="9"/>
        <v/>
      </c>
      <c r="L330" s="47"/>
    </row>
    <row r="331" spans="2:12" s="56" customFormat="1" ht="14">
      <c r="B331" s="44"/>
      <c r="C331" s="47"/>
      <c r="D331" s="84"/>
      <c r="E331" s="84"/>
      <c r="F331" s="84"/>
      <c r="G331" s="248"/>
      <c r="H331" s="248"/>
      <c r="I331" s="48"/>
      <c r="J331" s="75" t="str">
        <f t="shared" ref="J331:J394" si="10">IF($C331&lt;&gt;"",$E331*1.5,"")</f>
        <v/>
      </c>
      <c r="K331" s="85" t="str">
        <f t="shared" ref="K331:K394" si="11">IFERROR($J331/10,"")</f>
        <v/>
      </c>
      <c r="L331" s="47"/>
    </row>
    <row r="332" spans="2:12" s="56" customFormat="1" ht="14">
      <c r="B332" s="44"/>
      <c r="C332" s="47"/>
      <c r="D332" s="84"/>
      <c r="E332" s="84"/>
      <c r="F332" s="84"/>
      <c r="G332" s="248"/>
      <c r="H332" s="248"/>
      <c r="I332" s="48"/>
      <c r="J332" s="75" t="str">
        <f t="shared" si="10"/>
        <v/>
      </c>
      <c r="K332" s="85" t="str">
        <f t="shared" si="11"/>
        <v/>
      </c>
      <c r="L332" s="47"/>
    </row>
    <row r="333" spans="2:12" s="56" customFormat="1" ht="14">
      <c r="B333" s="44"/>
      <c r="C333" s="47"/>
      <c r="D333" s="84"/>
      <c r="E333" s="84"/>
      <c r="F333" s="84"/>
      <c r="G333" s="248"/>
      <c r="H333" s="248"/>
      <c r="I333" s="48"/>
      <c r="J333" s="75" t="str">
        <f t="shared" si="10"/>
        <v/>
      </c>
      <c r="K333" s="85" t="str">
        <f t="shared" si="11"/>
        <v/>
      </c>
      <c r="L333" s="47"/>
    </row>
    <row r="334" spans="2:12" s="56" customFormat="1" ht="14">
      <c r="B334" s="44"/>
      <c r="C334" s="47"/>
      <c r="D334" s="84"/>
      <c r="E334" s="84"/>
      <c r="F334" s="84"/>
      <c r="G334" s="248"/>
      <c r="H334" s="248"/>
      <c r="I334" s="48"/>
      <c r="J334" s="75" t="str">
        <f t="shared" si="10"/>
        <v/>
      </c>
      <c r="K334" s="85" t="str">
        <f t="shared" si="11"/>
        <v/>
      </c>
      <c r="L334" s="47"/>
    </row>
    <row r="335" spans="2:12" s="56" customFormat="1" ht="14">
      <c r="B335" s="44"/>
      <c r="C335" s="47"/>
      <c r="D335" s="84"/>
      <c r="E335" s="84"/>
      <c r="F335" s="84"/>
      <c r="G335" s="248"/>
      <c r="H335" s="248"/>
      <c r="I335" s="48"/>
      <c r="J335" s="75" t="str">
        <f t="shared" si="10"/>
        <v/>
      </c>
      <c r="K335" s="85" t="str">
        <f t="shared" si="11"/>
        <v/>
      </c>
      <c r="L335" s="47"/>
    </row>
    <row r="336" spans="2:12" s="56" customFormat="1" ht="14">
      <c r="B336" s="44"/>
      <c r="C336" s="47"/>
      <c r="D336" s="84"/>
      <c r="E336" s="84"/>
      <c r="F336" s="84"/>
      <c r="G336" s="248"/>
      <c r="H336" s="248"/>
      <c r="I336" s="48"/>
      <c r="J336" s="75" t="str">
        <f t="shared" si="10"/>
        <v/>
      </c>
      <c r="K336" s="85" t="str">
        <f t="shared" si="11"/>
        <v/>
      </c>
      <c r="L336" s="47"/>
    </row>
    <row r="337" spans="2:12" s="56" customFormat="1" ht="14">
      <c r="B337" s="44"/>
      <c r="C337" s="47"/>
      <c r="D337" s="84"/>
      <c r="E337" s="84"/>
      <c r="F337" s="84"/>
      <c r="G337" s="248"/>
      <c r="H337" s="248"/>
      <c r="I337" s="48"/>
      <c r="J337" s="75" t="str">
        <f t="shared" si="10"/>
        <v/>
      </c>
      <c r="K337" s="85" t="str">
        <f t="shared" si="11"/>
        <v/>
      </c>
      <c r="L337" s="47"/>
    </row>
    <row r="338" spans="2:12" s="56" customFormat="1" ht="14">
      <c r="B338" s="44"/>
      <c r="C338" s="47"/>
      <c r="D338" s="84"/>
      <c r="E338" s="84"/>
      <c r="F338" s="84"/>
      <c r="G338" s="248"/>
      <c r="H338" s="248"/>
      <c r="I338" s="48"/>
      <c r="J338" s="75" t="str">
        <f t="shared" si="10"/>
        <v/>
      </c>
      <c r="K338" s="85" t="str">
        <f t="shared" si="11"/>
        <v/>
      </c>
      <c r="L338" s="47"/>
    </row>
    <row r="339" spans="2:12" s="56" customFormat="1" ht="14">
      <c r="B339" s="44"/>
      <c r="C339" s="47"/>
      <c r="D339" s="84"/>
      <c r="E339" s="84"/>
      <c r="F339" s="84"/>
      <c r="G339" s="248"/>
      <c r="H339" s="248"/>
      <c r="I339" s="48"/>
      <c r="J339" s="75" t="str">
        <f t="shared" si="10"/>
        <v/>
      </c>
      <c r="K339" s="85" t="str">
        <f t="shared" si="11"/>
        <v/>
      </c>
      <c r="L339" s="47"/>
    </row>
    <row r="340" spans="2:12" s="56" customFormat="1" ht="14">
      <c r="B340" s="44"/>
      <c r="C340" s="47"/>
      <c r="D340" s="84"/>
      <c r="E340" s="84"/>
      <c r="F340" s="84"/>
      <c r="G340" s="248"/>
      <c r="H340" s="248"/>
      <c r="I340" s="48"/>
      <c r="J340" s="75" t="str">
        <f t="shared" si="10"/>
        <v/>
      </c>
      <c r="K340" s="85" t="str">
        <f t="shared" si="11"/>
        <v/>
      </c>
      <c r="L340" s="47"/>
    </row>
    <row r="341" spans="2:12" s="56" customFormat="1" ht="14">
      <c r="B341" s="44"/>
      <c r="C341" s="47"/>
      <c r="D341" s="84"/>
      <c r="E341" s="84"/>
      <c r="F341" s="84"/>
      <c r="G341" s="248"/>
      <c r="H341" s="248"/>
      <c r="I341" s="48"/>
      <c r="J341" s="75" t="str">
        <f t="shared" si="10"/>
        <v/>
      </c>
      <c r="K341" s="85" t="str">
        <f t="shared" si="11"/>
        <v/>
      </c>
      <c r="L341" s="47"/>
    </row>
    <row r="342" spans="2:12" s="56" customFormat="1" ht="14">
      <c r="B342" s="44"/>
      <c r="C342" s="47"/>
      <c r="D342" s="84"/>
      <c r="E342" s="84"/>
      <c r="F342" s="84"/>
      <c r="G342" s="248"/>
      <c r="H342" s="248"/>
      <c r="I342" s="48"/>
      <c r="J342" s="75" t="str">
        <f t="shared" si="10"/>
        <v/>
      </c>
      <c r="K342" s="85" t="str">
        <f t="shared" si="11"/>
        <v/>
      </c>
      <c r="L342" s="47"/>
    </row>
    <row r="343" spans="2:12" s="56" customFormat="1" ht="14">
      <c r="B343" s="44"/>
      <c r="C343" s="47"/>
      <c r="D343" s="84"/>
      <c r="E343" s="84"/>
      <c r="F343" s="84"/>
      <c r="G343" s="248"/>
      <c r="H343" s="248"/>
      <c r="I343" s="48"/>
      <c r="J343" s="75" t="str">
        <f t="shared" si="10"/>
        <v/>
      </c>
      <c r="K343" s="85" t="str">
        <f t="shared" si="11"/>
        <v/>
      </c>
      <c r="L343" s="47"/>
    </row>
    <row r="344" spans="2:12" s="56" customFormat="1" ht="14">
      <c r="B344" s="44"/>
      <c r="C344" s="47"/>
      <c r="D344" s="84"/>
      <c r="E344" s="84"/>
      <c r="F344" s="84"/>
      <c r="G344" s="248"/>
      <c r="H344" s="248"/>
      <c r="I344" s="48"/>
      <c r="J344" s="75" t="str">
        <f t="shared" si="10"/>
        <v/>
      </c>
      <c r="K344" s="85" t="str">
        <f t="shared" si="11"/>
        <v/>
      </c>
      <c r="L344" s="47"/>
    </row>
    <row r="345" spans="2:12" s="56" customFormat="1" ht="14">
      <c r="B345" s="44"/>
      <c r="C345" s="47"/>
      <c r="D345" s="84"/>
      <c r="E345" s="84"/>
      <c r="F345" s="84"/>
      <c r="G345" s="248"/>
      <c r="H345" s="248"/>
      <c r="I345" s="48"/>
      <c r="J345" s="75" t="str">
        <f t="shared" si="10"/>
        <v/>
      </c>
      <c r="K345" s="85" t="str">
        <f t="shared" si="11"/>
        <v/>
      </c>
      <c r="L345" s="47"/>
    </row>
    <row r="346" spans="2:12" s="56" customFormat="1" ht="14">
      <c r="B346" s="44"/>
      <c r="C346" s="47"/>
      <c r="D346" s="84"/>
      <c r="E346" s="84"/>
      <c r="F346" s="84"/>
      <c r="G346" s="248"/>
      <c r="H346" s="248"/>
      <c r="I346" s="48"/>
      <c r="J346" s="75" t="str">
        <f t="shared" si="10"/>
        <v/>
      </c>
      <c r="K346" s="85" t="str">
        <f t="shared" si="11"/>
        <v/>
      </c>
      <c r="L346" s="47"/>
    </row>
    <row r="347" spans="2:12" s="56" customFormat="1" ht="14">
      <c r="B347" s="44"/>
      <c r="C347" s="47"/>
      <c r="D347" s="84"/>
      <c r="E347" s="84"/>
      <c r="F347" s="84"/>
      <c r="G347" s="248"/>
      <c r="H347" s="248"/>
      <c r="I347" s="48"/>
      <c r="J347" s="75" t="str">
        <f t="shared" si="10"/>
        <v/>
      </c>
      <c r="K347" s="85" t="str">
        <f t="shared" si="11"/>
        <v/>
      </c>
      <c r="L347" s="47"/>
    </row>
    <row r="348" spans="2:12" s="56" customFormat="1" ht="14">
      <c r="B348" s="44"/>
      <c r="C348" s="47"/>
      <c r="D348" s="84"/>
      <c r="E348" s="84"/>
      <c r="F348" s="84"/>
      <c r="G348" s="248"/>
      <c r="H348" s="248"/>
      <c r="I348" s="48"/>
      <c r="J348" s="75" t="str">
        <f t="shared" si="10"/>
        <v/>
      </c>
      <c r="K348" s="85" t="str">
        <f t="shared" si="11"/>
        <v/>
      </c>
      <c r="L348" s="47"/>
    </row>
    <row r="349" spans="2:12" s="56" customFormat="1" ht="14">
      <c r="B349" s="44"/>
      <c r="C349" s="47"/>
      <c r="D349" s="84"/>
      <c r="E349" s="84"/>
      <c r="F349" s="84"/>
      <c r="G349" s="248"/>
      <c r="H349" s="248"/>
      <c r="I349" s="48"/>
      <c r="J349" s="75" t="str">
        <f t="shared" si="10"/>
        <v/>
      </c>
      <c r="K349" s="85" t="str">
        <f t="shared" si="11"/>
        <v/>
      </c>
      <c r="L349" s="47"/>
    </row>
    <row r="350" spans="2:12" s="56" customFormat="1" ht="14">
      <c r="B350" s="44"/>
      <c r="C350" s="47"/>
      <c r="D350" s="84"/>
      <c r="E350" s="84"/>
      <c r="F350" s="84"/>
      <c r="G350" s="248"/>
      <c r="H350" s="248"/>
      <c r="I350" s="48"/>
      <c r="J350" s="75" t="str">
        <f t="shared" si="10"/>
        <v/>
      </c>
      <c r="K350" s="85" t="str">
        <f t="shared" si="11"/>
        <v/>
      </c>
      <c r="L350" s="47"/>
    </row>
    <row r="351" spans="2:12" s="56" customFormat="1" ht="14">
      <c r="B351" s="44"/>
      <c r="C351" s="47"/>
      <c r="D351" s="84"/>
      <c r="E351" s="84"/>
      <c r="F351" s="84"/>
      <c r="G351" s="248"/>
      <c r="H351" s="248"/>
      <c r="I351" s="48"/>
      <c r="J351" s="75" t="str">
        <f t="shared" si="10"/>
        <v/>
      </c>
      <c r="K351" s="85" t="str">
        <f t="shared" si="11"/>
        <v/>
      </c>
      <c r="L351" s="47"/>
    </row>
    <row r="352" spans="2:12" s="56" customFormat="1" ht="14">
      <c r="B352" s="44"/>
      <c r="C352" s="47"/>
      <c r="D352" s="84"/>
      <c r="E352" s="84"/>
      <c r="F352" s="84"/>
      <c r="G352" s="248"/>
      <c r="H352" s="248"/>
      <c r="I352" s="48"/>
      <c r="J352" s="75" t="str">
        <f t="shared" si="10"/>
        <v/>
      </c>
      <c r="K352" s="85" t="str">
        <f t="shared" si="11"/>
        <v/>
      </c>
      <c r="L352" s="47"/>
    </row>
    <row r="353" spans="2:12" s="56" customFormat="1" ht="14">
      <c r="B353" s="44"/>
      <c r="C353" s="47"/>
      <c r="D353" s="84"/>
      <c r="E353" s="84"/>
      <c r="F353" s="84"/>
      <c r="G353" s="248"/>
      <c r="H353" s="248"/>
      <c r="I353" s="48"/>
      <c r="J353" s="75" t="str">
        <f t="shared" si="10"/>
        <v/>
      </c>
      <c r="K353" s="85" t="str">
        <f t="shared" si="11"/>
        <v/>
      </c>
      <c r="L353" s="47"/>
    </row>
    <row r="354" spans="2:12" s="56" customFormat="1" ht="14">
      <c r="B354" s="44"/>
      <c r="C354" s="47"/>
      <c r="D354" s="84"/>
      <c r="E354" s="84"/>
      <c r="F354" s="84"/>
      <c r="G354" s="248"/>
      <c r="H354" s="248"/>
      <c r="I354" s="48"/>
      <c r="J354" s="75" t="str">
        <f t="shared" si="10"/>
        <v/>
      </c>
      <c r="K354" s="85" t="str">
        <f t="shared" si="11"/>
        <v/>
      </c>
      <c r="L354" s="47"/>
    </row>
    <row r="355" spans="2:12" s="56" customFormat="1" ht="14">
      <c r="B355" s="44"/>
      <c r="C355" s="47"/>
      <c r="D355" s="84"/>
      <c r="E355" s="84"/>
      <c r="F355" s="84"/>
      <c r="G355" s="248"/>
      <c r="H355" s="248"/>
      <c r="I355" s="48"/>
      <c r="J355" s="75" t="str">
        <f t="shared" si="10"/>
        <v/>
      </c>
      <c r="K355" s="85" t="str">
        <f t="shared" si="11"/>
        <v/>
      </c>
      <c r="L355" s="47"/>
    </row>
    <row r="356" spans="2:12" s="56" customFormat="1" ht="14">
      <c r="B356" s="44"/>
      <c r="C356" s="47"/>
      <c r="D356" s="84"/>
      <c r="E356" s="84"/>
      <c r="F356" s="84"/>
      <c r="G356" s="248"/>
      <c r="H356" s="248"/>
      <c r="I356" s="48"/>
      <c r="J356" s="75" t="str">
        <f t="shared" si="10"/>
        <v/>
      </c>
      <c r="K356" s="85" t="str">
        <f t="shared" si="11"/>
        <v/>
      </c>
      <c r="L356" s="47"/>
    </row>
    <row r="357" spans="2:12" s="56" customFormat="1" ht="14">
      <c r="B357" s="44"/>
      <c r="C357" s="47"/>
      <c r="D357" s="84"/>
      <c r="E357" s="84"/>
      <c r="F357" s="84"/>
      <c r="G357" s="248"/>
      <c r="H357" s="248"/>
      <c r="I357" s="48"/>
      <c r="J357" s="75" t="str">
        <f t="shared" si="10"/>
        <v/>
      </c>
      <c r="K357" s="85" t="str">
        <f t="shared" si="11"/>
        <v/>
      </c>
      <c r="L357" s="47"/>
    </row>
    <row r="358" spans="2:12" s="56" customFormat="1" ht="14">
      <c r="B358" s="44"/>
      <c r="C358" s="47"/>
      <c r="D358" s="84"/>
      <c r="E358" s="84"/>
      <c r="F358" s="84"/>
      <c r="G358" s="248"/>
      <c r="H358" s="248"/>
      <c r="I358" s="48"/>
      <c r="J358" s="75" t="str">
        <f t="shared" si="10"/>
        <v/>
      </c>
      <c r="K358" s="85" t="str">
        <f t="shared" si="11"/>
        <v/>
      </c>
      <c r="L358" s="47"/>
    </row>
    <row r="359" spans="2:12" s="56" customFormat="1" ht="14">
      <c r="B359" s="44"/>
      <c r="C359" s="47"/>
      <c r="D359" s="84"/>
      <c r="E359" s="84"/>
      <c r="F359" s="84"/>
      <c r="G359" s="248"/>
      <c r="H359" s="248"/>
      <c r="I359" s="48"/>
      <c r="J359" s="75" t="str">
        <f t="shared" si="10"/>
        <v/>
      </c>
      <c r="K359" s="85" t="str">
        <f t="shared" si="11"/>
        <v/>
      </c>
      <c r="L359" s="47"/>
    </row>
    <row r="360" spans="2:12" s="56" customFormat="1" ht="14">
      <c r="B360" s="44"/>
      <c r="C360" s="47"/>
      <c r="D360" s="84"/>
      <c r="E360" s="84"/>
      <c r="F360" s="84"/>
      <c r="G360" s="248"/>
      <c r="H360" s="248"/>
      <c r="I360" s="48"/>
      <c r="J360" s="75" t="str">
        <f t="shared" si="10"/>
        <v/>
      </c>
      <c r="K360" s="85" t="str">
        <f t="shared" si="11"/>
        <v/>
      </c>
      <c r="L360" s="47"/>
    </row>
    <row r="361" spans="2:12" s="56" customFormat="1" ht="14">
      <c r="B361" s="44"/>
      <c r="C361" s="47"/>
      <c r="D361" s="84"/>
      <c r="E361" s="84"/>
      <c r="F361" s="84"/>
      <c r="G361" s="248"/>
      <c r="H361" s="248"/>
      <c r="I361" s="48"/>
      <c r="J361" s="75" t="str">
        <f t="shared" si="10"/>
        <v/>
      </c>
      <c r="K361" s="85" t="str">
        <f t="shared" si="11"/>
        <v/>
      </c>
      <c r="L361" s="47"/>
    </row>
    <row r="362" spans="2:12" s="56" customFormat="1" ht="14">
      <c r="B362" s="44"/>
      <c r="C362" s="47"/>
      <c r="D362" s="84"/>
      <c r="E362" s="84"/>
      <c r="F362" s="84"/>
      <c r="G362" s="248"/>
      <c r="H362" s="248"/>
      <c r="I362" s="48"/>
      <c r="J362" s="75" t="str">
        <f t="shared" si="10"/>
        <v/>
      </c>
      <c r="K362" s="85" t="str">
        <f t="shared" si="11"/>
        <v/>
      </c>
      <c r="L362" s="47"/>
    </row>
    <row r="363" spans="2:12" s="56" customFormat="1" ht="14">
      <c r="B363" s="44"/>
      <c r="C363" s="47"/>
      <c r="D363" s="84"/>
      <c r="E363" s="84"/>
      <c r="F363" s="84"/>
      <c r="G363" s="248"/>
      <c r="H363" s="248"/>
      <c r="I363" s="48"/>
      <c r="J363" s="75" t="str">
        <f t="shared" si="10"/>
        <v/>
      </c>
      <c r="K363" s="85" t="str">
        <f t="shared" si="11"/>
        <v/>
      </c>
      <c r="L363" s="47"/>
    </row>
    <row r="364" spans="2:12" s="56" customFormat="1" ht="14">
      <c r="B364" s="44"/>
      <c r="C364" s="47"/>
      <c r="D364" s="84"/>
      <c r="E364" s="84"/>
      <c r="F364" s="84"/>
      <c r="G364" s="248"/>
      <c r="H364" s="248"/>
      <c r="I364" s="48"/>
      <c r="J364" s="75" t="str">
        <f t="shared" si="10"/>
        <v/>
      </c>
      <c r="K364" s="85" t="str">
        <f t="shared" si="11"/>
        <v/>
      </c>
      <c r="L364" s="47"/>
    </row>
    <row r="365" spans="2:12" s="56" customFormat="1" ht="14">
      <c r="B365" s="44"/>
      <c r="C365" s="47"/>
      <c r="D365" s="84"/>
      <c r="E365" s="84"/>
      <c r="F365" s="84"/>
      <c r="G365" s="248"/>
      <c r="H365" s="248"/>
      <c r="I365" s="48"/>
      <c r="J365" s="75" t="str">
        <f t="shared" si="10"/>
        <v/>
      </c>
      <c r="K365" s="85" t="str">
        <f t="shared" si="11"/>
        <v/>
      </c>
      <c r="L365" s="47"/>
    </row>
    <row r="366" spans="2:12" s="56" customFormat="1" ht="14">
      <c r="B366" s="44"/>
      <c r="C366" s="47"/>
      <c r="D366" s="84"/>
      <c r="E366" s="84"/>
      <c r="F366" s="84"/>
      <c r="G366" s="248"/>
      <c r="H366" s="248"/>
      <c r="I366" s="48"/>
      <c r="J366" s="75" t="str">
        <f t="shared" si="10"/>
        <v/>
      </c>
      <c r="K366" s="85" t="str">
        <f t="shared" si="11"/>
        <v/>
      </c>
      <c r="L366" s="47"/>
    </row>
    <row r="367" spans="2:12" s="56" customFormat="1" ht="14">
      <c r="B367" s="44"/>
      <c r="C367" s="47"/>
      <c r="D367" s="84"/>
      <c r="E367" s="84"/>
      <c r="F367" s="84"/>
      <c r="G367" s="248"/>
      <c r="H367" s="248"/>
      <c r="I367" s="48"/>
      <c r="J367" s="75" t="str">
        <f t="shared" si="10"/>
        <v/>
      </c>
      <c r="K367" s="85" t="str">
        <f t="shared" si="11"/>
        <v/>
      </c>
      <c r="L367" s="47"/>
    </row>
    <row r="368" spans="2:12" s="56" customFormat="1" ht="14">
      <c r="B368" s="44"/>
      <c r="C368" s="47"/>
      <c r="D368" s="84"/>
      <c r="E368" s="84"/>
      <c r="F368" s="84"/>
      <c r="G368" s="248"/>
      <c r="H368" s="248"/>
      <c r="I368" s="48"/>
      <c r="J368" s="75" t="str">
        <f t="shared" si="10"/>
        <v/>
      </c>
      <c r="K368" s="85" t="str">
        <f t="shared" si="11"/>
        <v/>
      </c>
      <c r="L368" s="47"/>
    </row>
    <row r="369" spans="2:12" s="56" customFormat="1" ht="14">
      <c r="B369" s="44"/>
      <c r="C369" s="47"/>
      <c r="D369" s="84"/>
      <c r="E369" s="84"/>
      <c r="F369" s="84"/>
      <c r="G369" s="248"/>
      <c r="H369" s="248"/>
      <c r="I369" s="48"/>
      <c r="J369" s="75" t="str">
        <f t="shared" si="10"/>
        <v/>
      </c>
      <c r="K369" s="85" t="str">
        <f t="shared" si="11"/>
        <v/>
      </c>
      <c r="L369" s="47"/>
    </row>
    <row r="370" spans="2:12" s="56" customFormat="1" ht="14">
      <c r="B370" s="44"/>
      <c r="C370" s="47"/>
      <c r="D370" s="84"/>
      <c r="E370" s="84"/>
      <c r="F370" s="84"/>
      <c r="G370" s="248"/>
      <c r="H370" s="248"/>
      <c r="I370" s="48"/>
      <c r="J370" s="75" t="str">
        <f t="shared" si="10"/>
        <v/>
      </c>
      <c r="K370" s="85" t="str">
        <f t="shared" si="11"/>
        <v/>
      </c>
      <c r="L370" s="47"/>
    </row>
    <row r="371" spans="2:12" s="56" customFormat="1" ht="14">
      <c r="B371" s="44"/>
      <c r="C371" s="47"/>
      <c r="D371" s="84"/>
      <c r="E371" s="84"/>
      <c r="F371" s="84"/>
      <c r="G371" s="248"/>
      <c r="H371" s="248"/>
      <c r="I371" s="48"/>
      <c r="J371" s="75" t="str">
        <f t="shared" si="10"/>
        <v/>
      </c>
      <c r="K371" s="85" t="str">
        <f t="shared" si="11"/>
        <v/>
      </c>
      <c r="L371" s="47"/>
    </row>
    <row r="372" spans="2:12" s="56" customFormat="1" ht="14">
      <c r="B372" s="44"/>
      <c r="C372" s="47"/>
      <c r="D372" s="84"/>
      <c r="E372" s="84"/>
      <c r="F372" s="84"/>
      <c r="G372" s="248"/>
      <c r="H372" s="248"/>
      <c r="I372" s="48"/>
      <c r="J372" s="75" t="str">
        <f t="shared" si="10"/>
        <v/>
      </c>
      <c r="K372" s="85" t="str">
        <f t="shared" si="11"/>
        <v/>
      </c>
      <c r="L372" s="47"/>
    </row>
    <row r="373" spans="2:12" s="56" customFormat="1" ht="14">
      <c r="B373" s="44"/>
      <c r="C373" s="47"/>
      <c r="D373" s="84"/>
      <c r="E373" s="84"/>
      <c r="F373" s="84"/>
      <c r="G373" s="248"/>
      <c r="H373" s="248"/>
      <c r="I373" s="48"/>
      <c r="J373" s="75" t="str">
        <f t="shared" si="10"/>
        <v/>
      </c>
      <c r="K373" s="85" t="str">
        <f t="shared" si="11"/>
        <v/>
      </c>
      <c r="L373" s="47"/>
    </row>
    <row r="374" spans="2:12" s="56" customFormat="1" ht="14">
      <c r="B374" s="44"/>
      <c r="C374" s="47"/>
      <c r="D374" s="84"/>
      <c r="E374" s="84"/>
      <c r="F374" s="84"/>
      <c r="G374" s="248"/>
      <c r="H374" s="248"/>
      <c r="I374" s="48"/>
      <c r="J374" s="75" t="str">
        <f t="shared" si="10"/>
        <v/>
      </c>
      <c r="K374" s="85" t="str">
        <f t="shared" si="11"/>
        <v/>
      </c>
      <c r="L374" s="47"/>
    </row>
    <row r="375" spans="2:12" s="56" customFormat="1" ht="14">
      <c r="B375" s="44"/>
      <c r="C375" s="47"/>
      <c r="D375" s="84"/>
      <c r="E375" s="84"/>
      <c r="F375" s="84"/>
      <c r="G375" s="248"/>
      <c r="H375" s="248"/>
      <c r="I375" s="48"/>
      <c r="J375" s="75" t="str">
        <f t="shared" si="10"/>
        <v/>
      </c>
      <c r="K375" s="85" t="str">
        <f t="shared" si="11"/>
        <v/>
      </c>
      <c r="L375" s="47"/>
    </row>
    <row r="376" spans="2:12" s="56" customFormat="1" ht="14">
      <c r="B376" s="44"/>
      <c r="C376" s="47"/>
      <c r="D376" s="84"/>
      <c r="E376" s="84"/>
      <c r="F376" s="84"/>
      <c r="G376" s="248"/>
      <c r="H376" s="248"/>
      <c r="I376" s="48"/>
      <c r="J376" s="75" t="str">
        <f t="shared" si="10"/>
        <v/>
      </c>
      <c r="K376" s="85" t="str">
        <f t="shared" si="11"/>
        <v/>
      </c>
      <c r="L376" s="47"/>
    </row>
    <row r="377" spans="2:12" s="56" customFormat="1" ht="14">
      <c r="B377" s="44"/>
      <c r="C377" s="47"/>
      <c r="D377" s="84"/>
      <c r="E377" s="84"/>
      <c r="F377" s="84"/>
      <c r="G377" s="248"/>
      <c r="H377" s="248"/>
      <c r="I377" s="48"/>
      <c r="J377" s="75" t="str">
        <f t="shared" si="10"/>
        <v/>
      </c>
      <c r="K377" s="85" t="str">
        <f t="shared" si="11"/>
        <v/>
      </c>
      <c r="L377" s="47"/>
    </row>
    <row r="378" spans="2:12" s="56" customFormat="1" ht="14">
      <c r="B378" s="44"/>
      <c r="C378" s="47"/>
      <c r="D378" s="84"/>
      <c r="E378" s="84"/>
      <c r="F378" s="84"/>
      <c r="G378" s="248"/>
      <c r="H378" s="248"/>
      <c r="I378" s="48"/>
      <c r="J378" s="75" t="str">
        <f t="shared" si="10"/>
        <v/>
      </c>
      <c r="K378" s="85" t="str">
        <f t="shared" si="11"/>
        <v/>
      </c>
      <c r="L378" s="47"/>
    </row>
    <row r="379" spans="2:12" s="56" customFormat="1" ht="14">
      <c r="B379" s="44"/>
      <c r="C379" s="47"/>
      <c r="D379" s="84"/>
      <c r="E379" s="84"/>
      <c r="F379" s="84"/>
      <c r="G379" s="248"/>
      <c r="H379" s="248"/>
      <c r="I379" s="48"/>
      <c r="J379" s="75" t="str">
        <f t="shared" si="10"/>
        <v/>
      </c>
      <c r="K379" s="85" t="str">
        <f t="shared" si="11"/>
        <v/>
      </c>
      <c r="L379" s="47"/>
    </row>
    <row r="380" spans="2:12" s="56" customFormat="1" ht="14">
      <c r="B380" s="44"/>
      <c r="C380" s="47"/>
      <c r="D380" s="84"/>
      <c r="E380" s="84"/>
      <c r="F380" s="84"/>
      <c r="G380" s="248"/>
      <c r="H380" s="248"/>
      <c r="I380" s="48"/>
      <c r="J380" s="75" t="str">
        <f t="shared" si="10"/>
        <v/>
      </c>
      <c r="K380" s="85" t="str">
        <f t="shared" si="11"/>
        <v/>
      </c>
      <c r="L380" s="47"/>
    </row>
    <row r="381" spans="2:12" s="56" customFormat="1" ht="14">
      <c r="B381" s="44"/>
      <c r="C381" s="47"/>
      <c r="D381" s="84"/>
      <c r="E381" s="84"/>
      <c r="F381" s="84"/>
      <c r="G381" s="248"/>
      <c r="H381" s="248"/>
      <c r="I381" s="48"/>
      <c r="J381" s="75" t="str">
        <f t="shared" si="10"/>
        <v/>
      </c>
      <c r="K381" s="85" t="str">
        <f t="shared" si="11"/>
        <v/>
      </c>
      <c r="L381" s="47"/>
    </row>
    <row r="382" spans="2:12" s="56" customFormat="1" ht="14">
      <c r="B382" s="44"/>
      <c r="C382" s="47"/>
      <c r="D382" s="84"/>
      <c r="E382" s="84"/>
      <c r="F382" s="84"/>
      <c r="G382" s="248"/>
      <c r="H382" s="248"/>
      <c r="I382" s="48"/>
      <c r="J382" s="75" t="str">
        <f t="shared" si="10"/>
        <v/>
      </c>
      <c r="K382" s="85" t="str">
        <f t="shared" si="11"/>
        <v/>
      </c>
      <c r="L382" s="47"/>
    </row>
    <row r="383" spans="2:12" s="56" customFormat="1" ht="14">
      <c r="B383" s="44"/>
      <c r="C383" s="47"/>
      <c r="D383" s="84"/>
      <c r="E383" s="84"/>
      <c r="F383" s="84"/>
      <c r="G383" s="248"/>
      <c r="H383" s="248"/>
      <c r="I383" s="48"/>
      <c r="J383" s="75" t="str">
        <f t="shared" si="10"/>
        <v/>
      </c>
      <c r="K383" s="85" t="str">
        <f t="shared" si="11"/>
        <v/>
      </c>
      <c r="L383" s="47"/>
    </row>
    <row r="384" spans="2:12" s="56" customFormat="1" ht="14">
      <c r="B384" s="44"/>
      <c r="C384" s="47"/>
      <c r="D384" s="84"/>
      <c r="E384" s="84"/>
      <c r="F384" s="84"/>
      <c r="G384" s="248"/>
      <c r="H384" s="248"/>
      <c r="I384" s="48"/>
      <c r="J384" s="75" t="str">
        <f t="shared" si="10"/>
        <v/>
      </c>
      <c r="K384" s="85" t="str">
        <f t="shared" si="11"/>
        <v/>
      </c>
      <c r="L384" s="47"/>
    </row>
    <row r="385" spans="2:12" s="56" customFormat="1" ht="14">
      <c r="B385" s="44"/>
      <c r="C385" s="47"/>
      <c r="D385" s="84"/>
      <c r="E385" s="84"/>
      <c r="F385" s="84"/>
      <c r="G385" s="248"/>
      <c r="H385" s="248"/>
      <c r="I385" s="48"/>
      <c r="J385" s="75" t="str">
        <f t="shared" si="10"/>
        <v/>
      </c>
      <c r="K385" s="85" t="str">
        <f t="shared" si="11"/>
        <v/>
      </c>
      <c r="L385" s="47"/>
    </row>
    <row r="386" spans="2:12" s="56" customFormat="1" ht="14">
      <c r="B386" s="44"/>
      <c r="C386" s="47"/>
      <c r="D386" s="84"/>
      <c r="E386" s="84"/>
      <c r="F386" s="84"/>
      <c r="G386" s="248"/>
      <c r="H386" s="248"/>
      <c r="I386" s="48"/>
      <c r="J386" s="75" t="str">
        <f t="shared" si="10"/>
        <v/>
      </c>
      <c r="K386" s="85" t="str">
        <f t="shared" si="11"/>
        <v/>
      </c>
      <c r="L386" s="47"/>
    </row>
    <row r="387" spans="2:12" s="56" customFormat="1" ht="14">
      <c r="B387" s="44"/>
      <c r="C387" s="47"/>
      <c r="D387" s="84"/>
      <c r="E387" s="84"/>
      <c r="F387" s="84"/>
      <c r="G387" s="248"/>
      <c r="H387" s="248"/>
      <c r="I387" s="48"/>
      <c r="J387" s="75" t="str">
        <f t="shared" si="10"/>
        <v/>
      </c>
      <c r="K387" s="85" t="str">
        <f t="shared" si="11"/>
        <v/>
      </c>
      <c r="L387" s="47"/>
    </row>
    <row r="388" spans="2:12" s="56" customFormat="1" ht="14">
      <c r="B388" s="44"/>
      <c r="C388" s="47"/>
      <c r="D388" s="84"/>
      <c r="E388" s="84"/>
      <c r="F388" s="84"/>
      <c r="G388" s="248"/>
      <c r="H388" s="248"/>
      <c r="I388" s="48"/>
      <c r="J388" s="75" t="str">
        <f t="shared" si="10"/>
        <v/>
      </c>
      <c r="K388" s="85" t="str">
        <f t="shared" si="11"/>
        <v/>
      </c>
      <c r="L388" s="47"/>
    </row>
    <row r="389" spans="2:12" s="56" customFormat="1" ht="14">
      <c r="B389" s="44"/>
      <c r="C389" s="47"/>
      <c r="D389" s="84"/>
      <c r="E389" s="84"/>
      <c r="F389" s="84"/>
      <c r="G389" s="248"/>
      <c r="H389" s="248"/>
      <c r="I389" s="48"/>
      <c r="J389" s="75" t="str">
        <f t="shared" si="10"/>
        <v/>
      </c>
      <c r="K389" s="85" t="str">
        <f t="shared" si="11"/>
        <v/>
      </c>
      <c r="L389" s="47"/>
    </row>
    <row r="390" spans="2:12" s="56" customFormat="1" ht="14">
      <c r="B390" s="44"/>
      <c r="C390" s="47"/>
      <c r="D390" s="84"/>
      <c r="E390" s="84"/>
      <c r="F390" s="84"/>
      <c r="G390" s="248"/>
      <c r="H390" s="248"/>
      <c r="I390" s="48"/>
      <c r="J390" s="75" t="str">
        <f t="shared" si="10"/>
        <v/>
      </c>
      <c r="K390" s="85" t="str">
        <f t="shared" si="11"/>
        <v/>
      </c>
      <c r="L390" s="47"/>
    </row>
    <row r="391" spans="2:12" s="56" customFormat="1" ht="14">
      <c r="B391" s="44"/>
      <c r="C391" s="47"/>
      <c r="D391" s="84"/>
      <c r="E391" s="84"/>
      <c r="F391" s="84"/>
      <c r="G391" s="248"/>
      <c r="H391" s="248"/>
      <c r="I391" s="48"/>
      <c r="J391" s="75" t="str">
        <f t="shared" si="10"/>
        <v/>
      </c>
      <c r="K391" s="85" t="str">
        <f t="shared" si="11"/>
        <v/>
      </c>
      <c r="L391" s="47"/>
    </row>
    <row r="392" spans="2:12" s="56" customFormat="1" ht="14">
      <c r="B392" s="44"/>
      <c r="C392" s="47"/>
      <c r="D392" s="84"/>
      <c r="E392" s="84"/>
      <c r="F392" s="84"/>
      <c r="G392" s="248"/>
      <c r="H392" s="248"/>
      <c r="I392" s="48"/>
      <c r="J392" s="75" t="str">
        <f t="shared" si="10"/>
        <v/>
      </c>
      <c r="K392" s="85" t="str">
        <f t="shared" si="11"/>
        <v/>
      </c>
      <c r="L392" s="47"/>
    </row>
    <row r="393" spans="2:12" s="56" customFormat="1" ht="14">
      <c r="B393" s="44"/>
      <c r="C393" s="47"/>
      <c r="D393" s="84"/>
      <c r="E393" s="84"/>
      <c r="F393" s="84"/>
      <c r="G393" s="248"/>
      <c r="H393" s="248"/>
      <c r="I393" s="48"/>
      <c r="J393" s="75" t="str">
        <f t="shared" si="10"/>
        <v/>
      </c>
      <c r="K393" s="85" t="str">
        <f t="shared" si="11"/>
        <v/>
      </c>
      <c r="L393" s="47"/>
    </row>
    <row r="394" spans="2:12" s="56" customFormat="1" ht="14">
      <c r="B394" s="44"/>
      <c r="C394" s="47"/>
      <c r="D394" s="84"/>
      <c r="E394" s="84"/>
      <c r="F394" s="84"/>
      <c r="G394" s="248"/>
      <c r="H394" s="248"/>
      <c r="I394" s="48"/>
      <c r="J394" s="75" t="str">
        <f t="shared" si="10"/>
        <v/>
      </c>
      <c r="K394" s="85" t="str">
        <f t="shared" si="11"/>
        <v/>
      </c>
      <c r="L394" s="47"/>
    </row>
    <row r="395" spans="2:12" s="56" customFormat="1" ht="14">
      <c r="B395" s="44"/>
      <c r="C395" s="47"/>
      <c r="D395" s="84"/>
      <c r="E395" s="84"/>
      <c r="F395" s="84"/>
      <c r="G395" s="248"/>
      <c r="H395" s="248"/>
      <c r="I395" s="48"/>
      <c r="J395" s="75" t="str">
        <f t="shared" ref="J395:J402" si="12">IF($C395&lt;&gt;"",$E395*1.5,"")</f>
        <v/>
      </c>
      <c r="K395" s="85" t="str">
        <f t="shared" ref="K395:K402" si="13">IFERROR($J395/10,"")</f>
        <v/>
      </c>
      <c r="L395" s="47"/>
    </row>
    <row r="396" spans="2:12" s="56" customFormat="1" ht="14">
      <c r="B396" s="44"/>
      <c r="C396" s="47"/>
      <c r="D396" s="84"/>
      <c r="E396" s="84"/>
      <c r="F396" s="84"/>
      <c r="G396" s="248"/>
      <c r="H396" s="248"/>
      <c r="I396" s="48"/>
      <c r="J396" s="75" t="str">
        <f t="shared" si="12"/>
        <v/>
      </c>
      <c r="K396" s="85" t="str">
        <f t="shared" si="13"/>
        <v/>
      </c>
      <c r="L396" s="47"/>
    </row>
    <row r="397" spans="2:12" s="56" customFormat="1" ht="14">
      <c r="B397" s="44"/>
      <c r="C397" s="47"/>
      <c r="D397" s="84"/>
      <c r="E397" s="84"/>
      <c r="F397" s="84"/>
      <c r="G397" s="248"/>
      <c r="H397" s="248"/>
      <c r="I397" s="48"/>
      <c r="J397" s="75" t="str">
        <f t="shared" si="12"/>
        <v/>
      </c>
      <c r="K397" s="85" t="str">
        <f t="shared" si="13"/>
        <v/>
      </c>
      <c r="L397" s="47"/>
    </row>
    <row r="398" spans="2:12" s="56" customFormat="1" ht="14">
      <c r="B398" s="44"/>
      <c r="C398" s="47"/>
      <c r="D398" s="84"/>
      <c r="E398" s="84"/>
      <c r="F398" s="84"/>
      <c r="G398" s="248"/>
      <c r="H398" s="248"/>
      <c r="I398" s="48"/>
      <c r="J398" s="75" t="str">
        <f t="shared" si="12"/>
        <v/>
      </c>
      <c r="K398" s="85" t="str">
        <f t="shared" si="13"/>
        <v/>
      </c>
      <c r="L398" s="47"/>
    </row>
    <row r="399" spans="2:12" s="56" customFormat="1" ht="14">
      <c r="B399" s="44"/>
      <c r="C399" s="47"/>
      <c r="D399" s="84"/>
      <c r="E399" s="84"/>
      <c r="F399" s="84"/>
      <c r="G399" s="248"/>
      <c r="H399" s="248"/>
      <c r="I399" s="48"/>
      <c r="J399" s="75" t="str">
        <f t="shared" si="12"/>
        <v/>
      </c>
      <c r="K399" s="85" t="str">
        <f t="shared" si="13"/>
        <v/>
      </c>
      <c r="L399" s="47"/>
    </row>
    <row r="400" spans="2:12" s="56" customFormat="1" ht="14">
      <c r="B400" s="44"/>
      <c r="C400" s="47"/>
      <c r="D400" s="84"/>
      <c r="E400" s="84"/>
      <c r="F400" s="84"/>
      <c r="G400" s="248"/>
      <c r="H400" s="248"/>
      <c r="I400" s="48"/>
      <c r="J400" s="75" t="str">
        <f t="shared" si="12"/>
        <v/>
      </c>
      <c r="K400" s="85" t="str">
        <f t="shared" si="13"/>
        <v/>
      </c>
      <c r="L400" s="47"/>
    </row>
    <row r="401" spans="2:12" s="56" customFormat="1" ht="14">
      <c r="B401" s="44"/>
      <c r="C401" s="47"/>
      <c r="D401" s="84"/>
      <c r="E401" s="84"/>
      <c r="F401" s="84"/>
      <c r="G401" s="248"/>
      <c r="H401" s="248"/>
      <c r="I401" s="48"/>
      <c r="J401" s="75" t="str">
        <f t="shared" si="12"/>
        <v/>
      </c>
      <c r="K401" s="85" t="str">
        <f t="shared" si="13"/>
        <v/>
      </c>
      <c r="L401" s="47"/>
    </row>
    <row r="402" spans="2:12" s="56" customFormat="1" ht="14">
      <c r="B402" s="44"/>
      <c r="C402" s="47"/>
      <c r="D402" s="84"/>
      <c r="E402" s="84"/>
      <c r="F402" s="84"/>
      <c r="G402" s="248"/>
      <c r="H402" s="248"/>
      <c r="I402" s="48"/>
      <c r="J402" s="75" t="str">
        <f t="shared" si="12"/>
        <v/>
      </c>
      <c r="K402" s="85" t="str">
        <f t="shared" si="13"/>
        <v/>
      </c>
      <c r="L402" s="47"/>
    </row>
    <row r="403" spans="2:12" s="56" customFormat="1" ht="14">
      <c r="B403" s="241" t="s">
        <v>66</v>
      </c>
      <c r="C403" s="241"/>
      <c r="D403" s="241"/>
      <c r="E403" s="241"/>
      <c r="F403" s="241"/>
      <c r="G403" s="241"/>
      <c r="H403" s="241"/>
      <c r="I403" s="241"/>
      <c r="J403" s="241"/>
      <c r="K403" s="241"/>
      <c r="L403" s="241"/>
    </row>
    <row r="404" spans="2:12" ht="13">
      <c r="B404" s="65"/>
      <c r="C404" s="67"/>
      <c r="D404" s="67"/>
      <c r="E404" s="67"/>
      <c r="F404" s="67"/>
      <c r="G404" s="67"/>
      <c r="H404" s="67"/>
      <c r="I404" s="87" t="s">
        <v>90</v>
      </c>
      <c r="J404" s="88">
        <f>SUM(J11:J402)</f>
        <v>0</v>
      </c>
      <c r="K404" s="251">
        <f>SUM(K11:K402)</f>
        <v>0</v>
      </c>
    </row>
    <row r="405" spans="2:12" ht="13">
      <c r="I405" s="252" t="s">
        <v>91</v>
      </c>
      <c r="J405" s="252"/>
      <c r="K405" s="251"/>
    </row>
  </sheetData>
  <sheetProtection sheet="1" formatCells="0" formatColumns="0" formatRows="0" insertColumns="0" insertRows="0" insertHyperlinks="0" deleteColumns="0" deleteRows="0" sort="0" autoFilter="0" pivotTables="0"/>
  <mergeCells count="413">
    <mergeCell ref="G401:H401"/>
    <mergeCell ref="G402:H402"/>
    <mergeCell ref="B403:L403"/>
    <mergeCell ref="K404:K405"/>
    <mergeCell ref="I405:J405"/>
    <mergeCell ref="G389:H389"/>
    <mergeCell ref="G390:H390"/>
    <mergeCell ref="G391:H391"/>
    <mergeCell ref="G392:H392"/>
    <mergeCell ref="G393:H393"/>
    <mergeCell ref="G386:H386"/>
    <mergeCell ref="G387:H387"/>
    <mergeCell ref="G388:H388"/>
    <mergeCell ref="G398:H398"/>
    <mergeCell ref="G399:H399"/>
    <mergeCell ref="G400:H400"/>
    <mergeCell ref="G394:H394"/>
    <mergeCell ref="G395:H395"/>
    <mergeCell ref="G396:H396"/>
    <mergeCell ref="G397:H397"/>
    <mergeCell ref="G383:H383"/>
    <mergeCell ref="G384:H384"/>
    <mergeCell ref="G385:H385"/>
    <mergeCell ref="G362:H362"/>
    <mergeCell ref="G363:H363"/>
    <mergeCell ref="G364:H364"/>
    <mergeCell ref="G365:H365"/>
    <mergeCell ref="G366:H366"/>
    <mergeCell ref="G367:H367"/>
    <mergeCell ref="G368:H368"/>
    <mergeCell ref="G378:H378"/>
    <mergeCell ref="G379:H379"/>
    <mergeCell ref="G380:H380"/>
    <mergeCell ref="G381:H381"/>
    <mergeCell ref="G382:H382"/>
    <mergeCell ref="G359:H359"/>
    <mergeCell ref="G360:H360"/>
    <mergeCell ref="G361:H361"/>
    <mergeCell ref="G370:H370"/>
    <mergeCell ref="G371:H371"/>
    <mergeCell ref="G374:H374"/>
    <mergeCell ref="G375:H375"/>
    <mergeCell ref="G376:H376"/>
    <mergeCell ref="G377:H377"/>
    <mergeCell ref="G338:H338"/>
    <mergeCell ref="G339:H339"/>
    <mergeCell ref="G340:H340"/>
    <mergeCell ref="G341:H341"/>
    <mergeCell ref="G372:H372"/>
    <mergeCell ref="G373:H373"/>
    <mergeCell ref="G344:H344"/>
    <mergeCell ref="G345:H345"/>
    <mergeCell ref="G347:H347"/>
    <mergeCell ref="G348:H348"/>
    <mergeCell ref="G346:H346"/>
    <mergeCell ref="G342:H342"/>
    <mergeCell ref="G369:H369"/>
    <mergeCell ref="G357:H357"/>
    <mergeCell ref="G358:H358"/>
    <mergeCell ref="G352:H352"/>
    <mergeCell ref="G353:H353"/>
    <mergeCell ref="G355:H355"/>
    <mergeCell ref="G356:H356"/>
    <mergeCell ref="G354:H354"/>
    <mergeCell ref="G343:H343"/>
    <mergeCell ref="G349:H349"/>
    <mergeCell ref="G350:H350"/>
    <mergeCell ref="G351:H351"/>
    <mergeCell ref="G292:H292"/>
    <mergeCell ref="G293:H293"/>
    <mergeCell ref="G294:H294"/>
    <mergeCell ref="G295:H295"/>
    <mergeCell ref="G332:H332"/>
    <mergeCell ref="G335:H335"/>
    <mergeCell ref="G336:H336"/>
    <mergeCell ref="G337:H337"/>
    <mergeCell ref="G333:H333"/>
    <mergeCell ref="G328:H328"/>
    <mergeCell ref="G314:H314"/>
    <mergeCell ref="G315:H315"/>
    <mergeCell ref="G329:H329"/>
    <mergeCell ref="G334:H334"/>
    <mergeCell ref="G316:H316"/>
    <mergeCell ref="G317:H317"/>
    <mergeCell ref="G318:H318"/>
    <mergeCell ref="G319:H319"/>
    <mergeCell ref="G331:H331"/>
    <mergeCell ref="G320:H320"/>
    <mergeCell ref="G321:H321"/>
    <mergeCell ref="G322:H322"/>
    <mergeCell ref="G323:H323"/>
    <mergeCell ref="G324:H324"/>
    <mergeCell ref="G325:H325"/>
    <mergeCell ref="G311:H311"/>
    <mergeCell ref="G312:H312"/>
    <mergeCell ref="G313:H313"/>
    <mergeCell ref="G326:H326"/>
    <mergeCell ref="G327:H327"/>
    <mergeCell ref="G330:H330"/>
    <mergeCell ref="G308:H308"/>
    <mergeCell ref="G309:H309"/>
    <mergeCell ref="G296:H296"/>
    <mergeCell ref="G297:H297"/>
    <mergeCell ref="G298:H298"/>
    <mergeCell ref="G299:H299"/>
    <mergeCell ref="G300:H300"/>
    <mergeCell ref="G301:H301"/>
    <mergeCell ref="G310:H310"/>
    <mergeCell ref="G302:H302"/>
    <mergeCell ref="G303:H303"/>
    <mergeCell ref="G304:H304"/>
    <mergeCell ref="G305:H305"/>
    <mergeCell ref="G306:H306"/>
    <mergeCell ref="G307:H307"/>
    <mergeCell ref="G290:H290"/>
    <mergeCell ref="G291:H291"/>
    <mergeCell ref="G244:H244"/>
    <mergeCell ref="G245:H245"/>
    <mergeCell ref="G246:H246"/>
    <mergeCell ref="G247:H247"/>
    <mergeCell ref="G284:H284"/>
    <mergeCell ref="G285:H285"/>
    <mergeCell ref="G268:H268"/>
    <mergeCell ref="G269:H269"/>
    <mergeCell ref="G287:H287"/>
    <mergeCell ref="G288:H288"/>
    <mergeCell ref="G289:H289"/>
    <mergeCell ref="G286:H286"/>
    <mergeCell ref="G263:H263"/>
    <mergeCell ref="G264:H264"/>
    <mergeCell ref="G265:H265"/>
    <mergeCell ref="G278:H278"/>
    <mergeCell ref="G279:H279"/>
    <mergeCell ref="G280:H280"/>
    <mergeCell ref="G281:H281"/>
    <mergeCell ref="G270:H270"/>
    <mergeCell ref="G271:H271"/>
    <mergeCell ref="G272:H272"/>
    <mergeCell ref="G273:H273"/>
    <mergeCell ref="G274:H274"/>
    <mergeCell ref="G275:H275"/>
    <mergeCell ref="G282:H282"/>
    <mergeCell ref="G283:H283"/>
    <mergeCell ref="G266:H266"/>
    <mergeCell ref="G267:H267"/>
    <mergeCell ref="G220:H220"/>
    <mergeCell ref="G221:H221"/>
    <mergeCell ref="G222:H222"/>
    <mergeCell ref="G223:H223"/>
    <mergeCell ref="G260:H260"/>
    <mergeCell ref="G261:H261"/>
    <mergeCell ref="G276:H276"/>
    <mergeCell ref="G277:H277"/>
    <mergeCell ref="G239:H239"/>
    <mergeCell ref="G258:H258"/>
    <mergeCell ref="G259:H259"/>
    <mergeCell ref="G248:H248"/>
    <mergeCell ref="G249:H249"/>
    <mergeCell ref="G250:H250"/>
    <mergeCell ref="G251:H251"/>
    <mergeCell ref="G252:H252"/>
    <mergeCell ref="G253:H253"/>
    <mergeCell ref="G240:H240"/>
    <mergeCell ref="G241:H241"/>
    <mergeCell ref="G254:H254"/>
    <mergeCell ref="G255:H255"/>
    <mergeCell ref="G256:H256"/>
    <mergeCell ref="G257:H257"/>
    <mergeCell ref="G242:H242"/>
    <mergeCell ref="G243:H243"/>
    <mergeCell ref="G262:H262"/>
    <mergeCell ref="G236:H236"/>
    <mergeCell ref="G237:H237"/>
    <mergeCell ref="G224:H224"/>
    <mergeCell ref="G225:H225"/>
    <mergeCell ref="G226:H226"/>
    <mergeCell ref="G227:H227"/>
    <mergeCell ref="G228:H228"/>
    <mergeCell ref="G229:H229"/>
    <mergeCell ref="G238:H238"/>
    <mergeCell ref="G230:H230"/>
    <mergeCell ref="G231:H231"/>
    <mergeCell ref="G232:H232"/>
    <mergeCell ref="G233:H233"/>
    <mergeCell ref="G234:H234"/>
    <mergeCell ref="G235:H235"/>
    <mergeCell ref="G218:H218"/>
    <mergeCell ref="G219:H219"/>
    <mergeCell ref="G172:H172"/>
    <mergeCell ref="G173:H173"/>
    <mergeCell ref="G174:H174"/>
    <mergeCell ref="G175:H175"/>
    <mergeCell ref="G212:H212"/>
    <mergeCell ref="G213:H213"/>
    <mergeCell ref="G196:H196"/>
    <mergeCell ref="G197:H197"/>
    <mergeCell ref="G215:H215"/>
    <mergeCell ref="G216:H216"/>
    <mergeCell ref="G217:H217"/>
    <mergeCell ref="G214:H214"/>
    <mergeCell ref="G191:H191"/>
    <mergeCell ref="G192:H192"/>
    <mergeCell ref="G193:H193"/>
    <mergeCell ref="G206:H206"/>
    <mergeCell ref="G207:H207"/>
    <mergeCell ref="G208:H208"/>
    <mergeCell ref="G209:H209"/>
    <mergeCell ref="G198:H198"/>
    <mergeCell ref="G199:H199"/>
    <mergeCell ref="G200:H200"/>
    <mergeCell ref="G201:H201"/>
    <mergeCell ref="G202:H202"/>
    <mergeCell ref="G203:H203"/>
    <mergeCell ref="G210:H210"/>
    <mergeCell ref="G211:H211"/>
    <mergeCell ref="G194:H194"/>
    <mergeCell ref="G195:H195"/>
    <mergeCell ref="G148:H148"/>
    <mergeCell ref="G149:H149"/>
    <mergeCell ref="G150:H150"/>
    <mergeCell ref="G151:H151"/>
    <mergeCell ref="G188:H188"/>
    <mergeCell ref="G189:H189"/>
    <mergeCell ref="G204:H204"/>
    <mergeCell ref="G205:H205"/>
    <mergeCell ref="G167:H167"/>
    <mergeCell ref="G186:H186"/>
    <mergeCell ref="G187:H187"/>
    <mergeCell ref="G176:H176"/>
    <mergeCell ref="G177:H177"/>
    <mergeCell ref="G178:H178"/>
    <mergeCell ref="G179:H179"/>
    <mergeCell ref="G180:H180"/>
    <mergeCell ref="G181:H181"/>
    <mergeCell ref="G168:H168"/>
    <mergeCell ref="G169:H169"/>
    <mergeCell ref="G182:H182"/>
    <mergeCell ref="G183:H183"/>
    <mergeCell ref="G184:H184"/>
    <mergeCell ref="G185:H185"/>
    <mergeCell ref="G170:H170"/>
    <mergeCell ref="G171:H171"/>
    <mergeCell ref="G190:H190"/>
    <mergeCell ref="G164:H164"/>
    <mergeCell ref="G165:H165"/>
    <mergeCell ref="G152:H152"/>
    <mergeCell ref="G153:H153"/>
    <mergeCell ref="G154:H154"/>
    <mergeCell ref="G155:H155"/>
    <mergeCell ref="G156:H156"/>
    <mergeCell ref="G157:H157"/>
    <mergeCell ref="G166:H166"/>
    <mergeCell ref="G158:H158"/>
    <mergeCell ref="G159:H159"/>
    <mergeCell ref="G160:H160"/>
    <mergeCell ref="G161:H161"/>
    <mergeCell ref="G162:H162"/>
    <mergeCell ref="G163:H163"/>
    <mergeCell ref="G146:H146"/>
    <mergeCell ref="G147:H147"/>
    <mergeCell ref="G100:H100"/>
    <mergeCell ref="G101:H101"/>
    <mergeCell ref="G102:H102"/>
    <mergeCell ref="G103:H103"/>
    <mergeCell ref="G140:H140"/>
    <mergeCell ref="G141:H141"/>
    <mergeCell ref="G124:H124"/>
    <mergeCell ref="G125:H125"/>
    <mergeCell ref="G143:H143"/>
    <mergeCell ref="G144:H144"/>
    <mergeCell ref="G145:H145"/>
    <mergeCell ref="G114:H114"/>
    <mergeCell ref="G115:H115"/>
    <mergeCell ref="G104:H104"/>
    <mergeCell ref="G105:H105"/>
    <mergeCell ref="G106:H106"/>
    <mergeCell ref="G138:H138"/>
    <mergeCell ref="G139:H139"/>
    <mergeCell ref="G122:H122"/>
    <mergeCell ref="G123:H123"/>
    <mergeCell ref="G76:H76"/>
    <mergeCell ref="G77:H77"/>
    <mergeCell ref="G78:H78"/>
    <mergeCell ref="G79:H79"/>
    <mergeCell ref="G116:H116"/>
    <mergeCell ref="G117:H117"/>
    <mergeCell ref="G132:H132"/>
    <mergeCell ref="G133:H133"/>
    <mergeCell ref="G142:H142"/>
    <mergeCell ref="G119:H119"/>
    <mergeCell ref="G120:H120"/>
    <mergeCell ref="G121:H121"/>
    <mergeCell ref="G134:H134"/>
    <mergeCell ref="G135:H135"/>
    <mergeCell ref="G136:H136"/>
    <mergeCell ref="G137:H137"/>
    <mergeCell ref="G126:H126"/>
    <mergeCell ref="G127:H127"/>
    <mergeCell ref="G128:H128"/>
    <mergeCell ref="G129:H129"/>
    <mergeCell ref="G130:H130"/>
    <mergeCell ref="G131:H131"/>
    <mergeCell ref="G118:H118"/>
    <mergeCell ref="G95:H95"/>
    <mergeCell ref="G96:H96"/>
    <mergeCell ref="G97:H97"/>
    <mergeCell ref="G110:H110"/>
    <mergeCell ref="G111:H111"/>
    <mergeCell ref="G112:H112"/>
    <mergeCell ref="G107:H107"/>
    <mergeCell ref="G108:H108"/>
    <mergeCell ref="G109:H109"/>
    <mergeCell ref="G113:H113"/>
    <mergeCell ref="G98:H98"/>
    <mergeCell ref="G99:H99"/>
    <mergeCell ref="G92:H92"/>
    <mergeCell ref="G93:H93"/>
    <mergeCell ref="G80:H80"/>
    <mergeCell ref="G81:H81"/>
    <mergeCell ref="G82:H82"/>
    <mergeCell ref="G83:H83"/>
    <mergeCell ref="G84:H84"/>
    <mergeCell ref="G85:H85"/>
    <mergeCell ref="G94:H94"/>
    <mergeCell ref="G86:H86"/>
    <mergeCell ref="G87:H87"/>
    <mergeCell ref="G88:H88"/>
    <mergeCell ref="G89:H89"/>
    <mergeCell ref="G90:H90"/>
    <mergeCell ref="G91:H91"/>
    <mergeCell ref="G74:H74"/>
    <mergeCell ref="G75:H75"/>
    <mergeCell ref="G28:H28"/>
    <mergeCell ref="G29:H29"/>
    <mergeCell ref="G30:H30"/>
    <mergeCell ref="G31:H31"/>
    <mergeCell ref="G68:H68"/>
    <mergeCell ref="G69:H69"/>
    <mergeCell ref="G52:H52"/>
    <mergeCell ref="G53:H53"/>
    <mergeCell ref="G71:H71"/>
    <mergeCell ref="G72:H72"/>
    <mergeCell ref="G73:H73"/>
    <mergeCell ref="G70:H70"/>
    <mergeCell ref="G47:H47"/>
    <mergeCell ref="G48:H48"/>
    <mergeCell ref="G49:H49"/>
    <mergeCell ref="G62:H62"/>
    <mergeCell ref="G63:H63"/>
    <mergeCell ref="G64:H64"/>
    <mergeCell ref="G65:H65"/>
    <mergeCell ref="G54:H54"/>
    <mergeCell ref="G55:H55"/>
    <mergeCell ref="G57:H57"/>
    <mergeCell ref="G58:H58"/>
    <mergeCell ref="G59:H59"/>
    <mergeCell ref="G66:H66"/>
    <mergeCell ref="G67:H67"/>
    <mergeCell ref="G50:H50"/>
    <mergeCell ref="G51:H51"/>
    <mergeCell ref="G44:H44"/>
    <mergeCell ref="G45:H45"/>
    <mergeCell ref="G46:H46"/>
    <mergeCell ref="G60:H60"/>
    <mergeCell ref="G61:H61"/>
    <mergeCell ref="G56:H56"/>
    <mergeCell ref="G43:H43"/>
    <mergeCell ref="G32:H32"/>
    <mergeCell ref="G33:H33"/>
    <mergeCell ref="G34:H34"/>
    <mergeCell ref="G35:H35"/>
    <mergeCell ref="G36:H36"/>
    <mergeCell ref="G37:H37"/>
    <mergeCell ref="G24:H24"/>
    <mergeCell ref="G25:H25"/>
    <mergeCell ref="G39:H39"/>
    <mergeCell ref="G40:H40"/>
    <mergeCell ref="G41:H41"/>
    <mergeCell ref="G42:H42"/>
    <mergeCell ref="G1:L1"/>
    <mergeCell ref="J8:K8"/>
    <mergeCell ref="L8:L9"/>
    <mergeCell ref="B10:L10"/>
    <mergeCell ref="G11:H11"/>
    <mergeCell ref="G12:H12"/>
    <mergeCell ref="G14:H14"/>
    <mergeCell ref="G15:H15"/>
    <mergeCell ref="G38:H38"/>
    <mergeCell ref="G26:H26"/>
    <mergeCell ref="G27:H27"/>
    <mergeCell ref="G23:H23"/>
    <mergeCell ref="G19:H19"/>
    <mergeCell ref="G20:H20"/>
    <mergeCell ref="G21:H21"/>
    <mergeCell ref="G22:H22"/>
    <mergeCell ref="G16:H16"/>
    <mergeCell ref="G17:H17"/>
    <mergeCell ref="G18:H18"/>
    <mergeCell ref="I8:I9"/>
    <mergeCell ref="J3:L3"/>
    <mergeCell ref="J4:L4"/>
    <mergeCell ref="B5:C6"/>
    <mergeCell ref="D5:E6"/>
    <mergeCell ref="J5:L5"/>
    <mergeCell ref="J6:L6"/>
    <mergeCell ref="G13:H13"/>
    <mergeCell ref="B8:B9"/>
    <mergeCell ref="C8:C9"/>
    <mergeCell ref="E8:E9"/>
    <mergeCell ref="G8:H9"/>
    <mergeCell ref="B3:C4"/>
    <mergeCell ref="D3:E4"/>
    <mergeCell ref="F8:F9"/>
  </mergeCells>
  <dataValidations count="3">
    <dataValidation type="list" allowBlank="1" showInputMessage="1" showErrorMessage="1" sqref="C11:C402" xr:uid="{00000000-0002-0000-0500-000000000000}">
      <formula1>UST</formula1>
      <formula2>0</formula2>
    </dataValidation>
    <dataValidation allowBlank="1" showInputMessage="1" showErrorMessage="1" errorTitle="Erro" error="Selecione uma das opções apresentada" sqref="J11:J402" xr:uid="{00000000-0002-0000-0500-000001000000}">
      <formula1>0</formula1>
      <formula2>0</formula2>
    </dataValidation>
    <dataValidation type="list" allowBlank="1" showInputMessage="1" showErrorMessage="1" sqref="D11:D402" xr:uid="{00000000-0002-0000-0500-000002000000}">
      <formula1>"Básica,Intermediária,Mediana,Alta"</formula1>
      <formula2>0</formula2>
    </dataValidation>
  </dataValidations>
  <pageMargins left="0.196527777777778" right="0.196527777777778" top="0.32986111111111099" bottom="0.42986111111111103" header="0.179861111111111" footer="0.27569444444444402"/>
  <pageSetup paperSize="9" firstPageNumber="0" fitToHeight="10" orientation="landscape" horizontalDpi="300" verticalDpi="300"/>
  <headerFooter>
    <oddHeader>&amp;C&amp;A</oddHeader>
    <oddFooter>&amp;CPágina &amp;P de &amp;N</oddFooter>
  </headerFooter>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109"/>
  <sheetViews>
    <sheetView showGridLines="0" zoomScaleNormal="100" workbookViewId="0">
      <selection activeCell="G3" sqref="G3:I3"/>
    </sheetView>
  </sheetViews>
  <sheetFormatPr defaultColWidth="8.81640625" defaultRowHeight="12.5"/>
  <cols>
    <col min="1" max="1" width="7.81640625" style="15" customWidth="1" collapsed="1"/>
    <col min="2" max="2" width="12" style="17" customWidth="1" collapsed="1"/>
    <col min="3" max="3" width="19.7265625" style="17" customWidth="1" collapsed="1"/>
    <col min="4" max="4" width="18.1796875" style="17" customWidth="1" collapsed="1"/>
    <col min="5" max="5" width="23" style="17" customWidth="1" collapsed="1"/>
    <col min="6" max="6" width="44" style="18" customWidth="1" collapsed="1"/>
    <col min="7" max="7" width="12.453125" style="15" customWidth="1" collapsed="1"/>
    <col min="8" max="8" width="8.453125" style="16" customWidth="1" collapsed="1"/>
    <col min="9" max="9" width="34.26953125" style="16" customWidth="1" collapsed="1"/>
    <col min="10" max="11" width="9.1796875" style="16" customWidth="1" collapsed="1"/>
    <col min="12" max="12" width="9.54296875" style="16" customWidth="1" collapsed="1"/>
    <col min="13" max="21" width="9.1796875" style="16" customWidth="1" collapsed="1"/>
    <col min="22" max="16384" width="8.81640625" style="16"/>
  </cols>
  <sheetData>
    <row r="1" spans="1:18" ht="69" customHeight="1">
      <c r="A1" s="2" t="s">
        <v>92</v>
      </c>
      <c r="B1" s="20"/>
      <c r="C1" s="79"/>
      <c r="D1" s="219" t="s">
        <v>93</v>
      </c>
      <c r="E1" s="219"/>
      <c r="F1" s="219"/>
      <c r="G1" s="219"/>
      <c r="H1" s="219"/>
      <c r="I1" s="219"/>
      <c r="J1" s="80"/>
      <c r="K1" s="80"/>
      <c r="L1" s="77"/>
      <c r="M1" s="77"/>
      <c r="N1" s="77"/>
      <c r="O1" s="77"/>
      <c r="P1" s="77"/>
      <c r="Q1" s="77"/>
      <c r="R1" s="77"/>
    </row>
    <row r="2" spans="1:18" ht="9" customHeight="1">
      <c r="A2" s="78"/>
      <c r="B2" s="89"/>
      <c r="C2" s="32"/>
      <c r="D2" s="32"/>
      <c r="E2" s="32"/>
      <c r="F2" s="32"/>
      <c r="G2" s="32"/>
      <c r="H2" s="32"/>
      <c r="I2" s="32"/>
      <c r="J2" s="32"/>
    </row>
    <row r="3" spans="1:18" ht="18.649999999999999" customHeight="1">
      <c r="A3" s="16"/>
      <c r="B3" s="22"/>
      <c r="C3" s="22"/>
      <c r="D3" s="22"/>
      <c r="E3" s="22"/>
      <c r="F3" s="27" t="s">
        <v>7</v>
      </c>
      <c r="G3" s="213"/>
      <c r="H3" s="213"/>
      <c r="I3" s="213"/>
    </row>
    <row r="4" spans="1:18" ht="18.649999999999999" customHeight="1">
      <c r="A4" s="16"/>
      <c r="B4" s="22"/>
      <c r="C4" s="22"/>
      <c r="D4" s="22"/>
      <c r="E4" s="22"/>
      <c r="F4" s="27" t="s">
        <v>8</v>
      </c>
      <c r="G4" s="211"/>
      <c r="H4" s="211"/>
      <c r="I4" s="211"/>
    </row>
    <row r="5" spans="1:18" ht="18.649999999999999" customHeight="1">
      <c r="A5" s="245" t="s">
        <v>69</v>
      </c>
      <c r="B5" s="245"/>
      <c r="C5" s="245"/>
      <c r="D5" s="246" t="str">
        <f>TEXT(H109,"#.##0,0#")</f>
        <v>0,0</v>
      </c>
      <c r="E5" s="90"/>
      <c r="F5" s="27" t="s">
        <v>9</v>
      </c>
      <c r="G5" s="213"/>
      <c r="H5" s="213"/>
      <c r="I5" s="213"/>
    </row>
    <row r="6" spans="1:18" ht="18.649999999999999" customHeight="1">
      <c r="A6" s="245"/>
      <c r="B6" s="245"/>
      <c r="C6" s="245"/>
      <c r="D6" s="246"/>
      <c r="E6" s="90"/>
      <c r="F6" s="27" t="s">
        <v>10</v>
      </c>
      <c r="G6" s="211"/>
      <c r="H6" s="211"/>
      <c r="I6" s="211"/>
    </row>
    <row r="7" spans="1:18" ht="9" customHeight="1">
      <c r="A7" s="81"/>
      <c r="B7" s="81"/>
      <c r="C7" s="81"/>
      <c r="D7" s="81"/>
      <c r="E7" s="81"/>
      <c r="F7" s="82"/>
      <c r="G7" s="82"/>
      <c r="H7" s="82"/>
      <c r="I7" s="82"/>
    </row>
    <row r="8" spans="1:18" s="38" customFormat="1" ht="15.65" customHeight="1">
      <c r="A8" s="217" t="s">
        <v>43</v>
      </c>
      <c r="B8" s="218" t="s">
        <v>70</v>
      </c>
      <c r="C8" s="218" t="s">
        <v>46</v>
      </c>
      <c r="D8" s="237" t="s">
        <v>47</v>
      </c>
      <c r="E8" s="237"/>
      <c r="F8" s="220" t="s">
        <v>94</v>
      </c>
      <c r="G8" s="250" t="s">
        <v>95</v>
      </c>
      <c r="H8" s="250"/>
      <c r="I8" s="250" t="s">
        <v>80</v>
      </c>
    </row>
    <row r="9" spans="1:18" s="43" customFormat="1" ht="15.5">
      <c r="A9" s="217"/>
      <c r="B9" s="218"/>
      <c r="C9" s="218"/>
      <c r="D9" s="237"/>
      <c r="E9" s="237"/>
      <c r="F9" s="220"/>
      <c r="G9" s="35" t="s">
        <v>49</v>
      </c>
      <c r="H9" s="35" t="s">
        <v>53</v>
      </c>
      <c r="I9" s="250"/>
    </row>
    <row r="10" spans="1:18" s="56" customFormat="1" ht="14">
      <c r="A10" s="44"/>
      <c r="B10" s="47"/>
      <c r="C10" s="47"/>
      <c r="D10" s="248"/>
      <c r="E10" s="248"/>
      <c r="F10" s="48"/>
      <c r="G10" s="47"/>
      <c r="H10" s="91" t="str">
        <f t="shared" ref="H10:H41" si="0">IF(G10="ALI",35,IF(G10="AIE",15,""))</f>
        <v/>
      </c>
      <c r="I10" s="47"/>
    </row>
    <row r="11" spans="1:18" s="56" customFormat="1" ht="14">
      <c r="A11" s="44"/>
      <c r="B11" s="47"/>
      <c r="C11" s="47"/>
      <c r="D11" s="248"/>
      <c r="E11" s="248"/>
      <c r="F11" s="48"/>
      <c r="G11" s="47"/>
      <c r="H11" s="91" t="str">
        <f t="shared" si="0"/>
        <v/>
      </c>
      <c r="I11" s="47"/>
    </row>
    <row r="12" spans="1:18" s="56" customFormat="1" ht="14">
      <c r="A12" s="44"/>
      <c r="B12" s="47"/>
      <c r="C12" s="47"/>
      <c r="D12" s="248"/>
      <c r="E12" s="248"/>
      <c r="F12" s="48"/>
      <c r="G12" s="47"/>
      <c r="H12" s="91" t="str">
        <f t="shared" si="0"/>
        <v/>
      </c>
      <c r="I12" s="47"/>
    </row>
    <row r="13" spans="1:18" s="56" customFormat="1" ht="14">
      <c r="A13" s="44"/>
      <c r="B13" s="47"/>
      <c r="C13" s="47"/>
      <c r="D13" s="248"/>
      <c r="E13" s="248"/>
      <c r="F13" s="48"/>
      <c r="G13" s="47"/>
      <c r="H13" s="91" t="str">
        <f t="shared" si="0"/>
        <v/>
      </c>
      <c r="I13" s="47"/>
    </row>
    <row r="14" spans="1:18" s="56" customFormat="1" ht="14">
      <c r="A14" s="44"/>
      <c r="B14" s="47"/>
      <c r="C14" s="47"/>
      <c r="D14" s="248"/>
      <c r="E14" s="248"/>
      <c r="F14" s="48"/>
      <c r="G14" s="47"/>
      <c r="H14" s="91" t="str">
        <f t="shared" si="0"/>
        <v/>
      </c>
      <c r="I14" s="47"/>
    </row>
    <row r="15" spans="1:18" s="56" customFormat="1" ht="14">
      <c r="A15" s="44"/>
      <c r="B15" s="47"/>
      <c r="C15" s="47"/>
      <c r="D15" s="248"/>
      <c r="E15" s="248"/>
      <c r="F15" s="48"/>
      <c r="G15" s="47"/>
      <c r="H15" s="91" t="str">
        <f t="shared" si="0"/>
        <v/>
      </c>
      <c r="I15" s="47"/>
    </row>
    <row r="16" spans="1:18" s="56" customFormat="1" ht="14">
      <c r="A16" s="44"/>
      <c r="B16" s="47"/>
      <c r="C16" s="47"/>
      <c r="D16" s="248"/>
      <c r="E16" s="248"/>
      <c r="F16" s="48"/>
      <c r="G16" s="47"/>
      <c r="H16" s="91" t="str">
        <f t="shared" si="0"/>
        <v/>
      </c>
      <c r="I16" s="47"/>
    </row>
    <row r="17" spans="1:9" s="56" customFormat="1" ht="14">
      <c r="A17" s="44"/>
      <c r="B17" s="47"/>
      <c r="C17" s="47"/>
      <c r="D17" s="248"/>
      <c r="E17" s="248"/>
      <c r="F17" s="48"/>
      <c r="G17" s="47"/>
      <c r="H17" s="91" t="str">
        <f t="shared" si="0"/>
        <v/>
      </c>
      <c r="I17" s="47"/>
    </row>
    <row r="18" spans="1:9" s="56" customFormat="1" ht="14">
      <c r="A18" s="44"/>
      <c r="B18" s="47"/>
      <c r="C18" s="47"/>
      <c r="D18" s="248"/>
      <c r="E18" s="248"/>
      <c r="F18" s="48"/>
      <c r="G18" s="47"/>
      <c r="H18" s="91" t="str">
        <f t="shared" si="0"/>
        <v/>
      </c>
      <c r="I18" s="47"/>
    </row>
    <row r="19" spans="1:9" s="56" customFormat="1" ht="14">
      <c r="A19" s="44"/>
      <c r="B19" s="47"/>
      <c r="C19" s="47"/>
      <c r="D19" s="248"/>
      <c r="E19" s="248"/>
      <c r="F19" s="48"/>
      <c r="G19" s="47"/>
      <c r="H19" s="91" t="str">
        <f t="shared" si="0"/>
        <v/>
      </c>
      <c r="I19" s="47"/>
    </row>
    <row r="20" spans="1:9" s="56" customFormat="1" ht="14">
      <c r="A20" s="44"/>
      <c r="B20" s="47"/>
      <c r="C20" s="47"/>
      <c r="D20" s="248"/>
      <c r="E20" s="248"/>
      <c r="F20" s="48"/>
      <c r="G20" s="47"/>
      <c r="H20" s="91" t="str">
        <f t="shared" si="0"/>
        <v/>
      </c>
      <c r="I20" s="47"/>
    </row>
    <row r="21" spans="1:9" s="56" customFormat="1" ht="14">
      <c r="A21" s="44"/>
      <c r="B21" s="47"/>
      <c r="C21" s="47"/>
      <c r="D21" s="248"/>
      <c r="E21" s="248"/>
      <c r="F21" s="48"/>
      <c r="G21" s="47"/>
      <c r="H21" s="91" t="str">
        <f t="shared" si="0"/>
        <v/>
      </c>
      <c r="I21" s="47"/>
    </row>
    <row r="22" spans="1:9" s="56" customFormat="1" ht="14">
      <c r="A22" s="44"/>
      <c r="B22" s="47"/>
      <c r="C22" s="47"/>
      <c r="D22" s="248"/>
      <c r="E22" s="248"/>
      <c r="F22" s="48"/>
      <c r="G22" s="47"/>
      <c r="H22" s="91" t="str">
        <f t="shared" si="0"/>
        <v/>
      </c>
      <c r="I22" s="47"/>
    </row>
    <row r="23" spans="1:9" s="56" customFormat="1" ht="14">
      <c r="A23" s="44"/>
      <c r="B23" s="47"/>
      <c r="C23" s="47"/>
      <c r="D23" s="248"/>
      <c r="E23" s="248"/>
      <c r="F23" s="48"/>
      <c r="G23" s="47"/>
      <c r="H23" s="91" t="str">
        <f t="shared" si="0"/>
        <v/>
      </c>
      <c r="I23" s="47"/>
    </row>
    <row r="24" spans="1:9" s="56" customFormat="1" ht="14">
      <c r="A24" s="44"/>
      <c r="B24" s="47"/>
      <c r="C24" s="47"/>
      <c r="D24" s="248"/>
      <c r="E24" s="248"/>
      <c r="F24" s="48"/>
      <c r="G24" s="47"/>
      <c r="H24" s="91" t="str">
        <f t="shared" si="0"/>
        <v/>
      </c>
      <c r="I24" s="47"/>
    </row>
    <row r="25" spans="1:9" s="56" customFormat="1" ht="14">
      <c r="A25" s="44"/>
      <c r="B25" s="47"/>
      <c r="C25" s="47"/>
      <c r="D25" s="248"/>
      <c r="E25" s="248"/>
      <c r="F25" s="48"/>
      <c r="G25" s="47"/>
      <c r="H25" s="91" t="str">
        <f t="shared" si="0"/>
        <v/>
      </c>
      <c r="I25" s="47"/>
    </row>
    <row r="26" spans="1:9" s="56" customFormat="1" ht="14">
      <c r="A26" s="44"/>
      <c r="B26" s="47"/>
      <c r="C26" s="47"/>
      <c r="D26" s="248"/>
      <c r="E26" s="248"/>
      <c r="F26" s="48"/>
      <c r="G26" s="47"/>
      <c r="H26" s="91" t="str">
        <f t="shared" si="0"/>
        <v/>
      </c>
      <c r="I26" s="47"/>
    </row>
    <row r="27" spans="1:9" s="56" customFormat="1" ht="14">
      <c r="A27" s="44"/>
      <c r="B27" s="47"/>
      <c r="C27" s="47"/>
      <c r="D27" s="248"/>
      <c r="E27" s="248"/>
      <c r="F27" s="48"/>
      <c r="G27" s="47"/>
      <c r="H27" s="91" t="str">
        <f t="shared" si="0"/>
        <v/>
      </c>
      <c r="I27" s="47"/>
    </row>
    <row r="28" spans="1:9" s="56" customFormat="1" ht="14">
      <c r="A28" s="44"/>
      <c r="B28" s="47"/>
      <c r="C28" s="47"/>
      <c r="D28" s="248"/>
      <c r="E28" s="248"/>
      <c r="F28" s="86"/>
      <c r="G28" s="47"/>
      <c r="H28" s="91" t="str">
        <f t="shared" si="0"/>
        <v/>
      </c>
      <c r="I28" s="47"/>
    </row>
    <row r="29" spans="1:9" s="56" customFormat="1" ht="14">
      <c r="A29" s="44"/>
      <c r="B29" s="47"/>
      <c r="C29" s="47"/>
      <c r="D29" s="248"/>
      <c r="E29" s="248"/>
      <c r="F29" s="86"/>
      <c r="G29" s="47"/>
      <c r="H29" s="91" t="str">
        <f t="shared" si="0"/>
        <v/>
      </c>
      <c r="I29" s="47"/>
    </row>
    <row r="30" spans="1:9" s="56" customFormat="1" ht="14">
      <c r="A30" s="44"/>
      <c r="B30" s="47"/>
      <c r="C30" s="47"/>
      <c r="D30" s="248"/>
      <c r="E30" s="248"/>
      <c r="F30" s="48"/>
      <c r="G30" s="47"/>
      <c r="H30" s="91" t="str">
        <f t="shared" si="0"/>
        <v/>
      </c>
      <c r="I30" s="47"/>
    </row>
    <row r="31" spans="1:9" s="56" customFormat="1" ht="14">
      <c r="A31" s="44"/>
      <c r="B31" s="47"/>
      <c r="C31" s="47"/>
      <c r="D31" s="248"/>
      <c r="E31" s="248"/>
      <c r="F31" s="48"/>
      <c r="G31" s="47"/>
      <c r="H31" s="91" t="str">
        <f t="shared" si="0"/>
        <v/>
      </c>
      <c r="I31" s="47"/>
    </row>
    <row r="32" spans="1:9" s="56" customFormat="1" ht="14">
      <c r="A32" s="44"/>
      <c r="B32" s="47"/>
      <c r="C32" s="47"/>
      <c r="D32" s="248"/>
      <c r="E32" s="248"/>
      <c r="F32" s="48"/>
      <c r="G32" s="47"/>
      <c r="H32" s="91" t="str">
        <f t="shared" si="0"/>
        <v/>
      </c>
      <c r="I32" s="47"/>
    </row>
    <row r="33" spans="1:9" s="56" customFormat="1" ht="14">
      <c r="A33" s="44"/>
      <c r="B33" s="47"/>
      <c r="C33" s="47"/>
      <c r="D33" s="248"/>
      <c r="E33" s="248"/>
      <c r="F33" s="48"/>
      <c r="G33" s="47"/>
      <c r="H33" s="91" t="str">
        <f t="shared" si="0"/>
        <v/>
      </c>
      <c r="I33" s="47"/>
    </row>
    <row r="34" spans="1:9" s="56" customFormat="1" ht="14">
      <c r="A34" s="44"/>
      <c r="B34" s="47"/>
      <c r="C34" s="47"/>
      <c r="D34" s="248"/>
      <c r="E34" s="248"/>
      <c r="F34" s="48"/>
      <c r="G34" s="47"/>
      <c r="H34" s="91" t="str">
        <f t="shared" si="0"/>
        <v/>
      </c>
      <c r="I34" s="47"/>
    </row>
    <row r="35" spans="1:9" s="56" customFormat="1" ht="14">
      <c r="A35" s="44"/>
      <c r="B35" s="47"/>
      <c r="C35" s="47"/>
      <c r="D35" s="248"/>
      <c r="E35" s="248"/>
      <c r="F35" s="48"/>
      <c r="G35" s="47"/>
      <c r="H35" s="91" t="str">
        <f t="shared" si="0"/>
        <v/>
      </c>
      <c r="I35" s="47"/>
    </row>
    <row r="36" spans="1:9" s="56" customFormat="1" ht="14">
      <c r="A36" s="44"/>
      <c r="B36" s="47"/>
      <c r="C36" s="47"/>
      <c r="D36" s="248"/>
      <c r="E36" s="248"/>
      <c r="F36" s="48"/>
      <c r="G36" s="47"/>
      <c r="H36" s="91" t="str">
        <f t="shared" si="0"/>
        <v/>
      </c>
      <c r="I36" s="47"/>
    </row>
    <row r="37" spans="1:9" s="56" customFormat="1" ht="14">
      <c r="A37" s="44"/>
      <c r="B37" s="47"/>
      <c r="C37" s="47"/>
      <c r="D37" s="248"/>
      <c r="E37" s="248"/>
      <c r="F37" s="48"/>
      <c r="G37" s="47"/>
      <c r="H37" s="91" t="str">
        <f t="shared" si="0"/>
        <v/>
      </c>
      <c r="I37" s="47"/>
    </row>
    <row r="38" spans="1:9" s="56" customFormat="1" ht="14">
      <c r="A38" s="44"/>
      <c r="B38" s="47"/>
      <c r="C38" s="47"/>
      <c r="D38" s="248"/>
      <c r="E38" s="248"/>
      <c r="F38" s="48"/>
      <c r="G38" s="47"/>
      <c r="H38" s="91" t="str">
        <f t="shared" si="0"/>
        <v/>
      </c>
      <c r="I38" s="47"/>
    </row>
    <row r="39" spans="1:9" s="56" customFormat="1" ht="14">
      <c r="A39" s="44"/>
      <c r="B39" s="47"/>
      <c r="C39" s="47"/>
      <c r="D39" s="248"/>
      <c r="E39" s="248"/>
      <c r="F39" s="48"/>
      <c r="G39" s="47"/>
      <c r="H39" s="91" t="str">
        <f t="shared" si="0"/>
        <v/>
      </c>
      <c r="I39" s="47"/>
    </row>
    <row r="40" spans="1:9" s="56" customFormat="1" ht="14">
      <c r="A40" s="44"/>
      <c r="B40" s="47"/>
      <c r="C40" s="47"/>
      <c r="D40" s="248"/>
      <c r="E40" s="248"/>
      <c r="F40" s="48"/>
      <c r="G40" s="47"/>
      <c r="H40" s="91" t="str">
        <f t="shared" si="0"/>
        <v/>
      </c>
      <c r="I40" s="47"/>
    </row>
    <row r="41" spans="1:9" s="56" customFormat="1" ht="14">
      <c r="A41" s="44"/>
      <c r="B41" s="47"/>
      <c r="C41" s="47"/>
      <c r="D41" s="248"/>
      <c r="E41" s="248"/>
      <c r="F41" s="48"/>
      <c r="G41" s="47"/>
      <c r="H41" s="91" t="str">
        <f t="shared" si="0"/>
        <v/>
      </c>
      <c r="I41" s="47"/>
    </row>
    <row r="42" spans="1:9" s="56" customFormat="1" ht="14">
      <c r="A42" s="44"/>
      <c r="B42" s="47"/>
      <c r="C42" s="47"/>
      <c r="D42" s="248"/>
      <c r="E42" s="248"/>
      <c r="F42" s="48"/>
      <c r="G42" s="47"/>
      <c r="H42" s="91" t="str">
        <f t="shared" ref="H42:H73" si="1">IF(G42="ALI",35,IF(G42="AIE",15,""))</f>
        <v/>
      </c>
      <c r="I42" s="47"/>
    </row>
    <row r="43" spans="1:9" s="56" customFormat="1" ht="14">
      <c r="A43" s="44"/>
      <c r="B43" s="47"/>
      <c r="C43" s="47"/>
      <c r="D43" s="248"/>
      <c r="E43" s="248"/>
      <c r="F43" s="48"/>
      <c r="G43" s="47"/>
      <c r="H43" s="91" t="str">
        <f t="shared" si="1"/>
        <v/>
      </c>
      <c r="I43" s="47"/>
    </row>
    <row r="44" spans="1:9" s="56" customFormat="1" ht="14">
      <c r="A44" s="44"/>
      <c r="B44" s="47"/>
      <c r="C44" s="47"/>
      <c r="D44" s="248"/>
      <c r="E44" s="248"/>
      <c r="F44" s="48"/>
      <c r="G44" s="47"/>
      <c r="H44" s="91" t="str">
        <f t="shared" si="1"/>
        <v/>
      </c>
      <c r="I44" s="47"/>
    </row>
    <row r="45" spans="1:9" s="56" customFormat="1" ht="14">
      <c r="A45" s="44"/>
      <c r="B45" s="47"/>
      <c r="C45" s="47"/>
      <c r="D45" s="248"/>
      <c r="E45" s="248"/>
      <c r="F45" s="48"/>
      <c r="G45" s="47"/>
      <c r="H45" s="91" t="str">
        <f t="shared" si="1"/>
        <v/>
      </c>
      <c r="I45" s="47"/>
    </row>
    <row r="46" spans="1:9" s="56" customFormat="1" ht="14">
      <c r="A46" s="44"/>
      <c r="B46" s="47"/>
      <c r="C46" s="47"/>
      <c r="D46" s="248"/>
      <c r="E46" s="248"/>
      <c r="F46" s="48"/>
      <c r="G46" s="47"/>
      <c r="H46" s="91" t="str">
        <f t="shared" si="1"/>
        <v/>
      </c>
      <c r="I46" s="47"/>
    </row>
    <row r="47" spans="1:9" s="56" customFormat="1" ht="14">
      <c r="A47" s="44"/>
      <c r="B47" s="47"/>
      <c r="C47" s="47"/>
      <c r="D47" s="248"/>
      <c r="E47" s="248"/>
      <c r="F47" s="48"/>
      <c r="G47" s="47"/>
      <c r="H47" s="91" t="str">
        <f t="shared" si="1"/>
        <v/>
      </c>
      <c r="I47" s="47"/>
    </row>
    <row r="48" spans="1:9" s="56" customFormat="1" ht="14">
      <c r="A48" s="44"/>
      <c r="B48" s="47"/>
      <c r="C48" s="47"/>
      <c r="D48" s="248"/>
      <c r="E48" s="248"/>
      <c r="F48" s="48"/>
      <c r="G48" s="47"/>
      <c r="H48" s="91" t="str">
        <f t="shared" si="1"/>
        <v/>
      </c>
      <c r="I48" s="47"/>
    </row>
    <row r="49" spans="1:9" s="56" customFormat="1" ht="14">
      <c r="A49" s="44"/>
      <c r="B49" s="47"/>
      <c r="C49" s="47"/>
      <c r="D49" s="248"/>
      <c r="E49" s="248"/>
      <c r="F49" s="48"/>
      <c r="G49" s="47"/>
      <c r="H49" s="91" t="str">
        <f t="shared" si="1"/>
        <v/>
      </c>
      <c r="I49" s="47"/>
    </row>
    <row r="50" spans="1:9" s="56" customFormat="1" ht="14">
      <c r="A50" s="44"/>
      <c r="B50" s="47"/>
      <c r="C50" s="47"/>
      <c r="D50" s="248"/>
      <c r="E50" s="248"/>
      <c r="F50" s="48"/>
      <c r="G50" s="47"/>
      <c r="H50" s="91" t="str">
        <f t="shared" si="1"/>
        <v/>
      </c>
      <c r="I50" s="47"/>
    </row>
    <row r="51" spans="1:9" s="56" customFormat="1" ht="14">
      <c r="A51" s="44"/>
      <c r="B51" s="47"/>
      <c r="C51" s="47"/>
      <c r="D51" s="248"/>
      <c r="E51" s="248"/>
      <c r="F51" s="48"/>
      <c r="G51" s="47"/>
      <c r="H51" s="91" t="str">
        <f t="shared" si="1"/>
        <v/>
      </c>
      <c r="I51" s="47"/>
    </row>
    <row r="52" spans="1:9" s="56" customFormat="1" ht="14">
      <c r="A52" s="44"/>
      <c r="B52" s="47"/>
      <c r="C52" s="47"/>
      <c r="D52" s="248"/>
      <c r="E52" s="248"/>
      <c r="F52" s="48"/>
      <c r="G52" s="47"/>
      <c r="H52" s="91" t="str">
        <f t="shared" si="1"/>
        <v/>
      </c>
      <c r="I52" s="47"/>
    </row>
    <row r="53" spans="1:9" s="56" customFormat="1" ht="14">
      <c r="A53" s="44"/>
      <c r="B53" s="47"/>
      <c r="C53" s="47"/>
      <c r="D53" s="248"/>
      <c r="E53" s="248"/>
      <c r="F53" s="48"/>
      <c r="G53" s="47"/>
      <c r="H53" s="91" t="str">
        <f t="shared" si="1"/>
        <v/>
      </c>
      <c r="I53" s="47"/>
    </row>
    <row r="54" spans="1:9" s="56" customFormat="1" ht="14">
      <c r="A54" s="44"/>
      <c r="B54" s="47"/>
      <c r="C54" s="47"/>
      <c r="D54" s="248"/>
      <c r="E54" s="248"/>
      <c r="F54" s="48"/>
      <c r="G54" s="47"/>
      <c r="H54" s="91" t="str">
        <f t="shared" si="1"/>
        <v/>
      </c>
      <c r="I54" s="47"/>
    </row>
    <row r="55" spans="1:9" s="56" customFormat="1" ht="14">
      <c r="A55" s="44"/>
      <c r="B55" s="47"/>
      <c r="C55" s="47"/>
      <c r="D55" s="248"/>
      <c r="E55" s="248"/>
      <c r="F55" s="48"/>
      <c r="G55" s="47"/>
      <c r="H55" s="91" t="str">
        <f t="shared" si="1"/>
        <v/>
      </c>
      <c r="I55" s="47"/>
    </row>
    <row r="56" spans="1:9" s="56" customFormat="1" ht="14">
      <c r="A56" s="44"/>
      <c r="B56" s="47"/>
      <c r="C56" s="47"/>
      <c r="D56" s="248"/>
      <c r="E56" s="248"/>
      <c r="F56" s="48"/>
      <c r="G56" s="47"/>
      <c r="H56" s="91" t="str">
        <f t="shared" si="1"/>
        <v/>
      </c>
      <c r="I56" s="47"/>
    </row>
    <row r="57" spans="1:9" s="56" customFormat="1" ht="14">
      <c r="A57" s="44"/>
      <c r="B57" s="47"/>
      <c r="C57" s="47"/>
      <c r="D57" s="248"/>
      <c r="E57" s="248"/>
      <c r="F57" s="48"/>
      <c r="G57" s="47"/>
      <c r="H57" s="91" t="str">
        <f t="shared" si="1"/>
        <v/>
      </c>
      <c r="I57" s="47"/>
    </row>
    <row r="58" spans="1:9" s="56" customFormat="1" ht="14">
      <c r="A58" s="44"/>
      <c r="B58" s="47"/>
      <c r="C58" s="47"/>
      <c r="D58" s="248"/>
      <c r="E58" s="248"/>
      <c r="F58" s="48"/>
      <c r="G58" s="47"/>
      <c r="H58" s="91" t="str">
        <f t="shared" si="1"/>
        <v/>
      </c>
      <c r="I58" s="47"/>
    </row>
    <row r="59" spans="1:9" s="56" customFormat="1" ht="14">
      <c r="A59" s="44"/>
      <c r="B59" s="47"/>
      <c r="C59" s="47"/>
      <c r="D59" s="248"/>
      <c r="E59" s="248"/>
      <c r="F59" s="48"/>
      <c r="G59" s="47"/>
      <c r="H59" s="91" t="str">
        <f t="shared" si="1"/>
        <v/>
      </c>
      <c r="I59" s="47"/>
    </row>
    <row r="60" spans="1:9" s="56" customFormat="1" ht="14">
      <c r="A60" s="44"/>
      <c r="B60" s="47"/>
      <c r="C60" s="47"/>
      <c r="D60" s="248"/>
      <c r="E60" s="248"/>
      <c r="F60" s="48"/>
      <c r="G60" s="47"/>
      <c r="H60" s="91" t="str">
        <f t="shared" si="1"/>
        <v/>
      </c>
      <c r="I60" s="47"/>
    </row>
    <row r="61" spans="1:9" s="56" customFormat="1" ht="14">
      <c r="A61" s="44"/>
      <c r="B61" s="47"/>
      <c r="C61" s="47"/>
      <c r="D61" s="248"/>
      <c r="E61" s="248"/>
      <c r="F61" s="48"/>
      <c r="G61" s="47"/>
      <c r="H61" s="91" t="str">
        <f t="shared" si="1"/>
        <v/>
      </c>
      <c r="I61" s="47"/>
    </row>
    <row r="62" spans="1:9" s="56" customFormat="1" ht="14">
      <c r="A62" s="44"/>
      <c r="B62" s="47"/>
      <c r="C62" s="47"/>
      <c r="D62" s="248"/>
      <c r="E62" s="248"/>
      <c r="F62" s="48"/>
      <c r="G62" s="47"/>
      <c r="H62" s="91" t="str">
        <f t="shared" si="1"/>
        <v/>
      </c>
      <c r="I62" s="47"/>
    </row>
    <row r="63" spans="1:9" s="56" customFormat="1" ht="14">
      <c r="A63" s="44"/>
      <c r="B63" s="47"/>
      <c r="C63" s="47"/>
      <c r="D63" s="248"/>
      <c r="E63" s="248"/>
      <c r="F63" s="48"/>
      <c r="G63" s="47"/>
      <c r="H63" s="91" t="str">
        <f t="shared" si="1"/>
        <v/>
      </c>
      <c r="I63" s="47"/>
    </row>
    <row r="64" spans="1:9" s="56" customFormat="1" ht="14">
      <c r="A64" s="44"/>
      <c r="B64" s="47"/>
      <c r="C64" s="47"/>
      <c r="D64" s="248"/>
      <c r="E64" s="248"/>
      <c r="F64" s="48"/>
      <c r="G64" s="47"/>
      <c r="H64" s="91" t="str">
        <f t="shared" si="1"/>
        <v/>
      </c>
      <c r="I64" s="47"/>
    </row>
    <row r="65" spans="1:9" s="56" customFormat="1" ht="14">
      <c r="A65" s="44"/>
      <c r="B65" s="47"/>
      <c r="C65" s="47"/>
      <c r="D65" s="248"/>
      <c r="E65" s="248"/>
      <c r="F65" s="48"/>
      <c r="G65" s="47"/>
      <c r="H65" s="91" t="str">
        <f t="shared" si="1"/>
        <v/>
      </c>
      <c r="I65" s="47"/>
    </row>
    <row r="66" spans="1:9" s="56" customFormat="1" ht="14">
      <c r="A66" s="44"/>
      <c r="B66" s="47"/>
      <c r="C66" s="47"/>
      <c r="D66" s="248"/>
      <c r="E66" s="248"/>
      <c r="F66" s="48"/>
      <c r="G66" s="47"/>
      <c r="H66" s="91" t="str">
        <f t="shared" si="1"/>
        <v/>
      </c>
      <c r="I66" s="47"/>
    </row>
    <row r="67" spans="1:9" s="56" customFormat="1" ht="14">
      <c r="A67" s="44"/>
      <c r="B67" s="47"/>
      <c r="C67" s="47"/>
      <c r="D67" s="248"/>
      <c r="E67" s="248"/>
      <c r="F67" s="48"/>
      <c r="G67" s="47"/>
      <c r="H67" s="91" t="str">
        <f t="shared" si="1"/>
        <v/>
      </c>
      <c r="I67" s="47"/>
    </row>
    <row r="68" spans="1:9" s="56" customFormat="1" ht="14">
      <c r="A68" s="44"/>
      <c r="B68" s="47"/>
      <c r="C68" s="47"/>
      <c r="D68" s="248"/>
      <c r="E68" s="248"/>
      <c r="F68" s="48"/>
      <c r="G68" s="47"/>
      <c r="H68" s="91" t="str">
        <f t="shared" si="1"/>
        <v/>
      </c>
      <c r="I68" s="47"/>
    </row>
    <row r="69" spans="1:9" s="56" customFormat="1" ht="14">
      <c r="A69" s="44"/>
      <c r="B69" s="47"/>
      <c r="C69" s="47"/>
      <c r="D69" s="248"/>
      <c r="E69" s="248"/>
      <c r="F69" s="48"/>
      <c r="G69" s="47"/>
      <c r="H69" s="91" t="str">
        <f t="shared" si="1"/>
        <v/>
      </c>
      <c r="I69" s="47"/>
    </row>
    <row r="70" spans="1:9" s="56" customFormat="1" ht="14">
      <c r="A70" s="44"/>
      <c r="B70" s="47"/>
      <c r="C70" s="47"/>
      <c r="D70" s="248"/>
      <c r="E70" s="248"/>
      <c r="F70" s="48"/>
      <c r="G70" s="47"/>
      <c r="H70" s="91" t="str">
        <f t="shared" si="1"/>
        <v/>
      </c>
      <c r="I70" s="47"/>
    </row>
    <row r="71" spans="1:9" s="56" customFormat="1" ht="14">
      <c r="A71" s="44"/>
      <c r="B71" s="47"/>
      <c r="C71" s="47"/>
      <c r="D71" s="248"/>
      <c r="E71" s="248"/>
      <c r="F71" s="48"/>
      <c r="G71" s="47"/>
      <c r="H71" s="91" t="str">
        <f t="shared" si="1"/>
        <v/>
      </c>
      <c r="I71" s="47"/>
    </row>
    <row r="72" spans="1:9" s="56" customFormat="1" ht="14">
      <c r="A72" s="44"/>
      <c r="B72" s="47"/>
      <c r="C72" s="47"/>
      <c r="D72" s="248"/>
      <c r="E72" s="248"/>
      <c r="F72" s="48"/>
      <c r="G72" s="47"/>
      <c r="H72" s="91" t="str">
        <f t="shared" si="1"/>
        <v/>
      </c>
      <c r="I72" s="47"/>
    </row>
    <row r="73" spans="1:9" s="56" customFormat="1" ht="14">
      <c r="A73" s="44"/>
      <c r="B73" s="47"/>
      <c r="C73" s="47"/>
      <c r="D73" s="248"/>
      <c r="E73" s="248"/>
      <c r="F73" s="48"/>
      <c r="G73" s="47"/>
      <c r="H73" s="91" t="str">
        <f t="shared" si="1"/>
        <v/>
      </c>
      <c r="I73" s="47"/>
    </row>
    <row r="74" spans="1:9" s="56" customFormat="1" ht="14">
      <c r="A74" s="44"/>
      <c r="B74" s="47"/>
      <c r="C74" s="47"/>
      <c r="D74" s="248"/>
      <c r="E74" s="248"/>
      <c r="F74" s="48"/>
      <c r="G74" s="47"/>
      <c r="H74" s="91" t="str">
        <f t="shared" ref="H74:H105" si="2">IF(G74="ALI",35,IF(G74="AIE",15,""))</f>
        <v/>
      </c>
      <c r="I74" s="47"/>
    </row>
    <row r="75" spans="1:9" s="56" customFormat="1" ht="14">
      <c r="A75" s="44"/>
      <c r="B75" s="47"/>
      <c r="C75" s="47"/>
      <c r="D75" s="248"/>
      <c r="E75" s="248"/>
      <c r="F75" s="48"/>
      <c r="G75" s="47"/>
      <c r="H75" s="91" t="str">
        <f t="shared" si="2"/>
        <v/>
      </c>
      <c r="I75" s="47"/>
    </row>
    <row r="76" spans="1:9" s="56" customFormat="1" ht="14">
      <c r="A76" s="44"/>
      <c r="B76" s="47"/>
      <c r="C76" s="47"/>
      <c r="D76" s="248"/>
      <c r="E76" s="248"/>
      <c r="F76" s="48"/>
      <c r="G76" s="47"/>
      <c r="H76" s="91" t="str">
        <f t="shared" si="2"/>
        <v/>
      </c>
      <c r="I76" s="47"/>
    </row>
    <row r="77" spans="1:9" s="56" customFormat="1" ht="14">
      <c r="A77" s="44"/>
      <c r="B77" s="47"/>
      <c r="C77" s="47"/>
      <c r="D77" s="248"/>
      <c r="E77" s="248"/>
      <c r="F77" s="48"/>
      <c r="G77" s="47"/>
      <c r="H77" s="91" t="str">
        <f t="shared" si="2"/>
        <v/>
      </c>
      <c r="I77" s="47"/>
    </row>
    <row r="78" spans="1:9" s="56" customFormat="1" ht="14">
      <c r="A78" s="44"/>
      <c r="B78" s="47"/>
      <c r="C78" s="47"/>
      <c r="D78" s="248"/>
      <c r="E78" s="248"/>
      <c r="F78" s="48"/>
      <c r="G78" s="47"/>
      <c r="H78" s="91" t="str">
        <f t="shared" si="2"/>
        <v/>
      </c>
      <c r="I78" s="47"/>
    </row>
    <row r="79" spans="1:9" s="56" customFormat="1" ht="14">
      <c r="A79" s="44"/>
      <c r="B79" s="47"/>
      <c r="C79" s="47"/>
      <c r="D79" s="248"/>
      <c r="E79" s="248"/>
      <c r="F79" s="48"/>
      <c r="G79" s="47"/>
      <c r="H79" s="91" t="str">
        <f t="shared" si="2"/>
        <v/>
      </c>
      <c r="I79" s="47"/>
    </row>
    <row r="80" spans="1:9" s="56" customFormat="1" ht="14">
      <c r="A80" s="44"/>
      <c r="B80" s="47"/>
      <c r="C80" s="47"/>
      <c r="D80" s="248"/>
      <c r="E80" s="248"/>
      <c r="F80" s="48"/>
      <c r="G80" s="47"/>
      <c r="H80" s="91" t="str">
        <f t="shared" si="2"/>
        <v/>
      </c>
      <c r="I80" s="47"/>
    </row>
    <row r="81" spans="1:9" s="56" customFormat="1" ht="14">
      <c r="A81" s="44"/>
      <c r="B81" s="47"/>
      <c r="C81" s="47"/>
      <c r="D81" s="248"/>
      <c r="E81" s="248"/>
      <c r="F81" s="48"/>
      <c r="G81" s="47"/>
      <c r="H81" s="91" t="str">
        <f t="shared" si="2"/>
        <v/>
      </c>
      <c r="I81" s="47"/>
    </row>
    <row r="82" spans="1:9" s="56" customFormat="1" ht="14">
      <c r="A82" s="44"/>
      <c r="B82" s="47"/>
      <c r="C82" s="47"/>
      <c r="D82" s="248"/>
      <c r="E82" s="248"/>
      <c r="F82" s="48"/>
      <c r="G82" s="47"/>
      <c r="H82" s="91" t="str">
        <f t="shared" si="2"/>
        <v/>
      </c>
      <c r="I82" s="47"/>
    </row>
    <row r="83" spans="1:9" s="56" customFormat="1" ht="14">
      <c r="A83" s="44"/>
      <c r="B83" s="47"/>
      <c r="C83" s="47"/>
      <c r="D83" s="248"/>
      <c r="E83" s="248"/>
      <c r="F83" s="48"/>
      <c r="G83" s="47"/>
      <c r="H83" s="91" t="str">
        <f t="shared" si="2"/>
        <v/>
      </c>
      <c r="I83" s="47"/>
    </row>
    <row r="84" spans="1:9" s="56" customFormat="1" ht="14">
      <c r="A84" s="44"/>
      <c r="B84" s="47"/>
      <c r="C84" s="47"/>
      <c r="D84" s="248"/>
      <c r="E84" s="248"/>
      <c r="F84" s="48"/>
      <c r="G84" s="47"/>
      <c r="H84" s="91" t="str">
        <f t="shared" si="2"/>
        <v/>
      </c>
      <c r="I84" s="47"/>
    </row>
    <row r="85" spans="1:9" s="56" customFormat="1" ht="14">
      <c r="A85" s="44"/>
      <c r="B85" s="47"/>
      <c r="C85" s="47"/>
      <c r="D85" s="248"/>
      <c r="E85" s="248"/>
      <c r="F85" s="48"/>
      <c r="G85" s="47"/>
      <c r="H85" s="91" t="str">
        <f t="shared" si="2"/>
        <v/>
      </c>
      <c r="I85" s="47"/>
    </row>
    <row r="86" spans="1:9" s="56" customFormat="1" ht="14">
      <c r="A86" s="44"/>
      <c r="B86" s="47"/>
      <c r="C86" s="47"/>
      <c r="D86" s="248"/>
      <c r="E86" s="248"/>
      <c r="F86" s="48"/>
      <c r="G86" s="47"/>
      <c r="H86" s="91" t="str">
        <f t="shared" si="2"/>
        <v/>
      </c>
      <c r="I86" s="47"/>
    </row>
    <row r="87" spans="1:9" s="56" customFormat="1" ht="14">
      <c r="A87" s="44"/>
      <c r="B87" s="47"/>
      <c r="C87" s="47"/>
      <c r="D87" s="248"/>
      <c r="E87" s="248"/>
      <c r="F87" s="48"/>
      <c r="G87" s="47"/>
      <c r="H87" s="91" t="str">
        <f t="shared" si="2"/>
        <v/>
      </c>
      <c r="I87" s="47"/>
    </row>
    <row r="88" spans="1:9" s="56" customFormat="1" ht="14">
      <c r="A88" s="44"/>
      <c r="B88" s="47"/>
      <c r="C88" s="47"/>
      <c r="D88" s="248"/>
      <c r="E88" s="248"/>
      <c r="F88" s="48"/>
      <c r="G88" s="47"/>
      <c r="H88" s="91" t="str">
        <f t="shared" si="2"/>
        <v/>
      </c>
      <c r="I88" s="47"/>
    </row>
    <row r="89" spans="1:9" s="56" customFormat="1" ht="14">
      <c r="A89" s="44"/>
      <c r="B89" s="47"/>
      <c r="C89" s="47"/>
      <c r="D89" s="248"/>
      <c r="E89" s="248"/>
      <c r="F89" s="48"/>
      <c r="G89" s="47"/>
      <c r="H89" s="91" t="str">
        <f t="shared" si="2"/>
        <v/>
      </c>
      <c r="I89" s="47"/>
    </row>
    <row r="90" spans="1:9" s="56" customFormat="1" ht="14">
      <c r="A90" s="44"/>
      <c r="B90" s="47"/>
      <c r="C90" s="47"/>
      <c r="D90" s="248"/>
      <c r="E90" s="248"/>
      <c r="F90" s="48"/>
      <c r="G90" s="47"/>
      <c r="H90" s="91" t="str">
        <f t="shared" si="2"/>
        <v/>
      </c>
      <c r="I90" s="47"/>
    </row>
    <row r="91" spans="1:9" s="56" customFormat="1" ht="14">
      <c r="A91" s="44"/>
      <c r="B91" s="47"/>
      <c r="C91" s="47"/>
      <c r="D91" s="248"/>
      <c r="E91" s="248"/>
      <c r="F91" s="48"/>
      <c r="G91" s="47"/>
      <c r="H91" s="91" t="str">
        <f t="shared" si="2"/>
        <v/>
      </c>
      <c r="I91" s="47"/>
    </row>
    <row r="92" spans="1:9" s="56" customFormat="1" ht="14">
      <c r="A92" s="44"/>
      <c r="B92" s="47"/>
      <c r="C92" s="47"/>
      <c r="D92" s="248"/>
      <c r="E92" s="248"/>
      <c r="F92" s="48"/>
      <c r="G92" s="47"/>
      <c r="H92" s="91" t="str">
        <f t="shared" si="2"/>
        <v/>
      </c>
      <c r="I92" s="47"/>
    </row>
    <row r="93" spans="1:9" s="56" customFormat="1" ht="14">
      <c r="A93" s="44"/>
      <c r="B93" s="47"/>
      <c r="C93" s="47"/>
      <c r="D93" s="248"/>
      <c r="E93" s="248"/>
      <c r="F93" s="48"/>
      <c r="G93" s="47"/>
      <c r="H93" s="91" t="str">
        <f t="shared" si="2"/>
        <v/>
      </c>
      <c r="I93" s="47"/>
    </row>
    <row r="94" spans="1:9" s="56" customFormat="1" ht="14">
      <c r="A94" s="44"/>
      <c r="B94" s="47"/>
      <c r="C94" s="47"/>
      <c r="D94" s="248"/>
      <c r="E94" s="248"/>
      <c r="F94" s="48"/>
      <c r="G94" s="47"/>
      <c r="H94" s="91" t="str">
        <f t="shared" si="2"/>
        <v/>
      </c>
      <c r="I94" s="47"/>
    </row>
    <row r="95" spans="1:9" s="56" customFormat="1" ht="14">
      <c r="A95" s="44"/>
      <c r="B95" s="47"/>
      <c r="C95" s="47"/>
      <c r="D95" s="248"/>
      <c r="E95" s="248"/>
      <c r="F95" s="48"/>
      <c r="G95" s="47"/>
      <c r="H95" s="91" t="str">
        <f t="shared" si="2"/>
        <v/>
      </c>
      <c r="I95" s="47"/>
    </row>
    <row r="96" spans="1:9" s="56" customFormat="1" ht="14">
      <c r="A96" s="44"/>
      <c r="B96" s="47"/>
      <c r="C96" s="47"/>
      <c r="D96" s="248"/>
      <c r="E96" s="248"/>
      <c r="F96" s="48"/>
      <c r="G96" s="47"/>
      <c r="H96" s="91" t="str">
        <f t="shared" si="2"/>
        <v/>
      </c>
      <c r="I96" s="47"/>
    </row>
    <row r="97" spans="1:9" s="56" customFormat="1" ht="14">
      <c r="A97" s="44"/>
      <c r="B97" s="47"/>
      <c r="C97" s="47"/>
      <c r="D97" s="248"/>
      <c r="E97" s="248"/>
      <c r="F97" s="48"/>
      <c r="G97" s="47"/>
      <c r="H97" s="91" t="str">
        <f t="shared" si="2"/>
        <v/>
      </c>
      <c r="I97" s="47"/>
    </row>
    <row r="98" spans="1:9" s="56" customFormat="1" ht="14">
      <c r="A98" s="44"/>
      <c r="B98" s="47"/>
      <c r="C98" s="47"/>
      <c r="D98" s="248"/>
      <c r="E98" s="248"/>
      <c r="F98" s="48"/>
      <c r="G98" s="47"/>
      <c r="H98" s="91" t="str">
        <f t="shared" si="2"/>
        <v/>
      </c>
      <c r="I98" s="47"/>
    </row>
    <row r="99" spans="1:9" s="56" customFormat="1" ht="14">
      <c r="A99" s="44"/>
      <c r="B99" s="47"/>
      <c r="C99" s="47"/>
      <c r="D99" s="248"/>
      <c r="E99" s="248"/>
      <c r="F99" s="48"/>
      <c r="G99" s="47"/>
      <c r="H99" s="91" t="str">
        <f t="shared" si="2"/>
        <v/>
      </c>
      <c r="I99" s="47"/>
    </row>
    <row r="100" spans="1:9" s="56" customFormat="1" ht="14">
      <c r="A100" s="44"/>
      <c r="B100" s="47"/>
      <c r="C100" s="47"/>
      <c r="D100" s="248"/>
      <c r="E100" s="248"/>
      <c r="F100" s="48"/>
      <c r="G100" s="47"/>
      <c r="H100" s="91" t="str">
        <f t="shared" si="2"/>
        <v/>
      </c>
      <c r="I100" s="47"/>
    </row>
    <row r="101" spans="1:9" s="56" customFormat="1" ht="14">
      <c r="A101" s="44"/>
      <c r="B101" s="47"/>
      <c r="C101" s="47"/>
      <c r="D101" s="248"/>
      <c r="E101" s="248"/>
      <c r="F101" s="48"/>
      <c r="G101" s="47"/>
      <c r="H101" s="91" t="str">
        <f t="shared" si="2"/>
        <v/>
      </c>
      <c r="I101" s="47"/>
    </row>
    <row r="102" spans="1:9" s="56" customFormat="1" ht="14">
      <c r="A102" s="44"/>
      <c r="B102" s="47"/>
      <c r="C102" s="47"/>
      <c r="D102" s="248"/>
      <c r="E102" s="248"/>
      <c r="F102" s="48"/>
      <c r="G102" s="47"/>
      <c r="H102" s="91" t="str">
        <f t="shared" si="2"/>
        <v/>
      </c>
      <c r="I102" s="47"/>
    </row>
    <row r="103" spans="1:9" s="56" customFormat="1" ht="14">
      <c r="A103" s="44"/>
      <c r="B103" s="47"/>
      <c r="C103" s="47"/>
      <c r="D103" s="248"/>
      <c r="E103" s="248"/>
      <c r="F103" s="48"/>
      <c r="G103" s="47"/>
      <c r="H103" s="91" t="str">
        <f t="shared" si="2"/>
        <v/>
      </c>
      <c r="I103" s="47"/>
    </row>
    <row r="104" spans="1:9" s="56" customFormat="1" ht="14">
      <c r="A104" s="44"/>
      <c r="B104" s="47"/>
      <c r="C104" s="47"/>
      <c r="D104" s="248"/>
      <c r="E104" s="248"/>
      <c r="F104" s="48"/>
      <c r="G104" s="47"/>
      <c r="H104" s="91" t="str">
        <f t="shared" si="2"/>
        <v/>
      </c>
      <c r="I104" s="47"/>
    </row>
    <row r="105" spans="1:9" s="56" customFormat="1" ht="14">
      <c r="A105" s="44"/>
      <c r="B105" s="47"/>
      <c r="C105" s="47"/>
      <c r="D105" s="248"/>
      <c r="E105" s="248"/>
      <c r="F105" s="48"/>
      <c r="G105" s="47"/>
      <c r="H105" s="91" t="str">
        <f t="shared" si="2"/>
        <v/>
      </c>
      <c r="I105" s="47"/>
    </row>
    <row r="106" spans="1:9" s="56" customFormat="1" ht="14">
      <c r="A106" s="44"/>
      <c r="B106" s="47"/>
      <c r="C106" s="47"/>
      <c r="D106" s="248"/>
      <c r="E106" s="248"/>
      <c r="F106" s="48"/>
      <c r="G106" s="47"/>
      <c r="H106" s="91" t="str">
        <f>IF(G106="ALI",35,IF(G106="AIE",15,""))</f>
        <v/>
      </c>
      <c r="I106" s="47"/>
    </row>
    <row r="107" spans="1:9" s="56" customFormat="1" ht="14">
      <c r="A107" s="44"/>
      <c r="B107" s="47"/>
      <c r="C107" s="47"/>
      <c r="D107" s="248"/>
      <c r="E107" s="248"/>
      <c r="F107" s="48"/>
      <c r="G107" s="47"/>
      <c r="H107" s="91" t="str">
        <f>IF(G107="ALI",35,IF(G107="AIE",15,""))</f>
        <v/>
      </c>
      <c r="I107" s="47"/>
    </row>
    <row r="108" spans="1:9" s="56" customFormat="1" ht="14">
      <c r="A108" s="241" t="s">
        <v>66</v>
      </c>
      <c r="B108" s="241"/>
      <c r="C108" s="241"/>
      <c r="D108" s="241"/>
      <c r="E108" s="241"/>
      <c r="F108" s="241"/>
      <c r="G108" s="241"/>
      <c r="H108" s="241"/>
      <c r="I108" s="241"/>
    </row>
    <row r="109" spans="1:9" ht="13" customHeight="1">
      <c r="A109" s="65"/>
      <c r="B109" s="67"/>
      <c r="C109" s="67"/>
      <c r="D109" s="67"/>
      <c r="E109" s="67"/>
      <c r="F109" s="247" t="s">
        <v>96</v>
      </c>
      <c r="G109" s="247"/>
      <c r="H109" s="92">
        <f>SUM(H10:H108)</f>
        <v>0</v>
      </c>
      <c r="I109" s="71"/>
    </row>
  </sheetData>
  <sheetProtection password="D8EB" sheet="1" formatCells="0" formatColumns="0" formatRows="0" insertColumns="0" insertRows="0" insertHyperlinks="0" deleteColumns="0" deleteRows="0" sort="0" autoFilter="0" pivotTables="0"/>
  <mergeCells count="114">
    <mergeCell ref="D107:E107"/>
    <mergeCell ref="A108:I108"/>
    <mergeCell ref="D99:E99"/>
    <mergeCell ref="F109:G109"/>
    <mergeCell ref="D100:E100"/>
    <mergeCell ref="D101:E101"/>
    <mergeCell ref="D102:E102"/>
    <mergeCell ref="D103:E103"/>
    <mergeCell ref="D104:E104"/>
    <mergeCell ref="D105:E105"/>
    <mergeCell ref="D106:E106"/>
    <mergeCell ref="D96:E96"/>
    <mergeCell ref="D97:E97"/>
    <mergeCell ref="D98:E98"/>
    <mergeCell ref="D75:E75"/>
    <mergeCell ref="D76:E76"/>
    <mergeCell ref="D77:E77"/>
    <mergeCell ref="D78:E78"/>
    <mergeCell ref="D79:E79"/>
    <mergeCell ref="D80:E80"/>
    <mergeCell ref="D93:E93"/>
    <mergeCell ref="D94:E94"/>
    <mergeCell ref="D95:E95"/>
    <mergeCell ref="D72:E72"/>
    <mergeCell ref="D73:E73"/>
    <mergeCell ref="D74:E74"/>
    <mergeCell ref="D87:E87"/>
    <mergeCell ref="D88:E88"/>
    <mergeCell ref="D89:E89"/>
    <mergeCell ref="D90:E90"/>
    <mergeCell ref="D91:E91"/>
    <mergeCell ref="D92:E92"/>
    <mergeCell ref="D81:E81"/>
    <mergeCell ref="D82:E82"/>
    <mergeCell ref="D83:E83"/>
    <mergeCell ref="D84:E84"/>
    <mergeCell ref="D85:E85"/>
    <mergeCell ref="D86:E86"/>
    <mergeCell ref="D64:E64"/>
    <mergeCell ref="D65:E65"/>
    <mergeCell ref="D66:E66"/>
    <mergeCell ref="D51:E51"/>
    <mergeCell ref="D52:E52"/>
    <mergeCell ref="D71:E71"/>
    <mergeCell ref="D48:E48"/>
    <mergeCell ref="D53:E53"/>
    <mergeCell ref="D54:E54"/>
    <mergeCell ref="D55:E55"/>
    <mergeCell ref="D56:E56"/>
    <mergeCell ref="D67:E67"/>
    <mergeCell ref="D68:E68"/>
    <mergeCell ref="D57:E57"/>
    <mergeCell ref="D58:E58"/>
    <mergeCell ref="D69:E69"/>
    <mergeCell ref="D70:E70"/>
    <mergeCell ref="D59:E59"/>
    <mergeCell ref="D60:E60"/>
    <mergeCell ref="D61:E61"/>
    <mergeCell ref="D62:E62"/>
    <mergeCell ref="D42:E42"/>
    <mergeCell ref="D43:E43"/>
    <mergeCell ref="D44:E44"/>
    <mergeCell ref="D45:E45"/>
    <mergeCell ref="D46:E46"/>
    <mergeCell ref="D47:E47"/>
    <mergeCell ref="D49:E49"/>
    <mergeCell ref="D50:E50"/>
    <mergeCell ref="D63:E63"/>
    <mergeCell ref="D1:I1"/>
    <mergeCell ref="G3:I3"/>
    <mergeCell ref="G4:I4"/>
    <mergeCell ref="D24:E24"/>
    <mergeCell ref="D25:E25"/>
    <mergeCell ref="D15:E15"/>
    <mergeCell ref="D12:E12"/>
    <mergeCell ref="D13:E13"/>
    <mergeCell ref="D11:E11"/>
    <mergeCell ref="D16:E16"/>
    <mergeCell ref="D40:E40"/>
    <mergeCell ref="D41:E41"/>
    <mergeCell ref="D19:E19"/>
    <mergeCell ref="D20:E20"/>
    <mergeCell ref="D27:E27"/>
    <mergeCell ref="D28:E28"/>
    <mergeCell ref="D22:E22"/>
    <mergeCell ref="D23:E23"/>
    <mergeCell ref="D26:E26"/>
    <mergeCell ref="D33:E33"/>
    <mergeCell ref="D34:E34"/>
    <mergeCell ref="D35:E35"/>
    <mergeCell ref="D36:E36"/>
    <mergeCell ref="D37:E37"/>
    <mergeCell ref="D29:E29"/>
    <mergeCell ref="D30:E30"/>
    <mergeCell ref="D31:E31"/>
    <mergeCell ref="D32:E32"/>
    <mergeCell ref="D21:E21"/>
    <mergeCell ref="A5:C6"/>
    <mergeCell ref="D5:D6"/>
    <mergeCell ref="A8:A9"/>
    <mergeCell ref="B8:B9"/>
    <mergeCell ref="C8:C9"/>
    <mergeCell ref="D14:E14"/>
    <mergeCell ref="D38:E38"/>
    <mergeCell ref="D39:E39"/>
    <mergeCell ref="G5:I5"/>
    <mergeCell ref="G6:I6"/>
    <mergeCell ref="I8:I9"/>
    <mergeCell ref="D10:E10"/>
    <mergeCell ref="F8:F9"/>
    <mergeCell ref="G8:H8"/>
    <mergeCell ref="D8:E9"/>
    <mergeCell ref="D17:E17"/>
    <mergeCell ref="D18:E18"/>
  </mergeCells>
  <conditionalFormatting sqref="G10:G107">
    <cfRule type="cellIs" dxfId="5" priority="2" operator="between">
      <formula>"Desenvolvimento"</formula>
      <formula>"Manutenção"</formula>
    </cfRule>
  </conditionalFormatting>
  <dataValidations count="1">
    <dataValidation type="list" allowBlank="1" showInputMessage="1" showErrorMessage="1" errorTitle="Erro" error="Selecione uma das opções apresentada" sqref="G10:G107" xr:uid="{00000000-0002-0000-0600-000000000000}">
      <formula1>"-------,ALI,AIE"</formula1>
      <formula2>0</formula2>
    </dataValidation>
  </dataValidations>
  <pageMargins left="0.196527777777778" right="0.196527777777778" top="0.32986111111111099" bottom="0.42986111111111103" header="0.179861111111111" footer="0.27569444444444402"/>
  <pageSetup paperSize="9" firstPageNumber="0" fitToHeight="10" orientation="landscape" horizontalDpi="300" verticalDpi="300"/>
  <headerFooter>
    <oddHeader>&amp;C&amp;A</oddHeader>
    <oddFooter>&amp;CPágina &amp;P de &amp;N</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624"/>
  <sheetViews>
    <sheetView showGridLines="0" zoomScaleNormal="100" workbookViewId="0"/>
  </sheetViews>
  <sheetFormatPr defaultColWidth="8.81640625" defaultRowHeight="12.5"/>
  <cols>
    <col min="1" max="1" width="4.54296875" style="15" customWidth="1" collapsed="1"/>
    <col min="2" max="2" width="68.453125" style="15" customWidth="1" collapsed="1"/>
    <col min="3" max="3" width="16.453125" style="15" customWidth="1" collapsed="1"/>
    <col min="4" max="16384" width="8.81640625" style="15"/>
  </cols>
  <sheetData>
    <row r="1" spans="1:3" ht="69" customHeight="1">
      <c r="A1" s="2" t="str">
        <f>Resumo!A1</f>
        <v>Template V.2.0</v>
      </c>
      <c r="B1" s="253" t="s">
        <v>238</v>
      </c>
      <c r="C1" s="253"/>
    </row>
    <row r="3" spans="1:3" ht="13">
      <c r="A3" s="221" t="s">
        <v>235</v>
      </c>
      <c r="B3" s="221"/>
      <c r="C3" s="221"/>
    </row>
    <row r="4" spans="1:3" ht="13">
      <c r="A4" s="35" t="s">
        <v>236</v>
      </c>
      <c r="B4" s="35" t="s">
        <v>237</v>
      </c>
      <c r="C4" s="35" t="s">
        <v>53</v>
      </c>
    </row>
    <row r="5" spans="1:3" ht="12.65" customHeight="1">
      <c r="A5" s="93">
        <v>1</v>
      </c>
      <c r="B5" s="94" t="s">
        <v>307</v>
      </c>
      <c r="C5" s="44">
        <v>5</v>
      </c>
    </row>
    <row r="6" spans="1:3" ht="12.65" customHeight="1">
      <c r="A6" s="93">
        <v>2</v>
      </c>
      <c r="B6" s="94" t="s">
        <v>309</v>
      </c>
      <c r="C6" s="44">
        <v>3</v>
      </c>
    </row>
    <row r="7" spans="1:3" ht="12.65" customHeight="1">
      <c r="A7" s="93">
        <v>3</v>
      </c>
      <c r="B7" s="94" t="s">
        <v>308</v>
      </c>
      <c r="C7" s="44">
        <v>42</v>
      </c>
    </row>
    <row r="8" spans="1:3" ht="12.65" customHeight="1">
      <c r="A8" s="93">
        <v>4</v>
      </c>
      <c r="B8" s="94" t="s">
        <v>310</v>
      </c>
      <c r="C8" s="44">
        <v>2.4</v>
      </c>
    </row>
    <row r="9" spans="1:3" ht="12.65" customHeight="1">
      <c r="A9" s="93"/>
      <c r="B9" s="94"/>
      <c r="C9" s="44"/>
    </row>
    <row r="10" spans="1:3" ht="12.65" customHeight="1">
      <c r="A10" s="93"/>
      <c r="B10" s="94"/>
      <c r="C10" s="44"/>
    </row>
    <row r="11" spans="1:3" ht="12.65" customHeight="1">
      <c r="A11" s="93"/>
      <c r="B11" s="94"/>
      <c r="C11" s="44"/>
    </row>
    <row r="12" spans="1:3" ht="12.65" customHeight="1">
      <c r="A12" s="93"/>
      <c r="B12" s="94"/>
      <c r="C12" s="44"/>
    </row>
    <row r="13" spans="1:3" ht="12.65" customHeight="1">
      <c r="A13" s="93"/>
      <c r="B13" s="94"/>
      <c r="C13" s="44"/>
    </row>
    <row r="14" spans="1:3" ht="12.65" customHeight="1">
      <c r="A14" s="93"/>
      <c r="B14" s="94"/>
      <c r="C14" s="44"/>
    </row>
    <row r="15" spans="1:3" ht="12.65" customHeight="1">
      <c r="A15" s="93"/>
      <c r="B15" s="94"/>
      <c r="C15" s="44"/>
    </row>
    <row r="16" spans="1:3" ht="12.65" customHeight="1">
      <c r="A16" s="93"/>
      <c r="B16" s="94"/>
      <c r="C16" s="44"/>
    </row>
    <row r="17" spans="1:3" ht="12.65" customHeight="1">
      <c r="A17" s="93"/>
      <c r="B17" s="94"/>
      <c r="C17" s="44"/>
    </row>
    <row r="18" spans="1:3" ht="12.65" customHeight="1">
      <c r="A18" s="93"/>
      <c r="B18" s="94"/>
      <c r="C18" s="44"/>
    </row>
    <row r="19" spans="1:3" ht="12.65" customHeight="1">
      <c r="A19" s="93"/>
      <c r="B19" s="94"/>
      <c r="C19" s="44"/>
    </row>
    <row r="20" spans="1:3" ht="12.65" customHeight="1">
      <c r="A20" s="93"/>
      <c r="B20" s="94"/>
      <c r="C20" s="44"/>
    </row>
    <row r="21" spans="1:3" ht="12.65" customHeight="1">
      <c r="A21" s="93"/>
      <c r="B21" s="94"/>
      <c r="C21" s="44"/>
    </row>
    <row r="22" spans="1:3" ht="12.65" customHeight="1">
      <c r="A22" s="93"/>
      <c r="B22" s="94"/>
      <c r="C22" s="44"/>
    </row>
    <row r="23" spans="1:3" ht="12.65" customHeight="1">
      <c r="A23" s="93"/>
      <c r="B23" s="94"/>
      <c r="C23" s="44"/>
    </row>
    <row r="24" spans="1:3" ht="12.65" customHeight="1">
      <c r="A24" s="93"/>
      <c r="B24" s="94"/>
      <c r="C24" s="44"/>
    </row>
    <row r="25" spans="1:3" ht="12.65" customHeight="1">
      <c r="A25" s="93"/>
      <c r="B25" s="94"/>
      <c r="C25" s="44"/>
    </row>
    <row r="26" spans="1:3" ht="12.65" customHeight="1">
      <c r="A26" s="93"/>
      <c r="B26" s="94"/>
      <c r="C26" s="44"/>
    </row>
    <row r="27" spans="1:3" ht="12.65" customHeight="1">
      <c r="A27" s="93"/>
      <c r="B27" s="94"/>
      <c r="C27" s="44"/>
    </row>
    <row r="28" spans="1:3" ht="12.65" customHeight="1">
      <c r="A28" s="93"/>
      <c r="B28" s="94"/>
      <c r="C28" s="44"/>
    </row>
    <row r="29" spans="1:3" ht="12.65" customHeight="1">
      <c r="A29" s="93"/>
      <c r="B29" s="94"/>
      <c r="C29" s="44"/>
    </row>
    <row r="30" spans="1:3" ht="12.65" customHeight="1">
      <c r="A30" s="93"/>
      <c r="B30" s="94"/>
      <c r="C30" s="44"/>
    </row>
    <row r="31" spans="1:3" ht="12.65" customHeight="1">
      <c r="A31" s="93"/>
      <c r="B31" s="94"/>
      <c r="C31" s="44"/>
    </row>
    <row r="32" spans="1:3" ht="12.65" customHeight="1">
      <c r="A32" s="93"/>
      <c r="B32" s="94"/>
      <c r="C32" s="44"/>
    </row>
    <row r="33" spans="1:3" ht="12.65" customHeight="1">
      <c r="A33" s="93"/>
      <c r="B33" s="94"/>
      <c r="C33" s="44"/>
    </row>
    <row r="34" spans="1:3" ht="12.65" customHeight="1">
      <c r="A34" s="93"/>
      <c r="B34" s="94"/>
      <c r="C34" s="44"/>
    </row>
    <row r="35" spans="1:3" ht="12.65" customHeight="1">
      <c r="A35" s="93"/>
      <c r="B35" s="94"/>
      <c r="C35" s="44"/>
    </row>
    <row r="36" spans="1:3" ht="12.65" customHeight="1">
      <c r="A36" s="93"/>
      <c r="B36" s="94"/>
      <c r="C36" s="44"/>
    </row>
    <row r="37" spans="1:3" ht="12.65" customHeight="1">
      <c r="A37" s="93"/>
      <c r="B37" s="94"/>
      <c r="C37" s="44"/>
    </row>
    <row r="38" spans="1:3" ht="12.65" customHeight="1">
      <c r="A38" s="93"/>
      <c r="B38" s="94"/>
      <c r="C38" s="44"/>
    </row>
    <row r="39" spans="1:3" ht="12.65" customHeight="1">
      <c r="A39" s="93"/>
      <c r="B39" s="94"/>
      <c r="C39" s="44"/>
    </row>
    <row r="40" spans="1:3" ht="12.65" customHeight="1">
      <c r="A40" s="93"/>
      <c r="B40" s="94"/>
      <c r="C40" s="44"/>
    </row>
    <row r="41" spans="1:3" ht="12.65" customHeight="1">
      <c r="A41" s="93"/>
      <c r="B41" s="94"/>
      <c r="C41" s="44"/>
    </row>
    <row r="42" spans="1:3" ht="12.65" customHeight="1">
      <c r="A42" s="93"/>
      <c r="B42" s="94"/>
      <c r="C42" s="44"/>
    </row>
    <row r="43" spans="1:3" ht="12.65" customHeight="1">
      <c r="A43" s="93"/>
      <c r="B43" s="94"/>
      <c r="C43" s="44"/>
    </row>
    <row r="44" spans="1:3" ht="12.65" customHeight="1">
      <c r="A44" s="93"/>
      <c r="B44" s="94"/>
      <c r="C44" s="44"/>
    </row>
    <row r="45" spans="1:3" ht="12.65" customHeight="1">
      <c r="A45" s="93"/>
      <c r="B45" s="94"/>
      <c r="C45" s="44"/>
    </row>
    <row r="46" spans="1:3" ht="12.65" customHeight="1">
      <c r="A46" s="93"/>
      <c r="B46" s="94"/>
      <c r="C46" s="44"/>
    </row>
    <row r="47" spans="1:3" ht="12.65" customHeight="1">
      <c r="A47" s="93"/>
      <c r="B47" s="94"/>
      <c r="C47" s="44"/>
    </row>
    <row r="48" spans="1:3" ht="12.65" customHeight="1">
      <c r="A48" s="93"/>
      <c r="B48" s="94"/>
      <c r="C48" s="44"/>
    </row>
    <row r="49" spans="1:3" ht="12.65" customHeight="1">
      <c r="A49" s="93"/>
      <c r="B49" s="94"/>
      <c r="C49" s="44"/>
    </row>
    <row r="50" spans="1:3" ht="12.65" customHeight="1">
      <c r="A50" s="93"/>
      <c r="B50" s="94"/>
      <c r="C50" s="44"/>
    </row>
    <row r="51" spans="1:3" ht="12.65" customHeight="1">
      <c r="A51" s="93"/>
      <c r="B51" s="94"/>
      <c r="C51" s="44"/>
    </row>
    <row r="52" spans="1:3" ht="12.65" customHeight="1">
      <c r="A52" s="93"/>
      <c r="B52" s="94"/>
      <c r="C52" s="44"/>
    </row>
    <row r="53" spans="1:3" ht="12.65" customHeight="1">
      <c r="A53" s="93"/>
      <c r="B53" s="94"/>
      <c r="C53" s="44"/>
    </row>
    <row r="54" spans="1:3" ht="12.65" customHeight="1">
      <c r="A54" s="93"/>
      <c r="B54" s="94"/>
      <c r="C54" s="44"/>
    </row>
    <row r="55" spans="1:3" ht="12.65" customHeight="1">
      <c r="A55" s="93"/>
      <c r="B55" s="94"/>
      <c r="C55" s="44"/>
    </row>
    <row r="56" spans="1:3" ht="12.65" customHeight="1">
      <c r="A56" s="93"/>
      <c r="B56" s="94"/>
      <c r="C56" s="44"/>
    </row>
    <row r="57" spans="1:3" ht="12.65" customHeight="1">
      <c r="A57" s="93"/>
      <c r="B57" s="94"/>
      <c r="C57" s="44"/>
    </row>
    <row r="58" spans="1:3" ht="12.65" customHeight="1">
      <c r="A58" s="93"/>
      <c r="B58" s="94"/>
      <c r="C58" s="44"/>
    </row>
    <row r="59" spans="1:3" ht="12.65" customHeight="1">
      <c r="A59" s="93"/>
      <c r="B59" s="94"/>
      <c r="C59" s="44"/>
    </row>
    <row r="60" spans="1:3" ht="12.65" customHeight="1">
      <c r="A60" s="93"/>
      <c r="B60" s="94"/>
      <c r="C60" s="44"/>
    </row>
    <row r="61" spans="1:3" ht="12.65" customHeight="1">
      <c r="A61" s="93"/>
      <c r="B61" s="94"/>
      <c r="C61" s="44"/>
    </row>
    <row r="62" spans="1:3" ht="12.65" customHeight="1">
      <c r="A62" s="93"/>
      <c r="B62" s="94"/>
      <c r="C62" s="44"/>
    </row>
    <row r="63" spans="1:3" ht="12.65" customHeight="1">
      <c r="A63" s="93"/>
      <c r="B63" s="94"/>
      <c r="C63" s="44"/>
    </row>
    <row r="64" spans="1:3" ht="12.65" customHeight="1">
      <c r="A64" s="93"/>
      <c r="B64" s="94"/>
      <c r="C64" s="44"/>
    </row>
    <row r="65" spans="1:3" ht="12.65" customHeight="1">
      <c r="A65" s="93"/>
      <c r="B65" s="94"/>
      <c r="C65" s="44"/>
    </row>
    <row r="66" spans="1:3" ht="12.65" customHeight="1">
      <c r="A66" s="93"/>
      <c r="B66" s="94"/>
      <c r="C66" s="44"/>
    </row>
    <row r="67" spans="1:3" ht="12.65" customHeight="1">
      <c r="A67" s="93"/>
      <c r="B67" s="94"/>
      <c r="C67" s="44"/>
    </row>
    <row r="68" spans="1:3" ht="12.65" customHeight="1">
      <c r="A68" s="93"/>
      <c r="B68" s="94"/>
      <c r="C68" s="44"/>
    </row>
    <row r="69" spans="1:3" ht="12.65" customHeight="1">
      <c r="A69" s="93"/>
      <c r="B69" s="94"/>
      <c r="C69" s="44"/>
    </row>
    <row r="70" spans="1:3" ht="12.65" customHeight="1">
      <c r="A70" s="93"/>
      <c r="B70" s="94"/>
      <c r="C70" s="44"/>
    </row>
    <row r="71" spans="1:3" ht="12.65" customHeight="1">
      <c r="A71" s="93"/>
      <c r="B71" s="94"/>
      <c r="C71" s="44"/>
    </row>
    <row r="72" spans="1:3" ht="12.65" customHeight="1">
      <c r="A72" s="93"/>
      <c r="B72" s="94"/>
      <c r="C72" s="44"/>
    </row>
    <row r="73" spans="1:3" ht="12.65" customHeight="1">
      <c r="A73" s="93"/>
      <c r="B73" s="94"/>
      <c r="C73" s="44"/>
    </row>
    <row r="74" spans="1:3" ht="12.65" customHeight="1">
      <c r="A74" s="93"/>
      <c r="B74" s="94"/>
      <c r="C74" s="44"/>
    </row>
    <row r="75" spans="1:3" ht="12.65" customHeight="1">
      <c r="A75" s="93"/>
      <c r="B75" s="94"/>
      <c r="C75" s="44"/>
    </row>
    <row r="76" spans="1:3" ht="12.65" customHeight="1">
      <c r="A76" s="93"/>
      <c r="B76" s="94"/>
      <c r="C76" s="44"/>
    </row>
    <row r="77" spans="1:3" ht="12.65" customHeight="1">
      <c r="A77" s="93"/>
      <c r="B77" s="94"/>
      <c r="C77" s="44"/>
    </row>
    <row r="78" spans="1:3" ht="12.65" customHeight="1">
      <c r="A78" s="93"/>
      <c r="B78" s="94"/>
      <c r="C78" s="44"/>
    </row>
    <row r="79" spans="1:3" ht="12.65" customHeight="1">
      <c r="A79" s="93"/>
      <c r="B79" s="94"/>
      <c r="C79" s="44"/>
    </row>
    <row r="80" spans="1:3" ht="12.65" customHeight="1">
      <c r="A80" s="93"/>
      <c r="B80" s="94"/>
      <c r="C80" s="44"/>
    </row>
    <row r="81" spans="1:3" ht="12.65" customHeight="1">
      <c r="A81" s="93"/>
      <c r="B81" s="94"/>
      <c r="C81" s="44"/>
    </row>
    <row r="82" spans="1:3" ht="12.65" customHeight="1">
      <c r="A82" s="93"/>
      <c r="B82" s="94"/>
      <c r="C82" s="44"/>
    </row>
    <row r="83" spans="1:3" ht="12.65" customHeight="1">
      <c r="A83" s="93"/>
      <c r="B83" s="94"/>
      <c r="C83" s="44"/>
    </row>
    <row r="84" spans="1:3" ht="12.65" customHeight="1">
      <c r="A84" s="93"/>
      <c r="B84" s="94"/>
      <c r="C84" s="44"/>
    </row>
    <row r="85" spans="1:3" ht="12.65" customHeight="1">
      <c r="A85" s="93"/>
      <c r="B85" s="94"/>
      <c r="C85" s="44"/>
    </row>
    <row r="86" spans="1:3" ht="12.65" customHeight="1">
      <c r="A86" s="93"/>
      <c r="B86" s="94"/>
      <c r="C86" s="44"/>
    </row>
    <row r="87" spans="1:3" ht="12.65" customHeight="1">
      <c r="A87" s="93"/>
      <c r="B87" s="94"/>
      <c r="C87" s="44"/>
    </row>
    <row r="88" spans="1:3" ht="12.65" customHeight="1">
      <c r="A88" s="93"/>
      <c r="B88" s="94"/>
      <c r="C88" s="44"/>
    </row>
    <row r="89" spans="1:3" ht="12.65" customHeight="1">
      <c r="A89" s="93"/>
      <c r="B89" s="94"/>
      <c r="C89" s="44"/>
    </row>
    <row r="90" spans="1:3" ht="12.65" customHeight="1">
      <c r="A90" s="93"/>
      <c r="B90" s="94"/>
      <c r="C90" s="44"/>
    </row>
    <row r="91" spans="1:3" ht="12.65" customHeight="1">
      <c r="A91" s="93"/>
      <c r="B91" s="94"/>
      <c r="C91" s="44"/>
    </row>
    <row r="92" spans="1:3" ht="12.65" customHeight="1">
      <c r="A92" s="93"/>
      <c r="B92" s="94"/>
      <c r="C92" s="44"/>
    </row>
    <row r="93" spans="1:3" ht="12.65" customHeight="1">
      <c r="A93" s="93"/>
      <c r="B93" s="94"/>
      <c r="C93" s="44"/>
    </row>
    <row r="94" spans="1:3" ht="12.65" customHeight="1">
      <c r="A94" s="93"/>
      <c r="B94" s="94"/>
      <c r="C94" s="44"/>
    </row>
    <row r="95" spans="1:3" ht="12.65" customHeight="1">
      <c r="A95" s="93"/>
      <c r="B95" s="94"/>
      <c r="C95" s="44"/>
    </row>
    <row r="96" spans="1:3" ht="12.65" customHeight="1">
      <c r="A96" s="93"/>
      <c r="B96" s="94"/>
      <c r="C96" s="44"/>
    </row>
    <row r="97" spans="1:3" ht="12.65" customHeight="1">
      <c r="A97" s="93"/>
      <c r="B97" s="94"/>
      <c r="C97" s="44"/>
    </row>
    <row r="98" spans="1:3" ht="12.65" customHeight="1">
      <c r="A98" s="93"/>
      <c r="B98" s="94"/>
      <c r="C98" s="44"/>
    </row>
    <row r="99" spans="1:3" ht="12.65" customHeight="1">
      <c r="A99" s="93"/>
      <c r="B99" s="94"/>
      <c r="C99" s="44"/>
    </row>
    <row r="100" spans="1:3" ht="12.65" customHeight="1">
      <c r="A100" s="93"/>
      <c r="B100" s="94"/>
      <c r="C100" s="44"/>
    </row>
    <row r="101" spans="1:3" ht="12.65" customHeight="1">
      <c r="A101" s="93"/>
      <c r="B101" s="94"/>
      <c r="C101" s="44"/>
    </row>
    <row r="102" spans="1:3" ht="12.65" customHeight="1">
      <c r="A102" s="93"/>
      <c r="B102" s="94"/>
      <c r="C102" s="44"/>
    </row>
    <row r="103" spans="1:3" ht="12.65" customHeight="1">
      <c r="A103" s="93"/>
      <c r="B103" s="94"/>
      <c r="C103" s="44"/>
    </row>
    <row r="104" spans="1:3" ht="12.65" customHeight="1">
      <c r="A104" s="93"/>
      <c r="B104" s="94"/>
      <c r="C104" s="44"/>
    </row>
    <row r="105" spans="1:3" ht="12.65" customHeight="1">
      <c r="A105" s="93"/>
      <c r="B105" s="94"/>
      <c r="C105" s="44"/>
    </row>
    <row r="106" spans="1:3" ht="12.65" customHeight="1">
      <c r="A106" s="93"/>
      <c r="B106" s="94"/>
      <c r="C106" s="44"/>
    </row>
    <row r="107" spans="1:3" ht="12.65" customHeight="1">
      <c r="A107" s="93"/>
      <c r="B107" s="94"/>
      <c r="C107" s="44"/>
    </row>
    <row r="108" spans="1:3" ht="12.65" customHeight="1">
      <c r="A108" s="93"/>
      <c r="B108" s="94"/>
      <c r="C108" s="44"/>
    </row>
    <row r="109" spans="1:3" ht="12.65" customHeight="1">
      <c r="A109" s="93"/>
      <c r="B109" s="94"/>
      <c r="C109" s="44"/>
    </row>
    <row r="110" spans="1:3" ht="12.65" customHeight="1">
      <c r="A110" s="93"/>
      <c r="B110" s="94"/>
      <c r="C110" s="44"/>
    </row>
    <row r="111" spans="1:3" ht="12.65" customHeight="1">
      <c r="A111" s="93"/>
      <c r="B111" s="94"/>
      <c r="C111" s="44"/>
    </row>
    <row r="112" spans="1:3" ht="12.65" customHeight="1">
      <c r="A112" s="93"/>
      <c r="B112" s="94"/>
      <c r="C112" s="44"/>
    </row>
    <row r="113" spans="1:3" ht="12.65" customHeight="1">
      <c r="A113" s="93"/>
      <c r="B113" s="94"/>
      <c r="C113" s="44"/>
    </row>
    <row r="114" spans="1:3" ht="12.65" customHeight="1">
      <c r="A114" s="93"/>
      <c r="B114" s="94"/>
      <c r="C114" s="44"/>
    </row>
    <row r="115" spans="1:3" ht="12.65" customHeight="1">
      <c r="A115" s="93"/>
      <c r="B115" s="94"/>
      <c r="C115" s="44"/>
    </row>
    <row r="116" spans="1:3" ht="12.65" customHeight="1">
      <c r="A116" s="93"/>
      <c r="B116" s="94"/>
      <c r="C116" s="44"/>
    </row>
    <row r="117" spans="1:3" ht="12.65" customHeight="1">
      <c r="A117" s="93"/>
      <c r="B117" s="94"/>
      <c r="C117" s="44"/>
    </row>
    <row r="118" spans="1:3" ht="12.65" customHeight="1">
      <c r="A118" s="93"/>
      <c r="B118" s="94"/>
      <c r="C118" s="44"/>
    </row>
    <row r="119" spans="1:3" ht="12.65" customHeight="1">
      <c r="A119" s="93"/>
      <c r="B119" s="94"/>
      <c r="C119" s="44"/>
    </row>
    <row r="120" spans="1:3" ht="12.65" customHeight="1">
      <c r="A120" s="93"/>
      <c r="B120" s="94"/>
      <c r="C120" s="44"/>
    </row>
    <row r="121" spans="1:3" ht="12.65" customHeight="1">
      <c r="A121" s="93"/>
      <c r="B121" s="94"/>
      <c r="C121" s="44"/>
    </row>
    <row r="122" spans="1:3" ht="12.65" customHeight="1">
      <c r="A122" s="93"/>
      <c r="B122" s="94"/>
      <c r="C122" s="44"/>
    </row>
    <row r="123" spans="1:3" ht="12.65" customHeight="1">
      <c r="A123" s="93"/>
      <c r="B123" s="94"/>
      <c r="C123" s="44"/>
    </row>
    <row r="124" spans="1:3" ht="12.65" customHeight="1">
      <c r="A124" s="93"/>
      <c r="B124" s="94"/>
      <c r="C124" s="44"/>
    </row>
    <row r="125" spans="1:3" ht="12.65" customHeight="1">
      <c r="A125" s="93"/>
      <c r="B125" s="94"/>
      <c r="C125" s="44"/>
    </row>
    <row r="126" spans="1:3" ht="12.65" customHeight="1">
      <c r="A126" s="93"/>
      <c r="B126" s="94"/>
      <c r="C126" s="44"/>
    </row>
    <row r="127" spans="1:3" ht="12.65" customHeight="1">
      <c r="A127" s="93"/>
      <c r="B127" s="94"/>
      <c r="C127" s="44"/>
    </row>
    <row r="128" spans="1:3" ht="12.65" customHeight="1">
      <c r="A128" s="93"/>
      <c r="B128" s="94"/>
      <c r="C128" s="44"/>
    </row>
    <row r="129" spans="1:3" ht="12.65" customHeight="1">
      <c r="A129" s="93"/>
      <c r="B129" s="94"/>
      <c r="C129" s="44"/>
    </row>
    <row r="130" spans="1:3" ht="12.65" customHeight="1">
      <c r="A130" s="93"/>
      <c r="B130" s="94"/>
      <c r="C130" s="44"/>
    </row>
    <row r="131" spans="1:3" ht="12.65" customHeight="1">
      <c r="A131" s="93"/>
      <c r="B131" s="94"/>
      <c r="C131" s="44"/>
    </row>
    <row r="132" spans="1:3" ht="12.65" customHeight="1">
      <c r="A132" s="93"/>
      <c r="B132" s="94"/>
      <c r="C132" s="44"/>
    </row>
    <row r="133" spans="1:3" ht="12.65" customHeight="1">
      <c r="A133" s="93"/>
      <c r="B133" s="94"/>
      <c r="C133" s="44"/>
    </row>
    <row r="134" spans="1:3" ht="12.65" customHeight="1">
      <c r="A134" s="93"/>
      <c r="B134" s="94"/>
      <c r="C134" s="44"/>
    </row>
    <row r="135" spans="1:3" ht="12.65" customHeight="1">
      <c r="A135" s="93"/>
      <c r="B135" s="94"/>
      <c r="C135" s="44"/>
    </row>
    <row r="136" spans="1:3" ht="12.65" customHeight="1">
      <c r="A136" s="93"/>
      <c r="B136" s="94"/>
      <c r="C136" s="44"/>
    </row>
    <row r="137" spans="1:3" ht="12.65" customHeight="1">
      <c r="A137" s="93"/>
      <c r="B137" s="94"/>
      <c r="C137" s="44"/>
    </row>
    <row r="138" spans="1:3" ht="12.65" customHeight="1">
      <c r="A138" s="93"/>
      <c r="B138" s="94"/>
      <c r="C138" s="44"/>
    </row>
    <row r="139" spans="1:3" ht="12.65" customHeight="1">
      <c r="A139" s="93"/>
      <c r="B139" s="94"/>
      <c r="C139" s="44"/>
    </row>
    <row r="140" spans="1:3" ht="12.65" customHeight="1">
      <c r="A140" s="93"/>
      <c r="B140" s="94"/>
      <c r="C140" s="44"/>
    </row>
    <row r="141" spans="1:3" ht="12.65" customHeight="1">
      <c r="A141" s="93"/>
      <c r="B141" s="94"/>
      <c r="C141" s="44"/>
    </row>
    <row r="142" spans="1:3" ht="12.65" customHeight="1">
      <c r="A142" s="93"/>
      <c r="B142" s="94"/>
      <c r="C142" s="44"/>
    </row>
    <row r="143" spans="1:3" ht="12.65" customHeight="1">
      <c r="A143" s="93"/>
      <c r="B143" s="94"/>
      <c r="C143" s="44"/>
    </row>
    <row r="144" spans="1:3" ht="12.65" customHeight="1">
      <c r="A144" s="93"/>
      <c r="B144" s="94"/>
      <c r="C144" s="44"/>
    </row>
    <row r="145" spans="1:3" ht="12.65" customHeight="1">
      <c r="A145" s="93"/>
      <c r="B145" s="94"/>
      <c r="C145" s="44"/>
    </row>
    <row r="146" spans="1:3" ht="12.65" customHeight="1">
      <c r="A146" s="93"/>
      <c r="B146" s="94"/>
      <c r="C146" s="44"/>
    </row>
    <row r="147" spans="1:3" ht="12.65" customHeight="1">
      <c r="A147" s="93"/>
      <c r="B147" s="94"/>
      <c r="C147" s="44"/>
    </row>
    <row r="148" spans="1:3" ht="12.65" customHeight="1">
      <c r="A148" s="93"/>
      <c r="B148" s="94"/>
      <c r="C148" s="44"/>
    </row>
    <row r="149" spans="1:3" ht="12.65" customHeight="1">
      <c r="A149" s="93"/>
      <c r="B149" s="94"/>
      <c r="C149" s="44"/>
    </row>
    <row r="150" spans="1:3" ht="12.65" customHeight="1">
      <c r="A150" s="93"/>
      <c r="B150" s="94"/>
      <c r="C150" s="44"/>
    </row>
    <row r="151" spans="1:3" ht="12.65" customHeight="1">
      <c r="A151" s="93"/>
      <c r="B151" s="94"/>
      <c r="C151" s="44"/>
    </row>
    <row r="152" spans="1:3" ht="12.65" customHeight="1">
      <c r="A152" s="93"/>
      <c r="B152" s="94"/>
      <c r="C152" s="44"/>
    </row>
    <row r="153" spans="1:3" ht="12.65" customHeight="1">
      <c r="A153" s="93"/>
      <c r="B153" s="94"/>
      <c r="C153" s="44"/>
    </row>
    <row r="154" spans="1:3" ht="12.65" customHeight="1">
      <c r="A154" s="93"/>
      <c r="B154" s="94"/>
      <c r="C154" s="44"/>
    </row>
    <row r="155" spans="1:3" ht="12.65" customHeight="1">
      <c r="A155" s="93"/>
      <c r="B155" s="94"/>
      <c r="C155" s="44"/>
    </row>
    <row r="156" spans="1:3" ht="12.65" customHeight="1">
      <c r="A156" s="93"/>
      <c r="B156" s="94"/>
      <c r="C156" s="44"/>
    </row>
    <row r="157" spans="1:3" ht="12.65" customHeight="1">
      <c r="A157" s="93"/>
      <c r="B157" s="94"/>
      <c r="C157" s="44"/>
    </row>
    <row r="158" spans="1:3" ht="12.65" customHeight="1">
      <c r="A158" s="93"/>
      <c r="B158" s="94"/>
      <c r="C158" s="44"/>
    </row>
    <row r="159" spans="1:3" ht="12.65" customHeight="1">
      <c r="A159" s="93"/>
      <c r="B159" s="94"/>
      <c r="C159" s="44"/>
    </row>
    <row r="160" spans="1:3" ht="12.65" customHeight="1">
      <c r="A160" s="93"/>
      <c r="B160" s="94"/>
      <c r="C160" s="44"/>
    </row>
    <row r="161" spans="1:3" ht="12.65" customHeight="1">
      <c r="A161" s="93"/>
      <c r="B161" s="94"/>
      <c r="C161" s="44"/>
    </row>
    <row r="162" spans="1:3" ht="12.65" customHeight="1">
      <c r="A162" s="93"/>
      <c r="B162" s="94"/>
      <c r="C162" s="44"/>
    </row>
    <row r="163" spans="1:3" ht="12.65" customHeight="1">
      <c r="A163" s="93"/>
      <c r="B163" s="94"/>
      <c r="C163" s="44"/>
    </row>
    <row r="164" spans="1:3" ht="12.65" customHeight="1">
      <c r="A164" s="93"/>
      <c r="B164" s="94"/>
      <c r="C164" s="44"/>
    </row>
    <row r="165" spans="1:3" ht="12.65" customHeight="1">
      <c r="A165" s="93"/>
      <c r="B165" s="94"/>
      <c r="C165" s="44"/>
    </row>
    <row r="166" spans="1:3" ht="12.65" customHeight="1">
      <c r="A166" s="93"/>
      <c r="B166" s="94"/>
      <c r="C166" s="44"/>
    </row>
    <row r="167" spans="1:3" ht="12.65" customHeight="1">
      <c r="A167" s="93"/>
      <c r="B167" s="94"/>
      <c r="C167" s="44"/>
    </row>
    <row r="168" spans="1:3" ht="12.65" customHeight="1">
      <c r="A168" s="93"/>
      <c r="B168" s="94"/>
      <c r="C168" s="44"/>
    </row>
    <row r="169" spans="1:3" ht="12.65" customHeight="1">
      <c r="A169" s="93"/>
      <c r="B169" s="94"/>
      <c r="C169" s="44"/>
    </row>
    <row r="170" spans="1:3" ht="12.65" customHeight="1">
      <c r="A170" s="93"/>
      <c r="B170" s="94"/>
      <c r="C170" s="44"/>
    </row>
    <row r="171" spans="1:3" ht="12.65" customHeight="1">
      <c r="A171" s="93"/>
      <c r="B171" s="94"/>
      <c r="C171" s="44"/>
    </row>
    <row r="172" spans="1:3" ht="12.65" customHeight="1">
      <c r="A172" s="93"/>
      <c r="B172" s="94"/>
      <c r="C172" s="44"/>
    </row>
    <row r="173" spans="1:3" ht="12.65" customHeight="1">
      <c r="A173" s="93"/>
      <c r="B173" s="94"/>
      <c r="C173" s="44"/>
    </row>
    <row r="174" spans="1:3" ht="12.65" customHeight="1">
      <c r="A174" s="93"/>
      <c r="B174" s="94"/>
      <c r="C174" s="44"/>
    </row>
    <row r="175" spans="1:3" ht="12.65" customHeight="1">
      <c r="A175" s="93"/>
      <c r="B175" s="94"/>
      <c r="C175" s="44"/>
    </row>
    <row r="176" spans="1:3" ht="12.65" customHeight="1">
      <c r="A176" s="93"/>
      <c r="B176" s="94"/>
      <c r="C176" s="44"/>
    </row>
    <row r="177" spans="1:3" ht="12.65" customHeight="1">
      <c r="A177" s="93"/>
      <c r="B177" s="94"/>
      <c r="C177" s="44"/>
    </row>
    <row r="178" spans="1:3" ht="12.65" customHeight="1">
      <c r="A178" s="93"/>
      <c r="B178" s="94"/>
      <c r="C178" s="44"/>
    </row>
    <row r="179" spans="1:3" ht="12.65" customHeight="1">
      <c r="A179" s="93"/>
      <c r="B179" s="94"/>
      <c r="C179" s="44"/>
    </row>
    <row r="180" spans="1:3" ht="12.65" customHeight="1">
      <c r="A180" s="93"/>
      <c r="B180" s="94"/>
      <c r="C180" s="44"/>
    </row>
    <row r="181" spans="1:3" ht="12.65" customHeight="1">
      <c r="A181" s="93"/>
      <c r="B181" s="94"/>
      <c r="C181" s="44"/>
    </row>
    <row r="182" spans="1:3" ht="12.65" customHeight="1">
      <c r="A182" s="93"/>
      <c r="B182" s="94"/>
      <c r="C182" s="44"/>
    </row>
    <row r="183" spans="1:3" ht="12.65" customHeight="1">
      <c r="A183" s="93"/>
      <c r="B183" s="94"/>
      <c r="C183" s="44"/>
    </row>
    <row r="184" spans="1:3" ht="12.65" customHeight="1">
      <c r="A184" s="93"/>
      <c r="B184" s="94"/>
      <c r="C184" s="44"/>
    </row>
    <row r="185" spans="1:3" ht="12.65" customHeight="1">
      <c r="A185" s="93"/>
      <c r="B185" s="94"/>
      <c r="C185" s="44"/>
    </row>
    <row r="186" spans="1:3" ht="12.65" customHeight="1">
      <c r="A186" s="93"/>
      <c r="B186" s="94"/>
      <c r="C186" s="44"/>
    </row>
    <row r="187" spans="1:3" ht="12.65" customHeight="1">
      <c r="A187" s="93"/>
      <c r="B187" s="94"/>
      <c r="C187" s="44"/>
    </row>
    <row r="188" spans="1:3" ht="12.65" customHeight="1">
      <c r="A188" s="93"/>
      <c r="B188" s="94"/>
      <c r="C188" s="44"/>
    </row>
    <row r="189" spans="1:3" ht="12.65" customHeight="1">
      <c r="A189" s="93"/>
      <c r="B189" s="94"/>
      <c r="C189" s="44"/>
    </row>
    <row r="190" spans="1:3" ht="12.65" customHeight="1">
      <c r="A190" s="93"/>
      <c r="B190" s="94"/>
      <c r="C190" s="44"/>
    </row>
    <row r="191" spans="1:3" ht="12.65" customHeight="1">
      <c r="A191" s="93"/>
      <c r="B191" s="94"/>
      <c r="C191" s="44"/>
    </row>
    <row r="192" spans="1:3" ht="12.65" customHeight="1">
      <c r="A192" s="93"/>
      <c r="B192" s="94"/>
      <c r="C192" s="44"/>
    </row>
    <row r="193" spans="1:3" ht="12.65" customHeight="1">
      <c r="A193" s="93"/>
      <c r="B193" s="94"/>
      <c r="C193" s="44"/>
    </row>
    <row r="194" spans="1:3" ht="12.65" customHeight="1">
      <c r="A194" s="93"/>
      <c r="B194" s="94"/>
      <c r="C194" s="44"/>
    </row>
    <row r="195" spans="1:3" ht="12.65" customHeight="1">
      <c r="A195" s="93"/>
      <c r="B195" s="94"/>
      <c r="C195" s="44"/>
    </row>
    <row r="196" spans="1:3" ht="12.65" customHeight="1">
      <c r="A196" s="93"/>
      <c r="B196" s="94"/>
      <c r="C196" s="44"/>
    </row>
    <row r="197" spans="1:3" ht="12.65" customHeight="1">
      <c r="A197" s="93"/>
      <c r="B197" s="94"/>
      <c r="C197" s="44"/>
    </row>
    <row r="198" spans="1:3" ht="12.65" customHeight="1">
      <c r="A198" s="93"/>
      <c r="B198" s="94"/>
      <c r="C198" s="44"/>
    </row>
    <row r="199" spans="1:3" ht="12.65" customHeight="1">
      <c r="A199" s="93"/>
      <c r="B199" s="94"/>
      <c r="C199" s="44"/>
    </row>
    <row r="200" spans="1:3" ht="12.65" customHeight="1">
      <c r="A200" s="93"/>
      <c r="B200" s="94"/>
      <c r="C200" s="44"/>
    </row>
    <row r="201" spans="1:3" ht="12.65" customHeight="1">
      <c r="A201" s="93"/>
      <c r="B201" s="94"/>
      <c r="C201" s="44"/>
    </row>
    <row r="202" spans="1:3" ht="12.65" customHeight="1">
      <c r="A202" s="93"/>
      <c r="B202" s="94"/>
      <c r="C202" s="44"/>
    </row>
    <row r="203" spans="1:3" ht="12.65" customHeight="1">
      <c r="A203" s="93"/>
      <c r="B203" s="94"/>
      <c r="C203" s="44"/>
    </row>
    <row r="204" spans="1:3" ht="12.65" customHeight="1">
      <c r="A204" s="93"/>
      <c r="B204" s="94"/>
      <c r="C204" s="44"/>
    </row>
    <row r="205" spans="1:3" ht="12.65" customHeight="1">
      <c r="A205" s="93"/>
      <c r="B205" s="94"/>
      <c r="C205" s="44"/>
    </row>
    <row r="206" spans="1:3" ht="12.65" customHeight="1">
      <c r="A206" s="93"/>
      <c r="B206" s="94"/>
      <c r="C206" s="44"/>
    </row>
    <row r="207" spans="1:3" ht="12.65" customHeight="1">
      <c r="A207" s="93"/>
      <c r="B207" s="94"/>
      <c r="C207" s="44"/>
    </row>
    <row r="208" spans="1:3" ht="12.65" customHeight="1">
      <c r="A208" s="93"/>
      <c r="B208" s="94"/>
      <c r="C208" s="44"/>
    </row>
    <row r="209" spans="1:3" ht="12.65" customHeight="1">
      <c r="A209" s="93"/>
      <c r="B209" s="94"/>
      <c r="C209" s="44"/>
    </row>
    <row r="210" spans="1:3" ht="12.65" customHeight="1">
      <c r="A210" s="93"/>
      <c r="B210" s="94"/>
      <c r="C210" s="44"/>
    </row>
    <row r="211" spans="1:3" ht="12.65" customHeight="1">
      <c r="A211" s="93"/>
      <c r="B211" s="94"/>
      <c r="C211" s="44"/>
    </row>
    <row r="212" spans="1:3" ht="12.65" customHeight="1">
      <c r="A212" s="93"/>
      <c r="B212" s="94"/>
      <c r="C212" s="44"/>
    </row>
    <row r="213" spans="1:3" ht="12.65" customHeight="1">
      <c r="A213" s="93"/>
      <c r="B213" s="94"/>
      <c r="C213" s="44"/>
    </row>
    <row r="214" spans="1:3" ht="12.65" customHeight="1">
      <c r="A214" s="93"/>
      <c r="B214" s="94"/>
      <c r="C214" s="44"/>
    </row>
    <row r="215" spans="1:3" ht="12.65" customHeight="1">
      <c r="A215" s="93"/>
      <c r="B215" s="94"/>
      <c r="C215" s="44"/>
    </row>
    <row r="216" spans="1:3" ht="12.65" customHeight="1">
      <c r="A216" s="93"/>
      <c r="B216" s="94"/>
      <c r="C216" s="44"/>
    </row>
    <row r="217" spans="1:3" ht="12.65" customHeight="1">
      <c r="A217" s="93"/>
      <c r="B217" s="94"/>
      <c r="C217" s="44"/>
    </row>
    <row r="218" spans="1:3" ht="12.65" customHeight="1">
      <c r="A218" s="93"/>
      <c r="B218" s="94"/>
      <c r="C218" s="44"/>
    </row>
    <row r="219" spans="1:3" ht="12.65" customHeight="1">
      <c r="A219" s="93"/>
      <c r="B219" s="94"/>
      <c r="C219" s="44"/>
    </row>
    <row r="220" spans="1:3" ht="12.65" customHeight="1">
      <c r="A220" s="93"/>
      <c r="B220" s="94"/>
      <c r="C220" s="44"/>
    </row>
    <row r="221" spans="1:3" ht="12.65" customHeight="1">
      <c r="A221" s="93"/>
      <c r="B221" s="94"/>
      <c r="C221" s="44"/>
    </row>
    <row r="222" spans="1:3" ht="12.65" customHeight="1">
      <c r="A222" s="93"/>
      <c r="B222" s="94"/>
      <c r="C222" s="44"/>
    </row>
    <row r="223" spans="1:3" ht="12.65" customHeight="1">
      <c r="A223" s="93"/>
      <c r="B223" s="94"/>
      <c r="C223" s="44"/>
    </row>
    <row r="224" spans="1:3" ht="12.65" customHeight="1">
      <c r="A224" s="93"/>
      <c r="B224" s="94"/>
      <c r="C224" s="44"/>
    </row>
    <row r="225" spans="1:3" ht="12.65" customHeight="1">
      <c r="A225" s="93"/>
      <c r="B225" s="94"/>
      <c r="C225" s="44"/>
    </row>
    <row r="226" spans="1:3" ht="12.65" customHeight="1">
      <c r="A226" s="93"/>
      <c r="B226" s="94"/>
      <c r="C226" s="44"/>
    </row>
    <row r="227" spans="1:3" ht="12.65" customHeight="1">
      <c r="A227" s="93"/>
      <c r="B227" s="94"/>
      <c r="C227" s="44"/>
    </row>
    <row r="228" spans="1:3" ht="12.65" customHeight="1">
      <c r="A228" s="93"/>
      <c r="B228" s="94"/>
      <c r="C228" s="44"/>
    </row>
    <row r="229" spans="1:3" ht="12.65" customHeight="1">
      <c r="A229" s="93"/>
      <c r="B229" s="94"/>
      <c r="C229" s="44"/>
    </row>
    <row r="230" spans="1:3" ht="12.65" customHeight="1">
      <c r="A230" s="93"/>
      <c r="B230" s="94"/>
      <c r="C230" s="44"/>
    </row>
    <row r="231" spans="1:3" ht="12.65" customHeight="1">
      <c r="A231" s="93"/>
      <c r="B231" s="94"/>
      <c r="C231" s="44"/>
    </row>
    <row r="232" spans="1:3" ht="12.65" customHeight="1">
      <c r="A232" s="93"/>
      <c r="B232" s="94"/>
      <c r="C232" s="44"/>
    </row>
    <row r="233" spans="1:3" ht="12.65" customHeight="1">
      <c r="A233" s="93"/>
      <c r="B233" s="94"/>
      <c r="C233" s="44"/>
    </row>
    <row r="234" spans="1:3" ht="12.65" customHeight="1">
      <c r="A234" s="93"/>
      <c r="B234" s="94"/>
      <c r="C234" s="44"/>
    </row>
    <row r="235" spans="1:3" ht="12.65" customHeight="1">
      <c r="A235" s="93"/>
      <c r="B235" s="94"/>
      <c r="C235" s="44"/>
    </row>
    <row r="236" spans="1:3" ht="12.65" customHeight="1">
      <c r="A236" s="93"/>
      <c r="B236" s="94"/>
      <c r="C236" s="44"/>
    </row>
    <row r="237" spans="1:3" ht="12.65" customHeight="1">
      <c r="A237" s="93"/>
      <c r="B237" s="94"/>
      <c r="C237" s="44"/>
    </row>
    <row r="238" spans="1:3" ht="12.65" customHeight="1">
      <c r="A238" s="93"/>
      <c r="B238" s="94"/>
      <c r="C238" s="44"/>
    </row>
    <row r="239" spans="1:3" ht="12.65" customHeight="1">
      <c r="A239" s="93"/>
      <c r="B239" s="94"/>
      <c r="C239" s="44"/>
    </row>
    <row r="240" spans="1:3" ht="12.65" customHeight="1">
      <c r="A240" s="93"/>
      <c r="B240" s="94"/>
      <c r="C240" s="44"/>
    </row>
    <row r="241" spans="1:3" ht="12.65" customHeight="1">
      <c r="A241" s="93"/>
      <c r="B241" s="94"/>
      <c r="C241" s="44"/>
    </row>
    <row r="242" spans="1:3" ht="12.65" customHeight="1">
      <c r="A242" s="93"/>
      <c r="B242" s="94"/>
      <c r="C242" s="44"/>
    </row>
    <row r="243" spans="1:3" ht="12.65" customHeight="1">
      <c r="A243" s="93"/>
      <c r="B243" s="94"/>
      <c r="C243" s="44"/>
    </row>
    <row r="244" spans="1:3" ht="12.65" customHeight="1">
      <c r="A244" s="93"/>
      <c r="B244" s="94"/>
      <c r="C244" s="44"/>
    </row>
    <row r="245" spans="1:3" ht="12.65" customHeight="1">
      <c r="A245" s="93"/>
      <c r="B245" s="94"/>
      <c r="C245" s="44"/>
    </row>
    <row r="246" spans="1:3" ht="12.65" customHeight="1">
      <c r="A246" s="93"/>
      <c r="B246" s="94"/>
      <c r="C246" s="44"/>
    </row>
    <row r="247" spans="1:3" ht="12.65" customHeight="1">
      <c r="A247" s="93"/>
      <c r="B247" s="94"/>
      <c r="C247" s="44"/>
    </row>
    <row r="248" spans="1:3" ht="12.65" customHeight="1">
      <c r="A248" s="93"/>
      <c r="B248" s="94"/>
      <c r="C248" s="44"/>
    </row>
    <row r="249" spans="1:3" ht="12.65" customHeight="1">
      <c r="A249" s="93"/>
      <c r="B249" s="94"/>
      <c r="C249" s="44"/>
    </row>
    <row r="250" spans="1:3" ht="12.65" customHeight="1">
      <c r="A250" s="93"/>
      <c r="B250" s="94"/>
      <c r="C250" s="44"/>
    </row>
    <row r="251" spans="1:3" ht="12.65" customHeight="1">
      <c r="A251" s="93"/>
      <c r="B251" s="94"/>
      <c r="C251" s="44"/>
    </row>
    <row r="252" spans="1:3" ht="12.65" customHeight="1">
      <c r="A252" s="93"/>
      <c r="B252" s="94"/>
      <c r="C252" s="44"/>
    </row>
    <row r="253" spans="1:3" ht="12.65" customHeight="1">
      <c r="A253" s="93"/>
      <c r="B253" s="94"/>
      <c r="C253" s="44"/>
    </row>
    <row r="254" spans="1:3" ht="12.65" customHeight="1">
      <c r="A254" s="93"/>
      <c r="B254" s="94"/>
      <c r="C254" s="44"/>
    </row>
    <row r="255" spans="1:3" ht="12.65" customHeight="1">
      <c r="A255" s="93"/>
      <c r="B255" s="94"/>
      <c r="C255" s="44"/>
    </row>
    <row r="256" spans="1:3" ht="12.65" customHeight="1">
      <c r="A256" s="93"/>
      <c r="B256" s="94"/>
      <c r="C256" s="44"/>
    </row>
    <row r="257" spans="1:3" ht="12.65" customHeight="1">
      <c r="A257" s="93"/>
      <c r="B257" s="94"/>
      <c r="C257" s="44"/>
    </row>
    <row r="258" spans="1:3" ht="12.65" customHeight="1">
      <c r="A258" s="93"/>
      <c r="B258" s="94"/>
      <c r="C258" s="44"/>
    </row>
    <row r="259" spans="1:3" ht="12.65" customHeight="1">
      <c r="A259" s="93"/>
      <c r="B259" s="94"/>
      <c r="C259" s="44"/>
    </row>
    <row r="260" spans="1:3" ht="12.65" customHeight="1">
      <c r="A260" s="93"/>
      <c r="B260" s="94"/>
      <c r="C260" s="44"/>
    </row>
    <row r="261" spans="1:3" ht="12.65" customHeight="1">
      <c r="A261" s="93"/>
      <c r="B261" s="94"/>
      <c r="C261" s="44"/>
    </row>
    <row r="262" spans="1:3" ht="12.65" customHeight="1">
      <c r="A262" s="93"/>
      <c r="B262" s="94"/>
      <c r="C262" s="44"/>
    </row>
    <row r="263" spans="1:3" ht="12.65" customHeight="1">
      <c r="A263" s="93"/>
      <c r="B263" s="94"/>
      <c r="C263" s="44"/>
    </row>
    <row r="264" spans="1:3" ht="12.65" customHeight="1">
      <c r="A264" s="93"/>
      <c r="B264" s="94"/>
      <c r="C264" s="44"/>
    </row>
    <row r="265" spans="1:3" ht="12.65" customHeight="1">
      <c r="A265" s="93"/>
      <c r="B265" s="94"/>
      <c r="C265" s="44"/>
    </row>
    <row r="266" spans="1:3" ht="12.65" customHeight="1">
      <c r="A266" s="93"/>
      <c r="B266" s="94"/>
      <c r="C266" s="44"/>
    </row>
    <row r="267" spans="1:3" ht="12.65" customHeight="1">
      <c r="A267" s="93"/>
      <c r="B267" s="94"/>
      <c r="C267" s="44"/>
    </row>
    <row r="268" spans="1:3" ht="12.65" customHeight="1">
      <c r="A268" s="93"/>
      <c r="B268" s="94"/>
      <c r="C268" s="44"/>
    </row>
    <row r="269" spans="1:3" ht="12.65" customHeight="1">
      <c r="A269" s="93"/>
      <c r="B269" s="94"/>
      <c r="C269" s="44"/>
    </row>
    <row r="270" spans="1:3" ht="12.65" customHeight="1">
      <c r="A270" s="93"/>
      <c r="B270" s="94"/>
      <c r="C270" s="44"/>
    </row>
    <row r="271" spans="1:3" ht="12.65" customHeight="1">
      <c r="A271" s="93"/>
      <c r="B271" s="94"/>
      <c r="C271" s="44"/>
    </row>
    <row r="272" spans="1:3" ht="12.65" customHeight="1">
      <c r="A272" s="93"/>
      <c r="B272" s="94"/>
      <c r="C272" s="44"/>
    </row>
    <row r="273" spans="1:3" ht="12.65" customHeight="1">
      <c r="A273" s="93"/>
      <c r="B273" s="94"/>
      <c r="C273" s="44"/>
    </row>
    <row r="274" spans="1:3" ht="12.65" customHeight="1">
      <c r="A274" s="93"/>
      <c r="B274" s="94"/>
      <c r="C274" s="44"/>
    </row>
    <row r="275" spans="1:3" ht="12.65" customHeight="1">
      <c r="A275" s="93"/>
      <c r="B275" s="94"/>
      <c r="C275" s="44"/>
    </row>
    <row r="276" spans="1:3" ht="12.65" customHeight="1">
      <c r="A276" s="93"/>
      <c r="B276" s="94"/>
      <c r="C276" s="44"/>
    </row>
    <row r="277" spans="1:3" ht="12.65" customHeight="1">
      <c r="A277" s="93"/>
      <c r="B277" s="94"/>
      <c r="C277" s="44"/>
    </row>
    <row r="278" spans="1:3" ht="12.65" customHeight="1">
      <c r="A278" s="93"/>
      <c r="B278" s="94"/>
      <c r="C278" s="44"/>
    </row>
    <row r="279" spans="1:3" ht="12.65" customHeight="1">
      <c r="A279" s="93"/>
      <c r="B279" s="94"/>
      <c r="C279" s="44"/>
    </row>
    <row r="280" spans="1:3" ht="12.65" customHeight="1">
      <c r="A280" s="93"/>
      <c r="B280" s="94"/>
      <c r="C280" s="44"/>
    </row>
    <row r="281" spans="1:3" ht="12.65" customHeight="1">
      <c r="A281" s="93"/>
      <c r="B281" s="94"/>
      <c r="C281" s="44"/>
    </row>
    <row r="282" spans="1:3" ht="12.65" customHeight="1">
      <c r="A282" s="93"/>
      <c r="B282" s="94"/>
      <c r="C282" s="44"/>
    </row>
    <row r="283" spans="1:3" ht="12.65" customHeight="1">
      <c r="A283" s="93"/>
      <c r="B283" s="94"/>
      <c r="C283" s="44"/>
    </row>
    <row r="284" spans="1:3" ht="12.65" customHeight="1">
      <c r="A284" s="93"/>
      <c r="B284" s="94"/>
      <c r="C284" s="44"/>
    </row>
    <row r="285" spans="1:3" ht="12.65" customHeight="1">
      <c r="A285" s="93"/>
      <c r="B285" s="94"/>
      <c r="C285" s="44"/>
    </row>
    <row r="286" spans="1:3" ht="12.65" customHeight="1">
      <c r="A286" s="93"/>
      <c r="B286" s="94"/>
      <c r="C286" s="44"/>
    </row>
    <row r="287" spans="1:3" ht="12.65" customHeight="1">
      <c r="A287" s="93"/>
      <c r="B287" s="94"/>
      <c r="C287" s="44"/>
    </row>
    <row r="288" spans="1:3" ht="12.65" customHeight="1">
      <c r="A288" s="93"/>
      <c r="B288" s="94"/>
      <c r="C288" s="44"/>
    </row>
    <row r="289" spans="1:3" ht="12.65" customHeight="1">
      <c r="A289" s="93"/>
      <c r="B289" s="94"/>
      <c r="C289" s="44"/>
    </row>
    <row r="290" spans="1:3" ht="12.65" customHeight="1">
      <c r="A290" s="93"/>
      <c r="B290" s="94"/>
      <c r="C290" s="44"/>
    </row>
    <row r="291" spans="1:3" ht="12.65" customHeight="1">
      <c r="A291" s="93"/>
      <c r="B291" s="94"/>
      <c r="C291" s="44"/>
    </row>
    <row r="292" spans="1:3" ht="12.65" customHeight="1">
      <c r="A292" s="93"/>
      <c r="B292" s="94"/>
      <c r="C292" s="44"/>
    </row>
    <row r="293" spans="1:3" ht="12.65" customHeight="1">
      <c r="A293" s="93"/>
      <c r="B293" s="94"/>
      <c r="C293" s="44"/>
    </row>
    <row r="294" spans="1:3" ht="12.65" customHeight="1">
      <c r="A294" s="93"/>
      <c r="B294" s="94"/>
      <c r="C294" s="44"/>
    </row>
    <row r="295" spans="1:3" ht="12.65" customHeight="1">
      <c r="A295" s="93"/>
      <c r="B295" s="94"/>
      <c r="C295" s="44"/>
    </row>
    <row r="296" spans="1:3" ht="12.65" customHeight="1">
      <c r="A296" s="93"/>
      <c r="B296" s="94"/>
      <c r="C296" s="44"/>
    </row>
    <row r="297" spans="1:3" ht="12.65" customHeight="1">
      <c r="A297" s="93"/>
      <c r="B297" s="94"/>
      <c r="C297" s="44"/>
    </row>
    <row r="298" spans="1:3" ht="12.65" customHeight="1">
      <c r="A298" s="93"/>
      <c r="B298" s="94"/>
      <c r="C298" s="44"/>
    </row>
    <row r="299" spans="1:3" ht="12.65" customHeight="1">
      <c r="A299" s="93"/>
      <c r="B299" s="94"/>
      <c r="C299" s="44"/>
    </row>
    <row r="300" spans="1:3" ht="12.65" customHeight="1">
      <c r="A300" s="93"/>
      <c r="B300" s="94"/>
      <c r="C300" s="44"/>
    </row>
    <row r="301" spans="1:3" ht="12.65" customHeight="1">
      <c r="A301" s="93"/>
      <c r="B301" s="94"/>
      <c r="C301" s="44"/>
    </row>
    <row r="302" spans="1:3" ht="12.65" customHeight="1">
      <c r="A302" s="93"/>
      <c r="B302" s="94"/>
      <c r="C302" s="44"/>
    </row>
    <row r="303" spans="1:3" ht="12.65" customHeight="1">
      <c r="A303" s="93"/>
      <c r="B303" s="94"/>
      <c r="C303" s="44"/>
    </row>
    <row r="304" spans="1:3" ht="12.65" customHeight="1">
      <c r="A304" s="93"/>
      <c r="B304" s="94"/>
      <c r="C304" s="44"/>
    </row>
    <row r="305" spans="1:3" ht="12.65" customHeight="1">
      <c r="A305" s="93"/>
      <c r="B305" s="94"/>
      <c r="C305" s="44"/>
    </row>
    <row r="306" spans="1:3" ht="12.65" customHeight="1">
      <c r="A306" s="93"/>
      <c r="B306" s="94"/>
      <c r="C306" s="44"/>
    </row>
    <row r="307" spans="1:3" ht="12.65" customHeight="1">
      <c r="A307" s="93"/>
      <c r="B307" s="94"/>
      <c r="C307" s="44"/>
    </row>
    <row r="308" spans="1:3" ht="12.65" customHeight="1">
      <c r="A308" s="93"/>
      <c r="B308" s="94"/>
      <c r="C308" s="44"/>
    </row>
    <row r="309" spans="1:3" ht="12.65" customHeight="1">
      <c r="A309" s="93"/>
      <c r="B309" s="94"/>
      <c r="C309" s="44"/>
    </row>
    <row r="310" spans="1:3" ht="12.65" customHeight="1">
      <c r="A310" s="93"/>
      <c r="B310" s="94"/>
      <c r="C310" s="44"/>
    </row>
    <row r="311" spans="1:3" ht="12.65" customHeight="1">
      <c r="A311" s="93"/>
      <c r="B311" s="94"/>
      <c r="C311" s="44"/>
    </row>
    <row r="312" spans="1:3" ht="12.65" customHeight="1">
      <c r="A312" s="93"/>
      <c r="B312" s="94"/>
      <c r="C312" s="44"/>
    </row>
    <row r="313" spans="1:3" ht="12.65" customHeight="1">
      <c r="A313" s="93"/>
      <c r="B313" s="94"/>
      <c r="C313" s="44"/>
    </row>
    <row r="314" spans="1:3" ht="12.65" customHeight="1">
      <c r="A314" s="93"/>
      <c r="B314" s="94"/>
      <c r="C314" s="44"/>
    </row>
    <row r="315" spans="1:3" ht="12.65" customHeight="1">
      <c r="A315" s="93"/>
      <c r="B315" s="94"/>
      <c r="C315" s="44"/>
    </row>
    <row r="316" spans="1:3" ht="12.65" customHeight="1">
      <c r="A316" s="93"/>
      <c r="B316" s="94"/>
      <c r="C316" s="44"/>
    </row>
    <row r="317" spans="1:3" ht="12.65" customHeight="1">
      <c r="A317" s="93"/>
      <c r="B317" s="94"/>
      <c r="C317" s="44"/>
    </row>
    <row r="318" spans="1:3" ht="12.65" customHeight="1">
      <c r="A318" s="93"/>
      <c r="B318" s="94"/>
      <c r="C318" s="44"/>
    </row>
    <row r="319" spans="1:3" ht="12.65" customHeight="1">
      <c r="A319" s="93"/>
      <c r="B319" s="94"/>
      <c r="C319" s="44"/>
    </row>
    <row r="320" spans="1:3" ht="12.65" customHeight="1">
      <c r="A320" s="93"/>
      <c r="B320" s="94"/>
      <c r="C320" s="44"/>
    </row>
    <row r="321" spans="1:3" ht="12.65" customHeight="1">
      <c r="A321" s="93"/>
      <c r="B321" s="94"/>
      <c r="C321" s="44"/>
    </row>
    <row r="322" spans="1:3" ht="12.65" customHeight="1">
      <c r="A322" s="93"/>
      <c r="B322" s="94"/>
      <c r="C322" s="44"/>
    </row>
    <row r="323" spans="1:3" ht="12.65" customHeight="1">
      <c r="A323" s="93"/>
      <c r="B323" s="94"/>
      <c r="C323" s="44"/>
    </row>
    <row r="324" spans="1:3" ht="12.65" customHeight="1">
      <c r="A324" s="93"/>
      <c r="B324" s="94"/>
      <c r="C324" s="44"/>
    </row>
    <row r="325" spans="1:3" ht="12.65" customHeight="1">
      <c r="A325" s="93"/>
      <c r="B325" s="94"/>
      <c r="C325" s="44"/>
    </row>
    <row r="326" spans="1:3" ht="12.65" customHeight="1">
      <c r="A326" s="93"/>
      <c r="B326" s="94"/>
      <c r="C326" s="44"/>
    </row>
    <row r="327" spans="1:3" ht="12.65" customHeight="1">
      <c r="A327" s="93"/>
      <c r="B327" s="94"/>
      <c r="C327" s="44"/>
    </row>
    <row r="328" spans="1:3" ht="12.65" customHeight="1">
      <c r="A328" s="93"/>
      <c r="B328" s="94"/>
      <c r="C328" s="44"/>
    </row>
    <row r="329" spans="1:3" ht="12.65" customHeight="1">
      <c r="A329" s="93"/>
      <c r="B329" s="94"/>
      <c r="C329" s="44"/>
    </row>
    <row r="330" spans="1:3" ht="12.65" customHeight="1">
      <c r="A330" s="93"/>
      <c r="B330" s="94"/>
      <c r="C330" s="44"/>
    </row>
    <row r="331" spans="1:3" ht="12.65" customHeight="1">
      <c r="A331" s="93"/>
      <c r="B331" s="94"/>
      <c r="C331" s="44"/>
    </row>
    <row r="332" spans="1:3" ht="12.65" customHeight="1">
      <c r="A332" s="93"/>
      <c r="B332" s="94"/>
      <c r="C332" s="44"/>
    </row>
    <row r="333" spans="1:3" ht="12.65" customHeight="1">
      <c r="A333" s="93"/>
      <c r="B333" s="94"/>
      <c r="C333" s="44"/>
    </row>
    <row r="334" spans="1:3" ht="12.65" customHeight="1">
      <c r="A334" s="93"/>
      <c r="B334" s="94"/>
      <c r="C334" s="44"/>
    </row>
    <row r="335" spans="1:3" ht="12.65" customHeight="1">
      <c r="A335" s="93"/>
      <c r="B335" s="94"/>
      <c r="C335" s="44"/>
    </row>
    <row r="336" spans="1:3" ht="12.65" customHeight="1">
      <c r="A336" s="93"/>
      <c r="B336" s="94"/>
      <c r="C336" s="44"/>
    </row>
    <row r="337" spans="1:3" ht="12.65" customHeight="1">
      <c r="A337" s="93"/>
      <c r="B337" s="94"/>
      <c r="C337" s="44"/>
    </row>
    <row r="338" spans="1:3" ht="12.65" customHeight="1">
      <c r="A338" s="93"/>
      <c r="B338" s="94"/>
      <c r="C338" s="44"/>
    </row>
    <row r="339" spans="1:3" ht="12.65" customHeight="1">
      <c r="A339" s="93"/>
      <c r="B339" s="94"/>
      <c r="C339" s="44"/>
    </row>
    <row r="340" spans="1:3" ht="12.65" customHeight="1">
      <c r="A340" s="93"/>
      <c r="B340" s="94"/>
      <c r="C340" s="44"/>
    </row>
    <row r="341" spans="1:3" ht="12.65" customHeight="1">
      <c r="A341" s="93"/>
      <c r="B341" s="94"/>
      <c r="C341" s="44"/>
    </row>
    <row r="342" spans="1:3" ht="12.65" customHeight="1">
      <c r="A342" s="93"/>
      <c r="B342" s="94"/>
      <c r="C342" s="44"/>
    </row>
    <row r="343" spans="1:3" ht="12.65" customHeight="1">
      <c r="A343" s="93"/>
      <c r="B343" s="94"/>
      <c r="C343" s="44"/>
    </row>
    <row r="344" spans="1:3" ht="12.65" customHeight="1">
      <c r="A344" s="93"/>
      <c r="B344" s="94"/>
      <c r="C344" s="44"/>
    </row>
    <row r="345" spans="1:3" ht="12.65" customHeight="1">
      <c r="A345" s="93"/>
      <c r="B345" s="94"/>
      <c r="C345" s="44"/>
    </row>
    <row r="346" spans="1:3" ht="12.65" customHeight="1">
      <c r="A346" s="93"/>
      <c r="B346" s="94"/>
      <c r="C346" s="44"/>
    </row>
    <row r="347" spans="1:3" ht="12.65" customHeight="1">
      <c r="A347" s="93"/>
      <c r="B347" s="94"/>
      <c r="C347" s="44"/>
    </row>
    <row r="348" spans="1:3" ht="12.65" customHeight="1">
      <c r="A348" s="93"/>
      <c r="B348" s="94"/>
      <c r="C348" s="44"/>
    </row>
    <row r="349" spans="1:3" ht="12.65" customHeight="1">
      <c r="A349" s="93"/>
      <c r="B349" s="94"/>
      <c r="C349" s="44"/>
    </row>
    <row r="350" spans="1:3" ht="12.65" customHeight="1">
      <c r="A350" s="93"/>
      <c r="B350" s="94"/>
      <c r="C350" s="44"/>
    </row>
    <row r="351" spans="1:3" ht="12.65" customHeight="1">
      <c r="A351" s="93"/>
      <c r="B351" s="94"/>
      <c r="C351" s="44"/>
    </row>
    <row r="352" spans="1:3" ht="12.65" customHeight="1">
      <c r="A352" s="93"/>
      <c r="B352" s="94"/>
      <c r="C352" s="44"/>
    </row>
    <row r="353" spans="1:3" ht="12.65" customHeight="1">
      <c r="A353" s="93"/>
      <c r="B353" s="94"/>
      <c r="C353" s="44"/>
    </row>
    <row r="354" spans="1:3" ht="12.65" customHeight="1">
      <c r="A354" s="93"/>
      <c r="B354" s="94"/>
      <c r="C354" s="44"/>
    </row>
    <row r="355" spans="1:3" ht="12.65" customHeight="1">
      <c r="A355" s="93"/>
      <c r="B355" s="94"/>
      <c r="C355" s="44"/>
    </row>
    <row r="356" spans="1:3" ht="12.65" customHeight="1">
      <c r="A356" s="93"/>
      <c r="B356" s="94"/>
      <c r="C356" s="44"/>
    </row>
    <row r="357" spans="1:3" ht="12.65" customHeight="1">
      <c r="A357" s="93"/>
      <c r="B357" s="94"/>
      <c r="C357" s="44"/>
    </row>
    <row r="358" spans="1:3" ht="12.65" customHeight="1">
      <c r="A358" s="93"/>
      <c r="B358" s="94"/>
      <c r="C358" s="44"/>
    </row>
    <row r="359" spans="1:3" ht="12.65" customHeight="1">
      <c r="A359" s="93"/>
      <c r="B359" s="94"/>
      <c r="C359" s="44"/>
    </row>
    <row r="360" spans="1:3" ht="12.65" customHeight="1">
      <c r="A360" s="93"/>
      <c r="B360" s="94"/>
      <c r="C360" s="44"/>
    </row>
    <row r="361" spans="1:3" ht="12.65" customHeight="1">
      <c r="A361" s="93"/>
      <c r="B361" s="94"/>
      <c r="C361" s="44"/>
    </row>
    <row r="362" spans="1:3" ht="12.65" customHeight="1">
      <c r="A362" s="93"/>
      <c r="B362" s="94"/>
      <c r="C362" s="44"/>
    </row>
    <row r="363" spans="1:3" ht="12.65" customHeight="1">
      <c r="A363" s="93"/>
      <c r="B363" s="94"/>
      <c r="C363" s="44"/>
    </row>
    <row r="364" spans="1:3" ht="12.65" customHeight="1">
      <c r="A364" s="93"/>
      <c r="B364" s="94"/>
      <c r="C364" s="44"/>
    </row>
    <row r="365" spans="1:3" ht="12.65" customHeight="1">
      <c r="A365" s="93"/>
      <c r="B365" s="94"/>
      <c r="C365" s="44"/>
    </row>
    <row r="366" spans="1:3" ht="12.65" customHeight="1">
      <c r="A366" s="93"/>
      <c r="B366" s="94"/>
      <c r="C366" s="44"/>
    </row>
    <row r="367" spans="1:3" ht="12.65" customHeight="1">
      <c r="A367" s="93"/>
      <c r="B367" s="94"/>
      <c r="C367" s="44"/>
    </row>
    <row r="368" spans="1:3" ht="12.65" customHeight="1">
      <c r="A368" s="93"/>
      <c r="B368" s="94"/>
      <c r="C368" s="44"/>
    </row>
    <row r="369" spans="1:3" ht="12.65" customHeight="1">
      <c r="A369" s="93"/>
      <c r="B369" s="94"/>
      <c r="C369" s="44"/>
    </row>
    <row r="370" spans="1:3" ht="12.65" customHeight="1">
      <c r="A370" s="93"/>
      <c r="B370" s="94"/>
      <c r="C370" s="44"/>
    </row>
    <row r="371" spans="1:3" ht="12.65" customHeight="1">
      <c r="A371" s="93"/>
      <c r="B371" s="94"/>
      <c r="C371" s="44"/>
    </row>
    <row r="372" spans="1:3" ht="12.65" customHeight="1">
      <c r="A372" s="93"/>
      <c r="B372" s="94"/>
      <c r="C372" s="44"/>
    </row>
    <row r="373" spans="1:3" ht="12.65" customHeight="1">
      <c r="A373" s="93"/>
      <c r="B373" s="94"/>
      <c r="C373" s="44"/>
    </row>
    <row r="374" spans="1:3" ht="12.65" customHeight="1">
      <c r="A374" s="93"/>
      <c r="B374" s="94"/>
      <c r="C374" s="44"/>
    </row>
    <row r="375" spans="1:3" ht="12.65" customHeight="1">
      <c r="A375" s="93"/>
      <c r="B375" s="94"/>
      <c r="C375" s="44"/>
    </row>
    <row r="376" spans="1:3" ht="12.65" customHeight="1">
      <c r="A376" s="93"/>
      <c r="B376" s="94"/>
      <c r="C376" s="44"/>
    </row>
    <row r="377" spans="1:3" ht="12.65" customHeight="1">
      <c r="A377" s="93"/>
      <c r="B377" s="94"/>
      <c r="C377" s="44"/>
    </row>
    <row r="378" spans="1:3" ht="12.65" customHeight="1">
      <c r="A378" s="93"/>
      <c r="B378" s="94"/>
      <c r="C378" s="44"/>
    </row>
    <row r="379" spans="1:3" ht="12.65" customHeight="1">
      <c r="A379" s="93"/>
      <c r="B379" s="94"/>
      <c r="C379" s="44"/>
    </row>
    <row r="380" spans="1:3" ht="12.65" customHeight="1">
      <c r="A380" s="93"/>
      <c r="B380" s="94"/>
      <c r="C380" s="44"/>
    </row>
    <row r="381" spans="1:3" ht="12.65" customHeight="1">
      <c r="A381" s="93"/>
      <c r="B381" s="94"/>
      <c r="C381" s="44"/>
    </row>
    <row r="382" spans="1:3" ht="12.65" customHeight="1">
      <c r="A382" s="93"/>
      <c r="B382" s="94"/>
      <c r="C382" s="44"/>
    </row>
    <row r="383" spans="1:3" ht="12.65" customHeight="1">
      <c r="A383" s="93"/>
      <c r="B383" s="94"/>
      <c r="C383" s="44"/>
    </row>
    <row r="384" spans="1:3" ht="12.65" customHeight="1">
      <c r="A384" s="93"/>
      <c r="B384" s="94"/>
      <c r="C384" s="44"/>
    </row>
    <row r="385" spans="1:3" ht="12.65" customHeight="1">
      <c r="A385" s="93"/>
      <c r="B385" s="94"/>
      <c r="C385" s="44"/>
    </row>
    <row r="386" spans="1:3" ht="12.65" customHeight="1">
      <c r="A386" s="93"/>
      <c r="B386" s="94"/>
      <c r="C386" s="44"/>
    </row>
    <row r="387" spans="1:3" ht="12.65" customHeight="1">
      <c r="A387" s="93"/>
      <c r="B387" s="94"/>
      <c r="C387" s="44"/>
    </row>
    <row r="388" spans="1:3" ht="12.65" customHeight="1">
      <c r="A388" s="93"/>
      <c r="B388" s="94"/>
      <c r="C388" s="44"/>
    </row>
    <row r="389" spans="1:3" ht="12.65" customHeight="1">
      <c r="A389" s="93"/>
      <c r="B389" s="94"/>
      <c r="C389" s="44"/>
    </row>
    <row r="390" spans="1:3" ht="12.65" customHeight="1">
      <c r="A390" s="93"/>
      <c r="B390" s="94"/>
      <c r="C390" s="44"/>
    </row>
    <row r="391" spans="1:3" ht="12.65" customHeight="1">
      <c r="A391" s="93"/>
      <c r="B391" s="94"/>
      <c r="C391" s="44"/>
    </row>
    <row r="392" spans="1:3" ht="12.65" customHeight="1">
      <c r="A392" s="93"/>
      <c r="B392" s="94"/>
      <c r="C392" s="44"/>
    </row>
    <row r="393" spans="1:3" ht="12.65" customHeight="1">
      <c r="A393" s="93"/>
      <c r="B393" s="94"/>
      <c r="C393" s="44"/>
    </row>
    <row r="394" spans="1:3" ht="12.65" customHeight="1">
      <c r="A394" s="93"/>
      <c r="B394" s="94"/>
      <c r="C394" s="44"/>
    </row>
    <row r="395" spans="1:3" ht="12.65" customHeight="1">
      <c r="A395" s="93"/>
      <c r="B395" s="94"/>
      <c r="C395" s="44"/>
    </row>
    <row r="396" spans="1:3" ht="12.65" customHeight="1">
      <c r="A396" s="93"/>
      <c r="B396" s="94"/>
      <c r="C396" s="44"/>
    </row>
    <row r="397" spans="1:3" ht="12.65" customHeight="1">
      <c r="A397" s="93"/>
      <c r="B397" s="94"/>
      <c r="C397" s="44"/>
    </row>
    <row r="398" spans="1:3" ht="12.65" customHeight="1">
      <c r="A398" s="93"/>
      <c r="B398" s="94"/>
      <c r="C398" s="44"/>
    </row>
    <row r="399" spans="1:3" ht="12.65" customHeight="1">
      <c r="A399" s="93"/>
      <c r="B399" s="94"/>
      <c r="C399" s="44"/>
    </row>
    <row r="400" spans="1:3" ht="12.65" customHeight="1">
      <c r="A400" s="93"/>
      <c r="B400" s="94"/>
      <c r="C400" s="44"/>
    </row>
    <row r="401" spans="1:3" ht="12.65" customHeight="1">
      <c r="A401" s="93"/>
      <c r="B401" s="94"/>
      <c r="C401" s="44"/>
    </row>
    <row r="402" spans="1:3" ht="12.65" customHeight="1">
      <c r="A402" s="93"/>
      <c r="B402" s="94"/>
      <c r="C402" s="44"/>
    </row>
    <row r="403" spans="1:3" ht="12.65" customHeight="1">
      <c r="A403" s="93"/>
      <c r="B403" s="94"/>
      <c r="C403" s="44"/>
    </row>
    <row r="404" spans="1:3" ht="12.65" customHeight="1">
      <c r="A404" s="93"/>
      <c r="B404" s="94"/>
      <c r="C404" s="44"/>
    </row>
    <row r="405" spans="1:3" ht="12.65" customHeight="1">
      <c r="A405" s="93"/>
      <c r="B405" s="94"/>
      <c r="C405" s="44"/>
    </row>
    <row r="406" spans="1:3" ht="12.65" customHeight="1">
      <c r="A406" s="93"/>
      <c r="B406" s="94"/>
      <c r="C406" s="44"/>
    </row>
    <row r="407" spans="1:3" ht="12.65" customHeight="1">
      <c r="A407" s="93"/>
      <c r="B407" s="94"/>
      <c r="C407" s="44"/>
    </row>
    <row r="408" spans="1:3" ht="12.65" customHeight="1">
      <c r="A408" s="93"/>
      <c r="B408" s="94"/>
      <c r="C408" s="44"/>
    </row>
    <row r="409" spans="1:3" ht="12.65" customHeight="1">
      <c r="A409" s="93"/>
      <c r="B409" s="94"/>
      <c r="C409" s="44"/>
    </row>
    <row r="410" spans="1:3" ht="12.65" customHeight="1">
      <c r="A410" s="93"/>
      <c r="B410" s="94"/>
      <c r="C410" s="44"/>
    </row>
    <row r="411" spans="1:3" ht="12.65" customHeight="1">
      <c r="A411" s="93"/>
      <c r="B411" s="94"/>
      <c r="C411" s="44"/>
    </row>
    <row r="412" spans="1:3" ht="12.65" customHeight="1">
      <c r="A412" s="93"/>
      <c r="B412" s="94"/>
      <c r="C412" s="44"/>
    </row>
    <row r="413" spans="1:3" ht="12.65" customHeight="1">
      <c r="A413" s="93"/>
      <c r="B413" s="94"/>
      <c r="C413" s="44"/>
    </row>
    <row r="414" spans="1:3" ht="12.65" customHeight="1">
      <c r="A414" s="93"/>
      <c r="B414" s="94"/>
      <c r="C414" s="44"/>
    </row>
    <row r="415" spans="1:3" ht="12.65" customHeight="1">
      <c r="A415" s="93"/>
      <c r="B415" s="94"/>
      <c r="C415" s="44"/>
    </row>
    <row r="416" spans="1:3" ht="12.65" customHeight="1">
      <c r="A416" s="93"/>
      <c r="B416" s="94"/>
      <c r="C416" s="44"/>
    </row>
    <row r="417" spans="1:3" ht="12.65" customHeight="1">
      <c r="A417" s="93"/>
      <c r="B417" s="94"/>
      <c r="C417" s="44"/>
    </row>
    <row r="418" spans="1:3" ht="12.65" customHeight="1">
      <c r="A418" s="93"/>
      <c r="B418" s="94"/>
      <c r="C418" s="44"/>
    </row>
    <row r="419" spans="1:3" ht="12.65" customHeight="1">
      <c r="A419" s="93"/>
      <c r="B419" s="94"/>
      <c r="C419" s="44"/>
    </row>
    <row r="420" spans="1:3" ht="12.65" customHeight="1">
      <c r="A420" s="93"/>
      <c r="B420" s="94"/>
      <c r="C420" s="44"/>
    </row>
    <row r="421" spans="1:3" ht="12.65" customHeight="1">
      <c r="A421" s="93"/>
      <c r="B421" s="94"/>
      <c r="C421" s="44"/>
    </row>
    <row r="422" spans="1:3" ht="12.65" customHeight="1">
      <c r="A422" s="93"/>
      <c r="B422" s="94"/>
      <c r="C422" s="44"/>
    </row>
    <row r="423" spans="1:3" ht="12.65" customHeight="1">
      <c r="A423" s="93"/>
      <c r="B423" s="94"/>
      <c r="C423" s="44"/>
    </row>
    <row r="424" spans="1:3" ht="12.65" customHeight="1">
      <c r="A424" s="93"/>
      <c r="B424" s="94"/>
      <c r="C424" s="44"/>
    </row>
    <row r="425" spans="1:3" ht="12.65" customHeight="1">
      <c r="A425" s="93"/>
      <c r="B425" s="94"/>
      <c r="C425" s="44"/>
    </row>
    <row r="426" spans="1:3" ht="12.65" customHeight="1">
      <c r="A426" s="93"/>
      <c r="B426" s="94"/>
      <c r="C426" s="44"/>
    </row>
    <row r="427" spans="1:3" ht="12.65" customHeight="1">
      <c r="A427" s="93"/>
      <c r="B427" s="94"/>
      <c r="C427" s="44"/>
    </row>
    <row r="428" spans="1:3" ht="12.65" customHeight="1">
      <c r="A428" s="93"/>
      <c r="B428" s="94"/>
      <c r="C428" s="44"/>
    </row>
    <row r="429" spans="1:3" ht="12.65" customHeight="1">
      <c r="A429" s="93"/>
      <c r="B429" s="94"/>
      <c r="C429" s="44"/>
    </row>
    <row r="430" spans="1:3" ht="12.65" customHeight="1">
      <c r="A430" s="93"/>
      <c r="B430" s="94"/>
      <c r="C430" s="44"/>
    </row>
    <row r="431" spans="1:3" ht="12.65" customHeight="1">
      <c r="A431" s="93"/>
      <c r="B431" s="94"/>
      <c r="C431" s="44"/>
    </row>
    <row r="432" spans="1:3" ht="12.65" customHeight="1">
      <c r="A432" s="93"/>
      <c r="B432" s="94"/>
      <c r="C432" s="44"/>
    </row>
    <row r="433" spans="1:3" ht="12.65" customHeight="1">
      <c r="A433" s="93"/>
      <c r="B433" s="94"/>
      <c r="C433" s="44"/>
    </row>
    <row r="434" spans="1:3" ht="12.65" customHeight="1">
      <c r="A434" s="93"/>
      <c r="B434" s="94"/>
      <c r="C434" s="44"/>
    </row>
    <row r="435" spans="1:3" ht="12.65" customHeight="1">
      <c r="A435" s="93"/>
      <c r="B435" s="94"/>
      <c r="C435" s="44"/>
    </row>
    <row r="436" spans="1:3" ht="12.65" customHeight="1">
      <c r="A436" s="93"/>
      <c r="B436" s="94"/>
      <c r="C436" s="44"/>
    </row>
    <row r="437" spans="1:3" ht="12.65" customHeight="1">
      <c r="A437" s="93"/>
      <c r="B437" s="94"/>
      <c r="C437" s="44"/>
    </row>
    <row r="438" spans="1:3" ht="12.65" customHeight="1">
      <c r="A438" s="93"/>
      <c r="B438" s="94"/>
      <c r="C438" s="44"/>
    </row>
    <row r="439" spans="1:3" ht="12.65" customHeight="1">
      <c r="A439" s="93"/>
      <c r="B439" s="94"/>
      <c r="C439" s="44"/>
    </row>
    <row r="440" spans="1:3" ht="12.65" customHeight="1">
      <c r="A440" s="93"/>
      <c r="B440" s="94"/>
      <c r="C440" s="44"/>
    </row>
    <row r="441" spans="1:3" ht="12.65" customHeight="1">
      <c r="A441" s="93"/>
      <c r="B441" s="94"/>
      <c r="C441" s="44"/>
    </row>
    <row r="442" spans="1:3" ht="12.65" customHeight="1">
      <c r="A442" s="93"/>
      <c r="B442" s="94"/>
      <c r="C442" s="44"/>
    </row>
    <row r="443" spans="1:3" ht="12.65" customHeight="1">
      <c r="A443" s="93"/>
      <c r="B443" s="94"/>
      <c r="C443" s="44"/>
    </row>
    <row r="444" spans="1:3" ht="12.65" customHeight="1">
      <c r="A444" s="93"/>
      <c r="B444" s="94"/>
      <c r="C444" s="44"/>
    </row>
    <row r="445" spans="1:3" ht="12.65" customHeight="1">
      <c r="A445" s="93"/>
      <c r="B445" s="94"/>
      <c r="C445" s="44"/>
    </row>
    <row r="446" spans="1:3" ht="12.65" customHeight="1">
      <c r="A446" s="93"/>
      <c r="B446" s="94"/>
      <c r="C446" s="44"/>
    </row>
    <row r="447" spans="1:3" ht="12.65" customHeight="1">
      <c r="A447" s="93"/>
      <c r="B447" s="94"/>
      <c r="C447" s="44"/>
    </row>
    <row r="448" spans="1:3" ht="12.65" customHeight="1">
      <c r="A448" s="93"/>
      <c r="B448" s="94"/>
      <c r="C448" s="44"/>
    </row>
    <row r="449" spans="1:3" ht="12.65" customHeight="1">
      <c r="A449" s="93"/>
      <c r="B449" s="94"/>
      <c r="C449" s="44"/>
    </row>
    <row r="450" spans="1:3" ht="12.65" customHeight="1">
      <c r="A450" s="93"/>
      <c r="B450" s="94"/>
      <c r="C450" s="44"/>
    </row>
    <row r="451" spans="1:3" ht="12.65" customHeight="1">
      <c r="A451" s="93"/>
      <c r="B451" s="94"/>
      <c r="C451" s="44"/>
    </row>
    <row r="452" spans="1:3" ht="12.65" customHeight="1">
      <c r="A452" s="93"/>
      <c r="B452" s="94"/>
      <c r="C452" s="44"/>
    </row>
    <row r="453" spans="1:3" ht="12.65" customHeight="1">
      <c r="A453" s="93"/>
      <c r="B453" s="94"/>
      <c r="C453" s="44"/>
    </row>
    <row r="454" spans="1:3" ht="12.65" customHeight="1">
      <c r="A454" s="93"/>
      <c r="B454" s="94"/>
      <c r="C454" s="44"/>
    </row>
    <row r="455" spans="1:3" ht="12.65" customHeight="1">
      <c r="A455" s="93"/>
      <c r="B455" s="94"/>
      <c r="C455" s="44"/>
    </row>
    <row r="456" spans="1:3" ht="12.65" customHeight="1">
      <c r="A456" s="93"/>
      <c r="B456" s="94"/>
      <c r="C456" s="44"/>
    </row>
    <row r="457" spans="1:3" ht="12.65" customHeight="1">
      <c r="A457" s="93"/>
      <c r="B457" s="94"/>
      <c r="C457" s="44"/>
    </row>
    <row r="458" spans="1:3" ht="12.65" customHeight="1">
      <c r="A458" s="93"/>
      <c r="B458" s="94"/>
      <c r="C458" s="44"/>
    </row>
    <row r="459" spans="1:3" ht="12.65" customHeight="1">
      <c r="A459" s="93"/>
      <c r="B459" s="94"/>
      <c r="C459" s="44"/>
    </row>
    <row r="460" spans="1:3" ht="12.65" customHeight="1">
      <c r="A460" s="93"/>
      <c r="B460" s="94"/>
      <c r="C460" s="44"/>
    </row>
    <row r="461" spans="1:3" ht="12.65" customHeight="1">
      <c r="A461" s="93"/>
      <c r="B461" s="94"/>
      <c r="C461" s="44"/>
    </row>
    <row r="462" spans="1:3" ht="12.65" customHeight="1">
      <c r="A462" s="93"/>
      <c r="B462" s="94"/>
      <c r="C462" s="44"/>
    </row>
    <row r="463" spans="1:3" ht="12.65" customHeight="1">
      <c r="A463" s="93"/>
      <c r="B463" s="94"/>
      <c r="C463" s="44"/>
    </row>
    <row r="464" spans="1:3" ht="12.65" customHeight="1">
      <c r="A464" s="93"/>
      <c r="B464" s="94"/>
      <c r="C464" s="44"/>
    </row>
    <row r="465" spans="1:3" ht="12.65" customHeight="1">
      <c r="A465" s="93"/>
      <c r="B465" s="94"/>
      <c r="C465" s="44"/>
    </row>
    <row r="466" spans="1:3" ht="12.65" customHeight="1">
      <c r="A466" s="93"/>
      <c r="B466" s="94"/>
      <c r="C466" s="44"/>
    </row>
    <row r="467" spans="1:3" ht="12.65" customHeight="1">
      <c r="A467" s="93"/>
      <c r="B467" s="94"/>
      <c r="C467" s="44"/>
    </row>
    <row r="468" spans="1:3" ht="12.65" customHeight="1">
      <c r="A468" s="93"/>
      <c r="B468" s="94"/>
      <c r="C468" s="44"/>
    </row>
    <row r="469" spans="1:3" ht="12.65" customHeight="1">
      <c r="A469" s="93"/>
      <c r="B469" s="94"/>
      <c r="C469" s="44"/>
    </row>
    <row r="470" spans="1:3" ht="12.65" customHeight="1">
      <c r="A470" s="93"/>
      <c r="B470" s="94"/>
      <c r="C470" s="44"/>
    </row>
    <row r="471" spans="1:3" ht="12.65" customHeight="1">
      <c r="A471" s="93"/>
      <c r="B471" s="94"/>
      <c r="C471" s="44"/>
    </row>
    <row r="472" spans="1:3" ht="12.65" customHeight="1">
      <c r="A472" s="93"/>
      <c r="B472" s="94"/>
      <c r="C472" s="44"/>
    </row>
    <row r="473" spans="1:3" ht="12.65" customHeight="1">
      <c r="A473" s="93"/>
      <c r="B473" s="94"/>
      <c r="C473" s="44"/>
    </row>
    <row r="474" spans="1:3" ht="12.65" customHeight="1">
      <c r="A474" s="93"/>
      <c r="B474" s="94"/>
      <c r="C474" s="44"/>
    </row>
    <row r="475" spans="1:3" ht="12.65" customHeight="1">
      <c r="A475" s="93"/>
      <c r="B475" s="94"/>
      <c r="C475" s="44"/>
    </row>
    <row r="476" spans="1:3" ht="12.65" customHeight="1">
      <c r="A476" s="93"/>
      <c r="B476" s="94"/>
      <c r="C476" s="44"/>
    </row>
    <row r="477" spans="1:3" ht="12.65" customHeight="1">
      <c r="A477" s="93"/>
      <c r="B477" s="94"/>
      <c r="C477" s="44"/>
    </row>
    <row r="478" spans="1:3" ht="12.65" customHeight="1">
      <c r="A478" s="93"/>
      <c r="B478" s="94"/>
      <c r="C478" s="44"/>
    </row>
    <row r="479" spans="1:3" ht="12.65" customHeight="1">
      <c r="A479" s="93"/>
      <c r="B479" s="94"/>
      <c r="C479" s="44"/>
    </row>
    <row r="480" spans="1:3" ht="12.65" customHeight="1">
      <c r="A480" s="93"/>
      <c r="B480" s="94"/>
      <c r="C480" s="44"/>
    </row>
    <row r="481" spans="1:3" ht="12.65" customHeight="1">
      <c r="A481" s="93"/>
      <c r="B481" s="94"/>
      <c r="C481" s="44"/>
    </row>
    <row r="482" spans="1:3" ht="12.65" customHeight="1">
      <c r="A482" s="93"/>
      <c r="B482" s="94"/>
      <c r="C482" s="44"/>
    </row>
    <row r="483" spans="1:3" ht="12.65" customHeight="1">
      <c r="A483" s="93"/>
      <c r="B483" s="94"/>
      <c r="C483" s="44"/>
    </row>
    <row r="484" spans="1:3" ht="12.65" customHeight="1">
      <c r="A484" s="93"/>
      <c r="B484" s="94"/>
      <c r="C484" s="44"/>
    </row>
    <row r="485" spans="1:3" ht="12.65" customHeight="1">
      <c r="A485" s="93"/>
      <c r="B485" s="94"/>
      <c r="C485" s="44"/>
    </row>
    <row r="486" spans="1:3" ht="12.65" customHeight="1">
      <c r="A486" s="93"/>
      <c r="B486" s="94"/>
      <c r="C486" s="44"/>
    </row>
    <row r="487" spans="1:3" ht="12.65" customHeight="1">
      <c r="A487" s="93"/>
      <c r="B487" s="94"/>
      <c r="C487" s="44"/>
    </row>
    <row r="488" spans="1:3" ht="12.65" customHeight="1">
      <c r="A488" s="93"/>
      <c r="B488" s="94"/>
      <c r="C488" s="44"/>
    </row>
    <row r="489" spans="1:3" ht="12.65" customHeight="1">
      <c r="A489" s="93"/>
      <c r="B489" s="94"/>
      <c r="C489" s="44"/>
    </row>
    <row r="490" spans="1:3" ht="12.65" customHeight="1">
      <c r="A490" s="93"/>
      <c r="B490" s="94"/>
      <c r="C490" s="44"/>
    </row>
    <row r="491" spans="1:3" ht="12.65" customHeight="1">
      <c r="A491" s="93"/>
      <c r="B491" s="94"/>
      <c r="C491" s="44"/>
    </row>
    <row r="492" spans="1:3" ht="12.65" customHeight="1">
      <c r="A492" s="93"/>
      <c r="B492" s="94"/>
      <c r="C492" s="44"/>
    </row>
    <row r="493" spans="1:3" ht="12.65" customHeight="1">
      <c r="A493" s="93"/>
      <c r="B493" s="94"/>
      <c r="C493" s="44"/>
    </row>
    <row r="494" spans="1:3" ht="12.65" customHeight="1">
      <c r="A494" s="93"/>
      <c r="B494" s="94"/>
      <c r="C494" s="44"/>
    </row>
    <row r="495" spans="1:3" ht="12.65" customHeight="1">
      <c r="A495" s="93"/>
      <c r="B495" s="94"/>
      <c r="C495" s="44"/>
    </row>
    <row r="496" spans="1:3" ht="12.65" customHeight="1">
      <c r="A496" s="93"/>
      <c r="B496" s="94"/>
      <c r="C496" s="44"/>
    </row>
    <row r="497" spans="1:3" ht="12.65" customHeight="1">
      <c r="A497" s="93"/>
      <c r="B497" s="94"/>
      <c r="C497" s="44"/>
    </row>
    <row r="498" spans="1:3" ht="12.65" customHeight="1">
      <c r="A498" s="93"/>
      <c r="B498" s="94"/>
      <c r="C498" s="44"/>
    </row>
    <row r="499" spans="1:3" ht="12.65" customHeight="1">
      <c r="A499" s="93"/>
      <c r="B499" s="94"/>
      <c r="C499" s="44"/>
    </row>
    <row r="500" spans="1:3" ht="12.65" customHeight="1">
      <c r="A500" s="93"/>
      <c r="B500" s="94"/>
      <c r="C500" s="44"/>
    </row>
    <row r="501" spans="1:3" ht="12.65" customHeight="1">
      <c r="A501" s="93"/>
      <c r="B501" s="94"/>
      <c r="C501" s="44"/>
    </row>
    <row r="502" spans="1:3" ht="12.65" customHeight="1">
      <c r="A502" s="93"/>
      <c r="B502" s="94"/>
      <c r="C502" s="44"/>
    </row>
    <row r="503" spans="1:3" ht="12.65" customHeight="1">
      <c r="A503" s="93"/>
      <c r="B503" s="94"/>
      <c r="C503" s="44"/>
    </row>
    <row r="504" spans="1:3" ht="12.65" customHeight="1">
      <c r="A504" s="93"/>
      <c r="B504" s="94"/>
      <c r="C504" s="44"/>
    </row>
    <row r="505" spans="1:3" ht="12.65" customHeight="1">
      <c r="A505" s="93"/>
      <c r="B505" s="94"/>
      <c r="C505" s="44"/>
    </row>
    <row r="506" spans="1:3" ht="12.65" customHeight="1">
      <c r="A506" s="93"/>
      <c r="B506" s="94"/>
      <c r="C506" s="44"/>
    </row>
    <row r="507" spans="1:3" ht="12.65" customHeight="1">
      <c r="A507" s="93"/>
      <c r="B507" s="94"/>
      <c r="C507" s="44"/>
    </row>
    <row r="508" spans="1:3" ht="12.65" customHeight="1">
      <c r="A508" s="93"/>
      <c r="B508" s="94"/>
      <c r="C508" s="44"/>
    </row>
    <row r="509" spans="1:3" ht="12.65" customHeight="1">
      <c r="A509" s="93"/>
      <c r="B509" s="94"/>
      <c r="C509" s="44"/>
    </row>
    <row r="510" spans="1:3" ht="12.65" customHeight="1">
      <c r="A510" s="93"/>
      <c r="B510" s="94"/>
      <c r="C510" s="44"/>
    </row>
    <row r="511" spans="1:3" ht="12.65" customHeight="1">
      <c r="A511" s="93"/>
      <c r="B511" s="94"/>
      <c r="C511" s="44"/>
    </row>
    <row r="512" spans="1:3" ht="12.65" customHeight="1">
      <c r="A512" s="93"/>
      <c r="B512" s="94"/>
      <c r="C512" s="44"/>
    </row>
    <row r="513" spans="1:3" ht="12.65" customHeight="1">
      <c r="A513" s="93"/>
      <c r="B513" s="94"/>
      <c r="C513" s="44"/>
    </row>
    <row r="514" spans="1:3" ht="12.65" customHeight="1">
      <c r="A514" s="93"/>
      <c r="B514" s="94"/>
      <c r="C514" s="44"/>
    </row>
    <row r="515" spans="1:3" ht="12.65" customHeight="1">
      <c r="A515" s="93"/>
      <c r="B515" s="94"/>
      <c r="C515" s="44"/>
    </row>
    <row r="516" spans="1:3" ht="12.65" customHeight="1">
      <c r="A516" s="93"/>
      <c r="B516" s="94"/>
      <c r="C516" s="44"/>
    </row>
    <row r="517" spans="1:3" ht="12.65" customHeight="1">
      <c r="A517" s="93"/>
      <c r="B517" s="94"/>
      <c r="C517" s="44"/>
    </row>
    <row r="518" spans="1:3" ht="12.65" customHeight="1">
      <c r="A518" s="93"/>
      <c r="B518" s="94"/>
      <c r="C518" s="44"/>
    </row>
    <row r="519" spans="1:3" ht="12.65" customHeight="1">
      <c r="A519" s="93"/>
      <c r="B519" s="94"/>
      <c r="C519" s="44"/>
    </row>
    <row r="520" spans="1:3" ht="12.65" customHeight="1">
      <c r="A520" s="93"/>
      <c r="B520" s="94"/>
      <c r="C520" s="44"/>
    </row>
    <row r="521" spans="1:3" ht="12.65" customHeight="1">
      <c r="A521" s="93"/>
      <c r="B521" s="94"/>
      <c r="C521" s="44"/>
    </row>
    <row r="522" spans="1:3" ht="12.65" customHeight="1">
      <c r="A522" s="93"/>
      <c r="B522" s="94"/>
      <c r="C522" s="44"/>
    </row>
    <row r="523" spans="1:3" ht="12.65" customHeight="1">
      <c r="A523" s="93"/>
      <c r="B523" s="94"/>
      <c r="C523" s="44"/>
    </row>
    <row r="524" spans="1:3" ht="12.65" customHeight="1">
      <c r="A524" s="93"/>
      <c r="B524" s="94"/>
      <c r="C524" s="44"/>
    </row>
    <row r="525" spans="1:3" ht="12.65" customHeight="1">
      <c r="A525" s="93"/>
      <c r="B525" s="94"/>
      <c r="C525" s="44"/>
    </row>
    <row r="526" spans="1:3" ht="12.65" customHeight="1">
      <c r="A526" s="93"/>
      <c r="B526" s="94"/>
      <c r="C526" s="44"/>
    </row>
    <row r="527" spans="1:3" ht="12.65" customHeight="1">
      <c r="A527" s="93"/>
      <c r="B527" s="94"/>
      <c r="C527" s="44"/>
    </row>
    <row r="528" spans="1:3" ht="12.65" customHeight="1">
      <c r="A528" s="93"/>
      <c r="B528" s="94"/>
      <c r="C528" s="44"/>
    </row>
    <row r="529" spans="1:3" ht="12.65" customHeight="1">
      <c r="A529" s="93"/>
      <c r="B529" s="94"/>
      <c r="C529" s="44"/>
    </row>
    <row r="530" spans="1:3" ht="12.65" customHeight="1">
      <c r="A530" s="93"/>
      <c r="B530" s="94"/>
      <c r="C530" s="44"/>
    </row>
    <row r="531" spans="1:3" ht="12.65" customHeight="1">
      <c r="A531" s="93"/>
      <c r="B531" s="94"/>
      <c r="C531" s="44"/>
    </row>
    <row r="532" spans="1:3" ht="12.65" customHeight="1">
      <c r="A532" s="93"/>
      <c r="B532" s="94"/>
      <c r="C532" s="44"/>
    </row>
    <row r="533" spans="1:3" ht="12.65" customHeight="1">
      <c r="A533" s="93"/>
      <c r="B533" s="94"/>
      <c r="C533" s="44"/>
    </row>
    <row r="534" spans="1:3" ht="12.65" customHeight="1">
      <c r="A534" s="93"/>
      <c r="B534" s="94"/>
      <c r="C534" s="44"/>
    </row>
    <row r="535" spans="1:3" ht="12.65" customHeight="1">
      <c r="A535" s="93"/>
      <c r="B535" s="94"/>
      <c r="C535" s="44"/>
    </row>
    <row r="536" spans="1:3" ht="12.65" customHeight="1">
      <c r="A536" s="93"/>
      <c r="B536" s="94"/>
      <c r="C536" s="44"/>
    </row>
    <row r="537" spans="1:3" ht="12.65" customHeight="1">
      <c r="A537" s="93"/>
      <c r="B537" s="94"/>
      <c r="C537" s="44"/>
    </row>
    <row r="538" spans="1:3" ht="12.65" customHeight="1">
      <c r="A538" s="93"/>
      <c r="B538" s="94"/>
      <c r="C538" s="44"/>
    </row>
    <row r="539" spans="1:3" ht="12.65" customHeight="1">
      <c r="A539" s="93"/>
      <c r="B539" s="94"/>
      <c r="C539" s="44"/>
    </row>
    <row r="540" spans="1:3" ht="12.65" customHeight="1">
      <c r="A540" s="93"/>
      <c r="B540" s="94"/>
      <c r="C540" s="44"/>
    </row>
    <row r="541" spans="1:3" ht="12.65" customHeight="1">
      <c r="A541" s="93"/>
      <c r="B541" s="94"/>
      <c r="C541" s="44"/>
    </row>
    <row r="542" spans="1:3" ht="12.65" customHeight="1">
      <c r="A542" s="93"/>
      <c r="B542" s="94"/>
      <c r="C542" s="44"/>
    </row>
    <row r="543" spans="1:3" ht="12.65" customHeight="1">
      <c r="A543" s="93"/>
      <c r="B543" s="94"/>
      <c r="C543" s="44"/>
    </row>
    <row r="544" spans="1:3" ht="12.65" customHeight="1">
      <c r="A544" s="93"/>
      <c r="B544" s="94"/>
      <c r="C544" s="44"/>
    </row>
    <row r="545" spans="1:3" ht="12.65" customHeight="1">
      <c r="A545" s="93"/>
      <c r="B545" s="94"/>
      <c r="C545" s="44"/>
    </row>
    <row r="546" spans="1:3" ht="12.65" customHeight="1">
      <c r="A546" s="93"/>
      <c r="B546" s="94"/>
      <c r="C546" s="44"/>
    </row>
    <row r="547" spans="1:3" ht="12.65" customHeight="1">
      <c r="A547" s="93"/>
      <c r="B547" s="94"/>
      <c r="C547" s="44"/>
    </row>
    <row r="548" spans="1:3" ht="12.65" customHeight="1">
      <c r="A548" s="93"/>
      <c r="B548" s="94"/>
      <c r="C548" s="44"/>
    </row>
    <row r="549" spans="1:3" ht="12.65" customHeight="1">
      <c r="A549" s="93"/>
      <c r="B549" s="94"/>
      <c r="C549" s="44"/>
    </row>
    <row r="550" spans="1:3" ht="12.65" customHeight="1">
      <c r="A550" s="93"/>
      <c r="B550" s="94"/>
      <c r="C550" s="44"/>
    </row>
    <row r="551" spans="1:3" ht="12.65" customHeight="1">
      <c r="A551" s="93"/>
      <c r="B551" s="94"/>
      <c r="C551" s="44"/>
    </row>
    <row r="552" spans="1:3" ht="12.65" customHeight="1">
      <c r="A552" s="93"/>
      <c r="B552" s="94"/>
      <c r="C552" s="44"/>
    </row>
    <row r="553" spans="1:3" ht="12.65" customHeight="1">
      <c r="A553" s="93"/>
      <c r="B553" s="94"/>
      <c r="C553" s="44"/>
    </row>
    <row r="554" spans="1:3" ht="12.65" customHeight="1">
      <c r="A554" s="93"/>
      <c r="B554" s="94"/>
      <c r="C554" s="44"/>
    </row>
    <row r="555" spans="1:3" ht="12.65" customHeight="1">
      <c r="A555" s="93"/>
      <c r="B555" s="94"/>
      <c r="C555" s="44"/>
    </row>
    <row r="556" spans="1:3" ht="12.65" customHeight="1">
      <c r="A556" s="93"/>
      <c r="B556" s="94"/>
      <c r="C556" s="44"/>
    </row>
    <row r="557" spans="1:3" ht="12.65" customHeight="1">
      <c r="A557" s="93"/>
      <c r="B557" s="94"/>
      <c r="C557" s="44"/>
    </row>
    <row r="558" spans="1:3" ht="12.65" customHeight="1">
      <c r="A558" s="93"/>
      <c r="B558" s="94"/>
      <c r="C558" s="44"/>
    </row>
    <row r="559" spans="1:3" ht="12.65" customHeight="1">
      <c r="A559" s="93"/>
      <c r="B559" s="94"/>
      <c r="C559" s="44"/>
    </row>
    <row r="560" spans="1:3" ht="12.65" customHeight="1">
      <c r="A560" s="93"/>
      <c r="B560" s="94"/>
      <c r="C560" s="44"/>
    </row>
    <row r="561" spans="1:3" ht="12.65" customHeight="1">
      <c r="A561" s="93"/>
      <c r="B561" s="94"/>
      <c r="C561" s="44"/>
    </row>
    <row r="562" spans="1:3" ht="12.65" customHeight="1">
      <c r="A562" s="93"/>
      <c r="B562" s="94"/>
      <c r="C562" s="44"/>
    </row>
    <row r="563" spans="1:3" ht="12.65" customHeight="1">
      <c r="A563" s="93"/>
      <c r="B563" s="94"/>
      <c r="C563" s="44"/>
    </row>
    <row r="564" spans="1:3" ht="12.65" customHeight="1">
      <c r="A564" s="93"/>
      <c r="B564" s="94"/>
      <c r="C564" s="44"/>
    </row>
    <row r="565" spans="1:3" ht="12.65" customHeight="1">
      <c r="A565" s="93"/>
      <c r="B565" s="94"/>
      <c r="C565" s="44"/>
    </row>
    <row r="566" spans="1:3" ht="12.65" customHeight="1">
      <c r="A566" s="93"/>
      <c r="B566" s="94"/>
      <c r="C566" s="44"/>
    </row>
    <row r="567" spans="1:3" ht="12.65" customHeight="1">
      <c r="A567" s="93"/>
      <c r="B567" s="94"/>
      <c r="C567" s="44"/>
    </row>
    <row r="568" spans="1:3" ht="12.65" customHeight="1">
      <c r="A568" s="93"/>
      <c r="B568" s="94"/>
      <c r="C568" s="44"/>
    </row>
    <row r="569" spans="1:3" ht="12.65" customHeight="1">
      <c r="A569" s="93"/>
      <c r="B569" s="94"/>
      <c r="C569" s="44"/>
    </row>
    <row r="570" spans="1:3" ht="12.65" customHeight="1">
      <c r="A570" s="93"/>
      <c r="B570" s="94"/>
      <c r="C570" s="44"/>
    </row>
    <row r="571" spans="1:3" ht="12.65" customHeight="1">
      <c r="A571" s="93"/>
      <c r="B571" s="94"/>
      <c r="C571" s="44"/>
    </row>
    <row r="572" spans="1:3" ht="12.65" customHeight="1">
      <c r="A572" s="93"/>
      <c r="B572" s="94"/>
      <c r="C572" s="44"/>
    </row>
    <row r="573" spans="1:3" ht="12.65" customHeight="1">
      <c r="A573" s="93"/>
      <c r="B573" s="94"/>
      <c r="C573" s="44"/>
    </row>
    <row r="574" spans="1:3" ht="12.65" customHeight="1">
      <c r="A574" s="93"/>
      <c r="B574" s="94"/>
      <c r="C574" s="44"/>
    </row>
    <row r="575" spans="1:3" ht="12.65" customHeight="1">
      <c r="A575" s="93"/>
      <c r="B575" s="94"/>
      <c r="C575" s="44"/>
    </row>
    <row r="576" spans="1:3" ht="12.65" customHeight="1">
      <c r="A576" s="93"/>
      <c r="B576" s="94"/>
      <c r="C576" s="44"/>
    </row>
    <row r="577" spans="1:3" ht="12.65" customHeight="1">
      <c r="A577" s="93"/>
      <c r="B577" s="94"/>
      <c r="C577" s="44"/>
    </row>
    <row r="578" spans="1:3" ht="12.65" customHeight="1">
      <c r="A578" s="93"/>
      <c r="B578" s="94"/>
      <c r="C578" s="44"/>
    </row>
    <row r="579" spans="1:3" ht="12.65" customHeight="1">
      <c r="A579" s="93"/>
      <c r="B579" s="94"/>
      <c r="C579" s="44"/>
    </row>
    <row r="580" spans="1:3" ht="12.65" customHeight="1">
      <c r="A580" s="93"/>
      <c r="B580" s="94"/>
      <c r="C580" s="44"/>
    </row>
    <row r="581" spans="1:3" ht="12.65" customHeight="1">
      <c r="A581" s="93"/>
      <c r="B581" s="94"/>
      <c r="C581" s="44"/>
    </row>
    <row r="582" spans="1:3" ht="12.65" customHeight="1">
      <c r="A582" s="93"/>
      <c r="B582" s="94"/>
      <c r="C582" s="44"/>
    </row>
    <row r="583" spans="1:3" ht="12.65" customHeight="1">
      <c r="A583" s="93"/>
      <c r="B583" s="94"/>
      <c r="C583" s="44"/>
    </row>
    <row r="584" spans="1:3" ht="12.65" customHeight="1">
      <c r="A584" s="93"/>
      <c r="B584" s="94"/>
      <c r="C584" s="44"/>
    </row>
    <row r="585" spans="1:3" ht="12.65" customHeight="1">
      <c r="A585" s="93"/>
      <c r="B585" s="94"/>
      <c r="C585" s="44"/>
    </row>
    <row r="586" spans="1:3" ht="12.65" customHeight="1">
      <c r="A586" s="93"/>
      <c r="B586" s="94"/>
      <c r="C586" s="44"/>
    </row>
    <row r="587" spans="1:3" ht="12.65" customHeight="1">
      <c r="A587" s="93"/>
      <c r="B587" s="94"/>
      <c r="C587" s="44"/>
    </row>
    <row r="588" spans="1:3" ht="12.65" customHeight="1">
      <c r="A588" s="93"/>
      <c r="B588" s="94"/>
      <c r="C588" s="44"/>
    </row>
    <row r="589" spans="1:3" ht="12.65" customHeight="1">
      <c r="A589" s="93"/>
      <c r="B589" s="94"/>
      <c r="C589" s="44"/>
    </row>
    <row r="590" spans="1:3" ht="12.65" customHeight="1">
      <c r="A590" s="93"/>
      <c r="B590" s="94"/>
      <c r="C590" s="44"/>
    </row>
    <row r="591" spans="1:3" ht="12.65" customHeight="1">
      <c r="A591" s="93"/>
      <c r="B591" s="94"/>
      <c r="C591" s="44"/>
    </row>
    <row r="592" spans="1:3" ht="12.65" customHeight="1">
      <c r="A592" s="93"/>
      <c r="B592" s="94"/>
      <c r="C592" s="44"/>
    </row>
    <row r="593" spans="1:3" ht="12.65" customHeight="1">
      <c r="A593" s="93"/>
      <c r="B593" s="94"/>
      <c r="C593" s="44"/>
    </row>
    <row r="594" spans="1:3" ht="12.65" customHeight="1">
      <c r="A594" s="93"/>
      <c r="B594" s="94"/>
      <c r="C594" s="44"/>
    </row>
    <row r="595" spans="1:3" ht="12.65" customHeight="1">
      <c r="A595" s="93"/>
      <c r="B595" s="94"/>
      <c r="C595" s="44"/>
    </row>
    <row r="596" spans="1:3" ht="12.65" customHeight="1">
      <c r="A596" s="93"/>
      <c r="B596" s="94"/>
      <c r="C596" s="44"/>
    </row>
    <row r="597" spans="1:3" ht="12.65" customHeight="1">
      <c r="A597" s="93"/>
      <c r="B597" s="94"/>
      <c r="C597" s="44"/>
    </row>
    <row r="598" spans="1:3" ht="12.65" customHeight="1">
      <c r="A598" s="93"/>
      <c r="B598" s="94"/>
      <c r="C598" s="44"/>
    </row>
    <row r="599" spans="1:3">
      <c r="A599" s="93"/>
      <c r="B599" s="94"/>
      <c r="C599" s="44"/>
    </row>
    <row r="600" spans="1:3">
      <c r="A600" s="93"/>
      <c r="B600" s="94"/>
      <c r="C600" s="44"/>
    </row>
    <row r="601" spans="1:3">
      <c r="A601" s="93"/>
      <c r="B601" s="94"/>
      <c r="C601" s="44"/>
    </row>
    <row r="602" spans="1:3">
      <c r="A602" s="93"/>
      <c r="B602" s="94"/>
      <c r="C602" s="44"/>
    </row>
    <row r="603" spans="1:3">
      <c r="A603" s="93"/>
      <c r="B603" s="94"/>
      <c r="C603" s="44"/>
    </row>
    <row r="604" spans="1:3">
      <c r="A604" s="93"/>
      <c r="B604" s="94"/>
      <c r="C604" s="44"/>
    </row>
    <row r="605" spans="1:3">
      <c r="A605" s="93"/>
      <c r="B605" s="94"/>
      <c r="C605" s="44"/>
    </row>
    <row r="606" spans="1:3">
      <c r="A606" s="93"/>
      <c r="B606" s="94"/>
      <c r="C606" s="44"/>
    </row>
    <row r="607" spans="1:3">
      <c r="A607" s="93"/>
      <c r="B607" s="94"/>
      <c r="C607" s="44"/>
    </row>
    <row r="608" spans="1:3">
      <c r="A608" s="93"/>
      <c r="B608" s="94"/>
      <c r="C608" s="44"/>
    </row>
    <row r="609" spans="1:3">
      <c r="A609" s="93"/>
      <c r="B609" s="94"/>
      <c r="C609" s="44"/>
    </row>
    <row r="610" spans="1:3">
      <c r="A610" s="93"/>
      <c r="B610" s="94"/>
      <c r="C610" s="44"/>
    </row>
    <row r="611" spans="1:3">
      <c r="A611" s="93"/>
      <c r="B611" s="94"/>
      <c r="C611" s="44"/>
    </row>
    <row r="612" spans="1:3">
      <c r="A612" s="93"/>
      <c r="B612" s="94"/>
      <c r="C612" s="44"/>
    </row>
    <row r="613" spans="1:3">
      <c r="A613" s="93"/>
      <c r="B613" s="94"/>
      <c r="C613" s="44"/>
    </row>
    <row r="614" spans="1:3">
      <c r="A614" s="93"/>
      <c r="B614" s="94"/>
      <c r="C614" s="44"/>
    </row>
    <row r="615" spans="1:3">
      <c r="A615" s="93"/>
      <c r="B615" s="94"/>
      <c r="C615" s="44"/>
    </row>
    <row r="616" spans="1:3">
      <c r="A616" s="93"/>
      <c r="B616" s="94"/>
      <c r="C616" s="44"/>
    </row>
    <row r="617" spans="1:3">
      <c r="A617" s="93"/>
      <c r="B617" s="94"/>
      <c r="C617" s="44"/>
    </row>
    <row r="618" spans="1:3">
      <c r="A618" s="93"/>
      <c r="B618" s="94"/>
      <c r="C618" s="44"/>
    </row>
    <row r="619" spans="1:3">
      <c r="A619" s="93"/>
      <c r="B619" s="94"/>
      <c r="C619" s="44"/>
    </row>
    <row r="620" spans="1:3">
      <c r="A620" s="93"/>
      <c r="B620" s="94"/>
      <c r="C620" s="44"/>
    </row>
    <row r="621" spans="1:3">
      <c r="A621" s="93"/>
      <c r="B621" s="94"/>
      <c r="C621" s="44"/>
    </row>
    <row r="622" spans="1:3">
      <c r="A622" s="93"/>
      <c r="B622" s="94"/>
      <c r="C622" s="44"/>
    </row>
    <row r="623" spans="1:3">
      <c r="A623" s="93"/>
      <c r="B623" s="94"/>
      <c r="C623" s="44"/>
    </row>
    <row r="624" spans="1:3">
      <c r="A624" s="93"/>
      <c r="B624" s="94"/>
      <c r="C624" s="95"/>
    </row>
  </sheetData>
  <sheetProtection formatCells="0" formatColumns="0" formatRows="0" insertColumns="0" insertRows="0" insertHyperlinks="0" deleteColumns="0" deleteRows="0" sort="0" autoFilter="0" pivotTables="0"/>
  <mergeCells count="2">
    <mergeCell ref="A3:C3"/>
    <mergeCell ref="B1:C1"/>
  </mergeCells>
  <pageMargins left="0.51180555555555496" right="0.51180555555555496" top="0.78749999999999998" bottom="0.78749999999999998" header="0.51180555555555496" footer="0.51180555555555496"/>
  <pageSetup paperSize="9" firstPageNumber="0"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064A2"/>
  </sheetPr>
  <dimension ref="A1:S135"/>
  <sheetViews>
    <sheetView showGridLines="0" zoomScale="70" zoomScaleNormal="70" workbookViewId="0"/>
  </sheetViews>
  <sheetFormatPr defaultColWidth="9.1796875" defaultRowHeight="12.5"/>
  <cols>
    <col min="1" max="1" width="1.81640625" style="96" customWidth="1" collapsed="1"/>
    <col min="2" max="2" width="11.453125" style="96" customWidth="1" collapsed="1"/>
    <col min="3" max="3" width="11" style="97" customWidth="1" collapsed="1"/>
    <col min="4" max="5" width="7" style="96" customWidth="1" collapsed="1"/>
    <col min="6" max="6" width="6.54296875" style="96" customWidth="1" collapsed="1"/>
    <col min="7" max="7" width="16.1796875" style="96" customWidth="1" collapsed="1"/>
    <col min="8" max="8" width="14.453125" style="96" customWidth="1" collapsed="1"/>
    <col min="9" max="9" width="1.1796875" style="96" customWidth="1" collapsed="1"/>
    <col min="10" max="10" width="25.54296875" style="96" customWidth="1" collapsed="1"/>
    <col min="11" max="11" width="10.453125" style="96" customWidth="1" collapsed="1"/>
    <col min="12" max="12" width="8.54296875" style="96" customWidth="1" collapsed="1"/>
    <col min="13" max="13" width="1.1796875" style="96" customWidth="1" collapsed="1"/>
    <col min="14" max="14" width="22.81640625" style="96" customWidth="1" collapsed="1"/>
    <col min="15" max="15" width="7.54296875" style="96" customWidth="1" collapsed="1"/>
    <col min="16" max="16" width="8" style="96" customWidth="1" collapsed="1"/>
    <col min="17" max="17" width="12.54296875" style="96" customWidth="1" collapsed="1"/>
    <col min="18" max="18" width="12.1796875" style="96" customWidth="1" collapsed="1"/>
    <col min="19" max="16384" width="9.1796875" style="96"/>
  </cols>
  <sheetData>
    <row r="1" spans="2:18" ht="69.75" customHeight="1">
      <c r="B1" s="98" t="str">
        <f>Resumo!$A$1</f>
        <v>Template V.2.0</v>
      </c>
      <c r="D1" s="266" t="s">
        <v>97</v>
      </c>
      <c r="E1" s="266"/>
      <c r="F1" s="266"/>
      <c r="G1" s="266"/>
      <c r="H1" s="266"/>
      <c r="I1" s="266"/>
      <c r="J1" s="266"/>
      <c r="K1" s="266"/>
      <c r="L1" s="266"/>
      <c r="M1" s="266"/>
      <c r="N1" s="266"/>
      <c r="O1" s="266"/>
      <c r="P1" s="266"/>
      <c r="Q1" s="266"/>
      <c r="R1" s="266"/>
    </row>
    <row r="2" spans="2:18" ht="15.5">
      <c r="B2" s="267" t="s">
        <v>98</v>
      </c>
      <c r="C2" s="267"/>
      <c r="D2" s="267"/>
      <c r="E2" s="267"/>
      <c r="F2" s="267"/>
      <c r="G2" s="267"/>
      <c r="H2" s="267"/>
      <c r="I2" s="99"/>
      <c r="J2" s="268" t="str">
        <f>IF(G4="SISP v1.0","PRAZO SISP 1 ATÉ 99 PF","PRAZO SISP 2/2.1 ATÉ 99 PF")</f>
        <v>PRAZO SISP 2/2.1 ATÉ 99 PF</v>
      </c>
      <c r="K2" s="268"/>
      <c r="L2" s="268"/>
      <c r="M2" s="99"/>
      <c r="N2" s="268" t="s">
        <v>99</v>
      </c>
      <c r="O2" s="268"/>
      <c r="P2" s="268"/>
      <c r="Q2" s="268"/>
      <c r="R2" s="268"/>
    </row>
    <row r="3" spans="2:18" ht="15.75" customHeight="1">
      <c r="B3" s="259" t="s">
        <v>100</v>
      </c>
      <c r="C3" s="259"/>
      <c r="D3" s="259"/>
      <c r="E3" s="259"/>
      <c r="F3" s="259"/>
      <c r="G3" s="260" t="s">
        <v>101</v>
      </c>
      <c r="H3" s="260"/>
      <c r="I3" s="99"/>
      <c r="J3" s="257" t="s">
        <v>102</v>
      </c>
      <c r="K3" s="269" t="str">
        <f>IF(G3="Úteis", "Prazo em dias úteis","Prazo em dias corridos")</f>
        <v>Prazo em dias corridos</v>
      </c>
      <c r="L3" s="269"/>
      <c r="M3" s="99"/>
      <c r="N3" s="257" t="s">
        <v>103</v>
      </c>
      <c r="O3" s="257"/>
      <c r="P3" s="257"/>
      <c r="Q3" s="258" t="s">
        <v>104</v>
      </c>
      <c r="R3" s="258"/>
    </row>
    <row r="4" spans="2:18" ht="15.75" customHeight="1">
      <c r="B4" s="259" t="s">
        <v>105</v>
      </c>
      <c r="C4" s="259"/>
      <c r="D4" s="259"/>
      <c r="E4" s="259"/>
      <c r="F4" s="259"/>
      <c r="G4" s="260" t="s">
        <v>106</v>
      </c>
      <c r="H4" s="260"/>
      <c r="I4" s="99"/>
      <c r="J4" s="257"/>
      <c r="K4" s="269"/>
      <c r="L4" s="269"/>
      <c r="M4" s="99"/>
      <c r="N4" s="261" t="s">
        <v>107</v>
      </c>
      <c r="O4" s="261"/>
      <c r="P4" s="261"/>
      <c r="Q4" s="262"/>
      <c r="R4" s="262"/>
    </row>
    <row r="5" spans="2:18" ht="35.25" customHeight="1">
      <c r="B5" s="255" t="s">
        <v>108</v>
      </c>
      <c r="C5" s="255"/>
      <c r="D5" s="255"/>
      <c r="E5" s="255"/>
      <c r="F5" s="255"/>
      <c r="G5" s="256" t="s">
        <v>109</v>
      </c>
      <c r="H5" s="101" t="s">
        <v>110</v>
      </c>
      <c r="I5" s="99"/>
      <c r="J5" s="257"/>
      <c r="K5" s="102" t="s">
        <v>111</v>
      </c>
      <c r="L5" s="103" t="s">
        <v>112</v>
      </c>
      <c r="M5" s="99"/>
      <c r="N5" s="261" t="s">
        <v>113</v>
      </c>
      <c r="O5" s="261"/>
      <c r="P5" s="261"/>
      <c r="Q5" s="263" t="e">
        <f>IF(AND(Q4&lt;&gt;"",B17&lt;&gt;0),(Q4-G11)+1,B17)</f>
        <v>#VALUE!</v>
      </c>
      <c r="R5" s="263"/>
    </row>
    <row r="6" spans="2:18" ht="13.5" customHeight="1">
      <c r="B6" s="255"/>
      <c r="C6" s="255"/>
      <c r="D6" s="255"/>
      <c r="E6" s="255"/>
      <c r="F6" s="255"/>
      <c r="G6" s="256"/>
      <c r="H6" s="104">
        <f>IF(G5="Sistema Comum – Mainframe", 0.33, IF(G5="Sistema Comum – WEB", 0.35, IF(G5="Sistema OO", 0.36, IF(G5="Sistema Cliente/Servidor (Alta complexidade)", 0.37,IF(G5="Sistemas Gerenciais Complexos", 0.39, IF(G5="Software Básico, Framework, Sistemas Comerciais", 0.4, IF(G5="Software Militar *Exclusivo SISP v2.0", 0.45, "ERRO - Selecione o Tipo novamente")))))))</f>
        <v>0.36</v>
      </c>
      <c r="I6" s="99"/>
      <c r="J6" s="100" t="s">
        <v>114</v>
      </c>
      <c r="K6" s="6">
        <v>7</v>
      </c>
      <c r="L6" s="6">
        <v>7</v>
      </c>
      <c r="M6" s="99"/>
      <c r="N6" s="264" t="s">
        <v>115</v>
      </c>
      <c r="O6" s="264"/>
      <c r="P6" s="264"/>
      <c r="Q6" s="265" t="e">
        <f>IF(G8&lt;&gt;0,Q5/B17-1,"-")</f>
        <v>#VALUE!</v>
      </c>
      <c r="R6" s="265"/>
    </row>
    <row r="7" spans="2:18" ht="24" customHeight="1">
      <c r="B7" s="259" t="s">
        <v>116</v>
      </c>
      <c r="C7" s="259"/>
      <c r="D7" s="259"/>
      <c r="E7" s="259"/>
      <c r="F7" s="259"/>
      <c r="G7" s="273" t="s">
        <v>117</v>
      </c>
      <c r="H7" s="273"/>
      <c r="I7" s="99"/>
      <c r="J7" s="100" t="s">
        <v>118</v>
      </c>
      <c r="K7" s="6">
        <v>13</v>
      </c>
      <c r="L7" s="6">
        <v>13</v>
      </c>
      <c r="M7" s="99"/>
      <c r="N7" s="274"/>
      <c r="O7" s="274"/>
      <c r="P7" s="274"/>
      <c r="Q7" s="105" t="s">
        <v>119</v>
      </c>
      <c r="R7" s="106" t="s">
        <v>120</v>
      </c>
    </row>
    <row r="8" spans="2:18" ht="18.5">
      <c r="B8" s="275" t="s">
        <v>121</v>
      </c>
      <c r="C8" s="275"/>
      <c r="D8" s="275"/>
      <c r="E8" s="275"/>
      <c r="F8" s="275"/>
      <c r="G8" s="276">
        <v>200</v>
      </c>
      <c r="H8" s="276"/>
      <c r="I8" s="99"/>
      <c r="J8" s="100" t="s">
        <v>122</v>
      </c>
      <c r="K8" s="6">
        <v>20</v>
      </c>
      <c r="L8" s="6">
        <v>20</v>
      </c>
      <c r="M8" s="99"/>
      <c r="N8" s="277" t="s">
        <v>123</v>
      </c>
      <c r="O8" s="277"/>
      <c r="P8" s="277"/>
      <c r="Q8" s="107" t="e">
        <f>IF(Q5=B17,"-",GROWTH(R22:R24,Q22:Q24,Q6,1))</f>
        <v>#VALUE!</v>
      </c>
      <c r="R8" s="108" t="e">
        <f>IF(Q5=B17,"-",TREND(R22:R24,Q22:Q24,Q6,0))</f>
        <v>#VALUE!</v>
      </c>
    </row>
    <row r="9" spans="2:18" ht="15" customHeight="1">
      <c r="B9" s="279" t="s">
        <v>124</v>
      </c>
      <c r="C9" s="279"/>
      <c r="D9" s="254" t="s">
        <v>125</v>
      </c>
      <c r="E9" s="254" t="s">
        <v>126</v>
      </c>
      <c r="F9" s="280" t="s">
        <v>127</v>
      </c>
      <c r="G9" s="281" t="s">
        <v>128</v>
      </c>
      <c r="H9" s="281"/>
      <c r="I9" s="99"/>
      <c r="J9" s="100" t="s">
        <v>129</v>
      </c>
      <c r="K9" s="6">
        <v>26</v>
      </c>
      <c r="L9" s="6">
        <v>26</v>
      </c>
      <c r="M9" s="99"/>
      <c r="N9" s="271" t="s">
        <v>130</v>
      </c>
      <c r="O9" s="271"/>
      <c r="P9" s="271"/>
      <c r="Q9" s="109" t="e">
        <f>IF(Q5=B17,"-",Q8/100+1)</f>
        <v>#VALUE!</v>
      </c>
      <c r="R9" s="110" t="e">
        <f>IF(Q5=B17,"-",R8/100+1)</f>
        <v>#VALUE!</v>
      </c>
    </row>
    <row r="10" spans="2:18" ht="19.5" customHeight="1">
      <c r="B10" s="279"/>
      <c r="C10" s="279"/>
      <c r="D10" s="254"/>
      <c r="E10" s="254"/>
      <c r="F10" s="280"/>
      <c r="G10" s="111" t="s">
        <v>131</v>
      </c>
      <c r="H10" s="112" t="s">
        <v>132</v>
      </c>
      <c r="I10" s="99"/>
      <c r="J10" s="100" t="s">
        <v>133</v>
      </c>
      <c r="K10" s="6">
        <v>33</v>
      </c>
      <c r="L10" s="6">
        <v>33</v>
      </c>
      <c r="M10" s="99"/>
      <c r="N10" s="272" t="s">
        <v>134</v>
      </c>
      <c r="O10" s="272"/>
      <c r="P10" s="272"/>
      <c r="Q10" s="113" t="e">
        <f>IF(Q5=B17,"-",(Q8/100+1)*G8)</f>
        <v>#VALUE!</v>
      </c>
      <c r="R10" s="114" t="e">
        <f>IF(Q5=B17,"-",(R8/100+1)*G8)</f>
        <v>#VALUE!</v>
      </c>
    </row>
    <row r="11" spans="2:18" ht="14.5">
      <c r="B11" s="270" t="s">
        <v>19</v>
      </c>
      <c r="C11" s="270"/>
      <c r="D11" s="116">
        <v>0.25</v>
      </c>
      <c r="E11" s="117">
        <v>0.25</v>
      </c>
      <c r="F11" s="118" t="str">
        <f t="shared" ref="F11:F16" si="0">IF(ISERR($B$17*E11),"ERRO",$B$17*E11)</f>
        <v>ERRO</v>
      </c>
      <c r="G11" s="119">
        <v>42369</v>
      </c>
      <c r="H11" s="120" t="str">
        <f>IF(E11="",G11,(IF(G11="","-",IF(ISERR(IF(AND((G11&gt;=0),(G11&lt;=2958465)),G11+(F11-1),"-")),"-",IF(AND((G11&gt;=0),(G11&lt;=2958465)),G11+(F11-1),"-")))))</f>
        <v>-</v>
      </c>
      <c r="I11" s="99"/>
      <c r="J11" s="100" t="s">
        <v>135</v>
      </c>
      <c r="K11" s="6">
        <v>39</v>
      </c>
      <c r="L11" s="6">
        <v>39</v>
      </c>
      <c r="M11" s="99"/>
      <c r="N11" s="278" t="s">
        <v>136</v>
      </c>
      <c r="O11" s="278"/>
      <c r="P11" s="278"/>
      <c r="Q11" s="278"/>
      <c r="R11" s="278"/>
    </row>
    <row r="12" spans="2:18" ht="14.5">
      <c r="B12" s="270" t="s">
        <v>137</v>
      </c>
      <c r="C12" s="270"/>
      <c r="D12" s="121">
        <f>IF(G4="SISP v1.0",15%,10%)</f>
        <v>0.1</v>
      </c>
      <c r="E12" s="117">
        <v>0.1</v>
      </c>
      <c r="F12" s="118" t="str">
        <f t="shared" si="0"/>
        <v>ERRO</v>
      </c>
      <c r="G12" s="122" t="str">
        <f>IF(AND((H11&gt;=0),(H11&lt;=2958465)),H11,"-")</f>
        <v>-</v>
      </c>
      <c r="H12" s="120" t="str">
        <f>IF(G12="", "-",(IF(AND((G12&gt;=0),(G12&lt;=2958465)),G12+(F12),"-")))</f>
        <v>-</v>
      </c>
      <c r="I12" s="99"/>
      <c r="J12" s="100" t="s">
        <v>138</v>
      </c>
      <c r="K12" s="6">
        <v>46</v>
      </c>
      <c r="L12" s="6">
        <v>46</v>
      </c>
      <c r="M12" s="99"/>
      <c r="N12" s="123" t="s">
        <v>124</v>
      </c>
      <c r="O12" s="124" t="s">
        <v>126</v>
      </c>
      <c r="P12" s="124" t="s">
        <v>127</v>
      </c>
      <c r="Q12" s="125" t="s">
        <v>139</v>
      </c>
      <c r="R12" s="126" t="s">
        <v>140</v>
      </c>
    </row>
    <row r="13" spans="2:18" ht="14.5">
      <c r="B13" s="270" t="s">
        <v>23</v>
      </c>
      <c r="C13" s="270"/>
      <c r="D13" s="116">
        <v>0.4</v>
      </c>
      <c r="E13" s="117">
        <v>0.4</v>
      </c>
      <c r="F13" s="118" t="str">
        <f t="shared" si="0"/>
        <v>ERRO</v>
      </c>
      <c r="G13" s="122" t="str">
        <f>IF(AND((H12&gt;=0),(H12&lt;=2958465)),H12,"-")</f>
        <v>-</v>
      </c>
      <c r="H13" s="120" t="str">
        <f>IF(G13="", "-",(IF(AND((G13&gt;=0),(G13&lt;=2958465)),G13+(F13),"-")))</f>
        <v>-</v>
      </c>
      <c r="I13" s="99"/>
      <c r="J13" s="100" t="s">
        <v>141</v>
      </c>
      <c r="K13" s="6">
        <v>52</v>
      </c>
      <c r="L13" s="6">
        <v>52</v>
      </c>
      <c r="M13" s="99"/>
      <c r="N13" s="127" t="s">
        <v>19</v>
      </c>
      <c r="O13" s="128">
        <f t="shared" ref="O13:O18" si="1">E11</f>
        <v>0.25</v>
      </c>
      <c r="P13" s="129" t="e">
        <f>IF(Q5=B17,"-",IF(AND($G$8&lt;&gt;0,$G$11&lt;&gt;""),$Q$5*O13,"-"))</f>
        <v>#VALUE!</v>
      </c>
      <c r="Q13" s="130" t="e">
        <f>IF(Q5=B17,"-",IF(G11="","-",G11))</f>
        <v>#VALUE!</v>
      </c>
      <c r="R13" s="131" t="e">
        <f>IF(Q13&lt;&gt;"-",(IF(P13&gt;1,((Q13+P13)-1),(Q13+P13))),"-")</f>
        <v>#VALUE!</v>
      </c>
    </row>
    <row r="14" spans="2:18" ht="14.5">
      <c r="B14" s="270" t="s">
        <v>25</v>
      </c>
      <c r="C14" s="270"/>
      <c r="D14" s="121">
        <f>IF(G4="SISP v1.0",10%,15%)</f>
        <v>0.15</v>
      </c>
      <c r="E14" s="117">
        <v>0.15</v>
      </c>
      <c r="F14" s="118" t="str">
        <f t="shared" si="0"/>
        <v>ERRO</v>
      </c>
      <c r="G14" s="122" t="str">
        <f>IF(AND((H13&gt;=0),(H13&lt;=2958465)),H13,"-")</f>
        <v>-</v>
      </c>
      <c r="H14" s="120" t="str">
        <f>IF(G14="", "-",(IF(AND((G14&gt;=0),(G14&lt;=2958465)),G14+(F14),"-")))</f>
        <v>-</v>
      </c>
      <c r="I14" s="99"/>
      <c r="J14" s="100" t="s">
        <v>142</v>
      </c>
      <c r="K14" s="6">
        <v>59</v>
      </c>
      <c r="L14" s="6">
        <v>59</v>
      </c>
      <c r="M14" s="99"/>
      <c r="N14" s="115" t="s">
        <v>137</v>
      </c>
      <c r="O14" s="132">
        <f t="shared" si="1"/>
        <v>0.1</v>
      </c>
      <c r="P14" s="133" t="e">
        <f>IF(Q5=B17,"-",IF(AND($G$8&lt;&gt;0,$G$11&lt;&gt;""),$Q$5*O14,"-"))</f>
        <v>#VALUE!</v>
      </c>
      <c r="Q14" s="134" t="e">
        <f>R13</f>
        <v>#VALUE!</v>
      </c>
      <c r="R14" s="120" t="e">
        <f>IF(Q14&lt;&gt;"-",Q14+P14,"-")</f>
        <v>#VALUE!</v>
      </c>
    </row>
    <row r="15" spans="2:18" ht="16.5" customHeight="1">
      <c r="B15" s="270" t="s">
        <v>27</v>
      </c>
      <c r="C15" s="270"/>
      <c r="D15" s="116">
        <v>0.05</v>
      </c>
      <c r="E15" s="117">
        <v>0.05</v>
      </c>
      <c r="F15" s="118" t="str">
        <f t="shared" si="0"/>
        <v>ERRO</v>
      </c>
      <c r="G15" s="122" t="str">
        <f>IF(AND((H14&gt;=0),(H14&lt;=2958465)),H14,"-")</f>
        <v>-</v>
      </c>
      <c r="H15" s="120" t="str">
        <f>IF(G15="", "-",(IF(AND((G15&gt;=0),(G15&lt;=2958465)),G15+(F15),"-")))</f>
        <v>-</v>
      </c>
      <c r="I15" s="99"/>
      <c r="J15" s="100" t="s">
        <v>143</v>
      </c>
      <c r="K15" s="6">
        <v>65</v>
      </c>
      <c r="L15" s="6">
        <v>65</v>
      </c>
      <c r="M15" s="99"/>
      <c r="N15" s="115" t="s">
        <v>23</v>
      </c>
      <c r="O15" s="132">
        <f t="shared" si="1"/>
        <v>0.4</v>
      </c>
      <c r="P15" s="133" t="e">
        <f>IF(Q5=B17,"-",IF(AND($G$8&lt;&gt;0,$G$11&lt;&gt;""),$Q$5*O15,"-"))</f>
        <v>#VALUE!</v>
      </c>
      <c r="Q15" s="134" t="e">
        <f>R14</f>
        <v>#VALUE!</v>
      </c>
      <c r="R15" s="120" t="e">
        <f>IF(Q15&lt;&gt;"-",Q15+P15,"-")</f>
        <v>#VALUE!</v>
      </c>
    </row>
    <row r="16" spans="2:18" ht="15" customHeight="1">
      <c r="B16" s="270" t="s">
        <v>29</v>
      </c>
      <c r="C16" s="270"/>
      <c r="D16" s="116">
        <v>0.05</v>
      </c>
      <c r="E16" s="117">
        <v>0.05</v>
      </c>
      <c r="F16" s="118" t="str">
        <f t="shared" si="0"/>
        <v>ERRO</v>
      </c>
      <c r="G16" s="122" t="str">
        <f>IF(AND((H15&gt;=0),(H15&lt;=2958465)),H15,"-")</f>
        <v>-</v>
      </c>
      <c r="H16" s="120" t="str">
        <f>IF(G16="", "-",(IF(AND((G16&gt;=0),(G16&lt;=2958465)),G16+(F16),"-")))</f>
        <v>-</v>
      </c>
      <c r="I16" s="99"/>
      <c r="J16" s="282" t="s">
        <v>144</v>
      </c>
      <c r="K16" s="283" t="s">
        <v>145</v>
      </c>
      <c r="L16" s="283"/>
      <c r="M16" s="99"/>
      <c r="N16" s="115" t="s">
        <v>25</v>
      </c>
      <c r="O16" s="132">
        <f t="shared" si="1"/>
        <v>0.15</v>
      </c>
      <c r="P16" s="133" t="e">
        <f>IF(Q5=B17,"-",IF(AND($G$8&lt;&gt;0,$G$11&lt;&gt;""),$Q$5*O16,"-"))</f>
        <v>#VALUE!</v>
      </c>
      <c r="Q16" s="134" t="e">
        <f>R15</f>
        <v>#VALUE!</v>
      </c>
      <c r="R16" s="120" t="e">
        <f>IF(Q16&lt;&gt;"-",Q16+P16,"-")</f>
        <v>#VALUE!</v>
      </c>
    </row>
    <row r="17" spans="2:19" ht="14.5">
      <c r="B17" s="135" t="e">
        <f>#VALUE!</f>
        <v>#VALUE!</v>
      </c>
      <c r="C17" s="136" t="s">
        <v>146</v>
      </c>
      <c r="D17" s="137">
        <v>1</v>
      </c>
      <c r="E17" s="137">
        <f>SUM(E11:E16)</f>
        <v>1</v>
      </c>
      <c r="F17" s="284" t="e">
        <f>IF(B17&lt;&gt;"ERRO - Insira novamente o tamanho em PF do projeto",SUM(F11:F16)&amp;" dias","ERRO - Insira novamente PF")</f>
        <v>#VALUE!</v>
      </c>
      <c r="G17" s="284"/>
      <c r="H17" s="284"/>
      <c r="I17" s="99"/>
      <c r="J17" s="282"/>
      <c r="K17" s="283"/>
      <c r="L17" s="283"/>
      <c r="M17" s="99"/>
      <c r="N17" s="115" t="s">
        <v>27</v>
      </c>
      <c r="O17" s="132">
        <f t="shared" si="1"/>
        <v>0.05</v>
      </c>
      <c r="P17" s="133" t="e">
        <f>IF(Q5=B17,"-",IF(AND($G$8&lt;&gt;0,$G$11&lt;&gt;""),$Q$5*O17,"-"))</f>
        <v>#VALUE!</v>
      </c>
      <c r="Q17" s="134" t="e">
        <f>R16</f>
        <v>#VALUE!</v>
      </c>
      <c r="R17" s="120" t="e">
        <f>IF(Q17&lt;&gt;"-",Q17+P17,"-")</f>
        <v>#VALUE!</v>
      </c>
    </row>
    <row r="18" spans="2:19" ht="14.25" customHeight="1">
      <c r="B18" s="99"/>
      <c r="C18" s="99"/>
      <c r="D18" s="99"/>
      <c r="E18" s="99"/>
      <c r="F18" s="138"/>
      <c r="G18" s="99"/>
      <c r="H18" s="99"/>
      <c r="I18" s="99"/>
      <c r="J18" s="139"/>
      <c r="K18" s="139"/>
      <c r="L18" s="139"/>
      <c r="M18" s="139"/>
      <c r="N18" s="140" t="s">
        <v>29</v>
      </c>
      <c r="O18" s="141">
        <f t="shared" si="1"/>
        <v>0.05</v>
      </c>
      <c r="P18" s="142" t="e">
        <f>IF(Q5=B17,"-",IF(AND($G$8&lt;&gt;0,$G$11&lt;&gt;""),$Q$5*O18,"-"))</f>
        <v>#VALUE!</v>
      </c>
      <c r="Q18" s="143" t="e">
        <f>R17</f>
        <v>#VALUE!</v>
      </c>
      <c r="R18" s="144" t="e">
        <f>IF(Q18&lt;&gt;"-",Q18+P18,"-")</f>
        <v>#VALUE!</v>
      </c>
    </row>
    <row r="19" spans="2:19" ht="14.5">
      <c r="B19" s="139"/>
      <c r="C19" s="145"/>
      <c r="D19" s="139"/>
      <c r="E19" s="139"/>
      <c r="F19" s="139"/>
      <c r="G19" s="139"/>
      <c r="H19" s="139"/>
      <c r="I19" s="139"/>
      <c r="J19" s="139"/>
      <c r="K19" s="139"/>
      <c r="L19" s="139"/>
      <c r="M19" s="139"/>
      <c r="N19" s="139"/>
      <c r="O19" s="139"/>
      <c r="P19" s="139"/>
    </row>
    <row r="20" spans="2:19" ht="14.5">
      <c r="B20" s="139"/>
      <c r="C20" s="145"/>
      <c r="D20" s="139"/>
      <c r="E20" s="139"/>
      <c r="F20" s="139"/>
      <c r="G20" s="139"/>
      <c r="H20" s="139"/>
      <c r="I20" s="139"/>
      <c r="J20" s="139"/>
      <c r="K20" s="139"/>
      <c r="L20" s="139"/>
      <c r="M20" s="139"/>
      <c r="N20" s="139"/>
      <c r="O20" s="139"/>
      <c r="P20" s="139"/>
    </row>
    <row r="21" spans="2:19" ht="29">
      <c r="B21" s="139"/>
      <c r="C21" s="145"/>
      <c r="D21" s="139"/>
      <c r="E21" s="139"/>
      <c r="F21" s="139"/>
      <c r="G21" s="139"/>
      <c r="H21" s="139"/>
      <c r="I21" s="139"/>
      <c r="J21" s="139"/>
      <c r="K21" s="139"/>
      <c r="L21" s="139"/>
      <c r="M21" s="139"/>
      <c r="N21" s="139"/>
      <c r="O21" s="139"/>
      <c r="P21" s="139"/>
      <c r="Q21" s="146" t="s">
        <v>147</v>
      </c>
      <c r="R21" s="147" t="s">
        <v>148</v>
      </c>
      <c r="S21"/>
    </row>
    <row r="22" spans="2:19" ht="14.5">
      <c r="B22" s="139"/>
      <c r="C22" s="145"/>
      <c r="D22" s="139"/>
      <c r="E22" s="139"/>
      <c r="F22" s="139"/>
      <c r="G22" s="139"/>
      <c r="H22" s="139"/>
      <c r="I22" s="139"/>
      <c r="J22" s="139"/>
      <c r="K22" s="139"/>
      <c r="L22" s="139"/>
      <c r="M22" s="139"/>
      <c r="N22" s="139"/>
      <c r="O22" s="139"/>
      <c r="P22" s="139"/>
      <c r="Q22" s="148">
        <v>-0.1</v>
      </c>
      <c r="R22" s="149">
        <v>20</v>
      </c>
      <c r="S22"/>
    </row>
    <row r="23" spans="2:19" ht="14.5">
      <c r="Q23" s="148">
        <v>-0.2</v>
      </c>
      <c r="R23" s="149">
        <v>50</v>
      </c>
      <c r="S23"/>
    </row>
    <row r="24" spans="2:19" ht="14.5">
      <c r="Q24" s="150">
        <v>-0.25</v>
      </c>
      <c r="R24" s="151">
        <v>70</v>
      </c>
      <c r="S24"/>
    </row>
    <row r="25" spans="2:19">
      <c r="Q25"/>
      <c r="R25"/>
      <c r="S25"/>
    </row>
    <row r="26" spans="2:19" ht="26">
      <c r="Q26" s="152" t="s">
        <v>149</v>
      </c>
      <c r="R26" s="153" t="s">
        <v>119</v>
      </c>
      <c r="S26" s="154" t="s">
        <v>150</v>
      </c>
    </row>
    <row r="27" spans="2:19">
      <c r="Q27" s="155">
        <v>-0.01</v>
      </c>
      <c r="R27" s="156">
        <f t="shared" ref="R27:R45" si="2">GROWTH($R$22:$R$24,$Q$22:$Q$24,Q27,1)</f>
        <v>9.4974870513428584</v>
      </c>
      <c r="S27" s="157">
        <f t="shared" ref="S27:S58" si="3">TREND($R$22:$R$24,$Q$22:$Q$24,Q27,0)</f>
        <v>2.6222222222222218</v>
      </c>
    </row>
    <row r="28" spans="2:19">
      <c r="Q28" s="155">
        <v>-0.02</v>
      </c>
      <c r="R28" s="156">
        <f t="shared" si="2"/>
        <v>10.336729939663668</v>
      </c>
      <c r="S28" s="157">
        <f t="shared" si="3"/>
        <v>5.2444444444444436</v>
      </c>
    </row>
    <row r="29" spans="2:19">
      <c r="Q29" s="155">
        <v>-0.03</v>
      </c>
      <c r="R29" s="156">
        <f t="shared" si="2"/>
        <v>11.25013230004161</v>
      </c>
      <c r="S29" s="157">
        <f t="shared" si="3"/>
        <v>7.8666666666666645</v>
      </c>
    </row>
    <row r="30" spans="2:19">
      <c r="Q30" s="155">
        <v>-0.04</v>
      </c>
      <c r="R30" s="156">
        <f t="shared" si="2"/>
        <v>12.244247214274969</v>
      </c>
      <c r="S30" s="157">
        <f t="shared" si="3"/>
        <v>10.488888888888887</v>
      </c>
    </row>
    <row r="31" spans="2:19">
      <c r="Q31" s="155">
        <v>-0.05</v>
      </c>
      <c r="R31" s="156">
        <f t="shared" si="2"/>
        <v>13.32620682547225</v>
      </c>
      <c r="S31" s="157">
        <f t="shared" si="3"/>
        <v>13.111111111111109</v>
      </c>
    </row>
    <row r="32" spans="2:19">
      <c r="Q32" s="155">
        <v>-0.06</v>
      </c>
      <c r="R32" s="156">
        <f t="shared" si="2"/>
        <v>14.503773506649086</v>
      </c>
      <c r="S32" s="157">
        <f t="shared" si="3"/>
        <v>15.733333333333329</v>
      </c>
    </row>
    <row r="33" spans="17:19">
      <c r="Q33" s="155">
        <v>-7.0000000000000007E-2</v>
      </c>
      <c r="R33" s="156">
        <f t="shared" si="2"/>
        <v>15.785395550824445</v>
      </c>
      <c r="S33" s="157">
        <f t="shared" si="3"/>
        <v>18.355555555555554</v>
      </c>
    </row>
    <row r="34" spans="17:19">
      <c r="Q34" s="155">
        <v>-0.08</v>
      </c>
      <c r="R34" s="156">
        <f t="shared" si="2"/>
        <v>17.180267782157173</v>
      </c>
      <c r="S34" s="157">
        <f t="shared" si="3"/>
        <v>20.977777777777774</v>
      </c>
    </row>
    <row r="35" spans="17:19">
      <c r="Q35" s="155">
        <v>-0.09</v>
      </c>
      <c r="R35" s="156">
        <f t="shared" si="2"/>
        <v>18.69839752296939</v>
      </c>
      <c r="S35" s="157">
        <f t="shared" si="3"/>
        <v>23.599999999999994</v>
      </c>
    </row>
    <row r="36" spans="17:19">
      <c r="Q36" s="155">
        <v>-0.1</v>
      </c>
      <c r="R36" s="158">
        <f t="shared" si="2"/>
        <v>20.350676389928065</v>
      </c>
      <c r="S36" s="159">
        <f t="shared" si="3"/>
        <v>26.222222222222218</v>
      </c>
    </row>
    <row r="37" spans="17:19">
      <c r="Q37" s="155">
        <v>-0.11</v>
      </c>
      <c r="R37" s="156">
        <f t="shared" si="2"/>
        <v>22.148958434476945</v>
      </c>
      <c r="S37" s="157">
        <f t="shared" si="3"/>
        <v>28.844444444444438</v>
      </c>
    </row>
    <row r="38" spans="17:19">
      <c r="Q38" s="155">
        <v>-0.12</v>
      </c>
      <c r="R38" s="156">
        <f t="shared" si="2"/>
        <v>24.106145188126657</v>
      </c>
      <c r="S38" s="157">
        <f t="shared" si="3"/>
        <v>31.466666666666658</v>
      </c>
    </row>
    <row r="39" spans="17:19">
      <c r="Q39" s="155">
        <v>-0.13</v>
      </c>
      <c r="R39" s="156">
        <f t="shared" si="2"/>
        <v>26.236278222749089</v>
      </c>
      <c r="S39" s="157">
        <f t="shared" si="3"/>
        <v>34.088888888888881</v>
      </c>
    </row>
    <row r="40" spans="17:19">
      <c r="Q40" s="155">
        <v>-0.14000000000000001</v>
      </c>
      <c r="R40" s="156">
        <f t="shared" si="2"/>
        <v>28.554639889937153</v>
      </c>
      <c r="S40" s="157">
        <f t="shared" si="3"/>
        <v>36.711111111111109</v>
      </c>
    </row>
    <row r="41" spans="17:19">
      <c r="Q41" s="155">
        <v>-0.15</v>
      </c>
      <c r="R41" s="156">
        <f t="shared" si="2"/>
        <v>31.077862962171093</v>
      </c>
      <c r="S41" s="157">
        <f t="shared" si="3"/>
        <v>39.333333333333321</v>
      </c>
    </row>
    <row r="42" spans="17:19">
      <c r="Q42" s="155">
        <v>-0.16</v>
      </c>
      <c r="R42" s="156">
        <f t="shared" si="2"/>
        <v>33.824049962396906</v>
      </c>
      <c r="S42" s="157">
        <f t="shared" si="3"/>
        <v>41.955555555555549</v>
      </c>
    </row>
    <row r="43" spans="17:19">
      <c r="Q43" s="155">
        <v>-0.17</v>
      </c>
      <c r="R43" s="156">
        <f t="shared" si="2"/>
        <v>36.812903038130841</v>
      </c>
      <c r="S43" s="157">
        <f t="shared" si="3"/>
        <v>44.577777777777776</v>
      </c>
    </row>
    <row r="44" spans="17:19">
      <c r="Q44" s="155">
        <v>-0.18</v>
      </c>
      <c r="R44" s="156">
        <f t="shared" si="2"/>
        <v>40.065865311854225</v>
      </c>
      <c r="S44" s="157">
        <f t="shared" si="3"/>
        <v>47.199999999999989</v>
      </c>
    </row>
    <row r="45" spans="17:19">
      <c r="Q45" s="155">
        <v>-0.19</v>
      </c>
      <c r="R45" s="156">
        <f t="shared" si="2"/>
        <v>43.606274721797959</v>
      </c>
      <c r="S45" s="157">
        <f t="shared" si="3"/>
        <v>49.822222222222216</v>
      </c>
    </row>
    <row r="46" spans="17:19">
      <c r="Q46" s="155">
        <v>-0.2</v>
      </c>
      <c r="R46" s="158">
        <v>50</v>
      </c>
      <c r="S46" s="159">
        <f t="shared" si="3"/>
        <v>52.444444444444436</v>
      </c>
    </row>
    <row r="47" spans="17:19">
      <c r="Q47" s="155">
        <v>-0.21</v>
      </c>
      <c r="R47" s="156">
        <f>GROWTH($R$22:$R$24,$Q$22:$Q$24,Q47,1)</f>
        <v>51.653280186659927</v>
      </c>
      <c r="S47" s="157">
        <f t="shared" si="3"/>
        <v>55.066666666666656</v>
      </c>
    </row>
    <row r="48" spans="17:19">
      <c r="Q48" s="155">
        <v>-0.22</v>
      </c>
      <c r="R48" s="156">
        <f>GROWTH($R$22:$R$24,$Q$22:$Q$24,Q48,1)</f>
        <v>56.217608394821809</v>
      </c>
      <c r="S48" s="157">
        <f t="shared" si="3"/>
        <v>57.688888888888876</v>
      </c>
    </row>
    <row r="49" spans="17:19">
      <c r="Q49" s="155">
        <v>-0.23</v>
      </c>
      <c r="R49" s="156">
        <f>GROWTH($R$22:$R$24,$Q$22:$Q$24,Q49,1)</f>
        <v>61.18526223722295</v>
      </c>
      <c r="S49" s="157">
        <f t="shared" si="3"/>
        <v>60.311111111111103</v>
      </c>
    </row>
    <row r="50" spans="17:19">
      <c r="Q50" s="155">
        <v>-0.24</v>
      </c>
      <c r="R50" s="156">
        <f>GROWTH($R$22:$R$24,$Q$22:$Q$24,Q50,1)</f>
        <v>66.591881475032011</v>
      </c>
      <c r="S50" s="157">
        <f t="shared" si="3"/>
        <v>62.933333333333316</v>
      </c>
    </row>
    <row r="51" spans="17:19">
      <c r="Q51" s="155">
        <v>-0.25</v>
      </c>
      <c r="R51" s="158">
        <v>70</v>
      </c>
      <c r="S51" s="159">
        <f t="shared" si="3"/>
        <v>65.555555555555543</v>
      </c>
    </row>
    <row r="52" spans="17:19">
      <c r="Q52" s="155">
        <v>-0.26</v>
      </c>
      <c r="R52" s="156">
        <f t="shared" ref="R52:R83" si="4">GROWTH($R$22:$R$24,$Q$22:$Q$24,Q52,1)</f>
        <v>78.880599957951503</v>
      </c>
      <c r="S52" s="157">
        <f t="shared" si="3"/>
        <v>68.177777777777763</v>
      </c>
    </row>
    <row r="53" spans="17:19">
      <c r="Q53" s="155">
        <v>-0.27</v>
      </c>
      <c r="R53" s="156">
        <f t="shared" si="4"/>
        <v>85.850862953132875</v>
      </c>
      <c r="S53" s="157">
        <f t="shared" si="3"/>
        <v>70.8</v>
      </c>
    </row>
    <row r="54" spans="17:19">
      <c r="Q54" s="155">
        <v>-0.28000000000000003</v>
      </c>
      <c r="R54" s="156">
        <f t="shared" si="4"/>
        <v>93.437051362774795</v>
      </c>
      <c r="S54" s="157">
        <f t="shared" si="3"/>
        <v>73.422222222222217</v>
      </c>
    </row>
    <row r="55" spans="17:19">
      <c r="Q55" s="155">
        <v>-0.28999999999999998</v>
      </c>
      <c r="R55" s="156">
        <f t="shared" si="4"/>
        <v>101.69359127043245</v>
      </c>
      <c r="S55" s="157">
        <f t="shared" si="3"/>
        <v>76.044444444444423</v>
      </c>
    </row>
    <row r="56" spans="17:19">
      <c r="Q56" s="155">
        <v>-0.3</v>
      </c>
      <c r="R56" s="156">
        <f t="shared" si="4"/>
        <v>110.67971810589327</v>
      </c>
      <c r="S56" s="157">
        <f t="shared" si="3"/>
        <v>78.666666666666643</v>
      </c>
    </row>
    <row r="57" spans="17:19">
      <c r="Q57" s="155">
        <v>-0.31</v>
      </c>
      <c r="R57" s="156">
        <f t="shared" si="4"/>
        <v>120.45990162176226</v>
      </c>
      <c r="S57" s="157">
        <f t="shared" si="3"/>
        <v>81.288888888888877</v>
      </c>
    </row>
    <row r="58" spans="17:19">
      <c r="Q58" s="155">
        <v>-0.32</v>
      </c>
      <c r="R58" s="156">
        <f t="shared" si="4"/>
        <v>131.10430842299021</v>
      </c>
      <c r="S58" s="157">
        <f t="shared" si="3"/>
        <v>83.911111111111097</v>
      </c>
    </row>
    <row r="59" spans="17:19">
      <c r="Q59" s="155">
        <v>-0.33</v>
      </c>
      <c r="R59" s="156">
        <f t="shared" si="4"/>
        <v>142.68930536769835</v>
      </c>
      <c r="S59" s="157">
        <f t="shared" ref="S59:S90" si="5">TREND($R$22:$R$24,$Q$22:$Q$24,Q59,0)</f>
        <v>86.533333333333317</v>
      </c>
    </row>
    <row r="60" spans="17:19">
      <c r="Q60" s="155">
        <v>-0.34</v>
      </c>
      <c r="R60" s="156">
        <f t="shared" si="4"/>
        <v>155.29800745088212</v>
      </c>
      <c r="S60" s="157">
        <f t="shared" si="5"/>
        <v>89.155555555555551</v>
      </c>
    </row>
    <row r="61" spans="17:19">
      <c r="Q61" s="155">
        <v>-0.35</v>
      </c>
      <c r="R61" s="156">
        <f t="shared" si="4"/>
        <v>169.02087410171018</v>
      </c>
      <c r="S61" s="157">
        <f t="shared" si="5"/>
        <v>91.777777777777757</v>
      </c>
    </row>
    <row r="62" spans="17:19">
      <c r="Q62" s="155">
        <v>-0.36</v>
      </c>
      <c r="R62" s="156">
        <f t="shared" si="4"/>
        <v>183.95635817247503</v>
      </c>
      <c r="S62" s="157">
        <f t="shared" si="5"/>
        <v>94.399999999999977</v>
      </c>
    </row>
    <row r="63" spans="17:19">
      <c r="Q63" s="155">
        <v>-0.37</v>
      </c>
      <c r="R63" s="156">
        <f t="shared" si="4"/>
        <v>200.21161227527659</v>
      </c>
      <c r="S63" s="157">
        <f t="shared" si="5"/>
        <v>97.022222222222197</v>
      </c>
    </row>
    <row r="64" spans="17:19">
      <c r="Q64" s="155">
        <v>-0.38</v>
      </c>
      <c r="R64" s="156">
        <f t="shared" si="4"/>
        <v>217.903257533957</v>
      </c>
      <c r="S64" s="157">
        <f t="shared" si="5"/>
        <v>99.644444444444431</v>
      </c>
    </row>
    <row r="65" spans="17:19">
      <c r="Q65" s="155">
        <v>-0.39</v>
      </c>
      <c r="R65" s="156">
        <f t="shared" si="4"/>
        <v>237.15822026659424</v>
      </c>
      <c r="S65" s="157">
        <f t="shared" si="5"/>
        <v>102.26666666666665</v>
      </c>
    </row>
    <row r="66" spans="17:19">
      <c r="Q66" s="155">
        <v>-0.4</v>
      </c>
      <c r="R66" s="156">
        <f t="shared" si="4"/>
        <v>258.11464260121767</v>
      </c>
      <c r="S66" s="157">
        <f t="shared" si="5"/>
        <v>104.88888888888887</v>
      </c>
    </row>
    <row r="67" spans="17:19">
      <c r="Q67" s="155">
        <v>-0.41</v>
      </c>
      <c r="R67" s="156">
        <f t="shared" si="4"/>
        <v>280.92287355783799</v>
      </c>
      <c r="S67" s="157">
        <f t="shared" si="5"/>
        <v>107.51111111111108</v>
      </c>
    </row>
    <row r="68" spans="17:19">
      <c r="Q68" s="155">
        <v>-0.42</v>
      </c>
      <c r="R68" s="156">
        <f t="shared" si="4"/>
        <v>305.74654770717279</v>
      </c>
      <c r="S68" s="157">
        <f t="shared" si="5"/>
        <v>110.13333333333331</v>
      </c>
    </row>
    <row r="69" spans="17:19">
      <c r="Q69" s="155">
        <v>-0.43</v>
      </c>
      <c r="R69" s="156">
        <f t="shared" si="4"/>
        <v>332.76375914476068</v>
      </c>
      <c r="S69" s="157">
        <f t="shared" si="5"/>
        <v>112.75555555555553</v>
      </c>
    </row>
    <row r="70" spans="17:19">
      <c r="Q70" s="155">
        <v>-0.44</v>
      </c>
      <c r="R70" s="156">
        <f t="shared" si="4"/>
        <v>362.16833920298285</v>
      </c>
      <c r="S70" s="157">
        <f t="shared" si="5"/>
        <v>115.37777777777775</v>
      </c>
    </row>
    <row r="71" spans="17:19">
      <c r="Q71" s="155">
        <v>-0.45</v>
      </c>
      <c r="R71" s="156">
        <f t="shared" si="4"/>
        <v>394.17124706776224</v>
      </c>
      <c r="S71" s="157">
        <f t="shared" si="5"/>
        <v>117.99999999999999</v>
      </c>
    </row>
    <row r="72" spans="17:19">
      <c r="Q72" s="155">
        <v>-0.46</v>
      </c>
      <c r="R72" s="156">
        <f t="shared" si="4"/>
        <v>429.00208327673522</v>
      </c>
      <c r="S72" s="157">
        <f t="shared" si="5"/>
        <v>120.62222222222221</v>
      </c>
    </row>
    <row r="73" spans="17:19">
      <c r="Q73" s="155">
        <v>-0.47</v>
      </c>
      <c r="R73" s="156">
        <f t="shared" si="4"/>
        <v>466.91073695727931</v>
      </c>
      <c r="S73" s="157">
        <f t="shared" si="5"/>
        <v>123.24444444444441</v>
      </c>
    </row>
    <row r="74" spans="17:19">
      <c r="Q74" s="155">
        <v>-0.48</v>
      </c>
      <c r="R74" s="156">
        <f t="shared" si="4"/>
        <v>508.16917862228996</v>
      </c>
      <c r="S74" s="157">
        <f t="shared" si="5"/>
        <v>125.86666666666663</v>
      </c>
    </row>
    <row r="75" spans="17:19">
      <c r="Q75" s="155">
        <v>-0.49</v>
      </c>
      <c r="R75" s="156">
        <f t="shared" si="4"/>
        <v>553.0734113858698</v>
      </c>
      <c r="S75" s="157">
        <f t="shared" si="5"/>
        <v>128.48888888888885</v>
      </c>
    </row>
    <row r="76" spans="17:19">
      <c r="Q76" s="155">
        <v>-0.5</v>
      </c>
      <c r="R76" s="156">
        <f t="shared" si="4"/>
        <v>601.94559459766924</v>
      </c>
      <c r="S76" s="157">
        <f t="shared" si="5"/>
        <v>131.11111111111109</v>
      </c>
    </row>
    <row r="77" spans="17:19">
      <c r="Q77" s="155">
        <v>-0.51</v>
      </c>
      <c r="R77" s="156">
        <f t="shared" si="4"/>
        <v>655.13635513160523</v>
      </c>
      <c r="S77" s="157">
        <f t="shared" si="5"/>
        <v>133.73333333333332</v>
      </c>
    </row>
    <row r="78" spans="17:19">
      <c r="Q78" s="155">
        <v>-0.52</v>
      </c>
      <c r="R78" s="156">
        <f t="shared" si="4"/>
        <v>713.02730291098419</v>
      </c>
      <c r="S78" s="157">
        <f t="shared" si="5"/>
        <v>136.35555555555553</v>
      </c>
    </row>
    <row r="79" spans="17:19">
      <c r="Q79" s="155">
        <v>-0.53</v>
      </c>
      <c r="R79" s="156">
        <f t="shared" si="4"/>
        <v>776.03376871732564</v>
      </c>
      <c r="S79" s="157">
        <f t="shared" si="5"/>
        <v>138.97777777777776</v>
      </c>
    </row>
    <row r="80" spans="17:19">
      <c r="Q80" s="155">
        <v>-0.54</v>
      </c>
      <c r="R80" s="156">
        <f t="shared" si="4"/>
        <v>844.60778392493023</v>
      </c>
      <c r="S80" s="157">
        <f t="shared" si="5"/>
        <v>141.6</v>
      </c>
    </row>
    <row r="81" spans="17:19">
      <c r="Q81" s="155">
        <v>-0.55000000000000004</v>
      </c>
      <c r="R81" s="156">
        <f t="shared" si="4"/>
        <v>919.24132353888274</v>
      </c>
      <c r="S81" s="157">
        <f t="shared" si="5"/>
        <v>144.2222222222222</v>
      </c>
    </row>
    <row r="82" spans="17:19">
      <c r="Q82" s="155">
        <v>-0.56000000000000005</v>
      </c>
      <c r="R82" s="156">
        <f t="shared" si="4"/>
        <v>1000.4698358032441</v>
      </c>
      <c r="S82" s="157">
        <f t="shared" si="5"/>
        <v>146.84444444444443</v>
      </c>
    </row>
    <row r="83" spans="17:19">
      <c r="Q83" s="155">
        <v>-0.56999999999999995</v>
      </c>
      <c r="R83" s="156">
        <f t="shared" si="4"/>
        <v>1088.8760837021161</v>
      </c>
      <c r="S83" s="157">
        <f t="shared" si="5"/>
        <v>149.46666666666661</v>
      </c>
    </row>
    <row r="84" spans="17:19">
      <c r="Q84" s="155">
        <v>-0.57999999999999996</v>
      </c>
      <c r="R84" s="156">
        <f t="shared" ref="R84:R115" si="6">GROWTH($R$22:$R$24,$Q$22:$Q$24,Q84,1)</f>
        <v>1185.0943259139242</v>
      </c>
      <c r="S84" s="157">
        <f t="shared" si="5"/>
        <v>152.08888888888885</v>
      </c>
    </row>
    <row r="85" spans="17:19">
      <c r="Q85" s="155">
        <v>-0.59</v>
      </c>
      <c r="R85" s="156">
        <f t="shared" si="6"/>
        <v>1289.8148672145812</v>
      </c>
      <c r="S85" s="157">
        <f t="shared" si="5"/>
        <v>154.71111111111108</v>
      </c>
    </row>
    <row r="86" spans="17:19">
      <c r="Q86" s="155">
        <v>-0.6</v>
      </c>
      <c r="R86" s="156">
        <f t="shared" si="6"/>
        <v>1403.7890109758237</v>
      </c>
      <c r="S86" s="157">
        <f t="shared" si="5"/>
        <v>157.33333333333329</v>
      </c>
    </row>
    <row r="87" spans="17:19">
      <c r="Q87" s="155">
        <v>-0.61</v>
      </c>
      <c r="R87" s="156">
        <f t="shared" si="6"/>
        <v>1527.8344492897181</v>
      </c>
      <c r="S87" s="157">
        <f t="shared" si="5"/>
        <v>159.95555555555552</v>
      </c>
    </row>
    <row r="88" spans="17:19">
      <c r="Q88" s="155">
        <v>-0.62</v>
      </c>
      <c r="R88" s="156">
        <f t="shared" si="6"/>
        <v>1662.8411293900749</v>
      </c>
      <c r="S88" s="157">
        <f t="shared" si="5"/>
        <v>162.57777777777775</v>
      </c>
    </row>
    <row r="89" spans="17:19">
      <c r="Q89" s="155">
        <v>-0.63</v>
      </c>
      <c r="R89" s="156">
        <f t="shared" si="6"/>
        <v>1809.7776384586134</v>
      </c>
      <c r="S89" s="157">
        <f t="shared" si="5"/>
        <v>165.19999999999996</v>
      </c>
    </row>
    <row r="90" spans="17:19">
      <c r="Q90" s="155">
        <v>-0.64</v>
      </c>
      <c r="R90" s="156">
        <f t="shared" si="6"/>
        <v>1969.6981526227967</v>
      </c>
      <c r="S90" s="157">
        <f t="shared" si="5"/>
        <v>167.82222222222219</v>
      </c>
    </row>
    <row r="91" spans="17:19">
      <c r="Q91" s="155">
        <v>-0.65</v>
      </c>
      <c r="R91" s="156">
        <f t="shared" si="6"/>
        <v>2143.7500000000032</v>
      </c>
      <c r="S91" s="157">
        <f t="shared" ref="S91:S115" si="7">TREND($R$22:$R$24,$Q$22:$Q$24,Q91,0)</f>
        <v>170.44444444444443</v>
      </c>
    </row>
    <row r="92" spans="17:19">
      <c r="Q92" s="155">
        <v>-0.66</v>
      </c>
      <c r="R92" s="156">
        <f t="shared" si="6"/>
        <v>2333.1818920480518</v>
      </c>
      <c r="S92" s="157">
        <f t="shared" si="7"/>
        <v>173.06666666666663</v>
      </c>
    </row>
    <row r="93" spans="17:19">
      <c r="Q93" s="155">
        <v>-0.67</v>
      </c>
      <c r="R93" s="156">
        <f t="shared" si="6"/>
        <v>2539.3528822768158</v>
      </c>
      <c r="S93" s="157">
        <f t="shared" si="7"/>
        <v>175.68888888888887</v>
      </c>
    </row>
    <row r="94" spans="17:19">
      <c r="Q94" s="155">
        <v>-0.68</v>
      </c>
      <c r="R94" s="156">
        <f t="shared" si="6"/>
        <v>2763.7421165939554</v>
      </c>
      <c r="S94" s="157">
        <f t="shared" si="7"/>
        <v>178.3111111111111</v>
      </c>
    </row>
    <row r="95" spans="17:19">
      <c r="Q95" s="155">
        <v>-0.69</v>
      </c>
      <c r="R95" s="156">
        <f t="shared" si="6"/>
        <v>3007.9594452373472</v>
      </c>
      <c r="S95" s="157">
        <f t="shared" si="7"/>
        <v>180.93333333333328</v>
      </c>
    </row>
    <row r="96" spans="17:19">
      <c r="Q96" s="155">
        <v>-0.7</v>
      </c>
      <c r="R96" s="156">
        <f t="shared" si="6"/>
        <v>3273.7569724280715</v>
      </c>
      <c r="S96" s="157">
        <f t="shared" si="7"/>
        <v>183.55555555555551</v>
      </c>
    </row>
    <row r="97" spans="17:19">
      <c r="Q97" s="155">
        <v>-0.71</v>
      </c>
      <c r="R97" s="156">
        <f t="shared" si="6"/>
        <v>3563.0416266053498</v>
      </c>
      <c r="S97" s="157">
        <f t="shared" si="7"/>
        <v>186.17777777777772</v>
      </c>
    </row>
    <row r="98" spans="17:19">
      <c r="Q98" s="155">
        <v>-0.72</v>
      </c>
      <c r="R98" s="156">
        <f t="shared" si="6"/>
        <v>3877.8888414269545</v>
      </c>
      <c r="S98" s="157">
        <f t="shared" si="7"/>
        <v>188.79999999999995</v>
      </c>
    </row>
    <row r="99" spans="17:19">
      <c r="Q99" s="155">
        <v>-0.73</v>
      </c>
      <c r="R99" s="156">
        <f t="shared" si="6"/>
        <v>4220.5574456874938</v>
      </c>
      <c r="S99" s="157">
        <f t="shared" si="7"/>
        <v>191.42222222222219</v>
      </c>
    </row>
    <row r="100" spans="17:19">
      <c r="Q100" s="155">
        <v>-0.74</v>
      </c>
      <c r="R100" s="156">
        <f t="shared" si="6"/>
        <v>4593.5058689803536</v>
      </c>
      <c r="S100" s="157">
        <f t="shared" si="7"/>
        <v>194.04444444444439</v>
      </c>
    </row>
    <row r="101" spans="17:19">
      <c r="Q101" s="155">
        <v>-0.75</v>
      </c>
      <c r="R101" s="156">
        <f t="shared" si="6"/>
        <v>4999.4097793685823</v>
      </c>
      <c r="S101" s="157">
        <f t="shared" si="7"/>
        <v>196.66666666666663</v>
      </c>
    </row>
    <row r="102" spans="17:19">
      <c r="Q102" s="155">
        <v>-0.76</v>
      </c>
      <c r="R102" s="156">
        <f t="shared" si="6"/>
        <v>5441.1812796038321</v>
      </c>
      <c r="S102" s="157">
        <f t="shared" si="7"/>
        <v>199.28888888888886</v>
      </c>
    </row>
    <row r="103" spans="17:19">
      <c r="Q103" s="155">
        <v>-0.77</v>
      </c>
      <c r="R103" s="156">
        <f t="shared" si="6"/>
        <v>5921.9897996139953</v>
      </c>
      <c r="S103" s="157">
        <f t="shared" si="7"/>
        <v>201.91111111111107</v>
      </c>
    </row>
    <row r="104" spans="17:19">
      <c r="Q104" s="155">
        <v>-0.78</v>
      </c>
      <c r="R104" s="156">
        <f t="shared" si="6"/>
        <v>6445.2848351499179</v>
      </c>
      <c r="S104" s="157">
        <f t="shared" si="7"/>
        <v>204.5333333333333</v>
      </c>
    </row>
    <row r="105" spans="17:19">
      <c r="Q105" s="155">
        <v>-0.79</v>
      </c>
      <c r="R105" s="156">
        <f t="shared" si="6"/>
        <v>7014.8206957265047</v>
      </c>
      <c r="S105" s="157">
        <f t="shared" si="7"/>
        <v>207.15555555555554</v>
      </c>
    </row>
    <row r="106" spans="17:19">
      <c r="Q106" s="155">
        <v>-0.8</v>
      </c>
      <c r="R106" s="156">
        <f t="shared" si="6"/>
        <v>7634.6834394089665</v>
      </c>
      <c r="S106" s="157">
        <f t="shared" si="7"/>
        <v>209.77777777777774</v>
      </c>
    </row>
    <row r="107" spans="17:19">
      <c r="Q107" s="155">
        <v>-0.81</v>
      </c>
      <c r="R107" s="156">
        <f t="shared" si="6"/>
        <v>8309.3201876842595</v>
      </c>
      <c r="S107" s="157">
        <f t="shared" si="7"/>
        <v>212.39999999999998</v>
      </c>
    </row>
    <row r="108" spans="17:19">
      <c r="Q108" s="155">
        <v>-0.82</v>
      </c>
      <c r="R108" s="156">
        <f t="shared" si="6"/>
        <v>9043.5710307331574</v>
      </c>
      <c r="S108" s="157">
        <f t="shared" si="7"/>
        <v>215.02222222222215</v>
      </c>
    </row>
    <row r="109" spans="17:19">
      <c r="Q109" s="155">
        <v>-0.83</v>
      </c>
      <c r="R109" s="156">
        <f t="shared" si="6"/>
        <v>9842.7037520032318</v>
      </c>
      <c r="S109" s="157">
        <f t="shared" si="7"/>
        <v>217.64444444444439</v>
      </c>
    </row>
    <row r="110" spans="17:19">
      <c r="Q110" s="155">
        <v>-0.84</v>
      </c>
      <c r="R110" s="156">
        <f t="shared" si="6"/>
        <v>10712.451621209257</v>
      </c>
      <c r="S110" s="157">
        <f t="shared" si="7"/>
        <v>220.26666666666662</v>
      </c>
    </row>
    <row r="111" spans="17:19">
      <c r="Q111" s="155">
        <v>-0.85</v>
      </c>
      <c r="R111" s="156">
        <f t="shared" si="6"/>
        <v>11659.054526902017</v>
      </c>
      <c r="S111" s="157">
        <f t="shared" si="7"/>
        <v>222.88888888888883</v>
      </c>
    </row>
    <row r="112" spans="17:19">
      <c r="Q112" s="155">
        <v>-0.86</v>
      </c>
      <c r="R112" s="156">
        <f t="shared" si="6"/>
        <v>12689.303743705488</v>
      </c>
      <c r="S112" s="157">
        <f t="shared" si="7"/>
        <v>225.51111111111106</v>
      </c>
    </row>
    <row r="113" spans="17:19">
      <c r="Q113" s="155">
        <v>-0.87</v>
      </c>
      <c r="R113" s="156">
        <f t="shared" si="6"/>
        <v>13810.590655398801</v>
      </c>
      <c r="S113" s="157">
        <f t="shared" si="7"/>
        <v>228.1333333333333</v>
      </c>
    </row>
    <row r="114" spans="17:19">
      <c r="Q114" s="155">
        <v>-0.88</v>
      </c>
      <c r="R114" s="156">
        <f t="shared" si="6"/>
        <v>15030.959783400349</v>
      </c>
      <c r="S114" s="157">
        <f t="shared" si="7"/>
        <v>230.7555555555555</v>
      </c>
    </row>
    <row r="115" spans="17:19">
      <c r="Q115" s="160">
        <v>-0.89</v>
      </c>
      <c r="R115" s="161">
        <f t="shared" si="6"/>
        <v>16359.166501099548</v>
      </c>
      <c r="S115" s="162">
        <f t="shared" si="7"/>
        <v>233.37777777777774</v>
      </c>
    </row>
    <row r="135" ht="31.5" customHeight="1"/>
  </sheetData>
  <mergeCells count="43">
    <mergeCell ref="B14:C14"/>
    <mergeCell ref="B15:C15"/>
    <mergeCell ref="B16:C16"/>
    <mergeCell ref="J16:J17"/>
    <mergeCell ref="K16:L17"/>
    <mergeCell ref="F17:H17"/>
    <mergeCell ref="B13:C13"/>
    <mergeCell ref="B11:C11"/>
    <mergeCell ref="N9:P9"/>
    <mergeCell ref="N10:P10"/>
    <mergeCell ref="B7:F7"/>
    <mergeCell ref="G7:H7"/>
    <mergeCell ref="N7:P7"/>
    <mergeCell ref="B8:F8"/>
    <mergeCell ref="G8:H8"/>
    <mergeCell ref="N8:P8"/>
    <mergeCell ref="N11:R11"/>
    <mergeCell ref="B12:C12"/>
    <mergeCell ref="B9:C10"/>
    <mergeCell ref="E9:E10"/>
    <mergeCell ref="F9:F10"/>
    <mergeCell ref="G9:H9"/>
    <mergeCell ref="D1:R1"/>
    <mergeCell ref="B2:H2"/>
    <mergeCell ref="J2:L2"/>
    <mergeCell ref="N2:R2"/>
    <mergeCell ref="B3:F3"/>
    <mergeCell ref="G3:H3"/>
    <mergeCell ref="J3:J5"/>
    <mergeCell ref="K3:L4"/>
    <mergeCell ref="D9:D10"/>
    <mergeCell ref="B5:F6"/>
    <mergeCell ref="G5:G6"/>
    <mergeCell ref="N3:P3"/>
    <mergeCell ref="Q3:R3"/>
    <mergeCell ref="B4:F4"/>
    <mergeCell ref="G4:H4"/>
    <mergeCell ref="N4:P4"/>
    <mergeCell ref="Q4:R4"/>
    <mergeCell ref="N5:P5"/>
    <mergeCell ref="Q5:R5"/>
    <mergeCell ref="N6:P6"/>
    <mergeCell ref="Q6:R6"/>
  </mergeCells>
  <conditionalFormatting sqref="B5:H6">
    <cfRule type="expression" dxfId="4" priority="2">
      <formula>$G$9="Projetos com até 99 PF - Complexidade Média ou Alta"</formula>
    </cfRule>
    <cfRule type="expression" dxfId="3" priority="3">
      <formula>$G$9="Projetos com até 99 PF - Complexidade Baixa"</formula>
    </cfRule>
  </conditionalFormatting>
  <conditionalFormatting sqref="E12">
    <cfRule type="expression" dxfId="2" priority="6">
      <formula>AND((OR($E$12=15%,$E$12=10%)),$E$12&lt;&gt;$D$12)</formula>
    </cfRule>
  </conditionalFormatting>
  <conditionalFormatting sqref="E14">
    <cfRule type="expression" dxfId="1" priority="5">
      <formula>AND((OR($E$14=15%,$E$14=10%)),$E$14&lt;&gt;$D$14)</formula>
    </cfRule>
  </conditionalFormatting>
  <conditionalFormatting sqref="E17">
    <cfRule type="expression" dxfId="0" priority="4">
      <formula>$E$17&lt;&gt;100%</formula>
    </cfRule>
  </conditionalFormatting>
  <dataValidations count="8">
    <dataValidation allowBlank="1" showInputMessage="1" showErrorMessage="1" prompt="Atenção ao alterar esse valor, pois ele varia de acordo com a versão do SISP" sqref="E12 E14" xr:uid="{00000000-0002-0000-0800-000000000000}">
      <formula1>0</formula1>
      <formula2>0</formula2>
    </dataValidation>
    <dataValidation type="list" showInputMessage="1" showErrorMessage="1" prompt="Informe qual o tipo de projeto para determinação do expoente utilizado na fórmula de Capers Jones. Para descrição e valor referir-se a tabela abaixo" sqref="G5:G6" xr:uid="{00000000-0002-0000-0800-000001000000}">
      <formula1>"Sistema Comum – Mainframe,Sistema Comum – WEB,Sistema OO,Sistema Cliente/Servidor (Alta complexidade),Sistemas Gerenciais Complexos,Software Básico,Framework,Sistemas Comerciais,Software Militar *Exclusivo SISP v2.0"</formula1>
      <formula2>0</formula2>
    </dataValidation>
    <dataValidation showInputMessage="1" showErrorMessage="1" sqref="H5:H6" xr:uid="{00000000-0002-0000-0800-000002000000}">
      <formula1>0</formula1>
      <formula2>0</formula2>
    </dataValidation>
    <dataValidation type="list" allowBlank="1" showInputMessage="1" showErrorMessage="1" prompt="Informe qual o tipo de prazo que deseja distribuir os dias, se em dias úteis ou em dias corridos. Proporção utilizada: 7 dias corridos para cada 5 dias úteis (7/5)" sqref="G3:H3" xr:uid="{00000000-0002-0000-0800-000003000000}">
      <formula1>"Úteis,Corridos"</formula1>
      <formula2>0</formula2>
    </dataValidation>
    <dataValidation type="list" allowBlank="1" showInputMessage="1" showErrorMessage="1" prompt="Informe qual a versão do Roteiro de Métricas (SISP) adota para o cálculo do prazo" sqref="G4:H4" xr:uid="{00000000-0002-0000-0800-000004000000}">
      <formula1>"SISP v1.0,SISP v2.0/2.1"</formula1>
      <formula2>0</formula2>
    </dataValidation>
    <dataValidation type="list" allowBlank="1" showInputMessage="1" showErrorMessage="1" prompt="Informe a complexidade do projeto. Informação relevante apenas para projetos com menos de 100 PF" sqref="G7:H7" xr:uid="{00000000-0002-0000-0800-000005000000}">
      <formula1>"Projetos com até 99 PF - Complexidade Baixa,Projetos com até 99 PF - Complexidade Média ou Alta,Projetos com mais de 99 PF "</formula1>
      <formula2>0</formula2>
    </dataValidation>
    <dataValidation type="decimal" allowBlank="1" showInputMessage="1" showErrorMessage="1" error="- Este campo aceita apenas números - Projetos com mais de 99 PF devem  ter mais de 99 PF - Projetos com até 99 PF devem no máximo ter 99 PF" prompt="Informe a quantidade de PF que deseja calcular o prazo" sqref="G8" xr:uid="{00000000-0002-0000-0800-000006000000}">
      <formula1>IF(G7="Projetos com mais de 99 PF ",99.0000001,0)</formula1>
      <formula2>IF(G7="Projetos com mais de 99 PF ",1E+24,99)</formula2>
    </dataValidation>
    <dataValidation type="whole" operator="greaterThan" allowBlank="1" showInputMessage="1" showErrorMessage="1" error="Data limite tem que ser maior que data inicial" prompt="Informe a data que deseja que o projeto finalize" sqref="Q4:R4" xr:uid="{00000000-0002-0000-0800-000007000000}">
      <formula1>G11</formula1>
      <formula2>0</formula2>
    </dataValidation>
  </dataValidations>
  <pageMargins left="0.51180555555555496" right="0.51180555555555496" top="0.78749999999999998" bottom="0.78749999999999998" header="0.51180555555555496" footer="0.51180555555555496"/>
  <pageSetup paperSize="9" firstPageNumber="0" orientation="portrait" horizontalDpi="300" verticalDpi="300"/>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46C0A"/>
  </sheetPr>
  <dimension ref="A1:R24"/>
  <sheetViews>
    <sheetView showGridLines="0" zoomScaleNormal="100" workbookViewId="0">
      <selection activeCell="C2" sqref="C2"/>
    </sheetView>
  </sheetViews>
  <sheetFormatPr defaultColWidth="8.54296875" defaultRowHeight="12.5"/>
  <cols>
    <col min="1" max="1" width="23.1796875" customWidth="1" collapsed="1"/>
    <col min="2" max="2" width="11.81640625" customWidth="1" collapsed="1"/>
    <col min="3" max="3" width="11.453125" customWidth="1" collapsed="1"/>
    <col min="4" max="5" width="12.453125" customWidth="1" collapsed="1"/>
    <col min="6" max="6" width="15.81640625" customWidth="1" collapsed="1"/>
    <col min="7" max="7" width="12.453125" customWidth="1" collapsed="1"/>
    <col min="8" max="8" width="15.81640625" customWidth="1" collapsed="1"/>
    <col min="9" max="9" width="15.453125" customWidth="1" collapsed="1"/>
  </cols>
  <sheetData>
    <row r="1" spans="1:18" s="164" customFormat="1" ht="69" customHeight="1">
      <c r="A1" s="2" t="str">
        <f>Resumo!A1</f>
        <v>Template V.2.0</v>
      </c>
      <c r="B1" s="2"/>
      <c r="C1" s="285" t="s">
        <v>151</v>
      </c>
      <c r="D1" s="285"/>
      <c r="E1" s="285"/>
      <c r="F1" s="285"/>
      <c r="G1" s="285"/>
      <c r="H1" s="285"/>
      <c r="I1" s="285"/>
      <c r="J1" s="163"/>
      <c r="K1" s="163"/>
      <c r="L1" s="163"/>
      <c r="M1" s="163"/>
      <c r="N1" s="163"/>
      <c r="O1" s="163"/>
      <c r="P1" s="163"/>
      <c r="Q1" s="163"/>
      <c r="R1" s="163"/>
    </row>
    <row r="3" spans="1:18" ht="13">
      <c r="A3" s="165" t="s">
        <v>152</v>
      </c>
      <c r="C3" s="166">
        <v>8</v>
      </c>
    </row>
    <row r="4" spans="1:18" ht="29">
      <c r="B4" s="165"/>
      <c r="D4" s="167" t="s">
        <v>19</v>
      </c>
      <c r="E4" s="167" t="s">
        <v>21</v>
      </c>
      <c r="F4" s="167" t="s">
        <v>23</v>
      </c>
      <c r="G4" s="167" t="s">
        <v>25</v>
      </c>
      <c r="H4" s="167" t="s">
        <v>27</v>
      </c>
      <c r="I4" s="167" t="s">
        <v>29</v>
      </c>
    </row>
    <row r="5" spans="1:18" ht="14.5">
      <c r="A5" s="168" t="s">
        <v>47</v>
      </c>
      <c r="B5" s="168" t="s">
        <v>153</v>
      </c>
      <c r="C5" s="169" t="s">
        <v>154</v>
      </c>
      <c r="D5" s="170">
        <f>Resumo!G18</f>
        <v>0.4</v>
      </c>
      <c r="E5" s="170">
        <f>Resumo!G19</f>
        <v>0.1</v>
      </c>
      <c r="F5" s="170">
        <f>Resumo!G20</f>
        <v>0.25</v>
      </c>
      <c r="G5" s="170">
        <f>Resumo!G21</f>
        <v>0.05</v>
      </c>
      <c r="H5" s="170">
        <f>Resumo!G22</f>
        <v>0.05</v>
      </c>
      <c r="I5" s="170">
        <f>Resumo!G23</f>
        <v>0.15</v>
      </c>
    </row>
    <row r="6" spans="1:18">
      <c r="A6" s="171"/>
      <c r="B6" s="172">
        <f>IF(Resumo!$B$5="Detalhada",SUMIF('AFP - Detalhada'!$E$10:$E$1324,Esforço!A6,'AFP - Detalhada'!$Q$10:$Q$1324),IF(Resumo!B5="Estimativa",SUMIF('AFP - Estimativa'!$F$10:$F$1082,Esforço!A6,'AFP - Estimativa'!$I$10:$I$1082)*(1+'AFP - Estimativa'!$C$6),IF(Resumo!B5="Indicativa",SUMIF('AFP - Indicativa'!$D$10:$D$108,Esforço!A6,'AFP - Indicativa'!$H$10:$H$108)*(1+'AFP - Indicativa'!$D$6),0)))</f>
        <v>0</v>
      </c>
      <c r="C6" s="172">
        <f t="shared" ref="C6:C23" si="0">ROUND(B6*$C$3,0)</f>
        <v>0</v>
      </c>
      <c r="D6" s="172">
        <f t="shared" ref="D6:I15" si="1">ROUND($C6*D$5,0)</f>
        <v>0</v>
      </c>
      <c r="E6" s="172">
        <f t="shared" si="1"/>
        <v>0</v>
      </c>
      <c r="F6" s="172">
        <f t="shared" si="1"/>
        <v>0</v>
      </c>
      <c r="G6" s="172">
        <f t="shared" si="1"/>
        <v>0</v>
      </c>
      <c r="H6" s="172">
        <f t="shared" si="1"/>
        <v>0</v>
      </c>
      <c r="I6" s="172">
        <f t="shared" si="1"/>
        <v>0</v>
      </c>
    </row>
    <row r="7" spans="1:18">
      <c r="A7" s="171"/>
      <c r="B7" s="172">
        <f>IF(Resumo!$B$5="Detalhada",SUMIF('AFP - Detalhada'!$E$10:$E$1324,Esforço!A7,'AFP - Detalhada'!$Q$10:$Q$1324),IF(Resumo!B6="Estimativa",SUMIF('AFP - Estimativa'!$F$10:$F$1082,Esforço!A7,'AFP - Estimativa'!$I$10:$I$1082)*(1+'AFP - Estimativa'!$C$6),IF(Resumo!B6="Indicativa",SUMIF('AFP - Indicativa'!$D$10:$D$108,Esforço!A7,'AFP - Indicativa'!$H$10:$H$108)*(1+'AFP - Indicativa'!$D$6),0)))</f>
        <v>0</v>
      </c>
      <c r="C7" s="172">
        <f t="shared" si="0"/>
        <v>0</v>
      </c>
      <c r="D7" s="172">
        <f t="shared" si="1"/>
        <v>0</v>
      </c>
      <c r="E7" s="172">
        <f t="shared" si="1"/>
        <v>0</v>
      </c>
      <c r="F7" s="172">
        <f t="shared" si="1"/>
        <v>0</v>
      </c>
      <c r="G7" s="172">
        <f t="shared" si="1"/>
        <v>0</v>
      </c>
      <c r="H7" s="172">
        <f t="shared" si="1"/>
        <v>0</v>
      </c>
      <c r="I7" s="172">
        <f t="shared" si="1"/>
        <v>0</v>
      </c>
    </row>
    <row r="8" spans="1:18">
      <c r="A8" s="171"/>
      <c r="B8" s="172">
        <f>IF(Resumo!$B$5="Detalhada",SUMIF('AFP - Detalhada'!$E$10:$E$1324,Esforço!A8,'AFP - Detalhada'!$Q$10:$Q$1324),IF(Resumo!B7="Estimativa",SUMIF('AFP - Estimativa'!$F$10:$F$1082,Esforço!A8,'AFP - Estimativa'!$I$10:$I$1082)*(1+'AFP - Estimativa'!$C$6),IF(Resumo!B7="Indicativa",SUMIF('AFP - Indicativa'!$D$10:$D$108,Esforço!A8,'AFP - Indicativa'!$H$10:$H$108)*(1+'AFP - Indicativa'!$D$6),0)))</f>
        <v>0</v>
      </c>
      <c r="C8" s="172">
        <f t="shared" si="0"/>
        <v>0</v>
      </c>
      <c r="D8" s="172">
        <f t="shared" si="1"/>
        <v>0</v>
      </c>
      <c r="E8" s="172">
        <f t="shared" si="1"/>
        <v>0</v>
      </c>
      <c r="F8" s="172">
        <f t="shared" si="1"/>
        <v>0</v>
      </c>
      <c r="G8" s="172">
        <f t="shared" si="1"/>
        <v>0</v>
      </c>
      <c r="H8" s="172">
        <f t="shared" si="1"/>
        <v>0</v>
      </c>
      <c r="I8" s="172">
        <f t="shared" si="1"/>
        <v>0</v>
      </c>
    </row>
    <row r="9" spans="1:18">
      <c r="A9" s="171"/>
      <c r="B9" s="172">
        <f>IF(Resumo!$B$5="Detalhada",SUMIF('AFP - Detalhada'!$E$10:$E$1324,Esforço!A9,'AFP - Detalhada'!$Q$10:$Q$1324),IF(Resumo!B8="Estimativa",SUMIF('AFP - Estimativa'!$F$10:$F$1082,Esforço!A9,'AFP - Estimativa'!$I$10:$I$1082)*(1+'AFP - Estimativa'!$C$6),IF(Resumo!B8="Indicativa",SUMIF('AFP - Indicativa'!$D$10:$D$108,Esforço!A9,'AFP - Indicativa'!$H$10:$H$108)*(1+'AFP - Indicativa'!$D$6),0)))</f>
        <v>0</v>
      </c>
      <c r="C9" s="172">
        <f t="shared" si="0"/>
        <v>0</v>
      </c>
      <c r="D9" s="172">
        <f t="shared" si="1"/>
        <v>0</v>
      </c>
      <c r="E9" s="172">
        <f t="shared" si="1"/>
        <v>0</v>
      </c>
      <c r="F9" s="172">
        <f t="shared" si="1"/>
        <v>0</v>
      </c>
      <c r="G9" s="172">
        <f t="shared" si="1"/>
        <v>0</v>
      </c>
      <c r="H9" s="172">
        <f t="shared" si="1"/>
        <v>0</v>
      </c>
      <c r="I9" s="172">
        <f t="shared" si="1"/>
        <v>0</v>
      </c>
    </row>
    <row r="10" spans="1:18">
      <c r="A10" s="171"/>
      <c r="B10" s="172">
        <f>IF(Resumo!$B$5="Detalhada",SUMIF('AFP - Detalhada'!$E$10:$E$1324,Esforço!A10,'AFP - Detalhada'!$Q$10:$Q$1324),IF(Resumo!B9="Estimativa",SUMIF('AFP - Estimativa'!$F$10:$F$1082,Esforço!A10,'AFP - Estimativa'!$I$10:$I$1082)*(1+'AFP - Estimativa'!$C$6),IF(Resumo!B9="Indicativa",SUMIF('AFP - Indicativa'!$D$10:$D$108,Esforço!A10,'AFP - Indicativa'!$H$10:$H$108)*(1+'AFP - Indicativa'!$D$6),0)))</f>
        <v>0</v>
      </c>
      <c r="C10" s="172">
        <f t="shared" si="0"/>
        <v>0</v>
      </c>
      <c r="D10" s="172">
        <f t="shared" si="1"/>
        <v>0</v>
      </c>
      <c r="E10" s="172">
        <f t="shared" si="1"/>
        <v>0</v>
      </c>
      <c r="F10" s="172">
        <f t="shared" si="1"/>
        <v>0</v>
      </c>
      <c r="G10" s="172">
        <f t="shared" si="1"/>
        <v>0</v>
      </c>
      <c r="H10" s="172">
        <f t="shared" si="1"/>
        <v>0</v>
      </c>
      <c r="I10" s="172">
        <f t="shared" si="1"/>
        <v>0</v>
      </c>
    </row>
    <row r="11" spans="1:18">
      <c r="A11" s="171"/>
      <c r="B11" s="172">
        <f>IF(Resumo!$B$5="Detalhada",SUMIF('AFP - Detalhada'!$E$10:$E$1324,Esforço!A11,'AFP - Detalhada'!$Q$10:$Q$1324),IF(Resumo!B10="Estimativa",SUMIF('AFP - Estimativa'!$F$10:$F$1082,Esforço!A11,'AFP - Estimativa'!$I$10:$I$1082)*(1+'AFP - Estimativa'!$C$6),IF(Resumo!B10="Indicativa",SUMIF('AFP - Indicativa'!$D$10:$D$108,Esforço!A11,'AFP - Indicativa'!$H$10:$H$108)*(1+'AFP - Indicativa'!$D$6),0)))</f>
        <v>0</v>
      </c>
      <c r="C11" s="172">
        <f t="shared" si="0"/>
        <v>0</v>
      </c>
      <c r="D11" s="172">
        <f t="shared" si="1"/>
        <v>0</v>
      </c>
      <c r="E11" s="172">
        <f t="shared" si="1"/>
        <v>0</v>
      </c>
      <c r="F11" s="172">
        <f t="shared" si="1"/>
        <v>0</v>
      </c>
      <c r="G11" s="172">
        <f t="shared" si="1"/>
        <v>0</v>
      </c>
      <c r="H11" s="172">
        <f t="shared" si="1"/>
        <v>0</v>
      </c>
      <c r="I11" s="172">
        <f t="shared" si="1"/>
        <v>0</v>
      </c>
    </row>
    <row r="12" spans="1:18">
      <c r="A12" s="171"/>
      <c r="B12" s="172">
        <f>IF(Resumo!$B$5="Detalhada",SUMIF('AFP - Detalhada'!$E$10:$E$1324,Esforço!A12,'AFP - Detalhada'!$Q$10:$Q$1324),IF(Resumo!B11="Estimativa",SUMIF('AFP - Estimativa'!$F$10:$F$1082,Esforço!A12,'AFP - Estimativa'!$I$10:$I$1082)*(1+'AFP - Estimativa'!$C$6),IF(Resumo!B11="Indicativa",SUMIF('AFP - Indicativa'!$D$10:$D$108,Esforço!A12,'AFP - Indicativa'!$H$10:$H$108)*(1+'AFP - Indicativa'!$D$6),0)))</f>
        <v>0</v>
      </c>
      <c r="C12" s="172">
        <f t="shared" si="0"/>
        <v>0</v>
      </c>
      <c r="D12" s="172">
        <f t="shared" si="1"/>
        <v>0</v>
      </c>
      <c r="E12" s="172">
        <f t="shared" si="1"/>
        <v>0</v>
      </c>
      <c r="F12" s="172">
        <f t="shared" si="1"/>
        <v>0</v>
      </c>
      <c r="G12" s="172">
        <f t="shared" si="1"/>
        <v>0</v>
      </c>
      <c r="H12" s="172">
        <f t="shared" si="1"/>
        <v>0</v>
      </c>
      <c r="I12" s="172">
        <f t="shared" si="1"/>
        <v>0</v>
      </c>
    </row>
    <row r="13" spans="1:18">
      <c r="A13" s="171"/>
      <c r="B13" s="172">
        <f>IF(Resumo!$B$5="Detalhada",SUMIF('AFP - Detalhada'!$E$10:$E$1324,Esforço!A13,'AFP - Detalhada'!$Q$10:$Q$1324),IF(Resumo!B12="Estimativa",SUMIF('AFP - Estimativa'!$F$10:$F$1082,Esforço!A13,'AFP - Estimativa'!$I$10:$I$1082)*(1+'AFP - Estimativa'!$C$6),IF(Resumo!B12="Indicativa",SUMIF('AFP - Indicativa'!$D$10:$D$108,Esforço!A13,'AFP - Indicativa'!$H$10:$H$108)*(1+'AFP - Indicativa'!$D$6),0)))</f>
        <v>0</v>
      </c>
      <c r="C13" s="172">
        <f t="shared" si="0"/>
        <v>0</v>
      </c>
      <c r="D13" s="172">
        <f t="shared" si="1"/>
        <v>0</v>
      </c>
      <c r="E13" s="172">
        <f t="shared" si="1"/>
        <v>0</v>
      </c>
      <c r="F13" s="172">
        <f t="shared" si="1"/>
        <v>0</v>
      </c>
      <c r="G13" s="172">
        <f t="shared" si="1"/>
        <v>0</v>
      </c>
      <c r="H13" s="172">
        <f t="shared" si="1"/>
        <v>0</v>
      </c>
      <c r="I13" s="172">
        <f t="shared" si="1"/>
        <v>0</v>
      </c>
    </row>
    <row r="14" spans="1:18">
      <c r="A14" s="171"/>
      <c r="B14" s="172">
        <f>IF(Resumo!$B$5="Detalhada",SUMIF('AFP - Detalhada'!$E$10:$E$1324,Esforço!A14,'AFP - Detalhada'!$Q$10:$Q$1324),IF(Resumo!B13="Estimativa",SUMIF('AFP - Estimativa'!$F$10:$F$1082,Esforço!A14,'AFP - Estimativa'!$I$10:$I$1082)*(1+'AFP - Estimativa'!$C$6),IF(Resumo!B13="Indicativa",SUMIF('AFP - Indicativa'!$D$10:$D$108,Esforço!A14,'AFP - Indicativa'!$H$10:$H$108)*(1+'AFP - Indicativa'!$D$6),0)))</f>
        <v>0</v>
      </c>
      <c r="C14" s="172">
        <f t="shared" si="0"/>
        <v>0</v>
      </c>
      <c r="D14" s="172">
        <f t="shared" si="1"/>
        <v>0</v>
      </c>
      <c r="E14" s="172">
        <f t="shared" si="1"/>
        <v>0</v>
      </c>
      <c r="F14" s="172">
        <f t="shared" si="1"/>
        <v>0</v>
      </c>
      <c r="G14" s="172">
        <f t="shared" si="1"/>
        <v>0</v>
      </c>
      <c r="H14" s="172">
        <f t="shared" si="1"/>
        <v>0</v>
      </c>
      <c r="I14" s="172">
        <f t="shared" si="1"/>
        <v>0</v>
      </c>
    </row>
    <row r="15" spans="1:18">
      <c r="A15" s="171"/>
      <c r="B15" s="172">
        <f>IF(Resumo!$B$5="Detalhada",SUMIF('AFP - Detalhada'!$E$10:$E$1324,Esforço!A15,'AFP - Detalhada'!$Q$10:$Q$1324),IF(Resumo!B14="Estimativa",SUMIF('AFP - Estimativa'!$F$10:$F$1082,Esforço!A15,'AFP - Estimativa'!$I$10:$I$1082)*(1+'AFP - Estimativa'!$C$6),IF(Resumo!B14="Indicativa",SUMIF('AFP - Indicativa'!$D$10:$D$108,Esforço!A15,'AFP - Indicativa'!$H$10:$H$108)*(1+'AFP - Indicativa'!$D$6),0)))</f>
        <v>0</v>
      </c>
      <c r="C15" s="172">
        <f t="shared" si="0"/>
        <v>0</v>
      </c>
      <c r="D15" s="172">
        <f t="shared" si="1"/>
        <v>0</v>
      </c>
      <c r="E15" s="172">
        <f t="shared" si="1"/>
        <v>0</v>
      </c>
      <c r="F15" s="172">
        <f t="shared" si="1"/>
        <v>0</v>
      </c>
      <c r="G15" s="172">
        <f t="shared" si="1"/>
        <v>0</v>
      </c>
      <c r="H15" s="172">
        <f t="shared" si="1"/>
        <v>0</v>
      </c>
      <c r="I15" s="172">
        <f t="shared" si="1"/>
        <v>0</v>
      </c>
    </row>
    <row r="16" spans="1:18">
      <c r="A16" s="171"/>
      <c r="B16" s="172">
        <f>IF(Resumo!$B$5="Detalhada",SUMIF('AFP - Detalhada'!$E$10:$E$1324,Esforço!A16,'AFP - Detalhada'!$Q$10:$Q$1324),IF(Resumo!B15="Estimativa",SUMIF('AFP - Estimativa'!$F$10:$F$1082,Esforço!A16,'AFP - Estimativa'!$I$10:$I$1082)*(1+'AFP - Estimativa'!$C$6),IF(Resumo!B15="Indicativa",SUMIF('AFP - Indicativa'!$D$10:$D$108,Esforço!A16,'AFP - Indicativa'!$H$10:$H$108)*(1+'AFP - Indicativa'!$D$6),0)))</f>
        <v>0</v>
      </c>
      <c r="C16" s="172">
        <f t="shared" si="0"/>
        <v>0</v>
      </c>
      <c r="D16" s="172">
        <f t="shared" ref="D16:I23" si="2">ROUND($C16*D$5,0)</f>
        <v>0</v>
      </c>
      <c r="E16" s="172">
        <f t="shared" si="2"/>
        <v>0</v>
      </c>
      <c r="F16" s="172">
        <f t="shared" si="2"/>
        <v>0</v>
      </c>
      <c r="G16" s="172">
        <f t="shared" si="2"/>
        <v>0</v>
      </c>
      <c r="H16" s="172">
        <f t="shared" si="2"/>
        <v>0</v>
      </c>
      <c r="I16" s="172">
        <f t="shared" si="2"/>
        <v>0</v>
      </c>
    </row>
    <row r="17" spans="1:9">
      <c r="A17" s="171"/>
      <c r="B17" s="172">
        <f>IF(Resumo!$B$5="Detalhada",SUMIF('AFP - Detalhada'!$E$10:$E$1324,Esforço!A17,'AFP - Detalhada'!$Q$10:$Q$1324),IF(Resumo!B16="Estimativa",SUMIF('AFP - Estimativa'!$F$10:$F$1082,Esforço!A17,'AFP - Estimativa'!$I$10:$I$1082)*(1+'AFP - Estimativa'!$C$6),IF(Resumo!B16="Indicativa",SUMIF('AFP - Indicativa'!$D$10:$D$108,Esforço!A17,'AFP - Indicativa'!$H$10:$H$108)*(1+'AFP - Indicativa'!$D$6),0)))</f>
        <v>0</v>
      </c>
      <c r="C17" s="172">
        <f t="shared" si="0"/>
        <v>0</v>
      </c>
      <c r="D17" s="172">
        <f t="shared" si="2"/>
        <v>0</v>
      </c>
      <c r="E17" s="172">
        <f t="shared" si="2"/>
        <v>0</v>
      </c>
      <c r="F17" s="172">
        <f t="shared" si="2"/>
        <v>0</v>
      </c>
      <c r="G17" s="172">
        <f t="shared" si="2"/>
        <v>0</v>
      </c>
      <c r="H17" s="172">
        <f t="shared" si="2"/>
        <v>0</v>
      </c>
      <c r="I17" s="172">
        <f t="shared" si="2"/>
        <v>0</v>
      </c>
    </row>
    <row r="18" spans="1:9">
      <c r="A18" s="171"/>
      <c r="B18" s="172">
        <f>IF(Resumo!$B$5="Detalhada",SUMIF('AFP - Detalhada'!$E$10:$E$1324,Esforço!A18,'AFP - Detalhada'!$Q$10:$Q$1324),IF(Resumo!B17="Estimativa",SUMIF('AFP - Estimativa'!$F$10:$F$1082,Esforço!A18,'AFP - Estimativa'!$I$10:$I$1082)*(1+'AFP - Estimativa'!$C$6),IF(Resumo!B17="Indicativa",SUMIF('AFP - Indicativa'!$D$10:$D$108,Esforço!A18,'AFP - Indicativa'!$H$10:$H$108)*(1+'AFP - Indicativa'!$D$6),0)))</f>
        <v>0</v>
      </c>
      <c r="C18" s="172">
        <f t="shared" si="0"/>
        <v>0</v>
      </c>
      <c r="D18" s="172">
        <f t="shared" si="2"/>
        <v>0</v>
      </c>
      <c r="E18" s="172">
        <f t="shared" si="2"/>
        <v>0</v>
      </c>
      <c r="F18" s="172">
        <f t="shared" si="2"/>
        <v>0</v>
      </c>
      <c r="G18" s="172">
        <f t="shared" si="2"/>
        <v>0</v>
      </c>
      <c r="H18" s="172">
        <f t="shared" si="2"/>
        <v>0</v>
      </c>
      <c r="I18" s="172">
        <f t="shared" si="2"/>
        <v>0</v>
      </c>
    </row>
    <row r="19" spans="1:9">
      <c r="A19" s="171"/>
      <c r="B19" s="172">
        <f>IF(Resumo!$B$5="Detalhada",SUMIF('AFP - Detalhada'!$E$10:$E$1324,Esforço!A19,'AFP - Detalhada'!$Q$10:$Q$1324),IF(Resumo!B18="Estimativa",SUMIF('AFP - Estimativa'!$F$10:$F$1082,Esforço!A19,'AFP - Estimativa'!$I$10:$I$1082)*(1+'AFP - Estimativa'!$C$6),IF(Resumo!B18="Indicativa",SUMIF('AFP - Indicativa'!$D$10:$D$108,Esforço!A19,'AFP - Indicativa'!$H$10:$H$108)*(1+'AFP - Indicativa'!$D$6),0)))</f>
        <v>0</v>
      </c>
      <c r="C19" s="172">
        <f t="shared" si="0"/>
        <v>0</v>
      </c>
      <c r="D19" s="172">
        <f t="shared" si="2"/>
        <v>0</v>
      </c>
      <c r="E19" s="172">
        <f t="shared" si="2"/>
        <v>0</v>
      </c>
      <c r="F19" s="172">
        <f t="shared" si="2"/>
        <v>0</v>
      </c>
      <c r="G19" s="172">
        <f t="shared" si="2"/>
        <v>0</v>
      </c>
      <c r="H19" s="172">
        <f t="shared" si="2"/>
        <v>0</v>
      </c>
      <c r="I19" s="172">
        <f t="shared" si="2"/>
        <v>0</v>
      </c>
    </row>
    <row r="20" spans="1:9">
      <c r="A20" s="171"/>
      <c r="B20" s="172">
        <f>IF(Resumo!$B$5="Detalhada",SUMIF('AFP - Detalhada'!$E$10:$E$1324,Esforço!A20,'AFP - Detalhada'!$Q$10:$Q$1324),IF(Resumo!B19="Estimativa",SUMIF('AFP - Estimativa'!$F$10:$F$1082,Esforço!A20,'AFP - Estimativa'!$I$10:$I$1082)*(1+'AFP - Estimativa'!$C$6),IF(Resumo!B19="Indicativa",SUMIF('AFP - Indicativa'!$D$10:$D$108,Esforço!A20,'AFP - Indicativa'!$H$10:$H$108)*(1+'AFP - Indicativa'!$D$6),0)))</f>
        <v>0</v>
      </c>
      <c r="C20" s="172">
        <f t="shared" si="0"/>
        <v>0</v>
      </c>
      <c r="D20" s="172">
        <f t="shared" si="2"/>
        <v>0</v>
      </c>
      <c r="E20" s="172">
        <f t="shared" si="2"/>
        <v>0</v>
      </c>
      <c r="F20" s="172">
        <f t="shared" si="2"/>
        <v>0</v>
      </c>
      <c r="G20" s="172">
        <f t="shared" si="2"/>
        <v>0</v>
      </c>
      <c r="H20" s="172">
        <f t="shared" si="2"/>
        <v>0</v>
      </c>
      <c r="I20" s="172">
        <f t="shared" si="2"/>
        <v>0</v>
      </c>
    </row>
    <row r="21" spans="1:9">
      <c r="A21" s="171"/>
      <c r="B21" s="172">
        <f>IF(Resumo!$B$5="Detalhada",SUMIF('AFP - Detalhada'!$E$10:$E$1324,Esforço!A21,'AFP - Detalhada'!$Q$10:$Q$1324),IF(Resumo!B20="Estimativa",SUMIF('AFP - Estimativa'!$F$10:$F$1082,Esforço!A21,'AFP - Estimativa'!$I$10:$I$1082)*(1+'AFP - Estimativa'!$C$6),IF(Resumo!B20="Indicativa",SUMIF('AFP - Indicativa'!$D$10:$D$108,Esforço!A21,'AFP - Indicativa'!$H$10:$H$108)*(1+'AFP - Indicativa'!$D$6),0)))</f>
        <v>0</v>
      </c>
      <c r="C21" s="172">
        <f t="shared" si="0"/>
        <v>0</v>
      </c>
      <c r="D21" s="172">
        <f t="shared" si="2"/>
        <v>0</v>
      </c>
      <c r="E21" s="172">
        <f t="shared" si="2"/>
        <v>0</v>
      </c>
      <c r="F21" s="172">
        <f t="shared" si="2"/>
        <v>0</v>
      </c>
      <c r="G21" s="172">
        <f t="shared" si="2"/>
        <v>0</v>
      </c>
      <c r="H21" s="172">
        <f t="shared" si="2"/>
        <v>0</v>
      </c>
      <c r="I21" s="172">
        <f t="shared" si="2"/>
        <v>0</v>
      </c>
    </row>
    <row r="22" spans="1:9">
      <c r="A22" s="171"/>
      <c r="B22" s="172">
        <f>IF(Resumo!$B$5="Detalhada",SUMIF('AFP - Detalhada'!$E$10:$E$1324,Esforço!A22,'AFP - Detalhada'!$Q$10:$Q$1324),IF(Resumo!B23="Estimativa",SUMIF('AFP - Estimativa'!$F$10:$F$1082,Esforço!A22,'AFP - Estimativa'!$I$10:$I$1082)*(1+'AFP - Estimativa'!$C$6),IF(Resumo!B23="Indicativa",SUMIF('AFP - Indicativa'!$D$10:$D$108,Esforço!A22,'AFP - Indicativa'!$H$10:$H$108)*(1+'AFP - Indicativa'!$D$6),0)))</f>
        <v>0</v>
      </c>
      <c r="C22" s="172">
        <f t="shared" si="0"/>
        <v>0</v>
      </c>
      <c r="D22" s="172">
        <f t="shared" si="2"/>
        <v>0</v>
      </c>
      <c r="E22" s="172">
        <f t="shared" si="2"/>
        <v>0</v>
      </c>
      <c r="F22" s="172">
        <f t="shared" si="2"/>
        <v>0</v>
      </c>
      <c r="G22" s="172">
        <f t="shared" si="2"/>
        <v>0</v>
      </c>
      <c r="H22" s="172">
        <f t="shared" si="2"/>
        <v>0</v>
      </c>
      <c r="I22" s="172">
        <f t="shared" si="2"/>
        <v>0</v>
      </c>
    </row>
    <row r="23" spans="1:9">
      <c r="A23" s="171"/>
      <c r="B23" s="172">
        <f>IF(Resumo!$B$5="Detalhada",SUMIF('AFP - Detalhada'!$E$10:$E$1324,Esforço!A23,'AFP - Detalhada'!$Q$10:$Q$1324),IF(Resumo!B24="Estimativa",SUMIF('AFP - Estimativa'!$F$10:$F$1082,Esforço!A23,'AFP - Estimativa'!$I$10:$I$1082)*(1+'AFP - Estimativa'!$C$6),IF(Resumo!B24="Indicativa",SUMIF('AFP - Indicativa'!$D$10:$D$108,Esforço!A23,'AFP - Indicativa'!$H$10:$H$108)*(1+'AFP - Indicativa'!$D$6),0)))</f>
        <v>0</v>
      </c>
      <c r="C23" s="172">
        <f t="shared" si="0"/>
        <v>0</v>
      </c>
      <c r="D23" s="172">
        <f t="shared" si="2"/>
        <v>0</v>
      </c>
      <c r="E23" s="172">
        <f t="shared" si="2"/>
        <v>0</v>
      </c>
      <c r="F23" s="172">
        <f t="shared" si="2"/>
        <v>0</v>
      </c>
      <c r="G23" s="172">
        <f t="shared" si="2"/>
        <v>0</v>
      </c>
      <c r="H23" s="172">
        <f t="shared" si="2"/>
        <v>0</v>
      </c>
      <c r="I23" s="172">
        <f t="shared" si="2"/>
        <v>0</v>
      </c>
    </row>
    <row r="24" spans="1:9" ht="13">
      <c r="A24" s="173" t="s">
        <v>146</v>
      </c>
      <c r="B24" s="174">
        <f>SUM(B6:B23)</f>
        <v>0</v>
      </c>
      <c r="C24" s="174">
        <f>SUM(C6:C23)</f>
        <v>0</v>
      </c>
      <c r="D24" s="174">
        <f>SUM(D6:D23)</f>
        <v>0</v>
      </c>
      <c r="E24" s="174">
        <f>ROUND($C24*E$5,0)</f>
        <v>0</v>
      </c>
      <c r="F24" s="174">
        <f>SUM(F6:F23)</f>
        <v>0</v>
      </c>
      <c r="G24" s="174">
        <f>SUM(G6:G23)</f>
        <v>0</v>
      </c>
      <c r="H24" s="174">
        <f>SUM(H6:H23)</f>
        <v>0</v>
      </c>
      <c r="I24" s="174">
        <f>SUM(I6:I23)</f>
        <v>0</v>
      </c>
    </row>
  </sheetData>
  <mergeCells count="1">
    <mergeCell ref="C1:I1"/>
  </mergeCells>
  <pageMargins left="0.51180555555555496" right="0.51180555555555496" top="0.78749999999999998" bottom="0.78749999999999998" header="0.51180555555555496" footer="0.51180555555555496"/>
  <pageSetup paperSize="9"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F81BD"/>
  </sheetPr>
  <dimension ref="A1:N192"/>
  <sheetViews>
    <sheetView zoomScale="70" zoomScaleNormal="70" workbookViewId="0">
      <selection sqref="A1:B1"/>
    </sheetView>
  </sheetViews>
  <sheetFormatPr defaultColWidth="8.7265625" defaultRowHeight="12.5"/>
  <cols>
    <col min="1" max="1" width="59.54296875" style="164" customWidth="1" collapsed="1"/>
    <col min="2" max="2" width="16.1796875" style="164" customWidth="1" collapsed="1"/>
    <col min="3" max="3" width="10.54296875" style="164" customWidth="1" collapsed="1"/>
    <col min="4" max="4" width="59.1796875" style="175" customWidth="1" collapsed="1"/>
    <col min="5" max="5" width="10.1796875" style="176" customWidth="1" collapsed="1"/>
    <col min="6" max="6" width="13.1796875" style="177" customWidth="1" collapsed="1"/>
    <col min="7" max="8" width="8.81640625" style="177" customWidth="1" collapsed="1"/>
    <col min="9" max="9" width="8.7265625" style="164" customWidth="1" collapsed="1"/>
    <col min="10" max="10" width="35.1796875" style="164" customWidth="1" collapsed="1"/>
    <col min="11" max="11" width="8.54296875" style="177" customWidth="1" collapsed="1"/>
    <col min="12" max="12" width="8.453125" style="177" customWidth="1" collapsed="1"/>
    <col min="13" max="13" width="27.1796875" style="164" customWidth="1" collapsed="1"/>
    <col min="14" max="14" width="45.1796875" style="164" customWidth="1" collapsed="1"/>
    <col min="15" max="16384" width="8.7265625" style="164"/>
  </cols>
  <sheetData>
    <row r="1" spans="1:14" ht="14.15" customHeight="1">
      <c r="A1" s="286" t="s">
        <v>155</v>
      </c>
      <c r="B1" s="286"/>
      <c r="D1" s="287" t="s">
        <v>156</v>
      </c>
      <c r="E1" s="287"/>
      <c r="F1" s="287"/>
      <c r="G1" s="287"/>
      <c r="H1" s="287"/>
      <c r="J1" s="287" t="s">
        <v>24</v>
      </c>
      <c r="K1" s="287"/>
      <c r="L1" s="287"/>
      <c r="M1" s="287"/>
      <c r="N1" s="287"/>
    </row>
    <row r="2" spans="1:14" ht="14.15" customHeight="1">
      <c r="A2" s="178" t="s">
        <v>49</v>
      </c>
      <c r="B2" s="178" t="s">
        <v>157</v>
      </c>
      <c r="D2" s="179" t="s">
        <v>158</v>
      </c>
      <c r="E2" s="180" t="s">
        <v>159</v>
      </c>
      <c r="F2" s="180" t="s">
        <v>160</v>
      </c>
      <c r="G2" s="180" t="s">
        <v>161</v>
      </c>
      <c r="H2" s="180" t="s">
        <v>162</v>
      </c>
      <c r="J2" s="181" t="s">
        <v>163</v>
      </c>
      <c r="K2" s="182" t="s">
        <v>164</v>
      </c>
      <c r="L2" s="182" t="s">
        <v>49</v>
      </c>
      <c r="M2" s="182" t="s">
        <v>165</v>
      </c>
      <c r="N2" s="183" t="s">
        <v>61</v>
      </c>
    </row>
    <row r="3" spans="1:14" ht="14.15" customHeight="1">
      <c r="A3" s="179" t="s">
        <v>253</v>
      </c>
      <c r="B3" s="184">
        <v>0.2</v>
      </c>
      <c r="D3" s="179" t="s">
        <v>166</v>
      </c>
      <c r="E3" s="180" t="s">
        <v>159</v>
      </c>
      <c r="F3" s="180" t="s">
        <v>160</v>
      </c>
      <c r="G3" s="180" t="s">
        <v>161</v>
      </c>
      <c r="H3" s="180" t="s">
        <v>162</v>
      </c>
      <c r="J3" s="185" t="s">
        <v>239</v>
      </c>
      <c r="K3" s="186">
        <v>0.1</v>
      </c>
      <c r="L3" s="186"/>
      <c r="M3" s="187"/>
      <c r="N3" s="187" t="s">
        <v>240</v>
      </c>
    </row>
    <row r="4" spans="1:14" ht="14.15" customHeight="1">
      <c r="A4" s="179" t="s">
        <v>254</v>
      </c>
      <c r="B4" s="184">
        <v>0.4</v>
      </c>
      <c r="D4" s="179" t="s">
        <v>167</v>
      </c>
      <c r="E4" s="180" t="s">
        <v>159</v>
      </c>
      <c r="F4" s="180" t="s">
        <v>160</v>
      </c>
      <c r="G4" s="180" t="s">
        <v>161</v>
      </c>
      <c r="H4" s="180" t="s">
        <v>162</v>
      </c>
      <c r="J4" s="185" t="s">
        <v>241</v>
      </c>
      <c r="K4" s="186">
        <v>0.5</v>
      </c>
      <c r="L4" s="186"/>
      <c r="M4" s="187"/>
      <c r="N4" s="187" t="s">
        <v>242</v>
      </c>
    </row>
    <row r="5" spans="1:14" ht="14.15" customHeight="1">
      <c r="A5" s="179" t="s">
        <v>255</v>
      </c>
      <c r="B5" s="184">
        <v>0.75</v>
      </c>
      <c r="D5" s="179" t="s">
        <v>168</v>
      </c>
      <c r="E5" s="180" t="s">
        <v>159</v>
      </c>
      <c r="F5" s="180" t="s">
        <v>160</v>
      </c>
      <c r="G5" s="180" t="s">
        <v>161</v>
      </c>
      <c r="H5" s="180" t="s">
        <v>162</v>
      </c>
      <c r="J5" s="185" t="s">
        <v>243</v>
      </c>
      <c r="K5" s="186">
        <v>0.1</v>
      </c>
      <c r="L5" s="186"/>
      <c r="M5" s="187"/>
      <c r="N5" s="187" t="s">
        <v>244</v>
      </c>
    </row>
    <row r="6" spans="1:14" ht="14.15" customHeight="1">
      <c r="A6" s="179" t="s">
        <v>260</v>
      </c>
      <c r="B6" s="184">
        <v>1E-4</v>
      </c>
      <c r="D6" s="179" t="s">
        <v>169</v>
      </c>
      <c r="E6" s="180" t="s">
        <v>159</v>
      </c>
      <c r="F6" s="180" t="s">
        <v>160</v>
      </c>
      <c r="G6" s="180" t="s">
        <v>161</v>
      </c>
      <c r="H6" s="180"/>
      <c r="J6" s="185" t="s">
        <v>245</v>
      </c>
      <c r="K6" s="186">
        <v>0.02</v>
      </c>
      <c r="L6" s="186"/>
      <c r="M6" s="187"/>
      <c r="N6" s="187" t="s">
        <v>246</v>
      </c>
    </row>
    <row r="7" spans="1:14" ht="14.15" customHeight="1">
      <c r="A7" s="179" t="s">
        <v>261</v>
      </c>
      <c r="B7" s="184">
        <v>0.15</v>
      </c>
      <c r="D7" s="179" t="s">
        <v>170</v>
      </c>
      <c r="E7" s="180" t="s">
        <v>159</v>
      </c>
      <c r="F7" s="180" t="s">
        <v>160</v>
      </c>
      <c r="G7" s="180" t="s">
        <v>161</v>
      </c>
      <c r="H7" s="180" t="s">
        <v>162</v>
      </c>
      <c r="J7" s="185" t="s">
        <v>247</v>
      </c>
      <c r="K7" s="186">
        <v>0.25</v>
      </c>
      <c r="L7" s="186"/>
      <c r="M7" s="187"/>
      <c r="N7" s="187" t="s">
        <v>242</v>
      </c>
    </row>
    <row r="8" spans="1:14" ht="14.15" customHeight="1">
      <c r="A8" s="179" t="s">
        <v>262</v>
      </c>
      <c r="B8" s="184">
        <v>1</v>
      </c>
      <c r="D8" s="188" t="s">
        <v>171</v>
      </c>
      <c r="E8" s="180" t="s">
        <v>159</v>
      </c>
      <c r="F8" s="180" t="s">
        <v>160</v>
      </c>
      <c r="G8" s="180"/>
      <c r="H8" s="180"/>
      <c r="J8" s="185" t="s">
        <v>248</v>
      </c>
      <c r="K8" s="186">
        <v>1</v>
      </c>
      <c r="L8" s="186"/>
      <c r="M8" s="187"/>
      <c r="N8" s="187" t="s">
        <v>242</v>
      </c>
    </row>
    <row r="9" spans="1:14" ht="14.15" customHeight="1">
      <c r="A9" s="189" t="s">
        <v>263</v>
      </c>
      <c r="B9" s="184">
        <v>0.5</v>
      </c>
      <c r="D9" s="188" t="s">
        <v>172</v>
      </c>
      <c r="E9" s="180" t="s">
        <v>159</v>
      </c>
      <c r="F9" s="180" t="s">
        <v>160</v>
      </c>
      <c r="G9" s="180" t="s">
        <v>161</v>
      </c>
      <c r="H9" s="180" t="s">
        <v>162</v>
      </c>
      <c r="J9" s="185" t="s">
        <v>249</v>
      </c>
      <c r="K9" s="186">
        <v>5</v>
      </c>
      <c r="L9" s="186"/>
      <c r="M9" s="187"/>
      <c r="N9" s="187" t="s">
        <v>250</v>
      </c>
    </row>
    <row r="10" spans="1:14" ht="14.15" customHeight="1">
      <c r="A10" s="189" t="s">
        <v>264</v>
      </c>
      <c r="B10" s="184">
        <v>0.1</v>
      </c>
      <c r="D10" s="179" t="s">
        <v>173</v>
      </c>
      <c r="E10" s="180" t="s">
        <v>159</v>
      </c>
      <c r="F10" s="180"/>
      <c r="G10" s="180"/>
      <c r="H10" s="180"/>
      <c r="J10" s="185" t="s">
        <v>251</v>
      </c>
      <c r="K10" s="186">
        <v>0.1</v>
      </c>
      <c r="L10" s="186"/>
      <c r="M10" s="187"/>
      <c r="N10" s="187" t="s">
        <v>246</v>
      </c>
    </row>
    <row r="11" spans="1:14" ht="14.15" customHeight="1">
      <c r="A11" s="189" t="s">
        <v>231</v>
      </c>
      <c r="B11" s="184">
        <v>0.1</v>
      </c>
      <c r="D11" s="179" t="s">
        <v>174</v>
      </c>
      <c r="E11" s="180" t="s">
        <v>159</v>
      </c>
      <c r="F11" s="180" t="s">
        <v>160</v>
      </c>
      <c r="G11" s="180"/>
      <c r="H11" s="180"/>
      <c r="J11" s="185" t="s">
        <v>252</v>
      </c>
      <c r="K11" s="186">
        <v>1</v>
      </c>
      <c r="L11" s="186"/>
      <c r="M11" s="187"/>
      <c r="N11" s="187" t="s">
        <v>242</v>
      </c>
    </row>
    <row r="12" spans="1:14" ht="14.15" customHeight="1">
      <c r="A12" s="189" t="s">
        <v>265</v>
      </c>
      <c r="B12" s="184">
        <v>0.5</v>
      </c>
      <c r="D12" s="179" t="s">
        <v>175</v>
      </c>
      <c r="E12" s="180" t="s">
        <v>159</v>
      </c>
      <c r="F12" s="180"/>
      <c r="G12" s="180"/>
      <c r="H12" s="180" t="s">
        <v>162</v>
      </c>
      <c r="J12" s="185" t="s">
        <v>256</v>
      </c>
      <c r="K12" s="186">
        <v>0.04</v>
      </c>
      <c r="L12" s="186"/>
      <c r="M12" s="187"/>
      <c r="N12" s="187" t="s">
        <v>257</v>
      </c>
    </row>
    <row r="13" spans="1:14" ht="14.15" customHeight="1">
      <c r="A13" s="188" t="s">
        <v>266</v>
      </c>
      <c r="B13" s="184">
        <v>1</v>
      </c>
      <c r="D13" s="179" t="s">
        <v>176</v>
      </c>
      <c r="E13" s="180"/>
      <c r="F13" s="180"/>
      <c r="G13" s="180"/>
      <c r="H13" s="180" t="s">
        <v>162</v>
      </c>
      <c r="J13" s="185" t="s">
        <v>258</v>
      </c>
      <c r="K13" s="186">
        <v>0.08</v>
      </c>
      <c r="L13" s="186"/>
      <c r="M13" s="187"/>
      <c r="N13" s="187" t="s">
        <v>259</v>
      </c>
    </row>
    <row r="14" spans="1:14" ht="14.15" customHeight="1">
      <c r="A14" s="188" t="s">
        <v>267</v>
      </c>
      <c r="B14" s="184">
        <v>0.3</v>
      </c>
      <c r="D14" s="179" t="s">
        <v>177</v>
      </c>
      <c r="E14" s="180"/>
      <c r="F14" s="180"/>
      <c r="G14" s="180"/>
      <c r="H14" s="180" t="s">
        <v>162</v>
      </c>
      <c r="J14" s="185" t="s">
        <v>232</v>
      </c>
      <c r="K14" s="186">
        <v>0.6</v>
      </c>
      <c r="L14" s="186"/>
      <c r="M14" s="187"/>
      <c r="N14" s="187" t="s">
        <v>271</v>
      </c>
    </row>
    <row r="15" spans="1:14" ht="14.15" customHeight="1">
      <c r="A15" s="179" t="s">
        <v>268</v>
      </c>
      <c r="B15" s="184">
        <v>1</v>
      </c>
      <c r="D15" s="188" t="s">
        <v>178</v>
      </c>
      <c r="E15" s="180"/>
      <c r="F15" s="180"/>
      <c r="G15" s="180"/>
      <c r="H15" s="180" t="s">
        <v>162</v>
      </c>
      <c r="J15" s="185" t="s">
        <v>273</v>
      </c>
      <c r="K15" s="186">
        <v>0.2</v>
      </c>
      <c r="L15" s="186"/>
      <c r="M15" s="187"/>
      <c r="N15" s="187" t="s">
        <v>274</v>
      </c>
    </row>
    <row r="16" spans="1:14" ht="18">
      <c r="A16" s="179" t="s">
        <v>269</v>
      </c>
      <c r="B16" s="184">
        <v>1</v>
      </c>
      <c r="D16" s="179" t="s">
        <v>179</v>
      </c>
      <c r="E16" s="180"/>
      <c r="F16" s="180"/>
      <c r="G16" s="180" t="s">
        <v>161</v>
      </c>
      <c r="H16" s="180"/>
      <c r="J16" s="185" t="s">
        <v>276</v>
      </c>
      <c r="K16" s="186">
        <v>0.01</v>
      </c>
      <c r="L16" s="186"/>
      <c r="M16" s="187"/>
      <c r="N16" s="187" t="s">
        <v>277</v>
      </c>
    </row>
    <row r="17" spans="1:14" ht="14.15" customHeight="1">
      <c r="A17" s="179" t="s">
        <v>270</v>
      </c>
      <c r="B17" s="184">
        <v>0.3</v>
      </c>
      <c r="D17" s="179" t="s">
        <v>180</v>
      </c>
      <c r="E17" s="180" t="s">
        <v>159</v>
      </c>
      <c r="F17" s="180" t="s">
        <v>160</v>
      </c>
      <c r="G17" s="180" t="s">
        <v>161</v>
      </c>
      <c r="H17" s="180"/>
      <c r="J17" s="185" t="s">
        <v>233</v>
      </c>
      <c r="K17" s="186">
        <v>0.6</v>
      </c>
      <c r="L17" s="186"/>
      <c r="M17" s="187"/>
      <c r="N17" s="187" t="s">
        <v>234</v>
      </c>
    </row>
    <row r="18" spans="1:14" ht="14.15" customHeight="1">
      <c r="A18" s="179" t="s">
        <v>272</v>
      </c>
      <c r="B18" s="184">
        <v>0.25</v>
      </c>
      <c r="D18" s="179" t="s">
        <v>181</v>
      </c>
      <c r="E18" s="180" t="s">
        <v>159</v>
      </c>
      <c r="F18" s="180" t="s">
        <v>160</v>
      </c>
      <c r="G18" s="180" t="s">
        <v>161</v>
      </c>
      <c r="H18" s="180" t="s">
        <v>162</v>
      </c>
      <c r="J18" s="185" t="s">
        <v>229</v>
      </c>
      <c r="K18" s="186">
        <v>0.6</v>
      </c>
      <c r="L18" s="186"/>
      <c r="M18" s="187"/>
      <c r="N18" s="187" t="s">
        <v>230</v>
      </c>
    </row>
    <row r="19" spans="1:14" ht="14.15" customHeight="1">
      <c r="A19" s="189" t="s">
        <v>275</v>
      </c>
      <c r="B19" s="184">
        <v>1</v>
      </c>
      <c r="D19" s="179" t="s">
        <v>182</v>
      </c>
      <c r="E19" s="180"/>
      <c r="F19" s="180"/>
      <c r="G19" s="180"/>
      <c r="H19" s="180" t="s">
        <v>162</v>
      </c>
      <c r="J19" s="185" t="s">
        <v>283</v>
      </c>
      <c r="K19" s="186">
        <v>0.04</v>
      </c>
      <c r="L19" s="186"/>
      <c r="M19" s="187"/>
      <c r="N19" s="187" t="s">
        <v>284</v>
      </c>
    </row>
    <row r="20" spans="1:14" ht="14.15" customHeight="1">
      <c r="A20" s="189" t="s">
        <v>278</v>
      </c>
      <c r="B20" s="184">
        <v>1</v>
      </c>
      <c r="D20" s="179" t="s">
        <v>183</v>
      </c>
      <c r="E20" s="180"/>
      <c r="F20" s="180"/>
      <c r="G20" s="180" t="s">
        <v>161</v>
      </c>
      <c r="H20" s="180"/>
      <c r="J20" s="185" t="s">
        <v>286</v>
      </c>
      <c r="K20" s="186">
        <v>0.1</v>
      </c>
      <c r="L20" s="186"/>
      <c r="M20" s="187"/>
      <c r="N20" s="187" t="s">
        <v>287</v>
      </c>
    </row>
    <row r="21" spans="1:14" ht="14.15" customHeight="1">
      <c r="A21" s="188" t="s">
        <v>279</v>
      </c>
      <c r="B21" s="184">
        <v>0.3</v>
      </c>
      <c r="D21" s="179" t="s">
        <v>184</v>
      </c>
      <c r="E21" s="180" t="s">
        <v>159</v>
      </c>
      <c r="F21" s="180" t="s">
        <v>160</v>
      </c>
      <c r="G21" s="180" t="s">
        <v>161</v>
      </c>
      <c r="H21" s="180" t="s">
        <v>162</v>
      </c>
      <c r="J21" s="185" t="s">
        <v>288</v>
      </c>
      <c r="K21" s="186">
        <v>0.01</v>
      </c>
      <c r="L21" s="186"/>
      <c r="M21" s="187"/>
      <c r="N21" s="187" t="s">
        <v>274</v>
      </c>
    </row>
    <row r="22" spans="1:14" ht="14.15" customHeight="1">
      <c r="A22" s="188" t="s">
        <v>280</v>
      </c>
      <c r="B22" s="184">
        <v>0.3</v>
      </c>
      <c r="D22" s="179" t="s">
        <v>185</v>
      </c>
      <c r="E22" s="180" t="s">
        <v>159</v>
      </c>
      <c r="F22" s="180" t="s">
        <v>160</v>
      </c>
      <c r="G22" s="180" t="s">
        <v>161</v>
      </c>
      <c r="H22" s="180" t="s">
        <v>162</v>
      </c>
      <c r="J22" s="185" t="s">
        <v>289</v>
      </c>
      <c r="K22" s="186">
        <v>0.05</v>
      </c>
      <c r="L22" s="186"/>
      <c r="M22" s="187"/>
      <c r="N22" s="187" t="s">
        <v>274</v>
      </c>
    </row>
    <row r="23" spans="1:14" ht="14.15" customHeight="1">
      <c r="A23" s="188" t="s">
        <v>265</v>
      </c>
      <c r="B23" s="184">
        <v>0.75</v>
      </c>
      <c r="D23" s="179" t="s">
        <v>186</v>
      </c>
      <c r="E23" s="180" t="s">
        <v>159</v>
      </c>
      <c r="F23" s="180" t="s">
        <v>160</v>
      </c>
      <c r="G23" s="180" t="s">
        <v>161</v>
      </c>
      <c r="H23" s="180" t="s">
        <v>162</v>
      </c>
      <c r="J23" s="185" t="s">
        <v>290</v>
      </c>
      <c r="K23" s="186">
        <v>0.1</v>
      </c>
      <c r="L23" s="186"/>
      <c r="M23" s="187"/>
      <c r="N23" s="187" t="s">
        <v>274</v>
      </c>
    </row>
    <row r="24" spans="1:14" ht="14.15" customHeight="1">
      <c r="A24" s="188" t="s">
        <v>275</v>
      </c>
      <c r="B24" s="184">
        <v>0.6</v>
      </c>
      <c r="D24" s="179" t="s">
        <v>187</v>
      </c>
      <c r="E24" s="180" t="s">
        <v>159</v>
      </c>
      <c r="F24" s="180" t="s">
        <v>160</v>
      </c>
      <c r="G24" s="180" t="s">
        <v>161</v>
      </c>
      <c r="H24" s="180" t="s">
        <v>162</v>
      </c>
      <c r="J24" s="185" t="s">
        <v>291</v>
      </c>
      <c r="K24" s="186">
        <v>0.25</v>
      </c>
      <c r="L24" s="186"/>
      <c r="M24" s="187"/>
      <c r="N24" s="187" t="s">
        <v>274</v>
      </c>
    </row>
    <row r="25" spans="1:14" ht="14.15" customHeight="1">
      <c r="A25" s="188" t="s">
        <v>265</v>
      </c>
      <c r="B25" s="184">
        <v>0.9</v>
      </c>
      <c r="D25" s="179" t="s">
        <v>188</v>
      </c>
      <c r="E25" s="180" t="s">
        <v>159</v>
      </c>
      <c r="F25" s="180" t="s">
        <v>160</v>
      </c>
      <c r="G25" s="180"/>
      <c r="H25" s="180"/>
      <c r="J25" s="185" t="s">
        <v>292</v>
      </c>
      <c r="K25" s="186">
        <v>0.15</v>
      </c>
      <c r="L25" s="186"/>
      <c r="M25" s="187"/>
      <c r="N25" s="187" t="s">
        <v>274</v>
      </c>
    </row>
    <row r="26" spans="1:14" ht="14.15" customHeight="1">
      <c r="A26" s="188" t="s">
        <v>281</v>
      </c>
      <c r="B26" s="184">
        <v>0.1</v>
      </c>
      <c r="D26" s="179" t="s">
        <v>189</v>
      </c>
      <c r="E26" s="180" t="s">
        <v>159</v>
      </c>
      <c r="F26" s="180" t="s">
        <v>160</v>
      </c>
      <c r="G26" s="180" t="s">
        <v>161</v>
      </c>
      <c r="H26" s="180" t="s">
        <v>162</v>
      </c>
      <c r="J26" s="185" t="s">
        <v>293</v>
      </c>
      <c r="K26" s="186">
        <v>2</v>
      </c>
      <c r="L26" s="186"/>
      <c r="M26" s="187"/>
      <c r="N26" s="187" t="s">
        <v>294</v>
      </c>
    </row>
    <row r="27" spans="1:14" ht="14.15" customHeight="1">
      <c r="A27" s="188" t="s">
        <v>282</v>
      </c>
      <c r="B27" s="184">
        <v>1</v>
      </c>
      <c r="D27" s="179" t="s">
        <v>190</v>
      </c>
      <c r="E27" s="180" t="s">
        <v>159</v>
      </c>
      <c r="F27" s="180" t="s">
        <v>160</v>
      </c>
      <c r="G27" s="180" t="s">
        <v>161</v>
      </c>
      <c r="H27" s="180" t="s">
        <v>162</v>
      </c>
      <c r="J27" s="185" t="s">
        <v>295</v>
      </c>
      <c r="K27" s="186">
        <v>0.05</v>
      </c>
      <c r="L27" s="186"/>
      <c r="M27" s="187"/>
      <c r="N27" s="187" t="s">
        <v>296</v>
      </c>
    </row>
    <row r="28" spans="1:14" ht="14.15" customHeight="1">
      <c r="A28" s="188" t="s">
        <v>285</v>
      </c>
      <c r="B28" s="184">
        <v>0.6</v>
      </c>
      <c r="D28" s="179" t="s">
        <v>191</v>
      </c>
      <c r="E28" s="180" t="s">
        <v>159</v>
      </c>
      <c r="F28" s="180" t="s">
        <v>160</v>
      </c>
      <c r="G28" s="180" t="s">
        <v>161</v>
      </c>
      <c r="H28" s="180" t="s">
        <v>162</v>
      </c>
      <c r="J28" s="185" t="s">
        <v>297</v>
      </c>
      <c r="K28" s="186">
        <v>0.01</v>
      </c>
      <c r="L28" s="186"/>
      <c r="M28" s="187"/>
      <c r="N28" s="187" t="s">
        <v>250</v>
      </c>
    </row>
    <row r="29" spans="1:14" ht="14.15" customHeight="1">
      <c r="A29" s="188" t="s">
        <v>303</v>
      </c>
      <c r="B29" s="184">
        <v>0.2</v>
      </c>
      <c r="D29" s="179" t="s">
        <v>192</v>
      </c>
      <c r="E29" s="180" t="s">
        <v>159</v>
      </c>
      <c r="F29" s="180" t="s">
        <v>160</v>
      </c>
      <c r="G29" s="180" t="s">
        <v>161</v>
      </c>
      <c r="H29" s="180" t="s">
        <v>162</v>
      </c>
      <c r="J29" s="185" t="s">
        <v>298</v>
      </c>
      <c r="K29" s="186">
        <v>0.15</v>
      </c>
      <c r="L29" s="186"/>
      <c r="M29" s="187"/>
      <c r="N29" s="187" t="s">
        <v>246</v>
      </c>
    </row>
    <row r="30" spans="1:14" ht="14.15" customHeight="1">
      <c r="A30" s="188" t="s">
        <v>304</v>
      </c>
      <c r="B30" s="184">
        <v>0.15</v>
      </c>
      <c r="D30" s="179" t="s">
        <v>193</v>
      </c>
      <c r="E30" s="180" t="s">
        <v>159</v>
      </c>
      <c r="F30" s="180" t="s">
        <v>160</v>
      </c>
      <c r="G30" s="180" t="s">
        <v>161</v>
      </c>
      <c r="H30" s="180" t="s">
        <v>162</v>
      </c>
      <c r="J30" s="185" t="s">
        <v>299</v>
      </c>
      <c r="K30" s="186">
        <v>0.3</v>
      </c>
      <c r="L30" s="186"/>
      <c r="M30" s="187"/>
      <c r="N30" s="187" t="s">
        <v>246</v>
      </c>
    </row>
    <row r="31" spans="1:14" ht="14.15" customHeight="1">
      <c r="A31" s="188" t="s">
        <v>305</v>
      </c>
      <c r="B31" s="184">
        <v>0.1</v>
      </c>
      <c r="D31" s="179" t="s">
        <v>194</v>
      </c>
      <c r="E31" s="180" t="s">
        <v>159</v>
      </c>
      <c r="F31" s="180" t="s">
        <v>160</v>
      </c>
      <c r="G31" s="180" t="s">
        <v>161</v>
      </c>
      <c r="H31" s="180" t="s">
        <v>162</v>
      </c>
      <c r="J31" s="185" t="s">
        <v>300</v>
      </c>
      <c r="K31" s="186">
        <v>0.2</v>
      </c>
      <c r="L31" s="186"/>
      <c r="M31" s="187"/>
      <c r="N31" s="187" t="s">
        <v>246</v>
      </c>
    </row>
    <row r="32" spans="1:14" ht="14.15" customHeight="1">
      <c r="A32" s="188"/>
      <c r="B32" s="184"/>
      <c r="D32" s="179" t="s">
        <v>195</v>
      </c>
      <c r="E32" s="180" t="s">
        <v>159</v>
      </c>
      <c r="F32" s="180" t="s">
        <v>160</v>
      </c>
      <c r="G32" s="180" t="s">
        <v>161</v>
      </c>
      <c r="H32" s="180" t="s">
        <v>162</v>
      </c>
      <c r="J32" s="185" t="s">
        <v>301</v>
      </c>
      <c r="K32" s="186">
        <v>0.25</v>
      </c>
      <c r="L32" s="186"/>
      <c r="M32" s="187"/>
      <c r="N32" s="187" t="s">
        <v>246</v>
      </c>
    </row>
    <row r="33" spans="1:14" ht="14.15" customHeight="1">
      <c r="A33" s="188"/>
      <c r="B33" s="184"/>
      <c r="D33" s="179" t="s">
        <v>196</v>
      </c>
      <c r="E33" s="180" t="s">
        <v>159</v>
      </c>
      <c r="F33" s="180" t="s">
        <v>160</v>
      </c>
      <c r="G33" s="180" t="s">
        <v>161</v>
      </c>
      <c r="H33" s="180" t="s">
        <v>162</v>
      </c>
      <c r="J33" s="185" t="s">
        <v>302</v>
      </c>
      <c r="K33" s="186">
        <v>0.2</v>
      </c>
      <c r="L33" s="186"/>
      <c r="M33" s="187"/>
      <c r="N33" s="187" t="s">
        <v>244</v>
      </c>
    </row>
    <row r="34" spans="1:14" ht="14.15" customHeight="1">
      <c r="A34" s="188"/>
      <c r="B34" s="184"/>
      <c r="D34" s="179" t="s">
        <v>197</v>
      </c>
      <c r="E34" s="180" t="s">
        <v>159</v>
      </c>
      <c r="F34" s="180" t="s">
        <v>160</v>
      </c>
      <c r="G34" s="180" t="s">
        <v>161</v>
      </c>
      <c r="H34" s="180" t="s">
        <v>162</v>
      </c>
      <c r="J34" s="185"/>
      <c r="K34" s="186"/>
      <c r="L34" s="186"/>
      <c r="M34" s="187"/>
      <c r="N34" s="187"/>
    </row>
    <row r="35" spans="1:14" ht="14.15" customHeight="1">
      <c r="A35" s="188"/>
      <c r="B35" s="184"/>
      <c r="D35" s="179" t="s">
        <v>198</v>
      </c>
      <c r="E35" s="180" t="s">
        <v>159</v>
      </c>
      <c r="F35" s="180" t="s">
        <v>160</v>
      </c>
      <c r="G35" s="180" t="s">
        <v>161</v>
      </c>
      <c r="H35" s="180" t="s">
        <v>162</v>
      </c>
      <c r="J35" s="185"/>
      <c r="K35" s="186"/>
      <c r="L35" s="186"/>
      <c r="M35" s="187"/>
      <c r="N35" s="187"/>
    </row>
    <row r="36" spans="1:14" ht="14.15" customHeight="1">
      <c r="A36" s="188"/>
      <c r="B36" s="184"/>
      <c r="D36" s="179" t="s">
        <v>199</v>
      </c>
      <c r="E36" s="180" t="s">
        <v>159</v>
      </c>
      <c r="F36" s="180" t="s">
        <v>160</v>
      </c>
      <c r="G36" s="180" t="s">
        <v>161</v>
      </c>
      <c r="H36" s="180" t="s">
        <v>162</v>
      </c>
      <c r="J36" s="185"/>
      <c r="K36" s="186"/>
      <c r="L36" s="186"/>
      <c r="M36" s="187"/>
      <c r="N36" s="187"/>
    </row>
    <row r="37" spans="1:14" ht="14.15" customHeight="1">
      <c r="A37" s="188"/>
      <c r="B37" s="184"/>
      <c r="D37" s="179" t="s">
        <v>200</v>
      </c>
      <c r="E37" s="180" t="s">
        <v>159</v>
      </c>
      <c r="F37" s="180" t="s">
        <v>160</v>
      </c>
      <c r="G37" s="180" t="s">
        <v>161</v>
      </c>
      <c r="H37" s="180" t="s">
        <v>162</v>
      </c>
      <c r="J37" s="185"/>
      <c r="K37" s="186"/>
      <c r="L37" s="186"/>
      <c r="M37" s="187"/>
      <c r="N37" s="187"/>
    </row>
    <row r="38" spans="1:14" ht="14.15" customHeight="1">
      <c r="A38" s="188"/>
      <c r="B38" s="184"/>
      <c r="D38" s="179" t="s">
        <v>201</v>
      </c>
      <c r="E38" s="180" t="s">
        <v>159</v>
      </c>
      <c r="F38" s="180" t="s">
        <v>160</v>
      </c>
      <c r="G38" s="180" t="s">
        <v>161</v>
      </c>
      <c r="H38" s="180" t="s">
        <v>162</v>
      </c>
      <c r="J38" s="185"/>
      <c r="K38" s="186"/>
      <c r="L38" s="186"/>
      <c r="M38" s="187"/>
      <c r="N38" s="187"/>
    </row>
    <row r="39" spans="1:14" ht="14.15" customHeight="1">
      <c r="A39" s="188"/>
      <c r="B39" s="184"/>
      <c r="D39" s="179" t="s">
        <v>202</v>
      </c>
      <c r="E39" s="180" t="s">
        <v>159</v>
      </c>
      <c r="F39" s="180" t="s">
        <v>160</v>
      </c>
      <c r="G39" s="180" t="s">
        <v>161</v>
      </c>
      <c r="H39" s="180" t="s">
        <v>162</v>
      </c>
      <c r="J39" s="185"/>
      <c r="K39" s="186"/>
      <c r="L39" s="186"/>
      <c r="M39" s="187"/>
      <c r="N39" s="187"/>
    </row>
    <row r="40" spans="1:14" ht="14.15" customHeight="1">
      <c r="A40" s="189"/>
      <c r="B40" s="189"/>
      <c r="D40" s="179" t="s">
        <v>203</v>
      </c>
      <c r="E40" s="180" t="s">
        <v>159</v>
      </c>
      <c r="F40" s="180" t="s">
        <v>160</v>
      </c>
      <c r="G40" s="180" t="s">
        <v>161</v>
      </c>
      <c r="H40" s="180" t="s">
        <v>162</v>
      </c>
      <c r="J40" s="185"/>
      <c r="K40" s="186"/>
      <c r="L40" s="186"/>
      <c r="M40" s="187"/>
      <c r="N40" s="187"/>
    </row>
    <row r="41" spans="1:14" ht="14.15" customHeight="1">
      <c r="A41" s="189"/>
      <c r="B41" s="189"/>
      <c r="D41" s="179" t="s">
        <v>204</v>
      </c>
      <c r="E41" s="180" t="s">
        <v>159</v>
      </c>
      <c r="F41" s="180" t="s">
        <v>160</v>
      </c>
      <c r="G41" s="180" t="s">
        <v>161</v>
      </c>
      <c r="H41" s="180" t="s">
        <v>162</v>
      </c>
      <c r="J41" s="185"/>
      <c r="K41" s="186"/>
      <c r="L41" s="186"/>
      <c r="M41" s="187"/>
      <c r="N41" s="187"/>
    </row>
    <row r="42" spans="1:14" ht="14.15" customHeight="1">
      <c r="A42" s="189"/>
      <c r="B42" s="189"/>
      <c r="D42" s="179" t="s">
        <v>205</v>
      </c>
      <c r="E42" s="180" t="s">
        <v>159</v>
      </c>
      <c r="F42" s="180" t="s">
        <v>160</v>
      </c>
      <c r="G42" s="180" t="s">
        <v>161</v>
      </c>
      <c r="H42" s="180" t="s">
        <v>162</v>
      </c>
      <c r="J42" s="185"/>
      <c r="K42" s="186"/>
      <c r="L42" s="186"/>
      <c r="M42" s="187"/>
      <c r="N42" s="187"/>
    </row>
    <row r="43" spans="1:14" ht="14.15" customHeight="1">
      <c r="A43" s="189"/>
      <c r="B43" s="189"/>
      <c r="D43" s="179" t="s">
        <v>206</v>
      </c>
      <c r="E43" s="180" t="s">
        <v>159</v>
      </c>
      <c r="F43" s="180" t="s">
        <v>160</v>
      </c>
      <c r="G43" s="180" t="s">
        <v>161</v>
      </c>
      <c r="H43" s="180" t="s">
        <v>162</v>
      </c>
      <c r="J43" s="185"/>
      <c r="K43" s="186"/>
      <c r="L43" s="186"/>
      <c r="M43" s="187"/>
      <c r="N43" s="187"/>
    </row>
    <row r="44" spans="1:14" ht="14.15" customHeight="1">
      <c r="A44" s="189"/>
      <c r="B44" s="189"/>
      <c r="D44" s="179" t="s">
        <v>207</v>
      </c>
      <c r="E44" s="180" t="s">
        <v>159</v>
      </c>
      <c r="F44" s="180" t="s">
        <v>160</v>
      </c>
      <c r="G44" s="180" t="s">
        <v>161</v>
      </c>
      <c r="H44" s="180" t="s">
        <v>162</v>
      </c>
      <c r="J44" s="185"/>
      <c r="K44" s="186"/>
      <c r="L44" s="186"/>
      <c r="M44" s="187"/>
      <c r="N44" s="187"/>
    </row>
    <row r="45" spans="1:14" ht="14.15" customHeight="1">
      <c r="A45" s="189"/>
      <c r="B45" s="189"/>
      <c r="D45" s="179" t="s">
        <v>208</v>
      </c>
      <c r="E45" s="180" t="s">
        <v>159</v>
      </c>
      <c r="F45" s="180" t="s">
        <v>160</v>
      </c>
      <c r="G45" s="180" t="s">
        <v>161</v>
      </c>
      <c r="H45" s="180" t="s">
        <v>162</v>
      </c>
      <c r="J45" s="185"/>
      <c r="K45" s="186"/>
      <c r="L45" s="186"/>
      <c r="M45" s="187"/>
      <c r="N45" s="187"/>
    </row>
    <row r="46" spans="1:14" ht="14.15" customHeight="1">
      <c r="A46" s="189"/>
      <c r="B46" s="189"/>
      <c r="D46" s="179" t="s">
        <v>209</v>
      </c>
      <c r="E46" s="180" t="s">
        <v>159</v>
      </c>
      <c r="F46" s="180" t="s">
        <v>160</v>
      </c>
      <c r="G46" s="180" t="s">
        <v>161</v>
      </c>
      <c r="H46" s="180" t="s">
        <v>162</v>
      </c>
      <c r="J46" s="185"/>
      <c r="K46" s="186"/>
      <c r="L46" s="186"/>
      <c r="M46" s="187"/>
      <c r="N46" s="187"/>
    </row>
    <row r="47" spans="1:14" ht="14.15" customHeight="1">
      <c r="A47" s="189"/>
      <c r="B47" s="189"/>
      <c r="D47" s="179" t="s">
        <v>210</v>
      </c>
      <c r="E47" s="180" t="s">
        <v>159</v>
      </c>
      <c r="F47" s="180" t="s">
        <v>160</v>
      </c>
      <c r="G47" s="180" t="s">
        <v>161</v>
      </c>
      <c r="H47" s="180" t="s">
        <v>162</v>
      </c>
      <c r="J47" s="185"/>
      <c r="K47" s="186"/>
      <c r="L47" s="186"/>
      <c r="M47" s="187"/>
      <c r="N47" s="187"/>
    </row>
    <row r="48" spans="1:14" ht="14.15" customHeight="1">
      <c r="A48" s="189"/>
      <c r="B48" s="189"/>
      <c r="D48" s="179" t="s">
        <v>211</v>
      </c>
      <c r="E48" s="180" t="s">
        <v>159</v>
      </c>
      <c r="F48" s="180" t="s">
        <v>160</v>
      </c>
      <c r="G48" s="180" t="s">
        <v>161</v>
      </c>
      <c r="H48" s="180" t="s">
        <v>162</v>
      </c>
      <c r="J48" s="185"/>
      <c r="K48" s="186"/>
      <c r="L48" s="186"/>
      <c r="M48" s="187"/>
      <c r="N48" s="187"/>
    </row>
    <row r="49" spans="1:14" ht="14.15" customHeight="1">
      <c r="A49" s="189"/>
      <c r="B49" s="189"/>
      <c r="D49" s="179" t="s">
        <v>212</v>
      </c>
      <c r="E49" s="180" t="s">
        <v>159</v>
      </c>
      <c r="F49" s="180" t="s">
        <v>160</v>
      </c>
      <c r="G49" s="180" t="s">
        <v>161</v>
      </c>
      <c r="H49" s="180" t="s">
        <v>162</v>
      </c>
      <c r="J49" s="185"/>
      <c r="K49" s="186"/>
      <c r="L49" s="186"/>
      <c r="M49" s="187"/>
      <c r="N49" s="187"/>
    </row>
    <row r="50" spans="1:14" ht="14.15" customHeight="1">
      <c r="A50" s="189"/>
      <c r="B50" s="189"/>
      <c r="D50" s="179" t="s">
        <v>213</v>
      </c>
      <c r="E50" s="180" t="s">
        <v>159</v>
      </c>
      <c r="F50" s="180" t="s">
        <v>160</v>
      </c>
      <c r="G50" s="180" t="s">
        <v>161</v>
      </c>
      <c r="H50" s="180" t="s">
        <v>162</v>
      </c>
      <c r="J50" s="185"/>
      <c r="K50" s="186"/>
      <c r="L50" s="186"/>
      <c r="M50" s="187"/>
      <c r="N50" s="187"/>
    </row>
    <row r="51" spans="1:14" ht="14.15" customHeight="1">
      <c r="A51" s="189"/>
      <c r="B51" s="189"/>
      <c r="D51" s="179" t="s">
        <v>214</v>
      </c>
      <c r="E51" s="180" t="s">
        <v>159</v>
      </c>
      <c r="F51" s="180" t="s">
        <v>160</v>
      </c>
      <c r="G51" s="180" t="s">
        <v>161</v>
      </c>
      <c r="H51" s="180" t="s">
        <v>162</v>
      </c>
      <c r="J51" s="185"/>
      <c r="K51" s="186"/>
      <c r="L51" s="186"/>
      <c r="M51" s="187"/>
      <c r="N51" s="187"/>
    </row>
    <row r="52" spans="1:14" ht="14.15" customHeight="1">
      <c r="A52" s="189"/>
      <c r="B52" s="189"/>
      <c r="D52" s="179" t="s">
        <v>215</v>
      </c>
      <c r="E52" s="180" t="s">
        <v>159</v>
      </c>
      <c r="F52" s="180" t="s">
        <v>160</v>
      </c>
      <c r="G52" s="180" t="s">
        <v>161</v>
      </c>
      <c r="H52" s="180" t="s">
        <v>162</v>
      </c>
      <c r="J52" s="185"/>
      <c r="K52" s="186"/>
      <c r="L52" s="186"/>
      <c r="M52" s="187"/>
      <c r="N52" s="187"/>
    </row>
    <row r="53" spans="1:14" ht="14.15" customHeight="1">
      <c r="A53" s="189"/>
      <c r="B53" s="189"/>
      <c r="D53" s="179" t="s">
        <v>216</v>
      </c>
      <c r="E53" s="180" t="s">
        <v>159</v>
      </c>
      <c r="F53" s="180" t="s">
        <v>160</v>
      </c>
      <c r="G53" s="180" t="s">
        <v>161</v>
      </c>
      <c r="H53" s="180" t="s">
        <v>162</v>
      </c>
      <c r="J53" s="185"/>
      <c r="K53" s="186"/>
      <c r="L53" s="186"/>
      <c r="M53" s="187"/>
      <c r="N53" s="187"/>
    </row>
    <row r="54" spans="1:14" ht="14.15" customHeight="1">
      <c r="A54" s="189"/>
      <c r="B54" s="189"/>
      <c r="D54" s="164"/>
      <c r="E54" s="164"/>
      <c r="F54" s="164"/>
      <c r="G54" s="164"/>
      <c r="H54" s="164"/>
      <c r="J54" s="185"/>
      <c r="K54" s="186"/>
      <c r="L54" s="186"/>
      <c r="M54" s="187"/>
      <c r="N54" s="187"/>
    </row>
    <row r="55" spans="1:14" ht="14.15" customHeight="1">
      <c r="A55" s="189"/>
      <c r="B55" s="189"/>
      <c r="D55" s="164"/>
      <c r="E55" s="164"/>
      <c r="F55" s="164"/>
      <c r="G55" s="164"/>
      <c r="H55" s="164"/>
      <c r="J55" s="185"/>
      <c r="K55" s="186"/>
      <c r="L55" s="186"/>
      <c r="M55" s="187"/>
      <c r="N55" s="187"/>
    </row>
    <row r="56" spans="1:14" ht="14.15" customHeight="1">
      <c r="A56" s="189"/>
      <c r="B56" s="189"/>
      <c r="D56" s="164"/>
      <c r="E56" s="164"/>
      <c r="F56" s="164"/>
      <c r="G56" s="164"/>
      <c r="H56" s="164"/>
      <c r="J56" s="185"/>
      <c r="K56" s="186"/>
      <c r="L56" s="186"/>
      <c r="M56" s="187"/>
      <c r="N56" s="187"/>
    </row>
    <row r="57" spans="1:14" ht="14.15" customHeight="1">
      <c r="A57" s="189"/>
      <c r="B57" s="189"/>
      <c r="D57" s="164"/>
      <c r="E57" s="164"/>
      <c r="F57" s="164"/>
      <c r="G57" s="164"/>
      <c r="H57" s="164"/>
      <c r="J57" s="185"/>
      <c r="K57" s="186"/>
      <c r="L57" s="186"/>
      <c r="M57" s="187"/>
      <c r="N57" s="187"/>
    </row>
    <row r="58" spans="1:14" ht="14.15" customHeight="1">
      <c r="A58" s="189"/>
      <c r="B58" s="189"/>
      <c r="D58" s="164"/>
      <c r="E58" s="164"/>
      <c r="F58" s="164"/>
      <c r="G58" s="164"/>
      <c r="H58" s="164"/>
      <c r="J58" s="185"/>
      <c r="K58" s="186"/>
      <c r="L58" s="186"/>
      <c r="M58" s="187"/>
      <c r="N58" s="187"/>
    </row>
    <row r="59" spans="1:14" ht="14.15" customHeight="1">
      <c r="A59" s="189"/>
      <c r="B59" s="189"/>
      <c r="D59" s="164"/>
      <c r="E59" s="164"/>
      <c r="F59" s="164"/>
      <c r="G59" s="164"/>
      <c r="H59" s="164"/>
      <c r="J59" s="185"/>
      <c r="K59" s="186"/>
      <c r="L59" s="186"/>
      <c r="M59" s="187"/>
      <c r="N59" s="187"/>
    </row>
    <row r="60" spans="1:14" ht="14.15" customHeight="1">
      <c r="A60" s="189"/>
      <c r="B60" s="189"/>
      <c r="D60" s="164"/>
      <c r="E60" s="164"/>
      <c r="F60" s="164"/>
      <c r="G60" s="164"/>
      <c r="H60" s="164"/>
      <c r="J60" s="185"/>
      <c r="K60" s="186"/>
      <c r="L60" s="186"/>
      <c r="M60" s="187"/>
      <c r="N60" s="187"/>
    </row>
    <row r="61" spans="1:14" ht="14.15" customHeight="1">
      <c r="A61" s="189"/>
      <c r="B61" s="189"/>
      <c r="D61" s="164"/>
      <c r="E61" s="164"/>
      <c r="F61" s="164"/>
      <c r="G61" s="164"/>
      <c r="H61" s="164"/>
      <c r="J61" s="185"/>
      <c r="K61" s="186"/>
      <c r="L61" s="186"/>
      <c r="M61" s="187"/>
      <c r="N61" s="187"/>
    </row>
    <row r="62" spans="1:14" ht="14.15" customHeight="1">
      <c r="A62" s="189"/>
      <c r="B62" s="189"/>
      <c r="D62" s="164"/>
      <c r="E62" s="164"/>
      <c r="F62" s="164"/>
      <c r="G62" s="164"/>
      <c r="H62" s="164"/>
      <c r="J62" s="185"/>
      <c r="K62" s="186"/>
      <c r="L62" s="186"/>
      <c r="M62" s="187"/>
      <c r="N62" s="187"/>
    </row>
    <row r="63" spans="1:14" ht="14.15" customHeight="1">
      <c r="A63" s="189"/>
      <c r="B63" s="189"/>
      <c r="D63" s="164"/>
      <c r="E63" s="164"/>
      <c r="F63" s="164"/>
      <c r="G63" s="164"/>
      <c r="H63" s="164"/>
      <c r="J63" s="185"/>
      <c r="K63" s="186"/>
      <c r="L63" s="186"/>
      <c r="M63" s="187"/>
      <c r="N63" s="187"/>
    </row>
    <row r="64" spans="1:14" ht="14.15" customHeight="1">
      <c r="A64" s="189"/>
      <c r="B64" s="189"/>
      <c r="D64" s="164"/>
      <c r="E64" s="164"/>
      <c r="F64" s="164"/>
      <c r="G64" s="164"/>
      <c r="H64" s="164"/>
      <c r="J64" s="185"/>
      <c r="K64" s="186"/>
      <c r="L64" s="186"/>
      <c r="M64" s="187"/>
      <c r="N64" s="187"/>
    </row>
    <row r="65" spans="1:14" ht="14.15" customHeight="1">
      <c r="A65" s="189"/>
      <c r="B65" s="189"/>
      <c r="D65" s="164"/>
      <c r="E65" s="164"/>
      <c r="F65" s="164"/>
      <c r="G65" s="164"/>
      <c r="H65" s="164"/>
      <c r="J65" s="185"/>
      <c r="K65" s="186"/>
      <c r="L65" s="186"/>
      <c r="M65" s="187"/>
      <c r="N65" s="187"/>
    </row>
    <row r="66" spans="1:14" ht="14.15" customHeight="1">
      <c r="A66" s="189"/>
      <c r="B66" s="189"/>
      <c r="D66" s="164"/>
      <c r="E66" s="164"/>
      <c r="F66" s="164"/>
      <c r="G66" s="164"/>
      <c r="H66" s="164"/>
      <c r="J66" s="185"/>
      <c r="K66" s="186"/>
      <c r="L66" s="186"/>
      <c r="M66" s="187"/>
      <c r="N66" s="187"/>
    </row>
    <row r="67" spans="1:14" ht="14.15" customHeight="1">
      <c r="A67" s="189"/>
      <c r="B67" s="189"/>
      <c r="D67" s="164"/>
      <c r="E67" s="164"/>
      <c r="F67" s="164"/>
      <c r="G67" s="164"/>
      <c r="H67" s="164"/>
      <c r="J67" s="185"/>
      <c r="K67" s="186"/>
      <c r="L67" s="186"/>
      <c r="M67" s="187"/>
      <c r="N67" s="187"/>
    </row>
    <row r="68" spans="1:14" ht="14.15" customHeight="1">
      <c r="A68" s="189"/>
      <c r="B68" s="189"/>
      <c r="D68" s="164"/>
      <c r="E68" s="164"/>
      <c r="F68" s="164"/>
      <c r="G68" s="164"/>
      <c r="H68" s="164"/>
      <c r="J68" s="185"/>
      <c r="K68" s="186"/>
      <c r="L68" s="186"/>
      <c r="M68" s="187"/>
      <c r="N68" s="187"/>
    </row>
    <row r="69" spans="1:14" ht="14.15" customHeight="1">
      <c r="A69" s="189"/>
      <c r="B69" s="189"/>
      <c r="D69" s="164"/>
      <c r="E69" s="164"/>
      <c r="F69" s="164"/>
      <c r="G69" s="164"/>
      <c r="H69" s="164"/>
      <c r="J69" s="185"/>
      <c r="K69" s="186"/>
      <c r="L69" s="186"/>
      <c r="M69" s="187"/>
      <c r="N69" s="187"/>
    </row>
    <row r="70" spans="1:14" ht="14.15" customHeight="1">
      <c r="A70" s="189"/>
      <c r="B70" s="189"/>
      <c r="D70" s="164"/>
      <c r="E70" s="164"/>
      <c r="F70" s="164"/>
      <c r="G70" s="164"/>
      <c r="H70" s="164"/>
      <c r="J70" s="185"/>
      <c r="K70" s="186"/>
      <c r="L70" s="186"/>
      <c r="M70" s="187"/>
      <c r="N70" s="187"/>
    </row>
    <row r="71" spans="1:14" ht="14.15" customHeight="1">
      <c r="A71" s="189"/>
      <c r="B71" s="189"/>
      <c r="D71" s="164"/>
      <c r="E71" s="164"/>
      <c r="F71" s="164"/>
      <c r="G71" s="164"/>
      <c r="H71" s="164"/>
      <c r="J71" s="185"/>
      <c r="K71" s="186"/>
      <c r="L71" s="186"/>
      <c r="M71" s="187"/>
      <c r="N71" s="187"/>
    </row>
    <row r="72" spans="1:14" ht="14.15" customHeight="1">
      <c r="A72" s="189"/>
      <c r="B72" s="189"/>
      <c r="D72" s="164"/>
      <c r="E72" s="164"/>
      <c r="F72" s="164"/>
      <c r="G72" s="164"/>
      <c r="H72" s="164"/>
      <c r="J72" s="185"/>
      <c r="K72" s="186"/>
      <c r="L72" s="186"/>
      <c r="M72" s="187"/>
      <c r="N72" s="187"/>
    </row>
    <row r="73" spans="1:14" ht="14.15" customHeight="1">
      <c r="A73" s="189"/>
      <c r="B73" s="189"/>
      <c r="D73" s="164"/>
      <c r="E73" s="164"/>
      <c r="F73" s="164"/>
      <c r="G73" s="164"/>
      <c r="H73" s="164"/>
      <c r="J73" s="185"/>
      <c r="K73" s="186"/>
      <c r="L73" s="186"/>
      <c r="M73" s="187"/>
      <c r="N73" s="187"/>
    </row>
    <row r="74" spans="1:14" ht="14.15" customHeight="1">
      <c r="A74" s="189"/>
      <c r="B74" s="189"/>
      <c r="D74" s="164"/>
      <c r="E74" s="164"/>
      <c r="F74" s="164"/>
      <c r="G74" s="164"/>
      <c r="H74" s="164"/>
      <c r="J74" s="185"/>
      <c r="K74" s="186"/>
      <c r="L74" s="186"/>
      <c r="M74" s="187"/>
      <c r="N74" s="187"/>
    </row>
    <row r="75" spans="1:14" ht="14.15" customHeight="1">
      <c r="A75" s="189"/>
      <c r="B75" s="189"/>
      <c r="D75" s="164"/>
      <c r="E75" s="164"/>
      <c r="F75" s="164"/>
      <c r="G75" s="164"/>
      <c r="H75" s="164"/>
      <c r="J75" s="185"/>
      <c r="K75" s="186"/>
      <c r="L75" s="186"/>
      <c r="M75" s="187"/>
      <c r="N75" s="187"/>
    </row>
    <row r="76" spans="1:14" ht="14.15" customHeight="1">
      <c r="A76" s="189"/>
      <c r="B76" s="189"/>
      <c r="D76" s="164"/>
      <c r="E76" s="164"/>
      <c r="F76" s="164"/>
      <c r="G76" s="164"/>
      <c r="H76" s="164"/>
      <c r="J76" s="185"/>
      <c r="K76" s="186"/>
      <c r="L76" s="186"/>
      <c r="M76" s="187"/>
      <c r="N76" s="187"/>
    </row>
    <row r="77" spans="1:14" ht="14.15" customHeight="1">
      <c r="A77" s="189"/>
      <c r="B77" s="189"/>
      <c r="D77" s="164"/>
      <c r="E77" s="164"/>
      <c r="F77" s="164"/>
      <c r="G77" s="164"/>
      <c r="H77" s="164"/>
      <c r="J77" s="185"/>
      <c r="K77" s="186"/>
      <c r="L77" s="186"/>
      <c r="M77" s="187"/>
      <c r="N77" s="187"/>
    </row>
    <row r="78" spans="1:14" ht="14.15" customHeight="1">
      <c r="A78" s="189"/>
      <c r="B78" s="189"/>
      <c r="D78" s="164"/>
      <c r="E78" s="164"/>
      <c r="F78" s="164"/>
      <c r="G78" s="164"/>
      <c r="H78" s="164"/>
      <c r="J78" s="185"/>
      <c r="K78" s="186"/>
      <c r="L78" s="186"/>
      <c r="M78" s="187"/>
      <c r="N78" s="187"/>
    </row>
    <row r="79" spans="1:14" ht="14.15" customHeight="1">
      <c r="A79" s="189"/>
      <c r="B79" s="189"/>
      <c r="D79" s="164"/>
      <c r="E79" s="164"/>
      <c r="F79" s="164"/>
      <c r="G79" s="164"/>
      <c r="H79" s="164"/>
      <c r="J79" s="185"/>
      <c r="K79" s="186"/>
      <c r="L79" s="186"/>
      <c r="M79" s="187"/>
      <c r="N79" s="187"/>
    </row>
    <row r="80" spans="1:14" ht="14.15" customHeight="1">
      <c r="A80" s="189"/>
      <c r="B80" s="189"/>
      <c r="D80" s="164"/>
      <c r="E80" s="164"/>
      <c r="F80" s="164"/>
      <c r="G80" s="164"/>
      <c r="H80" s="164"/>
      <c r="J80" s="185"/>
      <c r="K80" s="186"/>
      <c r="L80" s="186"/>
      <c r="M80" s="187"/>
      <c r="N80" s="187"/>
    </row>
    <row r="81" spans="1:14" ht="14.15" customHeight="1">
      <c r="A81" s="189"/>
      <c r="B81" s="189"/>
      <c r="D81" s="164"/>
      <c r="E81" s="164"/>
      <c r="F81" s="164"/>
      <c r="G81" s="164"/>
      <c r="H81" s="164"/>
      <c r="J81" s="185"/>
      <c r="K81" s="186"/>
      <c r="L81" s="186"/>
      <c r="M81" s="187"/>
      <c r="N81" s="187"/>
    </row>
    <row r="82" spans="1:14" ht="14.15" customHeight="1">
      <c r="A82" s="189"/>
      <c r="B82" s="189"/>
      <c r="D82" s="164"/>
      <c r="E82" s="164"/>
      <c r="F82" s="164"/>
      <c r="G82" s="164"/>
      <c r="H82" s="164"/>
      <c r="J82" s="185"/>
      <c r="K82" s="186"/>
      <c r="L82" s="186"/>
      <c r="M82" s="187"/>
      <c r="N82" s="187"/>
    </row>
    <row r="83" spans="1:14" ht="14.15" customHeight="1">
      <c r="A83" s="189"/>
      <c r="B83" s="189"/>
      <c r="D83" s="164"/>
      <c r="E83" s="164"/>
      <c r="F83" s="164"/>
      <c r="G83" s="164"/>
      <c r="H83" s="164"/>
      <c r="J83" s="185"/>
      <c r="K83" s="186"/>
      <c r="L83" s="186"/>
      <c r="M83" s="187"/>
      <c r="N83" s="187"/>
    </row>
    <row r="84" spans="1:14" ht="14.15" customHeight="1">
      <c r="A84" s="189"/>
      <c r="B84" s="189"/>
      <c r="D84" s="164"/>
      <c r="E84" s="164"/>
      <c r="F84" s="164"/>
      <c r="G84" s="164"/>
      <c r="H84" s="164"/>
      <c r="J84" s="185"/>
      <c r="K84" s="186"/>
      <c r="L84" s="186"/>
      <c r="M84" s="187"/>
      <c r="N84" s="187"/>
    </row>
    <row r="85" spans="1:14" ht="14.15" customHeight="1">
      <c r="A85" s="189"/>
      <c r="B85" s="189"/>
      <c r="D85" s="164"/>
      <c r="E85" s="164"/>
      <c r="F85" s="164"/>
      <c r="G85" s="164"/>
      <c r="H85" s="164"/>
      <c r="J85" s="185"/>
      <c r="K85" s="186"/>
      <c r="L85" s="186"/>
      <c r="M85" s="187"/>
      <c r="N85" s="187"/>
    </row>
    <row r="86" spans="1:14" ht="14.15" customHeight="1">
      <c r="A86" s="189"/>
      <c r="B86" s="189"/>
      <c r="D86" s="164"/>
      <c r="E86" s="164"/>
      <c r="F86" s="164"/>
      <c r="G86" s="164"/>
      <c r="H86" s="164"/>
      <c r="J86" s="185"/>
      <c r="K86" s="186"/>
      <c r="L86" s="186"/>
      <c r="M86" s="187"/>
      <c r="N86" s="187"/>
    </row>
    <row r="87" spans="1:14" ht="14.15" customHeight="1">
      <c r="A87" s="189"/>
      <c r="B87" s="189"/>
      <c r="D87" s="164"/>
      <c r="E87" s="164"/>
      <c r="F87" s="164"/>
      <c r="G87" s="164"/>
      <c r="H87" s="164"/>
      <c r="J87" s="185"/>
      <c r="K87" s="186"/>
      <c r="L87" s="186"/>
      <c r="M87" s="187"/>
      <c r="N87" s="187"/>
    </row>
    <row r="88" spans="1:14" ht="14.15" customHeight="1">
      <c r="A88" s="189"/>
      <c r="B88" s="189"/>
      <c r="D88" s="164"/>
      <c r="E88" s="164"/>
      <c r="F88" s="164"/>
      <c r="G88" s="164"/>
      <c r="H88" s="164"/>
      <c r="J88" s="185"/>
      <c r="K88" s="186"/>
      <c r="L88" s="186"/>
      <c r="M88" s="187"/>
      <c r="N88" s="187"/>
    </row>
    <row r="89" spans="1:14" ht="14.15" customHeight="1">
      <c r="A89" s="189"/>
      <c r="B89" s="189"/>
      <c r="D89" s="164"/>
      <c r="E89" s="164"/>
      <c r="F89" s="164"/>
      <c r="G89" s="164"/>
      <c r="H89" s="164"/>
      <c r="J89" s="185"/>
      <c r="K89" s="186"/>
      <c r="L89" s="186"/>
      <c r="M89" s="187"/>
      <c r="N89" s="187"/>
    </row>
    <row r="90" spans="1:14" ht="14.15" customHeight="1">
      <c r="A90" s="189"/>
      <c r="B90" s="189"/>
      <c r="D90" s="164"/>
      <c r="E90" s="164"/>
      <c r="F90" s="164"/>
      <c r="G90" s="164"/>
      <c r="H90" s="164"/>
      <c r="J90" s="185"/>
      <c r="K90" s="186"/>
      <c r="L90" s="186"/>
      <c r="M90" s="187"/>
      <c r="N90" s="187"/>
    </row>
    <row r="91" spans="1:14" ht="14.15" customHeight="1">
      <c r="A91" s="189"/>
      <c r="B91" s="189"/>
      <c r="D91" s="164"/>
      <c r="E91" s="164"/>
      <c r="F91" s="164"/>
      <c r="G91" s="164"/>
      <c r="H91" s="164"/>
      <c r="J91" s="185"/>
      <c r="K91" s="186"/>
      <c r="L91" s="186"/>
      <c r="M91" s="187"/>
      <c r="N91" s="187"/>
    </row>
    <row r="92" spans="1:14" ht="14.15" customHeight="1">
      <c r="A92" s="189"/>
      <c r="B92" s="189"/>
      <c r="D92" s="164"/>
      <c r="E92" s="164"/>
      <c r="F92" s="164"/>
      <c r="G92" s="164"/>
      <c r="H92" s="164"/>
      <c r="J92" s="185"/>
      <c r="K92" s="186"/>
      <c r="L92" s="186"/>
      <c r="M92" s="187"/>
      <c r="N92" s="187"/>
    </row>
    <row r="93" spans="1:14" ht="14.15" customHeight="1">
      <c r="A93" s="189"/>
      <c r="B93" s="189"/>
      <c r="D93" s="164"/>
      <c r="E93" s="164"/>
      <c r="F93" s="164"/>
      <c r="G93" s="164"/>
      <c r="H93" s="164"/>
      <c r="J93" s="185"/>
      <c r="K93" s="186"/>
      <c r="L93" s="186"/>
      <c r="M93" s="187"/>
      <c r="N93" s="187"/>
    </row>
    <row r="94" spans="1:14" ht="14.15" customHeight="1">
      <c r="A94" s="189"/>
      <c r="B94" s="189"/>
      <c r="D94" s="164"/>
      <c r="E94" s="164"/>
      <c r="F94" s="164"/>
      <c r="G94" s="164"/>
      <c r="H94" s="164"/>
      <c r="J94" s="185"/>
      <c r="K94" s="186"/>
      <c r="L94" s="186"/>
      <c r="M94" s="187"/>
      <c r="N94" s="187"/>
    </row>
    <row r="95" spans="1:14" ht="14.15" customHeight="1">
      <c r="A95" s="189"/>
      <c r="B95" s="189"/>
      <c r="D95" s="164"/>
      <c r="E95" s="164"/>
      <c r="F95" s="164"/>
      <c r="G95" s="164"/>
      <c r="H95" s="164"/>
      <c r="J95" s="185"/>
      <c r="K95" s="186"/>
      <c r="L95" s="186"/>
      <c r="M95" s="187"/>
      <c r="N95" s="187"/>
    </row>
    <row r="96" spans="1:14" ht="14.15" customHeight="1">
      <c r="A96" s="189"/>
      <c r="B96" s="189"/>
      <c r="D96" s="164"/>
      <c r="E96" s="164"/>
      <c r="F96" s="164"/>
      <c r="G96" s="164"/>
      <c r="H96" s="164"/>
      <c r="J96" s="185"/>
      <c r="K96" s="186"/>
      <c r="L96" s="186"/>
      <c r="M96" s="187"/>
      <c r="N96" s="187"/>
    </row>
    <row r="97" spans="1:14" ht="14.15" customHeight="1">
      <c r="A97" s="189"/>
      <c r="B97" s="189"/>
      <c r="D97" s="164"/>
      <c r="E97" s="164"/>
      <c r="F97" s="164"/>
      <c r="G97" s="164"/>
      <c r="H97" s="164"/>
      <c r="J97" s="185"/>
      <c r="K97" s="186"/>
      <c r="L97" s="186"/>
      <c r="M97" s="187"/>
      <c r="N97" s="187"/>
    </row>
    <row r="98" spans="1:14" ht="14.15" customHeight="1">
      <c r="A98" s="189"/>
      <c r="B98" s="189"/>
      <c r="D98" s="164"/>
      <c r="E98" s="164"/>
      <c r="F98" s="164"/>
      <c r="G98" s="164"/>
      <c r="H98" s="164"/>
      <c r="J98" s="185"/>
      <c r="K98" s="186"/>
      <c r="L98" s="186"/>
      <c r="M98" s="187"/>
      <c r="N98" s="187"/>
    </row>
    <row r="99" spans="1:14" ht="14.15" customHeight="1">
      <c r="A99" s="189"/>
      <c r="B99" s="189"/>
      <c r="D99" s="164"/>
      <c r="E99" s="164"/>
      <c r="F99" s="164"/>
      <c r="G99" s="164"/>
      <c r="H99" s="164"/>
      <c r="J99" s="185"/>
      <c r="K99" s="186"/>
      <c r="L99" s="186"/>
      <c r="M99" s="187"/>
      <c r="N99" s="187"/>
    </row>
    <row r="100" spans="1:14" ht="14.15" customHeight="1">
      <c r="A100" s="189"/>
      <c r="B100" s="189"/>
      <c r="D100" s="164"/>
      <c r="E100" s="164"/>
      <c r="F100" s="164"/>
      <c r="G100" s="164"/>
      <c r="H100" s="164"/>
      <c r="J100" s="185"/>
      <c r="K100" s="186"/>
      <c r="L100" s="186"/>
      <c r="M100" s="187"/>
      <c r="N100" s="187"/>
    </row>
    <row r="101" spans="1:14" ht="14.15" customHeight="1">
      <c r="D101" s="164"/>
      <c r="E101" s="164"/>
      <c r="F101" s="164"/>
      <c r="G101" s="164"/>
      <c r="H101" s="164"/>
      <c r="J101" s="185"/>
      <c r="K101" s="186"/>
      <c r="L101" s="186"/>
      <c r="M101" s="187"/>
      <c r="N101" s="187"/>
    </row>
    <row r="102" spans="1:14" ht="14.15" customHeight="1">
      <c r="D102" s="164"/>
      <c r="E102" s="164"/>
      <c r="F102" s="164"/>
      <c r="G102" s="164"/>
      <c r="H102" s="164"/>
      <c r="J102" s="185"/>
      <c r="K102" s="186"/>
      <c r="L102" s="186"/>
      <c r="M102" s="187"/>
      <c r="N102" s="187"/>
    </row>
    <row r="103" spans="1:14" ht="14.15" customHeight="1">
      <c r="D103" s="164"/>
      <c r="E103" s="164"/>
      <c r="F103" s="164"/>
      <c r="G103" s="164"/>
      <c r="H103" s="164"/>
      <c r="J103" s="185"/>
      <c r="K103" s="186"/>
      <c r="L103" s="186"/>
      <c r="M103" s="187"/>
      <c r="N103" s="187"/>
    </row>
    <row r="104" spans="1:14" ht="14.15" customHeight="1">
      <c r="D104" s="164"/>
      <c r="E104" s="164"/>
      <c r="F104" s="164"/>
      <c r="G104" s="164"/>
      <c r="H104" s="164"/>
    </row>
    <row r="105" spans="1:14" ht="14.15" customHeight="1">
      <c r="D105" s="164"/>
      <c r="E105" s="164"/>
      <c r="F105" s="164"/>
      <c r="G105" s="164"/>
      <c r="H105" s="164"/>
    </row>
    <row r="106" spans="1:14" ht="14.15" customHeight="1">
      <c r="D106" s="164"/>
      <c r="E106" s="164"/>
      <c r="F106" s="164"/>
      <c r="G106" s="164"/>
      <c r="H106" s="164"/>
    </row>
    <row r="107" spans="1:14" ht="14.15" customHeight="1">
      <c r="D107" s="164"/>
      <c r="E107" s="164"/>
      <c r="F107" s="164"/>
      <c r="G107" s="164"/>
      <c r="H107" s="164"/>
    </row>
    <row r="108" spans="1:14" ht="14.15" customHeight="1">
      <c r="D108" s="164"/>
      <c r="E108" s="164"/>
      <c r="F108" s="164"/>
      <c r="G108" s="164"/>
      <c r="H108" s="164"/>
    </row>
    <row r="109" spans="1:14" ht="14.15" customHeight="1">
      <c r="D109" s="164"/>
      <c r="E109" s="164"/>
      <c r="F109" s="164"/>
      <c r="G109" s="164"/>
      <c r="H109" s="164"/>
    </row>
    <row r="110" spans="1:14" ht="14.15" customHeight="1">
      <c r="D110" s="164"/>
      <c r="E110" s="164"/>
      <c r="F110" s="164"/>
      <c r="G110" s="164"/>
      <c r="H110" s="164"/>
    </row>
    <row r="111" spans="1:14" ht="14.15" customHeight="1">
      <c r="D111" s="164"/>
      <c r="E111" s="164"/>
      <c r="F111" s="164"/>
      <c r="G111" s="164"/>
      <c r="H111" s="164"/>
    </row>
    <row r="112" spans="1:14" ht="14.15" customHeight="1">
      <c r="D112" s="164"/>
      <c r="E112" s="164"/>
      <c r="F112" s="164"/>
      <c r="G112" s="164"/>
      <c r="H112" s="164"/>
    </row>
    <row r="113" spans="11:12" s="164" customFormat="1" ht="14.15" customHeight="1">
      <c r="K113" s="177"/>
      <c r="L113" s="177"/>
    </row>
    <row r="114" spans="11:12" s="164" customFormat="1" ht="14.15" customHeight="1">
      <c r="K114" s="177"/>
      <c r="L114" s="177"/>
    </row>
    <row r="115" spans="11:12" s="164" customFormat="1" ht="14.15" customHeight="1">
      <c r="K115" s="177"/>
      <c r="L115" s="177"/>
    </row>
    <row r="116" spans="11:12" s="164" customFormat="1" ht="14.15" customHeight="1">
      <c r="K116" s="177"/>
      <c r="L116" s="177"/>
    </row>
    <row r="117" spans="11:12" s="164" customFormat="1" ht="14.15" customHeight="1">
      <c r="K117" s="177"/>
      <c r="L117" s="177"/>
    </row>
    <row r="118" spans="11:12" s="164" customFormat="1" ht="14.15" customHeight="1">
      <c r="K118" s="177"/>
      <c r="L118" s="177"/>
    </row>
    <row r="119" spans="11:12" s="164" customFormat="1" ht="14.15" customHeight="1">
      <c r="K119" s="177"/>
      <c r="L119" s="177"/>
    </row>
    <row r="120" spans="11:12" s="164" customFormat="1" ht="14.15" customHeight="1">
      <c r="K120" s="177"/>
      <c r="L120" s="177"/>
    </row>
    <row r="121" spans="11:12" s="164" customFormat="1" ht="14.15" customHeight="1">
      <c r="K121" s="177"/>
      <c r="L121" s="177"/>
    </row>
    <row r="122" spans="11:12" s="164" customFormat="1" ht="14.15" customHeight="1">
      <c r="K122" s="177"/>
      <c r="L122" s="177"/>
    </row>
    <row r="123" spans="11:12" s="164" customFormat="1" ht="14.15" customHeight="1">
      <c r="K123" s="177"/>
      <c r="L123" s="177"/>
    </row>
    <row r="124" spans="11:12" s="164" customFormat="1" ht="14.15" customHeight="1">
      <c r="K124" s="177"/>
      <c r="L124" s="177"/>
    </row>
    <row r="125" spans="11:12" s="164" customFormat="1" ht="14.15" customHeight="1">
      <c r="K125" s="177"/>
      <c r="L125" s="177"/>
    </row>
    <row r="126" spans="11:12" s="164" customFormat="1" ht="14.15" customHeight="1">
      <c r="K126" s="177"/>
      <c r="L126" s="177"/>
    </row>
    <row r="127" spans="11:12" s="164" customFormat="1" ht="14.15" customHeight="1">
      <c r="K127" s="177"/>
      <c r="L127" s="177"/>
    </row>
    <row r="128" spans="11:12" s="164" customFormat="1" ht="14.15" customHeight="1">
      <c r="K128" s="177"/>
      <c r="L128" s="177"/>
    </row>
    <row r="129" spans="11:12" s="164" customFormat="1" ht="14.15" customHeight="1">
      <c r="K129" s="177"/>
      <c r="L129" s="177"/>
    </row>
    <row r="130" spans="11:12" s="164" customFormat="1" ht="14.15" customHeight="1">
      <c r="K130" s="177"/>
      <c r="L130" s="177"/>
    </row>
    <row r="131" spans="11:12" s="164" customFormat="1" ht="14.15" customHeight="1">
      <c r="K131" s="177"/>
      <c r="L131" s="177"/>
    </row>
    <row r="132" spans="11:12" s="164" customFormat="1" ht="14.15" customHeight="1">
      <c r="K132" s="177"/>
      <c r="L132" s="177"/>
    </row>
    <row r="133" spans="11:12" s="164" customFormat="1" ht="14.15" customHeight="1">
      <c r="K133" s="177"/>
      <c r="L133" s="177"/>
    </row>
    <row r="134" spans="11:12" s="164" customFormat="1" ht="14.15" customHeight="1">
      <c r="K134" s="177"/>
      <c r="L134" s="177"/>
    </row>
    <row r="135" spans="11:12" s="164" customFormat="1" ht="14.15" customHeight="1">
      <c r="K135" s="177"/>
      <c r="L135" s="177"/>
    </row>
    <row r="136" spans="11:12" s="164" customFormat="1" ht="14.15" customHeight="1">
      <c r="K136" s="177"/>
      <c r="L136" s="177"/>
    </row>
    <row r="137" spans="11:12" s="164" customFormat="1" ht="14.15" customHeight="1">
      <c r="K137" s="177"/>
      <c r="L137" s="177"/>
    </row>
    <row r="138" spans="11:12" s="164" customFormat="1" ht="14.15" customHeight="1">
      <c r="K138" s="177"/>
      <c r="L138" s="177"/>
    </row>
    <row r="139" spans="11:12" s="164" customFormat="1" ht="14.15" customHeight="1">
      <c r="K139" s="177"/>
      <c r="L139" s="177"/>
    </row>
    <row r="140" spans="11:12" s="164" customFormat="1" ht="14.15" customHeight="1">
      <c r="K140" s="177"/>
      <c r="L140" s="177"/>
    </row>
    <row r="141" spans="11:12" s="164" customFormat="1" ht="14.15" customHeight="1">
      <c r="K141" s="177"/>
      <c r="L141" s="177"/>
    </row>
    <row r="142" spans="11:12" s="164" customFormat="1" ht="14.15" customHeight="1">
      <c r="K142" s="177"/>
      <c r="L142" s="177"/>
    </row>
    <row r="143" spans="11:12" s="164" customFormat="1" ht="14.15" customHeight="1">
      <c r="K143" s="177"/>
      <c r="L143" s="177"/>
    </row>
    <row r="144" spans="11:12" s="164" customFormat="1" ht="14.15" customHeight="1">
      <c r="K144" s="177"/>
      <c r="L144" s="177"/>
    </row>
    <row r="145" spans="3:8" ht="14.15" customHeight="1">
      <c r="D145" s="164"/>
      <c r="E145" s="164"/>
      <c r="F145" s="164"/>
      <c r="G145" s="164"/>
      <c r="H145" s="164"/>
    </row>
    <row r="146" spans="3:8" ht="14.15" customHeight="1">
      <c r="D146" s="164"/>
      <c r="E146" s="164"/>
      <c r="F146" s="164"/>
      <c r="G146" s="164"/>
      <c r="H146" s="164"/>
    </row>
    <row r="147" spans="3:8" ht="14.15" customHeight="1">
      <c r="D147" s="164"/>
      <c r="E147" s="164"/>
      <c r="F147" s="164"/>
      <c r="G147" s="164"/>
      <c r="H147" s="164"/>
    </row>
    <row r="148" spans="3:8" ht="14.15" customHeight="1">
      <c r="D148" s="164"/>
      <c r="E148" s="164"/>
      <c r="F148" s="164"/>
      <c r="G148" s="164"/>
      <c r="H148" s="164"/>
    </row>
    <row r="149" spans="3:8" ht="14.15" customHeight="1">
      <c r="C149" s="190"/>
      <c r="D149" s="164"/>
      <c r="E149" s="164"/>
      <c r="F149" s="164"/>
      <c r="G149" s="164"/>
      <c r="H149" s="164"/>
    </row>
    <row r="150" spans="3:8" ht="14.15" customHeight="1">
      <c r="C150" s="190"/>
      <c r="D150" s="164"/>
      <c r="E150" s="164"/>
      <c r="F150" s="164"/>
      <c r="G150" s="164"/>
      <c r="H150" s="164"/>
    </row>
    <row r="151" spans="3:8" ht="14.15" customHeight="1">
      <c r="C151" s="190"/>
      <c r="D151" s="164"/>
      <c r="E151" s="164"/>
      <c r="F151" s="164"/>
      <c r="G151" s="164"/>
      <c r="H151" s="164"/>
    </row>
    <row r="152" spans="3:8" ht="14.15" customHeight="1">
      <c r="C152" s="190"/>
      <c r="D152" s="164"/>
      <c r="E152" s="164"/>
      <c r="F152" s="164"/>
      <c r="G152" s="164"/>
      <c r="H152" s="164"/>
    </row>
    <row r="153" spans="3:8" ht="14.15" customHeight="1">
      <c r="C153" s="190"/>
      <c r="D153" s="164"/>
      <c r="E153" s="164"/>
      <c r="F153" s="164"/>
      <c r="G153" s="164"/>
      <c r="H153" s="164"/>
    </row>
    <row r="154" spans="3:8" ht="14.15" customHeight="1">
      <c r="C154" s="190"/>
      <c r="D154" s="164"/>
      <c r="E154" s="164"/>
      <c r="F154" s="164"/>
      <c r="G154" s="164"/>
      <c r="H154" s="164"/>
    </row>
    <row r="155" spans="3:8" ht="14.15" customHeight="1">
      <c r="C155" s="190"/>
      <c r="D155" s="164"/>
      <c r="E155" s="164"/>
      <c r="F155" s="164"/>
      <c r="G155" s="164"/>
      <c r="H155" s="164"/>
    </row>
    <row r="156" spans="3:8" ht="14.15" customHeight="1">
      <c r="C156" s="190"/>
      <c r="D156" s="164"/>
      <c r="E156" s="164"/>
      <c r="F156" s="164"/>
      <c r="G156" s="164"/>
      <c r="H156" s="164"/>
    </row>
    <row r="157" spans="3:8" ht="14.15" customHeight="1">
      <c r="C157" s="190"/>
      <c r="D157" s="164"/>
      <c r="E157" s="164"/>
      <c r="F157" s="164"/>
      <c r="G157" s="164"/>
      <c r="H157" s="164"/>
    </row>
    <row r="158" spans="3:8" ht="14.15" customHeight="1">
      <c r="C158" s="190"/>
      <c r="D158" s="164"/>
      <c r="E158" s="164"/>
      <c r="F158" s="164"/>
      <c r="G158" s="164"/>
      <c r="H158" s="164"/>
    </row>
    <row r="159" spans="3:8" ht="14.15" customHeight="1">
      <c r="C159" s="190"/>
      <c r="D159" s="164"/>
      <c r="E159" s="164"/>
      <c r="F159" s="164"/>
      <c r="G159" s="164"/>
      <c r="H159" s="164"/>
    </row>
    <row r="160" spans="3:8" ht="14.15" customHeight="1">
      <c r="C160" s="190"/>
      <c r="D160" s="164"/>
      <c r="E160" s="164"/>
      <c r="F160" s="164"/>
      <c r="G160" s="164"/>
      <c r="H160" s="164"/>
    </row>
    <row r="161" spans="3:8" ht="14.15" customHeight="1">
      <c r="C161" s="190"/>
      <c r="D161" s="164"/>
      <c r="E161" s="164"/>
      <c r="F161" s="164"/>
      <c r="G161" s="164"/>
      <c r="H161" s="164"/>
    </row>
    <row r="162" spans="3:8" ht="14.15" customHeight="1">
      <c r="C162" s="190"/>
      <c r="D162" s="164"/>
      <c r="E162" s="164"/>
      <c r="F162" s="164"/>
      <c r="G162" s="164"/>
      <c r="H162" s="164"/>
    </row>
    <row r="163" spans="3:8" ht="14.15" customHeight="1">
      <c r="C163" s="190"/>
      <c r="D163" s="164"/>
      <c r="E163" s="164"/>
      <c r="F163" s="164"/>
      <c r="G163" s="164"/>
      <c r="H163" s="164"/>
    </row>
    <row r="164" spans="3:8" ht="14.15" customHeight="1">
      <c r="C164" s="190"/>
      <c r="D164" s="164"/>
      <c r="E164" s="164"/>
      <c r="F164" s="164"/>
      <c r="G164" s="164"/>
      <c r="H164" s="164"/>
    </row>
    <row r="165" spans="3:8" ht="14.15" customHeight="1">
      <c r="C165" s="190"/>
      <c r="D165" s="164"/>
      <c r="E165" s="164"/>
      <c r="F165" s="164"/>
      <c r="G165" s="164"/>
      <c r="H165" s="164"/>
    </row>
    <row r="166" spans="3:8" ht="14.15" customHeight="1">
      <c r="C166" s="190"/>
      <c r="D166" s="164"/>
      <c r="E166" s="164"/>
      <c r="F166" s="164"/>
      <c r="G166" s="164"/>
      <c r="H166" s="164"/>
    </row>
    <row r="167" spans="3:8" ht="14.15" customHeight="1">
      <c r="C167" s="190"/>
      <c r="D167" s="164"/>
      <c r="E167" s="164"/>
      <c r="F167" s="164"/>
      <c r="G167" s="164"/>
      <c r="H167" s="164"/>
    </row>
    <row r="168" spans="3:8" ht="14.15" customHeight="1">
      <c r="C168" s="190"/>
      <c r="D168" s="164"/>
      <c r="E168" s="164"/>
      <c r="F168" s="164"/>
      <c r="G168" s="164"/>
      <c r="H168" s="164"/>
    </row>
    <row r="169" spans="3:8" ht="14.15" customHeight="1">
      <c r="C169" s="190"/>
      <c r="D169" s="164"/>
      <c r="E169" s="164"/>
      <c r="F169" s="164"/>
      <c r="G169" s="164"/>
      <c r="H169" s="164"/>
    </row>
    <row r="170" spans="3:8" ht="14.15" customHeight="1">
      <c r="C170" s="190"/>
      <c r="D170" s="175" t="str">
        <f t="shared" ref="D170:D192" si="0">C170&amp;" - "</f>
        <v xml:space="preserve"> - </v>
      </c>
      <c r="F170" s="164"/>
    </row>
    <row r="171" spans="3:8" ht="14.15" customHeight="1">
      <c r="C171" s="190"/>
      <c r="D171" s="175" t="str">
        <f t="shared" si="0"/>
        <v xml:space="preserve"> - </v>
      </c>
      <c r="F171" s="164"/>
    </row>
    <row r="172" spans="3:8" ht="14.15" customHeight="1">
      <c r="C172" s="190"/>
      <c r="D172" s="175" t="str">
        <f t="shared" si="0"/>
        <v xml:space="preserve"> - </v>
      </c>
      <c r="F172" s="164"/>
    </row>
    <row r="173" spans="3:8" ht="14.15" customHeight="1">
      <c r="C173" s="190"/>
      <c r="D173" s="175" t="str">
        <f t="shared" si="0"/>
        <v xml:space="preserve"> - </v>
      </c>
      <c r="F173" s="164"/>
    </row>
    <row r="174" spans="3:8" ht="14.15" customHeight="1">
      <c r="C174" s="190"/>
      <c r="D174" s="175" t="str">
        <f t="shared" si="0"/>
        <v xml:space="preserve"> - </v>
      </c>
      <c r="F174" s="164"/>
    </row>
    <row r="175" spans="3:8" ht="14.15" customHeight="1">
      <c r="C175" s="190"/>
      <c r="D175" s="175" t="str">
        <f t="shared" si="0"/>
        <v xml:space="preserve"> - </v>
      </c>
      <c r="F175" s="164"/>
    </row>
    <row r="176" spans="3:8" ht="14.15" customHeight="1">
      <c r="C176" s="190"/>
      <c r="D176" s="175" t="str">
        <f t="shared" si="0"/>
        <v xml:space="preserve"> - </v>
      </c>
      <c r="F176" s="164"/>
    </row>
    <row r="177" spans="3:6" ht="14.15" customHeight="1">
      <c r="C177" s="190"/>
      <c r="D177" s="175" t="str">
        <f t="shared" si="0"/>
        <v xml:space="preserve"> - </v>
      </c>
      <c r="F177" s="164"/>
    </row>
    <row r="178" spans="3:6" ht="14.15" customHeight="1">
      <c r="C178" s="190"/>
      <c r="D178" s="175" t="str">
        <f t="shared" si="0"/>
        <v xml:space="preserve"> - </v>
      </c>
      <c r="F178" s="164"/>
    </row>
    <row r="179" spans="3:6" ht="14.15" customHeight="1">
      <c r="C179" s="190"/>
      <c r="D179" s="175" t="str">
        <f t="shared" si="0"/>
        <v xml:space="preserve"> - </v>
      </c>
      <c r="F179" s="164"/>
    </row>
    <row r="180" spans="3:6" ht="14.15" customHeight="1">
      <c r="C180" s="190"/>
      <c r="D180" s="175" t="str">
        <f t="shared" si="0"/>
        <v xml:space="preserve"> - </v>
      </c>
      <c r="F180" s="164"/>
    </row>
    <row r="181" spans="3:6" ht="14.15" customHeight="1">
      <c r="C181" s="190"/>
      <c r="D181" s="175" t="str">
        <f t="shared" si="0"/>
        <v xml:space="preserve"> - </v>
      </c>
      <c r="F181" s="164"/>
    </row>
    <row r="182" spans="3:6" ht="14.15" customHeight="1">
      <c r="C182" s="190"/>
      <c r="D182" s="175" t="str">
        <f t="shared" si="0"/>
        <v xml:space="preserve"> - </v>
      </c>
      <c r="F182" s="164"/>
    </row>
    <row r="183" spans="3:6" ht="14.15" customHeight="1">
      <c r="C183" s="190"/>
      <c r="D183" s="175" t="str">
        <f t="shared" si="0"/>
        <v xml:space="preserve"> - </v>
      </c>
      <c r="F183" s="164"/>
    </row>
    <row r="184" spans="3:6" ht="14.15" customHeight="1">
      <c r="C184" s="190"/>
      <c r="D184" s="175" t="str">
        <f t="shared" si="0"/>
        <v xml:space="preserve"> - </v>
      </c>
      <c r="F184" s="164"/>
    </row>
    <row r="185" spans="3:6" ht="14.15" customHeight="1">
      <c r="C185" s="190"/>
      <c r="D185" s="175" t="str">
        <f t="shared" si="0"/>
        <v xml:space="preserve"> - </v>
      </c>
      <c r="F185" s="164"/>
    </row>
    <row r="186" spans="3:6" ht="14.15" customHeight="1">
      <c r="C186" s="190"/>
      <c r="D186" s="175" t="str">
        <f t="shared" si="0"/>
        <v xml:space="preserve"> - </v>
      </c>
      <c r="F186" s="164"/>
    </row>
    <row r="187" spans="3:6" ht="14.15" customHeight="1">
      <c r="C187" s="190"/>
      <c r="D187" s="175" t="str">
        <f t="shared" si="0"/>
        <v xml:space="preserve"> - </v>
      </c>
      <c r="F187" s="164"/>
    </row>
    <row r="188" spans="3:6" ht="14.15" customHeight="1">
      <c r="C188" s="190"/>
      <c r="D188" s="175" t="str">
        <f t="shared" si="0"/>
        <v xml:space="preserve"> - </v>
      </c>
      <c r="F188" s="164"/>
    </row>
    <row r="189" spans="3:6" ht="14.15" customHeight="1">
      <c r="C189" s="190"/>
      <c r="D189" s="175" t="str">
        <f t="shared" si="0"/>
        <v xml:space="preserve"> - </v>
      </c>
      <c r="F189" s="164"/>
    </row>
    <row r="190" spans="3:6" ht="14.15" customHeight="1">
      <c r="C190" s="190"/>
      <c r="D190" s="175" t="str">
        <f t="shared" si="0"/>
        <v xml:space="preserve"> - </v>
      </c>
      <c r="F190" s="164"/>
    </row>
    <row r="191" spans="3:6" ht="14.15" customHeight="1">
      <c r="C191" s="190"/>
      <c r="D191" s="175" t="str">
        <f t="shared" si="0"/>
        <v xml:space="preserve"> - </v>
      </c>
      <c r="F191" s="164"/>
    </row>
    <row r="192" spans="3:6" ht="14.15" customHeight="1">
      <c r="C192" s="190"/>
      <c r="D192" s="175" t="str">
        <f t="shared" si="0"/>
        <v xml:space="preserve"> - </v>
      </c>
      <c r="F192" s="164"/>
    </row>
  </sheetData>
  <mergeCells count="3">
    <mergeCell ref="A1:B1"/>
    <mergeCell ref="D1:H1"/>
    <mergeCell ref="J1:N1"/>
  </mergeCells>
  <pageMargins left="0.51180555555555496" right="0.51180555555555496" top="0.78749999999999998" bottom="0.78749999999999998" header="0.51180555555555496" footer="0.51180555555555496"/>
  <pageSetup paperSize="9"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58ED5"/>
  </sheetPr>
  <dimension ref="A1:C8"/>
  <sheetViews>
    <sheetView zoomScaleNormal="100" workbookViewId="0">
      <selection activeCell="C2" sqref="C2"/>
    </sheetView>
  </sheetViews>
  <sheetFormatPr defaultColWidth="8.54296875" defaultRowHeight="12.5"/>
  <cols>
    <col min="1" max="1" width="35.453125" customWidth="1" collapsed="1"/>
    <col min="2" max="2" width="71.1796875" style="191" customWidth="1" collapsed="1"/>
    <col min="3" max="3" width="9.54296875" customWidth="1" collapsed="1"/>
  </cols>
  <sheetData>
    <row r="1" spans="1:3" ht="13">
      <c r="A1" s="192" t="s">
        <v>217</v>
      </c>
      <c r="B1" s="193" t="s">
        <v>80</v>
      </c>
      <c r="C1" s="192" t="s">
        <v>218</v>
      </c>
    </row>
    <row r="2" spans="1:3">
      <c r="A2" s="194" t="s">
        <v>219</v>
      </c>
      <c r="B2" s="195" t="s">
        <v>220</v>
      </c>
      <c r="C2" s="196">
        <v>0.33</v>
      </c>
    </row>
    <row r="3" spans="1:3" ht="25">
      <c r="A3" s="195" t="s">
        <v>221</v>
      </c>
      <c r="B3" s="195"/>
      <c r="C3" s="196">
        <v>0.35</v>
      </c>
    </row>
    <row r="4" spans="1:3" ht="25">
      <c r="A4" s="194" t="s">
        <v>109</v>
      </c>
      <c r="B4" s="195" t="s">
        <v>222</v>
      </c>
      <c r="C4" s="196">
        <v>0.36</v>
      </c>
    </row>
    <row r="5" spans="1:3">
      <c r="A5" s="195" t="s">
        <v>223</v>
      </c>
      <c r="B5" s="195" t="s">
        <v>224</v>
      </c>
      <c r="C5" s="196">
        <v>0.37</v>
      </c>
    </row>
    <row r="6" spans="1:3">
      <c r="A6" s="195" t="s">
        <v>225</v>
      </c>
      <c r="B6" s="195" t="s">
        <v>226</v>
      </c>
      <c r="C6" s="196">
        <v>0.39</v>
      </c>
    </row>
    <row r="7" spans="1:3" ht="25">
      <c r="A7" s="195" t="s">
        <v>227</v>
      </c>
      <c r="B7" s="195"/>
      <c r="C7" s="196">
        <v>0.4</v>
      </c>
    </row>
    <row r="8" spans="1:3">
      <c r="A8" s="194" t="s">
        <v>228</v>
      </c>
      <c r="B8" s="195"/>
      <c r="C8" s="196">
        <v>0.45</v>
      </c>
    </row>
  </sheetData>
  <pageMargins left="0.51180555555555496" right="0.51180555555555496" top="0.78749999999999998" bottom="0.78749999999999998"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TotalTime>
  <Application>Microsoft Excel</Application>
  <DocSecurity>0</DocSecurity>
  <ScaleCrop>false</ScaleCrop>
  <HeadingPairs>
    <vt:vector size="4" baseType="variant">
      <vt:variant>
        <vt:lpstr>Planilhas</vt:lpstr>
      </vt:variant>
      <vt:variant>
        <vt:i4>12</vt:i4>
      </vt:variant>
      <vt:variant>
        <vt:lpstr>Intervalos Nomeados</vt:lpstr>
      </vt:variant>
      <vt:variant>
        <vt:i4>36</vt:i4>
      </vt:variant>
    </vt:vector>
  </HeadingPairs>
  <TitlesOfParts>
    <vt:vector size="48" baseType="lpstr">
      <vt:lpstr>Instrução de Uso</vt:lpstr>
      <vt:lpstr>Resumo</vt:lpstr>
      <vt:lpstr>AFP - Detalhada</vt:lpstr>
      <vt:lpstr>AFP - INM</vt:lpstr>
      <vt:lpstr>AFP - Estimativa</vt:lpstr>
      <vt:lpstr>UST</vt:lpstr>
      <vt:lpstr>AFP - Indicativa</vt:lpstr>
      <vt:lpstr>Funcionalidade</vt:lpstr>
      <vt:lpstr>Redução de Prazo</vt:lpstr>
      <vt:lpstr>Esforço</vt:lpstr>
      <vt:lpstr>Tipo Projeto</vt:lpstr>
      <vt:lpstr>Tipo Sistema</vt:lpstr>
      <vt:lpstr>'AFP - Detalhada'!_FiltrarBancodeDados</vt:lpstr>
      <vt:lpstr>'AFP - Estimativa'!_FiltrarBancodeDados</vt:lpstr>
      <vt:lpstr>'AFP - Indicativa'!_FiltrarBancodeDados</vt:lpstr>
      <vt:lpstr>'AFP - INM'!_FiltrarBancodeDados</vt:lpstr>
      <vt:lpstr>UST!_FiltrarBancodeDados</vt:lpstr>
      <vt:lpstr>Matriz_INM</vt:lpstr>
      <vt:lpstr>PF_INM</vt:lpstr>
      <vt:lpstr>PF_UST</vt:lpstr>
      <vt:lpstr>'AFP - Detalhada'!Print_Titles_0</vt:lpstr>
      <vt:lpstr>'AFP - Estimativa'!Print_Titles_0</vt:lpstr>
      <vt:lpstr>'AFP - Indicativa'!Print_Titles_0</vt:lpstr>
      <vt:lpstr>'AFP - INM'!Print_Titles_0</vt:lpstr>
      <vt:lpstr>UST!Print_Titles_0</vt:lpstr>
      <vt:lpstr>'AFP - Detalhada'!Print_Titles_0_0</vt:lpstr>
      <vt:lpstr>'AFP - Estimativa'!Print_Titles_0_0</vt:lpstr>
      <vt:lpstr>'AFP - Indicativa'!Print_Titles_0_0</vt:lpstr>
      <vt:lpstr>'AFP - INM'!Print_Titles_0_0</vt:lpstr>
      <vt:lpstr>UST!Print_Titles_0_0</vt:lpstr>
      <vt:lpstr>'AFP - Detalhada'!Print_Titles_0_0_0</vt:lpstr>
      <vt:lpstr>'AFP - Estimativa'!Print_Titles_0_0_0</vt:lpstr>
      <vt:lpstr>'AFP - Indicativa'!Print_Titles_0_0_0</vt:lpstr>
      <vt:lpstr>'AFP - INM'!Print_Titles_0_0_0</vt:lpstr>
      <vt:lpstr>UST!Print_Titles_0_0_0</vt:lpstr>
      <vt:lpstr>'AFP - Detalhada'!Print_Titles_0_0_0_0</vt:lpstr>
      <vt:lpstr>'AFP - Estimativa'!Print_Titles_0_0_0_0</vt:lpstr>
      <vt:lpstr>'AFP - Indicativa'!Print_Titles_0_0_0_0</vt:lpstr>
      <vt:lpstr>'AFP - INM'!Print_Titles_0_0_0_0</vt:lpstr>
      <vt:lpstr>UST!Print_Titles_0_0_0_0</vt:lpstr>
      <vt:lpstr>Tipo_Contagem</vt:lpstr>
      <vt:lpstr>TipoSistema</vt:lpstr>
      <vt:lpstr>'AFP - Detalhada'!Titulos_de_impressao</vt:lpstr>
      <vt:lpstr>'AFP - Estimativa'!Titulos_de_impressao</vt:lpstr>
      <vt:lpstr>'AFP - Indicativa'!Titulos_de_impressao</vt:lpstr>
      <vt:lpstr>'AFP - INM'!Titulos_de_impressao</vt:lpstr>
      <vt:lpstr>UST!Titulos_de_impressao</vt:lpstr>
      <vt:lpstr>UST</vt:lpstr>
    </vt:vector>
  </TitlesOfParts>
  <Company>Basis Tecnologia da Informação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Indicação de Tamanho e Esforço de Software</dc:title>
  <dc:creator>Wilson</dc:creator>
  <cp:lastModifiedBy>Victor Farias</cp:lastModifiedBy>
  <cp:revision>5</cp:revision>
  <cp:lastPrinted>2012-02-01T18:39:25Z</cp:lastPrinted>
  <dcterms:created xsi:type="dcterms:W3CDTF">2002-03-25T11:25:06Z</dcterms:created>
  <dcterms:modified xsi:type="dcterms:W3CDTF">2025-12-18T17:55:48Z</dcterms:modified>
  <dc:language>pt-BR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Basis Tecnologia da Informação S.A.</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