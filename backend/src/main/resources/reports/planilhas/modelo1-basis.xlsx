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
    </mc:Choice>
  </mc:AlternateContent>
  <xr:revisionPtr revIDLastSave="0" documentId="13_ncr:1_{8344FFFE-B32C-4034-BBF8-CFD8C2FF05DE}" xr6:coauthVersionLast="36" xr6:coauthVersionMax="46" xr10:uidLastSave="{00000000-0000-0000-0000-000000000000}"/>
  <bookViews>
    <workbookView xWindow="0" yWindow="0" windowWidth="19200" windowHeight="6640" tabRatio="840"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damentação" sheetId="8" r:id="rId8"/>
    <sheet name="Redução de Prazo" sheetId="9" r:id="rId9"/>
    <sheet name="Esforço" sheetId="10" state="hidden" r:id="rId10"/>
    <sheet name="Tipo Projeto" sheetId="11" r:id="rId11"/>
    <sheet name="Tipo Sistema" sheetId="12" state="hidden" r:id="rId12"/>
    <sheet name="PF por Funcionalidade" sheetId="13" r:id="rId13"/>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Print_Titles_0_0_0_0_0" localSheetId="2">'AFP - Detalhada'!$1:$9</definedName>
    <definedName name="Print_Titles_0_0_0_0_0" localSheetId="4">'AFP - Estimativa'!$1:$9</definedName>
    <definedName name="Print_Titles_0_0_0_0_0" localSheetId="6">'AFP - Indicativa'!$1:$9</definedName>
    <definedName name="Print_Titles_0_0_0_0_0" localSheetId="3">'AFP - INM'!$1:$9</definedName>
    <definedName name="Print_Titles_0_0_0_0_0" localSheetId="5">UST!$1:$9</definedName>
    <definedName name="Print_Titles_0_0_0_0_0_0" localSheetId="2">'AFP - Detalhada'!$1:$9</definedName>
    <definedName name="Print_Titles_0_0_0_0_0_0" localSheetId="4">'AFP - Estimativa'!$1:$9</definedName>
    <definedName name="Print_Titles_0_0_0_0_0_0" localSheetId="6">'AFP - Indicativa'!$1:$9</definedName>
    <definedName name="Print_Titles_0_0_0_0_0_0" localSheetId="3">'AFP - INM'!$1:$9</definedName>
    <definedName name="Print_Titles_0_0_0_0_0_0" localSheetId="5">UST!$1:$9</definedName>
    <definedName name="Print_Titles_0_0_0_0_0_0_0" localSheetId="2">'AFP - Detalhada'!$1:$9</definedName>
    <definedName name="Print_Titles_0_0_0_0_0_0_0" localSheetId="4">'AFP - Estimativa'!$1:$9</definedName>
    <definedName name="Print_Titles_0_0_0_0_0_0_0" localSheetId="6">'AFP - Indicativa'!$1:$9</definedName>
    <definedName name="Print_Titles_0_0_0_0_0_0_0" localSheetId="3">'AFP - INM'!$1:$9</definedName>
    <definedName name="Print_Titles_0_0_0_0_0_0_0" localSheetId="5">UST!$1:$9</definedName>
    <definedName name="Print_Titles_0_0_0_0_0_0_0_0" localSheetId="2">'AFP - Detalhada'!$1:$9</definedName>
    <definedName name="Print_Titles_0_0_0_0_0_0_0_0" localSheetId="4">'AFP - Estimativa'!$1:$9</definedName>
    <definedName name="Print_Titles_0_0_0_0_0_0_0_0" localSheetId="6">'AFP - Indicativa'!$1:$9</definedName>
    <definedName name="Print_Titles_0_0_0_0_0_0_0_0" localSheetId="3">'AFP - INM'!$1:$9</definedName>
    <definedName name="Print_Titles_0_0_0_0_0_0_0_0" localSheetId="5">UST!$1:$9</definedName>
    <definedName name="Print_Titles_0_0_0_0_0_0_0_0_0" localSheetId="2">'AFP - Detalhada'!$1:$9</definedName>
    <definedName name="Print_Titles_0_0_0_0_0_0_0_0_0" localSheetId="4">'AFP - Estimativa'!$1:$9</definedName>
    <definedName name="Print_Titles_0_0_0_0_0_0_0_0_0" localSheetId="6">'AFP - Indicativa'!$1:$9</definedName>
    <definedName name="Print_Titles_0_0_0_0_0_0_0_0_0" localSheetId="3">'AFP - INM'!$1:$9</definedName>
    <definedName name="Print_Titles_0_0_0_0_0_0_0_0_0" localSheetId="5">UST!$1:$9</definedName>
    <definedName name="Print_Titles_0_0_0_0_0_0_0_0_0_0" localSheetId="2">'AFP - Detalhada'!$1:$9</definedName>
    <definedName name="Print_Titles_0_0_0_0_0_0_0_0_0_0" localSheetId="4">'AFP - Estimativa'!$1:$9</definedName>
    <definedName name="Print_Titles_0_0_0_0_0_0_0_0_0_0" localSheetId="6">'AFP - Indicativa'!$1:$9</definedName>
    <definedName name="Print_Titles_0_0_0_0_0_0_0_0_0_0" localSheetId="3">'AFP - INM'!$1:$9</definedName>
    <definedName name="Print_Titles_0_0_0_0_0_0_0_0_0_0" localSheetId="5">UST!$1:$9</definedName>
    <definedName name="Print_Titles_0_0_0_0_0_0_0_0_0_0_0" localSheetId="2">'AFP - Detalhada'!$1:$9</definedName>
    <definedName name="Print_Titles_0_0_0_0_0_0_0_0_0_0_0" localSheetId="4">'AFP - Estimativa'!$1:$9</definedName>
    <definedName name="Print_Titles_0_0_0_0_0_0_0_0_0_0_0" localSheetId="6">'AFP - Indicativa'!$1:$9</definedName>
    <definedName name="Print_Titles_0_0_0_0_0_0_0_0_0_0_0" localSheetId="3">'AFP - INM'!$1:$9</definedName>
    <definedName name="Print_Titles_0_0_0_0_0_0_0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B21" i="10"/>
  <c r="C21" i="10" s="1"/>
  <c r="B20" i="10"/>
  <c r="C20" i="10" s="1"/>
  <c r="I20" i="10" s="1"/>
  <c r="B19" i="10"/>
  <c r="C19" i="10" s="1"/>
  <c r="G19" i="10" s="1"/>
  <c r="B18" i="10"/>
  <c r="C18" i="10" s="1"/>
  <c r="B17" i="10"/>
  <c r="C17" i="10" s="1"/>
  <c r="B16" i="10"/>
  <c r="C16" i="10" s="1"/>
  <c r="G16" i="10" s="1"/>
  <c r="B15" i="10"/>
  <c r="C15" i="10" s="1"/>
  <c r="B14" i="10"/>
  <c r="C14" i="10" s="1"/>
  <c r="B13" i="10"/>
  <c r="C13" i="10" s="1"/>
  <c r="G13" i="10" s="1"/>
  <c r="B12" i="10"/>
  <c r="C12" i="10" s="1"/>
  <c r="B11" i="10"/>
  <c r="C11" i="10" s="1"/>
  <c r="I11" i="10" s="1"/>
  <c r="B10" i="10"/>
  <c r="C10" i="10" s="1"/>
  <c r="G10" i="10" s="1"/>
  <c r="B9" i="10"/>
  <c r="C9" i="10" s="1"/>
  <c r="B7" i="10"/>
  <c r="C7" i="10" s="1"/>
  <c r="B6" i="10"/>
  <c r="C6" i="10" s="1"/>
  <c r="F6" i="10" s="1"/>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F14" i="9"/>
  <c r="D14" i="9"/>
  <c r="O13" i="9"/>
  <c r="G12" i="9"/>
  <c r="D12" i="9"/>
  <c r="H11" i="9"/>
  <c r="F11"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09" i="7" s="1"/>
  <c r="D5" i="7" s="1"/>
  <c r="H11" i="7"/>
  <c r="H10" i="7"/>
  <c r="K402" i="6"/>
  <c r="J402" i="6"/>
  <c r="J401" i="6"/>
  <c r="K401" i="6" s="1"/>
  <c r="K400" i="6"/>
  <c r="J400" i="6"/>
  <c r="K399" i="6"/>
  <c r="J399" i="6"/>
  <c r="K398" i="6"/>
  <c r="J398" i="6"/>
  <c r="J397" i="6"/>
  <c r="K397" i="6" s="1"/>
  <c r="K396" i="6"/>
  <c r="J396" i="6"/>
  <c r="K395" i="6"/>
  <c r="J395" i="6"/>
  <c r="K394" i="6"/>
  <c r="J394" i="6"/>
  <c r="K393" i="6"/>
  <c r="J393" i="6"/>
  <c r="K392" i="6"/>
  <c r="J392" i="6"/>
  <c r="J391" i="6"/>
  <c r="K391" i="6" s="1"/>
  <c r="K390" i="6"/>
  <c r="J390" i="6"/>
  <c r="J389" i="6"/>
  <c r="K389" i="6" s="1"/>
  <c r="K388" i="6"/>
  <c r="J388" i="6"/>
  <c r="K387" i="6"/>
  <c r="J387" i="6"/>
  <c r="K386" i="6"/>
  <c r="J386" i="6"/>
  <c r="J385" i="6"/>
  <c r="K385" i="6" s="1"/>
  <c r="K384" i="6"/>
  <c r="J384" i="6"/>
  <c r="K383" i="6"/>
  <c r="J383" i="6"/>
  <c r="K382" i="6"/>
  <c r="J382" i="6"/>
  <c r="K381" i="6"/>
  <c r="J381" i="6"/>
  <c r="K380" i="6"/>
  <c r="J380" i="6"/>
  <c r="J379" i="6"/>
  <c r="K379" i="6" s="1"/>
  <c r="K378" i="6"/>
  <c r="J378" i="6"/>
  <c r="K377" i="6"/>
  <c r="J377" i="6"/>
  <c r="K376" i="6"/>
  <c r="J376" i="6"/>
  <c r="K375" i="6"/>
  <c r="J375" i="6"/>
  <c r="K374" i="6"/>
  <c r="J374" i="6"/>
  <c r="J373" i="6"/>
  <c r="K373" i="6" s="1"/>
  <c r="K372" i="6"/>
  <c r="J372" i="6"/>
  <c r="K371" i="6"/>
  <c r="J371" i="6"/>
  <c r="K370" i="6"/>
  <c r="J370" i="6"/>
  <c r="K369" i="6"/>
  <c r="J369" i="6"/>
  <c r="K368" i="6"/>
  <c r="J368" i="6"/>
  <c r="J367" i="6"/>
  <c r="K367" i="6" s="1"/>
  <c r="K366" i="6"/>
  <c r="J366" i="6"/>
  <c r="K365" i="6"/>
  <c r="J365" i="6"/>
  <c r="K364" i="6"/>
  <c r="J364" i="6"/>
  <c r="K363" i="6"/>
  <c r="J363" i="6"/>
  <c r="K362" i="6"/>
  <c r="J362" i="6"/>
  <c r="J361" i="6"/>
  <c r="K361" i="6" s="1"/>
  <c r="K360" i="6"/>
  <c r="J360" i="6"/>
  <c r="J359" i="6"/>
  <c r="K359" i="6" s="1"/>
  <c r="K358" i="6"/>
  <c r="J358" i="6"/>
  <c r="K357" i="6"/>
  <c r="J357" i="6"/>
  <c r="K356" i="6"/>
  <c r="J356" i="6"/>
  <c r="J355" i="6"/>
  <c r="K355" i="6" s="1"/>
  <c r="K354" i="6"/>
  <c r="J354" i="6"/>
  <c r="J353" i="6"/>
  <c r="K353" i="6" s="1"/>
  <c r="K352" i="6"/>
  <c r="J352" i="6"/>
  <c r="K351" i="6"/>
  <c r="J351" i="6"/>
  <c r="K350" i="6"/>
  <c r="J350" i="6"/>
  <c r="J349" i="6"/>
  <c r="K349" i="6" s="1"/>
  <c r="K348" i="6"/>
  <c r="J348" i="6"/>
  <c r="K347" i="6"/>
  <c r="J347" i="6"/>
  <c r="K346" i="6"/>
  <c r="J346" i="6"/>
  <c r="K345" i="6"/>
  <c r="J345" i="6"/>
  <c r="K344" i="6"/>
  <c r="J344" i="6"/>
  <c r="J343" i="6"/>
  <c r="K343" i="6" s="1"/>
  <c r="K342" i="6"/>
  <c r="J342" i="6"/>
  <c r="J341" i="6"/>
  <c r="K341" i="6" s="1"/>
  <c r="K340" i="6"/>
  <c r="J340" i="6"/>
  <c r="K339" i="6"/>
  <c r="J339" i="6"/>
  <c r="K338" i="6"/>
  <c r="J338" i="6"/>
  <c r="J337" i="6"/>
  <c r="K337" i="6" s="1"/>
  <c r="K336" i="6"/>
  <c r="J336" i="6"/>
  <c r="K335" i="6"/>
  <c r="J335" i="6"/>
  <c r="K334" i="6"/>
  <c r="J334" i="6"/>
  <c r="K333" i="6"/>
  <c r="J333" i="6"/>
  <c r="K332" i="6"/>
  <c r="J332" i="6"/>
  <c r="J331" i="6"/>
  <c r="K331" i="6" s="1"/>
  <c r="K330" i="6"/>
  <c r="J330" i="6"/>
  <c r="J329" i="6"/>
  <c r="K329" i="6" s="1"/>
  <c r="K328" i="6"/>
  <c r="J328" i="6"/>
  <c r="K327" i="6"/>
  <c r="J327" i="6"/>
  <c r="K326" i="6"/>
  <c r="J326" i="6"/>
  <c r="J325" i="6"/>
  <c r="K325" i="6" s="1"/>
  <c r="K324" i="6"/>
  <c r="J324" i="6"/>
  <c r="K323" i="6"/>
  <c r="J323" i="6"/>
  <c r="K322" i="6"/>
  <c r="J322" i="6"/>
  <c r="K321" i="6"/>
  <c r="J321" i="6"/>
  <c r="K320" i="6"/>
  <c r="J320" i="6"/>
  <c r="J319" i="6"/>
  <c r="K319" i="6" s="1"/>
  <c r="K318" i="6"/>
  <c r="J318" i="6"/>
  <c r="J317" i="6"/>
  <c r="K317" i="6" s="1"/>
  <c r="K316" i="6"/>
  <c r="J316" i="6"/>
  <c r="K315" i="6"/>
  <c r="J315" i="6"/>
  <c r="K314" i="6"/>
  <c r="J314" i="6"/>
  <c r="J313" i="6"/>
  <c r="K313" i="6" s="1"/>
  <c r="K312" i="6"/>
  <c r="J312" i="6"/>
  <c r="K311" i="6"/>
  <c r="J311" i="6"/>
  <c r="K310" i="6"/>
  <c r="J310" i="6"/>
  <c r="K309" i="6"/>
  <c r="J309" i="6"/>
  <c r="K308" i="6"/>
  <c r="J308" i="6"/>
  <c r="J307" i="6"/>
  <c r="K307" i="6" s="1"/>
  <c r="K306" i="6"/>
  <c r="J306" i="6"/>
  <c r="J305" i="6"/>
  <c r="K305" i="6" s="1"/>
  <c r="K304" i="6"/>
  <c r="J304" i="6"/>
  <c r="K303" i="6"/>
  <c r="J303" i="6"/>
  <c r="K302" i="6"/>
  <c r="J302" i="6"/>
  <c r="J301" i="6"/>
  <c r="K301" i="6" s="1"/>
  <c r="K300" i="6"/>
  <c r="J300" i="6"/>
  <c r="K299" i="6"/>
  <c r="J299" i="6"/>
  <c r="K298" i="6"/>
  <c r="J298" i="6"/>
  <c r="K297" i="6"/>
  <c r="J297" i="6"/>
  <c r="K296" i="6"/>
  <c r="J296" i="6"/>
  <c r="J295" i="6"/>
  <c r="K295" i="6" s="1"/>
  <c r="K294" i="6"/>
  <c r="J294" i="6"/>
  <c r="K293" i="6"/>
  <c r="J293" i="6"/>
  <c r="K292" i="6"/>
  <c r="J292" i="6"/>
  <c r="K291" i="6"/>
  <c r="J291" i="6"/>
  <c r="K290" i="6"/>
  <c r="J290" i="6"/>
  <c r="J289" i="6"/>
  <c r="K289" i="6" s="1"/>
  <c r="K288" i="6"/>
  <c r="J288" i="6"/>
  <c r="J287" i="6"/>
  <c r="K287" i="6" s="1"/>
  <c r="K286" i="6"/>
  <c r="J286" i="6"/>
  <c r="K285" i="6"/>
  <c r="J285" i="6"/>
  <c r="K284" i="6"/>
  <c r="J284" i="6"/>
  <c r="J283" i="6"/>
  <c r="K283" i="6" s="1"/>
  <c r="K282" i="6"/>
  <c r="J282" i="6"/>
  <c r="J281" i="6"/>
  <c r="K281" i="6" s="1"/>
  <c r="K280" i="6"/>
  <c r="J280" i="6"/>
  <c r="K279" i="6"/>
  <c r="J279" i="6"/>
  <c r="K278" i="6"/>
  <c r="J278" i="6"/>
  <c r="J277" i="6"/>
  <c r="K277" i="6" s="1"/>
  <c r="K276" i="6"/>
  <c r="J276" i="6"/>
  <c r="K275" i="6"/>
  <c r="J275" i="6"/>
  <c r="K274" i="6"/>
  <c r="J274" i="6"/>
  <c r="K273" i="6"/>
  <c r="J273" i="6"/>
  <c r="K272" i="6"/>
  <c r="J272" i="6"/>
  <c r="J271" i="6"/>
  <c r="K271" i="6" s="1"/>
  <c r="K270" i="6"/>
  <c r="J270" i="6"/>
  <c r="J269" i="6"/>
  <c r="K269" i="6" s="1"/>
  <c r="K268" i="6"/>
  <c r="J268" i="6"/>
  <c r="K267" i="6"/>
  <c r="J267" i="6"/>
  <c r="K266" i="6"/>
  <c r="J266" i="6"/>
  <c r="J265" i="6"/>
  <c r="K265" i="6" s="1"/>
  <c r="K264" i="6"/>
  <c r="J264" i="6"/>
  <c r="K263" i="6"/>
  <c r="J263" i="6"/>
  <c r="K262" i="6"/>
  <c r="J262" i="6"/>
  <c r="K261" i="6"/>
  <c r="J261" i="6"/>
  <c r="K260" i="6"/>
  <c r="J260" i="6"/>
  <c r="J259" i="6"/>
  <c r="K259" i="6" s="1"/>
  <c r="K258" i="6"/>
  <c r="J258" i="6"/>
  <c r="J257" i="6"/>
  <c r="K257" i="6" s="1"/>
  <c r="K256" i="6"/>
  <c r="J256" i="6"/>
  <c r="K255" i="6"/>
  <c r="J255" i="6"/>
  <c r="K254" i="6"/>
  <c r="J254" i="6"/>
  <c r="J253" i="6"/>
  <c r="K253" i="6" s="1"/>
  <c r="K252" i="6"/>
  <c r="J252" i="6"/>
  <c r="K251" i="6"/>
  <c r="J251" i="6"/>
  <c r="K250" i="6"/>
  <c r="J250" i="6"/>
  <c r="K249" i="6"/>
  <c r="J249" i="6"/>
  <c r="K248" i="6"/>
  <c r="J248" i="6"/>
  <c r="J247" i="6"/>
  <c r="K247" i="6" s="1"/>
  <c r="K246" i="6"/>
  <c r="J246" i="6"/>
  <c r="K245" i="6"/>
  <c r="J245" i="6"/>
  <c r="K244" i="6"/>
  <c r="J244" i="6"/>
  <c r="K243" i="6"/>
  <c r="J243" i="6"/>
  <c r="K242" i="6"/>
  <c r="J242" i="6"/>
  <c r="J241" i="6"/>
  <c r="K241" i="6" s="1"/>
  <c r="K240" i="6"/>
  <c r="J240" i="6"/>
  <c r="J239" i="6"/>
  <c r="K239" i="6" s="1"/>
  <c r="K238" i="6"/>
  <c r="J238" i="6"/>
  <c r="K237" i="6"/>
  <c r="J237" i="6"/>
  <c r="K236" i="6"/>
  <c r="J236" i="6"/>
  <c r="J235" i="6"/>
  <c r="K235" i="6" s="1"/>
  <c r="K234" i="6"/>
  <c r="J234" i="6"/>
  <c r="J233" i="6"/>
  <c r="K233" i="6" s="1"/>
  <c r="K232" i="6"/>
  <c r="J232" i="6"/>
  <c r="K231" i="6"/>
  <c r="J231" i="6"/>
  <c r="K230" i="6"/>
  <c r="J230" i="6"/>
  <c r="J229" i="6"/>
  <c r="K229" i="6" s="1"/>
  <c r="K228" i="6"/>
  <c r="J228" i="6"/>
  <c r="K227" i="6"/>
  <c r="J227" i="6"/>
  <c r="K226" i="6"/>
  <c r="J226" i="6"/>
  <c r="K225" i="6"/>
  <c r="J225" i="6"/>
  <c r="K224" i="6"/>
  <c r="J224" i="6"/>
  <c r="J223" i="6"/>
  <c r="K223" i="6" s="1"/>
  <c r="K222" i="6"/>
  <c r="J222" i="6"/>
  <c r="J221" i="6"/>
  <c r="K221" i="6" s="1"/>
  <c r="K220" i="6"/>
  <c r="J220" i="6"/>
  <c r="K219" i="6"/>
  <c r="J219" i="6"/>
  <c r="K218" i="6"/>
  <c r="J218" i="6"/>
  <c r="J217" i="6"/>
  <c r="K217" i="6" s="1"/>
  <c r="K216" i="6"/>
  <c r="J216" i="6"/>
  <c r="J215" i="6"/>
  <c r="K215" i="6" s="1"/>
  <c r="K214" i="6"/>
  <c r="J214" i="6"/>
  <c r="K213" i="6"/>
  <c r="J213" i="6"/>
  <c r="K212" i="6"/>
  <c r="J212" i="6"/>
  <c r="J211" i="6"/>
  <c r="K211" i="6" s="1"/>
  <c r="K210" i="6"/>
  <c r="J210" i="6"/>
  <c r="J209" i="6"/>
  <c r="K209" i="6" s="1"/>
  <c r="K208" i="6"/>
  <c r="J208" i="6"/>
  <c r="K207" i="6"/>
  <c r="J207" i="6"/>
  <c r="K206" i="6"/>
  <c r="J206" i="6"/>
  <c r="J205" i="6"/>
  <c r="K205" i="6" s="1"/>
  <c r="K204" i="6"/>
  <c r="J204" i="6"/>
  <c r="K203" i="6"/>
  <c r="J203" i="6"/>
  <c r="K202" i="6"/>
  <c r="J202" i="6"/>
  <c r="K201" i="6"/>
  <c r="J201" i="6"/>
  <c r="K200" i="6"/>
  <c r="J200" i="6"/>
  <c r="J199" i="6"/>
  <c r="K199" i="6" s="1"/>
  <c r="K198" i="6"/>
  <c r="J198" i="6"/>
  <c r="J197" i="6"/>
  <c r="K197" i="6" s="1"/>
  <c r="K196" i="6"/>
  <c r="J196" i="6"/>
  <c r="K195" i="6"/>
  <c r="J195" i="6"/>
  <c r="K194" i="6"/>
  <c r="J194" i="6"/>
  <c r="J193" i="6"/>
  <c r="K193" i="6" s="1"/>
  <c r="K192" i="6"/>
  <c r="J192" i="6"/>
  <c r="K191" i="6"/>
  <c r="J191" i="6"/>
  <c r="K190" i="6"/>
  <c r="J190" i="6"/>
  <c r="K189" i="6"/>
  <c r="J189" i="6"/>
  <c r="K188" i="6"/>
  <c r="J188" i="6"/>
  <c r="J187" i="6"/>
  <c r="K187" i="6" s="1"/>
  <c r="K186" i="6"/>
  <c r="J186" i="6"/>
  <c r="J185" i="6"/>
  <c r="K185" i="6" s="1"/>
  <c r="K184" i="6"/>
  <c r="J184" i="6"/>
  <c r="K183" i="6"/>
  <c r="J183" i="6"/>
  <c r="K182" i="6"/>
  <c r="J182" i="6"/>
  <c r="J181" i="6"/>
  <c r="K181" i="6" s="1"/>
  <c r="K180" i="6"/>
  <c r="J180" i="6"/>
  <c r="K179" i="6"/>
  <c r="J179" i="6"/>
  <c r="K178" i="6"/>
  <c r="J178" i="6"/>
  <c r="K177" i="6"/>
  <c r="J177" i="6"/>
  <c r="K176" i="6"/>
  <c r="J176" i="6"/>
  <c r="J175" i="6"/>
  <c r="K175" i="6" s="1"/>
  <c r="K174" i="6"/>
  <c r="J174" i="6"/>
  <c r="K173" i="6"/>
  <c r="J173" i="6"/>
  <c r="K172" i="6"/>
  <c r="J172" i="6"/>
  <c r="K171" i="6"/>
  <c r="J171" i="6"/>
  <c r="K170" i="6"/>
  <c r="J170" i="6"/>
  <c r="J169" i="6"/>
  <c r="K169" i="6" s="1"/>
  <c r="K168" i="6"/>
  <c r="J168" i="6"/>
  <c r="J167" i="6"/>
  <c r="K167" i="6" s="1"/>
  <c r="K166" i="6"/>
  <c r="J166" i="6"/>
  <c r="K165" i="6"/>
  <c r="J165" i="6"/>
  <c r="K164" i="6"/>
  <c r="J164" i="6"/>
  <c r="J163" i="6"/>
  <c r="K163" i="6" s="1"/>
  <c r="K162" i="6"/>
  <c r="J162" i="6"/>
  <c r="J161" i="6"/>
  <c r="K161" i="6" s="1"/>
  <c r="K160" i="6"/>
  <c r="J160" i="6"/>
  <c r="K159" i="6"/>
  <c r="J159" i="6"/>
  <c r="K158" i="6"/>
  <c r="J158" i="6"/>
  <c r="J157" i="6"/>
  <c r="K157" i="6" s="1"/>
  <c r="K156" i="6"/>
  <c r="J156" i="6"/>
  <c r="J155" i="6"/>
  <c r="K155" i="6" s="1"/>
  <c r="K154" i="6"/>
  <c r="J154" i="6"/>
  <c r="K153" i="6"/>
  <c r="J153" i="6"/>
  <c r="K152" i="6"/>
  <c r="J152" i="6"/>
  <c r="J151" i="6"/>
  <c r="K151" i="6" s="1"/>
  <c r="K150" i="6"/>
  <c r="J150" i="6"/>
  <c r="K149" i="6"/>
  <c r="J149" i="6"/>
  <c r="K148" i="6"/>
  <c r="J148" i="6"/>
  <c r="K147" i="6"/>
  <c r="J147" i="6"/>
  <c r="K146" i="6"/>
  <c r="J146" i="6"/>
  <c r="J145" i="6"/>
  <c r="K145" i="6" s="1"/>
  <c r="K144" i="6"/>
  <c r="J144" i="6"/>
  <c r="K143" i="6"/>
  <c r="J143" i="6"/>
  <c r="K142" i="6"/>
  <c r="J142" i="6"/>
  <c r="K141" i="6"/>
  <c r="J141" i="6"/>
  <c r="K140" i="6"/>
  <c r="J140" i="6"/>
  <c r="J139" i="6"/>
  <c r="K139" i="6" s="1"/>
  <c r="K138" i="6"/>
  <c r="J138" i="6"/>
  <c r="J137" i="6"/>
  <c r="K137" i="6" s="1"/>
  <c r="K136" i="6"/>
  <c r="J136" i="6"/>
  <c r="K135" i="6"/>
  <c r="J135" i="6"/>
  <c r="K134" i="6"/>
  <c r="J134" i="6"/>
  <c r="J133" i="6"/>
  <c r="K133" i="6" s="1"/>
  <c r="K132" i="6"/>
  <c r="J132" i="6"/>
  <c r="K131" i="6"/>
  <c r="J131" i="6"/>
  <c r="K130" i="6"/>
  <c r="J130" i="6"/>
  <c r="K129" i="6"/>
  <c r="J129" i="6"/>
  <c r="K128" i="6"/>
  <c r="J128" i="6"/>
  <c r="J127" i="6"/>
  <c r="K127" i="6" s="1"/>
  <c r="K126" i="6"/>
  <c r="J126" i="6"/>
  <c r="J125" i="6"/>
  <c r="K125" i="6" s="1"/>
  <c r="K124" i="6"/>
  <c r="J124" i="6"/>
  <c r="K123" i="6"/>
  <c r="J123" i="6"/>
  <c r="K122" i="6"/>
  <c r="J122" i="6"/>
  <c r="J121" i="6"/>
  <c r="K121" i="6" s="1"/>
  <c r="K120" i="6"/>
  <c r="J120" i="6"/>
  <c r="K119" i="6"/>
  <c r="J119" i="6"/>
  <c r="K118" i="6"/>
  <c r="J118" i="6"/>
  <c r="K117" i="6"/>
  <c r="J117" i="6"/>
  <c r="K116" i="6"/>
  <c r="J116" i="6"/>
  <c r="J115" i="6"/>
  <c r="K115" i="6" s="1"/>
  <c r="K114" i="6"/>
  <c r="J114" i="6"/>
  <c r="J113" i="6"/>
  <c r="K113" i="6" s="1"/>
  <c r="K112" i="6"/>
  <c r="J112" i="6"/>
  <c r="K111" i="6"/>
  <c r="J111" i="6"/>
  <c r="K110" i="6"/>
  <c r="J110" i="6"/>
  <c r="J109" i="6"/>
  <c r="K109" i="6" s="1"/>
  <c r="K108" i="6"/>
  <c r="J108" i="6"/>
  <c r="K107" i="6"/>
  <c r="J107" i="6"/>
  <c r="K106" i="6"/>
  <c r="J106" i="6"/>
  <c r="K105" i="6"/>
  <c r="J105" i="6"/>
  <c r="K104" i="6"/>
  <c r="J104" i="6"/>
  <c r="J103" i="6"/>
  <c r="K103" i="6" s="1"/>
  <c r="K102" i="6"/>
  <c r="J102" i="6"/>
  <c r="K101" i="6"/>
  <c r="J101" i="6"/>
  <c r="K100" i="6"/>
  <c r="J100" i="6"/>
  <c r="K99" i="6"/>
  <c r="J99" i="6"/>
  <c r="K98" i="6"/>
  <c r="J98" i="6"/>
  <c r="J97" i="6"/>
  <c r="K97" i="6" s="1"/>
  <c r="K96" i="6"/>
  <c r="J96" i="6"/>
  <c r="K95" i="6"/>
  <c r="J95" i="6"/>
  <c r="K94" i="6"/>
  <c r="J94" i="6"/>
  <c r="K93" i="6"/>
  <c r="J93" i="6"/>
  <c r="K92" i="6"/>
  <c r="J92" i="6"/>
  <c r="J91" i="6"/>
  <c r="K91" i="6" s="1"/>
  <c r="K90" i="6"/>
  <c r="J90" i="6"/>
  <c r="K89" i="6"/>
  <c r="J89" i="6"/>
  <c r="K88" i="6"/>
  <c r="J88" i="6"/>
  <c r="K87" i="6"/>
  <c r="J87" i="6"/>
  <c r="K86" i="6"/>
  <c r="J86" i="6"/>
  <c r="J85" i="6"/>
  <c r="K85" i="6" s="1"/>
  <c r="K84" i="6"/>
  <c r="J84" i="6"/>
  <c r="K83" i="6"/>
  <c r="J83" i="6"/>
  <c r="K82" i="6"/>
  <c r="J82" i="6"/>
  <c r="K81" i="6"/>
  <c r="J81" i="6"/>
  <c r="K80" i="6"/>
  <c r="J80" i="6"/>
  <c r="J79" i="6"/>
  <c r="K79" i="6" s="1"/>
  <c r="K78" i="6"/>
  <c r="J78" i="6"/>
  <c r="J77" i="6"/>
  <c r="K77" i="6" s="1"/>
  <c r="K76" i="6"/>
  <c r="J76" i="6"/>
  <c r="K75" i="6"/>
  <c r="J75" i="6"/>
  <c r="K74" i="6"/>
  <c r="J74" i="6"/>
  <c r="J73" i="6"/>
  <c r="K73" i="6" s="1"/>
  <c r="K72" i="6"/>
  <c r="J72" i="6"/>
  <c r="J71" i="6"/>
  <c r="K71" i="6" s="1"/>
  <c r="K70" i="6"/>
  <c r="J70" i="6"/>
  <c r="K69" i="6"/>
  <c r="J69" i="6"/>
  <c r="K68" i="6"/>
  <c r="J68" i="6"/>
  <c r="J67" i="6"/>
  <c r="K67" i="6" s="1"/>
  <c r="K66" i="6"/>
  <c r="J66" i="6"/>
  <c r="J65" i="6"/>
  <c r="K65" i="6" s="1"/>
  <c r="K64" i="6"/>
  <c r="J64" i="6"/>
  <c r="K63" i="6"/>
  <c r="J63" i="6"/>
  <c r="K62" i="6"/>
  <c r="J62" i="6"/>
  <c r="J61" i="6"/>
  <c r="K61" i="6" s="1"/>
  <c r="K60" i="6"/>
  <c r="J60" i="6"/>
  <c r="K59" i="6"/>
  <c r="J59" i="6"/>
  <c r="K58" i="6"/>
  <c r="J58" i="6"/>
  <c r="K57" i="6"/>
  <c r="J57" i="6"/>
  <c r="K56" i="6"/>
  <c r="J56" i="6"/>
  <c r="J55" i="6"/>
  <c r="K55" i="6" s="1"/>
  <c r="K54" i="6"/>
  <c r="J54" i="6"/>
  <c r="J53" i="6"/>
  <c r="K53" i="6" s="1"/>
  <c r="K52" i="6"/>
  <c r="J52" i="6"/>
  <c r="K51" i="6"/>
  <c r="J51" i="6"/>
  <c r="K50" i="6"/>
  <c r="J50" i="6"/>
  <c r="J49" i="6"/>
  <c r="K49" i="6" s="1"/>
  <c r="K48" i="6"/>
  <c r="J48" i="6"/>
  <c r="K47" i="6"/>
  <c r="J47" i="6"/>
  <c r="K46" i="6"/>
  <c r="J46" i="6"/>
  <c r="K45" i="6"/>
  <c r="J45" i="6"/>
  <c r="K44" i="6"/>
  <c r="J44" i="6"/>
  <c r="J43" i="6"/>
  <c r="K43" i="6" s="1"/>
  <c r="K42" i="6"/>
  <c r="J42" i="6"/>
  <c r="J41" i="6"/>
  <c r="K41" i="6" s="1"/>
  <c r="K40" i="6"/>
  <c r="J40" i="6"/>
  <c r="K39" i="6"/>
  <c r="J39" i="6"/>
  <c r="K38" i="6"/>
  <c r="J38" i="6"/>
  <c r="J37" i="6"/>
  <c r="K37" i="6" s="1"/>
  <c r="K36" i="6"/>
  <c r="J36" i="6"/>
  <c r="K35" i="6"/>
  <c r="J35" i="6"/>
  <c r="K34" i="6"/>
  <c r="J34" i="6"/>
  <c r="K33" i="6"/>
  <c r="J33" i="6"/>
  <c r="K32" i="6"/>
  <c r="J32" i="6"/>
  <c r="J31" i="6"/>
  <c r="K31" i="6" s="1"/>
  <c r="K30" i="6"/>
  <c r="J30" i="6"/>
  <c r="K29" i="6"/>
  <c r="J29" i="6"/>
  <c r="K28" i="6"/>
  <c r="J28" i="6"/>
  <c r="K27" i="6"/>
  <c r="J27" i="6"/>
  <c r="K26" i="6"/>
  <c r="J26" i="6"/>
  <c r="J25" i="6"/>
  <c r="K25" i="6" s="1"/>
  <c r="K24" i="6"/>
  <c r="J24" i="6"/>
  <c r="J23" i="6"/>
  <c r="K23" i="6" s="1"/>
  <c r="K22" i="6"/>
  <c r="J22" i="6"/>
  <c r="K21" i="6"/>
  <c r="J21" i="6"/>
  <c r="K20" i="6"/>
  <c r="J20" i="6"/>
  <c r="J19" i="6"/>
  <c r="K19" i="6" s="1"/>
  <c r="K18" i="6"/>
  <c r="J18" i="6"/>
  <c r="J17" i="6"/>
  <c r="K17" i="6" s="1"/>
  <c r="K16" i="6"/>
  <c r="J16" i="6"/>
  <c r="K15" i="6"/>
  <c r="J15" i="6"/>
  <c r="K14" i="6"/>
  <c r="J14" i="6"/>
  <c r="J13" i="6"/>
  <c r="K13" i="6" s="1"/>
  <c r="K12" i="6"/>
  <c r="J12" i="6"/>
  <c r="K11" i="6"/>
  <c r="J11" i="6"/>
  <c r="C382" i="5"/>
  <c r="I382" i="5" s="1"/>
  <c r="C381" i="5"/>
  <c r="I381" i="5" s="1"/>
  <c r="C380" i="5"/>
  <c r="I380" i="5" s="1"/>
  <c r="C379" i="5"/>
  <c r="I379" i="5" s="1"/>
  <c r="C378" i="5"/>
  <c r="I378" i="5" s="1"/>
  <c r="C377" i="5"/>
  <c r="I377" i="5" s="1"/>
  <c r="C376" i="5"/>
  <c r="I376" i="5" s="1"/>
  <c r="C375" i="5"/>
  <c r="I375" i="5" s="1"/>
  <c r="C374" i="5"/>
  <c r="I374" i="5" s="1"/>
  <c r="C373" i="5"/>
  <c r="I373" i="5" s="1"/>
  <c r="C372" i="5"/>
  <c r="I372" i="5" s="1"/>
  <c r="C371" i="5"/>
  <c r="I371" i="5" s="1"/>
  <c r="C370" i="5"/>
  <c r="I370" i="5" s="1"/>
  <c r="C369" i="5"/>
  <c r="I369" i="5" s="1"/>
  <c r="C368" i="5"/>
  <c r="I368" i="5" s="1"/>
  <c r="C367" i="5"/>
  <c r="I367" i="5" s="1"/>
  <c r="C366" i="5"/>
  <c r="I366" i="5" s="1"/>
  <c r="C365" i="5"/>
  <c r="I365" i="5" s="1"/>
  <c r="C364" i="5"/>
  <c r="I364" i="5" s="1"/>
  <c r="C363" i="5"/>
  <c r="I363" i="5" s="1"/>
  <c r="C362" i="5"/>
  <c r="I362" i="5" s="1"/>
  <c r="C361" i="5"/>
  <c r="I361" i="5" s="1"/>
  <c r="C360" i="5"/>
  <c r="I360" i="5" s="1"/>
  <c r="C359" i="5"/>
  <c r="I359" i="5" s="1"/>
  <c r="C358" i="5"/>
  <c r="I358" i="5" s="1"/>
  <c r="C357" i="5"/>
  <c r="I357" i="5" s="1"/>
  <c r="C356" i="5"/>
  <c r="I356" i="5" s="1"/>
  <c r="C355" i="5"/>
  <c r="I355" i="5" s="1"/>
  <c r="C354" i="5"/>
  <c r="I354" i="5" s="1"/>
  <c r="C353" i="5"/>
  <c r="I353" i="5" s="1"/>
  <c r="C352" i="5"/>
  <c r="I352" i="5" s="1"/>
  <c r="C351" i="5"/>
  <c r="I351" i="5" s="1"/>
  <c r="C350" i="5"/>
  <c r="I350" i="5" s="1"/>
  <c r="C349" i="5"/>
  <c r="I349" i="5" s="1"/>
  <c r="C348" i="5"/>
  <c r="I348" i="5" s="1"/>
  <c r="C347" i="5"/>
  <c r="I347" i="5" s="1"/>
  <c r="C346" i="5"/>
  <c r="I346" i="5" s="1"/>
  <c r="C345" i="5"/>
  <c r="I345" i="5" s="1"/>
  <c r="C344" i="5"/>
  <c r="I344" i="5" s="1"/>
  <c r="C343" i="5"/>
  <c r="I343" i="5" s="1"/>
  <c r="C342" i="5"/>
  <c r="I342" i="5" s="1"/>
  <c r="C341" i="5"/>
  <c r="I341" i="5" s="1"/>
  <c r="C340" i="5"/>
  <c r="I340" i="5" s="1"/>
  <c r="C339" i="5"/>
  <c r="I339" i="5" s="1"/>
  <c r="C338" i="5"/>
  <c r="I338" i="5" s="1"/>
  <c r="C337" i="5"/>
  <c r="I337" i="5" s="1"/>
  <c r="C336" i="5"/>
  <c r="I336" i="5" s="1"/>
  <c r="C335" i="5"/>
  <c r="I335" i="5" s="1"/>
  <c r="C334" i="5"/>
  <c r="I334" i="5" s="1"/>
  <c r="C333" i="5"/>
  <c r="I333" i="5" s="1"/>
  <c r="C332" i="5"/>
  <c r="I332" i="5" s="1"/>
  <c r="C331" i="5"/>
  <c r="I331" i="5" s="1"/>
  <c r="C330" i="5"/>
  <c r="I330" i="5" s="1"/>
  <c r="C329" i="5"/>
  <c r="I329" i="5" s="1"/>
  <c r="C328" i="5"/>
  <c r="I328" i="5" s="1"/>
  <c r="C327" i="5"/>
  <c r="I327" i="5" s="1"/>
  <c r="I326" i="5"/>
  <c r="C326" i="5"/>
  <c r="C325" i="5"/>
  <c r="I325" i="5" s="1"/>
  <c r="C324" i="5"/>
  <c r="I324" i="5" s="1"/>
  <c r="C323" i="5"/>
  <c r="I323" i="5" s="1"/>
  <c r="C322" i="5"/>
  <c r="I322" i="5" s="1"/>
  <c r="C321" i="5"/>
  <c r="I321" i="5" s="1"/>
  <c r="C320" i="5"/>
  <c r="I320" i="5" s="1"/>
  <c r="C319" i="5"/>
  <c r="I319" i="5" s="1"/>
  <c r="C318" i="5"/>
  <c r="I318" i="5" s="1"/>
  <c r="C317" i="5"/>
  <c r="I317" i="5" s="1"/>
  <c r="C316" i="5"/>
  <c r="I316" i="5" s="1"/>
  <c r="C315" i="5"/>
  <c r="I315" i="5" s="1"/>
  <c r="C314" i="5"/>
  <c r="I314" i="5" s="1"/>
  <c r="C313" i="5"/>
  <c r="I313" i="5" s="1"/>
  <c r="C312" i="5"/>
  <c r="I312" i="5" s="1"/>
  <c r="C311" i="5"/>
  <c r="I311" i="5" s="1"/>
  <c r="C310" i="5"/>
  <c r="I310" i="5" s="1"/>
  <c r="C309" i="5"/>
  <c r="I309" i="5" s="1"/>
  <c r="C308" i="5"/>
  <c r="I308" i="5" s="1"/>
  <c r="C307" i="5"/>
  <c r="I307" i="5" s="1"/>
  <c r="C306" i="5"/>
  <c r="I306" i="5" s="1"/>
  <c r="C305" i="5"/>
  <c r="I305" i="5" s="1"/>
  <c r="C304" i="5"/>
  <c r="I304" i="5" s="1"/>
  <c r="C303" i="5"/>
  <c r="I303" i="5" s="1"/>
  <c r="C302" i="5"/>
  <c r="I302" i="5" s="1"/>
  <c r="C301" i="5"/>
  <c r="I301" i="5" s="1"/>
  <c r="C300" i="5"/>
  <c r="I300" i="5" s="1"/>
  <c r="C299" i="5"/>
  <c r="I299" i="5" s="1"/>
  <c r="C298" i="5"/>
  <c r="I298" i="5" s="1"/>
  <c r="C297" i="5"/>
  <c r="I297" i="5" s="1"/>
  <c r="C296" i="5"/>
  <c r="I296" i="5" s="1"/>
  <c r="C295" i="5"/>
  <c r="I295" i="5" s="1"/>
  <c r="C294" i="5"/>
  <c r="I294" i="5" s="1"/>
  <c r="C293" i="5"/>
  <c r="I293" i="5" s="1"/>
  <c r="C292" i="5"/>
  <c r="I292" i="5" s="1"/>
  <c r="C291" i="5"/>
  <c r="I291" i="5" s="1"/>
  <c r="C290" i="5"/>
  <c r="I290" i="5" s="1"/>
  <c r="C289" i="5"/>
  <c r="I289" i="5" s="1"/>
  <c r="C288" i="5"/>
  <c r="I288" i="5" s="1"/>
  <c r="C287" i="5"/>
  <c r="I287" i="5" s="1"/>
  <c r="C286" i="5"/>
  <c r="I286" i="5" s="1"/>
  <c r="C285" i="5"/>
  <c r="I285" i="5" s="1"/>
  <c r="C284" i="5"/>
  <c r="I284" i="5" s="1"/>
  <c r="C283" i="5"/>
  <c r="I283" i="5" s="1"/>
  <c r="C282" i="5"/>
  <c r="I282" i="5" s="1"/>
  <c r="C281" i="5"/>
  <c r="I281" i="5" s="1"/>
  <c r="C280" i="5"/>
  <c r="I280" i="5" s="1"/>
  <c r="C279" i="5"/>
  <c r="I279" i="5" s="1"/>
  <c r="C278" i="5"/>
  <c r="I278" i="5" s="1"/>
  <c r="C277" i="5"/>
  <c r="I277" i="5" s="1"/>
  <c r="C276" i="5"/>
  <c r="I276" i="5" s="1"/>
  <c r="C275" i="5"/>
  <c r="I275" i="5" s="1"/>
  <c r="C274" i="5"/>
  <c r="I274" i="5" s="1"/>
  <c r="C273" i="5"/>
  <c r="I273" i="5" s="1"/>
  <c r="C272" i="5"/>
  <c r="I272" i="5" s="1"/>
  <c r="C271" i="5"/>
  <c r="I271" i="5" s="1"/>
  <c r="C270" i="5"/>
  <c r="I270" i="5" s="1"/>
  <c r="C269" i="5"/>
  <c r="I269" i="5" s="1"/>
  <c r="C268" i="5"/>
  <c r="I268" i="5" s="1"/>
  <c r="C267" i="5"/>
  <c r="I267" i="5" s="1"/>
  <c r="C266" i="5"/>
  <c r="I266" i="5" s="1"/>
  <c r="C265" i="5"/>
  <c r="I265" i="5" s="1"/>
  <c r="C264" i="5"/>
  <c r="I264" i="5" s="1"/>
  <c r="C263" i="5"/>
  <c r="I263" i="5" s="1"/>
  <c r="C262" i="5"/>
  <c r="I262" i="5" s="1"/>
  <c r="C261" i="5"/>
  <c r="I261" i="5" s="1"/>
  <c r="C260" i="5"/>
  <c r="I260" i="5" s="1"/>
  <c r="C259" i="5"/>
  <c r="I259" i="5" s="1"/>
  <c r="C258" i="5"/>
  <c r="I258" i="5" s="1"/>
  <c r="C257" i="5"/>
  <c r="I257" i="5" s="1"/>
  <c r="C256" i="5"/>
  <c r="I256" i="5" s="1"/>
  <c r="C255" i="5"/>
  <c r="I255" i="5" s="1"/>
  <c r="C254" i="5"/>
  <c r="I254" i="5" s="1"/>
  <c r="C253" i="5"/>
  <c r="I253" i="5" s="1"/>
  <c r="C252" i="5"/>
  <c r="I252" i="5" s="1"/>
  <c r="C251" i="5"/>
  <c r="I251" i="5" s="1"/>
  <c r="C250" i="5"/>
  <c r="I250" i="5" s="1"/>
  <c r="C249" i="5"/>
  <c r="I249" i="5" s="1"/>
  <c r="C248" i="5"/>
  <c r="I248" i="5" s="1"/>
  <c r="C247" i="5"/>
  <c r="I247" i="5" s="1"/>
  <c r="C246" i="5"/>
  <c r="I246" i="5" s="1"/>
  <c r="C245" i="5"/>
  <c r="I245" i="5" s="1"/>
  <c r="C244" i="5"/>
  <c r="I244" i="5" s="1"/>
  <c r="C243" i="5"/>
  <c r="I243" i="5" s="1"/>
  <c r="I242" i="5"/>
  <c r="C242" i="5"/>
  <c r="C241" i="5"/>
  <c r="I241" i="5" s="1"/>
  <c r="C240" i="5"/>
  <c r="I240" i="5" s="1"/>
  <c r="C239" i="5"/>
  <c r="I239" i="5" s="1"/>
  <c r="C238" i="5"/>
  <c r="I238" i="5" s="1"/>
  <c r="C237" i="5"/>
  <c r="I237" i="5" s="1"/>
  <c r="C236" i="5"/>
  <c r="I236" i="5" s="1"/>
  <c r="C235" i="5"/>
  <c r="I235" i="5" s="1"/>
  <c r="C234" i="5"/>
  <c r="I234" i="5" s="1"/>
  <c r="C233" i="5"/>
  <c r="I233" i="5" s="1"/>
  <c r="C232" i="5"/>
  <c r="I232" i="5" s="1"/>
  <c r="C231" i="5"/>
  <c r="I231" i="5" s="1"/>
  <c r="C230" i="5"/>
  <c r="I230" i="5" s="1"/>
  <c r="C229" i="5"/>
  <c r="I229" i="5" s="1"/>
  <c r="C228" i="5"/>
  <c r="I228" i="5" s="1"/>
  <c r="C227" i="5"/>
  <c r="I227" i="5" s="1"/>
  <c r="C226" i="5"/>
  <c r="I226" i="5" s="1"/>
  <c r="C225" i="5"/>
  <c r="I225" i="5" s="1"/>
  <c r="C224" i="5"/>
  <c r="I224" i="5" s="1"/>
  <c r="C223" i="5"/>
  <c r="I223" i="5" s="1"/>
  <c r="C222" i="5"/>
  <c r="I222" i="5" s="1"/>
  <c r="C221" i="5"/>
  <c r="I221" i="5" s="1"/>
  <c r="C220" i="5"/>
  <c r="I220" i="5" s="1"/>
  <c r="C219" i="5"/>
  <c r="I219" i="5" s="1"/>
  <c r="C218" i="5"/>
  <c r="I218" i="5" s="1"/>
  <c r="C217" i="5"/>
  <c r="I217" i="5" s="1"/>
  <c r="C216" i="5"/>
  <c r="I216" i="5" s="1"/>
  <c r="C215" i="5"/>
  <c r="I215" i="5" s="1"/>
  <c r="C214" i="5"/>
  <c r="I214" i="5" s="1"/>
  <c r="C213" i="5"/>
  <c r="I213" i="5" s="1"/>
  <c r="C212" i="5"/>
  <c r="I212" i="5" s="1"/>
  <c r="C211" i="5"/>
  <c r="I211" i="5" s="1"/>
  <c r="C210" i="5"/>
  <c r="I210" i="5" s="1"/>
  <c r="C209" i="5"/>
  <c r="I209" i="5" s="1"/>
  <c r="C208" i="5"/>
  <c r="I208" i="5" s="1"/>
  <c r="C207" i="5"/>
  <c r="I207" i="5" s="1"/>
  <c r="C206" i="5"/>
  <c r="I206" i="5" s="1"/>
  <c r="C205" i="5"/>
  <c r="I205" i="5" s="1"/>
  <c r="C204" i="5"/>
  <c r="I204" i="5" s="1"/>
  <c r="C203" i="5"/>
  <c r="I203" i="5" s="1"/>
  <c r="C202" i="5"/>
  <c r="I202" i="5" s="1"/>
  <c r="C201" i="5"/>
  <c r="I201" i="5" s="1"/>
  <c r="C200" i="5"/>
  <c r="I200" i="5" s="1"/>
  <c r="C199" i="5"/>
  <c r="I199" i="5" s="1"/>
  <c r="C198" i="5"/>
  <c r="I198" i="5" s="1"/>
  <c r="C197" i="5"/>
  <c r="I197" i="5" s="1"/>
  <c r="C196" i="5"/>
  <c r="I196" i="5" s="1"/>
  <c r="C195" i="5"/>
  <c r="I195" i="5" s="1"/>
  <c r="C194" i="5"/>
  <c r="I194" i="5" s="1"/>
  <c r="C193" i="5"/>
  <c r="I193" i="5" s="1"/>
  <c r="C192" i="5"/>
  <c r="I192" i="5" s="1"/>
  <c r="C191" i="5"/>
  <c r="I191" i="5" s="1"/>
  <c r="C190" i="5"/>
  <c r="I190" i="5" s="1"/>
  <c r="C189" i="5"/>
  <c r="I189" i="5" s="1"/>
  <c r="I188" i="5"/>
  <c r="C188" i="5"/>
  <c r="C187" i="5"/>
  <c r="I187" i="5" s="1"/>
  <c r="C186" i="5"/>
  <c r="I186" i="5" s="1"/>
  <c r="C185" i="5"/>
  <c r="I185" i="5" s="1"/>
  <c r="C184" i="5"/>
  <c r="I184" i="5" s="1"/>
  <c r="C183" i="5"/>
  <c r="I183" i="5" s="1"/>
  <c r="C182" i="5"/>
  <c r="I182" i="5" s="1"/>
  <c r="C181" i="5"/>
  <c r="I181" i="5" s="1"/>
  <c r="C180" i="5"/>
  <c r="I180" i="5" s="1"/>
  <c r="C179" i="5"/>
  <c r="I179" i="5" s="1"/>
  <c r="C178" i="5"/>
  <c r="I178" i="5" s="1"/>
  <c r="C177" i="5"/>
  <c r="I177" i="5" s="1"/>
  <c r="C176" i="5"/>
  <c r="I176" i="5" s="1"/>
  <c r="C175" i="5"/>
  <c r="I175" i="5" s="1"/>
  <c r="C174" i="5"/>
  <c r="I174" i="5" s="1"/>
  <c r="C173" i="5"/>
  <c r="I173" i="5" s="1"/>
  <c r="C172" i="5"/>
  <c r="I172" i="5" s="1"/>
  <c r="C171" i="5"/>
  <c r="I171" i="5" s="1"/>
  <c r="C170" i="5"/>
  <c r="I170" i="5" s="1"/>
  <c r="C169" i="5"/>
  <c r="I169" i="5" s="1"/>
  <c r="C168" i="5"/>
  <c r="I168" i="5" s="1"/>
  <c r="C167" i="5"/>
  <c r="I167" i="5" s="1"/>
  <c r="C166" i="5"/>
  <c r="I166" i="5" s="1"/>
  <c r="C165" i="5"/>
  <c r="I165" i="5" s="1"/>
  <c r="C164" i="5"/>
  <c r="I164" i="5" s="1"/>
  <c r="C163" i="5"/>
  <c r="I163" i="5" s="1"/>
  <c r="C162" i="5"/>
  <c r="I162" i="5" s="1"/>
  <c r="C161" i="5"/>
  <c r="I161" i="5" s="1"/>
  <c r="C160" i="5"/>
  <c r="I160" i="5" s="1"/>
  <c r="C159" i="5"/>
  <c r="I159" i="5" s="1"/>
  <c r="C158" i="5"/>
  <c r="I158" i="5" s="1"/>
  <c r="C157" i="5"/>
  <c r="I157" i="5" s="1"/>
  <c r="C156" i="5"/>
  <c r="I156" i="5" s="1"/>
  <c r="C155" i="5"/>
  <c r="I155" i="5" s="1"/>
  <c r="C154" i="5"/>
  <c r="I154" i="5" s="1"/>
  <c r="C153" i="5"/>
  <c r="I153" i="5" s="1"/>
  <c r="C152" i="5"/>
  <c r="I152" i="5" s="1"/>
  <c r="C151" i="5"/>
  <c r="I151" i="5" s="1"/>
  <c r="C150" i="5"/>
  <c r="I150" i="5" s="1"/>
  <c r="C149" i="5"/>
  <c r="I149" i="5" s="1"/>
  <c r="C148" i="5"/>
  <c r="I148" i="5" s="1"/>
  <c r="C147" i="5"/>
  <c r="I147" i="5" s="1"/>
  <c r="C146" i="5"/>
  <c r="I146" i="5" s="1"/>
  <c r="C145" i="5"/>
  <c r="I145" i="5" s="1"/>
  <c r="C144" i="5"/>
  <c r="I144" i="5" s="1"/>
  <c r="C143" i="5"/>
  <c r="I143" i="5" s="1"/>
  <c r="C142" i="5"/>
  <c r="I142" i="5" s="1"/>
  <c r="C141" i="5"/>
  <c r="I141" i="5" s="1"/>
  <c r="C140" i="5"/>
  <c r="I140" i="5" s="1"/>
  <c r="C139" i="5"/>
  <c r="I139" i="5" s="1"/>
  <c r="C138" i="5"/>
  <c r="I138" i="5" s="1"/>
  <c r="C137" i="5"/>
  <c r="I137" i="5" s="1"/>
  <c r="C136" i="5"/>
  <c r="I136" i="5" s="1"/>
  <c r="C135" i="5"/>
  <c r="I135" i="5" s="1"/>
  <c r="C134" i="5"/>
  <c r="I134" i="5" s="1"/>
  <c r="C133" i="5"/>
  <c r="I133" i="5" s="1"/>
  <c r="C132" i="5"/>
  <c r="I132" i="5" s="1"/>
  <c r="C131" i="5"/>
  <c r="I131" i="5" s="1"/>
  <c r="C130" i="5"/>
  <c r="I130" i="5" s="1"/>
  <c r="C129" i="5"/>
  <c r="I129" i="5" s="1"/>
  <c r="C128" i="5"/>
  <c r="I128" i="5" s="1"/>
  <c r="C127" i="5"/>
  <c r="I127" i="5" s="1"/>
  <c r="C126" i="5"/>
  <c r="I126" i="5" s="1"/>
  <c r="C125" i="5"/>
  <c r="I125" i="5" s="1"/>
  <c r="C124" i="5"/>
  <c r="I124" i="5" s="1"/>
  <c r="C123" i="5"/>
  <c r="I123" i="5" s="1"/>
  <c r="C122" i="5"/>
  <c r="I122" i="5" s="1"/>
  <c r="C121" i="5"/>
  <c r="I121" i="5" s="1"/>
  <c r="C120" i="5"/>
  <c r="I120" i="5" s="1"/>
  <c r="C119" i="5"/>
  <c r="I119" i="5" s="1"/>
  <c r="C118" i="5"/>
  <c r="I118" i="5" s="1"/>
  <c r="C117" i="5"/>
  <c r="I117" i="5" s="1"/>
  <c r="C116" i="5"/>
  <c r="I116" i="5" s="1"/>
  <c r="C115" i="5"/>
  <c r="I115" i="5" s="1"/>
  <c r="C114" i="5"/>
  <c r="I114" i="5" s="1"/>
  <c r="C113" i="5"/>
  <c r="I113" i="5" s="1"/>
  <c r="C112" i="5"/>
  <c r="I112" i="5" s="1"/>
  <c r="C111" i="5"/>
  <c r="I111" i="5" s="1"/>
  <c r="C110" i="5"/>
  <c r="I110" i="5" s="1"/>
  <c r="C109" i="5"/>
  <c r="I109" i="5" s="1"/>
  <c r="C108" i="5"/>
  <c r="I108" i="5" s="1"/>
  <c r="C107" i="5"/>
  <c r="I107" i="5" s="1"/>
  <c r="C106" i="5"/>
  <c r="I106" i="5" s="1"/>
  <c r="C105" i="5"/>
  <c r="I105" i="5" s="1"/>
  <c r="C104" i="5"/>
  <c r="I104" i="5" s="1"/>
  <c r="C103" i="5"/>
  <c r="I103" i="5" s="1"/>
  <c r="C102" i="5"/>
  <c r="I102" i="5" s="1"/>
  <c r="C101" i="5"/>
  <c r="I101" i="5" s="1"/>
  <c r="C100" i="5"/>
  <c r="I100" i="5" s="1"/>
  <c r="C99" i="5"/>
  <c r="I99" i="5" s="1"/>
  <c r="C98" i="5"/>
  <c r="I98" i="5" s="1"/>
  <c r="C97" i="5"/>
  <c r="I97" i="5" s="1"/>
  <c r="C96" i="5"/>
  <c r="I96" i="5" s="1"/>
  <c r="C95" i="5"/>
  <c r="I95" i="5" s="1"/>
  <c r="C94" i="5"/>
  <c r="I94" i="5" s="1"/>
  <c r="C93" i="5"/>
  <c r="I93" i="5" s="1"/>
  <c r="C92" i="5"/>
  <c r="I92" i="5" s="1"/>
  <c r="C91" i="5"/>
  <c r="I91" i="5" s="1"/>
  <c r="C90" i="5"/>
  <c r="I90" i="5" s="1"/>
  <c r="C89" i="5"/>
  <c r="I89" i="5" s="1"/>
  <c r="C88" i="5"/>
  <c r="I88" i="5" s="1"/>
  <c r="C87" i="5"/>
  <c r="I87" i="5" s="1"/>
  <c r="C86" i="5"/>
  <c r="I86" i="5" s="1"/>
  <c r="C85" i="5"/>
  <c r="I85" i="5" s="1"/>
  <c r="C84" i="5"/>
  <c r="I84" i="5" s="1"/>
  <c r="C83" i="5"/>
  <c r="I83" i="5" s="1"/>
  <c r="C82" i="5"/>
  <c r="I82" i="5" s="1"/>
  <c r="C81" i="5"/>
  <c r="I81" i="5" s="1"/>
  <c r="C80" i="5"/>
  <c r="I80" i="5" s="1"/>
  <c r="C79" i="5"/>
  <c r="I79" i="5" s="1"/>
  <c r="C78" i="5"/>
  <c r="I78" i="5" s="1"/>
  <c r="C77" i="5"/>
  <c r="I77" i="5" s="1"/>
  <c r="C76" i="5"/>
  <c r="I76" i="5" s="1"/>
  <c r="C75" i="5"/>
  <c r="I75" i="5" s="1"/>
  <c r="C74" i="5"/>
  <c r="I74" i="5" s="1"/>
  <c r="C73" i="5"/>
  <c r="I73" i="5" s="1"/>
  <c r="C72" i="5"/>
  <c r="I72" i="5" s="1"/>
  <c r="C71" i="5"/>
  <c r="I71" i="5" s="1"/>
  <c r="C70" i="5"/>
  <c r="I70" i="5" s="1"/>
  <c r="C69" i="5"/>
  <c r="I69" i="5" s="1"/>
  <c r="C68" i="5"/>
  <c r="I68" i="5" s="1"/>
  <c r="C67" i="5"/>
  <c r="I67" i="5" s="1"/>
  <c r="C66" i="5"/>
  <c r="I66" i="5" s="1"/>
  <c r="C65" i="5"/>
  <c r="I65" i="5" s="1"/>
  <c r="C64" i="5"/>
  <c r="I64" i="5" s="1"/>
  <c r="C63" i="5"/>
  <c r="I63" i="5" s="1"/>
  <c r="C62" i="5"/>
  <c r="I62" i="5" s="1"/>
  <c r="C61" i="5"/>
  <c r="I61" i="5" s="1"/>
  <c r="C60" i="5"/>
  <c r="I60" i="5" s="1"/>
  <c r="C59" i="5"/>
  <c r="I59" i="5" s="1"/>
  <c r="C58" i="5"/>
  <c r="I58" i="5" s="1"/>
  <c r="C57" i="5"/>
  <c r="I57" i="5" s="1"/>
  <c r="C56" i="5"/>
  <c r="I56" i="5" s="1"/>
  <c r="C55" i="5"/>
  <c r="I55" i="5" s="1"/>
  <c r="C54" i="5"/>
  <c r="I54" i="5" s="1"/>
  <c r="C53" i="5"/>
  <c r="I53" i="5" s="1"/>
  <c r="C52" i="5"/>
  <c r="I52" i="5" s="1"/>
  <c r="C51" i="5"/>
  <c r="I51" i="5" s="1"/>
  <c r="C50" i="5"/>
  <c r="I50" i="5" s="1"/>
  <c r="C49" i="5"/>
  <c r="I49" i="5" s="1"/>
  <c r="C48" i="5"/>
  <c r="I48" i="5" s="1"/>
  <c r="C47" i="5"/>
  <c r="I47" i="5" s="1"/>
  <c r="C46" i="5"/>
  <c r="I46" i="5" s="1"/>
  <c r="C45" i="5"/>
  <c r="I45" i="5" s="1"/>
  <c r="C44" i="5"/>
  <c r="I44" i="5" s="1"/>
  <c r="C43" i="5"/>
  <c r="I43" i="5" s="1"/>
  <c r="C42" i="5"/>
  <c r="I42" i="5" s="1"/>
  <c r="C41" i="5"/>
  <c r="I41" i="5" s="1"/>
  <c r="C40" i="5"/>
  <c r="I40" i="5" s="1"/>
  <c r="C39" i="5"/>
  <c r="I39" i="5" s="1"/>
  <c r="C38" i="5"/>
  <c r="I38" i="5" s="1"/>
  <c r="C37" i="5"/>
  <c r="I37" i="5" s="1"/>
  <c r="C36" i="5"/>
  <c r="I36" i="5" s="1"/>
  <c r="C35" i="5"/>
  <c r="I35" i="5" s="1"/>
  <c r="C34" i="5"/>
  <c r="I34" i="5" s="1"/>
  <c r="C33" i="5"/>
  <c r="I33" i="5" s="1"/>
  <c r="C32" i="5"/>
  <c r="I32" i="5" s="1"/>
  <c r="C31" i="5"/>
  <c r="I31" i="5" s="1"/>
  <c r="C30" i="5"/>
  <c r="I30" i="5" s="1"/>
  <c r="C29" i="5"/>
  <c r="I29" i="5" s="1"/>
  <c r="C28" i="5"/>
  <c r="I28" i="5" s="1"/>
  <c r="C27" i="5"/>
  <c r="I27" i="5" s="1"/>
  <c r="C26" i="5"/>
  <c r="I26" i="5" s="1"/>
  <c r="C25" i="5"/>
  <c r="I25" i="5" s="1"/>
  <c r="C24" i="5"/>
  <c r="I24" i="5" s="1"/>
  <c r="C23" i="5"/>
  <c r="I23" i="5" s="1"/>
  <c r="C22" i="5"/>
  <c r="I22" i="5" s="1"/>
  <c r="C21" i="5"/>
  <c r="I21" i="5" s="1"/>
  <c r="C20" i="5"/>
  <c r="I20" i="5" s="1"/>
  <c r="C19" i="5"/>
  <c r="I19" i="5" s="1"/>
  <c r="C18" i="5"/>
  <c r="I18" i="5" s="1"/>
  <c r="C17" i="5"/>
  <c r="I17" i="5" s="1"/>
  <c r="C16" i="5"/>
  <c r="I16" i="5" s="1"/>
  <c r="I15" i="5"/>
  <c r="C15" i="5"/>
  <c r="C14" i="5"/>
  <c r="I14" i="5" s="1"/>
  <c r="C13" i="5"/>
  <c r="I13" i="5" s="1"/>
  <c r="I12" i="5"/>
  <c r="C12" i="5"/>
  <c r="C11" i="5"/>
  <c r="I11" i="5" s="1"/>
  <c r="A1" i="5"/>
  <c r="R385" i="4"/>
  <c r="S383" i="4"/>
  <c r="R383" i="4"/>
  <c r="O383" i="4"/>
  <c r="N383" i="4"/>
  <c r="I383" i="4"/>
  <c r="C383" i="4"/>
  <c r="R382" i="4"/>
  <c r="O382" i="4"/>
  <c r="N382" i="4"/>
  <c r="P382" i="4" s="1"/>
  <c r="Q382" i="4" s="1"/>
  <c r="I382" i="4"/>
  <c r="C382" i="4"/>
  <c r="S381" i="4"/>
  <c r="R381" i="4"/>
  <c r="P381" i="4"/>
  <c r="Q381" i="4" s="1"/>
  <c r="O381" i="4"/>
  <c r="N381" i="4"/>
  <c r="I381" i="4"/>
  <c r="C381" i="4"/>
  <c r="P380" i="4"/>
  <c r="Q380" i="4" s="1"/>
  <c r="O380" i="4"/>
  <c r="R380" i="4" s="1"/>
  <c r="N380" i="4"/>
  <c r="I380" i="4"/>
  <c r="S380" i="4" s="1"/>
  <c r="C380" i="4"/>
  <c r="R379" i="4"/>
  <c r="O379" i="4"/>
  <c r="N379" i="4"/>
  <c r="P379" i="4" s="1"/>
  <c r="Q379" i="4" s="1"/>
  <c r="I379" i="4"/>
  <c r="C379" i="4"/>
  <c r="R378" i="4"/>
  <c r="P378" i="4"/>
  <c r="Q378" i="4" s="1"/>
  <c r="O378" i="4"/>
  <c r="N378" i="4"/>
  <c r="I378" i="4"/>
  <c r="C378" i="4"/>
  <c r="R377" i="4"/>
  <c r="O377" i="4"/>
  <c r="N377" i="4"/>
  <c r="P377" i="4" s="1"/>
  <c r="Q377" i="4" s="1"/>
  <c r="I377" i="4"/>
  <c r="S377" i="4" s="1"/>
  <c r="C377" i="4"/>
  <c r="R376" i="4"/>
  <c r="P376" i="4"/>
  <c r="Q376" i="4" s="1"/>
  <c r="O376" i="4"/>
  <c r="N376" i="4"/>
  <c r="I376" i="4"/>
  <c r="S376" i="4" s="1"/>
  <c r="C376" i="4"/>
  <c r="R375" i="4"/>
  <c r="P375" i="4"/>
  <c r="Q375" i="4" s="1"/>
  <c r="O375" i="4"/>
  <c r="N375" i="4"/>
  <c r="I375" i="4"/>
  <c r="S375" i="4" s="1"/>
  <c r="C375" i="4"/>
  <c r="Q374" i="4"/>
  <c r="O374" i="4"/>
  <c r="R374" i="4" s="1"/>
  <c r="N374" i="4"/>
  <c r="P374" i="4" s="1"/>
  <c r="I374" i="4"/>
  <c r="C374" i="4"/>
  <c r="S374" i="4" s="1"/>
  <c r="P373" i="4"/>
  <c r="Q373" i="4" s="1"/>
  <c r="O373" i="4"/>
  <c r="R373" i="4" s="1"/>
  <c r="N373" i="4"/>
  <c r="I373" i="4"/>
  <c r="C373" i="4"/>
  <c r="R372" i="4"/>
  <c r="O372" i="4"/>
  <c r="N372" i="4"/>
  <c r="P372" i="4" s="1"/>
  <c r="Q372" i="4" s="1"/>
  <c r="I372" i="4"/>
  <c r="C372" i="4"/>
  <c r="S371" i="4"/>
  <c r="R371" i="4"/>
  <c r="P371" i="4"/>
  <c r="Q371" i="4" s="1"/>
  <c r="O371" i="4"/>
  <c r="N371" i="4"/>
  <c r="I371" i="4"/>
  <c r="C371" i="4"/>
  <c r="O370" i="4"/>
  <c r="R370" i="4" s="1"/>
  <c r="N370" i="4"/>
  <c r="P370" i="4" s="1"/>
  <c r="Q370" i="4" s="1"/>
  <c r="I370" i="4"/>
  <c r="S370" i="4" s="1"/>
  <c r="C370" i="4"/>
  <c r="S369" i="4"/>
  <c r="R369" i="4"/>
  <c r="O369" i="4"/>
  <c r="N369" i="4"/>
  <c r="P369" i="4" s="1"/>
  <c r="Q369" i="4" s="1"/>
  <c r="I369" i="4"/>
  <c r="C369" i="4"/>
  <c r="S368" i="4"/>
  <c r="O368" i="4"/>
  <c r="P368" i="4" s="1"/>
  <c r="Q368" i="4" s="1"/>
  <c r="N368" i="4"/>
  <c r="I368" i="4"/>
  <c r="C368" i="4"/>
  <c r="R367" i="4"/>
  <c r="Q367" i="4"/>
  <c r="P367" i="4"/>
  <c r="O367" i="4"/>
  <c r="N367" i="4"/>
  <c r="I367" i="4"/>
  <c r="C367" i="4"/>
  <c r="R366" i="4"/>
  <c r="O366" i="4"/>
  <c r="N366" i="4"/>
  <c r="P366" i="4" s="1"/>
  <c r="Q366" i="4" s="1"/>
  <c r="I366" i="4"/>
  <c r="S366" i="4" s="1"/>
  <c r="C366" i="4"/>
  <c r="S365" i="4"/>
  <c r="R365" i="4"/>
  <c r="Q365" i="4"/>
  <c r="P365" i="4"/>
  <c r="O365" i="4"/>
  <c r="N365" i="4"/>
  <c r="I365" i="4"/>
  <c r="C365" i="4"/>
  <c r="O364" i="4"/>
  <c r="N364" i="4"/>
  <c r="I364" i="4"/>
  <c r="S364" i="4" s="1"/>
  <c r="C364" i="4"/>
  <c r="S363" i="4"/>
  <c r="R363" i="4"/>
  <c r="O363" i="4"/>
  <c r="N363" i="4"/>
  <c r="P363" i="4" s="1"/>
  <c r="Q363" i="4" s="1"/>
  <c r="I363" i="4"/>
  <c r="C363" i="4"/>
  <c r="S362" i="4"/>
  <c r="O362" i="4"/>
  <c r="N362" i="4"/>
  <c r="I362" i="4"/>
  <c r="C362" i="4"/>
  <c r="O361" i="4"/>
  <c r="R361" i="4" s="1"/>
  <c r="N361" i="4"/>
  <c r="I361" i="4"/>
  <c r="S361" i="4" s="1"/>
  <c r="C361" i="4"/>
  <c r="S360" i="4"/>
  <c r="R360" i="4"/>
  <c r="P360" i="4"/>
  <c r="Q360" i="4" s="1"/>
  <c r="O360" i="4"/>
  <c r="N360" i="4"/>
  <c r="I360" i="4"/>
  <c r="C360" i="4"/>
  <c r="R359" i="4"/>
  <c r="Q359" i="4"/>
  <c r="P359" i="4"/>
  <c r="O359" i="4"/>
  <c r="N359" i="4"/>
  <c r="I359" i="4"/>
  <c r="C359" i="4"/>
  <c r="S359" i="4" s="1"/>
  <c r="O358" i="4"/>
  <c r="R358" i="4" s="1"/>
  <c r="N358" i="4"/>
  <c r="I358" i="4"/>
  <c r="S358" i="4" s="1"/>
  <c r="C358" i="4"/>
  <c r="S357" i="4"/>
  <c r="R357" i="4"/>
  <c r="Q357" i="4"/>
  <c r="P357" i="4"/>
  <c r="O357" i="4"/>
  <c r="N357" i="4"/>
  <c r="I357" i="4"/>
  <c r="C357" i="4"/>
  <c r="R356" i="4"/>
  <c r="O356" i="4"/>
  <c r="N356" i="4"/>
  <c r="P356" i="4" s="1"/>
  <c r="Q356" i="4" s="1"/>
  <c r="I356" i="4"/>
  <c r="S356" i="4" s="1"/>
  <c r="C356" i="4"/>
  <c r="S355" i="4"/>
  <c r="O355" i="4"/>
  <c r="R355" i="4" s="1"/>
  <c r="N355" i="4"/>
  <c r="I355" i="4"/>
  <c r="C355" i="4"/>
  <c r="S354" i="4"/>
  <c r="R354" i="4"/>
  <c r="O354" i="4"/>
  <c r="P354" i="4" s="1"/>
  <c r="Q354" i="4" s="1"/>
  <c r="N354" i="4"/>
  <c r="I354" i="4"/>
  <c r="C354" i="4"/>
  <c r="S353" i="4"/>
  <c r="R353" i="4"/>
  <c r="Q353" i="4"/>
  <c r="O353" i="4"/>
  <c r="N353" i="4"/>
  <c r="P353" i="4" s="1"/>
  <c r="I353" i="4"/>
  <c r="C353" i="4"/>
  <c r="O352" i="4"/>
  <c r="R352" i="4" s="1"/>
  <c r="N352" i="4"/>
  <c r="P352" i="4" s="1"/>
  <c r="Q352" i="4" s="1"/>
  <c r="I352" i="4"/>
  <c r="C352" i="4"/>
  <c r="S351" i="4"/>
  <c r="R351" i="4"/>
  <c r="Q351" i="4"/>
  <c r="O351" i="4"/>
  <c r="P351" i="4" s="1"/>
  <c r="N351" i="4"/>
  <c r="I351" i="4"/>
  <c r="C351" i="4"/>
  <c r="R350" i="4"/>
  <c r="P350" i="4"/>
  <c r="Q350" i="4" s="1"/>
  <c r="O350" i="4"/>
  <c r="N350" i="4"/>
  <c r="I350" i="4"/>
  <c r="S350" i="4" s="1"/>
  <c r="C350" i="4"/>
  <c r="S349" i="4"/>
  <c r="O349" i="4"/>
  <c r="R349" i="4" s="1"/>
  <c r="N349" i="4"/>
  <c r="I349" i="4"/>
  <c r="C349" i="4"/>
  <c r="S348" i="4"/>
  <c r="O348" i="4"/>
  <c r="N348" i="4"/>
  <c r="I348" i="4"/>
  <c r="C348" i="4"/>
  <c r="S347" i="4"/>
  <c r="R347" i="4"/>
  <c r="O347" i="4"/>
  <c r="N347" i="4"/>
  <c r="P347" i="4" s="1"/>
  <c r="Q347" i="4" s="1"/>
  <c r="I347" i="4"/>
  <c r="C347" i="4"/>
  <c r="O346" i="4"/>
  <c r="R346" i="4" s="1"/>
  <c r="N346" i="4"/>
  <c r="I346" i="4"/>
  <c r="S346" i="4" s="1"/>
  <c r="C346" i="4"/>
  <c r="S345" i="4"/>
  <c r="R345" i="4"/>
  <c r="O345" i="4"/>
  <c r="P345" i="4" s="1"/>
  <c r="Q345" i="4" s="1"/>
  <c r="N345" i="4"/>
  <c r="I345" i="4"/>
  <c r="C345" i="4"/>
  <c r="S344" i="4"/>
  <c r="P344" i="4"/>
  <c r="Q344" i="4" s="1"/>
  <c r="O344" i="4"/>
  <c r="R344" i="4" s="1"/>
  <c r="N344" i="4"/>
  <c r="I344" i="4"/>
  <c r="C344" i="4"/>
  <c r="O343" i="4"/>
  <c r="R343" i="4" s="1"/>
  <c r="N343" i="4"/>
  <c r="P343" i="4" s="1"/>
  <c r="Q343" i="4" s="1"/>
  <c r="I343" i="4"/>
  <c r="C343" i="4"/>
  <c r="S342" i="4"/>
  <c r="O342" i="4"/>
  <c r="R342" i="4" s="1"/>
  <c r="N342" i="4"/>
  <c r="I342" i="4"/>
  <c r="C342" i="4"/>
  <c r="O341" i="4"/>
  <c r="N341" i="4"/>
  <c r="I341" i="4"/>
  <c r="S341" i="4" s="1"/>
  <c r="C341" i="4"/>
  <c r="S340" i="4"/>
  <c r="R340" i="4"/>
  <c r="O340" i="4"/>
  <c r="N340" i="4"/>
  <c r="P340" i="4" s="1"/>
  <c r="Q340" i="4" s="1"/>
  <c r="I340" i="4"/>
  <c r="C340" i="4"/>
  <c r="R339" i="4"/>
  <c r="O339" i="4"/>
  <c r="N339" i="4"/>
  <c r="P339" i="4" s="1"/>
  <c r="Q339" i="4" s="1"/>
  <c r="I339" i="4"/>
  <c r="S339" i="4" s="1"/>
  <c r="C339" i="4"/>
  <c r="P338" i="4"/>
  <c r="Q338" i="4" s="1"/>
  <c r="O338" i="4"/>
  <c r="R338" i="4" s="1"/>
  <c r="N338" i="4"/>
  <c r="I338" i="4"/>
  <c r="S338" i="4" s="1"/>
  <c r="C338" i="4"/>
  <c r="R337" i="4"/>
  <c r="O337" i="4"/>
  <c r="N337" i="4"/>
  <c r="I337" i="4"/>
  <c r="C337" i="4"/>
  <c r="S337" i="4" s="1"/>
  <c r="S336" i="4"/>
  <c r="R336" i="4"/>
  <c r="O336" i="4"/>
  <c r="N336" i="4"/>
  <c r="P336" i="4" s="1"/>
  <c r="Q336" i="4" s="1"/>
  <c r="I336" i="4"/>
  <c r="C336" i="4"/>
  <c r="O335" i="4"/>
  <c r="R335" i="4" s="1"/>
  <c r="N335" i="4"/>
  <c r="I335" i="4"/>
  <c r="S335" i="4" s="1"/>
  <c r="C335" i="4"/>
  <c r="S334" i="4"/>
  <c r="R334" i="4"/>
  <c r="O334" i="4"/>
  <c r="N334" i="4"/>
  <c r="P334" i="4" s="1"/>
  <c r="Q334" i="4" s="1"/>
  <c r="I334" i="4"/>
  <c r="C334" i="4"/>
  <c r="O333" i="4"/>
  <c r="R333" i="4" s="1"/>
  <c r="N333" i="4"/>
  <c r="I333" i="4"/>
  <c r="S333" i="4" s="1"/>
  <c r="C333" i="4"/>
  <c r="S332" i="4"/>
  <c r="R332" i="4"/>
  <c r="Q332" i="4"/>
  <c r="P332" i="4"/>
  <c r="O332" i="4"/>
  <c r="N332" i="4"/>
  <c r="I332" i="4"/>
  <c r="C332" i="4"/>
  <c r="S331" i="4"/>
  <c r="R331" i="4"/>
  <c r="O331" i="4"/>
  <c r="N331" i="4"/>
  <c r="I331" i="4"/>
  <c r="C331" i="4"/>
  <c r="O330" i="4"/>
  <c r="R330" i="4" s="1"/>
  <c r="N330" i="4"/>
  <c r="P330" i="4" s="1"/>
  <c r="Q330" i="4" s="1"/>
  <c r="I330" i="4"/>
  <c r="S330" i="4" s="1"/>
  <c r="C330" i="4"/>
  <c r="S329" i="4"/>
  <c r="R329" i="4"/>
  <c r="Q329" i="4"/>
  <c r="P329" i="4"/>
  <c r="O329" i="4"/>
  <c r="N329" i="4"/>
  <c r="I329" i="4"/>
  <c r="C329" i="4"/>
  <c r="R328" i="4"/>
  <c r="Q328" i="4"/>
  <c r="O328" i="4"/>
  <c r="N328" i="4"/>
  <c r="P328" i="4" s="1"/>
  <c r="I328" i="4"/>
  <c r="C328" i="4"/>
  <c r="S327" i="4"/>
  <c r="R327" i="4"/>
  <c r="Q327" i="4"/>
  <c r="O327" i="4"/>
  <c r="N327" i="4"/>
  <c r="P327" i="4" s="1"/>
  <c r="I327" i="4"/>
  <c r="C327" i="4"/>
  <c r="O326" i="4"/>
  <c r="R326" i="4" s="1"/>
  <c r="N326" i="4"/>
  <c r="I326" i="4"/>
  <c r="S326" i="4" s="1"/>
  <c r="C326" i="4"/>
  <c r="O325" i="4"/>
  <c r="R325" i="4" s="1"/>
  <c r="N325" i="4"/>
  <c r="P325" i="4" s="1"/>
  <c r="Q325" i="4" s="1"/>
  <c r="I325" i="4"/>
  <c r="C325" i="4"/>
  <c r="S324" i="4"/>
  <c r="R324" i="4"/>
  <c r="O324" i="4"/>
  <c r="N324" i="4"/>
  <c r="I324" i="4"/>
  <c r="C324" i="4"/>
  <c r="O323" i="4"/>
  <c r="N323" i="4"/>
  <c r="I323" i="4"/>
  <c r="S323" i="4" s="1"/>
  <c r="C323" i="4"/>
  <c r="S322" i="4"/>
  <c r="R322" i="4"/>
  <c r="O322" i="4"/>
  <c r="N322" i="4"/>
  <c r="P322" i="4" s="1"/>
  <c r="Q322" i="4" s="1"/>
  <c r="I322" i="4"/>
  <c r="C322" i="4"/>
  <c r="R321" i="4"/>
  <c r="Q321" i="4"/>
  <c r="O321" i="4"/>
  <c r="N321" i="4"/>
  <c r="P321" i="4" s="1"/>
  <c r="I321" i="4"/>
  <c r="S321" i="4" s="1"/>
  <c r="C321" i="4"/>
  <c r="O320" i="4"/>
  <c r="N320" i="4"/>
  <c r="I320" i="4"/>
  <c r="S320" i="4" s="1"/>
  <c r="C320" i="4"/>
  <c r="R319" i="4"/>
  <c r="O319" i="4"/>
  <c r="N319" i="4"/>
  <c r="I319" i="4"/>
  <c r="C319" i="4"/>
  <c r="S319" i="4" s="1"/>
  <c r="S318" i="4"/>
  <c r="R318" i="4"/>
  <c r="O318" i="4"/>
  <c r="N318" i="4"/>
  <c r="P318" i="4" s="1"/>
  <c r="Q318" i="4" s="1"/>
  <c r="I318" i="4"/>
  <c r="C318" i="4"/>
  <c r="O317" i="4"/>
  <c r="R317" i="4" s="1"/>
  <c r="N317" i="4"/>
  <c r="I317" i="4"/>
  <c r="S317" i="4" s="1"/>
  <c r="C317" i="4"/>
  <c r="S316" i="4"/>
  <c r="R316" i="4"/>
  <c r="O316" i="4"/>
  <c r="N316" i="4"/>
  <c r="P316" i="4" s="1"/>
  <c r="Q316" i="4" s="1"/>
  <c r="I316" i="4"/>
  <c r="C316" i="4"/>
  <c r="O315" i="4"/>
  <c r="R315" i="4" s="1"/>
  <c r="N315" i="4"/>
  <c r="P315" i="4" s="1"/>
  <c r="Q315" i="4" s="1"/>
  <c r="I315" i="4"/>
  <c r="S315" i="4" s="1"/>
  <c r="C315" i="4"/>
  <c r="S314" i="4"/>
  <c r="R314" i="4"/>
  <c r="Q314" i="4"/>
  <c r="P314" i="4"/>
  <c r="O314" i="4"/>
  <c r="N314" i="4"/>
  <c r="I314" i="4"/>
  <c r="C314" i="4"/>
  <c r="S313" i="4"/>
  <c r="O313" i="4"/>
  <c r="R313" i="4" s="1"/>
  <c r="N313" i="4"/>
  <c r="I313" i="4"/>
  <c r="C313" i="4"/>
  <c r="O312" i="4"/>
  <c r="R312" i="4" s="1"/>
  <c r="N312" i="4"/>
  <c r="P312" i="4" s="1"/>
  <c r="Q312" i="4" s="1"/>
  <c r="I312" i="4"/>
  <c r="S312" i="4" s="1"/>
  <c r="C312" i="4"/>
  <c r="S311" i="4"/>
  <c r="P311" i="4"/>
  <c r="Q311" i="4" s="1"/>
  <c r="O311" i="4"/>
  <c r="R311" i="4" s="1"/>
  <c r="N311" i="4"/>
  <c r="I311" i="4"/>
  <c r="C311" i="4"/>
  <c r="R310" i="4"/>
  <c r="O310" i="4"/>
  <c r="N310" i="4"/>
  <c r="P310" i="4" s="1"/>
  <c r="Q310" i="4" s="1"/>
  <c r="I310" i="4"/>
  <c r="S310" i="4" s="1"/>
  <c r="C310" i="4"/>
  <c r="S309" i="4"/>
  <c r="R309" i="4"/>
  <c r="Q309" i="4"/>
  <c r="O309" i="4"/>
  <c r="N309" i="4"/>
  <c r="P309" i="4" s="1"/>
  <c r="I309" i="4"/>
  <c r="C309" i="4"/>
  <c r="O308" i="4"/>
  <c r="N308" i="4"/>
  <c r="I308" i="4"/>
  <c r="S308" i="4" s="1"/>
  <c r="C308" i="4"/>
  <c r="O307" i="4"/>
  <c r="R307" i="4" s="1"/>
  <c r="N307" i="4"/>
  <c r="P307" i="4" s="1"/>
  <c r="Q307" i="4" s="1"/>
  <c r="I307" i="4"/>
  <c r="C307" i="4"/>
  <c r="S306" i="4"/>
  <c r="O306" i="4"/>
  <c r="R306" i="4" s="1"/>
  <c r="N306" i="4"/>
  <c r="I306" i="4"/>
  <c r="C306" i="4"/>
  <c r="P305" i="4"/>
  <c r="Q305" i="4" s="1"/>
  <c r="O305" i="4"/>
  <c r="R305" i="4" s="1"/>
  <c r="N305" i="4"/>
  <c r="I305" i="4"/>
  <c r="S305" i="4" s="1"/>
  <c r="C305" i="4"/>
  <c r="S304" i="4"/>
  <c r="R304" i="4"/>
  <c r="O304" i="4"/>
  <c r="N304" i="4"/>
  <c r="P304" i="4" s="1"/>
  <c r="Q304" i="4" s="1"/>
  <c r="I304" i="4"/>
  <c r="C304" i="4"/>
  <c r="R303" i="4"/>
  <c r="Q303" i="4"/>
  <c r="O303" i="4"/>
  <c r="N303" i="4"/>
  <c r="P303" i="4" s="1"/>
  <c r="I303" i="4"/>
  <c r="S303" i="4" s="1"/>
  <c r="C303" i="4"/>
  <c r="P302" i="4"/>
  <c r="Q302" i="4" s="1"/>
  <c r="O302" i="4"/>
  <c r="R302" i="4" s="1"/>
  <c r="N302" i="4"/>
  <c r="I302" i="4"/>
  <c r="S302" i="4" s="1"/>
  <c r="C302" i="4"/>
  <c r="S301" i="4"/>
  <c r="R301" i="4"/>
  <c r="O301" i="4"/>
  <c r="N301" i="4"/>
  <c r="I301" i="4"/>
  <c r="C301" i="4"/>
  <c r="R300" i="4"/>
  <c r="O300" i="4"/>
  <c r="N300" i="4"/>
  <c r="P300" i="4" s="1"/>
  <c r="Q300" i="4" s="1"/>
  <c r="I300" i="4"/>
  <c r="S300" i="4" s="1"/>
  <c r="C300" i="4"/>
  <c r="O299" i="4"/>
  <c r="R299" i="4" s="1"/>
  <c r="N299" i="4"/>
  <c r="P299" i="4" s="1"/>
  <c r="Q299" i="4" s="1"/>
  <c r="I299" i="4"/>
  <c r="S299" i="4" s="1"/>
  <c r="C299" i="4"/>
  <c r="S298" i="4"/>
  <c r="R298" i="4"/>
  <c r="O298" i="4"/>
  <c r="N298" i="4"/>
  <c r="P298" i="4" s="1"/>
  <c r="Q298" i="4" s="1"/>
  <c r="I298" i="4"/>
  <c r="C298" i="4"/>
  <c r="O297" i="4"/>
  <c r="R297" i="4" s="1"/>
  <c r="N297" i="4"/>
  <c r="P297" i="4" s="1"/>
  <c r="Q297" i="4" s="1"/>
  <c r="I297" i="4"/>
  <c r="S297" i="4" s="1"/>
  <c r="C297" i="4"/>
  <c r="S296" i="4"/>
  <c r="R296" i="4"/>
  <c r="Q296" i="4"/>
  <c r="P296" i="4"/>
  <c r="O296" i="4"/>
  <c r="N296" i="4"/>
  <c r="I296" i="4"/>
  <c r="C296" i="4"/>
  <c r="S295" i="4"/>
  <c r="R295" i="4"/>
  <c r="O295" i="4"/>
  <c r="N295" i="4"/>
  <c r="I295" i="4"/>
  <c r="C295" i="4"/>
  <c r="O294" i="4"/>
  <c r="R294" i="4" s="1"/>
  <c r="N294" i="4"/>
  <c r="P294" i="4" s="1"/>
  <c r="Q294" i="4" s="1"/>
  <c r="I294" i="4"/>
  <c r="S294" i="4" s="1"/>
  <c r="C294" i="4"/>
  <c r="S293" i="4"/>
  <c r="O293" i="4"/>
  <c r="R293" i="4" s="1"/>
  <c r="N293" i="4"/>
  <c r="I293" i="4"/>
  <c r="C293" i="4"/>
  <c r="R292" i="4"/>
  <c r="O292" i="4"/>
  <c r="N292" i="4"/>
  <c r="P292" i="4" s="1"/>
  <c r="Q292" i="4" s="1"/>
  <c r="I292" i="4"/>
  <c r="S292" i="4" s="1"/>
  <c r="C292" i="4"/>
  <c r="S291" i="4"/>
  <c r="R291" i="4"/>
  <c r="O291" i="4"/>
  <c r="N291" i="4"/>
  <c r="I291" i="4"/>
  <c r="C291" i="4"/>
  <c r="O290" i="4"/>
  <c r="R290" i="4" s="1"/>
  <c r="N290" i="4"/>
  <c r="P290" i="4" s="1"/>
  <c r="Q290" i="4" s="1"/>
  <c r="I290" i="4"/>
  <c r="S290" i="4" s="1"/>
  <c r="C290" i="4"/>
  <c r="Q289" i="4"/>
  <c r="O289" i="4"/>
  <c r="R289" i="4" s="1"/>
  <c r="N289" i="4"/>
  <c r="P289" i="4" s="1"/>
  <c r="I289" i="4"/>
  <c r="C289" i="4"/>
  <c r="S288" i="4"/>
  <c r="O288" i="4"/>
  <c r="R288" i="4" s="1"/>
  <c r="N288" i="4"/>
  <c r="I288" i="4"/>
  <c r="C288" i="4"/>
  <c r="S287" i="4"/>
  <c r="O287" i="4"/>
  <c r="R287" i="4" s="1"/>
  <c r="N287" i="4"/>
  <c r="P287" i="4" s="1"/>
  <c r="Q287" i="4" s="1"/>
  <c r="I287" i="4"/>
  <c r="C287" i="4"/>
  <c r="R286" i="4"/>
  <c r="O286" i="4"/>
  <c r="N286" i="4"/>
  <c r="P286" i="4" s="1"/>
  <c r="Q286" i="4" s="1"/>
  <c r="I286" i="4"/>
  <c r="S286" i="4" s="1"/>
  <c r="C286" i="4"/>
  <c r="O285" i="4"/>
  <c r="R285" i="4" s="1"/>
  <c r="N285" i="4"/>
  <c r="I285" i="4"/>
  <c r="S285" i="4" s="1"/>
  <c r="C285" i="4"/>
  <c r="O284" i="4"/>
  <c r="R284" i="4" s="1"/>
  <c r="N284" i="4"/>
  <c r="P284" i="4" s="1"/>
  <c r="Q284" i="4" s="1"/>
  <c r="I284" i="4"/>
  <c r="S284" i="4" s="1"/>
  <c r="C284" i="4"/>
  <c r="R283" i="4"/>
  <c r="O283" i="4"/>
  <c r="N283" i="4"/>
  <c r="I283" i="4"/>
  <c r="C283" i="4"/>
  <c r="S283" i="4" s="1"/>
  <c r="S282" i="4"/>
  <c r="R282" i="4"/>
  <c r="Q282" i="4"/>
  <c r="O282" i="4"/>
  <c r="N282" i="4"/>
  <c r="P282" i="4" s="1"/>
  <c r="I282" i="4"/>
  <c r="C282" i="4"/>
  <c r="O281" i="4"/>
  <c r="R281" i="4" s="1"/>
  <c r="N281" i="4"/>
  <c r="P281" i="4" s="1"/>
  <c r="Q281" i="4" s="1"/>
  <c r="I281" i="4"/>
  <c r="S281" i="4" s="1"/>
  <c r="C281" i="4"/>
  <c r="S280" i="4"/>
  <c r="R280" i="4"/>
  <c r="Q280" i="4"/>
  <c r="O280" i="4"/>
  <c r="N280" i="4"/>
  <c r="P280" i="4" s="1"/>
  <c r="I280" i="4"/>
  <c r="C280" i="4"/>
  <c r="O279" i="4"/>
  <c r="R279" i="4" s="1"/>
  <c r="N279" i="4"/>
  <c r="P279" i="4" s="1"/>
  <c r="Q279" i="4" s="1"/>
  <c r="I279" i="4"/>
  <c r="S279" i="4" s="1"/>
  <c r="C279" i="4"/>
  <c r="R278" i="4"/>
  <c r="Q278" i="4"/>
  <c r="P278" i="4"/>
  <c r="O278" i="4"/>
  <c r="N278" i="4"/>
  <c r="I278" i="4"/>
  <c r="S278" i="4" s="1"/>
  <c r="C278" i="4"/>
  <c r="S277" i="4"/>
  <c r="R277" i="4"/>
  <c r="O277" i="4"/>
  <c r="N277" i="4"/>
  <c r="I277" i="4"/>
  <c r="C277" i="4"/>
  <c r="O276" i="4"/>
  <c r="R276" i="4" s="1"/>
  <c r="N276" i="4"/>
  <c r="P276" i="4" s="1"/>
  <c r="Q276" i="4" s="1"/>
  <c r="I276" i="4"/>
  <c r="S276" i="4" s="1"/>
  <c r="C276" i="4"/>
  <c r="S275" i="4"/>
  <c r="R275" i="4"/>
  <c r="P275" i="4"/>
  <c r="Q275" i="4" s="1"/>
  <c r="O275" i="4"/>
  <c r="N275" i="4"/>
  <c r="I275" i="4"/>
  <c r="C275" i="4"/>
  <c r="O274" i="4"/>
  <c r="R274" i="4" s="1"/>
  <c r="N274" i="4"/>
  <c r="I274" i="4"/>
  <c r="S274" i="4" s="1"/>
  <c r="C274" i="4"/>
  <c r="S273" i="4"/>
  <c r="R273" i="4"/>
  <c r="O273" i="4"/>
  <c r="N273" i="4"/>
  <c r="I273" i="4"/>
  <c r="C273" i="4"/>
  <c r="O272" i="4"/>
  <c r="N272" i="4"/>
  <c r="I272" i="4"/>
  <c r="S272" i="4" s="1"/>
  <c r="C272" i="4"/>
  <c r="Q271" i="4"/>
  <c r="O271" i="4"/>
  <c r="R271" i="4" s="1"/>
  <c r="N271" i="4"/>
  <c r="P271" i="4" s="1"/>
  <c r="I271" i="4"/>
  <c r="C271" i="4"/>
  <c r="S270" i="4"/>
  <c r="O270" i="4"/>
  <c r="R270" i="4" s="1"/>
  <c r="N270" i="4"/>
  <c r="I270" i="4"/>
  <c r="C270" i="4"/>
  <c r="S269" i="4"/>
  <c r="O269" i="4"/>
  <c r="R269" i="4" s="1"/>
  <c r="N269" i="4"/>
  <c r="I269" i="4"/>
  <c r="C269" i="4"/>
  <c r="R268" i="4"/>
  <c r="O268" i="4"/>
  <c r="N268" i="4"/>
  <c r="P268" i="4" s="1"/>
  <c r="Q268" i="4" s="1"/>
  <c r="I268" i="4"/>
  <c r="S268" i="4" s="1"/>
  <c r="C268" i="4"/>
  <c r="O267" i="4"/>
  <c r="R267" i="4" s="1"/>
  <c r="N267" i="4"/>
  <c r="I267" i="4"/>
  <c r="S267" i="4" s="1"/>
  <c r="C267" i="4"/>
  <c r="O266" i="4"/>
  <c r="N266" i="4"/>
  <c r="I266" i="4"/>
  <c r="S266" i="4" s="1"/>
  <c r="C266" i="4"/>
  <c r="R265" i="4"/>
  <c r="O265" i="4"/>
  <c r="N265" i="4"/>
  <c r="I265" i="4"/>
  <c r="C265" i="4"/>
  <c r="S265" i="4" s="1"/>
  <c r="S264" i="4"/>
  <c r="R264" i="4"/>
  <c r="Q264" i="4"/>
  <c r="O264" i="4"/>
  <c r="N264" i="4"/>
  <c r="P264" i="4" s="1"/>
  <c r="I264" i="4"/>
  <c r="C264" i="4"/>
  <c r="S263" i="4"/>
  <c r="O263" i="4"/>
  <c r="R263" i="4" s="1"/>
  <c r="N263" i="4"/>
  <c r="P263" i="4" s="1"/>
  <c r="Q263" i="4" s="1"/>
  <c r="I263" i="4"/>
  <c r="C263" i="4"/>
  <c r="R262" i="4"/>
  <c r="O262" i="4"/>
  <c r="N262" i="4"/>
  <c r="P262" i="4" s="1"/>
  <c r="Q262" i="4" s="1"/>
  <c r="I262" i="4"/>
  <c r="S262" i="4" s="1"/>
  <c r="C262" i="4"/>
  <c r="O261" i="4"/>
  <c r="R261" i="4" s="1"/>
  <c r="N261" i="4"/>
  <c r="P261" i="4" s="1"/>
  <c r="Q261" i="4" s="1"/>
  <c r="I261" i="4"/>
  <c r="S261" i="4" s="1"/>
  <c r="C261" i="4"/>
  <c r="S260" i="4"/>
  <c r="R260" i="4"/>
  <c r="P260" i="4"/>
  <c r="Q260" i="4" s="1"/>
  <c r="O260" i="4"/>
  <c r="N260" i="4"/>
  <c r="I260" i="4"/>
  <c r="C260" i="4"/>
  <c r="S259" i="4"/>
  <c r="O259" i="4"/>
  <c r="R259" i="4" s="1"/>
  <c r="N259" i="4"/>
  <c r="I259" i="4"/>
  <c r="C259" i="4"/>
  <c r="S258" i="4"/>
  <c r="O258" i="4"/>
  <c r="R258" i="4" s="1"/>
  <c r="N258" i="4"/>
  <c r="I258" i="4"/>
  <c r="C258" i="4"/>
  <c r="S257" i="4"/>
  <c r="R257" i="4"/>
  <c r="Q257" i="4"/>
  <c r="P257" i="4"/>
  <c r="O257" i="4"/>
  <c r="N257" i="4"/>
  <c r="I257" i="4"/>
  <c r="C257" i="4"/>
  <c r="O256" i="4"/>
  <c r="R256" i="4" s="1"/>
  <c r="N256" i="4"/>
  <c r="P256" i="4" s="1"/>
  <c r="Q256" i="4" s="1"/>
  <c r="I256" i="4"/>
  <c r="C256" i="4"/>
  <c r="S256" i="4" s="1"/>
  <c r="S255" i="4"/>
  <c r="R255" i="4"/>
  <c r="O255" i="4"/>
  <c r="N255" i="4"/>
  <c r="I255" i="4"/>
  <c r="C255" i="4"/>
  <c r="P254" i="4"/>
  <c r="Q254" i="4" s="1"/>
  <c r="O254" i="4"/>
  <c r="R254" i="4" s="1"/>
  <c r="N254" i="4"/>
  <c r="I254" i="4"/>
  <c r="S254" i="4" s="1"/>
  <c r="C254" i="4"/>
  <c r="O253" i="4"/>
  <c r="R253" i="4" s="1"/>
  <c r="N253" i="4"/>
  <c r="P253" i="4" s="1"/>
  <c r="Q253" i="4" s="1"/>
  <c r="I253" i="4"/>
  <c r="S253" i="4" s="1"/>
  <c r="C253" i="4"/>
  <c r="S252" i="4"/>
  <c r="O252" i="4"/>
  <c r="R252" i="4" s="1"/>
  <c r="N252" i="4"/>
  <c r="P252" i="4" s="1"/>
  <c r="Q252" i="4" s="1"/>
  <c r="I252" i="4"/>
  <c r="C252" i="4"/>
  <c r="R251" i="4"/>
  <c r="Q251" i="4"/>
  <c r="P251" i="4"/>
  <c r="O251" i="4"/>
  <c r="N251" i="4"/>
  <c r="I251" i="4"/>
  <c r="S251" i="4" s="1"/>
  <c r="C251" i="4"/>
  <c r="S250" i="4"/>
  <c r="R250" i="4"/>
  <c r="O250" i="4"/>
  <c r="N250" i="4"/>
  <c r="P250" i="4" s="1"/>
  <c r="Q250" i="4" s="1"/>
  <c r="I250" i="4"/>
  <c r="C250" i="4"/>
  <c r="S249" i="4"/>
  <c r="R249" i="4"/>
  <c r="O249" i="4"/>
  <c r="N249" i="4"/>
  <c r="I249" i="4"/>
  <c r="C249" i="4"/>
  <c r="P248" i="4"/>
  <c r="Q248" i="4" s="1"/>
  <c r="O248" i="4"/>
  <c r="R248" i="4" s="1"/>
  <c r="N248" i="4"/>
  <c r="I248" i="4"/>
  <c r="S248" i="4" s="1"/>
  <c r="C248" i="4"/>
  <c r="O247" i="4"/>
  <c r="R247" i="4" s="1"/>
  <c r="N247" i="4"/>
  <c r="I247" i="4"/>
  <c r="C247" i="4"/>
  <c r="S247" i="4" s="1"/>
  <c r="O246" i="4"/>
  <c r="R246" i="4" s="1"/>
  <c r="N246" i="4"/>
  <c r="P246" i="4" s="1"/>
  <c r="Q246" i="4" s="1"/>
  <c r="I246" i="4"/>
  <c r="S246" i="4" s="1"/>
  <c r="C246" i="4"/>
  <c r="S245" i="4"/>
  <c r="R245" i="4"/>
  <c r="O245" i="4"/>
  <c r="N245" i="4"/>
  <c r="I245" i="4"/>
  <c r="C245" i="4"/>
  <c r="S244" i="4"/>
  <c r="O244" i="4"/>
  <c r="R244" i="4" s="1"/>
  <c r="N244" i="4"/>
  <c r="P244" i="4" s="1"/>
  <c r="Q244" i="4" s="1"/>
  <c r="I244" i="4"/>
  <c r="C244" i="4"/>
  <c r="O243" i="4"/>
  <c r="R243" i="4" s="1"/>
  <c r="N243" i="4"/>
  <c r="I243" i="4"/>
  <c r="S243" i="4" s="1"/>
  <c r="C243" i="4"/>
  <c r="R242" i="4"/>
  <c r="Q242" i="4"/>
  <c r="P242" i="4"/>
  <c r="O242" i="4"/>
  <c r="N242" i="4"/>
  <c r="I242" i="4"/>
  <c r="S242" i="4" s="1"/>
  <c r="C242" i="4"/>
  <c r="R241" i="4"/>
  <c r="Q241" i="4"/>
  <c r="O241" i="4"/>
  <c r="N241" i="4"/>
  <c r="P241" i="4" s="1"/>
  <c r="I241" i="4"/>
  <c r="C241" i="4"/>
  <c r="S241" i="4" s="1"/>
  <c r="O240" i="4"/>
  <c r="R240" i="4" s="1"/>
  <c r="N240" i="4"/>
  <c r="I240" i="4"/>
  <c r="S240" i="4" s="1"/>
  <c r="C240" i="4"/>
  <c r="S239" i="4"/>
  <c r="R239" i="4"/>
  <c r="O239" i="4"/>
  <c r="P239" i="4" s="1"/>
  <c r="Q239" i="4" s="1"/>
  <c r="N239" i="4"/>
  <c r="I239" i="4"/>
  <c r="C239" i="4"/>
  <c r="S238" i="4"/>
  <c r="O238" i="4"/>
  <c r="R238" i="4" s="1"/>
  <c r="N238" i="4"/>
  <c r="I238" i="4"/>
  <c r="C238" i="4"/>
  <c r="S237" i="4"/>
  <c r="O237" i="4"/>
  <c r="R237" i="4" s="1"/>
  <c r="N237" i="4"/>
  <c r="I237" i="4"/>
  <c r="C237" i="4"/>
  <c r="S236" i="4"/>
  <c r="Q236" i="4"/>
  <c r="P236" i="4"/>
  <c r="O236" i="4"/>
  <c r="R236" i="4" s="1"/>
  <c r="N236" i="4"/>
  <c r="I236" i="4"/>
  <c r="C236" i="4"/>
  <c r="R235" i="4"/>
  <c r="O235" i="4"/>
  <c r="N235" i="4"/>
  <c r="P235" i="4" s="1"/>
  <c r="Q235" i="4" s="1"/>
  <c r="I235" i="4"/>
  <c r="S235" i="4" s="1"/>
  <c r="C235" i="4"/>
  <c r="S234" i="4"/>
  <c r="R234" i="4"/>
  <c r="O234" i="4"/>
  <c r="N234" i="4"/>
  <c r="P234" i="4" s="1"/>
  <c r="Q234" i="4" s="1"/>
  <c r="I234" i="4"/>
  <c r="C234" i="4"/>
  <c r="O233" i="4"/>
  <c r="R233" i="4" s="1"/>
  <c r="N233" i="4"/>
  <c r="P233" i="4" s="1"/>
  <c r="Q233" i="4" s="1"/>
  <c r="I233" i="4"/>
  <c r="S233" i="4" s="1"/>
  <c r="C233" i="4"/>
  <c r="O232" i="4"/>
  <c r="R232" i="4" s="1"/>
  <c r="N232" i="4"/>
  <c r="I232" i="4"/>
  <c r="C232" i="4"/>
  <c r="S231" i="4"/>
  <c r="R231" i="4"/>
  <c r="Q231" i="4"/>
  <c r="P231" i="4"/>
  <c r="O231" i="4"/>
  <c r="N231" i="4"/>
  <c r="I231" i="4"/>
  <c r="C231" i="4"/>
  <c r="S230" i="4"/>
  <c r="O230" i="4"/>
  <c r="R230" i="4" s="1"/>
  <c r="N230" i="4"/>
  <c r="P230" i="4" s="1"/>
  <c r="Q230" i="4" s="1"/>
  <c r="I230" i="4"/>
  <c r="C230" i="4"/>
  <c r="Q229" i="4"/>
  <c r="O229" i="4"/>
  <c r="R229" i="4" s="1"/>
  <c r="N229" i="4"/>
  <c r="P229" i="4" s="1"/>
  <c r="I229" i="4"/>
  <c r="C229" i="4"/>
  <c r="S228" i="4"/>
  <c r="P228" i="4"/>
  <c r="Q228" i="4" s="1"/>
  <c r="O228" i="4"/>
  <c r="R228" i="4" s="1"/>
  <c r="N228" i="4"/>
  <c r="I228" i="4"/>
  <c r="C228" i="4"/>
  <c r="O227" i="4"/>
  <c r="R227" i="4" s="1"/>
  <c r="N227" i="4"/>
  <c r="I227" i="4"/>
  <c r="C227" i="4"/>
  <c r="O226" i="4"/>
  <c r="R226" i="4" s="1"/>
  <c r="N226" i="4"/>
  <c r="P226" i="4" s="1"/>
  <c r="Q226" i="4" s="1"/>
  <c r="I226" i="4"/>
  <c r="S226" i="4" s="1"/>
  <c r="C226" i="4"/>
  <c r="S225" i="4"/>
  <c r="R225" i="4"/>
  <c r="P225" i="4"/>
  <c r="Q225" i="4" s="1"/>
  <c r="O225" i="4"/>
  <c r="N225" i="4"/>
  <c r="I225" i="4"/>
  <c r="C225" i="4"/>
  <c r="S224" i="4"/>
  <c r="R224" i="4"/>
  <c r="Q224" i="4"/>
  <c r="O224" i="4"/>
  <c r="N224" i="4"/>
  <c r="P224" i="4" s="1"/>
  <c r="I224" i="4"/>
  <c r="C224" i="4"/>
  <c r="R223" i="4"/>
  <c r="O223" i="4"/>
  <c r="N223" i="4"/>
  <c r="P223" i="4" s="1"/>
  <c r="Q223" i="4" s="1"/>
  <c r="I223" i="4"/>
  <c r="S223" i="4" s="1"/>
  <c r="C223" i="4"/>
  <c r="S222" i="4"/>
  <c r="O222" i="4"/>
  <c r="R222" i="4" s="1"/>
  <c r="N222" i="4"/>
  <c r="I222" i="4"/>
  <c r="C222" i="4"/>
  <c r="O221" i="4"/>
  <c r="N221" i="4"/>
  <c r="I221" i="4"/>
  <c r="C221" i="4"/>
  <c r="R220" i="4"/>
  <c r="Q220" i="4"/>
  <c r="O220" i="4"/>
  <c r="N220" i="4"/>
  <c r="P220" i="4" s="1"/>
  <c r="I220" i="4"/>
  <c r="S220" i="4" s="1"/>
  <c r="C220" i="4"/>
  <c r="R219" i="4"/>
  <c r="O219" i="4"/>
  <c r="N219" i="4"/>
  <c r="P219" i="4" s="1"/>
  <c r="Q219" i="4" s="1"/>
  <c r="I219" i="4"/>
  <c r="S219" i="4" s="1"/>
  <c r="C219" i="4"/>
  <c r="Q218" i="4"/>
  <c r="P218" i="4"/>
  <c r="O218" i="4"/>
  <c r="R218" i="4" s="1"/>
  <c r="N218" i="4"/>
  <c r="I218" i="4"/>
  <c r="S218" i="4" s="1"/>
  <c r="C218" i="4"/>
  <c r="R217" i="4"/>
  <c r="O217" i="4"/>
  <c r="N217" i="4"/>
  <c r="P217" i="4" s="1"/>
  <c r="Q217" i="4" s="1"/>
  <c r="I217" i="4"/>
  <c r="C217" i="4"/>
  <c r="S217" i="4" s="1"/>
  <c r="S216" i="4"/>
  <c r="R216" i="4"/>
  <c r="Q216" i="4"/>
  <c r="P216" i="4"/>
  <c r="O216" i="4"/>
  <c r="N216" i="4"/>
  <c r="I216" i="4"/>
  <c r="C216" i="4"/>
  <c r="O215" i="4"/>
  <c r="R215" i="4" s="1"/>
  <c r="N215" i="4"/>
  <c r="P215" i="4" s="1"/>
  <c r="Q215" i="4" s="1"/>
  <c r="I215" i="4"/>
  <c r="C215" i="4"/>
  <c r="S214" i="4"/>
  <c r="R214" i="4"/>
  <c r="O214" i="4"/>
  <c r="N214" i="4"/>
  <c r="P214" i="4" s="1"/>
  <c r="Q214" i="4" s="1"/>
  <c r="I214" i="4"/>
  <c r="C214" i="4"/>
  <c r="O213" i="4"/>
  <c r="N213" i="4"/>
  <c r="I213" i="4"/>
  <c r="S213" i="4" s="1"/>
  <c r="C213" i="4"/>
  <c r="P212" i="4"/>
  <c r="Q212" i="4" s="1"/>
  <c r="O212" i="4"/>
  <c r="R212" i="4" s="1"/>
  <c r="N212" i="4"/>
  <c r="I212" i="4"/>
  <c r="C212" i="4"/>
  <c r="S211" i="4"/>
  <c r="R211" i="4"/>
  <c r="Q211" i="4"/>
  <c r="O211" i="4"/>
  <c r="N211" i="4"/>
  <c r="P211" i="4" s="1"/>
  <c r="I211" i="4"/>
  <c r="C211" i="4"/>
  <c r="S210" i="4"/>
  <c r="R210" i="4"/>
  <c r="O210" i="4"/>
  <c r="N210" i="4"/>
  <c r="P210" i="4" s="1"/>
  <c r="Q210" i="4" s="1"/>
  <c r="I210" i="4"/>
  <c r="C210" i="4"/>
  <c r="R209" i="4"/>
  <c r="O209" i="4"/>
  <c r="N209" i="4"/>
  <c r="P209" i="4" s="1"/>
  <c r="Q209" i="4" s="1"/>
  <c r="I209" i="4"/>
  <c r="S209" i="4" s="1"/>
  <c r="C209" i="4"/>
  <c r="S208" i="4"/>
  <c r="R208" i="4"/>
  <c r="O208" i="4"/>
  <c r="N208" i="4"/>
  <c r="P208" i="4" s="1"/>
  <c r="Q208" i="4" s="1"/>
  <c r="I208" i="4"/>
  <c r="C208" i="4"/>
  <c r="R207" i="4"/>
  <c r="O207" i="4"/>
  <c r="N207" i="4"/>
  <c r="P207" i="4" s="1"/>
  <c r="Q207" i="4" s="1"/>
  <c r="I207" i="4"/>
  <c r="S207" i="4" s="1"/>
  <c r="C207" i="4"/>
  <c r="R206" i="4"/>
  <c r="P206" i="4"/>
  <c r="Q206" i="4" s="1"/>
  <c r="O206" i="4"/>
  <c r="N206" i="4"/>
  <c r="I206" i="4"/>
  <c r="C206" i="4"/>
  <c r="S205" i="4"/>
  <c r="R205" i="4"/>
  <c r="Q205" i="4"/>
  <c r="O205" i="4"/>
  <c r="N205" i="4"/>
  <c r="P205" i="4" s="1"/>
  <c r="I205" i="4"/>
  <c r="C205" i="4"/>
  <c r="S204" i="4"/>
  <c r="O204" i="4"/>
  <c r="R204" i="4" s="1"/>
  <c r="N204" i="4"/>
  <c r="I204" i="4"/>
  <c r="C204" i="4"/>
  <c r="P203" i="4"/>
  <c r="Q203" i="4" s="1"/>
  <c r="O203" i="4"/>
  <c r="R203" i="4" s="1"/>
  <c r="N203" i="4"/>
  <c r="I203" i="4"/>
  <c r="C203" i="4"/>
  <c r="R202" i="4"/>
  <c r="Q202" i="4"/>
  <c r="O202" i="4"/>
  <c r="N202" i="4"/>
  <c r="P202" i="4" s="1"/>
  <c r="I202" i="4"/>
  <c r="S202" i="4" s="1"/>
  <c r="C202" i="4"/>
  <c r="S201" i="4"/>
  <c r="R201" i="4"/>
  <c r="Q201" i="4"/>
  <c r="O201" i="4"/>
  <c r="N201" i="4"/>
  <c r="P201" i="4" s="1"/>
  <c r="I201" i="4"/>
  <c r="C201" i="4"/>
  <c r="O200" i="4"/>
  <c r="R200" i="4" s="1"/>
  <c r="N200" i="4"/>
  <c r="I200" i="4"/>
  <c r="C200" i="4"/>
  <c r="R199" i="4"/>
  <c r="O199" i="4"/>
  <c r="N199" i="4"/>
  <c r="P199" i="4" s="1"/>
  <c r="Q199" i="4" s="1"/>
  <c r="I199" i="4"/>
  <c r="C199" i="4"/>
  <c r="S199" i="4" s="1"/>
  <c r="S198" i="4"/>
  <c r="O198" i="4"/>
  <c r="P198" i="4" s="1"/>
  <c r="Q198" i="4" s="1"/>
  <c r="N198" i="4"/>
  <c r="I198" i="4"/>
  <c r="C198" i="4"/>
  <c r="R197" i="4"/>
  <c r="O197" i="4"/>
  <c r="N197" i="4"/>
  <c r="I197" i="4"/>
  <c r="C197" i="4"/>
  <c r="R196" i="4"/>
  <c r="O196" i="4"/>
  <c r="N196" i="4"/>
  <c r="P196" i="4" s="1"/>
  <c r="Q196" i="4" s="1"/>
  <c r="I196" i="4"/>
  <c r="S196" i="4" s="1"/>
  <c r="C196" i="4"/>
  <c r="R195" i="4"/>
  <c r="O195" i="4"/>
  <c r="N195" i="4"/>
  <c r="P195" i="4" s="1"/>
  <c r="Q195" i="4" s="1"/>
  <c r="I195" i="4"/>
  <c r="S195" i="4" s="1"/>
  <c r="C195" i="4"/>
  <c r="P194" i="4"/>
  <c r="Q194" i="4" s="1"/>
  <c r="O194" i="4"/>
  <c r="R194" i="4" s="1"/>
  <c r="N194" i="4"/>
  <c r="I194" i="4"/>
  <c r="S194" i="4" s="1"/>
  <c r="C194" i="4"/>
  <c r="S193" i="4"/>
  <c r="R193" i="4"/>
  <c r="Q193" i="4"/>
  <c r="O193" i="4"/>
  <c r="N193" i="4"/>
  <c r="P193" i="4" s="1"/>
  <c r="I193" i="4"/>
  <c r="C193" i="4"/>
  <c r="O192" i="4"/>
  <c r="R192" i="4" s="1"/>
  <c r="N192" i="4"/>
  <c r="P192" i="4" s="1"/>
  <c r="Q192" i="4" s="1"/>
  <c r="I192" i="4"/>
  <c r="S192" i="4" s="1"/>
  <c r="C192" i="4"/>
  <c r="R191" i="4"/>
  <c r="O191" i="4"/>
  <c r="N191" i="4"/>
  <c r="P191" i="4" s="1"/>
  <c r="Q191" i="4" s="1"/>
  <c r="I191" i="4"/>
  <c r="S191" i="4" s="1"/>
  <c r="C191" i="4"/>
  <c r="R190" i="4"/>
  <c r="O190" i="4"/>
  <c r="N190" i="4"/>
  <c r="P190" i="4" s="1"/>
  <c r="Q190" i="4" s="1"/>
  <c r="I190" i="4"/>
  <c r="S190" i="4" s="1"/>
  <c r="C190" i="4"/>
  <c r="R189" i="4"/>
  <c r="P189" i="4"/>
  <c r="Q189" i="4" s="1"/>
  <c r="O189" i="4"/>
  <c r="N189" i="4"/>
  <c r="I189" i="4"/>
  <c r="S189" i="4" s="1"/>
  <c r="C189" i="4"/>
  <c r="R188" i="4"/>
  <c r="Q188" i="4"/>
  <c r="P188" i="4"/>
  <c r="O188" i="4"/>
  <c r="N188" i="4"/>
  <c r="I188" i="4"/>
  <c r="C188" i="4"/>
  <c r="R187" i="4"/>
  <c r="O187" i="4"/>
  <c r="N187" i="4"/>
  <c r="P187" i="4" s="1"/>
  <c r="Q187" i="4" s="1"/>
  <c r="I187" i="4"/>
  <c r="C187" i="4"/>
  <c r="S186" i="4"/>
  <c r="O186" i="4"/>
  <c r="R186" i="4" s="1"/>
  <c r="N186" i="4"/>
  <c r="I186" i="4"/>
  <c r="C186" i="4"/>
  <c r="O185" i="4"/>
  <c r="R185" i="4" s="1"/>
  <c r="N185" i="4"/>
  <c r="I185" i="4"/>
  <c r="C185" i="4"/>
  <c r="R184" i="4"/>
  <c r="Q184" i="4"/>
  <c r="O184" i="4"/>
  <c r="N184" i="4"/>
  <c r="P184" i="4" s="1"/>
  <c r="I184" i="4"/>
  <c r="C184" i="4"/>
  <c r="S183" i="4"/>
  <c r="R183" i="4"/>
  <c r="Q183" i="4"/>
  <c r="O183" i="4"/>
  <c r="N183" i="4"/>
  <c r="P183" i="4" s="1"/>
  <c r="I183" i="4"/>
  <c r="C183" i="4"/>
  <c r="Q182" i="4"/>
  <c r="P182" i="4"/>
  <c r="O182" i="4"/>
  <c r="R182" i="4" s="1"/>
  <c r="N182" i="4"/>
  <c r="I182" i="4"/>
  <c r="C182" i="4"/>
  <c r="R181" i="4"/>
  <c r="O181" i="4"/>
  <c r="N181" i="4"/>
  <c r="P181" i="4" s="1"/>
  <c r="Q181" i="4" s="1"/>
  <c r="I181" i="4"/>
  <c r="C181" i="4"/>
  <c r="S181" i="4" s="1"/>
  <c r="S180" i="4"/>
  <c r="R180" i="4"/>
  <c r="Q180" i="4"/>
  <c r="P180" i="4"/>
  <c r="O180" i="4"/>
  <c r="N180" i="4"/>
  <c r="I180" i="4"/>
  <c r="C180" i="4"/>
  <c r="R179" i="4"/>
  <c r="O179" i="4"/>
  <c r="N179" i="4"/>
  <c r="P179" i="4" s="1"/>
  <c r="Q179" i="4" s="1"/>
  <c r="I179" i="4"/>
  <c r="C179" i="4"/>
  <c r="R178" i="4"/>
  <c r="O178" i="4"/>
  <c r="N178" i="4"/>
  <c r="P178" i="4" s="1"/>
  <c r="Q178" i="4" s="1"/>
  <c r="I178" i="4"/>
  <c r="S178" i="4" s="1"/>
  <c r="C178" i="4"/>
  <c r="R177" i="4"/>
  <c r="Q177" i="4"/>
  <c r="O177" i="4"/>
  <c r="N177" i="4"/>
  <c r="P177" i="4" s="1"/>
  <c r="I177" i="4"/>
  <c r="S177" i="4" s="1"/>
  <c r="C177" i="4"/>
  <c r="P176" i="4"/>
  <c r="Q176" i="4" s="1"/>
  <c r="O176" i="4"/>
  <c r="R176" i="4" s="1"/>
  <c r="N176" i="4"/>
  <c r="I176" i="4"/>
  <c r="S176" i="4" s="1"/>
  <c r="C176" i="4"/>
  <c r="S175" i="4"/>
  <c r="R175" i="4"/>
  <c r="Q175" i="4"/>
  <c r="O175" i="4"/>
  <c r="N175" i="4"/>
  <c r="P175" i="4" s="1"/>
  <c r="I175" i="4"/>
  <c r="C175" i="4"/>
  <c r="O174" i="4"/>
  <c r="N174" i="4"/>
  <c r="I174" i="4"/>
  <c r="S174" i="4" s="1"/>
  <c r="C174" i="4"/>
  <c r="R173" i="4"/>
  <c r="O173" i="4"/>
  <c r="N173" i="4"/>
  <c r="P173" i="4" s="1"/>
  <c r="Q173" i="4" s="1"/>
  <c r="I173" i="4"/>
  <c r="S173" i="4" s="1"/>
  <c r="C173" i="4"/>
  <c r="R172" i="4"/>
  <c r="Q172" i="4"/>
  <c r="O172" i="4"/>
  <c r="N172" i="4"/>
  <c r="P172" i="4" s="1"/>
  <c r="I172" i="4"/>
  <c r="S172" i="4" s="1"/>
  <c r="C172" i="4"/>
  <c r="R171" i="4"/>
  <c r="Q171" i="4"/>
  <c r="P171" i="4"/>
  <c r="O171" i="4"/>
  <c r="N171" i="4"/>
  <c r="I171" i="4"/>
  <c r="S171" i="4" s="1"/>
  <c r="C171" i="4"/>
  <c r="R170" i="4"/>
  <c r="O170" i="4"/>
  <c r="N170" i="4"/>
  <c r="P170" i="4" s="1"/>
  <c r="Q170" i="4" s="1"/>
  <c r="I170" i="4"/>
  <c r="C170" i="4"/>
  <c r="R169" i="4"/>
  <c r="O169" i="4"/>
  <c r="N169" i="4"/>
  <c r="I169" i="4"/>
  <c r="C169" i="4"/>
  <c r="P168" i="4"/>
  <c r="Q168" i="4" s="1"/>
  <c r="O168" i="4"/>
  <c r="R168" i="4" s="1"/>
  <c r="N168" i="4"/>
  <c r="I168" i="4"/>
  <c r="S168" i="4" s="1"/>
  <c r="C168" i="4"/>
  <c r="S167" i="4"/>
  <c r="R167" i="4"/>
  <c r="Q167" i="4"/>
  <c r="P167" i="4"/>
  <c r="O167" i="4"/>
  <c r="N167" i="4"/>
  <c r="I167" i="4"/>
  <c r="C167" i="4"/>
  <c r="O166" i="4"/>
  <c r="R166" i="4" s="1"/>
  <c r="N166" i="4"/>
  <c r="I166" i="4"/>
  <c r="C166" i="4"/>
  <c r="S165" i="4"/>
  <c r="O165" i="4"/>
  <c r="R165" i="4" s="1"/>
  <c r="N165" i="4"/>
  <c r="I165" i="4"/>
  <c r="C165" i="4"/>
  <c r="S164" i="4"/>
  <c r="P164" i="4"/>
  <c r="Q164" i="4" s="1"/>
  <c r="O164" i="4"/>
  <c r="R164" i="4" s="1"/>
  <c r="N164" i="4"/>
  <c r="I164" i="4"/>
  <c r="C164" i="4"/>
  <c r="R163" i="4"/>
  <c r="O163" i="4"/>
  <c r="N163" i="4"/>
  <c r="P163" i="4" s="1"/>
  <c r="Q163" i="4" s="1"/>
  <c r="I163" i="4"/>
  <c r="S163" i="4" s="1"/>
  <c r="C163" i="4"/>
  <c r="R162" i="4"/>
  <c r="O162" i="4"/>
  <c r="N162" i="4"/>
  <c r="P162" i="4" s="1"/>
  <c r="Q162" i="4" s="1"/>
  <c r="I162" i="4"/>
  <c r="S162" i="4" s="1"/>
  <c r="C162" i="4"/>
  <c r="S161" i="4"/>
  <c r="O161" i="4"/>
  <c r="N161" i="4"/>
  <c r="I161" i="4"/>
  <c r="C161" i="4"/>
  <c r="R160" i="4"/>
  <c r="O160" i="4"/>
  <c r="N160" i="4"/>
  <c r="P160" i="4" s="1"/>
  <c r="Q160" i="4" s="1"/>
  <c r="I160" i="4"/>
  <c r="S160" i="4" s="1"/>
  <c r="C160" i="4"/>
  <c r="R159" i="4"/>
  <c r="O159" i="4"/>
  <c r="N159" i="4"/>
  <c r="P159" i="4" s="1"/>
  <c r="Q159" i="4" s="1"/>
  <c r="I159" i="4"/>
  <c r="S159" i="4" s="1"/>
  <c r="C159" i="4"/>
  <c r="R158" i="4"/>
  <c r="P158" i="4"/>
  <c r="Q158" i="4" s="1"/>
  <c r="O158" i="4"/>
  <c r="N158" i="4"/>
  <c r="I158" i="4"/>
  <c r="S158" i="4" s="1"/>
  <c r="C158" i="4"/>
  <c r="O157" i="4"/>
  <c r="R157" i="4" s="1"/>
  <c r="N157" i="4"/>
  <c r="I157" i="4"/>
  <c r="S157" i="4" s="1"/>
  <c r="C157" i="4"/>
  <c r="S156" i="4"/>
  <c r="R156" i="4"/>
  <c r="Q156" i="4"/>
  <c r="P156" i="4"/>
  <c r="O156" i="4"/>
  <c r="N156" i="4"/>
  <c r="I156" i="4"/>
  <c r="C156" i="4"/>
  <c r="P155" i="4"/>
  <c r="Q155" i="4" s="1"/>
  <c r="O155" i="4"/>
  <c r="R155" i="4" s="1"/>
  <c r="N155" i="4"/>
  <c r="I155" i="4"/>
  <c r="S155" i="4" s="1"/>
  <c r="C155" i="4"/>
  <c r="O154" i="4"/>
  <c r="R154" i="4" s="1"/>
  <c r="N154" i="4"/>
  <c r="I154" i="4"/>
  <c r="C154" i="4"/>
  <c r="S154" i="4" s="1"/>
  <c r="S153" i="4"/>
  <c r="Q153" i="4"/>
  <c r="P153" i="4"/>
  <c r="O153" i="4"/>
  <c r="R153" i="4" s="1"/>
  <c r="N153" i="4"/>
  <c r="I153" i="4"/>
  <c r="C153" i="4"/>
  <c r="O152" i="4"/>
  <c r="R152" i="4" s="1"/>
  <c r="N152" i="4"/>
  <c r="P152" i="4" s="1"/>
  <c r="Q152" i="4" s="1"/>
  <c r="I152" i="4"/>
  <c r="S152" i="4" s="1"/>
  <c r="C152" i="4"/>
  <c r="O151" i="4"/>
  <c r="R151" i="4" s="1"/>
  <c r="N151" i="4"/>
  <c r="P151" i="4" s="1"/>
  <c r="Q151" i="4" s="1"/>
  <c r="I151" i="4"/>
  <c r="S151" i="4" s="1"/>
  <c r="C151" i="4"/>
  <c r="S150" i="4"/>
  <c r="O150" i="4"/>
  <c r="N150" i="4"/>
  <c r="I150" i="4"/>
  <c r="C150" i="4"/>
  <c r="R149" i="4"/>
  <c r="O149" i="4"/>
  <c r="N149" i="4"/>
  <c r="I149" i="4"/>
  <c r="S149" i="4" s="1"/>
  <c r="C149" i="4"/>
  <c r="R148" i="4"/>
  <c r="O148" i="4"/>
  <c r="N148" i="4"/>
  <c r="I148" i="4"/>
  <c r="S148" i="4" s="1"/>
  <c r="C148" i="4"/>
  <c r="O147" i="4"/>
  <c r="R147" i="4" s="1"/>
  <c r="N147" i="4"/>
  <c r="I147" i="4"/>
  <c r="S147" i="4" s="1"/>
  <c r="C147" i="4"/>
  <c r="R146" i="4"/>
  <c r="Q146" i="4"/>
  <c r="O146" i="4"/>
  <c r="N146" i="4"/>
  <c r="P146" i="4" s="1"/>
  <c r="I146" i="4"/>
  <c r="C146" i="4"/>
  <c r="S145" i="4"/>
  <c r="R145" i="4"/>
  <c r="Q145" i="4"/>
  <c r="O145" i="4"/>
  <c r="N145" i="4"/>
  <c r="P145" i="4" s="1"/>
  <c r="I145" i="4"/>
  <c r="C145" i="4"/>
  <c r="Q144" i="4"/>
  <c r="P144" i="4"/>
  <c r="O144" i="4"/>
  <c r="R144" i="4" s="1"/>
  <c r="N144" i="4"/>
  <c r="I144" i="4"/>
  <c r="S144" i="4" s="1"/>
  <c r="C144" i="4"/>
  <c r="P143" i="4"/>
  <c r="Q143" i="4" s="1"/>
  <c r="O143" i="4"/>
  <c r="R143" i="4" s="1"/>
  <c r="N143" i="4"/>
  <c r="I143" i="4"/>
  <c r="C143" i="4"/>
  <c r="S142" i="4"/>
  <c r="R142" i="4"/>
  <c r="O142" i="4"/>
  <c r="N142" i="4"/>
  <c r="I142" i="4"/>
  <c r="C142" i="4"/>
  <c r="O141" i="4"/>
  <c r="R141" i="4" s="1"/>
  <c r="N141" i="4"/>
  <c r="P141" i="4" s="1"/>
  <c r="Q141" i="4" s="1"/>
  <c r="I141" i="4"/>
  <c r="C141" i="4"/>
  <c r="S141" i="4" s="1"/>
  <c r="S140" i="4"/>
  <c r="O140" i="4"/>
  <c r="R140" i="4" s="1"/>
  <c r="N140" i="4"/>
  <c r="P140" i="4" s="1"/>
  <c r="Q140" i="4" s="1"/>
  <c r="I140" i="4"/>
  <c r="C140" i="4"/>
  <c r="S139" i="4"/>
  <c r="O139" i="4"/>
  <c r="N139" i="4"/>
  <c r="I139" i="4"/>
  <c r="C139" i="4"/>
  <c r="S138" i="4"/>
  <c r="P138" i="4"/>
  <c r="Q138" i="4" s="1"/>
  <c r="O138" i="4"/>
  <c r="R138" i="4" s="1"/>
  <c r="N138" i="4"/>
  <c r="I138" i="4"/>
  <c r="C138" i="4"/>
  <c r="O137" i="4"/>
  <c r="R137" i="4" s="1"/>
  <c r="N137" i="4"/>
  <c r="I137" i="4"/>
  <c r="C137" i="4"/>
  <c r="S137" i="4" s="1"/>
  <c r="S136" i="4"/>
  <c r="R136" i="4"/>
  <c r="P136" i="4"/>
  <c r="Q136" i="4" s="1"/>
  <c r="O136" i="4"/>
  <c r="N136" i="4"/>
  <c r="I136" i="4"/>
  <c r="C136" i="4"/>
  <c r="O135" i="4"/>
  <c r="R135" i="4" s="1"/>
  <c r="N135" i="4"/>
  <c r="P135" i="4" s="1"/>
  <c r="Q135" i="4" s="1"/>
  <c r="I135" i="4"/>
  <c r="S135" i="4" s="1"/>
  <c r="C135" i="4"/>
  <c r="S134" i="4"/>
  <c r="O134" i="4"/>
  <c r="R134" i="4" s="1"/>
  <c r="N134" i="4"/>
  <c r="I134" i="4"/>
  <c r="C134" i="4"/>
  <c r="S133" i="4"/>
  <c r="O133" i="4"/>
  <c r="N133" i="4"/>
  <c r="I133" i="4"/>
  <c r="C133" i="4"/>
  <c r="O132" i="4"/>
  <c r="R132" i="4" s="1"/>
  <c r="N132" i="4"/>
  <c r="P132" i="4" s="1"/>
  <c r="Q132" i="4" s="1"/>
  <c r="I132" i="4"/>
  <c r="C132" i="4"/>
  <c r="S132" i="4" s="1"/>
  <c r="O131" i="4"/>
  <c r="R131" i="4" s="1"/>
  <c r="N131" i="4"/>
  <c r="I131" i="4"/>
  <c r="C131" i="4"/>
  <c r="S131" i="4" s="1"/>
  <c r="S130" i="4"/>
  <c r="O130" i="4"/>
  <c r="N130" i="4"/>
  <c r="I130" i="4"/>
  <c r="C130" i="4"/>
  <c r="S129" i="4"/>
  <c r="O129" i="4"/>
  <c r="N129" i="4"/>
  <c r="I129" i="4"/>
  <c r="C129" i="4"/>
  <c r="Q128" i="4"/>
  <c r="O128" i="4"/>
  <c r="R128" i="4" s="1"/>
  <c r="N128" i="4"/>
  <c r="P128" i="4" s="1"/>
  <c r="I128" i="4"/>
  <c r="C128" i="4"/>
  <c r="S128" i="4" s="1"/>
  <c r="S127" i="4"/>
  <c r="R127" i="4"/>
  <c r="Q127" i="4"/>
  <c r="P127" i="4"/>
  <c r="O127" i="4"/>
  <c r="N127" i="4"/>
  <c r="I127" i="4"/>
  <c r="C127" i="4"/>
  <c r="O126" i="4"/>
  <c r="R126" i="4" s="1"/>
  <c r="N126" i="4"/>
  <c r="P126" i="4" s="1"/>
  <c r="Q126" i="4" s="1"/>
  <c r="I126" i="4"/>
  <c r="S126" i="4" s="1"/>
  <c r="C126" i="4"/>
  <c r="S125" i="4"/>
  <c r="O125" i="4"/>
  <c r="R125" i="4" s="1"/>
  <c r="N125" i="4"/>
  <c r="P125" i="4" s="1"/>
  <c r="Q125" i="4" s="1"/>
  <c r="I125" i="4"/>
  <c r="C125" i="4"/>
  <c r="S124" i="4"/>
  <c r="P124" i="4"/>
  <c r="Q124" i="4" s="1"/>
  <c r="O124" i="4"/>
  <c r="R124" i="4" s="1"/>
  <c r="N124" i="4"/>
  <c r="I124" i="4"/>
  <c r="C124" i="4"/>
  <c r="R123" i="4"/>
  <c r="O123" i="4"/>
  <c r="N123" i="4"/>
  <c r="P123" i="4" s="1"/>
  <c r="Q123" i="4" s="1"/>
  <c r="I123" i="4"/>
  <c r="C123" i="4"/>
  <c r="S122" i="4"/>
  <c r="O122" i="4"/>
  <c r="R122" i="4" s="1"/>
  <c r="N122" i="4"/>
  <c r="I122" i="4"/>
  <c r="C122" i="4"/>
  <c r="R121" i="4"/>
  <c r="O121" i="4"/>
  <c r="P121" i="4" s="1"/>
  <c r="Q121" i="4" s="1"/>
  <c r="N121" i="4"/>
  <c r="I121" i="4"/>
  <c r="S121" i="4" s="1"/>
  <c r="C121" i="4"/>
  <c r="R120" i="4"/>
  <c r="O120" i="4"/>
  <c r="N120" i="4"/>
  <c r="P120" i="4" s="1"/>
  <c r="Q120" i="4" s="1"/>
  <c r="I120" i="4"/>
  <c r="S120" i="4" s="1"/>
  <c r="C120" i="4"/>
  <c r="S119" i="4"/>
  <c r="O119" i="4"/>
  <c r="R119" i="4" s="1"/>
  <c r="N119" i="4"/>
  <c r="P119" i="4" s="1"/>
  <c r="Q119" i="4" s="1"/>
  <c r="I119" i="4"/>
  <c r="C119" i="4"/>
  <c r="O118" i="4"/>
  <c r="N118" i="4"/>
  <c r="I118" i="4"/>
  <c r="S118" i="4" s="1"/>
  <c r="C118" i="4"/>
  <c r="S117" i="4"/>
  <c r="R117" i="4"/>
  <c r="P117" i="4"/>
  <c r="Q117" i="4" s="1"/>
  <c r="O117" i="4"/>
  <c r="N117" i="4"/>
  <c r="I117" i="4"/>
  <c r="C117" i="4"/>
  <c r="O116" i="4"/>
  <c r="R116" i="4" s="1"/>
  <c r="N116" i="4"/>
  <c r="P116" i="4" s="1"/>
  <c r="Q116" i="4" s="1"/>
  <c r="I116" i="4"/>
  <c r="C116" i="4"/>
  <c r="S116" i="4" s="1"/>
  <c r="S115" i="4"/>
  <c r="R115" i="4"/>
  <c r="Q115" i="4"/>
  <c r="P115" i="4"/>
  <c r="O115" i="4"/>
  <c r="N115" i="4"/>
  <c r="I115" i="4"/>
  <c r="C115" i="4"/>
  <c r="O114" i="4"/>
  <c r="R114" i="4" s="1"/>
  <c r="N114" i="4"/>
  <c r="P114" i="4" s="1"/>
  <c r="Q114" i="4" s="1"/>
  <c r="I114" i="4"/>
  <c r="S114" i="4" s="1"/>
  <c r="C114" i="4"/>
  <c r="S113" i="4"/>
  <c r="O113" i="4"/>
  <c r="R113" i="4" s="1"/>
  <c r="N113" i="4"/>
  <c r="P113" i="4" s="1"/>
  <c r="Q113" i="4" s="1"/>
  <c r="I113" i="4"/>
  <c r="C113" i="4"/>
  <c r="S112" i="4"/>
  <c r="O112" i="4"/>
  <c r="R112" i="4" s="1"/>
  <c r="N112" i="4"/>
  <c r="I112" i="4"/>
  <c r="C112" i="4"/>
  <c r="R111" i="4"/>
  <c r="O111" i="4"/>
  <c r="N111" i="4"/>
  <c r="P111" i="4" s="1"/>
  <c r="Q111" i="4" s="1"/>
  <c r="I111" i="4"/>
  <c r="S111" i="4" s="1"/>
  <c r="C111" i="4"/>
  <c r="S110" i="4"/>
  <c r="O110" i="4"/>
  <c r="R110" i="4" s="1"/>
  <c r="N110" i="4"/>
  <c r="I110" i="4"/>
  <c r="C110" i="4"/>
  <c r="O109" i="4"/>
  <c r="N109" i="4"/>
  <c r="I109" i="4"/>
  <c r="S109" i="4" s="1"/>
  <c r="C109" i="4"/>
  <c r="S108" i="4"/>
  <c r="R108" i="4"/>
  <c r="O108" i="4"/>
  <c r="N108" i="4"/>
  <c r="P108" i="4" s="1"/>
  <c r="Q108" i="4" s="1"/>
  <c r="I108" i="4"/>
  <c r="C108" i="4"/>
  <c r="O107" i="4"/>
  <c r="R107" i="4" s="1"/>
  <c r="N107" i="4"/>
  <c r="I107" i="4"/>
  <c r="C107" i="4"/>
  <c r="S107" i="4" s="1"/>
  <c r="O106" i="4"/>
  <c r="N106" i="4"/>
  <c r="I106" i="4"/>
  <c r="S106" i="4" s="1"/>
  <c r="C106" i="4"/>
  <c r="S105" i="4"/>
  <c r="R105" i="4"/>
  <c r="O105" i="4"/>
  <c r="P105" i="4" s="1"/>
  <c r="Q105" i="4" s="1"/>
  <c r="N105" i="4"/>
  <c r="I105" i="4"/>
  <c r="C105" i="4"/>
  <c r="O104" i="4"/>
  <c r="R104" i="4" s="1"/>
  <c r="N104" i="4"/>
  <c r="P104" i="4" s="1"/>
  <c r="Q104" i="4" s="1"/>
  <c r="I104" i="4"/>
  <c r="C104" i="4"/>
  <c r="S104" i="4" s="1"/>
  <c r="S103" i="4"/>
  <c r="R103" i="4"/>
  <c r="Q103" i="4"/>
  <c r="P103" i="4"/>
  <c r="O103" i="4"/>
  <c r="N103" i="4"/>
  <c r="I103" i="4"/>
  <c r="C103" i="4"/>
  <c r="R102" i="4"/>
  <c r="P102" i="4"/>
  <c r="Q102" i="4" s="1"/>
  <c r="O102" i="4"/>
  <c r="N102" i="4"/>
  <c r="I102" i="4"/>
  <c r="S102" i="4" s="1"/>
  <c r="C102" i="4"/>
  <c r="O101" i="4"/>
  <c r="N101" i="4"/>
  <c r="I101" i="4"/>
  <c r="C101" i="4"/>
  <c r="S101" i="4" s="1"/>
  <c r="S100" i="4"/>
  <c r="R100" i="4"/>
  <c r="P100" i="4"/>
  <c r="Q100" i="4" s="1"/>
  <c r="O100" i="4"/>
  <c r="N100" i="4"/>
  <c r="I100" i="4"/>
  <c r="C100" i="4"/>
  <c r="P99" i="4"/>
  <c r="Q99" i="4" s="1"/>
  <c r="O99" i="4"/>
  <c r="R99" i="4" s="1"/>
  <c r="N99" i="4"/>
  <c r="I99" i="4"/>
  <c r="C99" i="4"/>
  <c r="S99" i="4" s="1"/>
  <c r="S98" i="4"/>
  <c r="O98" i="4"/>
  <c r="R98" i="4" s="1"/>
  <c r="N98" i="4"/>
  <c r="P98" i="4" s="1"/>
  <c r="Q98" i="4" s="1"/>
  <c r="I98" i="4"/>
  <c r="C98" i="4"/>
  <c r="S97" i="4"/>
  <c r="O97" i="4"/>
  <c r="R97" i="4" s="1"/>
  <c r="N97" i="4"/>
  <c r="I97" i="4"/>
  <c r="C97" i="4"/>
  <c r="R96" i="4"/>
  <c r="O96" i="4"/>
  <c r="N96" i="4"/>
  <c r="P96" i="4" s="1"/>
  <c r="Q96" i="4" s="1"/>
  <c r="I96" i="4"/>
  <c r="C96" i="4"/>
  <c r="S95" i="4"/>
  <c r="P95" i="4"/>
  <c r="Q95" i="4" s="1"/>
  <c r="O95" i="4"/>
  <c r="R95" i="4" s="1"/>
  <c r="N95" i="4"/>
  <c r="I95" i="4"/>
  <c r="C95" i="4"/>
  <c r="P94" i="4"/>
  <c r="Q94" i="4" s="1"/>
  <c r="O94" i="4"/>
  <c r="R94" i="4" s="1"/>
  <c r="N94" i="4"/>
  <c r="I94" i="4"/>
  <c r="S94" i="4" s="1"/>
  <c r="C94" i="4"/>
  <c r="O93" i="4"/>
  <c r="R93" i="4" s="1"/>
  <c r="N93" i="4"/>
  <c r="P93" i="4" s="1"/>
  <c r="Q93" i="4" s="1"/>
  <c r="I93" i="4"/>
  <c r="C93" i="4"/>
  <c r="S93" i="4" s="1"/>
  <c r="S92" i="4"/>
  <c r="O92" i="4"/>
  <c r="N92" i="4"/>
  <c r="I92" i="4"/>
  <c r="C92" i="4"/>
  <c r="O91" i="4"/>
  <c r="N91" i="4"/>
  <c r="I91" i="4"/>
  <c r="S91" i="4" s="1"/>
  <c r="C91" i="4"/>
  <c r="R90" i="4"/>
  <c r="P90" i="4"/>
  <c r="Q90" i="4" s="1"/>
  <c r="O90" i="4"/>
  <c r="N90" i="4"/>
  <c r="I90" i="4"/>
  <c r="C90" i="4"/>
  <c r="S90" i="4" s="1"/>
  <c r="O89" i="4"/>
  <c r="R89" i="4" s="1"/>
  <c r="N89" i="4"/>
  <c r="P89" i="4" s="1"/>
  <c r="Q89" i="4" s="1"/>
  <c r="I89" i="4"/>
  <c r="C89" i="4"/>
  <c r="S89" i="4" s="1"/>
  <c r="O88" i="4"/>
  <c r="N88" i="4"/>
  <c r="I88" i="4"/>
  <c r="S88" i="4" s="1"/>
  <c r="C88" i="4"/>
  <c r="S87" i="4"/>
  <c r="R87" i="4"/>
  <c r="O87" i="4"/>
  <c r="P87" i="4" s="1"/>
  <c r="Q87" i="4" s="1"/>
  <c r="N87" i="4"/>
  <c r="I87" i="4"/>
  <c r="C87" i="4"/>
  <c r="O86" i="4"/>
  <c r="R86" i="4" s="1"/>
  <c r="N86" i="4"/>
  <c r="I86" i="4"/>
  <c r="C86" i="4"/>
  <c r="S86" i="4" s="1"/>
  <c r="R85" i="4"/>
  <c r="Q85" i="4"/>
  <c r="P85" i="4"/>
  <c r="O85" i="4"/>
  <c r="N85" i="4"/>
  <c r="I85" i="4"/>
  <c r="S85" i="4" s="1"/>
  <c r="C85" i="4"/>
  <c r="R84" i="4"/>
  <c r="P84" i="4"/>
  <c r="Q84" i="4" s="1"/>
  <c r="O84" i="4"/>
  <c r="N84" i="4"/>
  <c r="I84" i="4"/>
  <c r="S84" i="4" s="1"/>
  <c r="C84" i="4"/>
  <c r="O83" i="4"/>
  <c r="N83" i="4"/>
  <c r="I83" i="4"/>
  <c r="C83" i="4"/>
  <c r="S83" i="4" s="1"/>
  <c r="S82" i="4"/>
  <c r="R82" i="4"/>
  <c r="Q82" i="4"/>
  <c r="P82" i="4"/>
  <c r="O82" i="4"/>
  <c r="N82" i="4"/>
  <c r="I82" i="4"/>
  <c r="C82" i="4"/>
  <c r="O81" i="4"/>
  <c r="R81" i="4" s="1"/>
  <c r="N81" i="4"/>
  <c r="P81" i="4" s="1"/>
  <c r="Q81" i="4" s="1"/>
  <c r="I81" i="4"/>
  <c r="C81" i="4"/>
  <c r="S80" i="4"/>
  <c r="O80" i="4"/>
  <c r="R80" i="4" s="1"/>
  <c r="N80" i="4"/>
  <c r="P80" i="4" s="1"/>
  <c r="Q80" i="4" s="1"/>
  <c r="I80" i="4"/>
  <c r="C80" i="4"/>
  <c r="S79" i="4"/>
  <c r="P79" i="4"/>
  <c r="Q79" i="4" s="1"/>
  <c r="O79" i="4"/>
  <c r="R79" i="4" s="1"/>
  <c r="N79" i="4"/>
  <c r="I79" i="4"/>
  <c r="C79" i="4"/>
  <c r="Q78" i="4"/>
  <c r="O78" i="4"/>
  <c r="R78" i="4" s="1"/>
  <c r="N78" i="4"/>
  <c r="P78" i="4" s="1"/>
  <c r="I78" i="4"/>
  <c r="S78" i="4" s="1"/>
  <c r="C78" i="4"/>
  <c r="Q77" i="4"/>
  <c r="P77" i="4"/>
  <c r="O77" i="4"/>
  <c r="R77" i="4" s="1"/>
  <c r="N77" i="4"/>
  <c r="I77" i="4"/>
  <c r="C77" i="4"/>
  <c r="S77" i="4" s="1"/>
  <c r="O76" i="4"/>
  <c r="N76" i="4"/>
  <c r="I76" i="4"/>
  <c r="S76" i="4" s="1"/>
  <c r="C76" i="4"/>
  <c r="O75" i="4"/>
  <c r="R75" i="4" s="1"/>
  <c r="N75" i="4"/>
  <c r="P75" i="4" s="1"/>
  <c r="Q75" i="4" s="1"/>
  <c r="I75" i="4"/>
  <c r="S75" i="4" s="1"/>
  <c r="C75" i="4"/>
  <c r="S74" i="4"/>
  <c r="P74" i="4"/>
  <c r="Q74" i="4" s="1"/>
  <c r="O74" i="4"/>
  <c r="R74" i="4" s="1"/>
  <c r="N74" i="4"/>
  <c r="I74" i="4"/>
  <c r="C74" i="4"/>
  <c r="S73" i="4"/>
  <c r="O73" i="4"/>
  <c r="R73" i="4" s="1"/>
  <c r="N73" i="4"/>
  <c r="I73" i="4"/>
  <c r="C73" i="4"/>
  <c r="O72" i="4"/>
  <c r="N72" i="4"/>
  <c r="I72" i="4"/>
  <c r="C72" i="4"/>
  <c r="S71" i="4"/>
  <c r="O71" i="4"/>
  <c r="R71" i="4" s="1"/>
  <c r="N71" i="4"/>
  <c r="I71" i="4"/>
  <c r="C71" i="4"/>
  <c r="O70" i="4"/>
  <c r="N70" i="4"/>
  <c r="I70" i="4"/>
  <c r="S70" i="4" s="1"/>
  <c r="C70" i="4"/>
  <c r="S69" i="4"/>
  <c r="O69" i="4"/>
  <c r="R69" i="4" s="1"/>
  <c r="N69" i="4"/>
  <c r="P69" i="4" s="1"/>
  <c r="Q69" i="4" s="1"/>
  <c r="I69" i="4"/>
  <c r="C69" i="4"/>
  <c r="S68" i="4"/>
  <c r="O68" i="4"/>
  <c r="R68" i="4" s="1"/>
  <c r="N68" i="4"/>
  <c r="I68" i="4"/>
  <c r="C68" i="4"/>
  <c r="O67" i="4"/>
  <c r="N67" i="4"/>
  <c r="I67" i="4"/>
  <c r="S67" i="4" s="1"/>
  <c r="C67" i="4"/>
  <c r="S66" i="4"/>
  <c r="R66" i="4"/>
  <c r="O66" i="4"/>
  <c r="N66" i="4"/>
  <c r="P66" i="4" s="1"/>
  <c r="Q66" i="4" s="1"/>
  <c r="I66" i="4"/>
  <c r="C66" i="4"/>
  <c r="Q65" i="4"/>
  <c r="O65" i="4"/>
  <c r="R65" i="4" s="1"/>
  <c r="N65" i="4"/>
  <c r="P65" i="4" s="1"/>
  <c r="I65" i="4"/>
  <c r="S65" i="4" s="1"/>
  <c r="C65" i="4"/>
  <c r="O64" i="4"/>
  <c r="R64" i="4" s="1"/>
  <c r="N64" i="4"/>
  <c r="P64" i="4" s="1"/>
  <c r="Q64" i="4" s="1"/>
  <c r="I64" i="4"/>
  <c r="S64" i="4" s="1"/>
  <c r="C64" i="4"/>
  <c r="S63" i="4"/>
  <c r="R63" i="4"/>
  <c r="Q63" i="4"/>
  <c r="P63" i="4"/>
  <c r="O63" i="4"/>
  <c r="N63" i="4"/>
  <c r="I63" i="4"/>
  <c r="C63" i="4"/>
  <c r="R62" i="4"/>
  <c r="O62" i="4"/>
  <c r="N62" i="4"/>
  <c r="P62" i="4" s="1"/>
  <c r="Q62" i="4" s="1"/>
  <c r="I62" i="4"/>
  <c r="S62" i="4" s="1"/>
  <c r="C62" i="4"/>
  <c r="Q61" i="4"/>
  <c r="P61" i="4"/>
  <c r="O61" i="4"/>
  <c r="R61" i="4" s="1"/>
  <c r="N61" i="4"/>
  <c r="I61" i="4"/>
  <c r="C61" i="4"/>
  <c r="R60" i="4"/>
  <c r="Q60" i="4"/>
  <c r="P60" i="4"/>
  <c r="O60" i="4"/>
  <c r="N60" i="4"/>
  <c r="I60" i="4"/>
  <c r="C60" i="4"/>
  <c r="O59" i="4"/>
  <c r="R59" i="4" s="1"/>
  <c r="N59" i="4"/>
  <c r="P59" i="4" s="1"/>
  <c r="Q59" i="4" s="1"/>
  <c r="I59" i="4"/>
  <c r="S59" i="4" s="1"/>
  <c r="C59" i="4"/>
  <c r="O58" i="4"/>
  <c r="R58" i="4" s="1"/>
  <c r="N58" i="4"/>
  <c r="P58" i="4" s="1"/>
  <c r="Q58" i="4" s="1"/>
  <c r="I58" i="4"/>
  <c r="C58" i="4"/>
  <c r="R57" i="4"/>
  <c r="Q57" i="4"/>
  <c r="P57" i="4"/>
  <c r="O57" i="4"/>
  <c r="N57" i="4"/>
  <c r="I57" i="4"/>
  <c r="S57" i="4" s="1"/>
  <c r="C57" i="4"/>
  <c r="P56" i="4"/>
  <c r="Q56" i="4" s="1"/>
  <c r="O56" i="4"/>
  <c r="R56" i="4" s="1"/>
  <c r="N56" i="4"/>
  <c r="I56" i="4"/>
  <c r="S56" i="4" s="1"/>
  <c r="C56" i="4"/>
  <c r="O55" i="4"/>
  <c r="R55" i="4" s="1"/>
  <c r="N55" i="4"/>
  <c r="P55" i="4" s="1"/>
  <c r="Q55" i="4" s="1"/>
  <c r="I55" i="4"/>
  <c r="S55" i="4" s="1"/>
  <c r="C55" i="4"/>
  <c r="R54" i="4"/>
  <c r="Q54" i="4"/>
  <c r="P54" i="4"/>
  <c r="O54" i="4"/>
  <c r="N54" i="4"/>
  <c r="I54" i="4"/>
  <c r="C54" i="4"/>
  <c r="S54" i="4" s="1"/>
  <c r="P53" i="4"/>
  <c r="Q53" i="4" s="1"/>
  <c r="O53" i="4"/>
  <c r="R53" i="4" s="1"/>
  <c r="N53" i="4"/>
  <c r="I53" i="4"/>
  <c r="S53" i="4" s="1"/>
  <c r="C53" i="4"/>
  <c r="O52" i="4"/>
  <c r="R52" i="4" s="1"/>
  <c r="N52" i="4"/>
  <c r="P52" i="4" s="1"/>
  <c r="Q52" i="4" s="1"/>
  <c r="I52" i="4"/>
  <c r="S52" i="4" s="1"/>
  <c r="C52" i="4"/>
  <c r="S51" i="4"/>
  <c r="R51" i="4"/>
  <c r="Q51" i="4"/>
  <c r="P51" i="4"/>
  <c r="O51" i="4"/>
  <c r="N51" i="4"/>
  <c r="I51" i="4"/>
  <c r="C51" i="4"/>
  <c r="R50" i="4"/>
  <c r="O50" i="4"/>
  <c r="N50" i="4"/>
  <c r="P50" i="4" s="1"/>
  <c r="Q50" i="4" s="1"/>
  <c r="I50" i="4"/>
  <c r="S50" i="4" s="1"/>
  <c r="C50" i="4"/>
  <c r="P49" i="4"/>
  <c r="Q49" i="4" s="1"/>
  <c r="O49" i="4"/>
  <c r="R49" i="4" s="1"/>
  <c r="N49" i="4"/>
  <c r="I49" i="4"/>
  <c r="C49" i="4"/>
  <c r="R48" i="4"/>
  <c r="Q48" i="4"/>
  <c r="P48" i="4"/>
  <c r="O48" i="4"/>
  <c r="N48" i="4"/>
  <c r="I48" i="4"/>
  <c r="S48" i="4" s="1"/>
  <c r="C48" i="4"/>
  <c r="R47" i="4"/>
  <c r="O47" i="4"/>
  <c r="N47" i="4"/>
  <c r="I47" i="4"/>
  <c r="S47" i="4" s="1"/>
  <c r="C47" i="4"/>
  <c r="O46" i="4"/>
  <c r="R46" i="4" s="1"/>
  <c r="N46" i="4"/>
  <c r="P46" i="4" s="1"/>
  <c r="Q46" i="4" s="1"/>
  <c r="I46" i="4"/>
  <c r="C46" i="4"/>
  <c r="R45" i="4"/>
  <c r="Q45" i="4"/>
  <c r="P45" i="4"/>
  <c r="O45" i="4"/>
  <c r="N45" i="4"/>
  <c r="I45" i="4"/>
  <c r="C45" i="4"/>
  <c r="Q44" i="4"/>
  <c r="P44" i="4"/>
  <c r="O44" i="4"/>
  <c r="R44" i="4" s="1"/>
  <c r="N44" i="4"/>
  <c r="I44" i="4"/>
  <c r="S44" i="4" s="1"/>
  <c r="C44" i="4"/>
  <c r="P43" i="4"/>
  <c r="Q43" i="4" s="1"/>
  <c r="O43" i="4"/>
  <c r="R43" i="4" s="1"/>
  <c r="N43" i="4"/>
  <c r="I43" i="4"/>
  <c r="C43" i="4"/>
  <c r="R42" i="4"/>
  <c r="Q42" i="4"/>
  <c r="P42" i="4"/>
  <c r="O42" i="4"/>
  <c r="N42" i="4"/>
  <c r="I42" i="4"/>
  <c r="C42" i="4"/>
  <c r="S42" i="4" s="1"/>
  <c r="O41" i="4"/>
  <c r="R41" i="4" s="1"/>
  <c r="N41" i="4"/>
  <c r="P41" i="4" s="1"/>
  <c r="Q41" i="4" s="1"/>
  <c r="I41" i="4"/>
  <c r="S41" i="4" s="1"/>
  <c r="C41" i="4"/>
  <c r="O40" i="4"/>
  <c r="R40" i="4" s="1"/>
  <c r="N40" i="4"/>
  <c r="P40" i="4" s="1"/>
  <c r="Q40" i="4" s="1"/>
  <c r="I40" i="4"/>
  <c r="S40" i="4" s="1"/>
  <c r="C40" i="4"/>
  <c r="S39" i="4"/>
  <c r="R39" i="4"/>
  <c r="Q39" i="4"/>
  <c r="P39" i="4"/>
  <c r="O39" i="4"/>
  <c r="N39" i="4"/>
  <c r="I39" i="4"/>
  <c r="C39" i="4"/>
  <c r="R38" i="4"/>
  <c r="O38" i="4"/>
  <c r="N38" i="4"/>
  <c r="P38" i="4" s="1"/>
  <c r="Q38" i="4" s="1"/>
  <c r="I38" i="4"/>
  <c r="S38" i="4" s="1"/>
  <c r="C38" i="4"/>
  <c r="P37" i="4"/>
  <c r="Q37" i="4" s="1"/>
  <c r="O37" i="4"/>
  <c r="R37" i="4" s="1"/>
  <c r="N37" i="4"/>
  <c r="I37" i="4"/>
  <c r="C37" i="4"/>
  <c r="R36" i="4"/>
  <c r="Q36" i="4"/>
  <c r="P36" i="4"/>
  <c r="O36" i="4"/>
  <c r="N36" i="4"/>
  <c r="I36" i="4"/>
  <c r="S36" i="4" s="1"/>
  <c r="C36" i="4"/>
  <c r="O35" i="4"/>
  <c r="R35" i="4" s="1"/>
  <c r="N35" i="4"/>
  <c r="P35" i="4" s="1"/>
  <c r="Q35" i="4" s="1"/>
  <c r="I35" i="4"/>
  <c r="S35" i="4" s="1"/>
  <c r="C35" i="4"/>
  <c r="O34" i="4"/>
  <c r="R34" i="4" s="1"/>
  <c r="N34" i="4"/>
  <c r="P34" i="4" s="1"/>
  <c r="Q34" i="4" s="1"/>
  <c r="I34" i="4"/>
  <c r="S34" i="4" s="1"/>
  <c r="C34" i="4"/>
  <c r="R33" i="4"/>
  <c r="Q33" i="4"/>
  <c r="P33" i="4"/>
  <c r="O33" i="4"/>
  <c r="N33" i="4"/>
  <c r="I33" i="4"/>
  <c r="S33" i="4" s="1"/>
  <c r="C33" i="4"/>
  <c r="P32" i="4"/>
  <c r="Q32" i="4" s="1"/>
  <c r="O32" i="4"/>
  <c r="R32" i="4" s="1"/>
  <c r="N32" i="4"/>
  <c r="I32" i="4"/>
  <c r="C32" i="4"/>
  <c r="O31" i="4"/>
  <c r="R31" i="4" s="1"/>
  <c r="N31" i="4"/>
  <c r="P31" i="4" s="1"/>
  <c r="Q31" i="4" s="1"/>
  <c r="I31" i="4"/>
  <c r="C31" i="4"/>
  <c r="S30" i="4"/>
  <c r="R30" i="4"/>
  <c r="Q30" i="4"/>
  <c r="P30" i="4"/>
  <c r="O30" i="4"/>
  <c r="N30" i="4"/>
  <c r="I30" i="4"/>
  <c r="C30" i="4"/>
  <c r="O29" i="4"/>
  <c r="R29" i="4" s="1"/>
  <c r="N29" i="4"/>
  <c r="I29" i="4"/>
  <c r="S29" i="4" s="1"/>
  <c r="C29" i="4"/>
  <c r="O28" i="4"/>
  <c r="R28" i="4" s="1"/>
  <c r="N28" i="4"/>
  <c r="P28" i="4" s="1"/>
  <c r="Q28" i="4" s="1"/>
  <c r="I28" i="4"/>
  <c r="S28" i="4" s="1"/>
  <c r="C28" i="4"/>
  <c r="S27" i="4"/>
  <c r="R27" i="4"/>
  <c r="Q27" i="4"/>
  <c r="P27" i="4"/>
  <c r="O27" i="4"/>
  <c r="N27" i="4"/>
  <c r="I27" i="4"/>
  <c r="C27" i="4"/>
  <c r="R26" i="4"/>
  <c r="P26" i="4"/>
  <c r="Q26" i="4" s="1"/>
  <c r="O26" i="4"/>
  <c r="N26" i="4"/>
  <c r="I26" i="4"/>
  <c r="C26" i="4"/>
  <c r="Q25" i="4"/>
  <c r="P25" i="4"/>
  <c r="O25" i="4"/>
  <c r="R25" i="4" s="1"/>
  <c r="N25" i="4"/>
  <c r="I25" i="4"/>
  <c r="C25" i="4"/>
  <c r="R24" i="4"/>
  <c r="P24" i="4"/>
  <c r="Q24" i="4" s="1"/>
  <c r="O24" i="4"/>
  <c r="N24" i="4"/>
  <c r="I24" i="4"/>
  <c r="C24" i="4"/>
  <c r="R23" i="4"/>
  <c r="O23" i="4"/>
  <c r="N23" i="4"/>
  <c r="P23" i="4" s="1"/>
  <c r="Q23" i="4" s="1"/>
  <c r="I23" i="4"/>
  <c r="S23" i="4" s="1"/>
  <c r="C23" i="4"/>
  <c r="Q22" i="4"/>
  <c r="P22" i="4"/>
  <c r="O22" i="4"/>
  <c r="R22" i="4" s="1"/>
  <c r="N22" i="4"/>
  <c r="I22" i="4"/>
  <c r="C22" i="4"/>
  <c r="R21" i="4"/>
  <c r="Q21" i="4"/>
  <c r="P21" i="4"/>
  <c r="O21" i="4"/>
  <c r="N21" i="4"/>
  <c r="I21" i="4"/>
  <c r="S21" i="4" s="1"/>
  <c r="C21" i="4"/>
  <c r="R20" i="4"/>
  <c r="Q20" i="4"/>
  <c r="P20" i="4"/>
  <c r="O20" i="4"/>
  <c r="N20" i="4"/>
  <c r="I20" i="4"/>
  <c r="C20" i="4"/>
  <c r="O19" i="4"/>
  <c r="R19" i="4" s="1"/>
  <c r="N19" i="4"/>
  <c r="P19" i="4" s="1"/>
  <c r="Q19" i="4" s="1"/>
  <c r="I19" i="4"/>
  <c r="C19" i="4"/>
  <c r="S18" i="4"/>
  <c r="R18" i="4"/>
  <c r="Q18" i="4"/>
  <c r="P18" i="4"/>
  <c r="O18" i="4"/>
  <c r="N18" i="4"/>
  <c r="I18" i="4"/>
  <c r="C18" i="4"/>
  <c r="O17" i="4"/>
  <c r="R17" i="4" s="1"/>
  <c r="N17" i="4"/>
  <c r="P17" i="4" s="1"/>
  <c r="Q17" i="4" s="1"/>
  <c r="I17" i="4"/>
  <c r="S17" i="4" s="1"/>
  <c r="C17" i="4"/>
  <c r="O16" i="4"/>
  <c r="R16" i="4" s="1"/>
  <c r="N16" i="4"/>
  <c r="P16" i="4" s="1"/>
  <c r="Q16" i="4" s="1"/>
  <c r="I16" i="4"/>
  <c r="S16" i="4" s="1"/>
  <c r="C16" i="4"/>
  <c r="S15" i="4"/>
  <c r="R15" i="4"/>
  <c r="P15" i="4"/>
  <c r="Q15" i="4" s="1"/>
  <c r="O15" i="4"/>
  <c r="N15" i="4"/>
  <c r="I15" i="4"/>
  <c r="C15" i="4"/>
  <c r="R14" i="4"/>
  <c r="O14" i="4"/>
  <c r="N14" i="4"/>
  <c r="P14" i="4" s="1"/>
  <c r="Q14" i="4" s="1"/>
  <c r="I14" i="4"/>
  <c r="S14" i="4" s="1"/>
  <c r="C14" i="4"/>
  <c r="Q13" i="4"/>
  <c r="P13" i="4"/>
  <c r="O13" i="4"/>
  <c r="R13" i="4" s="1"/>
  <c r="N13" i="4"/>
  <c r="I13" i="4"/>
  <c r="C13" i="4"/>
  <c r="R12" i="4"/>
  <c r="P12" i="4"/>
  <c r="Q12" i="4" s="1"/>
  <c r="O12" i="4"/>
  <c r="N12" i="4"/>
  <c r="I12" i="4"/>
  <c r="S12" i="4" s="1"/>
  <c r="C12" i="4"/>
  <c r="R11" i="4"/>
  <c r="O11" i="4"/>
  <c r="N11" i="4"/>
  <c r="P11" i="4" s="1"/>
  <c r="Q11" i="4" s="1"/>
  <c r="I11" i="4"/>
  <c r="S11" i="4" s="1"/>
  <c r="C11" i="4"/>
  <c r="A1" i="4"/>
  <c r="AF384" i="3"/>
  <c r="P384" i="3"/>
  <c r="AD382" i="3"/>
  <c r="AE382" i="3" s="1"/>
  <c r="AC382" i="3"/>
  <c r="AF382" i="3" s="1"/>
  <c r="AG382" i="3" s="1"/>
  <c r="AM382" i="3" s="1"/>
  <c r="AB382" i="3"/>
  <c r="V382" i="3"/>
  <c r="M382" i="3"/>
  <c r="L382" i="3"/>
  <c r="C382" i="3"/>
  <c r="AF381" i="3"/>
  <c r="AC381" i="3"/>
  <c r="AB381" i="3"/>
  <c r="AD381" i="3" s="1"/>
  <c r="AE381" i="3" s="1"/>
  <c r="V381" i="3"/>
  <c r="M381" i="3"/>
  <c r="P381" i="3" s="1"/>
  <c r="L381" i="3"/>
  <c r="C381" i="3"/>
  <c r="AC380" i="3"/>
  <c r="AF380" i="3" s="1"/>
  <c r="AB380" i="3"/>
  <c r="AD380" i="3" s="1"/>
  <c r="AE380" i="3" s="1"/>
  <c r="V380" i="3"/>
  <c r="M380" i="3"/>
  <c r="P380" i="3" s="1"/>
  <c r="L380" i="3"/>
  <c r="C380" i="3"/>
  <c r="AF379" i="3"/>
  <c r="AC379" i="3"/>
  <c r="AB379" i="3"/>
  <c r="AD379" i="3" s="1"/>
  <c r="AE379" i="3" s="1"/>
  <c r="V379" i="3"/>
  <c r="M379" i="3"/>
  <c r="P379" i="3" s="1"/>
  <c r="L379" i="3"/>
  <c r="C379" i="3"/>
  <c r="AC378" i="3"/>
  <c r="AB378" i="3"/>
  <c r="V378" i="3"/>
  <c r="N378" i="3"/>
  <c r="O378" i="3" s="1"/>
  <c r="M378" i="3"/>
  <c r="P378" i="3" s="1"/>
  <c r="L378" i="3"/>
  <c r="C378" i="3"/>
  <c r="AC377" i="3"/>
  <c r="AF377" i="3" s="1"/>
  <c r="AB377" i="3"/>
  <c r="V377" i="3"/>
  <c r="M377" i="3"/>
  <c r="P377" i="3" s="1"/>
  <c r="L377" i="3"/>
  <c r="C377" i="3"/>
  <c r="AF376" i="3"/>
  <c r="AC376" i="3"/>
  <c r="AB376" i="3"/>
  <c r="AD376" i="3" s="1"/>
  <c r="AE376" i="3" s="1"/>
  <c r="V376" i="3"/>
  <c r="P376" i="3"/>
  <c r="O376" i="3"/>
  <c r="M376" i="3"/>
  <c r="L376" i="3"/>
  <c r="N376" i="3" s="1"/>
  <c r="C376" i="3"/>
  <c r="AC375" i="3"/>
  <c r="AF375" i="3" s="1"/>
  <c r="AB375" i="3"/>
  <c r="AD375" i="3" s="1"/>
  <c r="AE375" i="3" s="1"/>
  <c r="V375" i="3"/>
  <c r="M375" i="3"/>
  <c r="P375" i="3" s="1"/>
  <c r="L375" i="3"/>
  <c r="C375" i="3"/>
  <c r="AF374" i="3"/>
  <c r="AC374" i="3"/>
  <c r="AD374" i="3" s="1"/>
  <c r="AE374" i="3" s="1"/>
  <c r="AB374" i="3"/>
  <c r="V374" i="3"/>
  <c r="M374" i="3"/>
  <c r="L374" i="3"/>
  <c r="C374" i="3"/>
  <c r="AF373" i="3"/>
  <c r="AC373" i="3"/>
  <c r="AB373" i="3"/>
  <c r="V373" i="3"/>
  <c r="M373" i="3"/>
  <c r="L373" i="3"/>
  <c r="C373" i="3"/>
  <c r="AC372" i="3"/>
  <c r="AF372" i="3" s="1"/>
  <c r="AB372" i="3"/>
  <c r="V372" i="3"/>
  <c r="M372" i="3"/>
  <c r="P372" i="3" s="1"/>
  <c r="L372" i="3"/>
  <c r="N372" i="3" s="1"/>
  <c r="O372" i="3" s="1"/>
  <c r="C372" i="3"/>
  <c r="AD371" i="3"/>
  <c r="AE371" i="3" s="1"/>
  <c r="AC371" i="3"/>
  <c r="AF371" i="3" s="1"/>
  <c r="AB371" i="3"/>
  <c r="V371" i="3"/>
  <c r="M371" i="3"/>
  <c r="L371" i="3"/>
  <c r="C371" i="3"/>
  <c r="AF370" i="3"/>
  <c r="AD370" i="3"/>
  <c r="AE370" i="3" s="1"/>
  <c r="AC370" i="3"/>
  <c r="AB370" i="3"/>
  <c r="V370" i="3"/>
  <c r="M370" i="3"/>
  <c r="P370" i="3" s="1"/>
  <c r="L370" i="3"/>
  <c r="N370" i="3" s="1"/>
  <c r="O370" i="3" s="1"/>
  <c r="C370" i="3"/>
  <c r="AF369" i="3"/>
  <c r="AC369" i="3"/>
  <c r="AB369" i="3"/>
  <c r="AD369" i="3" s="1"/>
  <c r="AE369" i="3" s="1"/>
  <c r="V369" i="3"/>
  <c r="M369" i="3"/>
  <c r="P369" i="3" s="1"/>
  <c r="L369" i="3"/>
  <c r="N369" i="3" s="1"/>
  <c r="O369" i="3" s="1"/>
  <c r="C369" i="3"/>
  <c r="AF368" i="3"/>
  <c r="AE368" i="3"/>
  <c r="AC368" i="3"/>
  <c r="AB368" i="3"/>
  <c r="AD368" i="3" s="1"/>
  <c r="V368" i="3"/>
  <c r="M368" i="3"/>
  <c r="P368" i="3" s="1"/>
  <c r="L368" i="3"/>
  <c r="C368" i="3"/>
  <c r="AC367" i="3"/>
  <c r="AF367" i="3" s="1"/>
  <c r="AB367" i="3"/>
  <c r="V367" i="3"/>
  <c r="M367" i="3"/>
  <c r="P367" i="3" s="1"/>
  <c r="L367" i="3"/>
  <c r="C367" i="3"/>
  <c r="AD366" i="3"/>
  <c r="AE366" i="3" s="1"/>
  <c r="AC366" i="3"/>
  <c r="AF366" i="3" s="1"/>
  <c r="AB366" i="3"/>
  <c r="V366" i="3"/>
  <c r="AG366" i="3" s="1"/>
  <c r="AM366" i="3" s="1"/>
  <c r="M366" i="3"/>
  <c r="P366" i="3" s="1"/>
  <c r="L366" i="3"/>
  <c r="N366" i="3" s="1"/>
  <c r="O366" i="3" s="1"/>
  <c r="C366" i="3"/>
  <c r="AF365" i="3"/>
  <c r="AC365" i="3"/>
  <c r="AB365" i="3"/>
  <c r="AD365" i="3" s="1"/>
  <c r="AE365" i="3" s="1"/>
  <c r="V365" i="3"/>
  <c r="P365" i="3"/>
  <c r="M365" i="3"/>
  <c r="L365" i="3"/>
  <c r="N365" i="3" s="1"/>
  <c r="O365" i="3" s="1"/>
  <c r="C365" i="3"/>
  <c r="AC364" i="3"/>
  <c r="AF364" i="3" s="1"/>
  <c r="AB364" i="3"/>
  <c r="AD364" i="3" s="1"/>
  <c r="AE364" i="3" s="1"/>
  <c r="V364" i="3"/>
  <c r="P364" i="3"/>
  <c r="N364" i="3"/>
  <c r="O364" i="3" s="1"/>
  <c r="M364" i="3"/>
  <c r="L364" i="3"/>
  <c r="C364" i="3"/>
  <c r="AF363" i="3"/>
  <c r="AC363" i="3"/>
  <c r="AB363" i="3"/>
  <c r="AD363" i="3" s="1"/>
  <c r="AE363" i="3" s="1"/>
  <c r="V363" i="3"/>
  <c r="N363" i="3"/>
  <c r="O363" i="3" s="1"/>
  <c r="M363" i="3"/>
  <c r="P363" i="3" s="1"/>
  <c r="L363" i="3"/>
  <c r="C363" i="3"/>
  <c r="AC362" i="3"/>
  <c r="AB362" i="3"/>
  <c r="V362" i="3"/>
  <c r="M362" i="3"/>
  <c r="P362" i="3" s="1"/>
  <c r="L362" i="3"/>
  <c r="N362" i="3" s="1"/>
  <c r="O362" i="3" s="1"/>
  <c r="C362" i="3"/>
  <c r="AC361" i="3"/>
  <c r="AF361" i="3" s="1"/>
  <c r="AB361" i="3"/>
  <c r="AD361" i="3" s="1"/>
  <c r="AE361" i="3" s="1"/>
  <c r="V361" i="3"/>
  <c r="M361" i="3"/>
  <c r="P361" i="3" s="1"/>
  <c r="L361" i="3"/>
  <c r="C361" i="3"/>
  <c r="AE360" i="3"/>
  <c r="AD360" i="3"/>
  <c r="AC360" i="3"/>
  <c r="AF360" i="3" s="1"/>
  <c r="AB360" i="3"/>
  <c r="V360" i="3"/>
  <c r="M360" i="3"/>
  <c r="P360" i="3" s="1"/>
  <c r="L360" i="3"/>
  <c r="N360" i="3" s="1"/>
  <c r="O360" i="3" s="1"/>
  <c r="C360" i="3"/>
  <c r="Q360" i="3" s="1"/>
  <c r="AF359" i="3"/>
  <c r="AC359" i="3"/>
  <c r="AD359" i="3" s="1"/>
  <c r="AE359" i="3" s="1"/>
  <c r="AB359" i="3"/>
  <c r="V359" i="3"/>
  <c r="M359" i="3"/>
  <c r="L359" i="3"/>
  <c r="C359" i="3"/>
  <c r="AF358" i="3"/>
  <c r="AD358" i="3"/>
  <c r="AE358" i="3" s="1"/>
  <c r="AC358" i="3"/>
  <c r="AB358" i="3"/>
  <c r="V358" i="3"/>
  <c r="M358" i="3"/>
  <c r="P358" i="3" s="1"/>
  <c r="L358" i="3"/>
  <c r="C358" i="3"/>
  <c r="AC357" i="3"/>
  <c r="AF357" i="3" s="1"/>
  <c r="AB357" i="3"/>
  <c r="AD357" i="3" s="1"/>
  <c r="AE357" i="3" s="1"/>
  <c r="V357" i="3"/>
  <c r="AG357" i="3" s="1"/>
  <c r="AM357" i="3" s="1"/>
  <c r="M357" i="3"/>
  <c r="P357" i="3" s="1"/>
  <c r="L357" i="3"/>
  <c r="C357" i="3"/>
  <c r="AF356" i="3"/>
  <c r="AC356" i="3"/>
  <c r="AB356" i="3"/>
  <c r="V356" i="3"/>
  <c r="P356" i="3"/>
  <c r="N356" i="3"/>
  <c r="O356" i="3" s="1"/>
  <c r="M356" i="3"/>
  <c r="L356" i="3"/>
  <c r="C356" i="3"/>
  <c r="AF355" i="3"/>
  <c r="AD355" i="3"/>
  <c r="AE355" i="3" s="1"/>
  <c r="AC355" i="3"/>
  <c r="AB355" i="3"/>
  <c r="V355" i="3"/>
  <c r="M355" i="3"/>
  <c r="P355" i="3" s="1"/>
  <c r="L355" i="3"/>
  <c r="N355" i="3" s="1"/>
  <c r="O355" i="3" s="1"/>
  <c r="C355" i="3"/>
  <c r="AC354" i="3"/>
  <c r="AB354" i="3"/>
  <c r="V354" i="3"/>
  <c r="M354" i="3"/>
  <c r="P354" i="3" s="1"/>
  <c r="L354" i="3"/>
  <c r="C354" i="3"/>
  <c r="AF353" i="3"/>
  <c r="AC353" i="3"/>
  <c r="AB353" i="3"/>
  <c r="AD353" i="3" s="1"/>
  <c r="AE353" i="3" s="1"/>
  <c r="V353" i="3"/>
  <c r="M353" i="3"/>
  <c r="P353" i="3" s="1"/>
  <c r="L353" i="3"/>
  <c r="C353" i="3"/>
  <c r="AD352" i="3"/>
  <c r="AE352" i="3" s="1"/>
  <c r="AC352" i="3"/>
  <c r="AF352" i="3" s="1"/>
  <c r="AB352" i="3"/>
  <c r="V352" i="3"/>
  <c r="P352" i="3"/>
  <c r="N352" i="3"/>
  <c r="O352" i="3" s="1"/>
  <c r="M352" i="3"/>
  <c r="L352" i="3"/>
  <c r="C352" i="3"/>
  <c r="AF351" i="3"/>
  <c r="AD351" i="3"/>
  <c r="AE351" i="3" s="1"/>
  <c r="AC351" i="3"/>
  <c r="AB351" i="3"/>
  <c r="V351" i="3"/>
  <c r="M351" i="3"/>
  <c r="L351" i="3"/>
  <c r="C351" i="3"/>
  <c r="AF350" i="3"/>
  <c r="AD350" i="3"/>
  <c r="AE350" i="3" s="1"/>
  <c r="AC350" i="3"/>
  <c r="AB350" i="3"/>
  <c r="V350" i="3"/>
  <c r="M350" i="3"/>
  <c r="P350" i="3" s="1"/>
  <c r="L350" i="3"/>
  <c r="N350" i="3" s="1"/>
  <c r="O350" i="3" s="1"/>
  <c r="C350" i="3"/>
  <c r="AC349" i="3"/>
  <c r="AF349" i="3" s="1"/>
  <c r="AB349" i="3"/>
  <c r="AD349" i="3" s="1"/>
  <c r="AE349" i="3" s="1"/>
  <c r="V349" i="3"/>
  <c r="N349" i="3"/>
  <c r="O349" i="3" s="1"/>
  <c r="M349" i="3"/>
  <c r="P349" i="3" s="1"/>
  <c r="L349" i="3"/>
  <c r="C349" i="3"/>
  <c r="AC348" i="3"/>
  <c r="AF348" i="3" s="1"/>
  <c r="AB348" i="3"/>
  <c r="AD348" i="3" s="1"/>
  <c r="AE348" i="3" s="1"/>
  <c r="V348" i="3"/>
  <c r="N348" i="3"/>
  <c r="O348" i="3" s="1"/>
  <c r="M348" i="3"/>
  <c r="P348" i="3" s="1"/>
  <c r="L348" i="3"/>
  <c r="C348" i="3"/>
  <c r="AF347" i="3"/>
  <c r="AC347" i="3"/>
  <c r="AB347" i="3"/>
  <c r="AD347" i="3" s="1"/>
  <c r="AE347" i="3" s="1"/>
  <c r="V347" i="3"/>
  <c r="M347" i="3"/>
  <c r="P347" i="3" s="1"/>
  <c r="L347" i="3"/>
  <c r="C347" i="3"/>
  <c r="AC346" i="3"/>
  <c r="AB346" i="3"/>
  <c r="V346" i="3"/>
  <c r="M346" i="3"/>
  <c r="P346" i="3" s="1"/>
  <c r="L346" i="3"/>
  <c r="N346" i="3" s="1"/>
  <c r="O346" i="3" s="1"/>
  <c r="C346" i="3"/>
  <c r="AC345" i="3"/>
  <c r="AF345" i="3" s="1"/>
  <c r="AB345" i="3"/>
  <c r="V345" i="3"/>
  <c r="M345" i="3"/>
  <c r="P345" i="3" s="1"/>
  <c r="L345" i="3"/>
  <c r="C345" i="3"/>
  <c r="AD344" i="3"/>
  <c r="AE344" i="3" s="1"/>
  <c r="AC344" i="3"/>
  <c r="AF344" i="3" s="1"/>
  <c r="AB344" i="3"/>
  <c r="V344" i="3"/>
  <c r="P344" i="3"/>
  <c r="N344" i="3"/>
  <c r="O344" i="3" s="1"/>
  <c r="M344" i="3"/>
  <c r="L344" i="3"/>
  <c r="C344" i="3"/>
  <c r="AF343" i="3"/>
  <c r="AC343" i="3"/>
  <c r="AD343" i="3" s="1"/>
  <c r="AE343" i="3" s="1"/>
  <c r="AB343" i="3"/>
  <c r="V343" i="3"/>
  <c r="M343" i="3"/>
  <c r="L343" i="3"/>
  <c r="C343" i="3"/>
  <c r="AF342" i="3"/>
  <c r="AE342" i="3"/>
  <c r="AD342" i="3"/>
  <c r="AC342" i="3"/>
  <c r="AB342" i="3"/>
  <c r="V342" i="3"/>
  <c r="AG342" i="3" s="1"/>
  <c r="AM342" i="3" s="1"/>
  <c r="M342" i="3"/>
  <c r="P342" i="3" s="1"/>
  <c r="L342" i="3"/>
  <c r="N342" i="3" s="1"/>
  <c r="O342" i="3" s="1"/>
  <c r="C342" i="3"/>
  <c r="AC341" i="3"/>
  <c r="AF341" i="3" s="1"/>
  <c r="AB341" i="3"/>
  <c r="AD341" i="3" s="1"/>
  <c r="AE341" i="3" s="1"/>
  <c r="V341" i="3"/>
  <c r="M341" i="3"/>
  <c r="P341" i="3" s="1"/>
  <c r="L341" i="3"/>
  <c r="N341" i="3" s="1"/>
  <c r="O341" i="3" s="1"/>
  <c r="C341" i="3"/>
  <c r="AC340" i="3"/>
  <c r="AF340" i="3" s="1"/>
  <c r="AB340" i="3"/>
  <c r="AD340" i="3" s="1"/>
  <c r="AE340" i="3" s="1"/>
  <c r="V340" i="3"/>
  <c r="M340" i="3"/>
  <c r="P340" i="3" s="1"/>
  <c r="L340" i="3"/>
  <c r="C340" i="3"/>
  <c r="AF339" i="3"/>
  <c r="AC339" i="3"/>
  <c r="AB339" i="3"/>
  <c r="AD339" i="3" s="1"/>
  <c r="AE339" i="3" s="1"/>
  <c r="V339" i="3"/>
  <c r="P339" i="3"/>
  <c r="N339" i="3"/>
  <c r="O339" i="3" s="1"/>
  <c r="M339" i="3"/>
  <c r="L339" i="3"/>
  <c r="C339" i="3"/>
  <c r="AF338" i="3"/>
  <c r="AC338" i="3"/>
  <c r="AB338" i="3"/>
  <c r="V338" i="3"/>
  <c r="M338" i="3"/>
  <c r="P338" i="3" s="1"/>
  <c r="L338" i="3"/>
  <c r="C338" i="3"/>
  <c r="AE337" i="3"/>
  <c r="AC337" i="3"/>
  <c r="AF337" i="3" s="1"/>
  <c r="AB337" i="3"/>
  <c r="AD337" i="3" s="1"/>
  <c r="V337" i="3"/>
  <c r="M337" i="3"/>
  <c r="L337" i="3"/>
  <c r="C337" i="3"/>
  <c r="AC336" i="3"/>
  <c r="AB336" i="3"/>
  <c r="V336" i="3"/>
  <c r="M336" i="3"/>
  <c r="L336" i="3"/>
  <c r="C336" i="3"/>
  <c r="AC335" i="3"/>
  <c r="AF335" i="3" s="1"/>
  <c r="AB335" i="3"/>
  <c r="V335" i="3"/>
  <c r="M335" i="3"/>
  <c r="P335" i="3" s="1"/>
  <c r="L335" i="3"/>
  <c r="N335" i="3" s="1"/>
  <c r="O335" i="3" s="1"/>
  <c r="C335" i="3"/>
  <c r="AC334" i="3"/>
  <c r="AF334" i="3" s="1"/>
  <c r="AB334" i="3"/>
  <c r="V334" i="3"/>
  <c r="M334" i="3"/>
  <c r="P334" i="3" s="1"/>
  <c r="L334" i="3"/>
  <c r="C334" i="3"/>
  <c r="AC333" i="3"/>
  <c r="AF333" i="3" s="1"/>
  <c r="AB333" i="3"/>
  <c r="V333" i="3"/>
  <c r="P333" i="3"/>
  <c r="M333" i="3"/>
  <c r="L333" i="3"/>
  <c r="N333" i="3" s="1"/>
  <c r="O333" i="3" s="1"/>
  <c r="C333" i="3"/>
  <c r="AC332" i="3"/>
  <c r="AF332" i="3" s="1"/>
  <c r="AB332" i="3"/>
  <c r="V332" i="3"/>
  <c r="M332" i="3"/>
  <c r="P332" i="3" s="1"/>
  <c r="L332" i="3"/>
  <c r="C332" i="3"/>
  <c r="AD331" i="3"/>
  <c r="AE331" i="3" s="1"/>
  <c r="AC331" i="3"/>
  <c r="AF331" i="3" s="1"/>
  <c r="AB331" i="3"/>
  <c r="V331" i="3"/>
  <c r="M331" i="3"/>
  <c r="P331" i="3" s="1"/>
  <c r="L331" i="3"/>
  <c r="N331" i="3" s="1"/>
  <c r="O331" i="3" s="1"/>
  <c r="C331" i="3"/>
  <c r="AF330" i="3"/>
  <c r="AC330" i="3"/>
  <c r="AB330" i="3"/>
  <c r="AD330" i="3" s="1"/>
  <c r="AE330" i="3" s="1"/>
  <c r="V330" i="3"/>
  <c r="M330" i="3"/>
  <c r="P330" i="3" s="1"/>
  <c r="L330" i="3"/>
  <c r="N330" i="3" s="1"/>
  <c r="O330" i="3" s="1"/>
  <c r="C330" i="3"/>
  <c r="AE329" i="3"/>
  <c r="AC329" i="3"/>
  <c r="AF329" i="3" s="1"/>
  <c r="AB329" i="3"/>
  <c r="AD329" i="3" s="1"/>
  <c r="V329" i="3"/>
  <c r="M329" i="3"/>
  <c r="L329" i="3"/>
  <c r="C329" i="3"/>
  <c r="AF328" i="3"/>
  <c r="AE328" i="3"/>
  <c r="AC328" i="3"/>
  <c r="AB328" i="3"/>
  <c r="AD328" i="3" s="1"/>
  <c r="V328" i="3"/>
  <c r="P328" i="3"/>
  <c r="M328" i="3"/>
  <c r="L328" i="3"/>
  <c r="N328" i="3" s="1"/>
  <c r="O328" i="3" s="1"/>
  <c r="C328" i="3"/>
  <c r="AE327" i="3"/>
  <c r="AD327" i="3"/>
  <c r="AC327" i="3"/>
  <c r="AF327" i="3" s="1"/>
  <c r="AB327" i="3"/>
  <c r="V327" i="3"/>
  <c r="M327" i="3"/>
  <c r="P327" i="3" s="1"/>
  <c r="L327" i="3"/>
  <c r="C327" i="3"/>
  <c r="AF326" i="3"/>
  <c r="AC326" i="3"/>
  <c r="AB326" i="3"/>
  <c r="AD326" i="3" s="1"/>
  <c r="AE326" i="3" s="1"/>
  <c r="V326" i="3"/>
  <c r="P326" i="3"/>
  <c r="N326" i="3"/>
  <c r="O326" i="3" s="1"/>
  <c r="M326" i="3"/>
  <c r="L326" i="3"/>
  <c r="C326" i="3"/>
  <c r="AF325" i="3"/>
  <c r="AE325" i="3"/>
  <c r="AC325" i="3"/>
  <c r="AB325" i="3"/>
  <c r="AD325" i="3" s="1"/>
  <c r="V325" i="3"/>
  <c r="M325" i="3"/>
  <c r="P325" i="3" s="1"/>
  <c r="L325" i="3"/>
  <c r="C325" i="3"/>
  <c r="AF324" i="3"/>
  <c r="AC324" i="3"/>
  <c r="AB324" i="3"/>
  <c r="AD324" i="3" s="1"/>
  <c r="AE324" i="3" s="1"/>
  <c r="V324" i="3"/>
  <c r="N324" i="3"/>
  <c r="O324" i="3" s="1"/>
  <c r="M324" i="3"/>
  <c r="P324" i="3" s="1"/>
  <c r="L324" i="3"/>
  <c r="C324" i="3"/>
  <c r="AF323" i="3"/>
  <c r="AC323" i="3"/>
  <c r="AB323" i="3"/>
  <c r="AD323" i="3" s="1"/>
  <c r="AE323" i="3" s="1"/>
  <c r="V323" i="3"/>
  <c r="P323" i="3"/>
  <c r="M323" i="3"/>
  <c r="L323" i="3"/>
  <c r="N323" i="3" s="1"/>
  <c r="O323" i="3" s="1"/>
  <c r="C323" i="3"/>
  <c r="Q323" i="3" s="1"/>
  <c r="AC322" i="3"/>
  <c r="AF322" i="3" s="1"/>
  <c r="AB322" i="3"/>
  <c r="V322" i="3"/>
  <c r="P322" i="3"/>
  <c r="M322" i="3"/>
  <c r="L322" i="3"/>
  <c r="C322" i="3"/>
  <c r="AC321" i="3"/>
  <c r="AF321" i="3" s="1"/>
  <c r="AB321" i="3"/>
  <c r="AD321" i="3" s="1"/>
  <c r="AE321" i="3" s="1"/>
  <c r="V321" i="3"/>
  <c r="N321" i="3"/>
  <c r="O321" i="3" s="1"/>
  <c r="M321" i="3"/>
  <c r="P321" i="3" s="1"/>
  <c r="L321" i="3"/>
  <c r="C321" i="3"/>
  <c r="AF320" i="3"/>
  <c r="AC320" i="3"/>
  <c r="AD320" i="3" s="1"/>
  <c r="AE320" i="3" s="1"/>
  <c r="AB320" i="3"/>
  <c r="V320" i="3"/>
  <c r="P320" i="3"/>
  <c r="M320" i="3"/>
  <c r="L320" i="3"/>
  <c r="C320" i="3"/>
  <c r="AF319" i="3"/>
  <c r="AC319" i="3"/>
  <c r="AB319" i="3"/>
  <c r="AD319" i="3" s="1"/>
  <c r="AE319" i="3" s="1"/>
  <c r="V319" i="3"/>
  <c r="M319" i="3"/>
  <c r="P319" i="3" s="1"/>
  <c r="L319" i="3"/>
  <c r="N319" i="3" s="1"/>
  <c r="O319" i="3" s="1"/>
  <c r="C319" i="3"/>
  <c r="AC318" i="3"/>
  <c r="AB318" i="3"/>
  <c r="V318" i="3"/>
  <c r="P318" i="3"/>
  <c r="M318" i="3"/>
  <c r="L318" i="3"/>
  <c r="N318" i="3" s="1"/>
  <c r="O318" i="3" s="1"/>
  <c r="C318" i="3"/>
  <c r="AF317" i="3"/>
  <c r="AC317" i="3"/>
  <c r="AB317" i="3"/>
  <c r="V317" i="3"/>
  <c r="M317" i="3"/>
  <c r="P317" i="3" s="1"/>
  <c r="L317" i="3"/>
  <c r="C317" i="3"/>
  <c r="AC316" i="3"/>
  <c r="AF316" i="3" s="1"/>
  <c r="AB316" i="3"/>
  <c r="AD316" i="3" s="1"/>
  <c r="AE316" i="3" s="1"/>
  <c r="V316" i="3"/>
  <c r="M316" i="3"/>
  <c r="P316" i="3" s="1"/>
  <c r="L316" i="3"/>
  <c r="N316" i="3" s="1"/>
  <c r="O316" i="3" s="1"/>
  <c r="C316" i="3"/>
  <c r="AC315" i="3"/>
  <c r="AF315" i="3" s="1"/>
  <c r="AB315" i="3"/>
  <c r="V315" i="3"/>
  <c r="M315" i="3"/>
  <c r="P315" i="3" s="1"/>
  <c r="L315" i="3"/>
  <c r="C315" i="3"/>
  <c r="AF314" i="3"/>
  <c r="AC314" i="3"/>
  <c r="AB314" i="3"/>
  <c r="AD314" i="3" s="1"/>
  <c r="AE314" i="3" s="1"/>
  <c r="V314" i="3"/>
  <c r="M314" i="3"/>
  <c r="P314" i="3" s="1"/>
  <c r="L314" i="3"/>
  <c r="N314" i="3" s="1"/>
  <c r="O314" i="3" s="1"/>
  <c r="C314" i="3"/>
  <c r="AC313" i="3"/>
  <c r="AF313" i="3" s="1"/>
  <c r="AB313" i="3"/>
  <c r="V313" i="3"/>
  <c r="M313" i="3"/>
  <c r="P313" i="3" s="1"/>
  <c r="L313" i="3"/>
  <c r="C313" i="3"/>
  <c r="AF312" i="3"/>
  <c r="AC312" i="3"/>
  <c r="AB312" i="3"/>
  <c r="AD312" i="3" s="1"/>
  <c r="AE312" i="3" s="1"/>
  <c r="V312" i="3"/>
  <c r="P312" i="3"/>
  <c r="M312" i="3"/>
  <c r="L312" i="3"/>
  <c r="N312" i="3" s="1"/>
  <c r="O312" i="3" s="1"/>
  <c r="C312" i="3"/>
  <c r="AC311" i="3"/>
  <c r="AF311" i="3" s="1"/>
  <c r="AB311" i="3"/>
  <c r="V311" i="3"/>
  <c r="M311" i="3"/>
  <c r="P311" i="3" s="1"/>
  <c r="L311" i="3"/>
  <c r="N311" i="3" s="1"/>
  <c r="O311" i="3" s="1"/>
  <c r="C311" i="3"/>
  <c r="AC310" i="3"/>
  <c r="AB310" i="3"/>
  <c r="V310" i="3"/>
  <c r="M310" i="3"/>
  <c r="P310" i="3" s="1"/>
  <c r="L310" i="3"/>
  <c r="N310" i="3" s="1"/>
  <c r="O310" i="3" s="1"/>
  <c r="C310" i="3"/>
  <c r="AF309" i="3"/>
  <c r="AE309" i="3"/>
  <c r="AC309" i="3"/>
  <c r="AB309" i="3"/>
  <c r="AD309" i="3" s="1"/>
  <c r="V309" i="3"/>
  <c r="M309" i="3"/>
  <c r="L309" i="3"/>
  <c r="C309" i="3"/>
  <c r="AC308" i="3"/>
  <c r="AF308" i="3" s="1"/>
  <c r="AB308" i="3"/>
  <c r="V308" i="3"/>
  <c r="M308" i="3"/>
  <c r="L308" i="3"/>
  <c r="C308" i="3"/>
  <c r="AF307" i="3"/>
  <c r="AC307" i="3"/>
  <c r="AB307" i="3"/>
  <c r="AD307" i="3" s="1"/>
  <c r="AE307" i="3" s="1"/>
  <c r="V307" i="3"/>
  <c r="M307" i="3"/>
  <c r="L307" i="3"/>
  <c r="C307" i="3"/>
  <c r="AD306" i="3"/>
  <c r="AE306" i="3" s="1"/>
  <c r="AC306" i="3"/>
  <c r="AF306" i="3" s="1"/>
  <c r="AB306" i="3"/>
  <c r="V306" i="3"/>
  <c r="M306" i="3"/>
  <c r="P306" i="3" s="1"/>
  <c r="L306" i="3"/>
  <c r="C306" i="3"/>
  <c r="AF305" i="3"/>
  <c r="AC305" i="3"/>
  <c r="AB305" i="3"/>
  <c r="V305" i="3"/>
  <c r="M305" i="3"/>
  <c r="P305" i="3" s="1"/>
  <c r="L305" i="3"/>
  <c r="C305" i="3"/>
  <c r="AF304" i="3"/>
  <c r="AE304" i="3"/>
  <c r="AD304" i="3"/>
  <c r="AC304" i="3"/>
  <c r="AB304" i="3"/>
  <c r="V304" i="3"/>
  <c r="M304" i="3"/>
  <c r="L304" i="3"/>
  <c r="C304" i="3"/>
  <c r="AF303" i="3"/>
  <c r="AC303" i="3"/>
  <c r="AB303" i="3"/>
  <c r="AD303" i="3" s="1"/>
  <c r="AE303" i="3" s="1"/>
  <c r="V303" i="3"/>
  <c r="M303" i="3"/>
  <c r="P303" i="3" s="1"/>
  <c r="L303" i="3"/>
  <c r="N303" i="3" s="1"/>
  <c r="O303" i="3" s="1"/>
  <c r="C303" i="3"/>
  <c r="AE302" i="3"/>
  <c r="AD302" i="3"/>
  <c r="AC302" i="3"/>
  <c r="AF302" i="3" s="1"/>
  <c r="AB302" i="3"/>
  <c r="V302" i="3"/>
  <c r="M302" i="3"/>
  <c r="L302" i="3"/>
  <c r="C302" i="3"/>
  <c r="AF301" i="3"/>
  <c r="AC301" i="3"/>
  <c r="AB301" i="3"/>
  <c r="AD301" i="3" s="1"/>
  <c r="AE301" i="3" s="1"/>
  <c r="V301" i="3"/>
  <c r="AG301" i="3" s="1"/>
  <c r="AM301" i="3" s="1"/>
  <c r="M301" i="3"/>
  <c r="P301" i="3" s="1"/>
  <c r="L301" i="3"/>
  <c r="N301" i="3" s="1"/>
  <c r="O301" i="3" s="1"/>
  <c r="C301" i="3"/>
  <c r="AD300" i="3"/>
  <c r="AE300" i="3" s="1"/>
  <c r="AC300" i="3"/>
  <c r="AF300" i="3" s="1"/>
  <c r="AB300" i="3"/>
  <c r="V300" i="3"/>
  <c r="M300" i="3"/>
  <c r="P300" i="3" s="1"/>
  <c r="L300" i="3"/>
  <c r="C300" i="3"/>
  <c r="AF299" i="3"/>
  <c r="AE299" i="3"/>
  <c r="AC299" i="3"/>
  <c r="AD299" i="3" s="1"/>
  <c r="AB299" i="3"/>
  <c r="V299" i="3"/>
  <c r="M299" i="3"/>
  <c r="P299" i="3" s="1"/>
  <c r="L299" i="3"/>
  <c r="N299" i="3" s="1"/>
  <c r="O299" i="3" s="1"/>
  <c r="C299" i="3"/>
  <c r="AF298" i="3"/>
  <c r="AE298" i="3"/>
  <c r="AC298" i="3"/>
  <c r="AB298" i="3"/>
  <c r="AD298" i="3" s="1"/>
  <c r="V298" i="3"/>
  <c r="M298" i="3"/>
  <c r="P298" i="3" s="1"/>
  <c r="L298" i="3"/>
  <c r="C298" i="3"/>
  <c r="AC297" i="3"/>
  <c r="AF297" i="3" s="1"/>
  <c r="AB297" i="3"/>
  <c r="V297" i="3"/>
  <c r="M297" i="3"/>
  <c r="P297" i="3" s="1"/>
  <c r="L297" i="3"/>
  <c r="N297" i="3" s="1"/>
  <c r="O297" i="3" s="1"/>
  <c r="C297" i="3"/>
  <c r="AF296" i="3"/>
  <c r="AE296" i="3"/>
  <c r="AD296" i="3"/>
  <c r="AC296" i="3"/>
  <c r="AB296" i="3"/>
  <c r="V296" i="3"/>
  <c r="M296" i="3"/>
  <c r="P296" i="3" s="1"/>
  <c r="L296" i="3"/>
  <c r="C296" i="3"/>
  <c r="AC295" i="3"/>
  <c r="AF295" i="3" s="1"/>
  <c r="AB295" i="3"/>
  <c r="AD295" i="3" s="1"/>
  <c r="AE295" i="3" s="1"/>
  <c r="V295" i="3"/>
  <c r="M295" i="3"/>
  <c r="P295" i="3" s="1"/>
  <c r="L295" i="3"/>
  <c r="N295" i="3" s="1"/>
  <c r="O295" i="3" s="1"/>
  <c r="C295" i="3"/>
  <c r="AF294" i="3"/>
  <c r="AE294" i="3"/>
  <c r="AD294" i="3"/>
  <c r="AC294" i="3"/>
  <c r="AB294" i="3"/>
  <c r="V294" i="3"/>
  <c r="P294" i="3"/>
  <c r="N294" i="3"/>
  <c r="O294" i="3" s="1"/>
  <c r="M294" i="3"/>
  <c r="L294" i="3"/>
  <c r="C294" i="3"/>
  <c r="AF293" i="3"/>
  <c r="AE293" i="3"/>
  <c r="AC293" i="3"/>
  <c r="AB293" i="3"/>
  <c r="AD293" i="3" s="1"/>
  <c r="V293" i="3"/>
  <c r="M293" i="3"/>
  <c r="P293" i="3" s="1"/>
  <c r="L293" i="3"/>
  <c r="C293" i="3"/>
  <c r="AF292" i="3"/>
  <c r="AC292" i="3"/>
  <c r="AB292" i="3"/>
  <c r="AD292" i="3" s="1"/>
  <c r="AE292" i="3" s="1"/>
  <c r="V292" i="3"/>
  <c r="M292" i="3"/>
  <c r="P292" i="3" s="1"/>
  <c r="L292" i="3"/>
  <c r="C292" i="3"/>
  <c r="AF291" i="3"/>
  <c r="AE291" i="3"/>
  <c r="AD291" i="3"/>
  <c r="AC291" i="3"/>
  <c r="AB291" i="3"/>
  <c r="V291" i="3"/>
  <c r="N291" i="3"/>
  <c r="O291" i="3" s="1"/>
  <c r="M291" i="3"/>
  <c r="P291" i="3" s="1"/>
  <c r="L291" i="3"/>
  <c r="C291" i="3"/>
  <c r="AF290" i="3"/>
  <c r="AC290" i="3"/>
  <c r="AB290" i="3"/>
  <c r="AD290" i="3" s="1"/>
  <c r="AE290" i="3" s="1"/>
  <c r="V290" i="3"/>
  <c r="AG290" i="3" s="1"/>
  <c r="AM290" i="3" s="1"/>
  <c r="M290" i="3"/>
  <c r="P290" i="3" s="1"/>
  <c r="L290" i="3"/>
  <c r="C290" i="3"/>
  <c r="AF289" i="3"/>
  <c r="AE289" i="3"/>
  <c r="AC289" i="3"/>
  <c r="AB289" i="3"/>
  <c r="AD289" i="3" s="1"/>
  <c r="V289" i="3"/>
  <c r="M289" i="3"/>
  <c r="L289" i="3"/>
  <c r="C289" i="3"/>
  <c r="AF288" i="3"/>
  <c r="AD288" i="3"/>
  <c r="AE288" i="3" s="1"/>
  <c r="AC288" i="3"/>
  <c r="AB288" i="3"/>
  <c r="V288" i="3"/>
  <c r="M288" i="3"/>
  <c r="L288" i="3"/>
  <c r="C288" i="3"/>
  <c r="AF287" i="3"/>
  <c r="AC287" i="3"/>
  <c r="AB287" i="3"/>
  <c r="AD287" i="3" s="1"/>
  <c r="AE287" i="3" s="1"/>
  <c r="V287" i="3"/>
  <c r="M287" i="3"/>
  <c r="P287" i="3" s="1"/>
  <c r="L287" i="3"/>
  <c r="C287" i="3"/>
  <c r="AE286" i="3"/>
  <c r="AD286" i="3"/>
  <c r="AC286" i="3"/>
  <c r="AF286" i="3" s="1"/>
  <c r="AB286" i="3"/>
  <c r="V286" i="3"/>
  <c r="M286" i="3"/>
  <c r="P286" i="3" s="1"/>
  <c r="L286" i="3"/>
  <c r="C286" i="3"/>
  <c r="AF285" i="3"/>
  <c r="AC285" i="3"/>
  <c r="AB285" i="3"/>
  <c r="AD285" i="3" s="1"/>
  <c r="AE285" i="3" s="1"/>
  <c r="V285" i="3"/>
  <c r="P285" i="3"/>
  <c r="M285" i="3"/>
  <c r="L285" i="3"/>
  <c r="N285" i="3" s="1"/>
  <c r="O285" i="3" s="1"/>
  <c r="C285" i="3"/>
  <c r="AD284" i="3"/>
  <c r="AE284" i="3" s="1"/>
  <c r="AC284" i="3"/>
  <c r="AF284" i="3" s="1"/>
  <c r="AB284" i="3"/>
  <c r="V284" i="3"/>
  <c r="M284" i="3"/>
  <c r="L284" i="3"/>
  <c r="C284" i="3"/>
  <c r="AF283" i="3"/>
  <c r="AC283" i="3"/>
  <c r="AD283" i="3" s="1"/>
  <c r="AE283" i="3" s="1"/>
  <c r="AB283" i="3"/>
  <c r="V283" i="3"/>
  <c r="P283" i="3"/>
  <c r="M283" i="3"/>
  <c r="L283" i="3"/>
  <c r="N283" i="3" s="1"/>
  <c r="O283" i="3" s="1"/>
  <c r="C283" i="3"/>
  <c r="AF282" i="3"/>
  <c r="AC282" i="3"/>
  <c r="AB282" i="3"/>
  <c r="AD282" i="3" s="1"/>
  <c r="AE282" i="3" s="1"/>
  <c r="V282" i="3"/>
  <c r="M282" i="3"/>
  <c r="P282" i="3" s="1"/>
  <c r="L282" i="3"/>
  <c r="C282" i="3"/>
  <c r="AC281" i="3"/>
  <c r="AF281" i="3" s="1"/>
  <c r="AB281" i="3"/>
  <c r="V281" i="3"/>
  <c r="P281" i="3"/>
  <c r="M281" i="3"/>
  <c r="L281" i="3"/>
  <c r="N281" i="3" s="1"/>
  <c r="O281" i="3" s="1"/>
  <c r="C281" i="3"/>
  <c r="AF280" i="3"/>
  <c r="AC280" i="3"/>
  <c r="AB280" i="3"/>
  <c r="AD280" i="3" s="1"/>
  <c r="AE280" i="3" s="1"/>
  <c r="V280" i="3"/>
  <c r="P280" i="3"/>
  <c r="M280" i="3"/>
  <c r="L280" i="3"/>
  <c r="N280" i="3" s="1"/>
  <c r="O280" i="3" s="1"/>
  <c r="C280" i="3"/>
  <c r="AC279" i="3"/>
  <c r="AF279" i="3" s="1"/>
  <c r="AB279" i="3"/>
  <c r="AD279" i="3" s="1"/>
  <c r="AE279" i="3" s="1"/>
  <c r="V279" i="3"/>
  <c r="M279" i="3"/>
  <c r="P279" i="3" s="1"/>
  <c r="L279" i="3"/>
  <c r="C279" i="3"/>
  <c r="AC278" i="3"/>
  <c r="AF278" i="3" s="1"/>
  <c r="AB278" i="3"/>
  <c r="AD278" i="3" s="1"/>
  <c r="AE278" i="3" s="1"/>
  <c r="V278" i="3"/>
  <c r="M278" i="3"/>
  <c r="P278" i="3" s="1"/>
  <c r="L278" i="3"/>
  <c r="N278" i="3" s="1"/>
  <c r="O278" i="3" s="1"/>
  <c r="C278" i="3"/>
  <c r="AF277" i="3"/>
  <c r="AE277" i="3"/>
  <c r="AC277" i="3"/>
  <c r="AB277" i="3"/>
  <c r="AD277" i="3" s="1"/>
  <c r="V277" i="3"/>
  <c r="M277" i="3"/>
  <c r="P277" i="3" s="1"/>
  <c r="L277" i="3"/>
  <c r="N277" i="3" s="1"/>
  <c r="O277" i="3" s="1"/>
  <c r="C277" i="3"/>
  <c r="AC276" i="3"/>
  <c r="AF276" i="3" s="1"/>
  <c r="AB276" i="3"/>
  <c r="V276" i="3"/>
  <c r="M276" i="3"/>
  <c r="L276" i="3"/>
  <c r="C276" i="3"/>
  <c r="AF275" i="3"/>
  <c r="AC275" i="3"/>
  <c r="AB275" i="3"/>
  <c r="AD275" i="3" s="1"/>
  <c r="AE275" i="3" s="1"/>
  <c r="V275" i="3"/>
  <c r="P275" i="3"/>
  <c r="M275" i="3"/>
  <c r="L275" i="3"/>
  <c r="N275" i="3" s="1"/>
  <c r="O275" i="3" s="1"/>
  <c r="C275" i="3"/>
  <c r="AC274" i="3"/>
  <c r="AF274" i="3" s="1"/>
  <c r="AB274" i="3"/>
  <c r="AD274" i="3" s="1"/>
  <c r="AE274" i="3" s="1"/>
  <c r="V274" i="3"/>
  <c r="P274" i="3"/>
  <c r="M274" i="3"/>
  <c r="L274" i="3"/>
  <c r="C274" i="3"/>
  <c r="AC273" i="3"/>
  <c r="AF273" i="3" s="1"/>
  <c r="AB273" i="3"/>
  <c r="V273" i="3"/>
  <c r="M273" i="3"/>
  <c r="P273" i="3" s="1"/>
  <c r="L273" i="3"/>
  <c r="C273" i="3"/>
  <c r="AC272" i="3"/>
  <c r="AB272" i="3"/>
  <c r="V272" i="3"/>
  <c r="M272" i="3"/>
  <c r="P272" i="3" s="1"/>
  <c r="L272" i="3"/>
  <c r="N272" i="3" s="1"/>
  <c r="O272" i="3" s="1"/>
  <c r="C272" i="3"/>
  <c r="AC271" i="3"/>
  <c r="AF271" i="3" s="1"/>
  <c r="AB271" i="3"/>
  <c r="V271" i="3"/>
  <c r="M271" i="3"/>
  <c r="P271" i="3" s="1"/>
  <c r="L271" i="3"/>
  <c r="C271" i="3"/>
  <c r="AF270" i="3"/>
  <c r="AD270" i="3"/>
  <c r="AE270" i="3" s="1"/>
  <c r="AC270" i="3"/>
  <c r="AB270" i="3"/>
  <c r="V270" i="3"/>
  <c r="P270" i="3"/>
  <c r="M270" i="3"/>
  <c r="L270" i="3"/>
  <c r="N270" i="3" s="1"/>
  <c r="O270" i="3" s="1"/>
  <c r="C270" i="3"/>
  <c r="AD269" i="3"/>
  <c r="AE269" i="3" s="1"/>
  <c r="AC269" i="3"/>
  <c r="AF269" i="3" s="1"/>
  <c r="AB269" i="3"/>
  <c r="V269" i="3"/>
  <c r="AG269" i="3" s="1"/>
  <c r="AM269" i="3" s="1"/>
  <c r="M269" i="3"/>
  <c r="P269" i="3" s="1"/>
  <c r="L269" i="3"/>
  <c r="N269" i="3" s="1"/>
  <c r="O269" i="3" s="1"/>
  <c r="C269" i="3"/>
  <c r="AF268" i="3"/>
  <c r="AE268" i="3"/>
  <c r="AD268" i="3"/>
  <c r="AC268" i="3"/>
  <c r="AB268" i="3"/>
  <c r="V268" i="3"/>
  <c r="M268" i="3"/>
  <c r="P268" i="3" s="1"/>
  <c r="L268" i="3"/>
  <c r="N268" i="3" s="1"/>
  <c r="O268" i="3" s="1"/>
  <c r="C268" i="3"/>
  <c r="AC267" i="3"/>
  <c r="AF267" i="3" s="1"/>
  <c r="AB267" i="3"/>
  <c r="V267" i="3"/>
  <c r="M267" i="3"/>
  <c r="P267" i="3" s="1"/>
  <c r="L267" i="3"/>
  <c r="C267" i="3"/>
  <c r="AF266" i="3"/>
  <c r="AC266" i="3"/>
  <c r="AB266" i="3"/>
  <c r="AD266" i="3" s="1"/>
  <c r="AE266" i="3" s="1"/>
  <c r="V266" i="3"/>
  <c r="M266" i="3"/>
  <c r="P266" i="3" s="1"/>
  <c r="L266" i="3"/>
  <c r="C266" i="3"/>
  <c r="AD265" i="3"/>
  <c r="AE265" i="3" s="1"/>
  <c r="AC265" i="3"/>
  <c r="AF265" i="3" s="1"/>
  <c r="AB265" i="3"/>
  <c r="V265" i="3"/>
  <c r="M265" i="3"/>
  <c r="P265" i="3" s="1"/>
  <c r="L265" i="3"/>
  <c r="N265" i="3" s="1"/>
  <c r="O265" i="3" s="1"/>
  <c r="C265" i="3"/>
  <c r="AF264" i="3"/>
  <c r="AD264" i="3"/>
  <c r="AE264" i="3" s="1"/>
  <c r="AC264" i="3"/>
  <c r="AB264" i="3"/>
  <c r="V264" i="3"/>
  <c r="P264" i="3"/>
  <c r="M264" i="3"/>
  <c r="L264" i="3"/>
  <c r="C264" i="3"/>
  <c r="AC263" i="3"/>
  <c r="AF263" i="3" s="1"/>
  <c r="AB263" i="3"/>
  <c r="AD263" i="3" s="1"/>
  <c r="AE263" i="3" s="1"/>
  <c r="V263" i="3"/>
  <c r="M263" i="3"/>
  <c r="P263" i="3" s="1"/>
  <c r="L263" i="3"/>
  <c r="N263" i="3" s="1"/>
  <c r="O263" i="3" s="1"/>
  <c r="C263" i="3"/>
  <c r="AF262" i="3"/>
  <c r="AC262" i="3"/>
  <c r="AB262" i="3"/>
  <c r="AD262" i="3" s="1"/>
  <c r="AE262" i="3" s="1"/>
  <c r="V262" i="3"/>
  <c r="M262" i="3"/>
  <c r="P262" i="3" s="1"/>
  <c r="L262" i="3"/>
  <c r="N262" i="3" s="1"/>
  <c r="O262" i="3" s="1"/>
  <c r="C262" i="3"/>
  <c r="AC261" i="3"/>
  <c r="AF261" i="3" s="1"/>
  <c r="AB261" i="3"/>
  <c r="AD261" i="3" s="1"/>
  <c r="AE261" i="3" s="1"/>
  <c r="V261" i="3"/>
  <c r="AG261" i="3" s="1"/>
  <c r="AM261" i="3" s="1"/>
  <c r="M261" i="3"/>
  <c r="P261" i="3" s="1"/>
  <c r="L261" i="3"/>
  <c r="N261" i="3" s="1"/>
  <c r="O261" i="3" s="1"/>
  <c r="C261" i="3"/>
  <c r="AF260" i="3"/>
  <c r="AC260" i="3"/>
  <c r="AD260" i="3" s="1"/>
  <c r="AE260" i="3" s="1"/>
  <c r="AB260" i="3"/>
  <c r="V260" i="3"/>
  <c r="M260" i="3"/>
  <c r="P260" i="3" s="1"/>
  <c r="L260" i="3"/>
  <c r="N260" i="3" s="1"/>
  <c r="O260" i="3" s="1"/>
  <c r="C260" i="3"/>
  <c r="AF259" i="3"/>
  <c r="AC259" i="3"/>
  <c r="AB259" i="3"/>
  <c r="AD259" i="3" s="1"/>
  <c r="AE259" i="3" s="1"/>
  <c r="V259" i="3"/>
  <c r="M259" i="3"/>
  <c r="P259" i="3" s="1"/>
  <c r="L259" i="3"/>
  <c r="C259" i="3"/>
  <c r="AF258" i="3"/>
  <c r="AE258" i="3"/>
  <c r="AC258" i="3"/>
  <c r="AB258" i="3"/>
  <c r="AD258" i="3" s="1"/>
  <c r="V258" i="3"/>
  <c r="P258" i="3"/>
  <c r="M258" i="3"/>
  <c r="L258" i="3"/>
  <c r="N258" i="3" s="1"/>
  <c r="O258" i="3" s="1"/>
  <c r="C258" i="3"/>
  <c r="AE257" i="3"/>
  <c r="AD257" i="3"/>
  <c r="AC257" i="3"/>
  <c r="AF257" i="3" s="1"/>
  <c r="AB257" i="3"/>
  <c r="V257" i="3"/>
  <c r="M257" i="3"/>
  <c r="P257" i="3" s="1"/>
  <c r="L257" i="3"/>
  <c r="N257" i="3" s="1"/>
  <c r="O257" i="3" s="1"/>
  <c r="C257" i="3"/>
  <c r="AG256" i="3"/>
  <c r="AM256" i="3" s="1"/>
  <c r="AF256" i="3"/>
  <c r="AD256" i="3"/>
  <c r="AE256" i="3" s="1"/>
  <c r="AC256" i="3"/>
  <c r="AB256" i="3"/>
  <c r="V256" i="3"/>
  <c r="M256" i="3"/>
  <c r="P256" i="3" s="1"/>
  <c r="L256" i="3"/>
  <c r="N256" i="3" s="1"/>
  <c r="O256" i="3" s="1"/>
  <c r="C256" i="3"/>
  <c r="AC255" i="3"/>
  <c r="AF255" i="3" s="1"/>
  <c r="AB255" i="3"/>
  <c r="V255" i="3"/>
  <c r="M255" i="3"/>
  <c r="P255" i="3" s="1"/>
  <c r="L255" i="3"/>
  <c r="C255" i="3"/>
  <c r="AF254" i="3"/>
  <c r="AC254" i="3"/>
  <c r="AB254" i="3"/>
  <c r="AD254" i="3" s="1"/>
  <c r="AE254" i="3" s="1"/>
  <c r="V254" i="3"/>
  <c r="N254" i="3"/>
  <c r="O254" i="3" s="1"/>
  <c r="M254" i="3"/>
  <c r="P254" i="3" s="1"/>
  <c r="L254" i="3"/>
  <c r="C254" i="3"/>
  <c r="AC253" i="3"/>
  <c r="AF253" i="3" s="1"/>
  <c r="AB253" i="3"/>
  <c r="V253" i="3"/>
  <c r="M253" i="3"/>
  <c r="L253" i="3"/>
  <c r="C253" i="3"/>
  <c r="AF252" i="3"/>
  <c r="AD252" i="3"/>
  <c r="AE252" i="3" s="1"/>
  <c r="AC252" i="3"/>
  <c r="AB252" i="3"/>
  <c r="V252" i="3"/>
  <c r="M252" i="3"/>
  <c r="P252" i="3" s="1"/>
  <c r="L252" i="3"/>
  <c r="C252" i="3"/>
  <c r="AF251" i="3"/>
  <c r="AD251" i="3"/>
  <c r="AE251" i="3" s="1"/>
  <c r="AC251" i="3"/>
  <c r="AB251" i="3"/>
  <c r="V251" i="3"/>
  <c r="M251" i="3"/>
  <c r="P251" i="3" s="1"/>
  <c r="L251" i="3"/>
  <c r="C251" i="3"/>
  <c r="AF250" i="3"/>
  <c r="AD250" i="3"/>
  <c r="AE250" i="3" s="1"/>
  <c r="AC250" i="3"/>
  <c r="AB250" i="3"/>
  <c r="V250" i="3"/>
  <c r="P250" i="3"/>
  <c r="M250" i="3"/>
  <c r="L250" i="3"/>
  <c r="C250" i="3"/>
  <c r="AE249" i="3"/>
  <c r="AD249" i="3"/>
  <c r="AC249" i="3"/>
  <c r="AF249" i="3" s="1"/>
  <c r="AB249" i="3"/>
  <c r="V249" i="3"/>
  <c r="M249" i="3"/>
  <c r="P249" i="3" s="1"/>
  <c r="L249" i="3"/>
  <c r="C249" i="3"/>
  <c r="AF248" i="3"/>
  <c r="AD248" i="3"/>
  <c r="AE248" i="3" s="1"/>
  <c r="AC248" i="3"/>
  <c r="AB248" i="3"/>
  <c r="V248" i="3"/>
  <c r="M248" i="3"/>
  <c r="P248" i="3" s="1"/>
  <c r="L248" i="3"/>
  <c r="C248" i="3"/>
  <c r="AC247" i="3"/>
  <c r="AF247" i="3" s="1"/>
  <c r="AB247" i="3"/>
  <c r="AD247" i="3" s="1"/>
  <c r="AE247" i="3" s="1"/>
  <c r="V247" i="3"/>
  <c r="P247" i="3"/>
  <c r="M247" i="3"/>
  <c r="L247" i="3"/>
  <c r="C247" i="3"/>
  <c r="AF246" i="3"/>
  <c r="AC246" i="3"/>
  <c r="AB246" i="3"/>
  <c r="AD246" i="3" s="1"/>
  <c r="AE246" i="3" s="1"/>
  <c r="V246" i="3"/>
  <c r="P246" i="3"/>
  <c r="M246" i="3"/>
  <c r="L246" i="3"/>
  <c r="N246" i="3" s="1"/>
  <c r="O246" i="3" s="1"/>
  <c r="C246" i="3"/>
  <c r="AC245" i="3"/>
  <c r="AF245" i="3" s="1"/>
  <c r="AB245" i="3"/>
  <c r="V245" i="3"/>
  <c r="N245" i="3"/>
  <c r="O245" i="3" s="1"/>
  <c r="M245" i="3"/>
  <c r="P245" i="3" s="1"/>
  <c r="L245" i="3"/>
  <c r="C245" i="3"/>
  <c r="AC244" i="3"/>
  <c r="AB244" i="3"/>
  <c r="V244" i="3"/>
  <c r="M244" i="3"/>
  <c r="P244" i="3" s="1"/>
  <c r="L244" i="3"/>
  <c r="C244" i="3"/>
  <c r="AF243" i="3"/>
  <c r="AD243" i="3"/>
  <c r="AE243" i="3" s="1"/>
  <c r="AC243" i="3"/>
  <c r="AB243" i="3"/>
  <c r="V243" i="3"/>
  <c r="M243" i="3"/>
  <c r="P243" i="3" s="1"/>
  <c r="L243" i="3"/>
  <c r="C243" i="3"/>
  <c r="AF242" i="3"/>
  <c r="AC242" i="3"/>
  <c r="AB242" i="3"/>
  <c r="AD242" i="3" s="1"/>
  <c r="AE242" i="3" s="1"/>
  <c r="V242" i="3"/>
  <c r="M242" i="3"/>
  <c r="P242" i="3" s="1"/>
  <c r="L242" i="3"/>
  <c r="C242" i="3"/>
  <c r="AC241" i="3"/>
  <c r="AF241" i="3" s="1"/>
  <c r="AB241" i="3"/>
  <c r="AD241" i="3" s="1"/>
  <c r="AE241" i="3" s="1"/>
  <c r="V241" i="3"/>
  <c r="M241" i="3"/>
  <c r="P241" i="3" s="1"/>
  <c r="L241" i="3"/>
  <c r="N241" i="3" s="1"/>
  <c r="O241" i="3" s="1"/>
  <c r="C241" i="3"/>
  <c r="AF240" i="3"/>
  <c r="AD240" i="3"/>
  <c r="AE240" i="3" s="1"/>
  <c r="AC240" i="3"/>
  <c r="AB240" i="3"/>
  <c r="V240" i="3"/>
  <c r="M240" i="3"/>
  <c r="P240" i="3" s="1"/>
  <c r="L240" i="3"/>
  <c r="N240" i="3" s="1"/>
  <c r="O240" i="3" s="1"/>
  <c r="C240" i="3"/>
  <c r="AC239" i="3"/>
  <c r="AF239" i="3" s="1"/>
  <c r="AB239" i="3"/>
  <c r="V239" i="3"/>
  <c r="M239" i="3"/>
  <c r="P239" i="3" s="1"/>
  <c r="L239" i="3"/>
  <c r="N239" i="3" s="1"/>
  <c r="O239" i="3" s="1"/>
  <c r="C239" i="3"/>
  <c r="AF238" i="3"/>
  <c r="AD238" i="3"/>
  <c r="AE238" i="3" s="1"/>
  <c r="AC238" i="3"/>
  <c r="AB238" i="3"/>
  <c r="V238" i="3"/>
  <c r="P238" i="3"/>
  <c r="N238" i="3"/>
  <c r="O238" i="3" s="1"/>
  <c r="M238" i="3"/>
  <c r="L238" i="3"/>
  <c r="C238" i="3"/>
  <c r="AC237" i="3"/>
  <c r="AF237" i="3" s="1"/>
  <c r="AB237" i="3"/>
  <c r="V237" i="3"/>
  <c r="M237" i="3"/>
  <c r="P237" i="3" s="1"/>
  <c r="L237" i="3"/>
  <c r="C237" i="3"/>
  <c r="AF236" i="3"/>
  <c r="AE236" i="3"/>
  <c r="AD236" i="3"/>
  <c r="AC236" i="3"/>
  <c r="AB236" i="3"/>
  <c r="V236" i="3"/>
  <c r="M236" i="3"/>
  <c r="P236" i="3" s="1"/>
  <c r="L236" i="3"/>
  <c r="C236" i="3"/>
  <c r="AF235" i="3"/>
  <c r="AD235" i="3"/>
  <c r="AE235" i="3" s="1"/>
  <c r="AC235" i="3"/>
  <c r="AB235" i="3"/>
  <c r="V235" i="3"/>
  <c r="M235" i="3"/>
  <c r="P235" i="3" s="1"/>
  <c r="L235" i="3"/>
  <c r="C235" i="3"/>
  <c r="AF234" i="3"/>
  <c r="AC234" i="3"/>
  <c r="AB234" i="3"/>
  <c r="AD234" i="3" s="1"/>
  <c r="AE234" i="3" s="1"/>
  <c r="V234" i="3"/>
  <c r="M234" i="3"/>
  <c r="P234" i="3" s="1"/>
  <c r="L234" i="3"/>
  <c r="N234" i="3" s="1"/>
  <c r="O234" i="3" s="1"/>
  <c r="C234" i="3"/>
  <c r="AD233" i="3"/>
  <c r="AE233" i="3" s="1"/>
  <c r="AC233" i="3"/>
  <c r="AF233" i="3" s="1"/>
  <c r="AB233" i="3"/>
  <c r="V233" i="3"/>
  <c r="M233" i="3"/>
  <c r="P233" i="3" s="1"/>
  <c r="L233" i="3"/>
  <c r="N233" i="3" s="1"/>
  <c r="O233" i="3" s="1"/>
  <c r="C233" i="3"/>
  <c r="AF232" i="3"/>
  <c r="AD232" i="3"/>
  <c r="AE232" i="3" s="1"/>
  <c r="AC232" i="3"/>
  <c r="AB232" i="3"/>
  <c r="V232" i="3"/>
  <c r="AG232" i="3" s="1"/>
  <c r="AM232" i="3" s="1"/>
  <c r="M232" i="3"/>
  <c r="P232" i="3" s="1"/>
  <c r="L232" i="3"/>
  <c r="C232" i="3"/>
  <c r="AF231" i="3"/>
  <c r="AC231" i="3"/>
  <c r="AB231" i="3"/>
  <c r="AD231" i="3" s="1"/>
  <c r="AE231" i="3" s="1"/>
  <c r="V231" i="3"/>
  <c r="M231" i="3"/>
  <c r="P231" i="3" s="1"/>
  <c r="L231" i="3"/>
  <c r="C231" i="3"/>
  <c r="AF230" i="3"/>
  <c r="AD230" i="3"/>
  <c r="AE230" i="3" s="1"/>
  <c r="AC230" i="3"/>
  <c r="AB230" i="3"/>
  <c r="V230" i="3"/>
  <c r="P230" i="3"/>
  <c r="N230" i="3"/>
  <c r="O230" i="3" s="1"/>
  <c r="M230" i="3"/>
  <c r="L230" i="3"/>
  <c r="C230" i="3"/>
  <c r="AC229" i="3"/>
  <c r="AF229" i="3" s="1"/>
  <c r="AB229" i="3"/>
  <c r="AD229" i="3" s="1"/>
  <c r="AE229" i="3" s="1"/>
  <c r="V229" i="3"/>
  <c r="M229" i="3"/>
  <c r="P229" i="3" s="1"/>
  <c r="L229" i="3"/>
  <c r="N229" i="3" s="1"/>
  <c r="O229" i="3" s="1"/>
  <c r="C229" i="3"/>
  <c r="AF228" i="3"/>
  <c r="AD228" i="3"/>
  <c r="AE228" i="3" s="1"/>
  <c r="AC228" i="3"/>
  <c r="AB228" i="3"/>
  <c r="V228" i="3"/>
  <c r="AG228" i="3" s="1"/>
  <c r="AM228" i="3" s="1"/>
  <c r="M228" i="3"/>
  <c r="P228" i="3" s="1"/>
  <c r="L228" i="3"/>
  <c r="C228" i="3"/>
  <c r="AF227" i="3"/>
  <c r="AC227" i="3"/>
  <c r="AB227" i="3"/>
  <c r="AD227" i="3" s="1"/>
  <c r="AE227" i="3" s="1"/>
  <c r="V227" i="3"/>
  <c r="M227" i="3"/>
  <c r="P227" i="3" s="1"/>
  <c r="L227" i="3"/>
  <c r="C227" i="3"/>
  <c r="AF226" i="3"/>
  <c r="AE226" i="3"/>
  <c r="AC226" i="3"/>
  <c r="AB226" i="3"/>
  <c r="AD226" i="3" s="1"/>
  <c r="V226" i="3"/>
  <c r="M226" i="3"/>
  <c r="P226" i="3" s="1"/>
  <c r="L226" i="3"/>
  <c r="C226" i="3"/>
  <c r="AC225" i="3"/>
  <c r="AF225" i="3" s="1"/>
  <c r="AB225" i="3"/>
  <c r="V225" i="3"/>
  <c r="M225" i="3"/>
  <c r="L225" i="3"/>
  <c r="C225" i="3"/>
  <c r="AF224" i="3"/>
  <c r="AD224" i="3"/>
  <c r="AE224" i="3" s="1"/>
  <c r="AC224" i="3"/>
  <c r="AB224" i="3"/>
  <c r="V224" i="3"/>
  <c r="M224" i="3"/>
  <c r="P224" i="3" s="1"/>
  <c r="L224" i="3"/>
  <c r="C224" i="3"/>
  <c r="AC223" i="3"/>
  <c r="AF223" i="3" s="1"/>
  <c r="AB223" i="3"/>
  <c r="AD223" i="3" s="1"/>
  <c r="AE223" i="3" s="1"/>
  <c r="V223" i="3"/>
  <c r="P223" i="3"/>
  <c r="M223" i="3"/>
  <c r="L223" i="3"/>
  <c r="C223" i="3"/>
  <c r="AF222" i="3"/>
  <c r="AD222" i="3"/>
  <c r="AE222" i="3" s="1"/>
  <c r="AC222" i="3"/>
  <c r="AB222" i="3"/>
  <c r="V222" i="3"/>
  <c r="M222" i="3"/>
  <c r="P222" i="3" s="1"/>
  <c r="L222" i="3"/>
  <c r="N222" i="3" s="1"/>
  <c r="O222" i="3" s="1"/>
  <c r="C222" i="3"/>
  <c r="AC221" i="3"/>
  <c r="AF221" i="3" s="1"/>
  <c r="AB221" i="3"/>
  <c r="AD221" i="3" s="1"/>
  <c r="AE221" i="3" s="1"/>
  <c r="V221" i="3"/>
  <c r="N221" i="3"/>
  <c r="O221" i="3" s="1"/>
  <c r="M221" i="3"/>
  <c r="P221" i="3" s="1"/>
  <c r="L221" i="3"/>
  <c r="C221" i="3"/>
  <c r="AC220" i="3"/>
  <c r="AD220" i="3" s="1"/>
  <c r="AE220" i="3" s="1"/>
  <c r="AB220" i="3"/>
  <c r="V220" i="3"/>
  <c r="M220" i="3"/>
  <c r="P220" i="3" s="1"/>
  <c r="L220" i="3"/>
  <c r="C220" i="3"/>
  <c r="AC219" i="3"/>
  <c r="AD219" i="3" s="1"/>
  <c r="AE219" i="3" s="1"/>
  <c r="AB219" i="3"/>
  <c r="V219" i="3"/>
  <c r="M219" i="3"/>
  <c r="P219" i="3" s="1"/>
  <c r="L219" i="3"/>
  <c r="N219" i="3" s="1"/>
  <c r="O219" i="3" s="1"/>
  <c r="C219" i="3"/>
  <c r="AF218" i="3"/>
  <c r="AD218" i="3"/>
  <c r="AE218" i="3" s="1"/>
  <c r="AC218" i="3"/>
  <c r="AB218" i="3"/>
  <c r="V218" i="3"/>
  <c r="M218" i="3"/>
  <c r="P218" i="3" s="1"/>
  <c r="L218" i="3"/>
  <c r="C218" i="3"/>
  <c r="AC217" i="3"/>
  <c r="AF217" i="3" s="1"/>
  <c r="AB217" i="3"/>
  <c r="V217" i="3"/>
  <c r="M217" i="3"/>
  <c r="P217" i="3" s="1"/>
  <c r="L217" i="3"/>
  <c r="N217" i="3" s="1"/>
  <c r="O217" i="3" s="1"/>
  <c r="C217" i="3"/>
  <c r="AF216" i="3"/>
  <c r="AE216" i="3"/>
  <c r="AD216" i="3"/>
  <c r="AC216" i="3"/>
  <c r="AB216" i="3"/>
  <c r="V216" i="3"/>
  <c r="P216" i="3"/>
  <c r="O216" i="3"/>
  <c r="M216" i="3"/>
  <c r="L216" i="3"/>
  <c r="N216" i="3" s="1"/>
  <c r="C216" i="3"/>
  <c r="AF215" i="3"/>
  <c r="AC215" i="3"/>
  <c r="AB215" i="3"/>
  <c r="AD215" i="3" s="1"/>
  <c r="AE215" i="3" s="1"/>
  <c r="V215" i="3"/>
  <c r="P215" i="3"/>
  <c r="M215" i="3"/>
  <c r="L215" i="3"/>
  <c r="N215" i="3" s="1"/>
  <c r="O215" i="3" s="1"/>
  <c r="C215" i="3"/>
  <c r="AF214" i="3"/>
  <c r="AC214" i="3"/>
  <c r="AB214" i="3"/>
  <c r="AD214" i="3" s="1"/>
  <c r="AE214" i="3" s="1"/>
  <c r="V214" i="3"/>
  <c r="N214" i="3"/>
  <c r="O214" i="3" s="1"/>
  <c r="M214" i="3"/>
  <c r="P214" i="3" s="1"/>
  <c r="L214" i="3"/>
  <c r="C214" i="3"/>
  <c r="AC213" i="3"/>
  <c r="AF213" i="3" s="1"/>
  <c r="AB213" i="3"/>
  <c r="AD213" i="3" s="1"/>
  <c r="AE213" i="3" s="1"/>
  <c r="V213" i="3"/>
  <c r="M213" i="3"/>
  <c r="P213" i="3" s="1"/>
  <c r="L213" i="3"/>
  <c r="N213" i="3" s="1"/>
  <c r="O213" i="3" s="1"/>
  <c r="C213" i="3"/>
  <c r="AC212" i="3"/>
  <c r="AF212" i="3" s="1"/>
  <c r="AB212" i="3"/>
  <c r="V212" i="3"/>
  <c r="M212" i="3"/>
  <c r="P212" i="3" s="1"/>
  <c r="L212" i="3"/>
  <c r="C212" i="3"/>
  <c r="AC211" i="3"/>
  <c r="AF211" i="3" s="1"/>
  <c r="AB211" i="3"/>
  <c r="AD211" i="3" s="1"/>
  <c r="AE211" i="3" s="1"/>
  <c r="V211" i="3"/>
  <c r="M211" i="3"/>
  <c r="P211" i="3" s="1"/>
  <c r="L211" i="3"/>
  <c r="N211" i="3" s="1"/>
  <c r="O211" i="3" s="1"/>
  <c r="C211" i="3"/>
  <c r="AF210" i="3"/>
  <c r="AC210" i="3"/>
  <c r="AB210" i="3"/>
  <c r="AD210" i="3" s="1"/>
  <c r="AE210" i="3" s="1"/>
  <c r="V210" i="3"/>
  <c r="AG210" i="3" s="1"/>
  <c r="AM210" i="3" s="1"/>
  <c r="M210" i="3"/>
  <c r="P210" i="3" s="1"/>
  <c r="L210" i="3"/>
  <c r="N210" i="3" s="1"/>
  <c r="O210" i="3" s="1"/>
  <c r="C210" i="3"/>
  <c r="AC209" i="3"/>
  <c r="AF209" i="3" s="1"/>
  <c r="AB209" i="3"/>
  <c r="AD209" i="3" s="1"/>
  <c r="AE209" i="3" s="1"/>
  <c r="V209" i="3"/>
  <c r="M209" i="3"/>
  <c r="P209" i="3" s="1"/>
  <c r="L209" i="3"/>
  <c r="N209" i="3" s="1"/>
  <c r="O209" i="3" s="1"/>
  <c r="C209" i="3"/>
  <c r="AF208" i="3"/>
  <c r="AD208" i="3"/>
  <c r="AE208" i="3" s="1"/>
  <c r="AC208" i="3"/>
  <c r="AB208" i="3"/>
  <c r="V208" i="3"/>
  <c r="M208" i="3"/>
  <c r="P208" i="3" s="1"/>
  <c r="L208" i="3"/>
  <c r="N208" i="3" s="1"/>
  <c r="O208" i="3" s="1"/>
  <c r="C208" i="3"/>
  <c r="AF207" i="3"/>
  <c r="AC207" i="3"/>
  <c r="AB207" i="3"/>
  <c r="AD207" i="3" s="1"/>
  <c r="AE207" i="3" s="1"/>
  <c r="V207" i="3"/>
  <c r="M207" i="3"/>
  <c r="P207" i="3" s="1"/>
  <c r="L207" i="3"/>
  <c r="N207" i="3" s="1"/>
  <c r="O207" i="3" s="1"/>
  <c r="C207" i="3"/>
  <c r="AF206" i="3"/>
  <c r="AC206" i="3"/>
  <c r="AB206" i="3"/>
  <c r="AD206" i="3" s="1"/>
  <c r="AE206" i="3" s="1"/>
  <c r="V206" i="3"/>
  <c r="M206" i="3"/>
  <c r="P206" i="3" s="1"/>
  <c r="L206" i="3"/>
  <c r="C206" i="3"/>
  <c r="AC205" i="3"/>
  <c r="AF205" i="3" s="1"/>
  <c r="AB205" i="3"/>
  <c r="V205" i="3"/>
  <c r="N205" i="3"/>
  <c r="O205" i="3" s="1"/>
  <c r="M205" i="3"/>
  <c r="P205" i="3" s="1"/>
  <c r="L205" i="3"/>
  <c r="C205" i="3"/>
  <c r="AF204" i="3"/>
  <c r="AD204" i="3"/>
  <c r="AE204" i="3" s="1"/>
  <c r="AC204" i="3"/>
  <c r="AB204" i="3"/>
  <c r="V204" i="3"/>
  <c r="M204" i="3"/>
  <c r="P204" i="3" s="1"/>
  <c r="L204" i="3"/>
  <c r="C204" i="3"/>
  <c r="AF203" i="3"/>
  <c r="AC203" i="3"/>
  <c r="AB203" i="3"/>
  <c r="AD203" i="3" s="1"/>
  <c r="AE203" i="3" s="1"/>
  <c r="V203" i="3"/>
  <c r="O203" i="3"/>
  <c r="M203" i="3"/>
  <c r="P203" i="3" s="1"/>
  <c r="L203" i="3"/>
  <c r="N203" i="3" s="1"/>
  <c r="C203" i="3"/>
  <c r="AF202" i="3"/>
  <c r="AE202" i="3"/>
  <c r="AD202" i="3"/>
  <c r="AC202" i="3"/>
  <c r="AB202" i="3"/>
  <c r="V202" i="3"/>
  <c r="P202" i="3"/>
  <c r="M202" i="3"/>
  <c r="L202" i="3"/>
  <c r="N202" i="3" s="1"/>
  <c r="O202" i="3" s="1"/>
  <c r="C202" i="3"/>
  <c r="AC201" i="3"/>
  <c r="AF201" i="3" s="1"/>
  <c r="AB201" i="3"/>
  <c r="AD201" i="3" s="1"/>
  <c r="AE201" i="3" s="1"/>
  <c r="V201" i="3"/>
  <c r="M201" i="3"/>
  <c r="P201" i="3" s="1"/>
  <c r="L201" i="3"/>
  <c r="C201" i="3"/>
  <c r="AF200" i="3"/>
  <c r="AD200" i="3"/>
  <c r="AE200" i="3" s="1"/>
  <c r="AC200" i="3"/>
  <c r="AB200" i="3"/>
  <c r="V200" i="3"/>
  <c r="AG200" i="3" s="1"/>
  <c r="AM200" i="3" s="1"/>
  <c r="M200" i="3"/>
  <c r="P200" i="3" s="1"/>
  <c r="L200" i="3"/>
  <c r="C200" i="3"/>
  <c r="AF199" i="3"/>
  <c r="AC199" i="3"/>
  <c r="AB199" i="3"/>
  <c r="AD199" i="3" s="1"/>
  <c r="AE199" i="3" s="1"/>
  <c r="V199" i="3"/>
  <c r="M199" i="3"/>
  <c r="P199" i="3" s="1"/>
  <c r="L199" i="3"/>
  <c r="C199" i="3"/>
  <c r="AF198" i="3"/>
  <c r="AC198" i="3"/>
  <c r="AB198" i="3"/>
  <c r="AD198" i="3" s="1"/>
  <c r="AE198" i="3" s="1"/>
  <c r="V198" i="3"/>
  <c r="P198" i="3"/>
  <c r="M198" i="3"/>
  <c r="L198" i="3"/>
  <c r="N198" i="3" s="1"/>
  <c r="O198" i="3" s="1"/>
  <c r="C198" i="3"/>
  <c r="AD197" i="3"/>
  <c r="AE197" i="3" s="1"/>
  <c r="AC197" i="3"/>
  <c r="AF197" i="3" s="1"/>
  <c r="AB197" i="3"/>
  <c r="V197" i="3"/>
  <c r="M197" i="3"/>
  <c r="P197" i="3" s="1"/>
  <c r="L197" i="3"/>
  <c r="C197" i="3"/>
  <c r="AF196" i="3"/>
  <c r="AD196" i="3"/>
  <c r="AE196" i="3" s="1"/>
  <c r="AC196" i="3"/>
  <c r="AB196" i="3"/>
  <c r="V196" i="3"/>
  <c r="M196" i="3"/>
  <c r="P196" i="3" s="1"/>
  <c r="L196" i="3"/>
  <c r="C196" i="3"/>
  <c r="AF195" i="3"/>
  <c r="AD195" i="3"/>
  <c r="AE195" i="3" s="1"/>
  <c r="AC195" i="3"/>
  <c r="AB195" i="3"/>
  <c r="V195" i="3"/>
  <c r="M195" i="3"/>
  <c r="P195" i="3" s="1"/>
  <c r="L195" i="3"/>
  <c r="C195" i="3"/>
  <c r="AF194" i="3"/>
  <c r="AE194" i="3"/>
  <c r="AD194" i="3"/>
  <c r="AC194" i="3"/>
  <c r="AB194" i="3"/>
  <c r="V194" i="3"/>
  <c r="M194" i="3"/>
  <c r="P194" i="3" s="1"/>
  <c r="L194" i="3"/>
  <c r="C194" i="3"/>
  <c r="AD193" i="3"/>
  <c r="AE193" i="3" s="1"/>
  <c r="AC193" i="3"/>
  <c r="AF193" i="3" s="1"/>
  <c r="AB193" i="3"/>
  <c r="V193" i="3"/>
  <c r="M193" i="3"/>
  <c r="P193" i="3" s="1"/>
  <c r="L193" i="3"/>
  <c r="C193" i="3"/>
  <c r="AF192" i="3"/>
  <c r="AD192" i="3"/>
  <c r="AE192" i="3" s="1"/>
  <c r="AC192" i="3"/>
  <c r="AB192" i="3"/>
  <c r="V192" i="3"/>
  <c r="AG192" i="3" s="1"/>
  <c r="AM192" i="3" s="1"/>
  <c r="M192" i="3"/>
  <c r="P192" i="3" s="1"/>
  <c r="L192" i="3"/>
  <c r="C192" i="3"/>
  <c r="AF191" i="3"/>
  <c r="AC191" i="3"/>
  <c r="AB191" i="3"/>
  <c r="AD191" i="3" s="1"/>
  <c r="AE191" i="3" s="1"/>
  <c r="V191" i="3"/>
  <c r="M191" i="3"/>
  <c r="P191" i="3" s="1"/>
  <c r="L191" i="3"/>
  <c r="C191" i="3"/>
  <c r="AF190" i="3"/>
  <c r="AC190" i="3"/>
  <c r="AB190" i="3"/>
  <c r="AD190" i="3" s="1"/>
  <c r="AE190" i="3" s="1"/>
  <c r="V190" i="3"/>
  <c r="M190" i="3"/>
  <c r="P190" i="3" s="1"/>
  <c r="L190" i="3"/>
  <c r="C190" i="3"/>
  <c r="AC189" i="3"/>
  <c r="AF189" i="3" s="1"/>
  <c r="AB189" i="3"/>
  <c r="AD189" i="3" s="1"/>
  <c r="AE189" i="3" s="1"/>
  <c r="V189" i="3"/>
  <c r="M189" i="3"/>
  <c r="P189" i="3" s="1"/>
  <c r="L189" i="3"/>
  <c r="C189" i="3"/>
  <c r="AF188" i="3"/>
  <c r="AD188" i="3"/>
  <c r="AE188" i="3" s="1"/>
  <c r="AC188" i="3"/>
  <c r="AB188" i="3"/>
  <c r="V188" i="3"/>
  <c r="M188" i="3"/>
  <c r="P188" i="3" s="1"/>
  <c r="L188" i="3"/>
  <c r="C188" i="3"/>
  <c r="AF187" i="3"/>
  <c r="AC187" i="3"/>
  <c r="AB187" i="3"/>
  <c r="V187" i="3"/>
  <c r="M187" i="3"/>
  <c r="P187" i="3" s="1"/>
  <c r="L187" i="3"/>
  <c r="N187" i="3" s="1"/>
  <c r="O187" i="3" s="1"/>
  <c r="C187" i="3"/>
  <c r="AF186" i="3"/>
  <c r="AC186" i="3"/>
  <c r="AB186" i="3"/>
  <c r="V186" i="3"/>
  <c r="M186" i="3"/>
  <c r="L186" i="3"/>
  <c r="C186" i="3"/>
  <c r="AC185" i="3"/>
  <c r="AF185" i="3" s="1"/>
  <c r="AB185" i="3"/>
  <c r="AD185" i="3" s="1"/>
  <c r="AE185" i="3" s="1"/>
  <c r="V185" i="3"/>
  <c r="M185" i="3"/>
  <c r="P185" i="3" s="1"/>
  <c r="L185" i="3"/>
  <c r="C185" i="3"/>
  <c r="AC184" i="3"/>
  <c r="AF184" i="3" s="1"/>
  <c r="AB184" i="3"/>
  <c r="AD184" i="3" s="1"/>
  <c r="AE184" i="3" s="1"/>
  <c r="V184" i="3"/>
  <c r="M184" i="3"/>
  <c r="P184" i="3" s="1"/>
  <c r="L184" i="3"/>
  <c r="C184" i="3"/>
  <c r="AC183" i="3"/>
  <c r="AF183" i="3" s="1"/>
  <c r="AB183" i="3"/>
  <c r="V183" i="3"/>
  <c r="P183" i="3"/>
  <c r="N183" i="3"/>
  <c r="O183" i="3" s="1"/>
  <c r="M183" i="3"/>
  <c r="L183" i="3"/>
  <c r="C183" i="3"/>
  <c r="AF182" i="3"/>
  <c r="AC182" i="3"/>
  <c r="AB182" i="3"/>
  <c r="AD182" i="3" s="1"/>
  <c r="AE182" i="3" s="1"/>
  <c r="V182" i="3"/>
  <c r="P182" i="3"/>
  <c r="M182" i="3"/>
  <c r="L182" i="3"/>
  <c r="N182" i="3" s="1"/>
  <c r="O182" i="3" s="1"/>
  <c r="C182" i="3"/>
  <c r="AC181" i="3"/>
  <c r="AF181" i="3" s="1"/>
  <c r="AB181" i="3"/>
  <c r="V181" i="3"/>
  <c r="M181" i="3"/>
  <c r="P181" i="3" s="1"/>
  <c r="L181" i="3"/>
  <c r="C181" i="3"/>
  <c r="AF180" i="3"/>
  <c r="AC180" i="3"/>
  <c r="AD180" i="3" s="1"/>
  <c r="AE180" i="3" s="1"/>
  <c r="AB180" i="3"/>
  <c r="V180" i="3"/>
  <c r="M180" i="3"/>
  <c r="P180" i="3" s="1"/>
  <c r="L180" i="3"/>
  <c r="C180" i="3"/>
  <c r="AF179" i="3"/>
  <c r="AC179" i="3"/>
  <c r="AB179" i="3"/>
  <c r="V179" i="3"/>
  <c r="M179" i="3"/>
  <c r="P179" i="3" s="1"/>
  <c r="L179" i="3"/>
  <c r="C179" i="3"/>
  <c r="AF178" i="3"/>
  <c r="AC178" i="3"/>
  <c r="AB178" i="3"/>
  <c r="V178" i="3"/>
  <c r="M178" i="3"/>
  <c r="L178" i="3"/>
  <c r="C178" i="3"/>
  <c r="AC177" i="3"/>
  <c r="AF177" i="3" s="1"/>
  <c r="AB177" i="3"/>
  <c r="AD177" i="3" s="1"/>
  <c r="AE177" i="3" s="1"/>
  <c r="V177" i="3"/>
  <c r="M177" i="3"/>
  <c r="P177" i="3" s="1"/>
  <c r="L177" i="3"/>
  <c r="C177" i="3"/>
  <c r="AC176" i="3"/>
  <c r="AF176" i="3" s="1"/>
  <c r="AB176" i="3"/>
  <c r="AD176" i="3" s="1"/>
  <c r="AE176" i="3" s="1"/>
  <c r="V176" i="3"/>
  <c r="M176" i="3"/>
  <c r="P176" i="3" s="1"/>
  <c r="L176" i="3"/>
  <c r="C176" i="3"/>
  <c r="AF175" i="3"/>
  <c r="AC175" i="3"/>
  <c r="AB175" i="3"/>
  <c r="V175" i="3"/>
  <c r="N175" i="3"/>
  <c r="O175" i="3" s="1"/>
  <c r="M175" i="3"/>
  <c r="P175" i="3" s="1"/>
  <c r="L175" i="3"/>
  <c r="C175" i="3"/>
  <c r="AF174" i="3"/>
  <c r="AC174" i="3"/>
  <c r="AB174" i="3"/>
  <c r="AD174" i="3" s="1"/>
  <c r="AE174" i="3" s="1"/>
  <c r="V174" i="3"/>
  <c r="P174" i="3"/>
  <c r="M174" i="3"/>
  <c r="L174" i="3"/>
  <c r="N174" i="3" s="1"/>
  <c r="O174" i="3" s="1"/>
  <c r="C174" i="3"/>
  <c r="AC173" i="3"/>
  <c r="AB173" i="3"/>
  <c r="V173" i="3"/>
  <c r="M173" i="3"/>
  <c r="P173" i="3" s="1"/>
  <c r="L173" i="3"/>
  <c r="C173" i="3"/>
  <c r="AC172" i="3"/>
  <c r="AF172" i="3" s="1"/>
  <c r="AB172" i="3"/>
  <c r="V172" i="3"/>
  <c r="M172" i="3"/>
  <c r="P172" i="3" s="1"/>
  <c r="L172" i="3"/>
  <c r="C172" i="3"/>
  <c r="AF171" i="3"/>
  <c r="AC171" i="3"/>
  <c r="AB171" i="3"/>
  <c r="V171" i="3"/>
  <c r="M171" i="3"/>
  <c r="P171" i="3" s="1"/>
  <c r="L171" i="3"/>
  <c r="N171" i="3" s="1"/>
  <c r="O171" i="3" s="1"/>
  <c r="C171" i="3"/>
  <c r="AF170" i="3"/>
  <c r="AC170" i="3"/>
  <c r="AB170" i="3"/>
  <c r="V170" i="3"/>
  <c r="M170" i="3"/>
  <c r="L170" i="3"/>
  <c r="C170" i="3"/>
  <c r="AC169" i="3"/>
  <c r="AF169" i="3" s="1"/>
  <c r="AB169" i="3"/>
  <c r="AD169" i="3" s="1"/>
  <c r="AE169" i="3" s="1"/>
  <c r="V169" i="3"/>
  <c r="M169" i="3"/>
  <c r="P169" i="3" s="1"/>
  <c r="L169" i="3"/>
  <c r="C169" i="3"/>
  <c r="AC168" i="3"/>
  <c r="AF168" i="3" s="1"/>
  <c r="AB168" i="3"/>
  <c r="AD168" i="3" s="1"/>
  <c r="AE168" i="3" s="1"/>
  <c r="V168" i="3"/>
  <c r="P168" i="3"/>
  <c r="N168" i="3"/>
  <c r="O168" i="3" s="1"/>
  <c r="M168" i="3"/>
  <c r="L168" i="3"/>
  <c r="C168" i="3"/>
  <c r="AC167" i="3"/>
  <c r="AF167" i="3" s="1"/>
  <c r="AB167" i="3"/>
  <c r="V167" i="3"/>
  <c r="M167" i="3"/>
  <c r="P167" i="3" s="1"/>
  <c r="L167" i="3"/>
  <c r="C167" i="3"/>
  <c r="AF166" i="3"/>
  <c r="AE166" i="3"/>
  <c r="AC166" i="3"/>
  <c r="AB166" i="3"/>
  <c r="AD166" i="3" s="1"/>
  <c r="V166" i="3"/>
  <c r="P166" i="3"/>
  <c r="M166" i="3"/>
  <c r="L166" i="3"/>
  <c r="N166" i="3" s="1"/>
  <c r="O166" i="3" s="1"/>
  <c r="C166" i="3"/>
  <c r="AD165" i="3"/>
  <c r="AE165" i="3" s="1"/>
  <c r="AC165" i="3"/>
  <c r="AF165" i="3" s="1"/>
  <c r="AB165" i="3"/>
  <c r="V165" i="3"/>
  <c r="M165" i="3"/>
  <c r="P165" i="3" s="1"/>
  <c r="L165" i="3"/>
  <c r="C165" i="3"/>
  <c r="AF164" i="3"/>
  <c r="AD164" i="3"/>
  <c r="AE164" i="3" s="1"/>
  <c r="AC164" i="3"/>
  <c r="AB164" i="3"/>
  <c r="V164" i="3"/>
  <c r="M164" i="3"/>
  <c r="P164" i="3" s="1"/>
  <c r="L164" i="3"/>
  <c r="C164" i="3"/>
  <c r="AF163" i="3"/>
  <c r="AC163" i="3"/>
  <c r="AB163" i="3"/>
  <c r="AD163" i="3" s="1"/>
  <c r="AE163" i="3" s="1"/>
  <c r="V163" i="3"/>
  <c r="M163" i="3"/>
  <c r="P163" i="3" s="1"/>
  <c r="L163" i="3"/>
  <c r="N163" i="3" s="1"/>
  <c r="O163" i="3" s="1"/>
  <c r="C163" i="3"/>
  <c r="AC162" i="3"/>
  <c r="AF162" i="3" s="1"/>
  <c r="AB162" i="3"/>
  <c r="V162" i="3"/>
  <c r="M162" i="3"/>
  <c r="L162" i="3"/>
  <c r="C162" i="3"/>
  <c r="AF161" i="3"/>
  <c r="AD161" i="3"/>
  <c r="AE161" i="3" s="1"/>
  <c r="AC161" i="3"/>
  <c r="AB161" i="3"/>
  <c r="V161" i="3"/>
  <c r="M161" i="3"/>
  <c r="L161" i="3"/>
  <c r="C161" i="3"/>
  <c r="AF160" i="3"/>
  <c r="AC160" i="3"/>
  <c r="AB160" i="3"/>
  <c r="AD160" i="3" s="1"/>
  <c r="AE160" i="3" s="1"/>
  <c r="V160" i="3"/>
  <c r="M160" i="3"/>
  <c r="P160" i="3" s="1"/>
  <c r="L160" i="3"/>
  <c r="C160" i="3"/>
  <c r="AF159" i="3"/>
  <c r="AC159" i="3"/>
  <c r="AB159" i="3"/>
  <c r="V159" i="3"/>
  <c r="M159" i="3"/>
  <c r="P159" i="3" s="1"/>
  <c r="L159" i="3"/>
  <c r="C159" i="3"/>
  <c r="AF158" i="3"/>
  <c r="AE158" i="3"/>
  <c r="AD158" i="3"/>
  <c r="AC158" i="3"/>
  <c r="AB158" i="3"/>
  <c r="V158" i="3"/>
  <c r="P158" i="3"/>
  <c r="M158" i="3"/>
  <c r="L158" i="3"/>
  <c r="C158" i="3"/>
  <c r="AC157" i="3"/>
  <c r="AF157" i="3" s="1"/>
  <c r="AB157" i="3"/>
  <c r="V157" i="3"/>
  <c r="P157" i="3"/>
  <c r="N157" i="3"/>
  <c r="O157" i="3" s="1"/>
  <c r="M157" i="3"/>
  <c r="L157" i="3"/>
  <c r="C157" i="3"/>
  <c r="AC156" i="3"/>
  <c r="AF156" i="3" s="1"/>
  <c r="AB156" i="3"/>
  <c r="V156" i="3"/>
  <c r="M156" i="3"/>
  <c r="P156" i="3" s="1"/>
  <c r="L156" i="3"/>
  <c r="C156" i="3"/>
  <c r="AC155" i="3"/>
  <c r="AF155" i="3" s="1"/>
  <c r="AB155" i="3"/>
  <c r="AD155" i="3" s="1"/>
  <c r="AE155" i="3" s="1"/>
  <c r="V155" i="3"/>
  <c r="M155" i="3"/>
  <c r="P155" i="3" s="1"/>
  <c r="L155" i="3"/>
  <c r="N155" i="3" s="1"/>
  <c r="O155" i="3" s="1"/>
  <c r="C155" i="3"/>
  <c r="AE154" i="3"/>
  <c r="AD154" i="3"/>
  <c r="AC154" i="3"/>
  <c r="AF154" i="3" s="1"/>
  <c r="AB154" i="3"/>
  <c r="V154" i="3"/>
  <c r="M154" i="3"/>
  <c r="P154" i="3" s="1"/>
  <c r="L154" i="3"/>
  <c r="C154" i="3"/>
  <c r="AF153" i="3"/>
  <c r="AE153" i="3"/>
  <c r="AD153" i="3"/>
  <c r="AC153" i="3"/>
  <c r="AB153" i="3"/>
  <c r="V153" i="3"/>
  <c r="P153" i="3"/>
  <c r="N153" i="3"/>
  <c r="O153" i="3" s="1"/>
  <c r="M153" i="3"/>
  <c r="L153" i="3"/>
  <c r="C153" i="3"/>
  <c r="AC152" i="3"/>
  <c r="AF152" i="3" s="1"/>
  <c r="AB152" i="3"/>
  <c r="AD152" i="3" s="1"/>
  <c r="AE152" i="3" s="1"/>
  <c r="V152" i="3"/>
  <c r="AG152" i="3" s="1"/>
  <c r="AM152" i="3" s="1"/>
  <c r="M152" i="3"/>
  <c r="P152" i="3" s="1"/>
  <c r="L152" i="3"/>
  <c r="C152" i="3"/>
  <c r="AC151" i="3"/>
  <c r="AF151" i="3" s="1"/>
  <c r="AB151" i="3"/>
  <c r="V151" i="3"/>
  <c r="M151" i="3"/>
  <c r="P151" i="3" s="1"/>
  <c r="L151" i="3"/>
  <c r="N151" i="3" s="1"/>
  <c r="O151" i="3" s="1"/>
  <c r="C151" i="3"/>
  <c r="AF150" i="3"/>
  <c r="AC150" i="3"/>
  <c r="AB150" i="3"/>
  <c r="AD150" i="3" s="1"/>
  <c r="AE150" i="3" s="1"/>
  <c r="V150" i="3"/>
  <c r="P150" i="3"/>
  <c r="N150" i="3"/>
  <c r="O150" i="3" s="1"/>
  <c r="M150" i="3"/>
  <c r="L150" i="3"/>
  <c r="C150" i="3"/>
  <c r="AC149" i="3"/>
  <c r="AF149" i="3" s="1"/>
  <c r="AB149" i="3"/>
  <c r="V149" i="3"/>
  <c r="M149" i="3"/>
  <c r="L149" i="3"/>
  <c r="C149" i="3"/>
  <c r="AF148" i="3"/>
  <c r="AC148" i="3"/>
  <c r="AD148" i="3" s="1"/>
  <c r="AE148" i="3" s="1"/>
  <c r="AB148" i="3"/>
  <c r="V148" i="3"/>
  <c r="M148" i="3"/>
  <c r="P148" i="3" s="1"/>
  <c r="L148" i="3"/>
  <c r="C148" i="3"/>
  <c r="AF147" i="3"/>
  <c r="AC147" i="3"/>
  <c r="AB147" i="3"/>
  <c r="AD147" i="3" s="1"/>
  <c r="AE147" i="3" s="1"/>
  <c r="V147" i="3"/>
  <c r="M147" i="3"/>
  <c r="P147" i="3" s="1"/>
  <c r="L147" i="3"/>
  <c r="C147" i="3"/>
  <c r="AC146" i="3"/>
  <c r="AF146" i="3" s="1"/>
  <c r="AB146" i="3"/>
  <c r="AD146" i="3" s="1"/>
  <c r="AE146" i="3" s="1"/>
  <c r="V146" i="3"/>
  <c r="N146" i="3"/>
  <c r="O146" i="3" s="1"/>
  <c r="M146" i="3"/>
  <c r="P146" i="3" s="1"/>
  <c r="L146" i="3"/>
  <c r="C146" i="3"/>
  <c r="AF145" i="3"/>
  <c r="AD145" i="3"/>
  <c r="AE145" i="3" s="1"/>
  <c r="AC145" i="3"/>
  <c r="AB145" i="3"/>
  <c r="V145" i="3"/>
  <c r="AG145" i="3" s="1"/>
  <c r="AM145" i="3" s="1"/>
  <c r="M145" i="3"/>
  <c r="P145" i="3" s="1"/>
  <c r="L145" i="3"/>
  <c r="N145" i="3" s="1"/>
  <c r="O145" i="3" s="1"/>
  <c r="C145" i="3"/>
  <c r="AF144" i="3"/>
  <c r="AD144" i="3"/>
  <c r="AE144" i="3" s="1"/>
  <c r="AC144" i="3"/>
  <c r="AB144" i="3"/>
  <c r="V144" i="3"/>
  <c r="M144" i="3"/>
  <c r="P144" i="3" s="1"/>
  <c r="L144" i="3"/>
  <c r="N144" i="3" s="1"/>
  <c r="O144" i="3" s="1"/>
  <c r="C144" i="3"/>
  <c r="AC143" i="3"/>
  <c r="AF143" i="3" s="1"/>
  <c r="AB143" i="3"/>
  <c r="V143" i="3"/>
  <c r="M143" i="3"/>
  <c r="L143" i="3"/>
  <c r="C143" i="3"/>
  <c r="AF142" i="3"/>
  <c r="AD142" i="3"/>
  <c r="AE142" i="3" s="1"/>
  <c r="AC142" i="3"/>
  <c r="AB142" i="3"/>
  <c r="V142" i="3"/>
  <c r="M142" i="3"/>
  <c r="L142" i="3"/>
  <c r="C142" i="3"/>
  <c r="AD141" i="3"/>
  <c r="AE141" i="3" s="1"/>
  <c r="AC141" i="3"/>
  <c r="AF141" i="3" s="1"/>
  <c r="AB141" i="3"/>
  <c r="V141" i="3"/>
  <c r="M141" i="3"/>
  <c r="P141" i="3" s="1"/>
  <c r="L141" i="3"/>
  <c r="C141" i="3"/>
  <c r="AC140" i="3"/>
  <c r="AF140" i="3" s="1"/>
  <c r="AB140" i="3"/>
  <c r="V140" i="3"/>
  <c r="M140" i="3"/>
  <c r="P140" i="3" s="1"/>
  <c r="L140" i="3"/>
  <c r="C140" i="3"/>
  <c r="AF139" i="3"/>
  <c r="AC139" i="3"/>
  <c r="AB139" i="3"/>
  <c r="AD139" i="3" s="1"/>
  <c r="AE139" i="3" s="1"/>
  <c r="V139" i="3"/>
  <c r="M139" i="3"/>
  <c r="P139" i="3" s="1"/>
  <c r="L139" i="3"/>
  <c r="N139" i="3" s="1"/>
  <c r="O139" i="3" s="1"/>
  <c r="C139" i="3"/>
  <c r="AC138" i="3"/>
  <c r="AF138" i="3" s="1"/>
  <c r="AB138" i="3"/>
  <c r="V138" i="3"/>
  <c r="M138" i="3"/>
  <c r="P138" i="3" s="1"/>
  <c r="L138" i="3"/>
  <c r="N138" i="3" s="1"/>
  <c r="O138" i="3" s="1"/>
  <c r="C138" i="3"/>
  <c r="AF137" i="3"/>
  <c r="AD137" i="3"/>
  <c r="AE137" i="3" s="1"/>
  <c r="AC137" i="3"/>
  <c r="AB137" i="3"/>
  <c r="V137" i="3"/>
  <c r="N137" i="3"/>
  <c r="O137" i="3" s="1"/>
  <c r="M137" i="3"/>
  <c r="P137" i="3" s="1"/>
  <c r="L137" i="3"/>
  <c r="C137" i="3"/>
  <c r="AF136" i="3"/>
  <c r="AC136" i="3"/>
  <c r="AB136" i="3"/>
  <c r="AD136" i="3" s="1"/>
  <c r="AE136" i="3" s="1"/>
  <c r="V136" i="3"/>
  <c r="M136" i="3"/>
  <c r="P136" i="3" s="1"/>
  <c r="L136" i="3"/>
  <c r="C136" i="3"/>
  <c r="AC135" i="3"/>
  <c r="AF135" i="3" s="1"/>
  <c r="AB135" i="3"/>
  <c r="V135" i="3"/>
  <c r="M135" i="3"/>
  <c r="L135" i="3"/>
  <c r="C135" i="3"/>
  <c r="AF134" i="3"/>
  <c r="AC134" i="3"/>
  <c r="AB134" i="3"/>
  <c r="AD134" i="3" s="1"/>
  <c r="AE134" i="3" s="1"/>
  <c r="V134" i="3"/>
  <c r="M134" i="3"/>
  <c r="L134" i="3"/>
  <c r="C134" i="3"/>
  <c r="AC133" i="3"/>
  <c r="AF133" i="3" s="1"/>
  <c r="AB133" i="3"/>
  <c r="AD133" i="3" s="1"/>
  <c r="AE133" i="3" s="1"/>
  <c r="V133" i="3"/>
  <c r="M133" i="3"/>
  <c r="P133" i="3" s="1"/>
  <c r="L133" i="3"/>
  <c r="C133" i="3"/>
  <c r="AC132" i="3"/>
  <c r="AF132" i="3" s="1"/>
  <c r="AB132" i="3"/>
  <c r="V132" i="3"/>
  <c r="N132" i="3"/>
  <c r="O132" i="3" s="1"/>
  <c r="M132" i="3"/>
  <c r="P132" i="3" s="1"/>
  <c r="L132" i="3"/>
  <c r="C132" i="3"/>
  <c r="AF131" i="3"/>
  <c r="AC131" i="3"/>
  <c r="AB131" i="3"/>
  <c r="AD131" i="3" s="1"/>
  <c r="AE131" i="3" s="1"/>
  <c r="V131" i="3"/>
  <c r="P131" i="3"/>
  <c r="N131" i="3"/>
  <c r="O131" i="3" s="1"/>
  <c r="M131" i="3"/>
  <c r="L131" i="3"/>
  <c r="C131" i="3"/>
  <c r="AC130" i="3"/>
  <c r="AF130" i="3" s="1"/>
  <c r="AB130" i="3"/>
  <c r="AD130" i="3" s="1"/>
  <c r="AE130" i="3" s="1"/>
  <c r="V130" i="3"/>
  <c r="N130" i="3"/>
  <c r="O130" i="3" s="1"/>
  <c r="M130" i="3"/>
  <c r="P130" i="3" s="1"/>
  <c r="L130" i="3"/>
  <c r="C130" i="3"/>
  <c r="AF129" i="3"/>
  <c r="AC129" i="3"/>
  <c r="AB129" i="3"/>
  <c r="AD129" i="3" s="1"/>
  <c r="AE129" i="3" s="1"/>
  <c r="V129" i="3"/>
  <c r="P129" i="3"/>
  <c r="N129" i="3"/>
  <c r="O129" i="3" s="1"/>
  <c r="M129" i="3"/>
  <c r="L129" i="3"/>
  <c r="C129" i="3"/>
  <c r="Q129" i="3" s="1"/>
  <c r="AC128" i="3"/>
  <c r="AF128" i="3" s="1"/>
  <c r="AB128" i="3"/>
  <c r="AD128" i="3" s="1"/>
  <c r="AE128" i="3" s="1"/>
  <c r="V128" i="3"/>
  <c r="N128" i="3"/>
  <c r="O128" i="3" s="1"/>
  <c r="M128" i="3"/>
  <c r="P128" i="3" s="1"/>
  <c r="L128" i="3"/>
  <c r="C128" i="3"/>
  <c r="AC127" i="3"/>
  <c r="AF127" i="3" s="1"/>
  <c r="AB127" i="3"/>
  <c r="V127" i="3"/>
  <c r="M127" i="3"/>
  <c r="P127" i="3" s="1"/>
  <c r="L127" i="3"/>
  <c r="C127" i="3"/>
  <c r="AF126" i="3"/>
  <c r="AD126" i="3"/>
  <c r="AE126" i="3" s="1"/>
  <c r="AC126" i="3"/>
  <c r="AB126" i="3"/>
  <c r="V126" i="3"/>
  <c r="M126" i="3"/>
  <c r="P126" i="3" s="1"/>
  <c r="L126" i="3"/>
  <c r="C126" i="3"/>
  <c r="AC125" i="3"/>
  <c r="AF125" i="3" s="1"/>
  <c r="AB125" i="3"/>
  <c r="AD125" i="3" s="1"/>
  <c r="AE125" i="3" s="1"/>
  <c r="AG125" i="3" s="1"/>
  <c r="AM125" i="3" s="1"/>
  <c r="V125" i="3"/>
  <c r="M125" i="3"/>
  <c r="P125" i="3" s="1"/>
  <c r="L125" i="3"/>
  <c r="N125" i="3" s="1"/>
  <c r="O125" i="3" s="1"/>
  <c r="C125" i="3"/>
  <c r="AC124" i="3"/>
  <c r="AF124" i="3" s="1"/>
  <c r="AB124" i="3"/>
  <c r="V124" i="3"/>
  <c r="M124" i="3"/>
  <c r="P124" i="3" s="1"/>
  <c r="L124" i="3"/>
  <c r="N124" i="3" s="1"/>
  <c r="O124" i="3" s="1"/>
  <c r="C124" i="3"/>
  <c r="AF123" i="3"/>
  <c r="AC123" i="3"/>
  <c r="AB123" i="3"/>
  <c r="AD123" i="3" s="1"/>
  <c r="AE123" i="3" s="1"/>
  <c r="V123" i="3"/>
  <c r="M123" i="3"/>
  <c r="P123" i="3" s="1"/>
  <c r="L123" i="3"/>
  <c r="N123" i="3" s="1"/>
  <c r="O123" i="3" s="1"/>
  <c r="C123" i="3"/>
  <c r="AF122" i="3"/>
  <c r="AC122" i="3"/>
  <c r="AB122" i="3"/>
  <c r="AD122" i="3" s="1"/>
  <c r="AE122" i="3" s="1"/>
  <c r="V122" i="3"/>
  <c r="N122" i="3"/>
  <c r="O122" i="3" s="1"/>
  <c r="M122" i="3"/>
  <c r="P122" i="3" s="1"/>
  <c r="L122" i="3"/>
  <c r="C122" i="3"/>
  <c r="AF121" i="3"/>
  <c r="AD121" i="3"/>
  <c r="AE121" i="3" s="1"/>
  <c r="AC121" i="3"/>
  <c r="AB121" i="3"/>
  <c r="V121" i="3"/>
  <c r="M121" i="3"/>
  <c r="P121" i="3" s="1"/>
  <c r="L121" i="3"/>
  <c r="C121" i="3"/>
  <c r="AC120" i="3"/>
  <c r="AF120" i="3" s="1"/>
  <c r="AB120" i="3"/>
  <c r="AD120" i="3" s="1"/>
  <c r="AE120" i="3" s="1"/>
  <c r="V120" i="3"/>
  <c r="P120" i="3"/>
  <c r="M120" i="3"/>
  <c r="L120" i="3"/>
  <c r="C120" i="3"/>
  <c r="AC119" i="3"/>
  <c r="AF119" i="3" s="1"/>
  <c r="AB119" i="3"/>
  <c r="AD119" i="3" s="1"/>
  <c r="AE119" i="3" s="1"/>
  <c r="V119" i="3"/>
  <c r="N119" i="3"/>
  <c r="O119" i="3" s="1"/>
  <c r="M119" i="3"/>
  <c r="P119" i="3" s="1"/>
  <c r="L119" i="3"/>
  <c r="C119" i="3"/>
  <c r="AF118" i="3"/>
  <c r="AD118" i="3"/>
  <c r="AE118" i="3" s="1"/>
  <c r="AC118" i="3"/>
  <c r="AB118" i="3"/>
  <c r="V118" i="3"/>
  <c r="M118" i="3"/>
  <c r="P118" i="3" s="1"/>
  <c r="L118" i="3"/>
  <c r="C118" i="3"/>
  <c r="AC117" i="3"/>
  <c r="AF117" i="3" s="1"/>
  <c r="AB117" i="3"/>
  <c r="V117" i="3"/>
  <c r="M117" i="3"/>
  <c r="L117" i="3"/>
  <c r="C117" i="3"/>
  <c r="AC116" i="3"/>
  <c r="AF116" i="3" s="1"/>
  <c r="AB116" i="3"/>
  <c r="AD116" i="3" s="1"/>
  <c r="AE116" i="3" s="1"/>
  <c r="V116" i="3"/>
  <c r="P116" i="3"/>
  <c r="M116" i="3"/>
  <c r="L116" i="3"/>
  <c r="N116" i="3" s="1"/>
  <c r="O116" i="3" s="1"/>
  <c r="C116" i="3"/>
  <c r="AC115" i="3"/>
  <c r="AF115" i="3" s="1"/>
  <c r="AB115" i="3"/>
  <c r="AD115" i="3" s="1"/>
  <c r="AE115" i="3" s="1"/>
  <c r="V115" i="3"/>
  <c r="P115" i="3"/>
  <c r="M115" i="3"/>
  <c r="L115" i="3"/>
  <c r="N115" i="3" s="1"/>
  <c r="O115" i="3" s="1"/>
  <c r="C115" i="3"/>
  <c r="AF114" i="3"/>
  <c r="AD114" i="3"/>
  <c r="AE114" i="3" s="1"/>
  <c r="AC114" i="3"/>
  <c r="AB114" i="3"/>
  <c r="V114" i="3"/>
  <c r="M114" i="3"/>
  <c r="P114" i="3" s="1"/>
  <c r="L114" i="3"/>
  <c r="C114" i="3"/>
  <c r="AC113" i="3"/>
  <c r="AF113" i="3" s="1"/>
  <c r="AB113" i="3"/>
  <c r="V113" i="3"/>
  <c r="M113" i="3"/>
  <c r="P113" i="3" s="1"/>
  <c r="L113" i="3"/>
  <c r="C113" i="3"/>
  <c r="AC112" i="3"/>
  <c r="AF112" i="3" s="1"/>
  <c r="AB112" i="3"/>
  <c r="AD112" i="3" s="1"/>
  <c r="AE112" i="3" s="1"/>
  <c r="V112" i="3"/>
  <c r="M112" i="3"/>
  <c r="P112" i="3" s="1"/>
  <c r="L112" i="3"/>
  <c r="C112" i="3"/>
  <c r="AC111" i="3"/>
  <c r="AF111" i="3" s="1"/>
  <c r="AB111" i="3"/>
  <c r="AD111" i="3" s="1"/>
  <c r="AE111" i="3" s="1"/>
  <c r="V111" i="3"/>
  <c r="M111" i="3"/>
  <c r="P111" i="3" s="1"/>
  <c r="L111" i="3"/>
  <c r="N111" i="3" s="1"/>
  <c r="O111" i="3" s="1"/>
  <c r="C111" i="3"/>
  <c r="AF110" i="3"/>
  <c r="AD110" i="3"/>
  <c r="AE110" i="3" s="1"/>
  <c r="AC110" i="3"/>
  <c r="AB110" i="3"/>
  <c r="V110" i="3"/>
  <c r="M110" i="3"/>
  <c r="P110" i="3" s="1"/>
  <c r="L110" i="3"/>
  <c r="C110" i="3"/>
  <c r="AC109" i="3"/>
  <c r="AF109" i="3" s="1"/>
  <c r="AB109" i="3"/>
  <c r="V109" i="3"/>
  <c r="M109" i="3"/>
  <c r="L109" i="3"/>
  <c r="C109" i="3"/>
  <c r="AC108" i="3"/>
  <c r="AF108" i="3" s="1"/>
  <c r="AB108" i="3"/>
  <c r="AD108" i="3" s="1"/>
  <c r="AE108" i="3" s="1"/>
  <c r="V108" i="3"/>
  <c r="M108" i="3"/>
  <c r="P108" i="3" s="1"/>
  <c r="L108" i="3"/>
  <c r="C108" i="3"/>
  <c r="AE107" i="3"/>
  <c r="AC107" i="3"/>
  <c r="AF107" i="3" s="1"/>
  <c r="AB107" i="3"/>
  <c r="AD107" i="3" s="1"/>
  <c r="V107" i="3"/>
  <c r="P107" i="3"/>
  <c r="N107" i="3"/>
  <c r="O107" i="3" s="1"/>
  <c r="M107" i="3"/>
  <c r="L107" i="3"/>
  <c r="C107" i="3"/>
  <c r="AF106" i="3"/>
  <c r="AD106" i="3"/>
  <c r="AE106" i="3" s="1"/>
  <c r="AC106" i="3"/>
  <c r="AB106" i="3"/>
  <c r="V106" i="3"/>
  <c r="M106" i="3"/>
  <c r="P106" i="3" s="1"/>
  <c r="L106" i="3"/>
  <c r="C106" i="3"/>
  <c r="AC105" i="3"/>
  <c r="AF105" i="3" s="1"/>
  <c r="AB105" i="3"/>
  <c r="V105" i="3"/>
  <c r="M105" i="3"/>
  <c r="N105" i="3" s="1"/>
  <c r="O105" i="3" s="1"/>
  <c r="L105" i="3"/>
  <c r="C105" i="3"/>
  <c r="AC104" i="3"/>
  <c r="AF104" i="3" s="1"/>
  <c r="AB104" i="3"/>
  <c r="AD104" i="3" s="1"/>
  <c r="AE104" i="3" s="1"/>
  <c r="V104" i="3"/>
  <c r="M104" i="3"/>
  <c r="P104" i="3" s="1"/>
  <c r="L104" i="3"/>
  <c r="N104" i="3" s="1"/>
  <c r="O104" i="3" s="1"/>
  <c r="C104" i="3"/>
  <c r="AC103" i="3"/>
  <c r="AF103" i="3" s="1"/>
  <c r="AB103" i="3"/>
  <c r="AD103" i="3" s="1"/>
  <c r="AE103" i="3" s="1"/>
  <c r="AG103" i="3" s="1"/>
  <c r="AM103" i="3" s="1"/>
  <c r="V103" i="3"/>
  <c r="M103" i="3"/>
  <c r="P103" i="3" s="1"/>
  <c r="L103" i="3"/>
  <c r="C103" i="3"/>
  <c r="AF102" i="3"/>
  <c r="AD102" i="3"/>
  <c r="AE102" i="3" s="1"/>
  <c r="AC102" i="3"/>
  <c r="AB102" i="3"/>
  <c r="V102" i="3"/>
  <c r="M102" i="3"/>
  <c r="P102" i="3" s="1"/>
  <c r="L102" i="3"/>
  <c r="C102" i="3"/>
  <c r="AC101" i="3"/>
  <c r="AF101" i="3" s="1"/>
  <c r="AB101" i="3"/>
  <c r="V101" i="3"/>
  <c r="M101" i="3"/>
  <c r="P101" i="3" s="1"/>
  <c r="L101" i="3"/>
  <c r="N101" i="3" s="1"/>
  <c r="O101" i="3" s="1"/>
  <c r="C101" i="3"/>
  <c r="AC100" i="3"/>
  <c r="AF100" i="3" s="1"/>
  <c r="AB100" i="3"/>
  <c r="AD100" i="3" s="1"/>
  <c r="AE100" i="3" s="1"/>
  <c r="V100" i="3"/>
  <c r="P100" i="3"/>
  <c r="O100" i="3"/>
  <c r="M100" i="3"/>
  <c r="L100" i="3"/>
  <c r="N100" i="3" s="1"/>
  <c r="C100" i="3"/>
  <c r="AE99" i="3"/>
  <c r="AC99" i="3"/>
  <c r="AF99" i="3" s="1"/>
  <c r="AB99" i="3"/>
  <c r="AD99" i="3" s="1"/>
  <c r="V99" i="3"/>
  <c r="P99" i="3"/>
  <c r="M99" i="3"/>
  <c r="L99" i="3"/>
  <c r="N99" i="3" s="1"/>
  <c r="O99" i="3" s="1"/>
  <c r="C99" i="3"/>
  <c r="AF98" i="3"/>
  <c r="AD98" i="3"/>
  <c r="AE98" i="3" s="1"/>
  <c r="AC98" i="3"/>
  <c r="AB98" i="3"/>
  <c r="V98" i="3"/>
  <c r="M98" i="3"/>
  <c r="P98" i="3" s="1"/>
  <c r="L98" i="3"/>
  <c r="C98" i="3"/>
  <c r="AC97" i="3"/>
  <c r="AF97" i="3" s="1"/>
  <c r="AB97" i="3"/>
  <c r="V97" i="3"/>
  <c r="P97" i="3"/>
  <c r="M97" i="3"/>
  <c r="L97" i="3"/>
  <c r="N97" i="3" s="1"/>
  <c r="O97" i="3" s="1"/>
  <c r="C97" i="3"/>
  <c r="AC96" i="3"/>
  <c r="AF96" i="3" s="1"/>
  <c r="AB96" i="3"/>
  <c r="AD96" i="3" s="1"/>
  <c r="AE96" i="3" s="1"/>
  <c r="V96" i="3"/>
  <c r="M96" i="3"/>
  <c r="P96" i="3" s="1"/>
  <c r="L96" i="3"/>
  <c r="C96" i="3"/>
  <c r="AC95" i="3"/>
  <c r="AF95" i="3" s="1"/>
  <c r="AB95" i="3"/>
  <c r="AD95" i="3" s="1"/>
  <c r="AE95" i="3" s="1"/>
  <c r="V95" i="3"/>
  <c r="M95" i="3"/>
  <c r="P95" i="3" s="1"/>
  <c r="L95" i="3"/>
  <c r="C95" i="3"/>
  <c r="AF94" i="3"/>
  <c r="AD94" i="3"/>
  <c r="AE94" i="3" s="1"/>
  <c r="AC94" i="3"/>
  <c r="AB94" i="3"/>
  <c r="V94" i="3"/>
  <c r="M94" i="3"/>
  <c r="P94" i="3" s="1"/>
  <c r="L94" i="3"/>
  <c r="C94" i="3"/>
  <c r="AC93" i="3"/>
  <c r="AF93" i="3" s="1"/>
  <c r="AB93" i="3"/>
  <c r="V93" i="3"/>
  <c r="M93" i="3"/>
  <c r="L93" i="3"/>
  <c r="C93" i="3"/>
  <c r="AC92" i="3"/>
  <c r="AF92" i="3" s="1"/>
  <c r="AB92" i="3"/>
  <c r="AD92" i="3" s="1"/>
  <c r="AE92" i="3" s="1"/>
  <c r="V92" i="3"/>
  <c r="P92" i="3"/>
  <c r="M92" i="3"/>
  <c r="L92" i="3"/>
  <c r="N92" i="3" s="1"/>
  <c r="O92" i="3" s="1"/>
  <c r="C92" i="3"/>
  <c r="AC91" i="3"/>
  <c r="AF91" i="3" s="1"/>
  <c r="AB91" i="3"/>
  <c r="AD91" i="3" s="1"/>
  <c r="AE91" i="3" s="1"/>
  <c r="V91" i="3"/>
  <c r="P91" i="3"/>
  <c r="M91" i="3"/>
  <c r="L91" i="3"/>
  <c r="N91" i="3" s="1"/>
  <c r="O91" i="3" s="1"/>
  <c r="Q91" i="3" s="1"/>
  <c r="C91" i="3"/>
  <c r="AF90" i="3"/>
  <c r="AD90" i="3"/>
  <c r="AE90" i="3" s="1"/>
  <c r="AC90" i="3"/>
  <c r="AB90" i="3"/>
  <c r="V90" i="3"/>
  <c r="M90" i="3"/>
  <c r="P90" i="3" s="1"/>
  <c r="L90" i="3"/>
  <c r="C90" i="3"/>
  <c r="AC89" i="3"/>
  <c r="AF89" i="3" s="1"/>
  <c r="AB89" i="3"/>
  <c r="V89" i="3"/>
  <c r="M89" i="3"/>
  <c r="P89" i="3" s="1"/>
  <c r="L89" i="3"/>
  <c r="C89" i="3"/>
  <c r="AC88" i="3"/>
  <c r="AF88" i="3" s="1"/>
  <c r="AB88" i="3"/>
  <c r="AD88" i="3" s="1"/>
  <c r="AE88" i="3" s="1"/>
  <c r="V88" i="3"/>
  <c r="M88" i="3"/>
  <c r="P88" i="3" s="1"/>
  <c r="L88" i="3"/>
  <c r="N88" i="3" s="1"/>
  <c r="O88" i="3" s="1"/>
  <c r="C88" i="3"/>
  <c r="AC87" i="3"/>
  <c r="AF87" i="3" s="1"/>
  <c r="AB87" i="3"/>
  <c r="AD87" i="3" s="1"/>
  <c r="AE87" i="3" s="1"/>
  <c r="V87" i="3"/>
  <c r="M87" i="3"/>
  <c r="P87" i="3" s="1"/>
  <c r="L87" i="3"/>
  <c r="C87" i="3"/>
  <c r="AF86" i="3"/>
  <c r="AD86" i="3"/>
  <c r="AE86" i="3" s="1"/>
  <c r="AC86" i="3"/>
  <c r="AB86" i="3"/>
  <c r="V86" i="3"/>
  <c r="M86" i="3"/>
  <c r="P86" i="3" s="1"/>
  <c r="L86" i="3"/>
  <c r="C86" i="3"/>
  <c r="AC85" i="3"/>
  <c r="AF85" i="3" s="1"/>
  <c r="AB85" i="3"/>
  <c r="V85" i="3"/>
  <c r="M85" i="3"/>
  <c r="L85" i="3"/>
  <c r="C85" i="3"/>
  <c r="AC84" i="3"/>
  <c r="AF84" i="3" s="1"/>
  <c r="AB84" i="3"/>
  <c r="AD84" i="3" s="1"/>
  <c r="AE84" i="3" s="1"/>
  <c r="V84" i="3"/>
  <c r="P84" i="3"/>
  <c r="M84" i="3"/>
  <c r="L84" i="3"/>
  <c r="C84" i="3"/>
  <c r="AE83" i="3"/>
  <c r="AC83" i="3"/>
  <c r="AF83" i="3" s="1"/>
  <c r="AB83" i="3"/>
  <c r="AD83" i="3" s="1"/>
  <c r="V83" i="3"/>
  <c r="P83" i="3"/>
  <c r="N83" i="3"/>
  <c r="O83" i="3" s="1"/>
  <c r="M83" i="3"/>
  <c r="L83" i="3"/>
  <c r="C83" i="3"/>
  <c r="AF82" i="3"/>
  <c r="AD82" i="3"/>
  <c r="AE82" i="3" s="1"/>
  <c r="AC82" i="3"/>
  <c r="AB82" i="3"/>
  <c r="V82" i="3"/>
  <c r="M82" i="3"/>
  <c r="P82" i="3" s="1"/>
  <c r="L82" i="3"/>
  <c r="C82" i="3"/>
  <c r="AC81" i="3"/>
  <c r="AF81" i="3" s="1"/>
  <c r="AB81" i="3"/>
  <c r="V81" i="3"/>
  <c r="P81" i="3"/>
  <c r="M81" i="3"/>
  <c r="N81" i="3" s="1"/>
  <c r="O81" i="3" s="1"/>
  <c r="L81" i="3"/>
  <c r="C81" i="3"/>
  <c r="AC80" i="3"/>
  <c r="AF80" i="3" s="1"/>
  <c r="AB80" i="3"/>
  <c r="AD80" i="3" s="1"/>
  <c r="AE80" i="3" s="1"/>
  <c r="V80" i="3"/>
  <c r="M80" i="3"/>
  <c r="P80" i="3" s="1"/>
  <c r="L80" i="3"/>
  <c r="C80" i="3"/>
  <c r="AC79" i="3"/>
  <c r="AF79" i="3" s="1"/>
  <c r="AB79" i="3"/>
  <c r="AD79" i="3" s="1"/>
  <c r="AE79" i="3" s="1"/>
  <c r="AG79" i="3" s="1"/>
  <c r="AM79" i="3" s="1"/>
  <c r="V79" i="3"/>
  <c r="M79" i="3"/>
  <c r="P79" i="3" s="1"/>
  <c r="L79" i="3"/>
  <c r="N79" i="3" s="1"/>
  <c r="O79" i="3" s="1"/>
  <c r="C79" i="3"/>
  <c r="AF78" i="3"/>
  <c r="AD78" i="3"/>
  <c r="AE78" i="3" s="1"/>
  <c r="AC78" i="3"/>
  <c r="AB78" i="3"/>
  <c r="V78" i="3"/>
  <c r="M78" i="3"/>
  <c r="P78" i="3" s="1"/>
  <c r="L78" i="3"/>
  <c r="N78" i="3" s="1"/>
  <c r="O78" i="3" s="1"/>
  <c r="C78" i="3"/>
  <c r="AC77" i="3"/>
  <c r="AF77" i="3" s="1"/>
  <c r="AB77" i="3"/>
  <c r="V77" i="3"/>
  <c r="M77" i="3"/>
  <c r="P77" i="3" s="1"/>
  <c r="L77" i="3"/>
  <c r="N77" i="3" s="1"/>
  <c r="O77" i="3" s="1"/>
  <c r="C77" i="3"/>
  <c r="AC76" i="3"/>
  <c r="AF76" i="3" s="1"/>
  <c r="AB76" i="3"/>
  <c r="AD76" i="3" s="1"/>
  <c r="AE76" i="3" s="1"/>
  <c r="V76" i="3"/>
  <c r="P76" i="3"/>
  <c r="O76" i="3"/>
  <c r="M76" i="3"/>
  <c r="L76" i="3"/>
  <c r="N76" i="3" s="1"/>
  <c r="C76" i="3"/>
  <c r="AE75" i="3"/>
  <c r="AC75" i="3"/>
  <c r="AF75" i="3" s="1"/>
  <c r="AB75" i="3"/>
  <c r="AD75" i="3" s="1"/>
  <c r="V75" i="3"/>
  <c r="P75" i="3"/>
  <c r="M75" i="3"/>
  <c r="L75" i="3"/>
  <c r="N75" i="3" s="1"/>
  <c r="O75" i="3" s="1"/>
  <c r="C75" i="3"/>
  <c r="AF74" i="3"/>
  <c r="AD74" i="3"/>
  <c r="AE74" i="3" s="1"/>
  <c r="AC74" i="3"/>
  <c r="AB74" i="3"/>
  <c r="V74" i="3"/>
  <c r="M74" i="3"/>
  <c r="P74" i="3" s="1"/>
  <c r="L74" i="3"/>
  <c r="C74" i="3"/>
  <c r="AC73" i="3"/>
  <c r="AF73" i="3" s="1"/>
  <c r="AB73" i="3"/>
  <c r="V73" i="3"/>
  <c r="P73" i="3"/>
  <c r="M73" i="3"/>
  <c r="L73" i="3"/>
  <c r="N73" i="3" s="1"/>
  <c r="O73" i="3" s="1"/>
  <c r="C73" i="3"/>
  <c r="AC72" i="3"/>
  <c r="AF72" i="3" s="1"/>
  <c r="AB72" i="3"/>
  <c r="AD72" i="3" s="1"/>
  <c r="AE72" i="3" s="1"/>
  <c r="V72" i="3"/>
  <c r="P72" i="3"/>
  <c r="M72" i="3"/>
  <c r="L72" i="3"/>
  <c r="C72" i="3"/>
  <c r="AC71" i="3"/>
  <c r="AF71" i="3" s="1"/>
  <c r="AB71" i="3"/>
  <c r="AD71" i="3" s="1"/>
  <c r="AE71" i="3" s="1"/>
  <c r="V71" i="3"/>
  <c r="N71" i="3"/>
  <c r="O71" i="3" s="1"/>
  <c r="M71" i="3"/>
  <c r="P71" i="3" s="1"/>
  <c r="L71" i="3"/>
  <c r="C71" i="3"/>
  <c r="AF70" i="3"/>
  <c r="AD70" i="3"/>
  <c r="AE70" i="3" s="1"/>
  <c r="AC70" i="3"/>
  <c r="AB70" i="3"/>
  <c r="V70" i="3"/>
  <c r="M70" i="3"/>
  <c r="P70" i="3" s="1"/>
  <c r="L70" i="3"/>
  <c r="C70" i="3"/>
  <c r="AC69" i="3"/>
  <c r="AF69" i="3" s="1"/>
  <c r="AB69" i="3"/>
  <c r="V69" i="3"/>
  <c r="M69" i="3"/>
  <c r="L69" i="3"/>
  <c r="C69" i="3"/>
  <c r="AC68" i="3"/>
  <c r="AF68" i="3" s="1"/>
  <c r="AB68" i="3"/>
  <c r="AD68" i="3" s="1"/>
  <c r="AE68" i="3" s="1"/>
  <c r="V68" i="3"/>
  <c r="P68" i="3"/>
  <c r="M68" i="3"/>
  <c r="L68" i="3"/>
  <c r="N68" i="3" s="1"/>
  <c r="O68" i="3" s="1"/>
  <c r="C68" i="3"/>
  <c r="AC67" i="3"/>
  <c r="AF67" i="3" s="1"/>
  <c r="AB67" i="3"/>
  <c r="AD67" i="3" s="1"/>
  <c r="AE67" i="3" s="1"/>
  <c r="V67" i="3"/>
  <c r="P67" i="3"/>
  <c r="M67" i="3"/>
  <c r="L67" i="3"/>
  <c r="N67" i="3" s="1"/>
  <c r="O67" i="3" s="1"/>
  <c r="C67" i="3"/>
  <c r="AF66" i="3"/>
  <c r="AD66" i="3"/>
  <c r="AE66" i="3" s="1"/>
  <c r="AC66" i="3"/>
  <c r="AB66" i="3"/>
  <c r="V66" i="3"/>
  <c r="M66" i="3"/>
  <c r="P66" i="3" s="1"/>
  <c r="L66" i="3"/>
  <c r="C66" i="3"/>
  <c r="AC65" i="3"/>
  <c r="AF65" i="3" s="1"/>
  <c r="AB65" i="3"/>
  <c r="V65" i="3"/>
  <c r="M65" i="3"/>
  <c r="P65" i="3" s="1"/>
  <c r="L65" i="3"/>
  <c r="C65" i="3"/>
  <c r="AC64" i="3"/>
  <c r="AF64" i="3" s="1"/>
  <c r="AB64" i="3"/>
  <c r="AD64" i="3" s="1"/>
  <c r="AE64" i="3" s="1"/>
  <c r="V64" i="3"/>
  <c r="M64" i="3"/>
  <c r="P64" i="3" s="1"/>
  <c r="L64" i="3"/>
  <c r="C64" i="3"/>
  <c r="AC63" i="3"/>
  <c r="AF63" i="3" s="1"/>
  <c r="AB63" i="3"/>
  <c r="AD63" i="3" s="1"/>
  <c r="AE63" i="3" s="1"/>
  <c r="V63" i="3"/>
  <c r="M63" i="3"/>
  <c r="P63" i="3" s="1"/>
  <c r="L63" i="3"/>
  <c r="N63" i="3" s="1"/>
  <c r="O63" i="3" s="1"/>
  <c r="C63" i="3"/>
  <c r="AF62" i="3"/>
  <c r="AD62" i="3"/>
  <c r="AE62" i="3" s="1"/>
  <c r="AC62" i="3"/>
  <c r="AB62" i="3"/>
  <c r="V62" i="3"/>
  <c r="M62" i="3"/>
  <c r="P62" i="3" s="1"/>
  <c r="L62" i="3"/>
  <c r="C62" i="3"/>
  <c r="AC61" i="3"/>
  <c r="AF61" i="3" s="1"/>
  <c r="AB61" i="3"/>
  <c r="V61" i="3"/>
  <c r="M61" i="3"/>
  <c r="P61" i="3" s="1"/>
  <c r="L61" i="3"/>
  <c r="C61" i="3"/>
  <c r="AC60" i="3"/>
  <c r="AF60" i="3" s="1"/>
  <c r="AB60" i="3"/>
  <c r="AD60" i="3" s="1"/>
  <c r="AE60" i="3" s="1"/>
  <c r="V60" i="3"/>
  <c r="M60" i="3"/>
  <c r="P60" i="3" s="1"/>
  <c r="L60" i="3"/>
  <c r="C60" i="3"/>
  <c r="AE59" i="3"/>
  <c r="AC59" i="3"/>
  <c r="AF59" i="3" s="1"/>
  <c r="AB59" i="3"/>
  <c r="AD59" i="3" s="1"/>
  <c r="V59" i="3"/>
  <c r="P59" i="3"/>
  <c r="N59" i="3"/>
  <c r="O59" i="3" s="1"/>
  <c r="M59" i="3"/>
  <c r="L59" i="3"/>
  <c r="C59" i="3"/>
  <c r="AF58" i="3"/>
  <c r="AD58" i="3"/>
  <c r="AE58" i="3" s="1"/>
  <c r="AC58" i="3"/>
  <c r="AB58" i="3"/>
  <c r="V58" i="3"/>
  <c r="M58" i="3"/>
  <c r="P58" i="3" s="1"/>
  <c r="L58" i="3"/>
  <c r="C58" i="3"/>
  <c r="AC57" i="3"/>
  <c r="AF57" i="3" s="1"/>
  <c r="AB57" i="3"/>
  <c r="V57" i="3"/>
  <c r="M57" i="3"/>
  <c r="N57" i="3" s="1"/>
  <c r="O57" i="3" s="1"/>
  <c r="L57" i="3"/>
  <c r="C57" i="3"/>
  <c r="AC56" i="3"/>
  <c r="AF56" i="3" s="1"/>
  <c r="AB56" i="3"/>
  <c r="AD56" i="3" s="1"/>
  <c r="AE56" i="3" s="1"/>
  <c r="V56" i="3"/>
  <c r="M56" i="3"/>
  <c r="P56" i="3" s="1"/>
  <c r="L56" i="3"/>
  <c r="N56" i="3" s="1"/>
  <c r="O56" i="3" s="1"/>
  <c r="C56" i="3"/>
  <c r="AC55" i="3"/>
  <c r="AF55" i="3" s="1"/>
  <c r="AB55" i="3"/>
  <c r="AD55" i="3" s="1"/>
  <c r="AE55" i="3" s="1"/>
  <c r="V55" i="3"/>
  <c r="M55" i="3"/>
  <c r="P55" i="3" s="1"/>
  <c r="L55" i="3"/>
  <c r="C55" i="3"/>
  <c r="AF54" i="3"/>
  <c r="AD54" i="3"/>
  <c r="AE54" i="3" s="1"/>
  <c r="AC54" i="3"/>
  <c r="AB54" i="3"/>
  <c r="V54" i="3"/>
  <c r="M54" i="3"/>
  <c r="P54" i="3" s="1"/>
  <c r="L54" i="3"/>
  <c r="C54" i="3"/>
  <c r="AC53" i="3"/>
  <c r="AF53" i="3" s="1"/>
  <c r="AB53" i="3"/>
  <c r="V53" i="3"/>
  <c r="M53" i="3"/>
  <c r="P53" i="3" s="1"/>
  <c r="L53" i="3"/>
  <c r="N53" i="3" s="1"/>
  <c r="O53" i="3" s="1"/>
  <c r="C53" i="3"/>
  <c r="AC52" i="3"/>
  <c r="AF52" i="3" s="1"/>
  <c r="AB52" i="3"/>
  <c r="AD52" i="3" s="1"/>
  <c r="AE52" i="3" s="1"/>
  <c r="V52" i="3"/>
  <c r="M52" i="3"/>
  <c r="P52" i="3" s="1"/>
  <c r="L52" i="3"/>
  <c r="N52" i="3" s="1"/>
  <c r="O52" i="3" s="1"/>
  <c r="C52" i="3"/>
  <c r="AC51" i="3"/>
  <c r="AF51" i="3" s="1"/>
  <c r="AB51" i="3"/>
  <c r="AD51" i="3" s="1"/>
  <c r="AE51" i="3" s="1"/>
  <c r="V51" i="3"/>
  <c r="P51" i="3"/>
  <c r="M51" i="3"/>
  <c r="L51" i="3"/>
  <c r="N51" i="3" s="1"/>
  <c r="O51" i="3" s="1"/>
  <c r="C51" i="3"/>
  <c r="AF50" i="3"/>
  <c r="AD50" i="3"/>
  <c r="AE50" i="3" s="1"/>
  <c r="AC50" i="3"/>
  <c r="AB50" i="3"/>
  <c r="V50" i="3"/>
  <c r="M50" i="3"/>
  <c r="P50" i="3" s="1"/>
  <c r="L50" i="3"/>
  <c r="N50" i="3" s="1"/>
  <c r="O50" i="3" s="1"/>
  <c r="C50" i="3"/>
  <c r="AC49" i="3"/>
  <c r="AF49" i="3" s="1"/>
  <c r="AB49" i="3"/>
  <c r="V49" i="3"/>
  <c r="M49" i="3"/>
  <c r="P49" i="3" s="1"/>
  <c r="L49" i="3"/>
  <c r="C49" i="3"/>
  <c r="AC48" i="3"/>
  <c r="AF48" i="3" s="1"/>
  <c r="AB48" i="3"/>
  <c r="AD48" i="3" s="1"/>
  <c r="AE48" i="3" s="1"/>
  <c r="V48" i="3"/>
  <c r="M48" i="3"/>
  <c r="P48" i="3" s="1"/>
  <c r="L48" i="3"/>
  <c r="N48" i="3" s="1"/>
  <c r="O48" i="3" s="1"/>
  <c r="C48" i="3"/>
  <c r="AC47" i="3"/>
  <c r="AF47" i="3" s="1"/>
  <c r="AB47" i="3"/>
  <c r="V47" i="3"/>
  <c r="M47" i="3"/>
  <c r="P47" i="3" s="1"/>
  <c r="L47" i="3"/>
  <c r="C47" i="3"/>
  <c r="AF46" i="3"/>
  <c r="AD46" i="3"/>
  <c r="AE46" i="3" s="1"/>
  <c r="AC46" i="3"/>
  <c r="AB46" i="3"/>
  <c r="V46" i="3"/>
  <c r="M46" i="3"/>
  <c r="P46" i="3" s="1"/>
  <c r="L46" i="3"/>
  <c r="C46" i="3"/>
  <c r="AC45" i="3"/>
  <c r="AF45" i="3" s="1"/>
  <c r="AB45" i="3"/>
  <c r="V45" i="3"/>
  <c r="M45" i="3"/>
  <c r="P45" i="3" s="1"/>
  <c r="L45" i="3"/>
  <c r="N45" i="3" s="1"/>
  <c r="O45" i="3" s="1"/>
  <c r="C45" i="3"/>
  <c r="AC44" i="3"/>
  <c r="AF44" i="3" s="1"/>
  <c r="AB44" i="3"/>
  <c r="AD44" i="3" s="1"/>
  <c r="AE44" i="3" s="1"/>
  <c r="V44" i="3"/>
  <c r="P44" i="3"/>
  <c r="M44" i="3"/>
  <c r="L44" i="3"/>
  <c r="N44" i="3" s="1"/>
  <c r="O44" i="3" s="1"/>
  <c r="C44" i="3"/>
  <c r="AD43" i="3"/>
  <c r="AE43" i="3" s="1"/>
  <c r="AC43" i="3"/>
  <c r="AF43" i="3" s="1"/>
  <c r="AB43" i="3"/>
  <c r="V43" i="3"/>
  <c r="M43" i="3"/>
  <c r="P43" i="3" s="1"/>
  <c r="L43" i="3"/>
  <c r="C43" i="3"/>
  <c r="AF42" i="3"/>
  <c r="AE42" i="3"/>
  <c r="AD42" i="3"/>
  <c r="AC42" i="3"/>
  <c r="AB42" i="3"/>
  <c r="V42" i="3"/>
  <c r="M42" i="3"/>
  <c r="P42" i="3" s="1"/>
  <c r="L42" i="3"/>
  <c r="C42" i="3"/>
  <c r="AC41" i="3"/>
  <c r="AF41" i="3" s="1"/>
  <c r="AB41" i="3"/>
  <c r="V41" i="3"/>
  <c r="M41" i="3"/>
  <c r="P41" i="3" s="1"/>
  <c r="L41" i="3"/>
  <c r="C41" i="3"/>
  <c r="AC40" i="3"/>
  <c r="AF40" i="3" s="1"/>
  <c r="AB40" i="3"/>
  <c r="AD40" i="3" s="1"/>
  <c r="AE40" i="3" s="1"/>
  <c r="V40" i="3"/>
  <c r="P40" i="3"/>
  <c r="M40" i="3"/>
  <c r="L40" i="3"/>
  <c r="N40" i="3" s="1"/>
  <c r="O40" i="3" s="1"/>
  <c r="C40" i="3"/>
  <c r="AC39" i="3"/>
  <c r="AF39" i="3" s="1"/>
  <c r="AB39" i="3"/>
  <c r="AD39" i="3" s="1"/>
  <c r="AE39" i="3" s="1"/>
  <c r="V39" i="3"/>
  <c r="P39" i="3"/>
  <c r="M39" i="3"/>
  <c r="L39" i="3"/>
  <c r="N39" i="3" s="1"/>
  <c r="O39" i="3" s="1"/>
  <c r="C39" i="3"/>
  <c r="AF38" i="3"/>
  <c r="AD38" i="3"/>
  <c r="AE38" i="3" s="1"/>
  <c r="AC38" i="3"/>
  <c r="AB38" i="3"/>
  <c r="V38" i="3"/>
  <c r="M38" i="3"/>
  <c r="P38" i="3" s="1"/>
  <c r="L38" i="3"/>
  <c r="C38" i="3"/>
  <c r="AC37" i="3"/>
  <c r="AF37" i="3" s="1"/>
  <c r="AB37" i="3"/>
  <c r="V37" i="3"/>
  <c r="P37" i="3"/>
  <c r="M37" i="3"/>
  <c r="L37" i="3"/>
  <c r="N37" i="3" s="1"/>
  <c r="O37" i="3" s="1"/>
  <c r="C37" i="3"/>
  <c r="AC36" i="3"/>
  <c r="AF36" i="3" s="1"/>
  <c r="AB36" i="3"/>
  <c r="AD36" i="3" s="1"/>
  <c r="AE36" i="3" s="1"/>
  <c r="V36" i="3"/>
  <c r="P36" i="3"/>
  <c r="M36" i="3"/>
  <c r="L36" i="3"/>
  <c r="N36" i="3" s="1"/>
  <c r="O36" i="3" s="1"/>
  <c r="C36" i="3"/>
  <c r="AC35" i="3"/>
  <c r="AF35" i="3" s="1"/>
  <c r="AB35" i="3"/>
  <c r="AD35" i="3" s="1"/>
  <c r="AE35" i="3" s="1"/>
  <c r="V35" i="3"/>
  <c r="P35" i="3"/>
  <c r="N35" i="3"/>
  <c r="O35" i="3" s="1"/>
  <c r="M35" i="3"/>
  <c r="L35" i="3"/>
  <c r="C35" i="3"/>
  <c r="AF34" i="3"/>
  <c r="AE34" i="3"/>
  <c r="AD34" i="3"/>
  <c r="AC34" i="3"/>
  <c r="AB34" i="3"/>
  <c r="V34" i="3"/>
  <c r="AG34" i="3" s="1"/>
  <c r="AM34" i="3" s="1"/>
  <c r="M34" i="3"/>
  <c r="P34" i="3" s="1"/>
  <c r="L34" i="3"/>
  <c r="N34" i="3" s="1"/>
  <c r="O34" i="3" s="1"/>
  <c r="C34" i="3"/>
  <c r="AC33" i="3"/>
  <c r="AF33" i="3" s="1"/>
  <c r="AB33" i="3"/>
  <c r="V33" i="3"/>
  <c r="M33" i="3"/>
  <c r="P33" i="3" s="1"/>
  <c r="L33" i="3"/>
  <c r="C33" i="3"/>
  <c r="AC32" i="3"/>
  <c r="AF32" i="3" s="1"/>
  <c r="AB32" i="3"/>
  <c r="AD32" i="3" s="1"/>
  <c r="AE32" i="3" s="1"/>
  <c r="V32" i="3"/>
  <c r="M32" i="3"/>
  <c r="P32" i="3" s="1"/>
  <c r="L32" i="3"/>
  <c r="C32" i="3"/>
  <c r="AC31" i="3"/>
  <c r="AF31" i="3" s="1"/>
  <c r="AB31" i="3"/>
  <c r="V31" i="3"/>
  <c r="M31" i="3"/>
  <c r="P31" i="3" s="1"/>
  <c r="L31" i="3"/>
  <c r="N31" i="3" s="1"/>
  <c r="O31" i="3" s="1"/>
  <c r="C31" i="3"/>
  <c r="AF30" i="3"/>
  <c r="AD30" i="3"/>
  <c r="AE30" i="3" s="1"/>
  <c r="AC30" i="3"/>
  <c r="AB30" i="3"/>
  <c r="V30" i="3"/>
  <c r="M30" i="3"/>
  <c r="P30" i="3" s="1"/>
  <c r="L30" i="3"/>
  <c r="C30" i="3"/>
  <c r="AC29" i="3"/>
  <c r="AF29" i="3" s="1"/>
  <c r="AB29" i="3"/>
  <c r="V29" i="3"/>
  <c r="M29" i="3"/>
  <c r="P29" i="3" s="1"/>
  <c r="L29" i="3"/>
  <c r="N29" i="3" s="1"/>
  <c r="O29" i="3" s="1"/>
  <c r="C29" i="3"/>
  <c r="AC28" i="3"/>
  <c r="AF28" i="3" s="1"/>
  <c r="AB28" i="3"/>
  <c r="AD28" i="3" s="1"/>
  <c r="AE28" i="3" s="1"/>
  <c r="V28" i="3"/>
  <c r="P28" i="3"/>
  <c r="O28" i="3"/>
  <c r="M28" i="3"/>
  <c r="L28" i="3"/>
  <c r="N28" i="3" s="1"/>
  <c r="C28" i="3"/>
  <c r="AD27" i="3"/>
  <c r="AE27" i="3" s="1"/>
  <c r="AC27" i="3"/>
  <c r="AF27" i="3" s="1"/>
  <c r="AB27" i="3"/>
  <c r="V27" i="3"/>
  <c r="P27" i="3"/>
  <c r="M27" i="3"/>
  <c r="L27" i="3"/>
  <c r="N27" i="3" s="1"/>
  <c r="O27" i="3" s="1"/>
  <c r="C27" i="3"/>
  <c r="AF26" i="3"/>
  <c r="AE26" i="3"/>
  <c r="AD26" i="3"/>
  <c r="AC26" i="3"/>
  <c r="AB26" i="3"/>
  <c r="V26" i="3"/>
  <c r="M26" i="3"/>
  <c r="P26" i="3" s="1"/>
  <c r="L26" i="3"/>
  <c r="N26" i="3" s="1"/>
  <c r="O26" i="3" s="1"/>
  <c r="C26" i="3"/>
  <c r="AC25" i="3"/>
  <c r="AF25" i="3" s="1"/>
  <c r="AB25" i="3"/>
  <c r="V25" i="3"/>
  <c r="M25" i="3"/>
  <c r="P25" i="3" s="1"/>
  <c r="L25" i="3"/>
  <c r="N25" i="3" s="1"/>
  <c r="O25" i="3" s="1"/>
  <c r="C25" i="3"/>
  <c r="AC24" i="3"/>
  <c r="AF24" i="3" s="1"/>
  <c r="AB24" i="3"/>
  <c r="AD24" i="3" s="1"/>
  <c r="AE24" i="3" s="1"/>
  <c r="AG24" i="3" s="1"/>
  <c r="AM24" i="3" s="1"/>
  <c r="V24" i="3"/>
  <c r="P24" i="3"/>
  <c r="O24" i="3"/>
  <c r="M24" i="3"/>
  <c r="L24" i="3"/>
  <c r="N24" i="3" s="1"/>
  <c r="C24" i="3"/>
  <c r="AC23" i="3"/>
  <c r="AF23" i="3" s="1"/>
  <c r="AB23" i="3"/>
  <c r="AD23" i="3" s="1"/>
  <c r="AE23" i="3" s="1"/>
  <c r="AG23" i="3" s="1"/>
  <c r="AM23" i="3" s="1"/>
  <c r="V23" i="3"/>
  <c r="P23" i="3"/>
  <c r="N23" i="3"/>
  <c r="O23" i="3" s="1"/>
  <c r="M23" i="3"/>
  <c r="L23" i="3"/>
  <c r="C23" i="3"/>
  <c r="AF22" i="3"/>
  <c r="AD22" i="3"/>
  <c r="AE22" i="3" s="1"/>
  <c r="AG22" i="3" s="1"/>
  <c r="AM22" i="3" s="1"/>
  <c r="AC22" i="3"/>
  <c r="AB22" i="3"/>
  <c r="V22" i="3"/>
  <c r="M22" i="3"/>
  <c r="P22" i="3" s="1"/>
  <c r="L22" i="3"/>
  <c r="N22" i="3" s="1"/>
  <c r="O22" i="3" s="1"/>
  <c r="C22" i="3"/>
  <c r="AC21" i="3"/>
  <c r="AF21" i="3" s="1"/>
  <c r="AB21" i="3"/>
  <c r="V21" i="3"/>
  <c r="M21" i="3"/>
  <c r="P21" i="3" s="1"/>
  <c r="L21" i="3"/>
  <c r="N21" i="3" s="1"/>
  <c r="O21" i="3" s="1"/>
  <c r="C21" i="3"/>
  <c r="AC20" i="3"/>
  <c r="AF20" i="3" s="1"/>
  <c r="AB20" i="3"/>
  <c r="AD20" i="3" s="1"/>
  <c r="AE20" i="3" s="1"/>
  <c r="V20" i="3"/>
  <c r="M20" i="3"/>
  <c r="P20" i="3" s="1"/>
  <c r="L20" i="3"/>
  <c r="N20" i="3" s="1"/>
  <c r="O20" i="3" s="1"/>
  <c r="C20" i="3"/>
  <c r="AC19" i="3"/>
  <c r="AF19" i="3" s="1"/>
  <c r="AB19" i="3"/>
  <c r="AD19" i="3" s="1"/>
  <c r="AE19" i="3" s="1"/>
  <c r="V19" i="3"/>
  <c r="P19" i="3"/>
  <c r="M19" i="3"/>
  <c r="L19" i="3"/>
  <c r="N19" i="3" s="1"/>
  <c r="O19" i="3" s="1"/>
  <c r="Q19" i="3" s="1"/>
  <c r="C19" i="3"/>
  <c r="AF18" i="3"/>
  <c r="AD18" i="3"/>
  <c r="AE18" i="3" s="1"/>
  <c r="AC18" i="3"/>
  <c r="AB18" i="3"/>
  <c r="V18" i="3"/>
  <c r="M18" i="3"/>
  <c r="P18" i="3" s="1"/>
  <c r="L18" i="3"/>
  <c r="N18" i="3" s="1"/>
  <c r="O18" i="3" s="1"/>
  <c r="C18" i="3"/>
  <c r="AC17" i="3"/>
  <c r="AF17" i="3" s="1"/>
  <c r="AB17" i="3"/>
  <c r="V17" i="3"/>
  <c r="P17" i="3"/>
  <c r="M17" i="3"/>
  <c r="L17" i="3"/>
  <c r="N17" i="3" s="1"/>
  <c r="O17" i="3" s="1"/>
  <c r="C17" i="3"/>
  <c r="AC16" i="3"/>
  <c r="AF16" i="3" s="1"/>
  <c r="AB16" i="3"/>
  <c r="AD16" i="3" s="1"/>
  <c r="AE16" i="3" s="1"/>
  <c r="V16" i="3"/>
  <c r="P16" i="3"/>
  <c r="M16" i="3"/>
  <c r="L16" i="3"/>
  <c r="C16" i="3"/>
  <c r="AC15" i="3"/>
  <c r="AF15" i="3" s="1"/>
  <c r="AB15" i="3"/>
  <c r="AD15" i="3" s="1"/>
  <c r="AE15" i="3" s="1"/>
  <c r="V15" i="3"/>
  <c r="M15" i="3"/>
  <c r="P15" i="3" s="1"/>
  <c r="L15" i="3"/>
  <c r="C15" i="3"/>
  <c r="AF14" i="3"/>
  <c r="AD14" i="3"/>
  <c r="AE14" i="3" s="1"/>
  <c r="AC14" i="3"/>
  <c r="AB14" i="3"/>
  <c r="V14" i="3"/>
  <c r="M14" i="3"/>
  <c r="P14" i="3" s="1"/>
  <c r="L14" i="3"/>
  <c r="C14" i="3"/>
  <c r="AC13" i="3"/>
  <c r="AF13" i="3" s="1"/>
  <c r="AB13" i="3"/>
  <c r="V13" i="3"/>
  <c r="M13" i="3"/>
  <c r="P13" i="3" s="1"/>
  <c r="L13" i="3"/>
  <c r="N13" i="3" s="1"/>
  <c r="O13" i="3" s="1"/>
  <c r="C13" i="3"/>
  <c r="AC12" i="3"/>
  <c r="AF12" i="3" s="1"/>
  <c r="AB12" i="3"/>
  <c r="AD12" i="3" s="1"/>
  <c r="AE12" i="3" s="1"/>
  <c r="V12" i="3"/>
  <c r="P12" i="3"/>
  <c r="M12" i="3"/>
  <c r="L12" i="3"/>
  <c r="N12" i="3" s="1"/>
  <c r="O12" i="3" s="1"/>
  <c r="C12" i="3"/>
  <c r="AC11" i="3"/>
  <c r="AF11" i="3" s="1"/>
  <c r="AB11" i="3"/>
  <c r="AD11" i="3" s="1"/>
  <c r="AE11" i="3" s="1"/>
  <c r="AG11" i="3" s="1"/>
  <c r="AM11" i="3" s="1"/>
  <c r="V11" i="3"/>
  <c r="P11" i="3"/>
  <c r="N11" i="3"/>
  <c r="O11" i="3" s="1"/>
  <c r="M11" i="3"/>
  <c r="L11" i="3"/>
  <c r="C11" i="3"/>
  <c r="AF10" i="3"/>
  <c r="AE10" i="3"/>
  <c r="AD10" i="3"/>
  <c r="AC10" i="3"/>
  <c r="AB10" i="3"/>
  <c r="V10" i="3"/>
  <c r="M10" i="3"/>
  <c r="P10" i="3" s="1"/>
  <c r="L10" i="3"/>
  <c r="N10" i="3" s="1"/>
  <c r="O10" i="3" s="1"/>
  <c r="C10" i="3"/>
  <c r="A1" i="3"/>
  <c r="C30" i="2"/>
  <c r="E26" i="2"/>
  <c r="G24" i="2"/>
  <c r="C20" i="2"/>
  <c r="C19" i="2"/>
  <c r="C18" i="2"/>
  <c r="C17" i="2"/>
  <c r="C16" i="2"/>
  <c r="A10" i="2"/>
  <c r="F7" i="2"/>
  <c r="B8" i="10"/>
  <c r="C8" i="10" s="1"/>
  <c r="F6" i="2"/>
  <c r="Q68" i="3" l="1"/>
  <c r="AG87" i="3"/>
  <c r="AM87" i="3" s="1"/>
  <c r="Q116" i="3"/>
  <c r="Q240" i="3"/>
  <c r="AG254" i="3"/>
  <c r="AM254" i="3" s="1"/>
  <c r="AG364" i="3"/>
  <c r="AM364" i="3" s="1"/>
  <c r="Q40" i="3"/>
  <c r="Q51" i="3"/>
  <c r="Q214" i="3"/>
  <c r="AG242" i="3"/>
  <c r="AM242" i="3" s="1"/>
  <c r="Q272" i="3"/>
  <c r="AG283" i="3"/>
  <c r="AM283" i="3" s="1"/>
  <c r="AG343" i="3"/>
  <c r="AM343" i="3" s="1"/>
  <c r="Q364" i="3"/>
  <c r="AG30" i="3"/>
  <c r="AM30" i="3" s="1"/>
  <c r="AG141" i="3"/>
  <c r="AM141" i="3" s="1"/>
  <c r="AG235" i="3"/>
  <c r="AM235" i="3" s="1"/>
  <c r="Q238" i="3"/>
  <c r="Q254" i="3"/>
  <c r="AG337" i="3"/>
  <c r="AM337" i="3" s="1"/>
  <c r="Q39" i="3"/>
  <c r="Q44" i="3"/>
  <c r="Q99" i="3"/>
  <c r="AG111" i="3"/>
  <c r="AM111" i="3" s="1"/>
  <c r="AG123" i="3"/>
  <c r="AM123" i="3" s="1"/>
  <c r="AG229" i="3"/>
  <c r="AM229" i="3" s="1"/>
  <c r="AG58" i="3"/>
  <c r="AM58" i="3" s="1"/>
  <c r="AG106" i="3"/>
  <c r="AM106" i="3" s="1"/>
  <c r="AG137" i="3"/>
  <c r="AM137" i="3" s="1"/>
  <c r="AG215" i="3"/>
  <c r="AM215" i="3" s="1"/>
  <c r="AG43" i="3"/>
  <c r="AM43" i="3" s="1"/>
  <c r="AG82" i="3"/>
  <c r="AM82" i="3" s="1"/>
  <c r="AG121" i="3"/>
  <c r="AM121" i="3" s="1"/>
  <c r="AG287" i="3"/>
  <c r="AM287" i="3" s="1"/>
  <c r="N15" i="3"/>
  <c r="O15" i="3" s="1"/>
  <c r="Q15" i="3" s="1"/>
  <c r="Q174" i="3"/>
  <c r="N178" i="3"/>
  <c r="O178" i="3" s="1"/>
  <c r="P178" i="3"/>
  <c r="Q178" i="3" s="1"/>
  <c r="N186" i="3"/>
  <c r="O186" i="3" s="1"/>
  <c r="P186" i="3"/>
  <c r="Q216" i="3"/>
  <c r="Q27" i="3"/>
  <c r="N32" i="3"/>
  <c r="O32" i="3" s="1"/>
  <c r="Q37" i="3"/>
  <c r="N43" i="3"/>
  <c r="O43" i="3" s="1"/>
  <c r="N47" i="3"/>
  <c r="O47" i="3" s="1"/>
  <c r="Q47" i="3" s="1"/>
  <c r="N64" i="3"/>
  <c r="O64" i="3" s="1"/>
  <c r="Q67" i="3"/>
  <c r="N87" i="3"/>
  <c r="O87" i="3" s="1"/>
  <c r="N95" i="3"/>
  <c r="O95" i="3" s="1"/>
  <c r="Q95" i="3" s="1"/>
  <c r="N112" i="3"/>
  <c r="O112" i="3" s="1"/>
  <c r="Q115" i="3"/>
  <c r="N140" i="3"/>
  <c r="O140" i="3" s="1"/>
  <c r="N148" i="3"/>
  <c r="O148" i="3" s="1"/>
  <c r="Q148" i="3" s="1"/>
  <c r="N194" i="3"/>
  <c r="O194" i="3" s="1"/>
  <c r="P309" i="3"/>
  <c r="N309" i="3"/>
  <c r="O309" i="3" s="1"/>
  <c r="Q376" i="3"/>
  <c r="P382" i="3"/>
  <c r="N382" i="3"/>
  <c r="O382" i="3" s="1"/>
  <c r="P253" i="3"/>
  <c r="N253" i="3"/>
  <c r="O253" i="3" s="1"/>
  <c r="P329" i="3"/>
  <c r="N329" i="3"/>
  <c r="O329" i="3" s="1"/>
  <c r="P57" i="3"/>
  <c r="P105" i="3"/>
  <c r="Q105" i="3" s="1"/>
  <c r="N218" i="3"/>
  <c r="O218" i="3" s="1"/>
  <c r="N54" i="3"/>
  <c r="O54" i="3" s="1"/>
  <c r="N55" i="3"/>
  <c r="O55" i="3" s="1"/>
  <c r="Q75" i="3"/>
  <c r="N80" i="3"/>
  <c r="O80" i="3" s="1"/>
  <c r="Q92" i="3"/>
  <c r="N102" i="3"/>
  <c r="O102" i="3" s="1"/>
  <c r="N103" i="3"/>
  <c r="O103" i="3" s="1"/>
  <c r="Q103" i="3" s="1"/>
  <c r="N127" i="3"/>
  <c r="O127" i="3" s="1"/>
  <c r="N136" i="3"/>
  <c r="O136" i="3" s="1"/>
  <c r="N152" i="3"/>
  <c r="O152" i="3" s="1"/>
  <c r="P161" i="3"/>
  <c r="Q161" i="3" s="1"/>
  <c r="N161" i="3"/>
  <c r="O161" i="3" s="1"/>
  <c r="N164" i="3"/>
  <c r="O164" i="3" s="1"/>
  <c r="N188" i="3"/>
  <c r="O188" i="3" s="1"/>
  <c r="N189" i="3"/>
  <c r="O189" i="3" s="1"/>
  <c r="Q189" i="3" s="1"/>
  <c r="P374" i="3"/>
  <c r="N374" i="3"/>
  <c r="O374" i="3" s="1"/>
  <c r="Q256" i="3"/>
  <c r="Q344" i="3"/>
  <c r="N69" i="3"/>
  <c r="O69" i="3" s="1"/>
  <c r="N117" i="3"/>
  <c r="O117" i="3" s="1"/>
  <c r="N134" i="3"/>
  <c r="O134" i="3" s="1"/>
  <c r="N135" i="3"/>
  <c r="O135" i="3" s="1"/>
  <c r="N170" i="3"/>
  <c r="O170" i="3" s="1"/>
  <c r="Q220" i="3"/>
  <c r="N237" i="3"/>
  <c r="O237" i="3" s="1"/>
  <c r="N296" i="3"/>
  <c r="O296" i="3" s="1"/>
  <c r="Q339" i="3"/>
  <c r="N340" i="3"/>
  <c r="O340" i="3" s="1"/>
  <c r="Q365" i="3"/>
  <c r="N368" i="3"/>
  <c r="O368" i="3" s="1"/>
  <c r="N380" i="3"/>
  <c r="O380" i="3" s="1"/>
  <c r="N93" i="3"/>
  <c r="O93" i="3" s="1"/>
  <c r="N16" i="3"/>
  <c r="O16" i="3" s="1"/>
  <c r="Q16" i="3" s="1"/>
  <c r="N33" i="3"/>
  <c r="O33" i="3" s="1"/>
  <c r="Q33" i="3" s="1"/>
  <c r="N42" i="3"/>
  <c r="O42" i="3" s="1"/>
  <c r="N49" i="3"/>
  <c r="O49" i="3" s="1"/>
  <c r="N60" i="3"/>
  <c r="O60" i="3" s="1"/>
  <c r="Q60" i="3" s="1"/>
  <c r="N65" i="3"/>
  <c r="O65" i="3" s="1"/>
  <c r="N70" i="3"/>
  <c r="O70" i="3" s="1"/>
  <c r="N72" i="3"/>
  <c r="O72" i="3" s="1"/>
  <c r="N84" i="3"/>
  <c r="O84" i="3" s="1"/>
  <c r="Q84" i="3" s="1"/>
  <c r="N85" i="3"/>
  <c r="O85" i="3" s="1"/>
  <c r="N89" i="3"/>
  <c r="O89" i="3" s="1"/>
  <c r="N94" i="3"/>
  <c r="O94" i="3" s="1"/>
  <c r="N96" i="3"/>
  <c r="O96" i="3" s="1"/>
  <c r="Q96" i="3" s="1"/>
  <c r="N108" i="3"/>
  <c r="O108" i="3" s="1"/>
  <c r="N109" i="3"/>
  <c r="O109" i="3" s="1"/>
  <c r="N113" i="3"/>
  <c r="O113" i="3" s="1"/>
  <c r="N118" i="3"/>
  <c r="O118" i="3" s="1"/>
  <c r="Q118" i="3" s="1"/>
  <c r="N120" i="3"/>
  <c r="O120" i="3" s="1"/>
  <c r="N133" i="3"/>
  <c r="O133" i="3" s="1"/>
  <c r="P134" i="3"/>
  <c r="P135" i="3"/>
  <c r="Q135" i="3" s="1"/>
  <c r="N141" i="3"/>
  <c r="O141" i="3" s="1"/>
  <c r="Q144" i="3"/>
  <c r="N156" i="3"/>
  <c r="O156" i="3" s="1"/>
  <c r="N162" i="3"/>
  <c r="O162" i="3" s="1"/>
  <c r="Q162" i="3" s="1"/>
  <c r="P162" i="3"/>
  <c r="N167" i="3"/>
  <c r="O167" i="3" s="1"/>
  <c r="P170" i="3"/>
  <c r="N176" i="3"/>
  <c r="O176" i="3" s="1"/>
  <c r="Q176" i="3" s="1"/>
  <c r="N201" i="3"/>
  <c r="O201" i="3" s="1"/>
  <c r="N206" i="3"/>
  <c r="O206" i="3" s="1"/>
  <c r="N226" i="3"/>
  <c r="O226" i="3" s="1"/>
  <c r="N228" i="3"/>
  <c r="O228" i="3" s="1"/>
  <c r="Q228" i="3" s="1"/>
  <c r="N232" i="3"/>
  <c r="O232" i="3" s="1"/>
  <c r="Q232" i="3" s="1"/>
  <c r="N235" i="3"/>
  <c r="O235" i="3" s="1"/>
  <c r="N236" i="3"/>
  <c r="O236" i="3" s="1"/>
  <c r="N242" i="3"/>
  <c r="O242" i="3" s="1"/>
  <c r="Q242" i="3" s="1"/>
  <c r="N244" i="3"/>
  <c r="O244" i="3" s="1"/>
  <c r="N252" i="3"/>
  <c r="O252" i="3" s="1"/>
  <c r="N266" i="3"/>
  <c r="O266" i="3" s="1"/>
  <c r="N271" i="3"/>
  <c r="O271" i="3" s="1"/>
  <c r="Q271" i="3" s="1"/>
  <c r="Q277" i="3"/>
  <c r="Q280" i="3"/>
  <c r="N293" i="3"/>
  <c r="O293" i="3" s="1"/>
  <c r="N315" i="3"/>
  <c r="O315" i="3" s="1"/>
  <c r="Q315" i="3" s="1"/>
  <c r="N325" i="3"/>
  <c r="O325" i="3" s="1"/>
  <c r="Q331" i="3"/>
  <c r="N334" i="3"/>
  <c r="O334" i="3" s="1"/>
  <c r="Q334" i="3" s="1"/>
  <c r="N336" i="3"/>
  <c r="O336" i="3" s="1"/>
  <c r="Q336" i="3" s="1"/>
  <c r="P336" i="3"/>
  <c r="N347" i="3"/>
  <c r="O347" i="3" s="1"/>
  <c r="N377" i="3"/>
  <c r="O377" i="3" s="1"/>
  <c r="N158" i="3"/>
  <c r="O158" i="3" s="1"/>
  <c r="Q158" i="3" s="1"/>
  <c r="N179" i="3"/>
  <c r="O179" i="3" s="1"/>
  <c r="N180" i="3"/>
  <c r="O180" i="3" s="1"/>
  <c r="N191" i="3"/>
  <c r="O191" i="3" s="1"/>
  <c r="N195" i="3"/>
  <c r="O195" i="3" s="1"/>
  <c r="N197" i="3"/>
  <c r="O197" i="3" s="1"/>
  <c r="N199" i="3"/>
  <c r="O199" i="3" s="1"/>
  <c r="N220" i="3"/>
  <c r="O220" i="3" s="1"/>
  <c r="N223" i="3"/>
  <c r="O223" i="3" s="1"/>
  <c r="Q223" i="3" s="1"/>
  <c r="Q244" i="3"/>
  <c r="N247" i="3"/>
  <c r="O247" i="3" s="1"/>
  <c r="N250" i="3"/>
  <c r="O250" i="3" s="1"/>
  <c r="Q253" i="3"/>
  <c r="N259" i="3"/>
  <c r="O259" i="3" s="1"/>
  <c r="Q262" i="3"/>
  <c r="N264" i="3"/>
  <c r="O264" i="3" s="1"/>
  <c r="N274" i="3"/>
  <c r="O274" i="3" s="1"/>
  <c r="Q274" i="3" s="1"/>
  <c r="N282" i="3"/>
  <c r="O282" i="3" s="1"/>
  <c r="Q291" i="3"/>
  <c r="N313" i="3"/>
  <c r="O313" i="3" s="1"/>
  <c r="Q316" i="3"/>
  <c r="N317" i="3"/>
  <c r="O317" i="3" s="1"/>
  <c r="N320" i="3"/>
  <c r="O320" i="3" s="1"/>
  <c r="N322" i="3"/>
  <c r="O322" i="3" s="1"/>
  <c r="Q322" i="3" s="1"/>
  <c r="N354" i="3"/>
  <c r="O354" i="3" s="1"/>
  <c r="Q354" i="3" s="1"/>
  <c r="N357" i="3"/>
  <c r="O357" i="3" s="1"/>
  <c r="Q363" i="3"/>
  <c r="Q218" i="3"/>
  <c r="Q217" i="3"/>
  <c r="Q136" i="3"/>
  <c r="Q124" i="3"/>
  <c r="Q233" i="3"/>
  <c r="Q239" i="3"/>
  <c r="Q257" i="3"/>
  <c r="Q355" i="3"/>
  <c r="Q139" i="3"/>
  <c r="Q134" i="3"/>
  <c r="Q10" i="3"/>
  <c r="Q36" i="3"/>
  <c r="AG38" i="3"/>
  <c r="AM38" i="3" s="1"/>
  <c r="AG39" i="3"/>
  <c r="AM39" i="3" s="1"/>
  <c r="AG40" i="3"/>
  <c r="AM40" i="3" s="1"/>
  <c r="AG10" i="3"/>
  <c r="AG14" i="3"/>
  <c r="AM14" i="3" s="1"/>
  <c r="Q23" i="3"/>
  <c r="Q24" i="3"/>
  <c r="AG27" i="3"/>
  <c r="AM27" i="3" s="1"/>
  <c r="Q28" i="3"/>
  <c r="Q35" i="3"/>
  <c r="AG139" i="3"/>
  <c r="AM139" i="3" s="1"/>
  <c r="Q157" i="3"/>
  <c r="AG164" i="3"/>
  <c r="AM164" i="3" s="1"/>
  <c r="AG165" i="3"/>
  <c r="AM165" i="3" s="1"/>
  <c r="Q168" i="3"/>
  <c r="AG174" i="3"/>
  <c r="AM174" i="3" s="1"/>
  <c r="AG176" i="3"/>
  <c r="AM176" i="3" s="1"/>
  <c r="AG182" i="3"/>
  <c r="AM182" i="3" s="1"/>
  <c r="AG184" i="3"/>
  <c r="AM184" i="3" s="1"/>
  <c r="Q201" i="3"/>
  <c r="AG204" i="3"/>
  <c r="AM204" i="3" s="1"/>
  <c r="Q207" i="3"/>
  <c r="AG209" i="3"/>
  <c r="AM209" i="3" s="1"/>
  <c r="Q221" i="3"/>
  <c r="AG222" i="3"/>
  <c r="AM222" i="3" s="1"/>
  <c r="Q226" i="3"/>
  <c r="AG246" i="3"/>
  <c r="AM246" i="3" s="1"/>
  <c r="Q250" i="3"/>
  <c r="Q261" i="3"/>
  <c r="AG262" i="3"/>
  <c r="AM262" i="3" s="1"/>
  <c r="Q263" i="3"/>
  <c r="Q264" i="3"/>
  <c r="Q281" i="3"/>
  <c r="Q283" i="3"/>
  <c r="AG284" i="3"/>
  <c r="AM284" i="3" s="1"/>
  <c r="Q294" i="3"/>
  <c r="AG295" i="3"/>
  <c r="AM295" i="3" s="1"/>
  <c r="Q311" i="3"/>
  <c r="AG321" i="3"/>
  <c r="AM321" i="3" s="1"/>
  <c r="AG328" i="3"/>
  <c r="AM328" i="3" s="1"/>
  <c r="Q341" i="3"/>
  <c r="AG341" i="3"/>
  <c r="AM341" i="3" s="1"/>
  <c r="AG347" i="3"/>
  <c r="AM347" i="3" s="1"/>
  <c r="AG351" i="3"/>
  <c r="AM351" i="3" s="1"/>
  <c r="AG358" i="3"/>
  <c r="AM358" i="3" s="1"/>
  <c r="Q366" i="3"/>
  <c r="AG370" i="3"/>
  <c r="AM370" i="3" s="1"/>
  <c r="AG371" i="3"/>
  <c r="AM371" i="3" s="1"/>
  <c r="Q374" i="3"/>
  <c r="AG380" i="3"/>
  <c r="AM380" i="3" s="1"/>
  <c r="Q382" i="3"/>
  <c r="AG180" i="3"/>
  <c r="AM180" i="3" s="1"/>
  <c r="Q43" i="3"/>
  <c r="AG50" i="3"/>
  <c r="AM50" i="3" s="1"/>
  <c r="AG51" i="3"/>
  <c r="AM51" i="3" s="1"/>
  <c r="Q53" i="3"/>
  <c r="Q55" i="3"/>
  <c r="Q63" i="3"/>
  <c r="AG66" i="3"/>
  <c r="AM66" i="3" s="1"/>
  <c r="AG67" i="3"/>
  <c r="AM67" i="3" s="1"/>
  <c r="AG68" i="3"/>
  <c r="AM68" i="3" s="1"/>
  <c r="Q73" i="3"/>
  <c r="AG74" i="3"/>
  <c r="AM74" i="3" s="1"/>
  <c r="Q77" i="3"/>
  <c r="Q79" i="3"/>
  <c r="Q87" i="3"/>
  <c r="AG90" i="3"/>
  <c r="AM90" i="3" s="1"/>
  <c r="AG91" i="3"/>
  <c r="AM91" i="3" s="1"/>
  <c r="AG92" i="3"/>
  <c r="AM92" i="3" s="1"/>
  <c r="Q97" i="3"/>
  <c r="AG98" i="3"/>
  <c r="AM98" i="3" s="1"/>
  <c r="Q101" i="3"/>
  <c r="Q111" i="3"/>
  <c r="AG114" i="3"/>
  <c r="AM114" i="3" s="1"/>
  <c r="AG115" i="3"/>
  <c r="AM115" i="3" s="1"/>
  <c r="AG116" i="3"/>
  <c r="AM116" i="3" s="1"/>
  <c r="Q125" i="3"/>
  <c r="Q130" i="3"/>
  <c r="Q132" i="3"/>
  <c r="Q137" i="3"/>
  <c r="AG144" i="3"/>
  <c r="AM144" i="3" s="1"/>
  <c r="AG155" i="3"/>
  <c r="AM155" i="3" s="1"/>
  <c r="AG161" i="3"/>
  <c r="AM161" i="3" s="1"/>
  <c r="Q163" i="3"/>
  <c r="AG166" i="3"/>
  <c r="AM166" i="3" s="1"/>
  <c r="Q171" i="3"/>
  <c r="AG177" i="3"/>
  <c r="AM177" i="3" s="1"/>
  <c r="Q182" i="3"/>
  <c r="AG185" i="3"/>
  <c r="AM185" i="3" s="1"/>
  <c r="Q187" i="3"/>
  <c r="Q188" i="3"/>
  <c r="AG195" i="3"/>
  <c r="AM195" i="3" s="1"/>
  <c r="AG196" i="3"/>
  <c r="AM196" i="3" s="1"/>
  <c r="AG197" i="3"/>
  <c r="AM197" i="3" s="1"/>
  <c r="AG201" i="3"/>
  <c r="AM201" i="3" s="1"/>
  <c r="AG221" i="3"/>
  <c r="AM221" i="3" s="1"/>
  <c r="AG226" i="3"/>
  <c r="AM226" i="3" s="1"/>
  <c r="Q245" i="3"/>
  <c r="Q247" i="3"/>
  <c r="AG251" i="3"/>
  <c r="AM251" i="3" s="1"/>
  <c r="Q265" i="3"/>
  <c r="AG265" i="3"/>
  <c r="AM265" i="3" s="1"/>
  <c r="Q266" i="3"/>
  <c r="Q269" i="3"/>
  <c r="AG274" i="3"/>
  <c r="AM274" i="3" s="1"/>
  <c r="AG277" i="3"/>
  <c r="AM277" i="3" s="1"/>
  <c r="AG282" i="3"/>
  <c r="AM282" i="3" s="1"/>
  <c r="Q297" i="3"/>
  <c r="Q299" i="3"/>
  <c r="AG307" i="3"/>
  <c r="AM307" i="3" s="1"/>
  <c r="Q309" i="3"/>
  <c r="AG309" i="3"/>
  <c r="AM309" i="3" s="1"/>
  <c r="Q314" i="3"/>
  <c r="AG329" i="3"/>
  <c r="AM329" i="3" s="1"/>
  <c r="AG344" i="3"/>
  <c r="AM344" i="3" s="1"/>
  <c r="Q346" i="3"/>
  <c r="AG349" i="3"/>
  <c r="AM349" i="3" s="1"/>
  <c r="AG352" i="3"/>
  <c r="AM352" i="3" s="1"/>
  <c r="AG379" i="3"/>
  <c r="AM379" i="3" s="1"/>
  <c r="AG381" i="3"/>
  <c r="AM381" i="3" s="1"/>
  <c r="E16" i="10"/>
  <c r="Q12" i="3"/>
  <c r="Q17" i="3"/>
  <c r="AG18" i="3"/>
  <c r="AM18" i="3" s="1"/>
  <c r="AG19" i="3"/>
  <c r="AM19" i="3" s="1"/>
  <c r="Q25" i="3"/>
  <c r="AG26" i="3"/>
  <c r="AM26" i="3" s="1"/>
  <c r="Q31" i="3"/>
  <c r="AG42" i="3"/>
  <c r="AM42" i="3" s="1"/>
  <c r="Q45" i="3"/>
  <c r="AG46" i="3"/>
  <c r="AM46" i="3" s="1"/>
  <c r="Q50" i="3"/>
  <c r="Q52" i="3"/>
  <c r="AG54" i="3"/>
  <c r="AM54" i="3" s="1"/>
  <c r="AG55" i="3"/>
  <c r="AM55" i="3" s="1"/>
  <c r="AG59" i="3"/>
  <c r="AM59" i="3" s="1"/>
  <c r="AG62" i="3"/>
  <c r="AM62" i="3" s="1"/>
  <c r="AG63" i="3"/>
  <c r="AM63" i="3" s="1"/>
  <c r="Q71" i="3"/>
  <c r="AG78" i="3"/>
  <c r="AM78" i="3" s="1"/>
  <c r="AG83" i="3"/>
  <c r="AM83" i="3" s="1"/>
  <c r="AG86" i="3"/>
  <c r="AM86" i="3" s="1"/>
  <c r="AG102" i="3"/>
  <c r="AM102" i="3" s="1"/>
  <c r="AG107" i="3"/>
  <c r="AM107" i="3" s="1"/>
  <c r="AG110" i="3"/>
  <c r="AM110" i="3" s="1"/>
  <c r="Q119" i="3"/>
  <c r="AG126" i="3"/>
  <c r="AM126" i="3" s="1"/>
  <c r="Q128" i="3"/>
  <c r="Q131" i="3"/>
  <c r="Q138" i="3"/>
  <c r="AG142" i="3"/>
  <c r="AM142" i="3" s="1"/>
  <c r="AG153" i="3"/>
  <c r="AM153" i="3" s="1"/>
  <c r="Q156" i="3"/>
  <c r="AG202" i="3"/>
  <c r="AM202" i="3" s="1"/>
  <c r="AG236" i="3"/>
  <c r="AM236" i="3" s="1"/>
  <c r="Q324" i="3"/>
  <c r="AG327" i="3"/>
  <c r="AM327" i="3" s="1"/>
  <c r="Q11" i="3"/>
  <c r="AG15" i="3"/>
  <c r="AM15" i="3" s="1"/>
  <c r="Q21" i="3"/>
  <c r="Q32" i="3"/>
  <c r="AG35" i="3"/>
  <c r="AM35" i="3" s="1"/>
  <c r="Q49" i="3"/>
  <c r="AG60" i="3"/>
  <c r="AM60" i="3" s="1"/>
  <c r="Q65" i="3"/>
  <c r="Q72" i="3"/>
  <c r="AG72" i="3"/>
  <c r="AM72" i="3" s="1"/>
  <c r="AG76" i="3"/>
  <c r="AM76" i="3" s="1"/>
  <c r="AG84" i="3"/>
  <c r="AM84" i="3" s="1"/>
  <c r="Q89" i="3"/>
  <c r="AG96" i="3"/>
  <c r="AM96" i="3" s="1"/>
  <c r="AG100" i="3"/>
  <c r="AM100" i="3" s="1"/>
  <c r="Q108" i="3"/>
  <c r="AG108" i="3"/>
  <c r="AM108" i="3" s="1"/>
  <c r="Q113" i="3"/>
  <c r="Q120" i="3"/>
  <c r="AG120" i="3"/>
  <c r="AM120" i="3" s="1"/>
  <c r="AG128" i="3"/>
  <c r="AM128" i="3" s="1"/>
  <c r="AG133" i="3"/>
  <c r="AM133" i="3" s="1"/>
  <c r="AG158" i="3"/>
  <c r="AM158" i="3" s="1"/>
  <c r="AG293" i="3"/>
  <c r="AM293" i="3" s="1"/>
  <c r="AG302" i="3"/>
  <c r="AM302" i="3" s="1"/>
  <c r="Q13" i="3"/>
  <c r="Q18" i="3"/>
  <c r="Q20" i="3"/>
  <c r="Q34" i="3"/>
  <c r="Q48" i="3"/>
  <c r="AG48" i="3"/>
  <c r="AM48" i="3" s="1"/>
  <c r="Q56" i="3"/>
  <c r="AG56" i="3"/>
  <c r="AM56" i="3" s="1"/>
  <c r="Q57" i="3"/>
  <c r="Q59" i="3"/>
  <c r="Q64" i="3"/>
  <c r="AG64" i="3"/>
  <c r="AM64" i="3" s="1"/>
  <c r="AG70" i="3"/>
  <c r="AM70" i="3" s="1"/>
  <c r="AG71" i="3"/>
  <c r="AM71" i="3" s="1"/>
  <c r="Q76" i="3"/>
  <c r="Q80" i="3"/>
  <c r="AG80" i="3"/>
  <c r="AM80" i="3" s="1"/>
  <c r="Q81" i="3"/>
  <c r="Q83" i="3"/>
  <c r="Q88" i="3"/>
  <c r="AG88" i="3"/>
  <c r="AM88" i="3" s="1"/>
  <c r="AG94" i="3"/>
  <c r="AM94" i="3" s="1"/>
  <c r="AG95" i="3"/>
  <c r="AM95" i="3" s="1"/>
  <c r="Q100" i="3"/>
  <c r="Q104" i="3"/>
  <c r="AG104" i="3"/>
  <c r="AM104" i="3" s="1"/>
  <c r="Q107" i="3"/>
  <c r="Q112" i="3"/>
  <c r="AG112" i="3"/>
  <c r="AM112" i="3" s="1"/>
  <c r="AG118" i="3"/>
  <c r="AM118" i="3" s="1"/>
  <c r="AG119" i="3"/>
  <c r="AM119" i="3" s="1"/>
  <c r="Q127" i="3"/>
  <c r="AG129" i="3"/>
  <c r="AM129" i="3" s="1"/>
  <c r="AG131" i="3"/>
  <c r="AM131" i="3" s="1"/>
  <c r="Q133" i="3"/>
  <c r="AG136" i="3"/>
  <c r="AM136" i="3" s="1"/>
  <c r="AG146" i="3"/>
  <c r="AM146" i="3" s="1"/>
  <c r="AG147" i="3"/>
  <c r="AM147" i="3" s="1"/>
  <c r="AG148" i="3"/>
  <c r="AM148" i="3" s="1"/>
  <c r="Q150" i="3"/>
  <c r="Q151" i="3"/>
  <c r="Q155" i="3"/>
  <c r="AG160" i="3"/>
  <c r="AM160" i="3" s="1"/>
  <c r="Q164" i="3"/>
  <c r="AG168" i="3"/>
  <c r="AM168" i="3" s="1"/>
  <c r="Q175" i="3"/>
  <c r="Q183" i="3"/>
  <c r="AG188" i="3"/>
  <c r="AM188" i="3" s="1"/>
  <c r="AG189" i="3"/>
  <c r="AM189" i="3" s="1"/>
  <c r="AG193" i="3"/>
  <c r="AM193" i="3" s="1"/>
  <c r="Q197" i="3"/>
  <c r="Q199" i="3"/>
  <c r="Q202" i="3"/>
  <c r="Q205" i="3"/>
  <c r="Q209" i="3"/>
  <c r="Q210" i="3"/>
  <c r="AG213" i="3"/>
  <c r="AM213" i="3" s="1"/>
  <c r="AG224" i="3"/>
  <c r="AM224" i="3" s="1"/>
  <c r="Q229" i="3"/>
  <c r="Q234" i="3"/>
  <c r="AG234" i="3"/>
  <c r="AM234" i="3" s="1"/>
  <c r="Q236" i="3"/>
  <c r="Q237" i="3"/>
  <c r="AG241" i="3"/>
  <c r="AM241" i="3" s="1"/>
  <c r="Q246" i="3"/>
  <c r="AG248" i="3"/>
  <c r="AM248" i="3" s="1"/>
  <c r="Q252" i="3"/>
  <c r="AG263" i="3"/>
  <c r="AM263" i="3" s="1"/>
  <c r="Q268" i="3"/>
  <c r="Q278" i="3"/>
  <c r="AG278" i="3"/>
  <c r="AM278" i="3" s="1"/>
  <c r="AG285" i="3"/>
  <c r="AM285" i="3" s="1"/>
  <c r="AG286" i="3"/>
  <c r="AM286" i="3" s="1"/>
  <c r="Q295" i="3"/>
  <c r="AG303" i="3"/>
  <c r="AM303" i="3" s="1"/>
  <c r="Q313" i="3"/>
  <c r="Q320" i="3"/>
  <c r="AG323" i="3"/>
  <c r="AM323" i="3" s="1"/>
  <c r="Q328" i="3"/>
  <c r="Q330" i="3"/>
  <c r="Q335" i="3"/>
  <c r="AG340" i="3"/>
  <c r="AM340" i="3" s="1"/>
  <c r="AG369" i="3"/>
  <c r="AM369" i="3" s="1"/>
  <c r="Q372" i="3"/>
  <c r="AG375" i="3"/>
  <c r="AM375" i="3" s="1"/>
  <c r="Q377" i="3"/>
  <c r="Q378" i="3"/>
  <c r="Q380" i="3"/>
  <c r="Q167" i="3"/>
  <c r="AG194" i="3"/>
  <c r="AM194" i="3" s="1"/>
  <c r="Q222" i="3"/>
  <c r="AG249" i="3"/>
  <c r="AM249" i="3" s="1"/>
  <c r="AG257" i="3"/>
  <c r="AM257" i="3" s="1"/>
  <c r="Q270" i="3"/>
  <c r="AG294" i="3"/>
  <c r="AM294" i="3" s="1"/>
  <c r="AG298" i="3"/>
  <c r="AM298" i="3" s="1"/>
  <c r="AG306" i="3"/>
  <c r="AM306" i="3" s="1"/>
  <c r="Q317" i="3"/>
  <c r="Q321" i="3"/>
  <c r="Q340" i="3"/>
  <c r="Q349" i="3"/>
  <c r="Q146" i="3"/>
  <c r="AG150" i="3"/>
  <c r="AM150" i="3" s="1"/>
  <c r="Q152" i="3"/>
  <c r="AG154" i="3"/>
  <c r="AM154" i="3" s="1"/>
  <c r="AG163" i="3"/>
  <c r="AM163" i="3" s="1"/>
  <c r="Q179" i="3"/>
  <c r="Q180" i="3"/>
  <c r="AG190" i="3"/>
  <c r="AM190" i="3" s="1"/>
  <c r="Q191" i="3"/>
  <c r="Q194" i="3"/>
  <c r="AG203" i="3"/>
  <c r="AM203" i="3" s="1"/>
  <c r="Q213" i="3"/>
  <c r="Q215" i="3"/>
  <c r="AG233" i="3"/>
  <c r="AM233" i="3" s="1"/>
  <c r="Q241" i="3"/>
  <c r="AG264" i="3"/>
  <c r="AM264" i="3" s="1"/>
  <c r="AG266" i="3"/>
  <c r="AM266" i="3" s="1"/>
  <c r="AG268" i="3"/>
  <c r="AM268" i="3" s="1"/>
  <c r="AG270" i="3"/>
  <c r="AM270" i="3" s="1"/>
  <c r="Q275" i="3"/>
  <c r="Q282" i="3"/>
  <c r="AG288" i="3"/>
  <c r="AM288" i="3" s="1"/>
  <c r="Q293" i="3"/>
  <c r="AG299" i="3"/>
  <c r="AM299" i="3" s="1"/>
  <c r="AG300" i="3"/>
  <c r="AM300" i="3" s="1"/>
  <c r="AG304" i="3"/>
  <c r="AM304" i="3" s="1"/>
  <c r="AG314" i="3"/>
  <c r="AM314" i="3" s="1"/>
  <c r="Q318" i="3"/>
  <c r="Q319" i="3"/>
  <c r="AG324" i="3"/>
  <c r="AM324" i="3" s="1"/>
  <c r="Q325" i="3"/>
  <c r="Q326" i="3"/>
  <c r="Q329" i="3"/>
  <c r="AG330" i="3"/>
  <c r="AM330" i="3" s="1"/>
  <c r="AG331" i="3"/>
  <c r="AM331" i="3" s="1"/>
  <c r="Q333" i="3"/>
  <c r="Q347" i="3"/>
  <c r="Q352" i="3"/>
  <c r="AG355" i="3"/>
  <c r="AM355" i="3" s="1"/>
  <c r="Q357" i="3"/>
  <c r="AG359" i="3"/>
  <c r="AM359" i="3" s="1"/>
  <c r="AG360" i="3"/>
  <c r="AM360" i="3" s="1"/>
  <c r="Q362" i="3"/>
  <c r="Q369" i="3"/>
  <c r="AM10" i="3"/>
  <c r="Q29" i="3"/>
  <c r="AG12" i="3"/>
  <c r="AM12" i="3" s="1"/>
  <c r="Q70" i="3"/>
  <c r="P85" i="3"/>
  <c r="Q85" i="3" s="1"/>
  <c r="P109" i="3"/>
  <c r="Q109" i="3" s="1"/>
  <c r="Q123" i="3"/>
  <c r="N142" i="3"/>
  <c r="O142" i="3" s="1"/>
  <c r="P142" i="3"/>
  <c r="AD237" i="3"/>
  <c r="AE237" i="3" s="1"/>
  <c r="AG237" i="3" s="1"/>
  <c r="AM237" i="3" s="1"/>
  <c r="AG316" i="3"/>
  <c r="AM316" i="3" s="1"/>
  <c r="N14" i="3"/>
  <c r="O14" i="3" s="1"/>
  <c r="Q14" i="3" s="1"/>
  <c r="AG52" i="3"/>
  <c r="AM52" i="3" s="1"/>
  <c r="N74" i="3"/>
  <c r="O74" i="3" s="1"/>
  <c r="Q74" i="3" s="1"/>
  <c r="N98" i="3"/>
  <c r="O98" i="3" s="1"/>
  <c r="Q98" i="3" s="1"/>
  <c r="N159" i="3"/>
  <c r="O159" i="3" s="1"/>
  <c r="Q159" i="3" s="1"/>
  <c r="AD217" i="3"/>
  <c r="AE217" i="3" s="1"/>
  <c r="AG217" i="3" s="1"/>
  <c r="AM217" i="3" s="1"/>
  <c r="N61" i="3"/>
  <c r="O61" i="3" s="1"/>
  <c r="Q61" i="3" s="1"/>
  <c r="Q94" i="3"/>
  <c r="AG220" i="3"/>
  <c r="AM220" i="3" s="1"/>
  <c r="P143" i="3"/>
  <c r="N143" i="3"/>
  <c r="O143" i="3" s="1"/>
  <c r="Q42" i="3"/>
  <c r="AD31" i="3"/>
  <c r="AE31" i="3" s="1"/>
  <c r="AG31" i="3" s="1"/>
  <c r="AM31" i="3" s="1"/>
  <c r="Q145" i="3"/>
  <c r="Q26" i="3"/>
  <c r="P69" i="3"/>
  <c r="Q69" i="3" s="1"/>
  <c r="P93" i="3"/>
  <c r="Q93" i="3" s="1"/>
  <c r="P117" i="3"/>
  <c r="Q117" i="3" s="1"/>
  <c r="Q153" i="3"/>
  <c r="N184" i="3"/>
  <c r="O184" i="3" s="1"/>
  <c r="Q184" i="3" s="1"/>
  <c r="P149" i="3"/>
  <c r="N149" i="3"/>
  <c r="O149" i="3" s="1"/>
  <c r="N41" i="3"/>
  <c r="O41" i="3" s="1"/>
  <c r="Q41" i="3" s="1"/>
  <c r="Q102" i="3"/>
  <c r="Q141" i="3"/>
  <c r="AG16" i="3"/>
  <c r="AM16" i="3" s="1"/>
  <c r="AG36" i="3"/>
  <c r="AM36" i="3" s="1"/>
  <c r="N46" i="3"/>
  <c r="O46" i="3" s="1"/>
  <c r="Q46" i="3" s="1"/>
  <c r="N58" i="3"/>
  <c r="O58" i="3" s="1"/>
  <c r="Q58" i="3" s="1"/>
  <c r="N82" i="3"/>
  <c r="O82" i="3" s="1"/>
  <c r="Q82" i="3" s="1"/>
  <c r="N106" i="3"/>
  <c r="O106" i="3" s="1"/>
  <c r="Q106" i="3" s="1"/>
  <c r="N121" i="3"/>
  <c r="O121" i="3" s="1"/>
  <c r="Q121" i="3" s="1"/>
  <c r="Q122" i="3"/>
  <c r="Q170" i="3"/>
  <c r="Q22" i="3"/>
  <c r="D11" i="10"/>
  <c r="H11" i="10"/>
  <c r="G11" i="10"/>
  <c r="F11" i="10"/>
  <c r="E11" i="10"/>
  <c r="AG75" i="3"/>
  <c r="AM75" i="3" s="1"/>
  <c r="AD47" i="3"/>
  <c r="AE47" i="3" s="1"/>
  <c r="AG47" i="3" s="1"/>
  <c r="AM47" i="3" s="1"/>
  <c r="AG32" i="3"/>
  <c r="AM32" i="3" s="1"/>
  <c r="Q78" i="3"/>
  <c r="AD124" i="3"/>
  <c r="AE124" i="3" s="1"/>
  <c r="AG124" i="3" s="1"/>
  <c r="AM124" i="3" s="1"/>
  <c r="AG99" i="3"/>
  <c r="AM99" i="3" s="1"/>
  <c r="AG28" i="3"/>
  <c r="AM28" i="3" s="1"/>
  <c r="N38" i="3"/>
  <c r="O38" i="3" s="1"/>
  <c r="Q38" i="3" s="1"/>
  <c r="N62" i="3"/>
  <c r="O62" i="3" s="1"/>
  <c r="Q62" i="3" s="1"/>
  <c r="N86" i="3"/>
  <c r="O86" i="3" s="1"/>
  <c r="Q86" i="3" s="1"/>
  <c r="N110" i="3"/>
  <c r="O110" i="3" s="1"/>
  <c r="Q110" i="3" s="1"/>
  <c r="AG122" i="3"/>
  <c r="AM122" i="3" s="1"/>
  <c r="AG134" i="3"/>
  <c r="AM134" i="3" s="1"/>
  <c r="N147" i="3"/>
  <c r="O147" i="3" s="1"/>
  <c r="Q147" i="3" s="1"/>
  <c r="Q166" i="3"/>
  <c r="AD173" i="3"/>
  <c r="AE173" i="3" s="1"/>
  <c r="AF173" i="3"/>
  <c r="Q208" i="3"/>
  <c r="Q211" i="3"/>
  <c r="AG258" i="3"/>
  <c r="AM258" i="3" s="1"/>
  <c r="Q54" i="3"/>
  <c r="AG326" i="3"/>
  <c r="AM326" i="3" s="1"/>
  <c r="R129" i="4"/>
  <c r="P129" i="4"/>
  <c r="Q129" i="4" s="1"/>
  <c r="AG44" i="3"/>
  <c r="AM44" i="3" s="1"/>
  <c r="AG20" i="3"/>
  <c r="AM20" i="3" s="1"/>
  <c r="N30" i="3"/>
  <c r="O30" i="3" s="1"/>
  <c r="Q30" i="3" s="1"/>
  <c r="N66" i="3"/>
  <c r="O66" i="3" s="1"/>
  <c r="Q66" i="3" s="1"/>
  <c r="N90" i="3"/>
  <c r="O90" i="3" s="1"/>
  <c r="Q90" i="3" s="1"/>
  <c r="N114" i="3"/>
  <c r="O114" i="3" s="1"/>
  <c r="Q114" i="3" s="1"/>
  <c r="AG130" i="3"/>
  <c r="AM130" i="3" s="1"/>
  <c r="Q140" i="3"/>
  <c r="N172" i="3"/>
  <c r="O172" i="3" s="1"/>
  <c r="Q172" i="3" s="1"/>
  <c r="AG238" i="3"/>
  <c r="AM238" i="3" s="1"/>
  <c r="AD127" i="3"/>
  <c r="AE127" i="3" s="1"/>
  <c r="AG127" i="3" s="1"/>
  <c r="AM127" i="3" s="1"/>
  <c r="AD162" i="3"/>
  <c r="AE162" i="3" s="1"/>
  <c r="AG162" i="3" s="1"/>
  <c r="AM162" i="3" s="1"/>
  <c r="N193" i="3"/>
  <c r="O193" i="3" s="1"/>
  <c r="Q193" i="3" s="1"/>
  <c r="AG252" i="3"/>
  <c r="AM252" i="3" s="1"/>
  <c r="N255" i="3"/>
  <c r="O255" i="3" s="1"/>
  <c r="Q255" i="3" s="1"/>
  <c r="Q259" i="3"/>
  <c r="AG280" i="3"/>
  <c r="AM280" i="3" s="1"/>
  <c r="Q285" i="3"/>
  <c r="AF310" i="3"/>
  <c r="AD310" i="3"/>
  <c r="AE310" i="3" s="1"/>
  <c r="AG310" i="3" s="1"/>
  <c r="AM310" i="3" s="1"/>
  <c r="AG374" i="3"/>
  <c r="AM374" i="3" s="1"/>
  <c r="AG211" i="3"/>
  <c r="AM211" i="3" s="1"/>
  <c r="AG208" i="3"/>
  <c r="AM208" i="3" s="1"/>
  <c r="AG216" i="3"/>
  <c r="AM216" i="3" s="1"/>
  <c r="N169" i="3"/>
  <c r="O169" i="3" s="1"/>
  <c r="Q169" i="3" s="1"/>
  <c r="Q206" i="3"/>
  <c r="AF220" i="3"/>
  <c r="Q258" i="3"/>
  <c r="AG279" i="3"/>
  <c r="AM279" i="3" s="1"/>
  <c r="AG312" i="3"/>
  <c r="AM312" i="3" s="1"/>
  <c r="R67" i="4"/>
  <c r="P67" i="4"/>
  <c r="Q67" i="4" s="1"/>
  <c r="R106" i="4"/>
  <c r="P106" i="4"/>
  <c r="Q106" i="4" s="1"/>
  <c r="AF244" i="3"/>
  <c r="AD244" i="3"/>
  <c r="AE244" i="3" s="1"/>
  <c r="AG244" i="3" s="1"/>
  <c r="AM244" i="3" s="1"/>
  <c r="AD267" i="3"/>
  <c r="AE267" i="3" s="1"/>
  <c r="AG267" i="3" s="1"/>
  <c r="AM267" i="3" s="1"/>
  <c r="D8" i="10"/>
  <c r="H8" i="10"/>
  <c r="G8" i="10"/>
  <c r="F8" i="10"/>
  <c r="E8" i="10"/>
  <c r="I8" i="10"/>
  <c r="AD132" i="3"/>
  <c r="AE132" i="3" s="1"/>
  <c r="AG132" i="3" s="1"/>
  <c r="AM132" i="3" s="1"/>
  <c r="AD135" i="3"/>
  <c r="AE135" i="3" s="1"/>
  <c r="AG135" i="3" s="1"/>
  <c r="AM135" i="3" s="1"/>
  <c r="AD143" i="3"/>
  <c r="AE143" i="3" s="1"/>
  <c r="AG143" i="3" s="1"/>
  <c r="AM143" i="3" s="1"/>
  <c r="N154" i="3"/>
  <c r="O154" i="3" s="1"/>
  <c r="Q154" i="3" s="1"/>
  <c r="AD157" i="3"/>
  <c r="AE157" i="3" s="1"/>
  <c r="AG157" i="3" s="1"/>
  <c r="AM157" i="3" s="1"/>
  <c r="N165" i="3"/>
  <c r="O165" i="3" s="1"/>
  <c r="Q165" i="3" s="1"/>
  <c r="AD172" i="3"/>
  <c r="AE172" i="3" s="1"/>
  <c r="AG172" i="3" s="1"/>
  <c r="AM172" i="3" s="1"/>
  <c r="AF219" i="3"/>
  <c r="AG219" i="3" s="1"/>
  <c r="AM219" i="3" s="1"/>
  <c r="AG240" i="3"/>
  <c r="AM240" i="3" s="1"/>
  <c r="AD315" i="3"/>
  <c r="AE315" i="3" s="1"/>
  <c r="AG315" i="3" s="1"/>
  <c r="AM315" i="3" s="1"/>
  <c r="Q342" i="3"/>
  <c r="P359" i="3"/>
  <c r="N359" i="3"/>
  <c r="O359" i="3" s="1"/>
  <c r="Q198" i="3"/>
  <c r="AG243" i="3"/>
  <c r="AM243" i="3" s="1"/>
  <c r="R70" i="4"/>
  <c r="P70" i="4"/>
  <c r="Q70" i="4" s="1"/>
  <c r="N288" i="3"/>
  <c r="O288" i="3" s="1"/>
  <c r="P288" i="3"/>
  <c r="Q186" i="3"/>
  <c r="AD13" i="3"/>
  <c r="AE13" i="3" s="1"/>
  <c r="AG13" i="3" s="1"/>
  <c r="AM13" i="3" s="1"/>
  <c r="AD17" i="3"/>
  <c r="AE17" i="3" s="1"/>
  <c r="AG17" i="3" s="1"/>
  <c r="AM17" i="3" s="1"/>
  <c r="AD21" i="3"/>
  <c r="AE21" i="3" s="1"/>
  <c r="AG21" i="3" s="1"/>
  <c r="AM21" i="3" s="1"/>
  <c r="AD25" i="3"/>
  <c r="AE25" i="3" s="1"/>
  <c r="AG25" i="3" s="1"/>
  <c r="AM25" i="3" s="1"/>
  <c r="AD29" i="3"/>
  <c r="AE29" i="3" s="1"/>
  <c r="AG29" i="3" s="1"/>
  <c r="AM29" i="3" s="1"/>
  <c r="AD33" i="3"/>
  <c r="AE33" i="3" s="1"/>
  <c r="AG33" i="3" s="1"/>
  <c r="AM33" i="3" s="1"/>
  <c r="AD37" i="3"/>
  <c r="AE37" i="3" s="1"/>
  <c r="AG37" i="3" s="1"/>
  <c r="AM37" i="3" s="1"/>
  <c r="AD41" i="3"/>
  <c r="AE41" i="3" s="1"/>
  <c r="AG41" i="3" s="1"/>
  <c r="AM41" i="3" s="1"/>
  <c r="AD45" i="3"/>
  <c r="AE45" i="3" s="1"/>
  <c r="AG45" i="3" s="1"/>
  <c r="AM45" i="3" s="1"/>
  <c r="AD49" i="3"/>
  <c r="AE49" i="3" s="1"/>
  <c r="AG49" i="3" s="1"/>
  <c r="AM49" i="3" s="1"/>
  <c r="AD53" i="3"/>
  <c r="AE53" i="3" s="1"/>
  <c r="AG53" i="3" s="1"/>
  <c r="AM53" i="3" s="1"/>
  <c r="AD57" i="3"/>
  <c r="AE57" i="3" s="1"/>
  <c r="AG57" i="3" s="1"/>
  <c r="AM57" i="3" s="1"/>
  <c r="AD61" i="3"/>
  <c r="AE61" i="3" s="1"/>
  <c r="AG61" i="3" s="1"/>
  <c r="AM61" i="3" s="1"/>
  <c r="AD65" i="3"/>
  <c r="AE65" i="3" s="1"/>
  <c r="AG65" i="3" s="1"/>
  <c r="AM65" i="3" s="1"/>
  <c r="AD69" i="3"/>
  <c r="AE69" i="3" s="1"/>
  <c r="AG69" i="3" s="1"/>
  <c r="AM69" i="3" s="1"/>
  <c r="AD73" i="3"/>
  <c r="AE73" i="3" s="1"/>
  <c r="AG73" i="3" s="1"/>
  <c r="AM73" i="3" s="1"/>
  <c r="AD77" i="3"/>
  <c r="AE77" i="3" s="1"/>
  <c r="AG77" i="3" s="1"/>
  <c r="AM77" i="3" s="1"/>
  <c r="AD81" i="3"/>
  <c r="AE81" i="3" s="1"/>
  <c r="AG81" i="3" s="1"/>
  <c r="AM81" i="3" s="1"/>
  <c r="AD85" i="3"/>
  <c r="AE85" i="3" s="1"/>
  <c r="AG85" i="3" s="1"/>
  <c r="AM85" i="3" s="1"/>
  <c r="AD89" i="3"/>
  <c r="AE89" i="3" s="1"/>
  <c r="AG89" i="3" s="1"/>
  <c r="AM89" i="3" s="1"/>
  <c r="AD93" i="3"/>
  <c r="AE93" i="3" s="1"/>
  <c r="AG93" i="3" s="1"/>
  <c r="AM93" i="3" s="1"/>
  <c r="AD97" i="3"/>
  <c r="AE97" i="3" s="1"/>
  <c r="AG97" i="3" s="1"/>
  <c r="AM97" i="3" s="1"/>
  <c r="AD101" i="3"/>
  <c r="AE101" i="3" s="1"/>
  <c r="AG101" i="3" s="1"/>
  <c r="AM101" i="3" s="1"/>
  <c r="AD105" i="3"/>
  <c r="AE105" i="3" s="1"/>
  <c r="AG105" i="3" s="1"/>
  <c r="AM105" i="3" s="1"/>
  <c r="AD109" i="3"/>
  <c r="AE109" i="3" s="1"/>
  <c r="AG109" i="3" s="1"/>
  <c r="AM109" i="3" s="1"/>
  <c r="AD113" i="3"/>
  <c r="AE113" i="3" s="1"/>
  <c r="AG113" i="3" s="1"/>
  <c r="AM113" i="3" s="1"/>
  <c r="AD117" i="3"/>
  <c r="AE117" i="3" s="1"/>
  <c r="AG117" i="3" s="1"/>
  <c r="AM117" i="3" s="1"/>
  <c r="N126" i="3"/>
  <c r="O126" i="3" s="1"/>
  <c r="Q126" i="3" s="1"/>
  <c r="AD138" i="3"/>
  <c r="AE138" i="3" s="1"/>
  <c r="AG138" i="3" s="1"/>
  <c r="AM138" i="3" s="1"/>
  <c r="AD140" i="3"/>
  <c r="AE140" i="3" s="1"/>
  <c r="AG140" i="3" s="1"/>
  <c r="AM140" i="3" s="1"/>
  <c r="AD149" i="3"/>
  <c r="AE149" i="3" s="1"/>
  <c r="AG149" i="3" s="1"/>
  <c r="AM149" i="3" s="1"/>
  <c r="AG169" i="3"/>
  <c r="AM169" i="3" s="1"/>
  <c r="AD181" i="3"/>
  <c r="AE181" i="3" s="1"/>
  <c r="AG181" i="3" s="1"/>
  <c r="AM181" i="3" s="1"/>
  <c r="AG223" i="3"/>
  <c r="AM223" i="3" s="1"/>
  <c r="N231" i="3"/>
  <c r="O231" i="3" s="1"/>
  <c r="Q231" i="3" s="1"/>
  <c r="AG250" i="3"/>
  <c r="AM250" i="3" s="1"/>
  <c r="N177" i="3"/>
  <c r="O177" i="3" s="1"/>
  <c r="Q177" i="3" s="1"/>
  <c r="P302" i="3"/>
  <c r="N302" i="3"/>
  <c r="O302" i="3" s="1"/>
  <c r="Q296" i="3"/>
  <c r="AD151" i="3"/>
  <c r="AE151" i="3" s="1"/>
  <c r="AG151" i="3" s="1"/>
  <c r="AM151" i="3" s="1"/>
  <c r="AD156" i="3"/>
  <c r="AE156" i="3" s="1"/>
  <c r="AG156" i="3" s="1"/>
  <c r="AM156" i="3" s="1"/>
  <c r="N160" i="3"/>
  <c r="O160" i="3" s="1"/>
  <c r="Q160" i="3" s="1"/>
  <c r="N185" i="3"/>
  <c r="O185" i="3" s="1"/>
  <c r="Q185" i="3" s="1"/>
  <c r="Q195" i="3"/>
  <c r="N200" i="3"/>
  <c r="O200" i="3" s="1"/>
  <c r="Q200" i="3" s="1"/>
  <c r="Q203" i="3"/>
  <c r="AG218" i="3"/>
  <c r="AM218" i="3" s="1"/>
  <c r="P225" i="3"/>
  <c r="N225" i="3"/>
  <c r="O225" i="3" s="1"/>
  <c r="Q230" i="3"/>
  <c r="AG231" i="3"/>
  <c r="AM231" i="3" s="1"/>
  <c r="AD245" i="3"/>
  <c r="AE245" i="3" s="1"/>
  <c r="AG245" i="3" s="1"/>
  <c r="AM245" i="3" s="1"/>
  <c r="Q260" i="3"/>
  <c r="Q301" i="3"/>
  <c r="Q348" i="3"/>
  <c r="N358" i="3"/>
  <c r="O358" i="3" s="1"/>
  <c r="Q358" i="3" s="1"/>
  <c r="AD167" i="3"/>
  <c r="AE167" i="3" s="1"/>
  <c r="AG167" i="3" s="1"/>
  <c r="AM167" i="3" s="1"/>
  <c r="AD175" i="3"/>
  <c r="AE175" i="3" s="1"/>
  <c r="AG175" i="3" s="1"/>
  <c r="AM175" i="3" s="1"/>
  <c r="AD183" i="3"/>
  <c r="AE183" i="3" s="1"/>
  <c r="AG183" i="3" s="1"/>
  <c r="AM183" i="3" s="1"/>
  <c r="N192" i="3"/>
  <c r="O192" i="3" s="1"/>
  <c r="Q192" i="3" s="1"/>
  <c r="N227" i="3"/>
  <c r="O227" i="3" s="1"/>
  <c r="Q227" i="3" s="1"/>
  <c r="AG275" i="3"/>
  <c r="AM275" i="3" s="1"/>
  <c r="N287" i="3"/>
  <c r="O287" i="3" s="1"/>
  <c r="Q287" i="3" s="1"/>
  <c r="AG289" i="3"/>
  <c r="AM289" i="3" s="1"/>
  <c r="AG325" i="3"/>
  <c r="AM325" i="3" s="1"/>
  <c r="AG207" i="3"/>
  <c r="AM207" i="3" s="1"/>
  <c r="AG214" i="3"/>
  <c r="AM214" i="3" s="1"/>
  <c r="Q235" i="3"/>
  <c r="AG260" i="3"/>
  <c r="AM260" i="3" s="1"/>
  <c r="P308" i="3"/>
  <c r="N308" i="3"/>
  <c r="O308" i="3" s="1"/>
  <c r="Q308" i="3" s="1"/>
  <c r="AG320" i="3"/>
  <c r="AM320" i="3" s="1"/>
  <c r="S19" i="4"/>
  <c r="P29" i="4"/>
  <c r="Q29" i="4" s="1"/>
  <c r="S31" i="4"/>
  <c r="N190" i="3"/>
  <c r="O190" i="3" s="1"/>
  <c r="Q190" i="3" s="1"/>
  <c r="AD212" i="3"/>
  <c r="AE212" i="3" s="1"/>
  <c r="AG212" i="3" s="1"/>
  <c r="AM212" i="3" s="1"/>
  <c r="AG230" i="3"/>
  <c r="AM230" i="3" s="1"/>
  <c r="AG247" i="3"/>
  <c r="AM247" i="3" s="1"/>
  <c r="N273" i="3"/>
  <c r="O273" i="3" s="1"/>
  <c r="Q273" i="3" s="1"/>
  <c r="N286" i="3"/>
  <c r="O286" i="3" s="1"/>
  <c r="Q286" i="3" s="1"/>
  <c r="AF336" i="3"/>
  <c r="AD336" i="3"/>
  <c r="AE336" i="3" s="1"/>
  <c r="AG336" i="3" s="1"/>
  <c r="AM336" i="3" s="1"/>
  <c r="AG339" i="3"/>
  <c r="AM339" i="3" s="1"/>
  <c r="P371" i="3"/>
  <c r="N371" i="3"/>
  <c r="O371" i="3" s="1"/>
  <c r="R308" i="4"/>
  <c r="P308" i="4"/>
  <c r="Q308" i="4" s="1"/>
  <c r="AD170" i="3"/>
  <c r="AE170" i="3" s="1"/>
  <c r="AG170" i="3" s="1"/>
  <c r="AM170" i="3" s="1"/>
  <c r="N173" i="3"/>
  <c r="O173" i="3" s="1"/>
  <c r="Q173" i="3" s="1"/>
  <c r="AD178" i="3"/>
  <c r="AE178" i="3" s="1"/>
  <c r="AG178" i="3" s="1"/>
  <c r="AM178" i="3" s="1"/>
  <c r="N181" i="3"/>
  <c r="O181" i="3" s="1"/>
  <c r="Q181" i="3" s="1"/>
  <c r="AD186" i="3"/>
  <c r="AE186" i="3" s="1"/>
  <c r="AG186" i="3" s="1"/>
  <c r="AM186" i="3" s="1"/>
  <c r="AG199" i="3"/>
  <c r="AM199" i="3" s="1"/>
  <c r="AG206" i="3"/>
  <c r="AM206" i="3" s="1"/>
  <c r="AG227" i="3"/>
  <c r="AM227" i="3" s="1"/>
  <c r="AD239" i="3"/>
  <c r="AE239" i="3" s="1"/>
  <c r="AG239" i="3" s="1"/>
  <c r="AM239" i="3" s="1"/>
  <c r="AG259" i="3"/>
  <c r="AM259" i="3" s="1"/>
  <c r="P276" i="3"/>
  <c r="N276" i="3"/>
  <c r="O276" i="3" s="1"/>
  <c r="Q276" i="3" s="1"/>
  <c r="AD308" i="3"/>
  <c r="AE308" i="3" s="1"/>
  <c r="AG308" i="3" s="1"/>
  <c r="AM308" i="3" s="1"/>
  <c r="N332" i="3"/>
  <c r="O332" i="3" s="1"/>
  <c r="Q332" i="3" s="1"/>
  <c r="N381" i="3"/>
  <c r="O381" i="3" s="1"/>
  <c r="Q381" i="3" s="1"/>
  <c r="AD171" i="3"/>
  <c r="AE171" i="3" s="1"/>
  <c r="AG171" i="3" s="1"/>
  <c r="AM171" i="3" s="1"/>
  <c r="AD179" i="3"/>
  <c r="AE179" i="3" s="1"/>
  <c r="AG179" i="3" s="1"/>
  <c r="AM179" i="3" s="1"/>
  <c r="AD187" i="3"/>
  <c r="AE187" i="3" s="1"/>
  <c r="AG187" i="3" s="1"/>
  <c r="AM187" i="3" s="1"/>
  <c r="AF354" i="3"/>
  <c r="AD354" i="3"/>
  <c r="AE354" i="3" s="1"/>
  <c r="AG365" i="3"/>
  <c r="AM365" i="3" s="1"/>
  <c r="R161" i="4"/>
  <c r="P161" i="4"/>
  <c r="Q161" i="4" s="1"/>
  <c r="AD159" i="3"/>
  <c r="AE159" i="3" s="1"/>
  <c r="AG159" i="3" s="1"/>
  <c r="AM159" i="3" s="1"/>
  <c r="AG191" i="3"/>
  <c r="AM191" i="3" s="1"/>
  <c r="AG198" i="3"/>
  <c r="AM198" i="3" s="1"/>
  <c r="AD205" i="3"/>
  <c r="AE205" i="3" s="1"/>
  <c r="AG205" i="3" s="1"/>
  <c r="AM205" i="3" s="1"/>
  <c r="Q219" i="3"/>
  <c r="AD225" i="3"/>
  <c r="AE225" i="3" s="1"/>
  <c r="AG225" i="3" s="1"/>
  <c r="AM225" i="3" s="1"/>
  <c r="N249" i="3"/>
  <c r="O249" i="3" s="1"/>
  <c r="Q249" i="3" s="1"/>
  <c r="AD253" i="3"/>
  <c r="AE253" i="3" s="1"/>
  <c r="AG253" i="3" s="1"/>
  <c r="AM253" i="3" s="1"/>
  <c r="P284" i="3"/>
  <c r="N284" i="3"/>
  <c r="O284" i="3" s="1"/>
  <c r="P289" i="3"/>
  <c r="N289" i="3"/>
  <c r="O289" i="3" s="1"/>
  <c r="Q312" i="3"/>
  <c r="AD322" i="3"/>
  <c r="AE322" i="3" s="1"/>
  <c r="AG322" i="3" s="1"/>
  <c r="AM322" i="3" s="1"/>
  <c r="AG350" i="3"/>
  <c r="AM350" i="3" s="1"/>
  <c r="Q370" i="3"/>
  <c r="R198" i="4"/>
  <c r="AG291" i="3"/>
  <c r="AM291" i="3" s="1"/>
  <c r="Q303" i="3"/>
  <c r="P307" i="3"/>
  <c r="N307" i="3"/>
  <c r="O307" i="3" s="1"/>
  <c r="AD317" i="3"/>
  <c r="AE317" i="3" s="1"/>
  <c r="AG317" i="3" s="1"/>
  <c r="AM317" i="3" s="1"/>
  <c r="AF318" i="3"/>
  <c r="AD318" i="3"/>
  <c r="AE318" i="3" s="1"/>
  <c r="AD332" i="3"/>
  <c r="AE332" i="3" s="1"/>
  <c r="AG332" i="3" s="1"/>
  <c r="AM332" i="3" s="1"/>
  <c r="AG361" i="3"/>
  <c r="AM361" i="3" s="1"/>
  <c r="R150" i="4"/>
  <c r="P150" i="4"/>
  <c r="Q150" i="4" s="1"/>
  <c r="Q310" i="3"/>
  <c r="AG353" i="3"/>
  <c r="AM353" i="3" s="1"/>
  <c r="Q356" i="3"/>
  <c r="AG363" i="3"/>
  <c r="AM363" i="3" s="1"/>
  <c r="AG376" i="3"/>
  <c r="AM376" i="3" s="1"/>
  <c r="N196" i="3"/>
  <c r="O196" i="3" s="1"/>
  <c r="Q196" i="3" s="1"/>
  <c r="N204" i="3"/>
  <c r="O204" i="3" s="1"/>
  <c r="Q204" i="3" s="1"/>
  <c r="N212" i="3"/>
  <c r="O212" i="3" s="1"/>
  <c r="Q212" i="3" s="1"/>
  <c r="N248" i="3"/>
  <c r="O248" i="3" s="1"/>
  <c r="Q248" i="3" s="1"/>
  <c r="N292" i="3"/>
  <c r="O292" i="3" s="1"/>
  <c r="Q292" i="3" s="1"/>
  <c r="AD313" i="3"/>
  <c r="AE313" i="3" s="1"/>
  <c r="AG313" i="3" s="1"/>
  <c r="AM313" i="3" s="1"/>
  <c r="P337" i="3"/>
  <c r="N337" i="3"/>
  <c r="O337" i="3" s="1"/>
  <c r="Q337" i="3" s="1"/>
  <c r="AD338" i="3"/>
  <c r="AE338" i="3" s="1"/>
  <c r="AG338" i="3" s="1"/>
  <c r="AM338" i="3" s="1"/>
  <c r="AG348" i="3"/>
  <c r="AM348" i="3" s="1"/>
  <c r="P351" i="3"/>
  <c r="N351" i="3"/>
  <c r="O351" i="3" s="1"/>
  <c r="N379" i="3"/>
  <c r="O379" i="3" s="1"/>
  <c r="Q379" i="3" s="1"/>
  <c r="S60" i="4"/>
  <c r="N224" i="3"/>
  <c r="O224" i="3" s="1"/>
  <c r="Q224" i="3" s="1"/>
  <c r="N251" i="3"/>
  <c r="O251" i="3" s="1"/>
  <c r="Q251" i="3" s="1"/>
  <c r="N290" i="3"/>
  <c r="O290" i="3" s="1"/>
  <c r="Q290" i="3" s="1"/>
  <c r="AG296" i="3"/>
  <c r="AM296" i="3" s="1"/>
  <c r="N298" i="3"/>
  <c r="O298" i="3" s="1"/>
  <c r="Q298" i="3" s="1"/>
  <c r="N361" i="3"/>
  <c r="O361" i="3" s="1"/>
  <c r="Q361" i="3" s="1"/>
  <c r="P373" i="3"/>
  <c r="N373" i="3"/>
  <c r="O373" i="3" s="1"/>
  <c r="P76" i="4"/>
  <c r="Q76" i="4" s="1"/>
  <c r="R76" i="4"/>
  <c r="R272" i="4"/>
  <c r="P272" i="4"/>
  <c r="Q272" i="4" s="1"/>
  <c r="AG319" i="3"/>
  <c r="AM319" i="3" s="1"/>
  <c r="R92" i="4"/>
  <c r="P92" i="4"/>
  <c r="Q92" i="4" s="1"/>
  <c r="R133" i="4"/>
  <c r="P133" i="4"/>
  <c r="Q133" i="4" s="1"/>
  <c r="N243" i="3"/>
  <c r="O243" i="3" s="1"/>
  <c r="Q243" i="3" s="1"/>
  <c r="AD255" i="3"/>
  <c r="AE255" i="3" s="1"/>
  <c r="AG255" i="3" s="1"/>
  <c r="AM255" i="3" s="1"/>
  <c r="N267" i="3"/>
  <c r="O267" i="3" s="1"/>
  <c r="Q267" i="3" s="1"/>
  <c r="AF272" i="3"/>
  <c r="AD272" i="3"/>
  <c r="AE272" i="3" s="1"/>
  <c r="N279" i="3"/>
  <c r="O279" i="3" s="1"/>
  <c r="Q279" i="3" s="1"/>
  <c r="N304" i="3"/>
  <c r="O304" i="3" s="1"/>
  <c r="P304" i="3"/>
  <c r="AD305" i="3"/>
  <c r="AE305" i="3" s="1"/>
  <c r="AG305" i="3" s="1"/>
  <c r="AM305" i="3" s="1"/>
  <c r="AD311" i="3"/>
  <c r="AE311" i="3" s="1"/>
  <c r="AG311" i="3" s="1"/>
  <c r="AM311" i="3" s="1"/>
  <c r="Q350" i="3"/>
  <c r="P293" i="4"/>
  <c r="Q293" i="4" s="1"/>
  <c r="AF362" i="3"/>
  <c r="AD362" i="3"/>
  <c r="AE362" i="3" s="1"/>
  <c r="AD373" i="3"/>
  <c r="AE373" i="3" s="1"/>
  <c r="AG373" i="3" s="1"/>
  <c r="AM373" i="3" s="1"/>
  <c r="R221" i="4"/>
  <c r="P221" i="4"/>
  <c r="Q221" i="4" s="1"/>
  <c r="S46" i="4"/>
  <c r="S81" i="4"/>
  <c r="P270" i="4"/>
  <c r="Q270" i="4" s="1"/>
  <c r="P346" i="4"/>
  <c r="Q346" i="4" s="1"/>
  <c r="AD271" i="3"/>
  <c r="AE271" i="3" s="1"/>
  <c r="AG271" i="3" s="1"/>
  <c r="AM271" i="3" s="1"/>
  <c r="AD273" i="3"/>
  <c r="AE273" i="3" s="1"/>
  <c r="AG273" i="3" s="1"/>
  <c r="AM273" i="3" s="1"/>
  <c r="AD276" i="3"/>
  <c r="AE276" i="3" s="1"/>
  <c r="AG276" i="3" s="1"/>
  <c r="AM276" i="3" s="1"/>
  <c r="N306" i="3"/>
  <c r="O306" i="3" s="1"/>
  <c r="Q306" i="3" s="1"/>
  <c r="AD333" i="3"/>
  <c r="AE333" i="3" s="1"/>
  <c r="AG333" i="3" s="1"/>
  <c r="AM333" i="3" s="1"/>
  <c r="AD335" i="3"/>
  <c r="AE335" i="3" s="1"/>
  <c r="AG335" i="3" s="1"/>
  <c r="AM335" i="3" s="1"/>
  <c r="N345" i="3"/>
  <c r="O345" i="3" s="1"/>
  <c r="Q345" i="3" s="1"/>
  <c r="Q368" i="3"/>
  <c r="AD372" i="3"/>
  <c r="AE372" i="3" s="1"/>
  <c r="AG372" i="3" s="1"/>
  <c r="AM372" i="3" s="1"/>
  <c r="S58" i="4"/>
  <c r="P68" i="4"/>
  <c r="Q68" i="4" s="1"/>
  <c r="R109" i="4"/>
  <c r="P109" i="4"/>
  <c r="Q109" i="4" s="1"/>
  <c r="R320" i="4"/>
  <c r="P320" i="4"/>
  <c r="Q320" i="4" s="1"/>
  <c r="P333" i="4"/>
  <c r="Q333" i="4" s="1"/>
  <c r="P361" i="4"/>
  <c r="Q361" i="4" s="1"/>
  <c r="I384" i="5"/>
  <c r="C5" i="5" s="1"/>
  <c r="AD281" i="3"/>
  <c r="AE281" i="3" s="1"/>
  <c r="AG281" i="3" s="1"/>
  <c r="AM281" i="3" s="1"/>
  <c r="P343" i="3"/>
  <c r="N343" i="3"/>
  <c r="O343" i="3" s="1"/>
  <c r="S43" i="4"/>
  <c r="S45" i="4"/>
  <c r="R213" i="4"/>
  <c r="P213" i="4"/>
  <c r="Q213" i="4" s="1"/>
  <c r="AG292" i="3"/>
  <c r="AM292" i="3" s="1"/>
  <c r="N300" i="3"/>
  <c r="O300" i="3" s="1"/>
  <c r="Q300" i="3" s="1"/>
  <c r="N305" i="3"/>
  <c r="O305" i="3" s="1"/>
  <c r="Q305" i="3" s="1"/>
  <c r="AD334" i="3"/>
  <c r="AE334" i="3" s="1"/>
  <c r="AG334" i="3" s="1"/>
  <c r="AM334" i="3" s="1"/>
  <c r="N367" i="3"/>
  <c r="O367" i="3" s="1"/>
  <c r="Q367" i="3" s="1"/>
  <c r="S24" i="4"/>
  <c r="S26" i="4"/>
  <c r="P73" i="4"/>
  <c r="Q73" i="4" s="1"/>
  <c r="N327" i="3"/>
  <c r="O327" i="3" s="1"/>
  <c r="Q327" i="3" s="1"/>
  <c r="N353" i="3"/>
  <c r="O353" i="3" s="1"/>
  <c r="Q353" i="3" s="1"/>
  <c r="AF378" i="3"/>
  <c r="AD378" i="3"/>
  <c r="AE378" i="3" s="1"/>
  <c r="AG378" i="3" s="1"/>
  <c r="AM378" i="3" s="1"/>
  <c r="S22" i="4"/>
  <c r="P47" i="4"/>
  <c r="Q47" i="4" s="1"/>
  <c r="P71" i="4"/>
  <c r="Q71" i="4" s="1"/>
  <c r="P86" i="4"/>
  <c r="Q86" i="4" s="1"/>
  <c r="R88" i="4"/>
  <c r="P88" i="4"/>
  <c r="Q88" i="4" s="1"/>
  <c r="P112" i="4"/>
  <c r="Q112" i="4" s="1"/>
  <c r="P240" i="4"/>
  <c r="Q240" i="4" s="1"/>
  <c r="AD297" i="3"/>
  <c r="AE297" i="3" s="1"/>
  <c r="AG297" i="3" s="1"/>
  <c r="AM297" i="3" s="1"/>
  <c r="N338" i="3"/>
  <c r="O338" i="3" s="1"/>
  <c r="Q338" i="3" s="1"/>
  <c r="AD345" i="3"/>
  <c r="AE345" i="3" s="1"/>
  <c r="AG345" i="3" s="1"/>
  <c r="AM345" i="3" s="1"/>
  <c r="AF346" i="3"/>
  <c r="AD346" i="3"/>
  <c r="AE346" i="3" s="1"/>
  <c r="AG346" i="3" s="1"/>
  <c r="AM346" i="3" s="1"/>
  <c r="AD356" i="3"/>
  <c r="AE356" i="3" s="1"/>
  <c r="AG356" i="3" s="1"/>
  <c r="AM356" i="3" s="1"/>
  <c r="AD367" i="3"/>
  <c r="AE367" i="3" s="1"/>
  <c r="AG367" i="3" s="1"/>
  <c r="AM367" i="3" s="1"/>
  <c r="AG368" i="3"/>
  <c r="AM368" i="3" s="1"/>
  <c r="AD377" i="3"/>
  <c r="AE377" i="3" s="1"/>
  <c r="AG377" i="3" s="1"/>
  <c r="AM377" i="3" s="1"/>
  <c r="R118" i="4"/>
  <c r="P118" i="4"/>
  <c r="Q118" i="4" s="1"/>
  <c r="P149" i="4"/>
  <c r="Q149" i="4" s="1"/>
  <c r="S166" i="4"/>
  <c r="S170" i="4"/>
  <c r="P326" i="4"/>
  <c r="Q326" i="4" s="1"/>
  <c r="S328" i="4"/>
  <c r="R83" i="4"/>
  <c r="P83" i="4"/>
  <c r="Q83" i="4" s="1"/>
  <c r="R91" i="4"/>
  <c r="P91" i="4"/>
  <c r="Q91" i="4" s="1"/>
  <c r="R130" i="4"/>
  <c r="P130" i="4"/>
  <c r="Q130" i="4" s="1"/>
  <c r="R174" i="4"/>
  <c r="P174" i="4"/>
  <c r="Q174" i="4" s="1"/>
  <c r="R266" i="4"/>
  <c r="P266" i="4"/>
  <c r="Q266" i="4" s="1"/>
  <c r="S72" i="4"/>
  <c r="P97" i="4"/>
  <c r="Q97" i="4" s="1"/>
  <c r="P107" i="4"/>
  <c r="Q107" i="4" s="1"/>
  <c r="S123" i="4"/>
  <c r="P147" i="4"/>
  <c r="Q147" i="4" s="1"/>
  <c r="S179" i="4"/>
  <c r="S187" i="4"/>
  <c r="P222" i="4"/>
  <c r="Q222" i="4" s="1"/>
  <c r="P317" i="4"/>
  <c r="Q317" i="4" s="1"/>
  <c r="S13" i="4"/>
  <c r="S385" i="4" s="1"/>
  <c r="S20" i="4"/>
  <c r="S25" i="4"/>
  <c r="S32" i="4"/>
  <c r="S37" i="4"/>
  <c r="S49" i="4"/>
  <c r="S61" i="4"/>
  <c r="R72" i="4"/>
  <c r="P72" i="4"/>
  <c r="Q72" i="4" s="1"/>
  <c r="R101" i="4"/>
  <c r="P101" i="4"/>
  <c r="Q101" i="4" s="1"/>
  <c r="R139" i="4"/>
  <c r="P139" i="4"/>
  <c r="Q139" i="4" s="1"/>
  <c r="N375" i="3"/>
  <c r="O375" i="3" s="1"/>
  <c r="Q375" i="3" s="1"/>
  <c r="S96" i="4"/>
  <c r="P131" i="4"/>
  <c r="Q131" i="4" s="1"/>
  <c r="S146" i="4"/>
  <c r="P185" i="4"/>
  <c r="Q185" i="4" s="1"/>
  <c r="P200" i="4"/>
  <c r="Q200" i="4" s="1"/>
  <c r="P166" i="4"/>
  <c r="Q166" i="4" s="1"/>
  <c r="S200" i="4"/>
  <c r="S215" i="4"/>
  <c r="P232" i="4"/>
  <c r="Q232" i="4" s="1"/>
  <c r="P238" i="4"/>
  <c r="Q238" i="4" s="1"/>
  <c r="P137" i="4"/>
  <c r="Q137" i="4" s="1"/>
  <c r="P204" i="4"/>
  <c r="Q204" i="4" s="1"/>
  <c r="S227" i="4"/>
  <c r="P258" i="4"/>
  <c r="Q258" i="4" s="1"/>
  <c r="S143" i="4"/>
  <c r="S182" i="4"/>
  <c r="S197" i="4"/>
  <c r="I7" i="10"/>
  <c r="H7" i="10"/>
  <c r="F7" i="10"/>
  <c r="D7" i="10"/>
  <c r="E7" i="10"/>
  <c r="G7" i="10"/>
  <c r="S169" i="4"/>
  <c r="S184" i="4"/>
  <c r="P197" i="4"/>
  <c r="Q197" i="4" s="1"/>
  <c r="S212" i="4"/>
  <c r="P227" i="4"/>
  <c r="Q227" i="4" s="1"/>
  <c r="P249" i="4"/>
  <c r="Q249" i="4" s="1"/>
  <c r="P331" i="4"/>
  <c r="Q331" i="4" s="1"/>
  <c r="R341" i="4"/>
  <c r="P341" i="4"/>
  <c r="Q341" i="4" s="1"/>
  <c r="S352" i="4"/>
  <c r="R362" i="4"/>
  <c r="P362" i="4"/>
  <c r="Q362" i="4" s="1"/>
  <c r="R364" i="4"/>
  <c r="P364" i="4"/>
  <c r="Q364" i="4" s="1"/>
  <c r="P134" i="4"/>
  <c r="Q134" i="4" s="1"/>
  <c r="P154" i="4"/>
  <c r="Q154" i="4" s="1"/>
  <c r="P165" i="4"/>
  <c r="Q165" i="4" s="1"/>
  <c r="P169" i="4"/>
  <c r="Q169" i="4" s="1"/>
  <c r="P237" i="4"/>
  <c r="Q237" i="4" s="1"/>
  <c r="P245" i="4"/>
  <c r="Q245" i="4" s="1"/>
  <c r="P277" i="4"/>
  <c r="Q277" i="4" s="1"/>
  <c r="S307" i="4"/>
  <c r="P383" i="4"/>
  <c r="Q383" i="4" s="1"/>
  <c r="P110" i="4"/>
  <c r="Q110" i="4" s="1"/>
  <c r="P122" i="4"/>
  <c r="Q122" i="4" s="1"/>
  <c r="P186" i="4"/>
  <c r="Q186" i="4" s="1"/>
  <c r="P243" i="4"/>
  <c r="Q243" i="4" s="1"/>
  <c r="P259" i="4"/>
  <c r="Q259" i="4" s="1"/>
  <c r="P269" i="4"/>
  <c r="Q269" i="4" s="1"/>
  <c r="P295" i="4"/>
  <c r="Q295" i="4" s="1"/>
  <c r="P313" i="4"/>
  <c r="Q313" i="4" s="1"/>
  <c r="R323" i="4"/>
  <c r="P323" i="4"/>
  <c r="Q323" i="4" s="1"/>
  <c r="P335" i="4"/>
  <c r="Q335" i="4" s="1"/>
  <c r="P348" i="4"/>
  <c r="Q348" i="4" s="1"/>
  <c r="R348" i="4"/>
  <c r="J404" i="6"/>
  <c r="D3" i="6" s="1"/>
  <c r="P157" i="4"/>
  <c r="Q157" i="4" s="1"/>
  <c r="S232" i="4"/>
  <c r="P267" i="4"/>
  <c r="Q267" i="4" s="1"/>
  <c r="P274" i="4"/>
  <c r="Q274" i="4" s="1"/>
  <c r="P285" i="4"/>
  <c r="Q285" i="4" s="1"/>
  <c r="P358" i="4"/>
  <c r="Q358" i="4" s="1"/>
  <c r="S325" i="4"/>
  <c r="S343" i="4"/>
  <c r="S372" i="4"/>
  <c r="K404" i="6"/>
  <c r="P148" i="4"/>
  <c r="Q148" i="4" s="1"/>
  <c r="S188" i="4"/>
  <c r="S206" i="4"/>
  <c r="S229" i="4"/>
  <c r="S271" i="4"/>
  <c r="S289" i="4"/>
  <c r="P142" i="4"/>
  <c r="Q142" i="4" s="1"/>
  <c r="S185" i="4"/>
  <c r="S203" i="4"/>
  <c r="S221" i="4"/>
  <c r="P355" i="4"/>
  <c r="Q355" i="4" s="1"/>
  <c r="R368" i="4"/>
  <c r="H6" i="10"/>
  <c r="G6" i="10"/>
  <c r="E6" i="10"/>
  <c r="D6" i="10"/>
  <c r="I6" i="10"/>
  <c r="C24" i="10"/>
  <c r="E24" i="10" s="1"/>
  <c r="H12" i="10"/>
  <c r="G12" i="10"/>
  <c r="E12" i="10"/>
  <c r="D12" i="10"/>
  <c r="I12" i="10"/>
  <c r="F12" i="10"/>
  <c r="D20" i="10"/>
  <c r="H20" i="10"/>
  <c r="G20" i="10"/>
  <c r="F20" i="10"/>
  <c r="E20" i="10"/>
  <c r="P255" i="4"/>
  <c r="Q255" i="4" s="1"/>
  <c r="P273" i="4"/>
  <c r="Q273" i="4" s="1"/>
  <c r="P291" i="4"/>
  <c r="Q291" i="4" s="1"/>
  <c r="S367" i="4"/>
  <c r="S378" i="4"/>
  <c r="H15" i="10"/>
  <c r="G15" i="10"/>
  <c r="E15" i="10"/>
  <c r="D15" i="10"/>
  <c r="I15" i="10"/>
  <c r="P247" i="4"/>
  <c r="Q247" i="4" s="1"/>
  <c r="P265" i="4"/>
  <c r="Q265" i="4" s="1"/>
  <c r="P283" i="4"/>
  <c r="Q283" i="4" s="1"/>
  <c r="P301" i="4"/>
  <c r="Q301" i="4" s="1"/>
  <c r="P319" i="4"/>
  <c r="Q319" i="4" s="1"/>
  <c r="P337" i="4"/>
  <c r="Q337" i="4" s="1"/>
  <c r="H9" i="10"/>
  <c r="G9" i="10"/>
  <c r="E9" i="10"/>
  <c r="D9" i="10"/>
  <c r="I9" i="10"/>
  <c r="F9" i="10"/>
  <c r="F15" i="10"/>
  <c r="H21" i="10"/>
  <c r="G21" i="10"/>
  <c r="E21" i="10"/>
  <c r="D21" i="10"/>
  <c r="I21" i="10"/>
  <c r="F21" i="10"/>
  <c r="P288" i="4"/>
  <c r="Q288" i="4" s="1"/>
  <c r="P306" i="4"/>
  <c r="Q306" i="4" s="1"/>
  <c r="P324" i="4"/>
  <c r="Q324" i="4" s="1"/>
  <c r="P342" i="4"/>
  <c r="Q342" i="4" s="1"/>
  <c r="P349" i="4"/>
  <c r="Q349" i="4" s="1"/>
  <c r="I16" i="10"/>
  <c r="H16" i="10"/>
  <c r="F16" i="10"/>
  <c r="D16" i="10"/>
  <c r="S382" i="4"/>
  <c r="D17" i="10"/>
  <c r="H17" i="10"/>
  <c r="G17" i="10"/>
  <c r="F17" i="10"/>
  <c r="E17" i="10"/>
  <c r="I13" i="10"/>
  <c r="H13" i="10"/>
  <c r="F13" i="10"/>
  <c r="D13" i="10"/>
  <c r="I17" i="10"/>
  <c r="I22" i="10"/>
  <c r="H22" i="10"/>
  <c r="F22" i="10"/>
  <c r="D22" i="10"/>
  <c r="S379" i="4"/>
  <c r="F13" i="9"/>
  <c r="F12" i="9"/>
  <c r="Q5" i="9"/>
  <c r="F15" i="9"/>
  <c r="E13" i="10"/>
  <c r="E22" i="10"/>
  <c r="H18" i="10"/>
  <c r="G18" i="10"/>
  <c r="E18" i="10"/>
  <c r="D18" i="10"/>
  <c r="I18" i="10"/>
  <c r="G22" i="10"/>
  <c r="S373" i="4"/>
  <c r="D14" i="10"/>
  <c r="H14" i="10"/>
  <c r="G14" i="10"/>
  <c r="F14" i="10"/>
  <c r="E14" i="10"/>
  <c r="F18" i="10"/>
  <c r="D23" i="10"/>
  <c r="H23" i="10"/>
  <c r="G23" i="10"/>
  <c r="F23" i="10"/>
  <c r="E23" i="10"/>
  <c r="I10" i="10"/>
  <c r="H10" i="10"/>
  <c r="F10" i="10"/>
  <c r="D10" i="10"/>
  <c r="I14" i="10"/>
  <c r="I19" i="10"/>
  <c r="H19" i="10"/>
  <c r="F19" i="10"/>
  <c r="D19" i="10"/>
  <c r="I23" i="10"/>
  <c r="B24" i="10"/>
  <c r="E10" i="10"/>
  <c r="E19" i="10"/>
  <c r="Q359" i="3" l="1"/>
  <c r="Q304" i="3"/>
  <c r="Q373" i="3"/>
  <c r="Q371" i="3"/>
  <c r="Q343" i="3"/>
  <c r="Q284" i="3"/>
  <c r="Q149" i="3"/>
  <c r="D5" i="4"/>
  <c r="C21" i="2"/>
  <c r="I24" i="10"/>
  <c r="P18" i="9"/>
  <c r="R8" i="9"/>
  <c r="P14" i="9"/>
  <c r="Q8" i="9"/>
  <c r="P17" i="9"/>
  <c r="Q13" i="9"/>
  <c r="R13" i="9" s="1"/>
  <c r="Q14" i="9" s="1"/>
  <c r="R14" i="9" s="1"/>
  <c r="Q15" i="9" s="1"/>
  <c r="R15" i="9" s="1"/>
  <c r="Q16" i="9" s="1"/>
  <c r="R16" i="9" s="1"/>
  <c r="Q17" i="9" s="1"/>
  <c r="R17" i="9" s="1"/>
  <c r="Q18" i="9" s="1"/>
  <c r="R18" i="9" s="1"/>
  <c r="R10" i="9"/>
  <c r="P13" i="9"/>
  <c r="Q10" i="9"/>
  <c r="R9" i="9"/>
  <c r="P16" i="9"/>
  <c r="Q9" i="9"/>
  <c r="P15" i="9"/>
  <c r="Q6" i="9"/>
  <c r="G24" i="10"/>
  <c r="AG318" i="3"/>
  <c r="AM318" i="3" s="1"/>
  <c r="Q289" i="3"/>
  <c r="F17" i="9"/>
  <c r="D5" i="6"/>
  <c r="C22" i="2"/>
  <c r="H12" i="9"/>
  <c r="G13" i="9" s="1"/>
  <c r="H13" i="9" s="1"/>
  <c r="G14" i="9" s="1"/>
  <c r="H14" i="9" s="1"/>
  <c r="G15" i="9" s="1"/>
  <c r="H15" i="9" s="1"/>
  <c r="G16" i="9" s="1"/>
  <c r="H16" i="9" s="1"/>
  <c r="AG272" i="3"/>
  <c r="AM272" i="3" s="1"/>
  <c r="Q351" i="3"/>
  <c r="Q307" i="3"/>
  <c r="AG354" i="3"/>
  <c r="AM354" i="3" s="1"/>
  <c r="Q225" i="3"/>
  <c r="Q302" i="3"/>
  <c r="Q143" i="3"/>
  <c r="H24" i="10"/>
  <c r="AG362" i="3"/>
  <c r="AM362" i="3" s="1"/>
  <c r="AG173" i="3"/>
  <c r="AM173" i="3" s="1"/>
  <c r="Q142" i="3"/>
  <c r="D24" i="10"/>
  <c r="F24" i="10"/>
  <c r="Q288" i="3"/>
  <c r="Q384" i="3" l="1"/>
  <c r="D5" i="3" s="1"/>
  <c r="AG384" i="3"/>
  <c r="D6" i="3" s="1"/>
  <c r="E5" i="3" s="1"/>
  <c r="C23" i="2"/>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<sst xmlns="http://schemas.openxmlformats.org/spreadsheetml/2006/main" count="533" uniqueCount="237">
  <si>
    <t>Template V.2.0</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</si>
  <si>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</si>
  <si>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</si>
  <si>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</si>
  <si>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</si>
  <si>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</si>
  <si>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</si>
  <si>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</si>
  <si>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</si>
  <si>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</si>
  <si>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</si>
  <si>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</si>
  <si>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</si>
  <si>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</si>
  <si>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</si>
  <si>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</si>
  <si>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</si>
  <si>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</si>
  <si>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</si>
  <si>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</si>
  <si>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</si>
  <si>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</si>
  <si>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</si>
  <si>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</si>
  <si>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</si>
  <si>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</si>
  <si>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</si>
  <si>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</si>
  <si>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</si>
  <si>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</si>
  <si>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</si>
  <si>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</si>
  <si>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</si>
  <si>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</si>
  <si>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</si>
  <si>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</si>
  <si>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</si>
  <si>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</si>
  <si>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</si>
  <si>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</si>
  <si>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</si>
  <si>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</si>
  <si>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</si>
  <si>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</si>
  <si>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</si>
  <si>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</si>
  <si>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</si>
  <si>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</si>
  <si>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</si>
  <si>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</si>
  <si>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</si>
  <si>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</si>
  <si>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</si>
  <si>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</si>
  <si>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</si>
  <si>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</si>
  <si>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</si>
  <si>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</si>
  <si>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</si>
  <si>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</si>
  <si>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</si>
  <si>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</si>
  <si>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</si>
  <si>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</si>
  <si>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</si>
  <si>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</si>
  <si>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</si>
  <si>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</si>
  <si>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</si>
  <si>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</si>
  <si>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</si>
  <si>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</si>
  <si>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</si>
  <si>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</si>
  <si>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</si>
  <si>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</si>
  <si>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</si>
  <si>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</si>
  <si>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</si>
  <si>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</si>
  <si>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</si>
  <si>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</si>
  <si>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</si>
  <si>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</si>
  <si>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</si>
  <si>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</si>
  <si>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</si>
  <si>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</si>
  <si>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</si>
  <si>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</si>
  <si>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</si>
  <si>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</si>
  <si>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</si>
  <si>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</si>
  <si>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</si>
  <si>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</si>
  <si>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</si>
  <si>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</si>
  <si>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Fundamentação</t>
  </si>
  <si>
    <t>Fundamentação da Contagem</t>
  </si>
  <si>
    <t>Título</t>
  </si>
  <si>
    <t>Imagem Tela / Link documentação / Justificativa</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</si>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</sst>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3">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b/>
      <sz val="7"/>
      <color rgb="FF231F20"/>
      <name val="TimesNewRomanPS-BoldMT"/>
      <charset val="1"/>
    </font>
    <font>
      <sz val="7"/>
      <color rgb="FF231F20"/>
      <name val="Times New Roman"/>
      <family val="1"/>
      <charset val="1"/>
    </font>
    <font>
      <sz val="10"/>
      <name val="Arial"/>
      <charset val="1"/>
    </font>
    <font>
      <sz val="12"/>
      <name val="Arial"/>
      <family val="2"/>
    </font>
    <font>
      <u/>
      <sz val="12"/>
      <name val="Arial"/>
      <family val="2"/>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s>
  <cellStyleXfs count="4">
    <xf numFmtId="0" fontId="0" fillId="0" borderId="0"/>
    <xf numFmtId="165" fontId="30" fillId="0" borderId="0" applyBorder="0" applyProtection="0"/>
    <xf numFmtId="166" fontId="30" fillId="0" borderId="0" applyBorder="0" applyProtection="0"/>
    <xf numFmtId="9" fontId="30" fillId="0" borderId="0" applyBorder="0" applyProtection="0"/>
  </cellStyleXfs>
  <cellXfs count="284">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5"/>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8" fillId="2" borderId="12" xfId="0" applyFont="1" applyFill="1" applyBorder="1" applyAlignment="1">
      <alignment horizontal="center" vertical="center" wrapText="1"/>
    </xf>
    <xf numFmtId="0" fontId="28" fillId="2" borderId="40" xfId="0" applyFont="1" applyFill="1" applyBorder="1" applyAlignment="1">
      <alignment horizontal="center" vertical="center" wrapText="1"/>
    </xf>
    <xf numFmtId="0" fontId="28"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29" fillId="0" borderId="22" xfId="0" applyFont="1" applyBorder="1" applyAlignment="1">
      <alignment vertical="center" wrapText="1"/>
    </xf>
    <xf numFmtId="0" fontId="29" fillId="0" borderId="42" xfId="0" applyFont="1" applyBorder="1" applyAlignment="1">
      <alignment horizontal="center" vertical="center" wrapText="1"/>
    </xf>
    <xf numFmtId="0" fontId="29"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9" fillId="6" borderId="2" xfId="0" applyFont="1" applyFill="1" applyBorder="1" applyAlignment="1" applyProtection="1">
      <alignment horizontal="center" vertical="center" wrapText="1"/>
      <protection locked="0"/>
    </xf>
    <xf numFmtId="0" fontId="3" fillId="0" borderId="1" xfId="0" applyFont="1" applyBorder="1" applyAlignment="1" applyProtection="1">
      <alignment horizontal="right" vertical="center" wrapText="1"/>
      <protection locked="0" hidden="1"/>
    </xf>
    <xf numFmtId="0" fontId="5" fillId="2"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center"/>
      <protection locked="0"/>
    </xf>
    <xf numFmtId="0" fontId="1" fillId="3" borderId="2" xfId="0" applyFont="1" applyFill="1" applyBorder="1" applyAlignment="1" applyProtection="1">
      <alignment horizontal="left" vertical="center"/>
    </xf>
    <xf numFmtId="164" fontId="1" fillId="3"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6" fillId="0" borderId="2" xfId="0" applyFont="1" applyBorder="1" applyAlignment="1" applyProtection="1">
      <alignment horizontal="left" vertical="center"/>
      <protection locked="0"/>
    </xf>
    <xf numFmtId="0" fontId="6" fillId="3" borderId="2" xfId="0" applyFont="1" applyFill="1" applyBorder="1" applyAlignment="1" applyProtection="1">
      <alignment horizontal="center" vertical="center" wrapText="1"/>
      <protection locked="0"/>
    </xf>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center" vertical="center"/>
      <protection locked="0"/>
    </xf>
    <xf numFmtId="0" fontId="5" fillId="3" borderId="2" xfId="0" applyFont="1" applyFill="1" applyBorder="1" applyAlignment="1" applyProtection="1">
      <alignment horizontal="right" vertical="center"/>
      <protection locked="0"/>
    </xf>
    <xf numFmtId="0" fontId="5" fillId="3" borderId="2" xfId="0" applyFont="1" applyFill="1" applyBorder="1" applyAlignment="1" applyProtection="1">
      <alignment vertical="center"/>
      <protection locked="0"/>
    </xf>
    <xf numFmtId="0" fontId="5" fillId="3" borderId="2" xfId="0" applyFont="1" applyFill="1" applyBorder="1" applyAlignment="1" applyProtection="1">
      <alignment horizontal="left" vertical="center"/>
      <protection locked="0"/>
    </xf>
    <xf numFmtId="0" fontId="3" fillId="0" borderId="1" xfId="0" applyFont="1" applyBorder="1" applyAlignment="1" applyProtection="1">
      <alignment horizontal="right" vertical="center" wrapText="1"/>
      <protection locked="0"/>
    </xf>
    <xf numFmtId="0" fontId="10" fillId="3" borderId="2" xfId="0" applyFont="1" applyFill="1" applyBorder="1" applyAlignment="1" applyProtection="1">
      <alignment horizontal="right" vertical="center"/>
      <protection locked="0"/>
    </xf>
    <xf numFmtId="49" fontId="6" fillId="4" borderId="2" xfId="0" applyNumberFormat="1" applyFont="1" applyFill="1" applyBorder="1" applyAlignment="1" applyProtection="1">
      <alignment horizontal="center" vertical="center"/>
      <protection locked="0"/>
    </xf>
    <xf numFmtId="0" fontId="11" fillId="0" borderId="2" xfId="0" applyFont="1" applyBorder="1" applyAlignment="1" applyProtection="1">
      <alignment horizontal="center" vertical="center" wrapText="1"/>
      <protection locked="0"/>
    </xf>
    <xf numFmtId="0" fontId="12" fillId="3" borderId="2" xfId="0" applyFont="1" applyFill="1" applyBorder="1" applyAlignment="1" applyProtection="1">
      <alignment horizontal="right" vertical="center"/>
      <protection locked="0"/>
    </xf>
    <xf numFmtId="0" fontId="14" fillId="0" borderId="4" xfId="0" applyFont="1" applyBorder="1" applyAlignment="1" applyProtection="1">
      <alignment horizontal="center" vertical="center" wrapText="1"/>
      <protection locked="0"/>
    </xf>
    <xf numFmtId="164" fontId="6" fillId="4" borderId="2" xfId="0" applyNumberFormat="1" applyFont="1" applyFill="1" applyBorder="1" applyAlignment="1" applyProtection="1">
      <alignment horizontal="center" vertical="center"/>
      <protection locked="0"/>
    </xf>
    <xf numFmtId="0" fontId="15" fillId="2" borderId="6"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9" fillId="4" borderId="2" xfId="0" applyFont="1" applyFill="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2" fillId="0" borderId="4" xfId="0" applyFont="1" applyBorder="1" applyAlignment="1" applyProtection="1">
      <alignment horizontal="left" vertical="center" indent="15"/>
      <protection locked="0"/>
    </xf>
    <xf numFmtId="0" fontId="10" fillId="3" borderId="2" xfId="0" applyFont="1" applyFill="1" applyBorder="1" applyAlignment="1" applyProtection="1">
      <alignment horizontal="center" vertical="center"/>
      <protection locked="0"/>
    </xf>
    <xf numFmtId="0" fontId="15" fillId="3" borderId="2" xfId="0" applyFont="1" applyFill="1" applyBorder="1" applyAlignment="1" applyProtection="1">
      <alignment horizontal="right" vertical="center" wrapText="1"/>
      <protection locked="0"/>
    </xf>
    <xf numFmtId="0" fontId="13" fillId="4" borderId="2" xfId="0" applyFont="1" applyFill="1" applyBorder="1" applyAlignment="1" applyProtection="1">
      <alignment horizontal="center" vertical="center"/>
    </xf>
    <xf numFmtId="0" fontId="15" fillId="2" borderId="3"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15" fillId="2" borderId="1" xfId="0"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6" fillId="7" borderId="10" xfId="0" applyFont="1" applyFill="1" applyBorder="1" applyAlignment="1" applyProtection="1">
      <alignment horizontal="center" vertical="center"/>
    </xf>
    <xf numFmtId="0" fontId="18" fillId="7" borderId="22"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xf numFmtId="0" fontId="31" fillId="0" borderId="43" xfId="0" applyFont="1" applyBorder="1" applyAlignment="1">
      <alignment horizontal="center" vertical="center"/>
    </xf>
    <xf numFmtId="0" fontId="31" fillId="0" borderId="0" xfId="0" applyFont="1"/>
    <xf numFmtId="0" fontId="31" fillId="0" borderId="0" xfId="0" applyFont="1" applyBorder="1" applyAlignment="1">
      <alignment horizontal="center" vertical="center"/>
    </xf>
    <xf numFmtId="0" fontId="32" fillId="0" borderId="0" xfId="0" applyFont="1"/>
  </cellXfs>
  <cellStyles count="4">
    <cellStyle name="Moeda" xfId="2" builtinId="4"/>
    <cellStyle name="Normal" xfId="0" builtinId="0"/>
    <cellStyle name="Porcentagem" xfId="3" builtinId="5"/>
    <cellStyle name="Vírgula" xfId="1" builtinId="3"/>
  </cellStyles>
  <dxfs count="17">
    <dxf>
      <font>
        <name val="Arial"/>
        <charset val="1"/>
      </font>
    </dxf>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501789915106901E-2"/>
          <c:y val="4.9869451697127899E-2"/>
          <c:w val="0.90934506153898598"/>
          <c:h val="0.77397737162750202"/>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1BA3-4AEF-86A0-328AF8F7016C}"/>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1BA3-4AEF-86A0-328AF8F7016C}"/>
            </c:ext>
          </c:extLst>
        </c:ser>
        <c:dLbls>
          <c:showLegendKey val="0"/>
          <c:showVal val="0"/>
          <c:showCatName val="0"/>
          <c:showSerName val="0"/>
          <c:showPercent val="0"/>
          <c:showBubbleSize val="0"/>
        </c:dLbls>
        <c:hiLowLines>
          <c:spPr>
            <a:ln>
              <a:noFill/>
            </a:ln>
          </c:spPr>
        </c:hiLowLines>
        <c:smooth val="0"/>
        <c:axId val="12591170"/>
        <c:axId val="86854018"/>
      </c:lineChart>
      <c:catAx>
        <c:axId val="12591170"/>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lang="pt-B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86854018"/>
        <c:crosses val="autoZero"/>
        <c:auto val="1"/>
        <c:lblAlgn val="ctr"/>
        <c:lblOffset val="100"/>
        <c:noMultiLvlLbl val="1"/>
      </c:catAx>
      <c:valAx>
        <c:axId val="86854018"/>
        <c:scaling>
          <c:orientation val="minMax"/>
        </c:scaling>
        <c:delete val="1"/>
        <c:axPos val="l"/>
        <c:title>
          <c:tx>
            <c:rich>
              <a:bodyPr rot="-5400000"/>
              <a:lstStyle/>
              <a:p>
                <a:pPr>
                  <a:defRPr sz="1000" b="1" strike="noStrike" spc="-1">
                    <a:solidFill>
                      <a:srgbClr val="000000"/>
                    </a:solidFill>
                    <a:latin typeface="Calibri"/>
                  </a:defRPr>
                </a:pPr>
                <a:r>
                  <a:rPr lang="pt-B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12591170"/>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519480</xdr:colOff>
      <xdr:row>40</xdr:row>
      <xdr:rowOff>128880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0640" cy="635472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1576800</xdr:colOff>
      <xdr:row>0</xdr:row>
      <xdr:rowOff>719640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2040" cy="63396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1290960</xdr:colOff>
      <xdr:row>0</xdr:row>
      <xdr:rowOff>719640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08040" cy="63396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567000</xdr:colOff>
      <xdr:row>0</xdr:row>
      <xdr:rowOff>719640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7120" cy="63396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986400</xdr:colOff>
      <xdr:row>0</xdr:row>
      <xdr:rowOff>719640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0200" cy="63396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167040</xdr:colOff>
      <xdr:row>41</xdr:row>
      <xdr:rowOff>72000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687600</xdr:colOff>
      <xdr:row>0</xdr:row>
      <xdr:rowOff>723600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28920" cy="63396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33840</xdr:colOff>
      <xdr:row>0</xdr:row>
      <xdr:rowOff>719640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58440" cy="63396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RowHeight="12.5"/>
  <cols>
    <col min="1" max="1025" width="8.632812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tabSelected="1" zoomScaleNormal="100" workbookViewId="0">
      <selection activeCell="B4" sqref="B4:D4"/>
    </sheetView>
  </sheetViews>
  <sheetFormatPr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1025" width="8.90625" style="1" customWidth="1"/>
  </cols>
  <sheetData>
    <row r="1" spans="1:8" s="4" customFormat="1" ht="69" customHeight="1">
      <c r="A1" s="2" t="s">
        <v>0</v>
      </c>
      <c r="B1" s="205" t="s">
        <v>1</v>
      </c>
      <c r="C1" s="205"/>
      <c r="D1" s="205"/>
      <c r="E1" s="205"/>
      <c r="F1" s="205"/>
      <c r="G1" s="205"/>
      <c r="H1" s="3"/>
    </row>
    <row r="2" spans="1:8" ht="9" customHeight="1"/>
    <row r="3" spans="1:8" ht="15.5">
      <c r="A3" s="206" t="s">
        <v>2</v>
      </c>
      <c r="B3" s="206"/>
      <c r="C3" s="206"/>
      <c r="D3" s="206"/>
      <c r="E3" s="206"/>
      <c r="F3" s="206"/>
      <c r="G3" s="206"/>
    </row>
    <row r="4" spans="1:8">
      <c r="A4" s="5" t="s">
        <v>3</v>
      </c>
      <c r="B4" s="207"/>
      <c r="C4" s="207"/>
      <c r="D4" s="207"/>
      <c r="E4" s="5" t="s">
        <v>4</v>
      </c>
      <c r="F4" s="207" t="s">
        <v>5</v>
      </c>
      <c r="G4" s="207"/>
    </row>
    <row r="5" spans="1:8">
      <c r="A5" s="5" t="s">
        <v>6</v>
      </c>
      <c r="B5" s="207"/>
      <c r="C5" s="207"/>
      <c r="D5" s="207"/>
      <c r="E5" s="5" t="s">
        <v>7</v>
      </c>
      <c r="F5" s="207"/>
      <c r="G5" s="207"/>
    </row>
    <row r="6" spans="1:8">
      <c r="A6" s="5" t="s">
        <v>8</v>
      </c>
      <c r="B6" s="208"/>
      <c r="C6" s="208"/>
      <c r="D6" s="208"/>
      <c r="E6" s="5" t="s">
        <v>9</v>
      </c>
      <c r="F6" s="209" t="str">
        <f>IF($B$5="Detalhada",IF('AFP - Detalhada'!N4&lt;&gt;"",'AFP - Detalhada'!N4,""),IF($B$5="Estimativa",IF('AFP - Estimativa'!H4&lt;&gt;"",'AFP - Estimativa'!H4,""),IF($B$5="Indicativa",IF('AFP - Indicativa'!G4&lt;&gt;"",'AFP - Indicativa'!G4,""),"")))</f>
        <v/>
      </c>
      <c r="G6" s="209"/>
    </row>
    <row r="7" spans="1:8">
      <c r="A7" s="5" t="s">
        <v>10</v>
      </c>
      <c r="B7" s="208"/>
      <c r="C7" s="208"/>
      <c r="D7" s="208"/>
      <c r="E7" s="5" t="s">
        <v>11</v>
      </c>
      <c r="F7" s="209" t="str">
        <f>IF($B$5="Detalhada",IF('AFP - Detalhada'!N6&lt;&gt;"",'AFP - Detalhada'!N6,""),IF($B$5="Estimativa",IF('AFP - Estimativa'!H6&lt;&gt;"",'AFP - Estimativa'!H6,""),IF($B$5="Indicativa",IF('AFP - Indicativa'!G6&lt;&gt;"",'AFP - Indicativa'!G6,""),"")))</f>
        <v/>
      </c>
      <c r="G7" s="209"/>
    </row>
    <row r="9" spans="1:8" ht="15.5">
      <c r="A9" s="206" t="s">
        <v>12</v>
      </c>
      <c r="B9" s="206"/>
      <c r="C9" s="206"/>
      <c r="D9" s="206"/>
      <c r="E9" s="206"/>
      <c r="F9" s="206"/>
      <c r="G9" s="206"/>
    </row>
    <row r="10" spans="1:8" ht="42.65" customHeight="1">
      <c r="A10" s="210" t="str">
        <f>IF(Tipo_Contagem&lt;&gt;"","Obtenção do tamanho funcional (APF) "&amp;IF(Tipo_Contagem="Estimativa","Estimado", IF(Tipo_Contagem="Indicativa", "Indicativo", "Detalhado"))&amp;" das funcionalidades solicitadas/entregues na OS "&amp;IF(B4&lt;&gt;"",B4,"em questão"),"")</f>
        <v/>
      </c>
      <c r="B10" s="210"/>
      <c r="C10" s="210"/>
      <c r="D10" s="210"/>
      <c r="E10" s="210"/>
      <c r="F10" s="210"/>
      <c r="G10" s="210"/>
    </row>
    <row r="12" spans="1:8" ht="15.5">
      <c r="A12" s="206" t="s">
        <v>13</v>
      </c>
      <c r="B12" s="206"/>
      <c r="C12" s="206"/>
      <c r="D12" s="206"/>
      <c r="E12" s="206"/>
      <c r="F12" s="206"/>
      <c r="G12" s="206"/>
    </row>
    <row r="13" spans="1:8" ht="46.75" customHeight="1">
      <c r="A13" s="210"/>
      <c r="B13" s="210"/>
      <c r="C13" s="210"/>
      <c r="D13" s="210"/>
      <c r="E13" s="210"/>
      <c r="F13" s="210"/>
      <c r="G13" s="210"/>
    </row>
    <row r="15" spans="1:8" ht="15.5">
      <c r="A15" s="206" t="s">
        <v>14</v>
      </c>
      <c r="B15" s="206"/>
      <c r="C15" s="206"/>
      <c r="E15" s="206" t="s">
        <v>15</v>
      </c>
      <c r="F15" s="206"/>
      <c r="G15" s="206"/>
    </row>
    <row r="16" spans="1:8" ht="14.5" customHeight="1">
      <c r="A16" s="211" t="s">
        <v>16</v>
      </c>
      <c r="B16" s="211"/>
      <c r="C16" s="6"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212" t="s">
        <v>17</v>
      </c>
      <c r="F16" s="212"/>
      <c r="G16" s="212"/>
    </row>
    <row r="17" spans="1:7" ht="15" customHeight="1">
      <c r="A17" s="211" t="s">
        <v>18</v>
      </c>
      <c r="B17" s="211"/>
      <c r="C17" s="6"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212"/>
      <c r="F17" s="212"/>
      <c r="G17" s="212"/>
    </row>
    <row r="18" spans="1:7">
      <c r="A18" s="211" t="s">
        <v>19</v>
      </c>
      <c r="B18" s="211"/>
      <c r="C18" s="6" t="str">
        <f>IF($B$5="Detalhada",SUMIF('AFP - Detalhada'!$G$10:$G$383,"CE",'AFP - Detalhada'!$Q$10:$Q$383),IF($B$5="Estimativa",SUMIF('AFP - Estimativa'!$H$10:$H$383,"CE",'AFP - Estimativa'!$I$10:$I$383)*(1+'AFP - Estimativa'!$C$6),""))</f>
        <v/>
      </c>
      <c r="E18" s="213" t="s">
        <v>20</v>
      </c>
      <c r="F18" s="213"/>
      <c r="G18" s="7">
        <v>0.25</v>
      </c>
    </row>
    <row r="19" spans="1:7">
      <c r="A19" s="211" t="s">
        <v>21</v>
      </c>
      <c r="B19" s="211"/>
      <c r="C19" s="6" t="str">
        <f>IF($B$5="Detalhada",SUMIF('AFP - Detalhada'!$G$10:$G$383,"EE",'AFP - Detalhada'!$Q$10:$Q$383),IF($B$5="Estimativa",SUMIF('AFP - Estimativa'!$H$10:$H$383,"EE",'AFP - Estimativa'!$I$10:$I$383)*(1+'AFP - Estimativa'!$C$6),""))</f>
        <v/>
      </c>
      <c r="E19" s="213" t="s">
        <v>22</v>
      </c>
      <c r="F19" s="213"/>
      <c r="G19" s="8">
        <v>0.1</v>
      </c>
    </row>
    <row r="20" spans="1:7">
      <c r="A20" s="211" t="s">
        <v>23</v>
      </c>
      <c r="B20" s="211"/>
      <c r="C20" s="6" t="str">
        <f>IF($B$5="Detalhada",SUMIF('AFP - Detalhada'!$G$10:$G$383,"SE",'AFP - Detalhada'!$Q$10:$Q$383),IF($B$5="Estimativa",SUMIF('AFP - Estimativa'!$H$10:$H$383,"SE",'AFP - Estimativa'!$I$10:$I$383)*(1+'AFP - Estimativa'!$C$6),""))</f>
        <v/>
      </c>
      <c r="E20" s="213" t="s">
        <v>24</v>
      </c>
      <c r="F20" s="213"/>
      <c r="G20" s="8">
        <v>0.4</v>
      </c>
    </row>
    <row r="21" spans="1:7">
      <c r="A21" s="211" t="s">
        <v>25</v>
      </c>
      <c r="B21" s="211"/>
      <c r="C21" s="9">
        <f>PF_INM</f>
        <v>0</v>
      </c>
      <c r="E21" s="213" t="s">
        <v>26</v>
      </c>
      <c r="F21" s="213"/>
      <c r="G21" s="8">
        <v>0.15</v>
      </c>
    </row>
    <row r="22" spans="1:7">
      <c r="A22" s="211" t="s">
        <v>27</v>
      </c>
      <c r="B22" s="211"/>
      <c r="C22" s="9">
        <f>UST!K404</f>
        <v>0</v>
      </c>
      <c r="E22" s="213" t="s">
        <v>28</v>
      </c>
      <c r="F22" s="213"/>
      <c r="G22" s="8">
        <v>0.05</v>
      </c>
    </row>
    <row r="23" spans="1:7" ht="15.5">
      <c r="A23" s="214" t="s">
        <v>29</v>
      </c>
      <c r="B23" s="214"/>
      <c r="C23" s="10">
        <f>SUM(C16:C22)</f>
        <v>0</v>
      </c>
      <c r="E23" s="213" t="s">
        <v>30</v>
      </c>
      <c r="F23" s="213"/>
      <c r="G23" s="8">
        <v>0.05</v>
      </c>
    </row>
    <row r="24" spans="1:7" ht="15.75" customHeight="1">
      <c r="E24" s="215" t="s">
        <v>31</v>
      </c>
      <c r="F24" s="215"/>
      <c r="G24" s="11">
        <f>SUM(G18:G23)</f>
        <v>1</v>
      </c>
    </row>
    <row r="25" spans="1:7" ht="15.75" customHeight="1">
      <c r="A25" s="206" t="s">
        <v>32</v>
      </c>
      <c r="B25" s="206"/>
      <c r="C25" s="206"/>
      <c r="E25" s="12"/>
      <c r="F25" s="12"/>
      <c r="G25" s="13"/>
    </row>
    <row r="26" spans="1:7" ht="15.5">
      <c r="A26" s="206"/>
      <c r="B26" s="206"/>
      <c r="C26" s="206"/>
      <c r="E26" s="216" t="str">
        <f>CONCATENATE("Quantidade Final (A) x ",IF(F4&lt;&gt;"",IF(F4="Desenvolvimento ou manutenção","(E1)","(E2)"),""))</f>
        <v>Quantidade Final (A) x (E1)</v>
      </c>
      <c r="F26" s="216"/>
      <c r="G26" s="10">
        <f>C23*IF(F4&lt;&gt;"",IF(F4="Desenvolvimento ou manutenção",G24,C30),0)</f>
        <v>0</v>
      </c>
    </row>
    <row r="27" spans="1:7" ht="15.5" customHeight="1">
      <c r="A27" s="212" t="s">
        <v>33</v>
      </c>
      <c r="B27" s="212"/>
      <c r="C27" s="212"/>
      <c r="E27" s="216" t="s">
        <v>34</v>
      </c>
      <c r="F27" s="216"/>
      <c r="G27" s="14">
        <v>1</v>
      </c>
    </row>
    <row r="28" spans="1:7" ht="15.5">
      <c r="A28" s="212"/>
      <c r="B28" s="212"/>
      <c r="C28" s="212"/>
      <c r="E28" s="217" t="s">
        <v>35</v>
      </c>
      <c r="F28" s="217"/>
      <c r="G28" s="10">
        <f>G26*G27</f>
        <v>0</v>
      </c>
    </row>
    <row r="29" spans="1:7">
      <c r="A29" s="213" t="s">
        <v>36</v>
      </c>
      <c r="B29" s="213"/>
      <c r="C29" s="7">
        <v>0.2</v>
      </c>
    </row>
    <row r="30" spans="1:7" ht="15.5">
      <c r="A30" s="215" t="s">
        <v>37</v>
      </c>
      <c r="B30" s="215"/>
      <c r="C30" s="11">
        <f>SUM(C29:C29)</f>
        <v>0.2</v>
      </c>
    </row>
  </sheetData>
  <mergeCells count="39">
    <mergeCell ref="A29:B29"/>
    <mergeCell ref="A30:B30"/>
    <mergeCell ref="A25:C26"/>
    <mergeCell ref="E26:F26"/>
    <mergeCell ref="A27:C28"/>
    <mergeCell ref="E27:F27"/>
    <mergeCell ref="E28:F28"/>
    <mergeCell ref="A22:B22"/>
    <mergeCell ref="E22:F22"/>
    <mergeCell ref="A23:B23"/>
    <mergeCell ref="E23:F23"/>
    <mergeCell ref="E24:F24"/>
    <mergeCell ref="A19:B19"/>
    <mergeCell ref="E19:F19"/>
    <mergeCell ref="A20:B20"/>
    <mergeCell ref="E20:F20"/>
    <mergeCell ref="A21:B21"/>
    <mergeCell ref="E21:F21"/>
    <mergeCell ref="A16:B16"/>
    <mergeCell ref="E16:G17"/>
    <mergeCell ref="A17:B17"/>
    <mergeCell ref="A18:B18"/>
    <mergeCell ref="E18:F18"/>
    <mergeCell ref="A10:G10"/>
    <mergeCell ref="A12:G12"/>
    <mergeCell ref="A13:G13"/>
    <mergeCell ref="A15:C15"/>
    <mergeCell ref="E15:G15"/>
    <mergeCell ref="B6:D6"/>
    <mergeCell ref="F6:G6"/>
    <mergeCell ref="B7:D7"/>
    <mergeCell ref="F7:G7"/>
    <mergeCell ref="A9:G9"/>
    <mergeCell ref="B1:G1"/>
    <mergeCell ref="A3:G3"/>
    <mergeCell ref="B4:D4"/>
    <mergeCell ref="F4:G4"/>
    <mergeCell ref="B5:D5"/>
    <mergeCell ref="F5:G5"/>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topLeftCell="A2" zoomScale="85" zoomScaleNormal="85" workbookViewId="0">
      <selection activeCell="E16" sqref="E15:E16"/>
    </sheetView>
  </sheetViews>
  <sheetFormatPr defaultRowHeight="12.5"/>
  <cols>
    <col min="1" max="1" width="5.54296875" style="15" customWidth="1"/>
    <col min="2" max="2" width="27.453125" style="16" customWidth="1"/>
    <col min="3" max="3" width="8.36328125" style="16" customWidth="1"/>
    <col min="4" max="4" width="24.1796875" style="17" customWidth="1"/>
    <col min="5" max="5" width="27.7265625" style="17" customWidth="1"/>
    <col min="6" max="6" width="38.36328125" style="18" customWidth="1"/>
    <col min="7" max="7" width="12.36328125" style="15" customWidth="1"/>
    <col min="8" max="8" width="5.81640625" style="15" customWidth="1"/>
    <col min="9" max="9" width="16.1796875" style="19" customWidth="1"/>
    <col min="10" max="10" width="5.81640625" style="15" customWidth="1"/>
    <col min="11" max="11" width="16.1796875" style="19" customWidth="1"/>
    <col min="12" max="13" width="15.6328125" style="16" hidden="1" customWidth="1"/>
    <col min="14" max="14" width="15.08984375" style="15" customWidth="1"/>
    <col min="15" max="16" width="16.6328125" style="16" hidden="1" customWidth="1"/>
    <col min="17" max="17" width="8.36328125" style="16" customWidth="1"/>
    <col min="18" max="18" width="35" style="16" customWidth="1"/>
    <col min="19" max="19" width="4.453125" style="16" customWidth="1"/>
    <col min="20" max="20" width="14" style="15" customWidth="1"/>
    <col min="21" max="21" width="31.453125" style="16" customWidth="1"/>
    <col min="22" max="22" width="8.36328125" style="16" customWidth="1"/>
    <col min="23" max="23" width="9.6328125" style="16" customWidth="1"/>
    <col min="24" max="24" width="9.08984375" style="16" customWidth="1"/>
    <col min="25" max="25" width="11.36328125" style="16" customWidth="1"/>
    <col min="26" max="26" width="9.08984375" style="16" customWidth="1"/>
    <col min="27" max="27" width="11.26953125" style="16" customWidth="1"/>
    <col min="28" max="29" width="9.08984375" style="16" hidden="1" customWidth="1"/>
    <col min="30" max="30" width="14.453125" style="16" customWidth="1"/>
    <col min="31" max="32" width="9.08984375" style="16" hidden="1" customWidth="1"/>
    <col min="33" max="33" width="8.90625" style="16" customWidth="1"/>
    <col min="34" max="34" width="36.6328125" style="16" customWidth="1"/>
    <col min="35" max="35" width="5.453125" style="16" customWidth="1"/>
    <col min="36" max="36" width="40.08984375" style="16" customWidth="1"/>
    <col min="37" max="37" width="5.453125" style="16" customWidth="1"/>
    <col min="38" max="38" width="45.54296875" style="16" customWidth="1"/>
    <col min="39" max="39" width="12.1796875" style="16" customWidth="1"/>
    <col min="40" max="1025" width="8.90625" style="16" customWidth="1"/>
  </cols>
  <sheetData>
    <row r="1" spans="1:39" ht="69" customHeight="1">
      <c r="A1" s="2" t="str">
        <f>Resumo!A1</f>
        <v>Template V.2.0</v>
      </c>
      <c r="B1" s="20"/>
      <c r="C1" s="218" t="s">
        <v>38</v>
      </c>
      <c r="D1" s="218"/>
      <c r="E1" s="218"/>
      <c r="F1" s="218"/>
      <c r="G1" s="218"/>
      <c r="H1" s="218"/>
      <c r="I1" s="218"/>
      <c r="J1" s="218"/>
      <c r="K1" s="218"/>
      <c r="L1" s="218"/>
      <c r="M1" s="218"/>
      <c r="N1" s="218"/>
      <c r="O1" s="218"/>
      <c r="P1" s="218"/>
      <c r="Q1" s="218"/>
      <c r="R1" s="218"/>
    </row>
    <row r="2" spans="1:39" ht="9" customHeight="1">
      <c r="A2" s="22"/>
      <c r="B2" s="22"/>
      <c r="C2" s="23"/>
      <c r="D2" s="23"/>
      <c r="E2" s="23"/>
      <c r="F2" s="23"/>
      <c r="G2" s="23"/>
      <c r="H2" s="23"/>
      <c r="I2" s="24"/>
      <c r="J2" s="23"/>
      <c r="K2" s="24"/>
      <c r="L2" s="23"/>
      <c r="M2" s="23"/>
      <c r="N2" s="23"/>
      <c r="O2" s="23"/>
      <c r="P2" s="23"/>
      <c r="Q2" s="23"/>
      <c r="R2" s="23"/>
      <c r="V2" s="23"/>
    </row>
    <row r="3" spans="1:39" s="16" customFormat="1" ht="18.649999999999999" customHeight="1">
      <c r="B3" s="25"/>
      <c r="C3" s="23"/>
      <c r="D3" s="23"/>
      <c r="E3" s="23"/>
      <c r="F3" s="23"/>
      <c r="G3" s="219" t="s">
        <v>8</v>
      </c>
      <c r="H3" s="219"/>
      <c r="I3" s="219"/>
      <c r="J3" s="219"/>
      <c r="K3" s="219"/>
      <c r="L3" s="26"/>
      <c r="M3" s="26"/>
      <c r="N3" s="220"/>
      <c r="O3" s="220"/>
      <c r="P3" s="220"/>
      <c r="Q3" s="220"/>
      <c r="R3" s="220"/>
      <c r="T3" s="221" t="s">
        <v>39</v>
      </c>
      <c r="U3" s="221"/>
      <c r="V3" s="221"/>
      <c r="W3" s="219" t="s">
        <v>8</v>
      </c>
      <c r="X3" s="219"/>
      <c r="Y3" s="219"/>
      <c r="Z3" s="219"/>
      <c r="AA3" s="219"/>
      <c r="AB3" s="26"/>
      <c r="AC3" s="26"/>
      <c r="AD3" s="220" t="s">
        <v>40</v>
      </c>
      <c r="AE3" s="220"/>
      <c r="AF3" s="220"/>
      <c r="AG3" s="220"/>
      <c r="AH3" s="220"/>
    </row>
    <row r="4" spans="1:39" s="16" customFormat="1" ht="18.649999999999999" customHeight="1">
      <c r="B4" s="25"/>
      <c r="C4" s="23"/>
      <c r="D4" s="23"/>
      <c r="E4" s="27" t="s">
        <v>41</v>
      </c>
      <c r="F4" s="23"/>
      <c r="G4" s="219" t="s">
        <v>9</v>
      </c>
      <c r="H4" s="219"/>
      <c r="I4" s="219"/>
      <c r="J4" s="219"/>
      <c r="K4" s="219"/>
      <c r="L4" s="26"/>
      <c r="M4" s="26"/>
      <c r="N4" s="224"/>
      <c r="O4" s="224"/>
      <c r="P4" s="224"/>
      <c r="Q4" s="224"/>
      <c r="R4" s="224"/>
      <c r="T4" s="221"/>
      <c r="U4" s="221"/>
      <c r="V4" s="221"/>
      <c r="W4" s="219" t="s">
        <v>9</v>
      </c>
      <c r="X4" s="219"/>
      <c r="Y4" s="219"/>
      <c r="Z4" s="219"/>
      <c r="AA4" s="219"/>
      <c r="AB4" s="26"/>
      <c r="AC4" s="26"/>
      <c r="AD4" s="224"/>
      <c r="AE4" s="224"/>
      <c r="AF4" s="224"/>
      <c r="AG4" s="224"/>
      <c r="AH4" s="224"/>
    </row>
    <row r="5" spans="1:39" ht="18.649999999999999" customHeight="1">
      <c r="A5" s="222" t="s">
        <v>42</v>
      </c>
      <c r="B5" s="222"/>
      <c r="C5" s="222"/>
      <c r="D5" s="29">
        <f>$Q$384</f>
        <v>0</v>
      </c>
      <c r="E5" s="223" t="str">
        <f>IF(D6=0,"",IF(D5&lt;&gt;D6,"Em Divergência","Concluído"))</f>
        <v/>
      </c>
      <c r="F5" s="23"/>
      <c r="G5" s="219" t="s">
        <v>10</v>
      </c>
      <c r="H5" s="219"/>
      <c r="I5" s="219"/>
      <c r="J5" s="219"/>
      <c r="K5" s="219"/>
      <c r="L5" s="26"/>
      <c r="M5" s="26"/>
      <c r="N5" s="220"/>
      <c r="O5" s="220"/>
      <c r="P5" s="220"/>
      <c r="Q5" s="220"/>
      <c r="R5" s="220"/>
      <c r="T5" s="221"/>
      <c r="U5" s="221"/>
      <c r="V5" s="221"/>
      <c r="W5" s="219" t="s">
        <v>10</v>
      </c>
      <c r="X5" s="219"/>
      <c r="Y5" s="219"/>
      <c r="Z5" s="219"/>
      <c r="AA5" s="219"/>
      <c r="AB5" s="26"/>
      <c r="AC5" s="26"/>
      <c r="AD5" s="220"/>
      <c r="AE5" s="220"/>
      <c r="AF5" s="220"/>
      <c r="AG5" s="220"/>
      <c r="AH5" s="220"/>
    </row>
    <row r="6" spans="1:39" ht="18.649999999999999" customHeight="1">
      <c r="A6" s="222" t="s">
        <v>43</v>
      </c>
      <c r="B6" s="222"/>
      <c r="C6" s="222"/>
      <c r="D6" s="29">
        <f>$AG$384</f>
        <v>0</v>
      </c>
      <c r="E6" s="223"/>
      <c r="F6" s="23"/>
      <c r="G6" s="219" t="s">
        <v>11</v>
      </c>
      <c r="H6" s="219"/>
      <c r="I6" s="219"/>
      <c r="J6" s="219"/>
      <c r="K6" s="219"/>
      <c r="L6" s="26"/>
      <c r="M6" s="26"/>
      <c r="N6" s="224"/>
      <c r="O6" s="224"/>
      <c r="P6" s="224"/>
      <c r="Q6" s="224"/>
      <c r="R6" s="224"/>
      <c r="T6" s="221"/>
      <c r="U6" s="221"/>
      <c r="V6" s="221"/>
      <c r="W6" s="219" t="s">
        <v>11</v>
      </c>
      <c r="X6" s="219"/>
      <c r="Y6" s="219"/>
      <c r="Z6" s="219"/>
      <c r="AA6" s="219"/>
      <c r="AB6" s="26"/>
      <c r="AC6" s="26"/>
      <c r="AD6" s="224"/>
      <c r="AE6" s="224"/>
      <c r="AF6" s="224"/>
      <c r="AG6" s="224"/>
      <c r="AH6" s="224"/>
    </row>
    <row r="7" spans="1:39" ht="9" customHeight="1">
      <c r="A7" s="30"/>
      <c r="B7" s="31"/>
      <c r="C7" s="31"/>
      <c r="D7" s="31"/>
      <c r="E7" s="31"/>
      <c r="F7" s="31"/>
      <c r="G7" s="31"/>
      <c r="H7" s="31"/>
      <c r="I7" s="32"/>
      <c r="J7" s="33"/>
      <c r="K7" s="34"/>
      <c r="L7" s="31"/>
      <c r="M7" s="31"/>
      <c r="N7" s="31"/>
      <c r="O7" s="31"/>
      <c r="P7" s="31"/>
      <c r="Q7" s="31"/>
      <c r="R7" s="31"/>
      <c r="V7" s="31"/>
    </row>
    <row r="8" spans="1:39" s="39" customFormat="1" ht="18.649999999999999" customHeight="1">
      <c r="A8" s="225" t="s">
        <v>44</v>
      </c>
      <c r="B8" s="226" t="s">
        <v>45</v>
      </c>
      <c r="C8" s="226" t="s">
        <v>46</v>
      </c>
      <c r="D8" s="226" t="s">
        <v>47</v>
      </c>
      <c r="E8" s="226" t="s">
        <v>48</v>
      </c>
      <c r="F8" s="227" t="s">
        <v>49</v>
      </c>
      <c r="G8" s="228" t="s">
        <v>50</v>
      </c>
      <c r="H8" s="229" t="s">
        <v>51</v>
      </c>
      <c r="I8" s="229"/>
      <c r="J8" s="230" t="s">
        <v>52</v>
      </c>
      <c r="K8" s="230"/>
      <c r="L8" s="38"/>
      <c r="M8" s="38"/>
      <c r="N8" s="229" t="s">
        <v>53</v>
      </c>
      <c r="O8" s="38"/>
      <c r="P8" s="38"/>
      <c r="Q8" s="228" t="s">
        <v>54</v>
      </c>
      <c r="R8" s="228" t="s">
        <v>55</v>
      </c>
      <c r="T8" s="226" t="s">
        <v>56</v>
      </c>
      <c r="U8" s="226" t="s">
        <v>45</v>
      </c>
      <c r="V8" s="226" t="s">
        <v>46</v>
      </c>
      <c r="W8" s="228" t="s">
        <v>50</v>
      </c>
      <c r="X8" s="229" t="s">
        <v>51</v>
      </c>
      <c r="Y8" s="229"/>
      <c r="Z8" s="230" t="s">
        <v>52</v>
      </c>
      <c r="AA8" s="230"/>
      <c r="AB8" s="38"/>
      <c r="AC8" s="38"/>
      <c r="AD8" s="229" t="s">
        <v>53</v>
      </c>
      <c r="AE8" s="38"/>
      <c r="AF8" s="38"/>
      <c r="AG8" s="228" t="s">
        <v>54</v>
      </c>
      <c r="AH8" s="228" t="s">
        <v>57</v>
      </c>
      <c r="AJ8" s="228" t="s">
        <v>58</v>
      </c>
      <c r="AL8" s="231" t="s">
        <v>59</v>
      </c>
      <c r="AM8" s="232" t="s">
        <v>60</v>
      </c>
    </row>
    <row r="9" spans="1:39" s="44" customFormat="1" ht="15.5">
      <c r="A9" s="225"/>
      <c r="B9" s="226"/>
      <c r="C9" s="226"/>
      <c r="D9" s="226"/>
      <c r="E9" s="226"/>
      <c r="F9" s="227"/>
      <c r="G9" s="228"/>
      <c r="H9" s="40" t="s">
        <v>61</v>
      </c>
      <c r="I9" s="41" t="s">
        <v>62</v>
      </c>
      <c r="J9" s="42" t="s">
        <v>61</v>
      </c>
      <c r="K9" s="40" t="s">
        <v>62</v>
      </c>
      <c r="L9" s="43" t="s">
        <v>63</v>
      </c>
      <c r="M9" s="37" t="s">
        <v>64</v>
      </c>
      <c r="N9" s="229"/>
      <c r="O9" s="36" t="s">
        <v>65</v>
      </c>
      <c r="P9" s="37" t="s">
        <v>66</v>
      </c>
      <c r="Q9" s="228"/>
      <c r="R9" s="228"/>
      <c r="T9" s="226"/>
      <c r="U9" s="226"/>
      <c r="V9" s="226"/>
      <c r="W9" s="228"/>
      <c r="X9" s="40" t="s">
        <v>61</v>
      </c>
      <c r="Y9" s="41" t="s">
        <v>62</v>
      </c>
      <c r="Z9" s="42" t="s">
        <v>61</v>
      </c>
      <c r="AA9" s="40" t="s">
        <v>62</v>
      </c>
      <c r="AB9" s="43" t="s">
        <v>63</v>
      </c>
      <c r="AC9" s="37" t="s">
        <v>64</v>
      </c>
      <c r="AD9" s="229"/>
      <c r="AE9" s="36" t="s">
        <v>65</v>
      </c>
      <c r="AF9" s="37" t="s">
        <v>66</v>
      </c>
      <c r="AG9" s="228"/>
      <c r="AH9" s="228"/>
      <c r="AJ9" s="228"/>
      <c r="AL9" s="231"/>
      <c r="AM9" s="232"/>
    </row>
    <row r="10" spans="1:39" s="57" customFormat="1" ht="14">
      <c r="A10" s="45"/>
      <c r="B10" s="46"/>
      <c r="C10" s="47">
        <f>IF(B10&lt;&gt;"",VLOOKUP(B10,'Tipo Projeto'!$A$3:$B$35,2,0),0)</f>
        <v>0</v>
      </c>
      <c r="D10" s="48"/>
      <c r="E10" s="48"/>
      <c r="F10" s="49"/>
      <c r="G10" s="48"/>
      <c r="H10" s="50"/>
      <c r="I10" s="51"/>
      <c r="J10" s="52"/>
      <c r="K10" s="53"/>
      <c r="L10" s="54"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9"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5" t="str">
        <f t="shared" ref="N10:N73" si="2">IF(L10="",M10,IF(M10="",L10,""))</f>
        <v/>
      </c>
      <c r="O10" s="56">
        <f t="shared" ref="O10:O73" si="3">IF(AND(OR(G10="EE",G10="CE"),N10="Simples"),3, IF(AND(OR(G10="EE",G10="CE"),N10="Médio"),4, IF(AND(OR(G10="EE",G10="CE"),N10="Complexo"),6, IF(AND(G10="SE",N10="Simples"),4, IF(AND(G10="SE",N10="Médio"),5, IF(AND(G10="SE",N10="Complexo"),7,0))))))</f>
        <v>0</v>
      </c>
      <c r="P10" s="56">
        <f t="shared" ref="P10:P73" si="4">IF(AND(G10="ALI",M10="Simples"),7, IF(AND(G10="ALI",M10="Médio"),10, IF(AND(G10="ALI",M10="Complexo"),15, IF(AND(G10="AIE",M10="Simples"),5, IF(AND(G10="AIE",M10="Médio"),7, IF(AND(G10="AIE",M10="Complexo"),10,0))))))</f>
        <v>0</v>
      </c>
      <c r="Q10" s="55">
        <f t="shared" ref="Q10:Q73" si="5">IF(B10&lt;&gt;"Manutenção em interface",IF(B10&lt;&gt;"Desenv., Manutenção e Publicação de Páginas Estáticas",(O10+P10)*C10,C10),C10)</f>
        <v>0</v>
      </c>
      <c r="R10" s="48"/>
      <c r="T10" s="58"/>
      <c r="U10" s="46"/>
      <c r="V10" s="47">
        <f>IF(U10&lt;&gt;"",VLOOKUP(U10,'Tipo Projeto'!$A$3:$B$35,2,0),0)</f>
        <v>0</v>
      </c>
      <c r="W10" s="48"/>
      <c r="X10" s="50"/>
      <c r="Y10" s="51"/>
      <c r="Z10" s="52"/>
      <c r="AA10" s="53"/>
      <c r="AB10" s="54"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9"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5" t="str">
        <f t="shared" ref="AD10:AD73" si="8">IF(AB10="",AC10,IF(AC10="",AB10,""))</f>
        <v/>
      </c>
      <c r="AE10" s="56">
        <f t="shared" ref="AE10:AE73" si="9">IF(AND(OR(W10="EE",W10="CE"),AD10="Simples"),3, IF(AND(OR(W10="EE",W10="CE"),AD10="Médio"),4, IF(AND(OR(W10="EE",W10="CE"),AD10="Complexo"),6, IF(AND(W10="SE",AD10="Simples"),4, IF(AND(W10="SE",AD10="Médio"),5, IF(AND(W10="SE",AD10="Complexo"),7,0))))))</f>
        <v>0</v>
      </c>
      <c r="AF10" s="56">
        <f t="shared" ref="AF10:AF73" si="10">IF(AND(W10="ALI",AC10="Simples"),7, IF(AND(W10="ALI",AC10="Médio"),10, IF(AND(W10="ALI",AC10="Complexo"),15, IF(AND(W10="AIE",AC10="Simples"),5, IF(AND(W10="AIE",AC10="Médio"),7, IF(AND(W10="AIE",AC10="Complexo"),10,0))))))</f>
        <v>0</v>
      </c>
      <c r="AG10" s="59">
        <f t="shared" ref="AG10:AG73" si="11">IF(T10="OK",Q10,( IF(U10&lt;&gt;"Manutenção em interface",IF(U10&lt;&gt;"Desenv., Manutenção e Publicação de Páginas Estáticas",(AE10+AF10)*V10,V10),V10)))</f>
        <v>0</v>
      </c>
      <c r="AH10" s="48"/>
      <c r="AJ10" s="48"/>
      <c r="AL10" s="48"/>
      <c r="AM10" s="48" t="str">
        <f t="shared" ref="AM10:AM73" si="12">IF(AG10=0,"",IF(AG10=Q10,"OK","Divergente"))</f>
        <v/>
      </c>
    </row>
    <row r="11" spans="1:39" s="57" customFormat="1" ht="14">
      <c r="A11" s="45"/>
      <c r="B11" s="46"/>
      <c r="C11" s="47">
        <f>IF(B11&lt;&gt;"",VLOOKUP(B11,'Tipo Projeto'!$A$3:$B$35,2,0),0)</f>
        <v>0</v>
      </c>
      <c r="D11" s="48"/>
      <c r="E11" s="48"/>
      <c r="F11" s="49"/>
      <c r="G11" s="204"/>
      <c r="H11" s="50"/>
      <c r="I11" s="51"/>
      <c r="J11" s="52"/>
      <c r="K11" s="53"/>
      <c r="L11" s="54" t="str">
        <f t="shared" si="0"/>
        <v/>
      </c>
      <c r="M11" s="49" t="str">
        <f t="shared" si="1"/>
        <v/>
      </c>
      <c r="N11" s="55" t="str">
        <f t="shared" si="2"/>
        <v/>
      </c>
      <c r="O11" s="56">
        <f t="shared" si="3"/>
        <v>0</v>
      </c>
      <c r="P11" s="56">
        <f t="shared" si="4"/>
        <v>0</v>
      </c>
      <c r="Q11" s="55">
        <f t="shared" si="5"/>
        <v>0</v>
      </c>
      <c r="R11" s="48"/>
      <c r="T11" s="58"/>
      <c r="U11" s="46"/>
      <c r="V11" s="47">
        <f>IF(U11&lt;&gt;"",VLOOKUP(U11,'Tipo Projeto'!$A$3:$B$35,2,0),0)</f>
        <v>0</v>
      </c>
      <c r="W11" s="48"/>
      <c r="X11" s="50"/>
      <c r="Y11" s="51"/>
      <c r="Z11" s="52"/>
      <c r="AA11" s="53"/>
      <c r="AB11" s="54" t="str">
        <f t="shared" si="6"/>
        <v/>
      </c>
      <c r="AC11" s="49" t="str">
        <f t="shared" si="7"/>
        <v/>
      </c>
      <c r="AD11" s="55" t="str">
        <f t="shared" si="8"/>
        <v/>
      </c>
      <c r="AE11" s="56">
        <f t="shared" si="9"/>
        <v>0</v>
      </c>
      <c r="AF11" s="56">
        <f t="shared" si="10"/>
        <v>0</v>
      </c>
      <c r="AG11" s="59">
        <f t="shared" si="11"/>
        <v>0</v>
      </c>
      <c r="AH11" s="48"/>
      <c r="AJ11" s="48"/>
      <c r="AL11" s="48"/>
      <c r="AM11" s="48" t="str">
        <f t="shared" si="12"/>
        <v/>
      </c>
    </row>
    <row r="12" spans="1:39" s="57" customFormat="1" ht="14">
      <c r="A12" s="45"/>
      <c r="B12" s="46"/>
      <c r="C12" s="47">
        <f>IF(B12&lt;&gt;"",VLOOKUP(B12,'Tipo Projeto'!$A$3:$B$35,2,0),0)</f>
        <v>0</v>
      </c>
      <c r="D12" s="48"/>
      <c r="E12" s="48"/>
      <c r="F12" s="49"/>
      <c r="G12" s="204"/>
      <c r="H12" s="50"/>
      <c r="I12" s="51"/>
      <c r="J12" s="52"/>
      <c r="K12" s="53"/>
      <c r="L12" s="54" t="str">
        <f t="shared" si="0"/>
        <v/>
      </c>
      <c r="M12" s="49" t="str">
        <f t="shared" si="1"/>
        <v/>
      </c>
      <c r="N12" s="55" t="str">
        <f t="shared" si="2"/>
        <v/>
      </c>
      <c r="O12" s="56">
        <f t="shared" si="3"/>
        <v>0</v>
      </c>
      <c r="P12" s="56">
        <f t="shared" si="4"/>
        <v>0</v>
      </c>
      <c r="Q12" s="55">
        <f t="shared" si="5"/>
        <v>0</v>
      </c>
      <c r="R12" s="48"/>
      <c r="T12" s="58"/>
      <c r="U12" s="46"/>
      <c r="V12" s="47">
        <f>IF(U12&lt;&gt;"",VLOOKUP(U12,'Tipo Projeto'!$A$3:$B$35,2,0),0)</f>
        <v>0</v>
      </c>
      <c r="W12" s="48"/>
      <c r="X12" s="50"/>
      <c r="Y12" s="51"/>
      <c r="Z12" s="52"/>
      <c r="AA12" s="53"/>
      <c r="AB12" s="54" t="str">
        <f t="shared" si="6"/>
        <v/>
      </c>
      <c r="AC12" s="49" t="str">
        <f t="shared" si="7"/>
        <v/>
      </c>
      <c r="AD12" s="55" t="str">
        <f t="shared" si="8"/>
        <v/>
      </c>
      <c r="AE12" s="56">
        <f t="shared" si="9"/>
        <v>0</v>
      </c>
      <c r="AF12" s="56">
        <f t="shared" si="10"/>
        <v>0</v>
      </c>
      <c r="AG12" s="59">
        <f t="shared" si="11"/>
        <v>0</v>
      </c>
      <c r="AH12" s="48"/>
      <c r="AJ12" s="48"/>
      <c r="AL12" s="48"/>
      <c r="AM12" s="48" t="str">
        <f t="shared" si="12"/>
        <v/>
      </c>
    </row>
    <row r="13" spans="1:39" s="57" customFormat="1" ht="14">
      <c r="A13" s="45"/>
      <c r="B13" s="46"/>
      <c r="C13" s="47">
        <f>IF(B13&lt;&gt;"",VLOOKUP(B13,'Tipo Projeto'!$A$3:$B$35,2,0),0)</f>
        <v>0</v>
      </c>
      <c r="D13" s="48"/>
      <c r="E13" s="48"/>
      <c r="F13" s="49"/>
      <c r="G13" s="204"/>
      <c r="H13" s="50"/>
      <c r="I13" s="51"/>
      <c r="J13" s="52"/>
      <c r="K13" s="53"/>
      <c r="L13" s="54" t="str">
        <f t="shared" si="0"/>
        <v/>
      </c>
      <c r="M13" s="49" t="str">
        <f t="shared" si="1"/>
        <v/>
      </c>
      <c r="N13" s="55" t="str">
        <f t="shared" si="2"/>
        <v/>
      </c>
      <c r="O13" s="56">
        <f t="shared" si="3"/>
        <v>0</v>
      </c>
      <c r="P13" s="56">
        <f t="shared" si="4"/>
        <v>0</v>
      </c>
      <c r="Q13" s="55">
        <f t="shared" si="5"/>
        <v>0</v>
      </c>
      <c r="R13" s="48"/>
      <c r="T13" s="58"/>
      <c r="U13" s="46"/>
      <c r="V13" s="47">
        <f>IF(U13&lt;&gt;"",VLOOKUP(U13,'Tipo Projeto'!$A$3:$B$35,2,0),0)</f>
        <v>0</v>
      </c>
      <c r="W13" s="48"/>
      <c r="X13" s="50"/>
      <c r="Y13" s="51"/>
      <c r="Z13" s="52"/>
      <c r="AA13" s="53"/>
      <c r="AB13" s="54" t="str">
        <f t="shared" si="6"/>
        <v/>
      </c>
      <c r="AC13" s="49" t="str">
        <f t="shared" si="7"/>
        <v/>
      </c>
      <c r="AD13" s="55" t="str">
        <f t="shared" si="8"/>
        <v/>
      </c>
      <c r="AE13" s="56">
        <f t="shared" si="9"/>
        <v>0</v>
      </c>
      <c r="AF13" s="56">
        <f t="shared" si="10"/>
        <v>0</v>
      </c>
      <c r="AG13" s="59">
        <f t="shared" si="11"/>
        <v>0</v>
      </c>
      <c r="AH13" s="48"/>
      <c r="AJ13" s="48"/>
      <c r="AL13" s="48"/>
      <c r="AM13" s="48" t="str">
        <f t="shared" si="12"/>
        <v/>
      </c>
    </row>
    <row r="14" spans="1:39" s="57" customFormat="1" ht="14">
      <c r="A14" s="45"/>
      <c r="B14" s="46"/>
      <c r="C14" s="47">
        <f>IF(B14&lt;&gt;"",VLOOKUP(B14,'Tipo Projeto'!$A$3:$B$35,2,0),0)</f>
        <v>0</v>
      </c>
      <c r="D14" s="48"/>
      <c r="E14" s="48"/>
      <c r="F14" s="49"/>
      <c r="G14" s="204"/>
      <c r="H14" s="50"/>
      <c r="I14" s="51"/>
      <c r="J14" s="52"/>
      <c r="K14" s="53"/>
      <c r="L14" s="54" t="str">
        <f t="shared" si="0"/>
        <v/>
      </c>
      <c r="M14" s="49" t="str">
        <f t="shared" si="1"/>
        <v/>
      </c>
      <c r="N14" s="55" t="str">
        <f t="shared" si="2"/>
        <v/>
      </c>
      <c r="O14" s="56">
        <f t="shared" si="3"/>
        <v>0</v>
      </c>
      <c r="P14" s="56">
        <f t="shared" si="4"/>
        <v>0</v>
      </c>
      <c r="Q14" s="55">
        <f t="shared" si="5"/>
        <v>0</v>
      </c>
      <c r="R14" s="48"/>
      <c r="T14" s="58"/>
      <c r="U14" s="46"/>
      <c r="V14" s="47">
        <f>IF(U14&lt;&gt;"",VLOOKUP(U14,'Tipo Projeto'!$A$3:$B$35,2,0),0)</f>
        <v>0</v>
      </c>
      <c r="W14" s="48"/>
      <c r="X14" s="50"/>
      <c r="Y14" s="51"/>
      <c r="Z14" s="52"/>
      <c r="AA14" s="53"/>
      <c r="AB14" s="54" t="str">
        <f t="shared" si="6"/>
        <v/>
      </c>
      <c r="AC14" s="49" t="str">
        <f t="shared" si="7"/>
        <v/>
      </c>
      <c r="AD14" s="55" t="str">
        <f t="shared" si="8"/>
        <v/>
      </c>
      <c r="AE14" s="56">
        <f t="shared" si="9"/>
        <v>0</v>
      </c>
      <c r="AF14" s="56">
        <f t="shared" si="10"/>
        <v>0</v>
      </c>
      <c r="AG14" s="59">
        <f t="shared" si="11"/>
        <v>0</v>
      </c>
      <c r="AH14" s="48"/>
      <c r="AJ14" s="48"/>
      <c r="AL14" s="48"/>
      <c r="AM14" s="48" t="str">
        <f t="shared" si="12"/>
        <v/>
      </c>
    </row>
    <row r="15" spans="1:39" s="57" customFormat="1" ht="14">
      <c r="A15" s="45"/>
      <c r="B15" s="46"/>
      <c r="C15" s="47">
        <f>IF(B15&lt;&gt;"",VLOOKUP(B15,'Tipo Projeto'!$A$3:$B$35,2,0),0)</f>
        <v>0</v>
      </c>
      <c r="D15" s="48"/>
      <c r="E15" s="48"/>
      <c r="F15" s="49"/>
      <c r="G15" s="204"/>
      <c r="H15" s="50"/>
      <c r="I15" s="51"/>
      <c r="J15" s="52"/>
      <c r="K15" s="53"/>
      <c r="L15" s="54" t="str">
        <f t="shared" si="0"/>
        <v/>
      </c>
      <c r="M15" s="49" t="str">
        <f t="shared" si="1"/>
        <v/>
      </c>
      <c r="N15" s="55" t="str">
        <f t="shared" si="2"/>
        <v/>
      </c>
      <c r="O15" s="56">
        <f t="shared" si="3"/>
        <v>0</v>
      </c>
      <c r="P15" s="56">
        <f t="shared" si="4"/>
        <v>0</v>
      </c>
      <c r="Q15" s="55">
        <f t="shared" si="5"/>
        <v>0</v>
      </c>
      <c r="R15" s="48"/>
      <c r="T15" s="58"/>
      <c r="U15" s="46"/>
      <c r="V15" s="47">
        <f>IF(U15&lt;&gt;"",VLOOKUP(U15,'Tipo Projeto'!$A$3:$B$35,2,0),0)</f>
        <v>0</v>
      </c>
      <c r="W15" s="48"/>
      <c r="X15" s="50"/>
      <c r="Y15" s="51"/>
      <c r="Z15" s="52"/>
      <c r="AA15" s="53"/>
      <c r="AB15" s="54" t="str">
        <f t="shared" si="6"/>
        <v/>
      </c>
      <c r="AC15" s="49" t="str">
        <f t="shared" si="7"/>
        <v/>
      </c>
      <c r="AD15" s="55" t="str">
        <f t="shared" si="8"/>
        <v/>
      </c>
      <c r="AE15" s="56">
        <f t="shared" si="9"/>
        <v>0</v>
      </c>
      <c r="AF15" s="56">
        <f t="shared" si="10"/>
        <v>0</v>
      </c>
      <c r="AG15" s="59">
        <f t="shared" si="11"/>
        <v>0</v>
      </c>
      <c r="AH15" s="48"/>
      <c r="AJ15" s="48"/>
      <c r="AL15" s="48"/>
      <c r="AM15" s="48" t="str">
        <f t="shared" si="12"/>
        <v/>
      </c>
    </row>
    <row r="16" spans="1:39" s="57" customFormat="1" ht="14">
      <c r="A16" s="45"/>
      <c r="B16" s="46"/>
      <c r="C16" s="47">
        <f>IF(B16&lt;&gt;"",VLOOKUP(B16,'Tipo Projeto'!$A$3:$B$35,2,0),0)</f>
        <v>0</v>
      </c>
      <c r="D16" s="48"/>
      <c r="E16" s="48"/>
      <c r="F16" s="49"/>
      <c r="G16" s="204"/>
      <c r="H16" s="50"/>
      <c r="I16" s="51"/>
      <c r="J16" s="52"/>
      <c r="K16" s="53"/>
      <c r="L16" s="54" t="str">
        <f t="shared" si="0"/>
        <v/>
      </c>
      <c r="M16" s="49" t="str">
        <f t="shared" si="1"/>
        <v/>
      </c>
      <c r="N16" s="55" t="str">
        <f t="shared" si="2"/>
        <v/>
      </c>
      <c r="O16" s="56">
        <f t="shared" si="3"/>
        <v>0</v>
      </c>
      <c r="P16" s="56">
        <f t="shared" si="4"/>
        <v>0</v>
      </c>
      <c r="Q16" s="55">
        <f t="shared" si="5"/>
        <v>0</v>
      </c>
      <c r="R16" s="48"/>
      <c r="T16" s="58"/>
      <c r="U16" s="46"/>
      <c r="V16" s="47">
        <f>IF(U16&lt;&gt;"",VLOOKUP(U16,'Tipo Projeto'!$A$3:$B$35,2,0),0)</f>
        <v>0</v>
      </c>
      <c r="W16" s="48"/>
      <c r="X16" s="50"/>
      <c r="Y16" s="51"/>
      <c r="Z16" s="52"/>
      <c r="AA16" s="53"/>
      <c r="AB16" s="54" t="str">
        <f t="shared" si="6"/>
        <v/>
      </c>
      <c r="AC16" s="49" t="str">
        <f t="shared" si="7"/>
        <v/>
      </c>
      <c r="AD16" s="55" t="str">
        <f t="shared" si="8"/>
        <v/>
      </c>
      <c r="AE16" s="56">
        <f t="shared" si="9"/>
        <v>0</v>
      </c>
      <c r="AF16" s="56">
        <f t="shared" si="10"/>
        <v>0</v>
      </c>
      <c r="AG16" s="59">
        <f t="shared" si="11"/>
        <v>0</v>
      </c>
      <c r="AH16" s="48"/>
      <c r="AJ16" s="48"/>
      <c r="AL16" s="48"/>
      <c r="AM16" s="48" t="str">
        <f t="shared" si="12"/>
        <v/>
      </c>
    </row>
    <row r="17" spans="1:39" s="57" customFormat="1" ht="14">
      <c r="A17" s="45"/>
      <c r="B17" s="46"/>
      <c r="C17" s="47">
        <f>IF(B17&lt;&gt;"",VLOOKUP(B17,'Tipo Projeto'!$A$3:$B$35,2,0),0)</f>
        <v>0</v>
      </c>
      <c r="D17" s="48"/>
      <c r="E17" s="48"/>
      <c r="F17" s="49"/>
      <c r="G17" s="204"/>
      <c r="H17" s="50"/>
      <c r="I17" s="51"/>
      <c r="J17" s="52"/>
      <c r="K17" s="53"/>
      <c r="L17" s="54" t="str">
        <f t="shared" si="0"/>
        <v/>
      </c>
      <c r="M17" s="49" t="str">
        <f t="shared" si="1"/>
        <v/>
      </c>
      <c r="N17" s="55" t="str">
        <f t="shared" si="2"/>
        <v/>
      </c>
      <c r="O17" s="56">
        <f t="shared" si="3"/>
        <v>0</v>
      </c>
      <c r="P17" s="56">
        <f t="shared" si="4"/>
        <v>0</v>
      </c>
      <c r="Q17" s="55">
        <f t="shared" si="5"/>
        <v>0</v>
      </c>
      <c r="R17" s="48"/>
      <c r="T17" s="58"/>
      <c r="U17" s="46"/>
      <c r="V17" s="47">
        <f>IF(U17&lt;&gt;"",VLOOKUP(U17,'Tipo Projeto'!$A$3:$B$35,2,0),0)</f>
        <v>0</v>
      </c>
      <c r="W17" s="48"/>
      <c r="X17" s="50"/>
      <c r="Y17" s="51"/>
      <c r="Z17" s="52"/>
      <c r="AA17" s="53"/>
      <c r="AB17" s="54" t="str">
        <f t="shared" si="6"/>
        <v/>
      </c>
      <c r="AC17" s="49" t="str">
        <f t="shared" si="7"/>
        <v/>
      </c>
      <c r="AD17" s="55" t="str">
        <f t="shared" si="8"/>
        <v/>
      </c>
      <c r="AE17" s="56">
        <f t="shared" si="9"/>
        <v>0</v>
      </c>
      <c r="AF17" s="56">
        <f t="shared" si="10"/>
        <v>0</v>
      </c>
      <c r="AG17" s="59">
        <f t="shared" si="11"/>
        <v>0</v>
      </c>
      <c r="AH17" s="48"/>
      <c r="AJ17" s="48"/>
      <c r="AL17" s="48"/>
      <c r="AM17" s="48" t="str">
        <f t="shared" si="12"/>
        <v/>
      </c>
    </row>
    <row r="18" spans="1:39" s="57" customFormat="1" ht="14">
      <c r="A18" s="45"/>
      <c r="B18" s="46"/>
      <c r="C18" s="47">
        <f>IF(B18&lt;&gt;"",VLOOKUP(B18,'Tipo Projeto'!$A$3:$B$35,2,0),0)</f>
        <v>0</v>
      </c>
      <c r="D18" s="48"/>
      <c r="E18" s="48"/>
      <c r="F18" s="49"/>
      <c r="G18" s="204"/>
      <c r="H18" s="50"/>
      <c r="I18" s="51"/>
      <c r="J18" s="52"/>
      <c r="K18" s="53"/>
      <c r="L18" s="54" t="str">
        <f t="shared" si="0"/>
        <v/>
      </c>
      <c r="M18" s="49" t="str">
        <f t="shared" si="1"/>
        <v/>
      </c>
      <c r="N18" s="55" t="str">
        <f t="shared" si="2"/>
        <v/>
      </c>
      <c r="O18" s="56">
        <f t="shared" si="3"/>
        <v>0</v>
      </c>
      <c r="P18" s="56">
        <f t="shared" si="4"/>
        <v>0</v>
      </c>
      <c r="Q18" s="55">
        <f t="shared" si="5"/>
        <v>0</v>
      </c>
      <c r="R18" s="48"/>
      <c r="T18" s="58"/>
      <c r="U18" s="46"/>
      <c r="V18" s="47">
        <f>IF(U18&lt;&gt;"",VLOOKUP(U18,'Tipo Projeto'!$A$3:$B$35,2,0),0)</f>
        <v>0</v>
      </c>
      <c r="W18" s="48"/>
      <c r="X18" s="50"/>
      <c r="Y18" s="51"/>
      <c r="Z18" s="52"/>
      <c r="AA18" s="53"/>
      <c r="AB18" s="54" t="str">
        <f t="shared" si="6"/>
        <v/>
      </c>
      <c r="AC18" s="49" t="str">
        <f t="shared" si="7"/>
        <v/>
      </c>
      <c r="AD18" s="55" t="str">
        <f t="shared" si="8"/>
        <v/>
      </c>
      <c r="AE18" s="56">
        <f t="shared" si="9"/>
        <v>0</v>
      </c>
      <c r="AF18" s="56">
        <f t="shared" si="10"/>
        <v>0</v>
      </c>
      <c r="AG18" s="59">
        <f t="shared" si="11"/>
        <v>0</v>
      </c>
      <c r="AH18" s="48"/>
      <c r="AJ18" s="48"/>
      <c r="AL18" s="48"/>
      <c r="AM18" s="48" t="str">
        <f t="shared" si="12"/>
        <v/>
      </c>
    </row>
    <row r="19" spans="1:39" s="57" customFormat="1" ht="14">
      <c r="A19" s="45"/>
      <c r="B19" s="46"/>
      <c r="C19" s="47">
        <f>IF(B19&lt;&gt;"",VLOOKUP(B19,'Tipo Projeto'!$A$3:$B$35,2,0),0)</f>
        <v>0</v>
      </c>
      <c r="D19" s="48"/>
      <c r="E19" s="48"/>
      <c r="F19" s="49"/>
      <c r="G19" s="204"/>
      <c r="H19" s="50"/>
      <c r="I19" s="51"/>
      <c r="J19" s="52"/>
      <c r="K19" s="53"/>
      <c r="L19" s="54" t="str">
        <f t="shared" si="0"/>
        <v/>
      </c>
      <c r="M19" s="49" t="str">
        <f t="shared" si="1"/>
        <v/>
      </c>
      <c r="N19" s="55" t="str">
        <f t="shared" si="2"/>
        <v/>
      </c>
      <c r="O19" s="56">
        <f t="shared" si="3"/>
        <v>0</v>
      </c>
      <c r="P19" s="56">
        <f t="shared" si="4"/>
        <v>0</v>
      </c>
      <c r="Q19" s="55">
        <f t="shared" si="5"/>
        <v>0</v>
      </c>
      <c r="R19" s="48"/>
      <c r="T19" s="58"/>
      <c r="U19" s="46"/>
      <c r="V19" s="47">
        <f>IF(U19&lt;&gt;"",VLOOKUP(U19,'Tipo Projeto'!$A$3:$B$35,2,0),0)</f>
        <v>0</v>
      </c>
      <c r="W19" s="48"/>
      <c r="X19" s="50"/>
      <c r="Y19" s="51"/>
      <c r="Z19" s="52"/>
      <c r="AA19" s="53"/>
      <c r="AB19" s="54" t="str">
        <f t="shared" si="6"/>
        <v/>
      </c>
      <c r="AC19" s="49" t="str">
        <f t="shared" si="7"/>
        <v/>
      </c>
      <c r="AD19" s="55" t="str">
        <f t="shared" si="8"/>
        <v/>
      </c>
      <c r="AE19" s="56">
        <f t="shared" si="9"/>
        <v>0</v>
      </c>
      <c r="AF19" s="56">
        <f t="shared" si="10"/>
        <v>0</v>
      </c>
      <c r="AG19" s="59">
        <f t="shared" si="11"/>
        <v>0</v>
      </c>
      <c r="AH19" s="48"/>
      <c r="AJ19" s="48"/>
      <c r="AL19" s="48"/>
      <c r="AM19" s="48" t="str">
        <f t="shared" si="12"/>
        <v/>
      </c>
    </row>
    <row r="20" spans="1:39" s="57" customFormat="1" ht="14">
      <c r="A20" s="45"/>
      <c r="B20" s="46"/>
      <c r="C20" s="47">
        <f>IF(B20&lt;&gt;"",VLOOKUP(B20,'Tipo Projeto'!$A$3:$B$35,2,0),0)</f>
        <v>0</v>
      </c>
      <c r="D20" s="48"/>
      <c r="E20" s="48"/>
      <c r="F20" s="49"/>
      <c r="G20" s="204"/>
      <c r="H20" s="50"/>
      <c r="I20" s="51"/>
      <c r="J20" s="52"/>
      <c r="K20" s="53"/>
      <c r="L20" s="54" t="str">
        <f t="shared" si="0"/>
        <v/>
      </c>
      <c r="M20" s="49" t="str">
        <f t="shared" si="1"/>
        <v/>
      </c>
      <c r="N20" s="55" t="str">
        <f t="shared" si="2"/>
        <v/>
      </c>
      <c r="O20" s="56">
        <f t="shared" si="3"/>
        <v>0</v>
      </c>
      <c r="P20" s="56">
        <f t="shared" si="4"/>
        <v>0</v>
      </c>
      <c r="Q20" s="55">
        <f t="shared" si="5"/>
        <v>0</v>
      </c>
      <c r="R20" s="48"/>
      <c r="T20" s="58"/>
      <c r="U20" s="46"/>
      <c r="V20" s="47">
        <f>IF(U20&lt;&gt;"",VLOOKUP(U20,'Tipo Projeto'!$A$3:$B$35,2,0),0)</f>
        <v>0</v>
      </c>
      <c r="W20" s="48"/>
      <c r="X20" s="50"/>
      <c r="Y20" s="51"/>
      <c r="Z20" s="52"/>
      <c r="AA20" s="53"/>
      <c r="AB20" s="54" t="str">
        <f t="shared" si="6"/>
        <v/>
      </c>
      <c r="AC20" s="49" t="str">
        <f t="shared" si="7"/>
        <v/>
      </c>
      <c r="AD20" s="55" t="str">
        <f t="shared" si="8"/>
        <v/>
      </c>
      <c r="AE20" s="56">
        <f t="shared" si="9"/>
        <v>0</v>
      </c>
      <c r="AF20" s="56">
        <f t="shared" si="10"/>
        <v>0</v>
      </c>
      <c r="AG20" s="59">
        <f t="shared" si="11"/>
        <v>0</v>
      </c>
      <c r="AH20" s="48"/>
      <c r="AJ20" s="48"/>
      <c r="AL20" s="48"/>
      <c r="AM20" s="48" t="str">
        <f t="shared" si="12"/>
        <v/>
      </c>
    </row>
    <row r="21" spans="1:39" s="57" customFormat="1" ht="14">
      <c r="A21" s="45"/>
      <c r="B21" s="46"/>
      <c r="C21" s="47">
        <f>IF(B21&lt;&gt;"",VLOOKUP(B21,'Tipo Projeto'!$A$3:$B$35,2,0),0)</f>
        <v>0</v>
      </c>
      <c r="D21" s="48"/>
      <c r="E21" s="48"/>
      <c r="F21" s="49"/>
      <c r="G21" s="204"/>
      <c r="H21" s="50"/>
      <c r="I21" s="51"/>
      <c r="J21" s="52"/>
      <c r="K21" s="53"/>
      <c r="L21" s="54" t="str">
        <f t="shared" si="0"/>
        <v/>
      </c>
      <c r="M21" s="49" t="str">
        <f t="shared" si="1"/>
        <v/>
      </c>
      <c r="N21" s="55" t="str">
        <f t="shared" si="2"/>
        <v/>
      </c>
      <c r="O21" s="56">
        <f t="shared" si="3"/>
        <v>0</v>
      </c>
      <c r="P21" s="56">
        <f t="shared" si="4"/>
        <v>0</v>
      </c>
      <c r="Q21" s="55">
        <f t="shared" si="5"/>
        <v>0</v>
      </c>
      <c r="R21" s="48"/>
      <c r="T21" s="58"/>
      <c r="U21" s="46"/>
      <c r="V21" s="47">
        <f>IF(U21&lt;&gt;"",VLOOKUP(U21,'Tipo Projeto'!$A$3:$B$35,2,0),0)</f>
        <v>0</v>
      </c>
      <c r="W21" s="48"/>
      <c r="X21" s="50"/>
      <c r="Y21" s="51"/>
      <c r="Z21" s="52"/>
      <c r="AA21" s="53"/>
      <c r="AB21" s="54" t="str">
        <f t="shared" si="6"/>
        <v/>
      </c>
      <c r="AC21" s="49" t="str">
        <f t="shared" si="7"/>
        <v/>
      </c>
      <c r="AD21" s="55" t="str">
        <f t="shared" si="8"/>
        <v/>
      </c>
      <c r="AE21" s="56">
        <f t="shared" si="9"/>
        <v>0</v>
      </c>
      <c r="AF21" s="56">
        <f t="shared" si="10"/>
        <v>0</v>
      </c>
      <c r="AG21" s="59">
        <f t="shared" si="11"/>
        <v>0</v>
      </c>
      <c r="AH21" s="48"/>
      <c r="AJ21" s="48"/>
      <c r="AL21" s="48"/>
      <c r="AM21" s="48" t="str">
        <f t="shared" si="12"/>
        <v/>
      </c>
    </row>
    <row r="22" spans="1:39" s="57" customFormat="1" ht="14">
      <c r="A22" s="45"/>
      <c r="B22" s="46"/>
      <c r="C22" s="47">
        <f>IF(B22&lt;&gt;"",VLOOKUP(B22,'Tipo Projeto'!$A$3:$B$35,2,0),0)</f>
        <v>0</v>
      </c>
      <c r="D22" s="48"/>
      <c r="E22" s="48"/>
      <c r="F22" s="49"/>
      <c r="G22" s="204"/>
      <c r="H22" s="50"/>
      <c r="I22" s="51"/>
      <c r="J22" s="52"/>
      <c r="K22" s="53"/>
      <c r="L22" s="54" t="str">
        <f t="shared" si="0"/>
        <v/>
      </c>
      <c r="M22" s="49" t="str">
        <f t="shared" si="1"/>
        <v/>
      </c>
      <c r="N22" s="55" t="str">
        <f t="shared" si="2"/>
        <v/>
      </c>
      <c r="O22" s="56">
        <f t="shared" si="3"/>
        <v>0</v>
      </c>
      <c r="P22" s="56">
        <f t="shared" si="4"/>
        <v>0</v>
      </c>
      <c r="Q22" s="55">
        <f t="shared" si="5"/>
        <v>0</v>
      </c>
      <c r="R22" s="48"/>
      <c r="T22" s="58"/>
      <c r="U22" s="46"/>
      <c r="V22" s="47">
        <f>IF(U22&lt;&gt;"",VLOOKUP(U22,'Tipo Projeto'!$A$3:$B$35,2,0),0)</f>
        <v>0</v>
      </c>
      <c r="W22" s="48"/>
      <c r="X22" s="50"/>
      <c r="Y22" s="51"/>
      <c r="Z22" s="52"/>
      <c r="AA22" s="53"/>
      <c r="AB22" s="54" t="str">
        <f t="shared" si="6"/>
        <v/>
      </c>
      <c r="AC22" s="49" t="str">
        <f t="shared" si="7"/>
        <v/>
      </c>
      <c r="AD22" s="55" t="str">
        <f t="shared" si="8"/>
        <v/>
      </c>
      <c r="AE22" s="56">
        <f t="shared" si="9"/>
        <v>0</v>
      </c>
      <c r="AF22" s="56">
        <f t="shared" si="10"/>
        <v>0</v>
      </c>
      <c r="AG22" s="59">
        <f t="shared" si="11"/>
        <v>0</v>
      </c>
      <c r="AH22" s="48"/>
      <c r="AJ22" s="48"/>
      <c r="AL22" s="48"/>
      <c r="AM22" s="48" t="str">
        <f t="shared" si="12"/>
        <v/>
      </c>
    </row>
    <row r="23" spans="1:39" s="57" customFormat="1" ht="14">
      <c r="A23" s="45"/>
      <c r="B23" s="46"/>
      <c r="C23" s="47">
        <f>IF(B23&lt;&gt;"",VLOOKUP(B23,'Tipo Projeto'!$A$3:$B$35,2,0),0)</f>
        <v>0</v>
      </c>
      <c r="D23" s="48"/>
      <c r="E23" s="48"/>
      <c r="F23" s="49"/>
      <c r="G23" s="204"/>
      <c r="H23" s="50"/>
      <c r="I23" s="51"/>
      <c r="J23" s="52"/>
      <c r="K23" s="53"/>
      <c r="L23" s="54" t="str">
        <f t="shared" si="0"/>
        <v/>
      </c>
      <c r="M23" s="49" t="str">
        <f t="shared" si="1"/>
        <v/>
      </c>
      <c r="N23" s="55" t="str">
        <f t="shared" si="2"/>
        <v/>
      </c>
      <c r="O23" s="56">
        <f t="shared" si="3"/>
        <v>0</v>
      </c>
      <c r="P23" s="56">
        <f t="shared" si="4"/>
        <v>0</v>
      </c>
      <c r="Q23" s="55">
        <f t="shared" si="5"/>
        <v>0</v>
      </c>
      <c r="R23" s="48"/>
      <c r="T23" s="58"/>
      <c r="U23" s="46"/>
      <c r="V23" s="47">
        <f>IF(U23&lt;&gt;"",VLOOKUP(U23,'Tipo Projeto'!$A$3:$B$35,2,0),0)</f>
        <v>0</v>
      </c>
      <c r="W23" s="48"/>
      <c r="X23" s="50"/>
      <c r="Y23" s="51"/>
      <c r="Z23" s="52"/>
      <c r="AA23" s="53"/>
      <c r="AB23" s="54" t="str">
        <f t="shared" si="6"/>
        <v/>
      </c>
      <c r="AC23" s="49" t="str">
        <f t="shared" si="7"/>
        <v/>
      </c>
      <c r="AD23" s="55" t="str">
        <f t="shared" si="8"/>
        <v/>
      </c>
      <c r="AE23" s="56">
        <f t="shared" si="9"/>
        <v>0</v>
      </c>
      <c r="AF23" s="56">
        <f t="shared" si="10"/>
        <v>0</v>
      </c>
      <c r="AG23" s="59">
        <f t="shared" si="11"/>
        <v>0</v>
      </c>
      <c r="AH23" s="48"/>
      <c r="AJ23" s="48"/>
      <c r="AL23" s="48"/>
      <c r="AM23" s="48" t="str">
        <f t="shared" si="12"/>
        <v/>
      </c>
    </row>
    <row r="24" spans="1:39" s="57" customFormat="1" ht="14">
      <c r="A24" s="45"/>
      <c r="B24" s="46"/>
      <c r="C24" s="47">
        <f>IF(B24&lt;&gt;"",VLOOKUP(B24,'Tipo Projeto'!$A$3:$B$35,2,0),0)</f>
        <v>0</v>
      </c>
      <c r="D24" s="48"/>
      <c r="E24" s="48"/>
      <c r="F24" s="49"/>
      <c r="G24" s="204"/>
      <c r="H24" s="50"/>
      <c r="I24" s="51"/>
      <c r="J24" s="52"/>
      <c r="K24" s="53"/>
      <c r="L24" s="54" t="str">
        <f t="shared" si="0"/>
        <v/>
      </c>
      <c r="M24" s="49" t="str">
        <f t="shared" si="1"/>
        <v/>
      </c>
      <c r="N24" s="55" t="str">
        <f t="shared" si="2"/>
        <v/>
      </c>
      <c r="O24" s="56">
        <f t="shared" si="3"/>
        <v>0</v>
      </c>
      <c r="P24" s="56">
        <f t="shared" si="4"/>
        <v>0</v>
      </c>
      <c r="Q24" s="55">
        <f t="shared" si="5"/>
        <v>0</v>
      </c>
      <c r="R24" s="48"/>
      <c r="T24" s="58"/>
      <c r="U24" s="46"/>
      <c r="V24" s="47">
        <f>IF(U24&lt;&gt;"",VLOOKUP(U24,'Tipo Projeto'!$A$3:$B$35,2,0),0)</f>
        <v>0</v>
      </c>
      <c r="W24" s="48"/>
      <c r="X24" s="50"/>
      <c r="Y24" s="51"/>
      <c r="Z24" s="52"/>
      <c r="AA24" s="53"/>
      <c r="AB24" s="54" t="str">
        <f t="shared" si="6"/>
        <v/>
      </c>
      <c r="AC24" s="49" t="str">
        <f t="shared" si="7"/>
        <v/>
      </c>
      <c r="AD24" s="55" t="str">
        <f t="shared" si="8"/>
        <v/>
      </c>
      <c r="AE24" s="56">
        <f t="shared" si="9"/>
        <v>0</v>
      </c>
      <c r="AF24" s="56">
        <f t="shared" si="10"/>
        <v>0</v>
      </c>
      <c r="AG24" s="59">
        <f t="shared" si="11"/>
        <v>0</v>
      </c>
      <c r="AH24" s="48"/>
      <c r="AJ24" s="48"/>
      <c r="AL24" s="48"/>
      <c r="AM24" s="48" t="str">
        <f t="shared" si="12"/>
        <v/>
      </c>
    </row>
    <row r="25" spans="1:39" s="57" customFormat="1" ht="14">
      <c r="A25" s="45"/>
      <c r="B25" s="46"/>
      <c r="C25" s="47">
        <f>IF(B25&lt;&gt;"",VLOOKUP(B25,'Tipo Projeto'!$A$3:$B$35,2,0),0)</f>
        <v>0</v>
      </c>
      <c r="D25" s="48"/>
      <c r="E25" s="48"/>
      <c r="F25" s="49"/>
      <c r="G25" s="204"/>
      <c r="H25" s="50"/>
      <c r="I25" s="51"/>
      <c r="J25" s="52"/>
      <c r="K25" s="53"/>
      <c r="L25" s="54" t="str">
        <f t="shared" si="0"/>
        <v/>
      </c>
      <c r="M25" s="49" t="str">
        <f t="shared" si="1"/>
        <v/>
      </c>
      <c r="N25" s="55" t="str">
        <f t="shared" si="2"/>
        <v/>
      </c>
      <c r="O25" s="56">
        <f t="shared" si="3"/>
        <v>0</v>
      </c>
      <c r="P25" s="56">
        <f t="shared" si="4"/>
        <v>0</v>
      </c>
      <c r="Q25" s="55">
        <f t="shared" si="5"/>
        <v>0</v>
      </c>
      <c r="R25" s="48"/>
      <c r="T25" s="58"/>
      <c r="U25" s="46"/>
      <c r="V25" s="47">
        <f>IF(U25&lt;&gt;"",VLOOKUP(U25,'Tipo Projeto'!$A$3:$B$35,2,0),0)</f>
        <v>0</v>
      </c>
      <c r="W25" s="48"/>
      <c r="X25" s="50"/>
      <c r="Y25" s="51"/>
      <c r="Z25" s="52"/>
      <c r="AA25" s="53"/>
      <c r="AB25" s="54" t="str">
        <f t="shared" si="6"/>
        <v/>
      </c>
      <c r="AC25" s="49" t="str">
        <f t="shared" si="7"/>
        <v/>
      </c>
      <c r="AD25" s="55" t="str">
        <f t="shared" si="8"/>
        <v/>
      </c>
      <c r="AE25" s="56">
        <f t="shared" si="9"/>
        <v>0</v>
      </c>
      <c r="AF25" s="56">
        <f t="shared" si="10"/>
        <v>0</v>
      </c>
      <c r="AG25" s="59">
        <f t="shared" si="11"/>
        <v>0</v>
      </c>
      <c r="AH25" s="48"/>
      <c r="AJ25" s="48"/>
      <c r="AL25" s="48"/>
      <c r="AM25" s="48" t="str">
        <f t="shared" si="12"/>
        <v/>
      </c>
    </row>
    <row r="26" spans="1:39" s="57" customFormat="1" ht="14">
      <c r="A26" s="45"/>
      <c r="B26" s="46"/>
      <c r="C26" s="47">
        <f>IF(B26&lt;&gt;"",VLOOKUP(B26,'Tipo Projeto'!$A$3:$B$35,2,0),0)</f>
        <v>0</v>
      </c>
      <c r="D26" s="48"/>
      <c r="E26" s="48"/>
      <c r="F26" s="49"/>
      <c r="G26" s="204"/>
      <c r="H26" s="50"/>
      <c r="I26" s="51"/>
      <c r="J26" s="52"/>
      <c r="K26" s="53"/>
      <c r="L26" s="54" t="str">
        <f t="shared" si="0"/>
        <v/>
      </c>
      <c r="M26" s="49" t="str">
        <f t="shared" si="1"/>
        <v/>
      </c>
      <c r="N26" s="55" t="str">
        <f t="shared" si="2"/>
        <v/>
      </c>
      <c r="O26" s="56">
        <f t="shared" si="3"/>
        <v>0</v>
      </c>
      <c r="P26" s="56">
        <f t="shared" si="4"/>
        <v>0</v>
      </c>
      <c r="Q26" s="55">
        <f t="shared" si="5"/>
        <v>0</v>
      </c>
      <c r="R26" s="48"/>
      <c r="T26" s="58"/>
      <c r="U26" s="46"/>
      <c r="V26" s="47">
        <f>IF(U26&lt;&gt;"",VLOOKUP(U26,'Tipo Projeto'!$A$3:$B$35,2,0),0)</f>
        <v>0</v>
      </c>
      <c r="W26" s="48"/>
      <c r="X26" s="50"/>
      <c r="Y26" s="51"/>
      <c r="Z26" s="52"/>
      <c r="AA26" s="53"/>
      <c r="AB26" s="54" t="str">
        <f t="shared" si="6"/>
        <v/>
      </c>
      <c r="AC26" s="49" t="str">
        <f t="shared" si="7"/>
        <v/>
      </c>
      <c r="AD26" s="55" t="str">
        <f t="shared" si="8"/>
        <v/>
      </c>
      <c r="AE26" s="56">
        <f t="shared" si="9"/>
        <v>0</v>
      </c>
      <c r="AF26" s="56">
        <f t="shared" si="10"/>
        <v>0</v>
      </c>
      <c r="AG26" s="59">
        <f t="shared" si="11"/>
        <v>0</v>
      </c>
      <c r="AH26" s="48"/>
      <c r="AJ26" s="48"/>
      <c r="AL26" s="48"/>
      <c r="AM26" s="48" t="str">
        <f t="shared" si="12"/>
        <v/>
      </c>
    </row>
    <row r="27" spans="1:39" s="57" customFormat="1" ht="14">
      <c r="A27" s="45"/>
      <c r="B27" s="46"/>
      <c r="C27" s="47">
        <f>IF(B27&lt;&gt;"",VLOOKUP(B27,'Tipo Projeto'!$A$3:$B$35,2,0),0)</f>
        <v>0</v>
      </c>
      <c r="D27" s="48"/>
      <c r="E27" s="48"/>
      <c r="F27" s="49"/>
      <c r="G27" s="204"/>
      <c r="H27" s="50"/>
      <c r="I27" s="51"/>
      <c r="J27" s="52"/>
      <c r="K27" s="53"/>
      <c r="L27" s="54" t="str">
        <f t="shared" si="0"/>
        <v/>
      </c>
      <c r="M27" s="49" t="str">
        <f t="shared" si="1"/>
        <v/>
      </c>
      <c r="N27" s="55" t="str">
        <f t="shared" si="2"/>
        <v/>
      </c>
      <c r="O27" s="56">
        <f t="shared" si="3"/>
        <v>0</v>
      </c>
      <c r="P27" s="56">
        <f t="shared" si="4"/>
        <v>0</v>
      </c>
      <c r="Q27" s="55">
        <f t="shared" si="5"/>
        <v>0</v>
      </c>
      <c r="R27" s="48"/>
      <c r="T27" s="58"/>
      <c r="U27" s="46"/>
      <c r="V27" s="47">
        <f>IF(U27&lt;&gt;"",VLOOKUP(U27,'Tipo Projeto'!$A$3:$B$35,2,0),0)</f>
        <v>0</v>
      </c>
      <c r="W27" s="48"/>
      <c r="X27" s="50"/>
      <c r="Y27" s="51"/>
      <c r="Z27" s="52"/>
      <c r="AA27" s="53"/>
      <c r="AB27" s="54" t="str">
        <f t="shared" si="6"/>
        <v/>
      </c>
      <c r="AC27" s="49" t="str">
        <f t="shared" si="7"/>
        <v/>
      </c>
      <c r="AD27" s="55" t="str">
        <f t="shared" si="8"/>
        <v/>
      </c>
      <c r="AE27" s="56">
        <f t="shared" si="9"/>
        <v>0</v>
      </c>
      <c r="AF27" s="56">
        <f t="shared" si="10"/>
        <v>0</v>
      </c>
      <c r="AG27" s="59">
        <f t="shared" si="11"/>
        <v>0</v>
      </c>
      <c r="AH27" s="48"/>
      <c r="AJ27" s="48"/>
      <c r="AL27" s="48"/>
      <c r="AM27" s="48" t="str">
        <f t="shared" si="12"/>
        <v/>
      </c>
    </row>
    <row r="28" spans="1:39" s="57" customFormat="1" ht="14">
      <c r="A28" s="45"/>
      <c r="B28" s="46"/>
      <c r="C28" s="47">
        <f>IF(B28&lt;&gt;"",VLOOKUP(B28,'Tipo Projeto'!$A$3:$B$35,2,0),0)</f>
        <v>0</v>
      </c>
      <c r="D28" s="48"/>
      <c r="E28" s="48"/>
      <c r="F28" s="49"/>
      <c r="G28" s="204"/>
      <c r="H28" s="50"/>
      <c r="I28" s="51"/>
      <c r="J28" s="52"/>
      <c r="K28" s="53"/>
      <c r="L28" s="54" t="str">
        <f t="shared" si="0"/>
        <v/>
      </c>
      <c r="M28" s="49" t="str">
        <f t="shared" si="1"/>
        <v/>
      </c>
      <c r="N28" s="55" t="str">
        <f t="shared" si="2"/>
        <v/>
      </c>
      <c r="O28" s="56">
        <f t="shared" si="3"/>
        <v>0</v>
      </c>
      <c r="P28" s="56">
        <f t="shared" si="4"/>
        <v>0</v>
      </c>
      <c r="Q28" s="55">
        <f t="shared" si="5"/>
        <v>0</v>
      </c>
      <c r="R28" s="48"/>
      <c r="T28" s="58"/>
      <c r="U28" s="46"/>
      <c r="V28" s="47">
        <f>IF(U28&lt;&gt;"",VLOOKUP(U28,'Tipo Projeto'!$A$3:$B$35,2,0),0)</f>
        <v>0</v>
      </c>
      <c r="W28" s="48"/>
      <c r="X28" s="50"/>
      <c r="Y28" s="51"/>
      <c r="Z28" s="52"/>
      <c r="AA28" s="53"/>
      <c r="AB28" s="54" t="str">
        <f t="shared" si="6"/>
        <v/>
      </c>
      <c r="AC28" s="49" t="str">
        <f t="shared" si="7"/>
        <v/>
      </c>
      <c r="AD28" s="55" t="str">
        <f t="shared" si="8"/>
        <v/>
      </c>
      <c r="AE28" s="56">
        <f t="shared" si="9"/>
        <v>0</v>
      </c>
      <c r="AF28" s="56">
        <f t="shared" si="10"/>
        <v>0</v>
      </c>
      <c r="AG28" s="59">
        <f t="shared" si="11"/>
        <v>0</v>
      </c>
      <c r="AH28" s="48"/>
      <c r="AJ28" s="48"/>
      <c r="AL28" s="48"/>
      <c r="AM28" s="48" t="str">
        <f t="shared" si="12"/>
        <v/>
      </c>
    </row>
    <row r="29" spans="1:39" s="57" customFormat="1" ht="14">
      <c r="A29" s="45"/>
      <c r="B29" s="46"/>
      <c r="C29" s="47">
        <f>IF(B29&lt;&gt;"",VLOOKUP(B29,'Tipo Projeto'!$A$3:$B$35,2,0),0)</f>
        <v>0</v>
      </c>
      <c r="D29" s="48"/>
      <c r="E29" s="48"/>
      <c r="F29" s="49"/>
      <c r="G29" s="204"/>
      <c r="H29" s="50"/>
      <c r="I29" s="51"/>
      <c r="J29" s="52"/>
      <c r="K29" s="53"/>
      <c r="L29" s="54" t="str">
        <f t="shared" si="0"/>
        <v/>
      </c>
      <c r="M29" s="49" t="str">
        <f t="shared" si="1"/>
        <v/>
      </c>
      <c r="N29" s="55" t="str">
        <f t="shared" si="2"/>
        <v/>
      </c>
      <c r="O29" s="56">
        <f t="shared" si="3"/>
        <v>0</v>
      </c>
      <c r="P29" s="56">
        <f t="shared" si="4"/>
        <v>0</v>
      </c>
      <c r="Q29" s="55">
        <f t="shared" si="5"/>
        <v>0</v>
      </c>
      <c r="R29" s="48"/>
      <c r="T29" s="58"/>
      <c r="U29" s="46"/>
      <c r="V29" s="47">
        <f>IF(U29&lt;&gt;"",VLOOKUP(U29,'Tipo Projeto'!$A$3:$B$35,2,0),0)</f>
        <v>0</v>
      </c>
      <c r="W29" s="48"/>
      <c r="X29" s="50"/>
      <c r="Y29" s="51"/>
      <c r="Z29" s="52"/>
      <c r="AA29" s="53"/>
      <c r="AB29" s="54" t="str">
        <f t="shared" si="6"/>
        <v/>
      </c>
      <c r="AC29" s="49" t="str">
        <f t="shared" si="7"/>
        <v/>
      </c>
      <c r="AD29" s="55" t="str">
        <f t="shared" si="8"/>
        <v/>
      </c>
      <c r="AE29" s="56">
        <f t="shared" si="9"/>
        <v>0</v>
      </c>
      <c r="AF29" s="56">
        <f t="shared" si="10"/>
        <v>0</v>
      </c>
      <c r="AG29" s="59">
        <f t="shared" si="11"/>
        <v>0</v>
      </c>
      <c r="AH29" s="48"/>
      <c r="AJ29" s="48"/>
      <c r="AL29" s="48"/>
      <c r="AM29" s="48" t="str">
        <f t="shared" si="12"/>
        <v/>
      </c>
    </row>
    <row r="30" spans="1:39" s="57" customFormat="1" ht="14">
      <c r="A30" s="45"/>
      <c r="B30" s="46"/>
      <c r="C30" s="47">
        <f>IF(B30&lt;&gt;"",VLOOKUP(B30,'Tipo Projeto'!$A$3:$B$35,2,0),0)</f>
        <v>0</v>
      </c>
      <c r="D30" s="48"/>
      <c r="E30" s="48"/>
      <c r="F30" s="49"/>
      <c r="G30" s="204"/>
      <c r="H30" s="50"/>
      <c r="I30" s="51"/>
      <c r="J30" s="52"/>
      <c r="K30" s="53"/>
      <c r="L30" s="54" t="str">
        <f t="shared" si="0"/>
        <v/>
      </c>
      <c r="M30" s="49" t="str">
        <f t="shared" si="1"/>
        <v/>
      </c>
      <c r="N30" s="55" t="str">
        <f t="shared" si="2"/>
        <v/>
      </c>
      <c r="O30" s="56">
        <f t="shared" si="3"/>
        <v>0</v>
      </c>
      <c r="P30" s="56">
        <f t="shared" si="4"/>
        <v>0</v>
      </c>
      <c r="Q30" s="55">
        <f t="shared" si="5"/>
        <v>0</v>
      </c>
      <c r="R30" s="48"/>
      <c r="T30" s="58"/>
      <c r="U30" s="46"/>
      <c r="V30" s="47">
        <f>IF(U30&lt;&gt;"",VLOOKUP(U30,'Tipo Projeto'!$A$3:$B$35,2,0),0)</f>
        <v>0</v>
      </c>
      <c r="W30" s="48"/>
      <c r="X30" s="50"/>
      <c r="Y30" s="51"/>
      <c r="Z30" s="52"/>
      <c r="AA30" s="53"/>
      <c r="AB30" s="54" t="str">
        <f t="shared" si="6"/>
        <v/>
      </c>
      <c r="AC30" s="49" t="str">
        <f t="shared" si="7"/>
        <v/>
      </c>
      <c r="AD30" s="55" t="str">
        <f t="shared" si="8"/>
        <v/>
      </c>
      <c r="AE30" s="56">
        <f t="shared" si="9"/>
        <v>0</v>
      </c>
      <c r="AF30" s="56">
        <f t="shared" si="10"/>
        <v>0</v>
      </c>
      <c r="AG30" s="59">
        <f t="shared" si="11"/>
        <v>0</v>
      </c>
      <c r="AH30" s="48"/>
      <c r="AJ30" s="48"/>
      <c r="AL30" s="48"/>
      <c r="AM30" s="48" t="str">
        <f t="shared" si="12"/>
        <v/>
      </c>
    </row>
    <row r="31" spans="1:39" s="57" customFormat="1" ht="14">
      <c r="A31" s="45"/>
      <c r="B31" s="46"/>
      <c r="C31" s="47">
        <f>IF(B31&lt;&gt;"",VLOOKUP(B31,'Tipo Projeto'!$A$3:$B$35,2,0),0)</f>
        <v>0</v>
      </c>
      <c r="D31" s="48"/>
      <c r="E31" s="48"/>
      <c r="F31" s="49"/>
      <c r="G31" s="204"/>
      <c r="H31" s="50"/>
      <c r="I31" s="51"/>
      <c r="J31" s="52"/>
      <c r="K31" s="53"/>
      <c r="L31" s="54" t="str">
        <f t="shared" si="0"/>
        <v/>
      </c>
      <c r="M31" s="49" t="str">
        <f t="shared" si="1"/>
        <v/>
      </c>
      <c r="N31" s="55" t="str">
        <f t="shared" si="2"/>
        <v/>
      </c>
      <c r="O31" s="56">
        <f t="shared" si="3"/>
        <v>0</v>
      </c>
      <c r="P31" s="56">
        <f t="shared" si="4"/>
        <v>0</v>
      </c>
      <c r="Q31" s="55">
        <f t="shared" si="5"/>
        <v>0</v>
      </c>
      <c r="R31" s="48"/>
      <c r="T31" s="58"/>
      <c r="U31" s="46"/>
      <c r="V31" s="47">
        <f>IF(U31&lt;&gt;"",VLOOKUP(U31,'Tipo Projeto'!$A$3:$B$35,2,0),0)</f>
        <v>0</v>
      </c>
      <c r="W31" s="48"/>
      <c r="X31" s="50"/>
      <c r="Y31" s="51"/>
      <c r="Z31" s="52"/>
      <c r="AA31" s="53"/>
      <c r="AB31" s="54" t="str">
        <f t="shared" si="6"/>
        <v/>
      </c>
      <c r="AC31" s="49" t="str">
        <f t="shared" si="7"/>
        <v/>
      </c>
      <c r="AD31" s="55" t="str">
        <f t="shared" si="8"/>
        <v/>
      </c>
      <c r="AE31" s="56">
        <f t="shared" si="9"/>
        <v>0</v>
      </c>
      <c r="AF31" s="56">
        <f t="shared" si="10"/>
        <v>0</v>
      </c>
      <c r="AG31" s="59">
        <f t="shared" si="11"/>
        <v>0</v>
      </c>
      <c r="AH31" s="48"/>
      <c r="AJ31" s="48"/>
      <c r="AL31" s="48"/>
      <c r="AM31" s="48" t="str">
        <f t="shared" si="12"/>
        <v/>
      </c>
    </row>
    <row r="32" spans="1:39" s="57" customFormat="1" ht="14">
      <c r="A32" s="45"/>
      <c r="B32" s="46"/>
      <c r="C32" s="47">
        <f>IF(B32&lt;&gt;"",VLOOKUP(B32,'Tipo Projeto'!$A$3:$B$35,2,0),0)</f>
        <v>0</v>
      </c>
      <c r="D32" s="48"/>
      <c r="E32" s="48"/>
      <c r="F32" s="49"/>
      <c r="G32" s="204"/>
      <c r="H32" s="50"/>
      <c r="I32" s="51"/>
      <c r="J32" s="52"/>
      <c r="K32" s="53"/>
      <c r="L32" s="54" t="str">
        <f t="shared" si="0"/>
        <v/>
      </c>
      <c r="M32" s="49" t="str">
        <f t="shared" si="1"/>
        <v/>
      </c>
      <c r="N32" s="55" t="str">
        <f t="shared" si="2"/>
        <v/>
      </c>
      <c r="O32" s="56">
        <f t="shared" si="3"/>
        <v>0</v>
      </c>
      <c r="P32" s="56">
        <f t="shared" si="4"/>
        <v>0</v>
      </c>
      <c r="Q32" s="55">
        <f t="shared" si="5"/>
        <v>0</v>
      </c>
      <c r="R32" s="48"/>
      <c r="T32" s="58"/>
      <c r="U32" s="46"/>
      <c r="V32" s="47">
        <f>IF(U32&lt;&gt;"",VLOOKUP(U32,'Tipo Projeto'!$A$3:$B$35,2,0),0)</f>
        <v>0</v>
      </c>
      <c r="W32" s="48"/>
      <c r="X32" s="50"/>
      <c r="Y32" s="51"/>
      <c r="Z32" s="52"/>
      <c r="AA32" s="53"/>
      <c r="AB32" s="54" t="str">
        <f t="shared" si="6"/>
        <v/>
      </c>
      <c r="AC32" s="49" t="str">
        <f t="shared" si="7"/>
        <v/>
      </c>
      <c r="AD32" s="55" t="str">
        <f t="shared" si="8"/>
        <v/>
      </c>
      <c r="AE32" s="56">
        <f t="shared" si="9"/>
        <v>0</v>
      </c>
      <c r="AF32" s="56">
        <f t="shared" si="10"/>
        <v>0</v>
      </c>
      <c r="AG32" s="59">
        <f t="shared" si="11"/>
        <v>0</v>
      </c>
      <c r="AH32" s="48"/>
      <c r="AJ32" s="48"/>
      <c r="AL32" s="48"/>
      <c r="AM32" s="48" t="str">
        <f t="shared" si="12"/>
        <v/>
      </c>
    </row>
    <row r="33" spans="1:39" s="57" customFormat="1" ht="14">
      <c r="A33" s="45"/>
      <c r="B33" s="46"/>
      <c r="C33" s="47">
        <f>IF(B33&lt;&gt;"",VLOOKUP(B33,'Tipo Projeto'!$A$3:$B$35,2,0),0)</f>
        <v>0</v>
      </c>
      <c r="D33" s="48"/>
      <c r="E33" s="48"/>
      <c r="F33" s="49"/>
      <c r="G33" s="204"/>
      <c r="H33" s="50"/>
      <c r="I33" s="51"/>
      <c r="J33" s="52"/>
      <c r="K33" s="53"/>
      <c r="L33" s="54" t="str">
        <f t="shared" si="0"/>
        <v/>
      </c>
      <c r="M33" s="49" t="str">
        <f t="shared" si="1"/>
        <v/>
      </c>
      <c r="N33" s="55" t="str">
        <f t="shared" si="2"/>
        <v/>
      </c>
      <c r="O33" s="56">
        <f t="shared" si="3"/>
        <v>0</v>
      </c>
      <c r="P33" s="56">
        <f t="shared" si="4"/>
        <v>0</v>
      </c>
      <c r="Q33" s="55">
        <f t="shared" si="5"/>
        <v>0</v>
      </c>
      <c r="R33" s="48"/>
      <c r="T33" s="58"/>
      <c r="U33" s="46"/>
      <c r="V33" s="47">
        <f>IF(U33&lt;&gt;"",VLOOKUP(U33,'Tipo Projeto'!$A$3:$B$35,2,0),0)</f>
        <v>0</v>
      </c>
      <c r="W33" s="48"/>
      <c r="X33" s="50"/>
      <c r="Y33" s="51"/>
      <c r="Z33" s="52"/>
      <c r="AA33" s="53"/>
      <c r="AB33" s="54" t="str">
        <f t="shared" si="6"/>
        <v/>
      </c>
      <c r="AC33" s="49" t="str">
        <f t="shared" si="7"/>
        <v/>
      </c>
      <c r="AD33" s="55" t="str">
        <f t="shared" si="8"/>
        <v/>
      </c>
      <c r="AE33" s="56">
        <f t="shared" si="9"/>
        <v>0</v>
      </c>
      <c r="AF33" s="56">
        <f t="shared" si="10"/>
        <v>0</v>
      </c>
      <c r="AG33" s="59">
        <f t="shared" si="11"/>
        <v>0</v>
      </c>
      <c r="AH33" s="48"/>
      <c r="AJ33" s="48"/>
      <c r="AL33" s="48"/>
      <c r="AM33" s="48" t="str">
        <f t="shared" si="12"/>
        <v/>
      </c>
    </row>
    <row r="34" spans="1:39" s="57" customFormat="1" ht="14">
      <c r="A34" s="45"/>
      <c r="B34" s="46"/>
      <c r="C34" s="47">
        <f>IF(B34&lt;&gt;"",VLOOKUP(B34,'Tipo Projeto'!$A$3:$B$35,2,0),0)</f>
        <v>0</v>
      </c>
      <c r="D34" s="48"/>
      <c r="E34" s="48"/>
      <c r="F34" s="49"/>
      <c r="G34" s="204"/>
      <c r="H34" s="50"/>
      <c r="I34" s="51"/>
      <c r="J34" s="52"/>
      <c r="K34" s="53"/>
      <c r="L34" s="54" t="str">
        <f t="shared" si="0"/>
        <v/>
      </c>
      <c r="M34" s="49" t="str">
        <f t="shared" si="1"/>
        <v/>
      </c>
      <c r="N34" s="55" t="str">
        <f t="shared" si="2"/>
        <v/>
      </c>
      <c r="O34" s="56">
        <f t="shared" si="3"/>
        <v>0</v>
      </c>
      <c r="P34" s="56">
        <f t="shared" si="4"/>
        <v>0</v>
      </c>
      <c r="Q34" s="55">
        <f t="shared" si="5"/>
        <v>0</v>
      </c>
      <c r="R34" s="48"/>
      <c r="T34" s="58"/>
      <c r="U34" s="46"/>
      <c r="V34" s="47">
        <f>IF(U34&lt;&gt;"",VLOOKUP(U34,'Tipo Projeto'!$A$3:$B$35,2,0),0)</f>
        <v>0</v>
      </c>
      <c r="W34" s="48"/>
      <c r="X34" s="50"/>
      <c r="Y34" s="51"/>
      <c r="Z34" s="52"/>
      <c r="AA34" s="53"/>
      <c r="AB34" s="54" t="str">
        <f t="shared" si="6"/>
        <v/>
      </c>
      <c r="AC34" s="49" t="str">
        <f t="shared" si="7"/>
        <v/>
      </c>
      <c r="AD34" s="55" t="str">
        <f t="shared" si="8"/>
        <v/>
      </c>
      <c r="AE34" s="56">
        <f t="shared" si="9"/>
        <v>0</v>
      </c>
      <c r="AF34" s="56">
        <f t="shared" si="10"/>
        <v>0</v>
      </c>
      <c r="AG34" s="59">
        <f t="shared" si="11"/>
        <v>0</v>
      </c>
      <c r="AH34" s="48"/>
      <c r="AJ34" s="48"/>
      <c r="AL34" s="48"/>
      <c r="AM34" s="48" t="str">
        <f t="shared" si="12"/>
        <v/>
      </c>
    </row>
    <row r="35" spans="1:39" s="57" customFormat="1" ht="14">
      <c r="A35" s="45"/>
      <c r="B35" s="46"/>
      <c r="C35" s="47">
        <f>IF(B35&lt;&gt;"",VLOOKUP(B35,'Tipo Projeto'!$A$3:$B$35,2,0),0)</f>
        <v>0</v>
      </c>
      <c r="D35" s="48"/>
      <c r="E35" s="48"/>
      <c r="F35" s="49"/>
      <c r="G35" s="204"/>
      <c r="H35" s="50"/>
      <c r="I35" s="51"/>
      <c r="J35" s="52"/>
      <c r="K35" s="53"/>
      <c r="L35" s="54" t="str">
        <f t="shared" si="0"/>
        <v/>
      </c>
      <c r="M35" s="49" t="str">
        <f t="shared" si="1"/>
        <v/>
      </c>
      <c r="N35" s="55" t="str">
        <f t="shared" si="2"/>
        <v/>
      </c>
      <c r="O35" s="56">
        <f t="shared" si="3"/>
        <v>0</v>
      </c>
      <c r="P35" s="56">
        <f t="shared" si="4"/>
        <v>0</v>
      </c>
      <c r="Q35" s="55">
        <f t="shared" si="5"/>
        <v>0</v>
      </c>
      <c r="R35" s="48"/>
      <c r="T35" s="58"/>
      <c r="U35" s="46"/>
      <c r="V35" s="47">
        <f>IF(U35&lt;&gt;"",VLOOKUP(U35,'Tipo Projeto'!$A$3:$B$35,2,0),0)</f>
        <v>0</v>
      </c>
      <c r="W35" s="48"/>
      <c r="X35" s="50"/>
      <c r="Y35" s="51"/>
      <c r="Z35" s="52"/>
      <c r="AA35" s="53"/>
      <c r="AB35" s="54" t="str">
        <f t="shared" si="6"/>
        <v/>
      </c>
      <c r="AC35" s="49" t="str">
        <f t="shared" si="7"/>
        <v/>
      </c>
      <c r="AD35" s="55" t="str">
        <f t="shared" si="8"/>
        <v/>
      </c>
      <c r="AE35" s="56">
        <f t="shared" si="9"/>
        <v>0</v>
      </c>
      <c r="AF35" s="56">
        <f t="shared" si="10"/>
        <v>0</v>
      </c>
      <c r="AG35" s="59">
        <f t="shared" si="11"/>
        <v>0</v>
      </c>
      <c r="AH35" s="48"/>
      <c r="AJ35" s="48"/>
      <c r="AL35" s="48"/>
      <c r="AM35" s="48" t="str">
        <f t="shared" si="12"/>
        <v/>
      </c>
    </row>
    <row r="36" spans="1:39" s="57" customFormat="1" ht="14">
      <c r="A36" s="45"/>
      <c r="B36" s="46"/>
      <c r="C36" s="47">
        <f>IF(B36&lt;&gt;"",VLOOKUP(B36,'Tipo Projeto'!$A$3:$B$35,2,0),0)</f>
        <v>0</v>
      </c>
      <c r="D36" s="48"/>
      <c r="E36" s="48"/>
      <c r="F36" s="49"/>
      <c r="G36" s="204"/>
      <c r="H36" s="50"/>
      <c r="I36" s="51"/>
      <c r="J36" s="52"/>
      <c r="K36" s="53"/>
      <c r="L36" s="54" t="str">
        <f t="shared" si="0"/>
        <v/>
      </c>
      <c r="M36" s="49" t="str">
        <f t="shared" si="1"/>
        <v/>
      </c>
      <c r="N36" s="55" t="str">
        <f t="shared" si="2"/>
        <v/>
      </c>
      <c r="O36" s="56">
        <f t="shared" si="3"/>
        <v>0</v>
      </c>
      <c r="P36" s="56">
        <f t="shared" si="4"/>
        <v>0</v>
      </c>
      <c r="Q36" s="55">
        <f t="shared" si="5"/>
        <v>0</v>
      </c>
      <c r="R36" s="48"/>
      <c r="T36" s="58"/>
      <c r="U36" s="46"/>
      <c r="V36" s="47">
        <f>IF(U36&lt;&gt;"",VLOOKUP(U36,'Tipo Projeto'!$A$3:$B$35,2,0),0)</f>
        <v>0</v>
      </c>
      <c r="W36" s="48"/>
      <c r="X36" s="50"/>
      <c r="Y36" s="51"/>
      <c r="Z36" s="52"/>
      <c r="AA36" s="53"/>
      <c r="AB36" s="54" t="str">
        <f t="shared" si="6"/>
        <v/>
      </c>
      <c r="AC36" s="49" t="str">
        <f t="shared" si="7"/>
        <v/>
      </c>
      <c r="AD36" s="55" t="str">
        <f t="shared" si="8"/>
        <v/>
      </c>
      <c r="AE36" s="56">
        <f t="shared" si="9"/>
        <v>0</v>
      </c>
      <c r="AF36" s="56">
        <f t="shared" si="10"/>
        <v>0</v>
      </c>
      <c r="AG36" s="59">
        <f t="shared" si="11"/>
        <v>0</v>
      </c>
      <c r="AH36" s="48"/>
      <c r="AJ36" s="48"/>
      <c r="AL36" s="48"/>
      <c r="AM36" s="48" t="str">
        <f t="shared" si="12"/>
        <v/>
      </c>
    </row>
    <row r="37" spans="1:39" s="57" customFormat="1" ht="14">
      <c r="A37" s="45"/>
      <c r="B37" s="46"/>
      <c r="C37" s="47">
        <f>IF(B37&lt;&gt;"",VLOOKUP(B37,'Tipo Projeto'!$A$3:$B$35,2,0),0)</f>
        <v>0</v>
      </c>
      <c r="D37" s="48"/>
      <c r="E37" s="48"/>
      <c r="F37" s="49"/>
      <c r="G37" s="204"/>
      <c r="H37" s="50"/>
      <c r="I37" s="51"/>
      <c r="J37" s="52"/>
      <c r="K37" s="53"/>
      <c r="L37" s="54" t="str">
        <f t="shared" si="0"/>
        <v/>
      </c>
      <c r="M37" s="49" t="str">
        <f t="shared" si="1"/>
        <v/>
      </c>
      <c r="N37" s="55" t="str">
        <f t="shared" si="2"/>
        <v/>
      </c>
      <c r="O37" s="56">
        <f t="shared" si="3"/>
        <v>0</v>
      </c>
      <c r="P37" s="56">
        <f t="shared" si="4"/>
        <v>0</v>
      </c>
      <c r="Q37" s="55">
        <f t="shared" si="5"/>
        <v>0</v>
      </c>
      <c r="R37" s="48"/>
      <c r="T37" s="58"/>
      <c r="U37" s="46"/>
      <c r="V37" s="47">
        <f>IF(U37&lt;&gt;"",VLOOKUP(U37,'Tipo Projeto'!$A$3:$B$35,2,0),0)</f>
        <v>0</v>
      </c>
      <c r="W37" s="48"/>
      <c r="X37" s="50"/>
      <c r="Y37" s="51"/>
      <c r="Z37" s="52"/>
      <c r="AA37" s="53"/>
      <c r="AB37" s="54" t="str">
        <f t="shared" si="6"/>
        <v/>
      </c>
      <c r="AC37" s="49" t="str">
        <f t="shared" si="7"/>
        <v/>
      </c>
      <c r="AD37" s="55" t="str">
        <f t="shared" si="8"/>
        <v/>
      </c>
      <c r="AE37" s="56">
        <f t="shared" si="9"/>
        <v>0</v>
      </c>
      <c r="AF37" s="56">
        <f t="shared" si="10"/>
        <v>0</v>
      </c>
      <c r="AG37" s="59">
        <f t="shared" si="11"/>
        <v>0</v>
      </c>
      <c r="AH37" s="48"/>
      <c r="AJ37" s="48"/>
      <c r="AL37" s="48"/>
      <c r="AM37" s="48" t="str">
        <f t="shared" si="12"/>
        <v/>
      </c>
    </row>
    <row r="38" spans="1:39" s="57" customFormat="1" ht="14">
      <c r="A38" s="45"/>
      <c r="B38" s="46"/>
      <c r="C38" s="47">
        <f>IF(B38&lt;&gt;"",VLOOKUP(B38,'Tipo Projeto'!$A$3:$B$35,2,0),0)</f>
        <v>0</v>
      </c>
      <c r="D38" s="48"/>
      <c r="E38" s="48"/>
      <c r="F38" s="49"/>
      <c r="G38" s="204"/>
      <c r="H38" s="50"/>
      <c r="I38" s="51"/>
      <c r="J38" s="52"/>
      <c r="K38" s="53"/>
      <c r="L38" s="54" t="str">
        <f t="shared" si="0"/>
        <v/>
      </c>
      <c r="M38" s="49" t="str">
        <f t="shared" si="1"/>
        <v/>
      </c>
      <c r="N38" s="55" t="str">
        <f t="shared" si="2"/>
        <v/>
      </c>
      <c r="O38" s="56">
        <f t="shared" si="3"/>
        <v>0</v>
      </c>
      <c r="P38" s="56">
        <f t="shared" si="4"/>
        <v>0</v>
      </c>
      <c r="Q38" s="55">
        <f t="shared" si="5"/>
        <v>0</v>
      </c>
      <c r="R38" s="48"/>
      <c r="T38" s="58"/>
      <c r="U38" s="46"/>
      <c r="V38" s="47">
        <f>IF(U38&lt;&gt;"",VLOOKUP(U38,'Tipo Projeto'!$A$3:$B$35,2,0),0)</f>
        <v>0</v>
      </c>
      <c r="W38" s="48"/>
      <c r="X38" s="50"/>
      <c r="Y38" s="51"/>
      <c r="Z38" s="52"/>
      <c r="AA38" s="53"/>
      <c r="AB38" s="54" t="str">
        <f t="shared" si="6"/>
        <v/>
      </c>
      <c r="AC38" s="49" t="str">
        <f t="shared" si="7"/>
        <v/>
      </c>
      <c r="AD38" s="55" t="str">
        <f t="shared" si="8"/>
        <v/>
      </c>
      <c r="AE38" s="56">
        <f t="shared" si="9"/>
        <v>0</v>
      </c>
      <c r="AF38" s="56">
        <f t="shared" si="10"/>
        <v>0</v>
      </c>
      <c r="AG38" s="59">
        <f t="shared" si="11"/>
        <v>0</v>
      </c>
      <c r="AH38" s="48"/>
      <c r="AJ38" s="48"/>
      <c r="AL38" s="48"/>
      <c r="AM38" s="48" t="str">
        <f t="shared" si="12"/>
        <v/>
      </c>
    </row>
    <row r="39" spans="1:39" s="57" customFormat="1" ht="14">
      <c r="A39" s="45"/>
      <c r="B39" s="46"/>
      <c r="C39" s="47">
        <f>IF(B39&lt;&gt;"",VLOOKUP(B39,'Tipo Projeto'!$A$3:$B$35,2,0),0)</f>
        <v>0</v>
      </c>
      <c r="D39" s="48"/>
      <c r="E39" s="48"/>
      <c r="F39" s="49"/>
      <c r="G39" s="204"/>
      <c r="H39" s="50"/>
      <c r="I39" s="51"/>
      <c r="J39" s="52"/>
      <c r="K39" s="53"/>
      <c r="L39" s="54" t="str">
        <f t="shared" si="0"/>
        <v/>
      </c>
      <c r="M39" s="49" t="str">
        <f t="shared" si="1"/>
        <v/>
      </c>
      <c r="N39" s="55" t="str">
        <f t="shared" si="2"/>
        <v/>
      </c>
      <c r="O39" s="56">
        <f t="shared" si="3"/>
        <v>0</v>
      </c>
      <c r="P39" s="56">
        <f t="shared" si="4"/>
        <v>0</v>
      </c>
      <c r="Q39" s="55">
        <f t="shared" si="5"/>
        <v>0</v>
      </c>
      <c r="R39" s="48"/>
      <c r="T39" s="58"/>
      <c r="U39" s="46"/>
      <c r="V39" s="47">
        <f>IF(U39&lt;&gt;"",VLOOKUP(U39,'Tipo Projeto'!$A$3:$B$35,2,0),0)</f>
        <v>0</v>
      </c>
      <c r="W39" s="48"/>
      <c r="X39" s="50"/>
      <c r="Y39" s="51"/>
      <c r="Z39" s="52"/>
      <c r="AA39" s="53"/>
      <c r="AB39" s="54" t="str">
        <f t="shared" si="6"/>
        <v/>
      </c>
      <c r="AC39" s="49" t="str">
        <f t="shared" si="7"/>
        <v/>
      </c>
      <c r="AD39" s="55" t="str">
        <f t="shared" si="8"/>
        <v/>
      </c>
      <c r="AE39" s="56">
        <f t="shared" si="9"/>
        <v>0</v>
      </c>
      <c r="AF39" s="56">
        <f t="shared" si="10"/>
        <v>0</v>
      </c>
      <c r="AG39" s="59">
        <f t="shared" si="11"/>
        <v>0</v>
      </c>
      <c r="AH39" s="48"/>
      <c r="AJ39" s="48"/>
      <c r="AL39" s="48"/>
      <c r="AM39" s="48" t="str">
        <f t="shared" si="12"/>
        <v/>
      </c>
    </row>
    <row r="40" spans="1:39" s="57" customFormat="1" ht="14">
      <c r="A40" s="45"/>
      <c r="B40" s="46"/>
      <c r="C40" s="47">
        <f>IF(B40&lt;&gt;"",VLOOKUP(B40,'Tipo Projeto'!$A$3:$B$35,2,0),0)</f>
        <v>0</v>
      </c>
      <c r="D40" s="48"/>
      <c r="E40" s="48"/>
      <c r="F40" s="49"/>
      <c r="G40" s="204"/>
      <c r="H40" s="50"/>
      <c r="I40" s="51"/>
      <c r="J40" s="52"/>
      <c r="K40" s="53"/>
      <c r="L40" s="54" t="str">
        <f t="shared" si="0"/>
        <v/>
      </c>
      <c r="M40" s="49" t="str">
        <f t="shared" si="1"/>
        <v/>
      </c>
      <c r="N40" s="55" t="str">
        <f t="shared" si="2"/>
        <v/>
      </c>
      <c r="O40" s="56">
        <f t="shared" si="3"/>
        <v>0</v>
      </c>
      <c r="P40" s="56">
        <f t="shared" si="4"/>
        <v>0</v>
      </c>
      <c r="Q40" s="55">
        <f t="shared" si="5"/>
        <v>0</v>
      </c>
      <c r="R40" s="48"/>
      <c r="T40" s="58"/>
      <c r="U40" s="46"/>
      <c r="V40" s="47">
        <f>IF(U40&lt;&gt;"",VLOOKUP(U40,'Tipo Projeto'!$A$3:$B$35,2,0),0)</f>
        <v>0</v>
      </c>
      <c r="W40" s="48"/>
      <c r="X40" s="50"/>
      <c r="Y40" s="51"/>
      <c r="Z40" s="52"/>
      <c r="AA40" s="53"/>
      <c r="AB40" s="54" t="str">
        <f t="shared" si="6"/>
        <v/>
      </c>
      <c r="AC40" s="49" t="str">
        <f t="shared" si="7"/>
        <v/>
      </c>
      <c r="AD40" s="55" t="str">
        <f t="shared" si="8"/>
        <v/>
      </c>
      <c r="AE40" s="56">
        <f t="shared" si="9"/>
        <v>0</v>
      </c>
      <c r="AF40" s="56">
        <f t="shared" si="10"/>
        <v>0</v>
      </c>
      <c r="AG40" s="59">
        <f t="shared" si="11"/>
        <v>0</v>
      </c>
      <c r="AH40" s="48"/>
      <c r="AJ40" s="48"/>
      <c r="AL40" s="48"/>
      <c r="AM40" s="48" t="str">
        <f t="shared" si="12"/>
        <v/>
      </c>
    </row>
    <row r="41" spans="1:39" s="57" customFormat="1" ht="14">
      <c r="A41" s="45"/>
      <c r="B41" s="46"/>
      <c r="C41" s="47">
        <f>IF(B41&lt;&gt;"",VLOOKUP(B41,'Tipo Projeto'!$A$3:$B$35,2,0),0)</f>
        <v>0</v>
      </c>
      <c r="D41" s="48"/>
      <c r="E41" s="48"/>
      <c r="F41" s="49"/>
      <c r="G41" s="204"/>
      <c r="H41" s="50"/>
      <c r="I41" s="51"/>
      <c r="J41" s="52"/>
      <c r="K41" s="53"/>
      <c r="L41" s="54" t="str">
        <f t="shared" si="0"/>
        <v/>
      </c>
      <c r="M41" s="49" t="str">
        <f t="shared" si="1"/>
        <v/>
      </c>
      <c r="N41" s="55" t="str">
        <f t="shared" si="2"/>
        <v/>
      </c>
      <c r="O41" s="56">
        <f t="shared" si="3"/>
        <v>0</v>
      </c>
      <c r="P41" s="56">
        <f t="shared" si="4"/>
        <v>0</v>
      </c>
      <c r="Q41" s="55">
        <f t="shared" si="5"/>
        <v>0</v>
      </c>
      <c r="R41" s="48"/>
      <c r="T41" s="58"/>
      <c r="U41" s="46"/>
      <c r="V41" s="47">
        <f>IF(U41&lt;&gt;"",VLOOKUP(U41,'Tipo Projeto'!$A$3:$B$35,2,0),0)</f>
        <v>0</v>
      </c>
      <c r="W41" s="48"/>
      <c r="X41" s="50"/>
      <c r="Y41" s="51"/>
      <c r="Z41" s="52"/>
      <c r="AA41" s="53"/>
      <c r="AB41" s="54" t="str">
        <f t="shared" si="6"/>
        <v/>
      </c>
      <c r="AC41" s="49" t="str">
        <f t="shared" si="7"/>
        <v/>
      </c>
      <c r="AD41" s="55" t="str">
        <f t="shared" si="8"/>
        <v/>
      </c>
      <c r="AE41" s="56">
        <f t="shared" si="9"/>
        <v>0</v>
      </c>
      <c r="AF41" s="56">
        <f t="shared" si="10"/>
        <v>0</v>
      </c>
      <c r="AG41" s="59">
        <f t="shared" si="11"/>
        <v>0</v>
      </c>
      <c r="AH41" s="48"/>
      <c r="AJ41" s="48"/>
      <c r="AL41" s="48"/>
      <c r="AM41" s="48" t="str">
        <f t="shared" si="12"/>
        <v/>
      </c>
    </row>
    <row r="42" spans="1:39" s="57" customFormat="1" ht="14">
      <c r="A42" s="45"/>
      <c r="B42" s="46"/>
      <c r="C42" s="47">
        <f>IF(B42&lt;&gt;"",VLOOKUP(B42,'Tipo Projeto'!$A$3:$B$35,2,0),0)</f>
        <v>0</v>
      </c>
      <c r="D42" s="48"/>
      <c r="E42" s="48"/>
      <c r="F42" s="49"/>
      <c r="G42" s="204"/>
      <c r="H42" s="50"/>
      <c r="I42" s="51"/>
      <c r="J42" s="52"/>
      <c r="K42" s="53"/>
      <c r="L42" s="54" t="str">
        <f t="shared" si="0"/>
        <v/>
      </c>
      <c r="M42" s="49" t="str">
        <f t="shared" si="1"/>
        <v/>
      </c>
      <c r="N42" s="55" t="str">
        <f t="shared" si="2"/>
        <v/>
      </c>
      <c r="O42" s="56">
        <f t="shared" si="3"/>
        <v>0</v>
      </c>
      <c r="P42" s="56">
        <f t="shared" si="4"/>
        <v>0</v>
      </c>
      <c r="Q42" s="55">
        <f t="shared" si="5"/>
        <v>0</v>
      </c>
      <c r="R42" s="48"/>
      <c r="T42" s="58"/>
      <c r="U42" s="46"/>
      <c r="V42" s="47">
        <f>IF(U42&lt;&gt;"",VLOOKUP(U42,'Tipo Projeto'!$A$3:$B$35,2,0),0)</f>
        <v>0</v>
      </c>
      <c r="W42" s="48"/>
      <c r="X42" s="50"/>
      <c r="Y42" s="51"/>
      <c r="Z42" s="52"/>
      <c r="AA42" s="53"/>
      <c r="AB42" s="54" t="str">
        <f t="shared" si="6"/>
        <v/>
      </c>
      <c r="AC42" s="49" t="str">
        <f t="shared" si="7"/>
        <v/>
      </c>
      <c r="AD42" s="55" t="str">
        <f t="shared" si="8"/>
        <v/>
      </c>
      <c r="AE42" s="56">
        <f t="shared" si="9"/>
        <v>0</v>
      </c>
      <c r="AF42" s="56">
        <f t="shared" si="10"/>
        <v>0</v>
      </c>
      <c r="AG42" s="59">
        <f t="shared" si="11"/>
        <v>0</v>
      </c>
      <c r="AH42" s="48"/>
      <c r="AJ42" s="48"/>
      <c r="AL42" s="48"/>
      <c r="AM42" s="48" t="str">
        <f t="shared" si="12"/>
        <v/>
      </c>
    </row>
    <row r="43" spans="1:39" s="57" customFormat="1" ht="14">
      <c r="A43" s="45"/>
      <c r="B43" s="46"/>
      <c r="C43" s="47">
        <f>IF(B43&lt;&gt;"",VLOOKUP(B43,'Tipo Projeto'!$A$3:$B$35,2,0),0)</f>
        <v>0</v>
      </c>
      <c r="D43" s="48"/>
      <c r="E43" s="48"/>
      <c r="F43" s="49"/>
      <c r="G43" s="204"/>
      <c r="H43" s="50"/>
      <c r="I43" s="51"/>
      <c r="J43" s="52"/>
      <c r="K43" s="53"/>
      <c r="L43" s="54" t="str">
        <f t="shared" si="0"/>
        <v/>
      </c>
      <c r="M43" s="49" t="str">
        <f t="shared" si="1"/>
        <v/>
      </c>
      <c r="N43" s="55" t="str">
        <f t="shared" si="2"/>
        <v/>
      </c>
      <c r="O43" s="56">
        <f t="shared" si="3"/>
        <v>0</v>
      </c>
      <c r="P43" s="56">
        <f t="shared" si="4"/>
        <v>0</v>
      </c>
      <c r="Q43" s="55">
        <f t="shared" si="5"/>
        <v>0</v>
      </c>
      <c r="R43" s="48"/>
      <c r="T43" s="58"/>
      <c r="U43" s="46"/>
      <c r="V43" s="47">
        <f>IF(U43&lt;&gt;"",VLOOKUP(U43,'Tipo Projeto'!$A$3:$B$35,2,0),0)</f>
        <v>0</v>
      </c>
      <c r="W43" s="48"/>
      <c r="X43" s="50"/>
      <c r="Y43" s="51"/>
      <c r="Z43" s="52"/>
      <c r="AA43" s="53"/>
      <c r="AB43" s="54" t="str">
        <f t="shared" si="6"/>
        <v/>
      </c>
      <c r="AC43" s="49" t="str">
        <f t="shared" si="7"/>
        <v/>
      </c>
      <c r="AD43" s="55" t="str">
        <f t="shared" si="8"/>
        <v/>
      </c>
      <c r="AE43" s="56">
        <f t="shared" si="9"/>
        <v>0</v>
      </c>
      <c r="AF43" s="56">
        <f t="shared" si="10"/>
        <v>0</v>
      </c>
      <c r="AG43" s="59">
        <f t="shared" si="11"/>
        <v>0</v>
      </c>
      <c r="AH43" s="48"/>
      <c r="AJ43" s="48"/>
      <c r="AL43" s="48"/>
      <c r="AM43" s="48" t="str">
        <f t="shared" si="12"/>
        <v/>
      </c>
    </row>
    <row r="44" spans="1:39" s="57" customFormat="1" ht="14">
      <c r="A44" s="45"/>
      <c r="B44" s="46"/>
      <c r="C44" s="47">
        <f>IF(B44&lt;&gt;"",VLOOKUP(B44,'Tipo Projeto'!$A$3:$B$35,2,0),0)</f>
        <v>0</v>
      </c>
      <c r="D44" s="48"/>
      <c r="E44" s="48"/>
      <c r="F44" s="49"/>
      <c r="G44" s="204"/>
      <c r="H44" s="50"/>
      <c r="I44" s="51"/>
      <c r="J44" s="52"/>
      <c r="K44" s="53"/>
      <c r="L44" s="54" t="str">
        <f t="shared" si="0"/>
        <v/>
      </c>
      <c r="M44" s="49" t="str">
        <f t="shared" si="1"/>
        <v/>
      </c>
      <c r="N44" s="55" t="str">
        <f t="shared" si="2"/>
        <v/>
      </c>
      <c r="O44" s="56">
        <f t="shared" si="3"/>
        <v>0</v>
      </c>
      <c r="P44" s="56">
        <f t="shared" si="4"/>
        <v>0</v>
      </c>
      <c r="Q44" s="55">
        <f t="shared" si="5"/>
        <v>0</v>
      </c>
      <c r="R44" s="48"/>
      <c r="T44" s="58"/>
      <c r="U44" s="46"/>
      <c r="V44" s="47">
        <f>IF(U44&lt;&gt;"",VLOOKUP(U44,'Tipo Projeto'!$A$3:$B$35,2,0),0)</f>
        <v>0</v>
      </c>
      <c r="W44" s="48"/>
      <c r="X44" s="50"/>
      <c r="Y44" s="51"/>
      <c r="Z44" s="52"/>
      <c r="AA44" s="53"/>
      <c r="AB44" s="54" t="str">
        <f t="shared" si="6"/>
        <v/>
      </c>
      <c r="AC44" s="49" t="str">
        <f t="shared" si="7"/>
        <v/>
      </c>
      <c r="AD44" s="55" t="str">
        <f t="shared" si="8"/>
        <v/>
      </c>
      <c r="AE44" s="56">
        <f t="shared" si="9"/>
        <v>0</v>
      </c>
      <c r="AF44" s="56">
        <f t="shared" si="10"/>
        <v>0</v>
      </c>
      <c r="AG44" s="59">
        <f t="shared" si="11"/>
        <v>0</v>
      </c>
      <c r="AH44" s="48"/>
      <c r="AJ44" s="48"/>
      <c r="AL44" s="48"/>
      <c r="AM44" s="48" t="str">
        <f t="shared" si="12"/>
        <v/>
      </c>
    </row>
    <row r="45" spans="1:39" s="57" customFormat="1" ht="14">
      <c r="A45" s="45"/>
      <c r="B45" s="46"/>
      <c r="C45" s="47">
        <f>IF(B45&lt;&gt;"",VLOOKUP(B45,'Tipo Projeto'!$A$3:$B$35,2,0),0)</f>
        <v>0</v>
      </c>
      <c r="D45" s="48"/>
      <c r="E45" s="48"/>
      <c r="F45" s="49"/>
      <c r="G45" s="204"/>
      <c r="H45" s="50"/>
      <c r="I45" s="51"/>
      <c r="J45" s="52"/>
      <c r="K45" s="53"/>
      <c r="L45" s="54" t="str">
        <f t="shared" si="0"/>
        <v/>
      </c>
      <c r="M45" s="49" t="str">
        <f t="shared" si="1"/>
        <v/>
      </c>
      <c r="N45" s="55" t="str">
        <f t="shared" si="2"/>
        <v/>
      </c>
      <c r="O45" s="56">
        <f t="shared" si="3"/>
        <v>0</v>
      </c>
      <c r="P45" s="56">
        <f t="shared" si="4"/>
        <v>0</v>
      </c>
      <c r="Q45" s="55">
        <f t="shared" si="5"/>
        <v>0</v>
      </c>
      <c r="R45" s="48"/>
      <c r="T45" s="58"/>
      <c r="U45" s="46"/>
      <c r="V45" s="47">
        <f>IF(U45&lt;&gt;"",VLOOKUP(U45,'Tipo Projeto'!$A$3:$B$35,2,0),0)</f>
        <v>0</v>
      </c>
      <c r="W45" s="48"/>
      <c r="X45" s="50"/>
      <c r="Y45" s="51"/>
      <c r="Z45" s="52"/>
      <c r="AA45" s="53"/>
      <c r="AB45" s="54" t="str">
        <f t="shared" si="6"/>
        <v/>
      </c>
      <c r="AC45" s="49" t="str">
        <f t="shared" si="7"/>
        <v/>
      </c>
      <c r="AD45" s="55" t="str">
        <f t="shared" si="8"/>
        <v/>
      </c>
      <c r="AE45" s="56">
        <f t="shared" si="9"/>
        <v>0</v>
      </c>
      <c r="AF45" s="56">
        <f t="shared" si="10"/>
        <v>0</v>
      </c>
      <c r="AG45" s="59">
        <f t="shared" si="11"/>
        <v>0</v>
      </c>
      <c r="AH45" s="48"/>
      <c r="AJ45" s="48"/>
      <c r="AL45" s="48"/>
      <c r="AM45" s="48" t="str">
        <f t="shared" si="12"/>
        <v/>
      </c>
    </row>
    <row r="46" spans="1:39" s="57" customFormat="1" ht="14">
      <c r="A46" s="45"/>
      <c r="B46" s="46"/>
      <c r="C46" s="47">
        <f>IF(B46&lt;&gt;"",VLOOKUP(B46,'Tipo Projeto'!$A$3:$B$35,2,0),0)</f>
        <v>0</v>
      </c>
      <c r="D46" s="48"/>
      <c r="E46" s="48"/>
      <c r="F46" s="49"/>
      <c r="G46" s="204"/>
      <c r="H46" s="50"/>
      <c r="I46" s="51"/>
      <c r="J46" s="52"/>
      <c r="K46" s="53"/>
      <c r="L46" s="54" t="str">
        <f t="shared" si="0"/>
        <v/>
      </c>
      <c r="M46" s="49" t="str">
        <f t="shared" si="1"/>
        <v/>
      </c>
      <c r="N46" s="55" t="str">
        <f t="shared" si="2"/>
        <v/>
      </c>
      <c r="O46" s="56">
        <f t="shared" si="3"/>
        <v>0</v>
      </c>
      <c r="P46" s="56">
        <f t="shared" si="4"/>
        <v>0</v>
      </c>
      <c r="Q46" s="55">
        <f t="shared" si="5"/>
        <v>0</v>
      </c>
      <c r="R46" s="48"/>
      <c r="T46" s="58"/>
      <c r="U46" s="46"/>
      <c r="V46" s="47">
        <f>IF(U46&lt;&gt;"",VLOOKUP(U46,'Tipo Projeto'!$A$3:$B$35,2,0),0)</f>
        <v>0</v>
      </c>
      <c r="W46" s="48"/>
      <c r="X46" s="50"/>
      <c r="Y46" s="51"/>
      <c r="Z46" s="52"/>
      <c r="AA46" s="53"/>
      <c r="AB46" s="54" t="str">
        <f t="shared" si="6"/>
        <v/>
      </c>
      <c r="AC46" s="49" t="str">
        <f t="shared" si="7"/>
        <v/>
      </c>
      <c r="AD46" s="55" t="str">
        <f t="shared" si="8"/>
        <v/>
      </c>
      <c r="AE46" s="56">
        <f t="shared" si="9"/>
        <v>0</v>
      </c>
      <c r="AF46" s="56">
        <f t="shared" si="10"/>
        <v>0</v>
      </c>
      <c r="AG46" s="59">
        <f t="shared" si="11"/>
        <v>0</v>
      </c>
      <c r="AH46" s="48"/>
      <c r="AJ46" s="48"/>
      <c r="AL46" s="48"/>
      <c r="AM46" s="48" t="str">
        <f t="shared" si="12"/>
        <v/>
      </c>
    </row>
    <row r="47" spans="1:39" s="57" customFormat="1" ht="14">
      <c r="A47" s="45"/>
      <c r="B47" s="46"/>
      <c r="C47" s="47">
        <f>IF(B47&lt;&gt;"",VLOOKUP(B47,'Tipo Projeto'!$A$3:$B$35,2,0),0)</f>
        <v>0</v>
      </c>
      <c r="D47" s="48"/>
      <c r="E47" s="48"/>
      <c r="F47" s="49"/>
      <c r="G47" s="204"/>
      <c r="H47" s="50"/>
      <c r="I47" s="51"/>
      <c r="J47" s="52"/>
      <c r="K47" s="53"/>
      <c r="L47" s="54" t="str">
        <f t="shared" si="0"/>
        <v/>
      </c>
      <c r="M47" s="49" t="str">
        <f t="shared" si="1"/>
        <v/>
      </c>
      <c r="N47" s="55" t="str">
        <f t="shared" si="2"/>
        <v/>
      </c>
      <c r="O47" s="56">
        <f t="shared" si="3"/>
        <v>0</v>
      </c>
      <c r="P47" s="56">
        <f t="shared" si="4"/>
        <v>0</v>
      </c>
      <c r="Q47" s="55">
        <f t="shared" si="5"/>
        <v>0</v>
      </c>
      <c r="R47" s="48"/>
      <c r="T47" s="58"/>
      <c r="U47" s="46"/>
      <c r="V47" s="47">
        <f>IF(U47&lt;&gt;"",VLOOKUP(U47,'Tipo Projeto'!$A$3:$B$35,2,0),0)</f>
        <v>0</v>
      </c>
      <c r="W47" s="48"/>
      <c r="X47" s="50"/>
      <c r="Y47" s="51"/>
      <c r="Z47" s="52"/>
      <c r="AA47" s="53"/>
      <c r="AB47" s="54" t="str">
        <f t="shared" si="6"/>
        <v/>
      </c>
      <c r="AC47" s="49" t="str">
        <f t="shared" si="7"/>
        <v/>
      </c>
      <c r="AD47" s="55" t="str">
        <f t="shared" si="8"/>
        <v/>
      </c>
      <c r="AE47" s="56">
        <f t="shared" si="9"/>
        <v>0</v>
      </c>
      <c r="AF47" s="56">
        <f t="shared" si="10"/>
        <v>0</v>
      </c>
      <c r="AG47" s="59">
        <f t="shared" si="11"/>
        <v>0</v>
      </c>
      <c r="AH47" s="48"/>
      <c r="AJ47" s="48"/>
      <c r="AL47" s="48"/>
      <c r="AM47" s="48" t="str">
        <f t="shared" si="12"/>
        <v/>
      </c>
    </row>
    <row r="48" spans="1:39" s="57" customFormat="1" ht="14">
      <c r="A48" s="45"/>
      <c r="B48" s="46"/>
      <c r="C48" s="47">
        <f>IF(B48&lt;&gt;"",VLOOKUP(B48,'Tipo Projeto'!$A$3:$B$35,2,0),0)</f>
        <v>0</v>
      </c>
      <c r="D48" s="48"/>
      <c r="E48" s="48"/>
      <c r="F48" s="49"/>
      <c r="G48" s="204"/>
      <c r="H48" s="50"/>
      <c r="I48" s="51"/>
      <c r="J48" s="52"/>
      <c r="K48" s="53"/>
      <c r="L48" s="54" t="str">
        <f t="shared" si="0"/>
        <v/>
      </c>
      <c r="M48" s="49" t="str">
        <f t="shared" si="1"/>
        <v/>
      </c>
      <c r="N48" s="55" t="str">
        <f t="shared" si="2"/>
        <v/>
      </c>
      <c r="O48" s="56">
        <f t="shared" si="3"/>
        <v>0</v>
      </c>
      <c r="P48" s="56">
        <f t="shared" si="4"/>
        <v>0</v>
      </c>
      <c r="Q48" s="55">
        <f t="shared" si="5"/>
        <v>0</v>
      </c>
      <c r="R48" s="48"/>
      <c r="T48" s="58"/>
      <c r="U48" s="46"/>
      <c r="V48" s="47">
        <f>IF(U48&lt;&gt;"",VLOOKUP(U48,'Tipo Projeto'!$A$3:$B$35,2,0),0)</f>
        <v>0</v>
      </c>
      <c r="W48" s="48"/>
      <c r="X48" s="50"/>
      <c r="Y48" s="51"/>
      <c r="Z48" s="52"/>
      <c r="AA48" s="53"/>
      <c r="AB48" s="54" t="str">
        <f t="shared" si="6"/>
        <v/>
      </c>
      <c r="AC48" s="49" t="str">
        <f t="shared" si="7"/>
        <v/>
      </c>
      <c r="AD48" s="55" t="str">
        <f t="shared" si="8"/>
        <v/>
      </c>
      <c r="AE48" s="56">
        <f t="shared" si="9"/>
        <v>0</v>
      </c>
      <c r="AF48" s="56">
        <f t="shared" si="10"/>
        <v>0</v>
      </c>
      <c r="AG48" s="59">
        <f t="shared" si="11"/>
        <v>0</v>
      </c>
      <c r="AH48" s="48"/>
      <c r="AJ48" s="48"/>
      <c r="AL48" s="48"/>
      <c r="AM48" s="48" t="str">
        <f t="shared" si="12"/>
        <v/>
      </c>
    </row>
    <row r="49" spans="1:39" s="57" customFormat="1" ht="14">
      <c r="A49" s="45"/>
      <c r="B49" s="46"/>
      <c r="C49" s="47">
        <f>IF(B49&lt;&gt;"",VLOOKUP(B49,'Tipo Projeto'!$A$3:$B$35,2,0),0)</f>
        <v>0</v>
      </c>
      <c r="D49" s="48"/>
      <c r="E49" s="48"/>
      <c r="F49" s="49"/>
      <c r="G49" s="204"/>
      <c r="H49" s="50"/>
      <c r="I49" s="51"/>
      <c r="J49" s="52"/>
      <c r="K49" s="53"/>
      <c r="L49" s="54" t="str">
        <f t="shared" si="0"/>
        <v/>
      </c>
      <c r="M49" s="49" t="str">
        <f t="shared" si="1"/>
        <v/>
      </c>
      <c r="N49" s="55" t="str">
        <f t="shared" si="2"/>
        <v/>
      </c>
      <c r="O49" s="56">
        <f t="shared" si="3"/>
        <v>0</v>
      </c>
      <c r="P49" s="56">
        <f t="shared" si="4"/>
        <v>0</v>
      </c>
      <c r="Q49" s="55">
        <f t="shared" si="5"/>
        <v>0</v>
      </c>
      <c r="R49" s="48"/>
      <c r="T49" s="58"/>
      <c r="U49" s="46"/>
      <c r="V49" s="47">
        <f>IF(U49&lt;&gt;"",VLOOKUP(U49,'Tipo Projeto'!$A$3:$B$35,2,0),0)</f>
        <v>0</v>
      </c>
      <c r="W49" s="48"/>
      <c r="X49" s="50"/>
      <c r="Y49" s="51"/>
      <c r="Z49" s="52"/>
      <c r="AA49" s="53"/>
      <c r="AB49" s="54" t="str">
        <f t="shared" si="6"/>
        <v/>
      </c>
      <c r="AC49" s="49" t="str">
        <f t="shared" si="7"/>
        <v/>
      </c>
      <c r="AD49" s="55" t="str">
        <f t="shared" si="8"/>
        <v/>
      </c>
      <c r="AE49" s="56">
        <f t="shared" si="9"/>
        <v>0</v>
      </c>
      <c r="AF49" s="56">
        <f t="shared" si="10"/>
        <v>0</v>
      </c>
      <c r="AG49" s="59">
        <f t="shared" si="11"/>
        <v>0</v>
      </c>
      <c r="AH49" s="48"/>
      <c r="AJ49" s="48"/>
      <c r="AL49" s="48"/>
      <c r="AM49" s="48" t="str">
        <f t="shared" si="12"/>
        <v/>
      </c>
    </row>
    <row r="50" spans="1:39" s="57" customFormat="1" ht="14">
      <c r="A50" s="45"/>
      <c r="B50" s="46"/>
      <c r="C50" s="47">
        <f>IF(B50&lt;&gt;"",VLOOKUP(B50,'Tipo Projeto'!$A$3:$B$35,2,0),0)</f>
        <v>0</v>
      </c>
      <c r="D50" s="48"/>
      <c r="E50" s="48"/>
      <c r="F50" s="49"/>
      <c r="G50" s="204"/>
      <c r="H50" s="50"/>
      <c r="I50" s="51"/>
      <c r="J50" s="52"/>
      <c r="K50" s="53"/>
      <c r="L50" s="54" t="str">
        <f t="shared" si="0"/>
        <v/>
      </c>
      <c r="M50" s="49" t="str">
        <f t="shared" si="1"/>
        <v/>
      </c>
      <c r="N50" s="55" t="str">
        <f t="shared" si="2"/>
        <v/>
      </c>
      <c r="O50" s="56">
        <f t="shared" si="3"/>
        <v>0</v>
      </c>
      <c r="P50" s="56">
        <f t="shared" si="4"/>
        <v>0</v>
      </c>
      <c r="Q50" s="55">
        <f t="shared" si="5"/>
        <v>0</v>
      </c>
      <c r="R50" s="48"/>
      <c r="T50" s="58"/>
      <c r="U50" s="46"/>
      <c r="V50" s="47">
        <f>IF(U50&lt;&gt;"",VLOOKUP(U50,'Tipo Projeto'!$A$3:$B$35,2,0),0)</f>
        <v>0</v>
      </c>
      <c r="W50" s="48"/>
      <c r="X50" s="50"/>
      <c r="Y50" s="51"/>
      <c r="Z50" s="52"/>
      <c r="AA50" s="53"/>
      <c r="AB50" s="54" t="str">
        <f t="shared" si="6"/>
        <v/>
      </c>
      <c r="AC50" s="49" t="str">
        <f t="shared" si="7"/>
        <v/>
      </c>
      <c r="AD50" s="55" t="str">
        <f t="shared" si="8"/>
        <v/>
      </c>
      <c r="AE50" s="56">
        <f t="shared" si="9"/>
        <v>0</v>
      </c>
      <c r="AF50" s="56">
        <f t="shared" si="10"/>
        <v>0</v>
      </c>
      <c r="AG50" s="59">
        <f t="shared" si="11"/>
        <v>0</v>
      </c>
      <c r="AH50" s="48"/>
      <c r="AJ50" s="48"/>
      <c r="AL50" s="48"/>
      <c r="AM50" s="48" t="str">
        <f t="shared" si="12"/>
        <v/>
      </c>
    </row>
    <row r="51" spans="1:39" s="57" customFormat="1" ht="14">
      <c r="A51" s="45"/>
      <c r="B51" s="46"/>
      <c r="C51" s="47">
        <f>IF(B51&lt;&gt;"",VLOOKUP(B51,'Tipo Projeto'!$A$3:$B$35,2,0),0)</f>
        <v>0</v>
      </c>
      <c r="D51" s="48"/>
      <c r="E51" s="48"/>
      <c r="F51" s="49"/>
      <c r="G51" s="204"/>
      <c r="H51" s="50"/>
      <c r="I51" s="51"/>
      <c r="J51" s="52"/>
      <c r="K51" s="53"/>
      <c r="L51" s="54" t="str">
        <f t="shared" si="0"/>
        <v/>
      </c>
      <c r="M51" s="49" t="str">
        <f t="shared" si="1"/>
        <v/>
      </c>
      <c r="N51" s="55" t="str">
        <f t="shared" si="2"/>
        <v/>
      </c>
      <c r="O51" s="56">
        <f t="shared" si="3"/>
        <v>0</v>
      </c>
      <c r="P51" s="56">
        <f t="shared" si="4"/>
        <v>0</v>
      </c>
      <c r="Q51" s="55">
        <f t="shared" si="5"/>
        <v>0</v>
      </c>
      <c r="R51" s="48"/>
      <c r="T51" s="58"/>
      <c r="U51" s="46"/>
      <c r="V51" s="47">
        <f>IF(U51&lt;&gt;"",VLOOKUP(U51,'Tipo Projeto'!$A$3:$B$35,2,0),0)</f>
        <v>0</v>
      </c>
      <c r="W51" s="48"/>
      <c r="X51" s="50"/>
      <c r="Y51" s="51"/>
      <c r="Z51" s="52"/>
      <c r="AA51" s="53"/>
      <c r="AB51" s="54" t="str">
        <f t="shared" si="6"/>
        <v/>
      </c>
      <c r="AC51" s="49" t="str">
        <f t="shared" si="7"/>
        <v/>
      </c>
      <c r="AD51" s="55" t="str">
        <f t="shared" si="8"/>
        <v/>
      </c>
      <c r="AE51" s="56">
        <f t="shared" si="9"/>
        <v>0</v>
      </c>
      <c r="AF51" s="56">
        <f t="shared" si="10"/>
        <v>0</v>
      </c>
      <c r="AG51" s="59">
        <f t="shared" si="11"/>
        <v>0</v>
      </c>
      <c r="AH51" s="48"/>
      <c r="AJ51" s="48"/>
      <c r="AL51" s="48"/>
      <c r="AM51" s="48" t="str">
        <f t="shared" si="12"/>
        <v/>
      </c>
    </row>
    <row r="52" spans="1:39" s="57" customFormat="1" ht="14">
      <c r="A52" s="45"/>
      <c r="B52" s="46"/>
      <c r="C52" s="47">
        <f>IF(B52&lt;&gt;"",VLOOKUP(B52,'Tipo Projeto'!$A$3:$B$35,2,0),0)</f>
        <v>0</v>
      </c>
      <c r="D52" s="48"/>
      <c r="E52" s="48"/>
      <c r="F52" s="49"/>
      <c r="G52" s="204"/>
      <c r="H52" s="50"/>
      <c r="I52" s="51"/>
      <c r="J52" s="52"/>
      <c r="K52" s="53"/>
      <c r="L52" s="54" t="str">
        <f t="shared" si="0"/>
        <v/>
      </c>
      <c r="M52" s="49" t="str">
        <f t="shared" si="1"/>
        <v/>
      </c>
      <c r="N52" s="55" t="str">
        <f t="shared" si="2"/>
        <v/>
      </c>
      <c r="O52" s="56">
        <f t="shared" si="3"/>
        <v>0</v>
      </c>
      <c r="P52" s="56">
        <f t="shared" si="4"/>
        <v>0</v>
      </c>
      <c r="Q52" s="55">
        <f t="shared" si="5"/>
        <v>0</v>
      </c>
      <c r="R52" s="48"/>
      <c r="T52" s="58"/>
      <c r="U52" s="46"/>
      <c r="V52" s="47">
        <f>IF(U52&lt;&gt;"",VLOOKUP(U52,'Tipo Projeto'!$A$3:$B$35,2,0),0)</f>
        <v>0</v>
      </c>
      <c r="W52" s="48"/>
      <c r="X52" s="50"/>
      <c r="Y52" s="51"/>
      <c r="Z52" s="52"/>
      <c r="AA52" s="53"/>
      <c r="AB52" s="54" t="str">
        <f t="shared" si="6"/>
        <v/>
      </c>
      <c r="AC52" s="49" t="str">
        <f t="shared" si="7"/>
        <v/>
      </c>
      <c r="AD52" s="55" t="str">
        <f t="shared" si="8"/>
        <v/>
      </c>
      <c r="AE52" s="56">
        <f t="shared" si="9"/>
        <v>0</v>
      </c>
      <c r="AF52" s="56">
        <f t="shared" si="10"/>
        <v>0</v>
      </c>
      <c r="AG52" s="59">
        <f t="shared" si="11"/>
        <v>0</v>
      </c>
      <c r="AH52" s="48"/>
      <c r="AJ52" s="48"/>
      <c r="AL52" s="48"/>
      <c r="AM52" s="48" t="str">
        <f t="shared" si="12"/>
        <v/>
      </c>
    </row>
    <row r="53" spans="1:39" s="57" customFormat="1" ht="14">
      <c r="A53" s="45"/>
      <c r="B53" s="46"/>
      <c r="C53" s="47">
        <f>IF(B53&lt;&gt;"",VLOOKUP(B53,'Tipo Projeto'!$A$3:$B$35,2,0),0)</f>
        <v>0</v>
      </c>
      <c r="D53" s="48"/>
      <c r="E53" s="48"/>
      <c r="F53" s="49"/>
      <c r="G53" s="204"/>
      <c r="H53" s="50"/>
      <c r="I53" s="51"/>
      <c r="J53" s="52"/>
      <c r="K53" s="53"/>
      <c r="L53" s="54" t="str">
        <f t="shared" si="0"/>
        <v/>
      </c>
      <c r="M53" s="49" t="str">
        <f t="shared" si="1"/>
        <v/>
      </c>
      <c r="N53" s="55" t="str">
        <f t="shared" si="2"/>
        <v/>
      </c>
      <c r="O53" s="56">
        <f t="shared" si="3"/>
        <v>0</v>
      </c>
      <c r="P53" s="56">
        <f t="shared" si="4"/>
        <v>0</v>
      </c>
      <c r="Q53" s="55">
        <f t="shared" si="5"/>
        <v>0</v>
      </c>
      <c r="R53" s="48"/>
      <c r="T53" s="58"/>
      <c r="U53" s="46"/>
      <c r="V53" s="47">
        <f>IF(U53&lt;&gt;"",VLOOKUP(U53,'Tipo Projeto'!$A$3:$B$35,2,0),0)</f>
        <v>0</v>
      </c>
      <c r="W53" s="48"/>
      <c r="X53" s="50"/>
      <c r="Y53" s="51"/>
      <c r="Z53" s="52"/>
      <c r="AA53" s="53"/>
      <c r="AB53" s="54" t="str">
        <f t="shared" si="6"/>
        <v/>
      </c>
      <c r="AC53" s="49" t="str">
        <f t="shared" si="7"/>
        <v/>
      </c>
      <c r="AD53" s="55" t="str">
        <f t="shared" si="8"/>
        <v/>
      </c>
      <c r="AE53" s="56">
        <f t="shared" si="9"/>
        <v>0</v>
      </c>
      <c r="AF53" s="56">
        <f t="shared" si="10"/>
        <v>0</v>
      </c>
      <c r="AG53" s="59">
        <f t="shared" si="11"/>
        <v>0</v>
      </c>
      <c r="AH53" s="48"/>
      <c r="AJ53" s="48"/>
      <c r="AL53" s="48"/>
      <c r="AM53" s="48" t="str">
        <f t="shared" si="12"/>
        <v/>
      </c>
    </row>
    <row r="54" spans="1:39" s="57" customFormat="1" ht="14">
      <c r="A54" s="45"/>
      <c r="B54" s="46"/>
      <c r="C54" s="47">
        <f>IF(B54&lt;&gt;"",VLOOKUP(B54,'Tipo Projeto'!$A$3:$B$35,2,0),0)</f>
        <v>0</v>
      </c>
      <c r="D54" s="48"/>
      <c r="E54" s="48"/>
      <c r="F54" s="49"/>
      <c r="G54" s="204"/>
      <c r="H54" s="50"/>
      <c r="I54" s="51"/>
      <c r="J54" s="52"/>
      <c r="K54" s="53"/>
      <c r="L54" s="54" t="str">
        <f t="shared" si="0"/>
        <v/>
      </c>
      <c r="M54" s="49" t="str">
        <f t="shared" si="1"/>
        <v/>
      </c>
      <c r="N54" s="55" t="str">
        <f t="shared" si="2"/>
        <v/>
      </c>
      <c r="O54" s="56">
        <f t="shared" si="3"/>
        <v>0</v>
      </c>
      <c r="P54" s="56">
        <f t="shared" si="4"/>
        <v>0</v>
      </c>
      <c r="Q54" s="55">
        <f t="shared" si="5"/>
        <v>0</v>
      </c>
      <c r="R54" s="48"/>
      <c r="T54" s="58"/>
      <c r="U54" s="46"/>
      <c r="V54" s="47">
        <f>IF(U54&lt;&gt;"",VLOOKUP(U54,'Tipo Projeto'!$A$3:$B$35,2,0),0)</f>
        <v>0</v>
      </c>
      <c r="W54" s="48"/>
      <c r="X54" s="50"/>
      <c r="Y54" s="51"/>
      <c r="Z54" s="52"/>
      <c r="AA54" s="53"/>
      <c r="AB54" s="54" t="str">
        <f t="shared" si="6"/>
        <v/>
      </c>
      <c r="AC54" s="49" t="str">
        <f t="shared" si="7"/>
        <v/>
      </c>
      <c r="AD54" s="55" t="str">
        <f t="shared" si="8"/>
        <v/>
      </c>
      <c r="AE54" s="56">
        <f t="shared" si="9"/>
        <v>0</v>
      </c>
      <c r="AF54" s="56">
        <f t="shared" si="10"/>
        <v>0</v>
      </c>
      <c r="AG54" s="59">
        <f t="shared" si="11"/>
        <v>0</v>
      </c>
      <c r="AH54" s="48"/>
      <c r="AJ54" s="48"/>
      <c r="AL54" s="48"/>
      <c r="AM54" s="48" t="str">
        <f t="shared" si="12"/>
        <v/>
      </c>
    </row>
    <row r="55" spans="1:39" s="57" customFormat="1" ht="14">
      <c r="A55" s="45"/>
      <c r="B55" s="46"/>
      <c r="C55" s="47">
        <f>IF(B55&lt;&gt;"",VLOOKUP(B55,'Tipo Projeto'!$A$3:$B$35,2,0),0)</f>
        <v>0</v>
      </c>
      <c r="D55" s="48"/>
      <c r="E55" s="48"/>
      <c r="F55" s="49"/>
      <c r="G55" s="204"/>
      <c r="H55" s="50"/>
      <c r="I55" s="51"/>
      <c r="J55" s="52"/>
      <c r="K55" s="53"/>
      <c r="L55" s="54" t="str">
        <f t="shared" si="0"/>
        <v/>
      </c>
      <c r="M55" s="49" t="str">
        <f t="shared" si="1"/>
        <v/>
      </c>
      <c r="N55" s="55" t="str">
        <f t="shared" si="2"/>
        <v/>
      </c>
      <c r="O55" s="56">
        <f t="shared" si="3"/>
        <v>0</v>
      </c>
      <c r="P55" s="56">
        <f t="shared" si="4"/>
        <v>0</v>
      </c>
      <c r="Q55" s="55">
        <f t="shared" si="5"/>
        <v>0</v>
      </c>
      <c r="R55" s="48"/>
      <c r="T55" s="58"/>
      <c r="U55" s="46"/>
      <c r="V55" s="47">
        <f>IF(U55&lt;&gt;"",VLOOKUP(U55,'Tipo Projeto'!$A$3:$B$35,2,0),0)</f>
        <v>0</v>
      </c>
      <c r="W55" s="48"/>
      <c r="X55" s="50"/>
      <c r="Y55" s="51"/>
      <c r="Z55" s="52"/>
      <c r="AA55" s="53"/>
      <c r="AB55" s="54" t="str">
        <f t="shared" si="6"/>
        <v/>
      </c>
      <c r="AC55" s="49" t="str">
        <f t="shared" si="7"/>
        <v/>
      </c>
      <c r="AD55" s="55" t="str">
        <f t="shared" si="8"/>
        <v/>
      </c>
      <c r="AE55" s="56">
        <f t="shared" si="9"/>
        <v>0</v>
      </c>
      <c r="AF55" s="56">
        <f t="shared" si="10"/>
        <v>0</v>
      </c>
      <c r="AG55" s="59">
        <f t="shared" si="11"/>
        <v>0</v>
      </c>
      <c r="AH55" s="48"/>
      <c r="AJ55" s="48"/>
      <c r="AL55" s="48"/>
      <c r="AM55" s="48" t="str">
        <f t="shared" si="12"/>
        <v/>
      </c>
    </row>
    <row r="56" spans="1:39" s="57" customFormat="1" ht="14">
      <c r="A56" s="45"/>
      <c r="B56" s="46"/>
      <c r="C56" s="47">
        <f>IF(B56&lt;&gt;"",VLOOKUP(B56,'Tipo Projeto'!$A$3:$B$35,2,0),0)</f>
        <v>0</v>
      </c>
      <c r="D56" s="48"/>
      <c r="E56" s="48"/>
      <c r="F56" s="49"/>
      <c r="G56" s="204"/>
      <c r="H56" s="50"/>
      <c r="I56" s="51"/>
      <c r="J56" s="52"/>
      <c r="K56" s="53"/>
      <c r="L56" s="54" t="str">
        <f t="shared" si="0"/>
        <v/>
      </c>
      <c r="M56" s="49" t="str">
        <f t="shared" si="1"/>
        <v/>
      </c>
      <c r="N56" s="55" t="str">
        <f t="shared" si="2"/>
        <v/>
      </c>
      <c r="O56" s="56">
        <f t="shared" si="3"/>
        <v>0</v>
      </c>
      <c r="P56" s="56">
        <f t="shared" si="4"/>
        <v>0</v>
      </c>
      <c r="Q56" s="55">
        <f t="shared" si="5"/>
        <v>0</v>
      </c>
      <c r="R56" s="48"/>
      <c r="T56" s="58"/>
      <c r="U56" s="46"/>
      <c r="V56" s="47">
        <f>IF(U56&lt;&gt;"",VLOOKUP(U56,'Tipo Projeto'!$A$3:$B$35,2,0),0)</f>
        <v>0</v>
      </c>
      <c r="W56" s="48"/>
      <c r="X56" s="50"/>
      <c r="Y56" s="51"/>
      <c r="Z56" s="52"/>
      <c r="AA56" s="53"/>
      <c r="AB56" s="54" t="str">
        <f t="shared" si="6"/>
        <v/>
      </c>
      <c r="AC56" s="49" t="str">
        <f t="shared" si="7"/>
        <v/>
      </c>
      <c r="AD56" s="55" t="str">
        <f t="shared" si="8"/>
        <v/>
      </c>
      <c r="AE56" s="56">
        <f t="shared" si="9"/>
        <v>0</v>
      </c>
      <c r="AF56" s="56">
        <f t="shared" si="10"/>
        <v>0</v>
      </c>
      <c r="AG56" s="59">
        <f t="shared" si="11"/>
        <v>0</v>
      </c>
      <c r="AH56" s="48"/>
      <c r="AJ56" s="48"/>
      <c r="AL56" s="48"/>
      <c r="AM56" s="48" t="str">
        <f t="shared" si="12"/>
        <v/>
      </c>
    </row>
    <row r="57" spans="1:39" s="57" customFormat="1" ht="14">
      <c r="A57" s="45"/>
      <c r="B57" s="46"/>
      <c r="C57" s="47">
        <f>IF(B57&lt;&gt;"",VLOOKUP(B57,'Tipo Projeto'!$A$3:$B$35,2,0),0)</f>
        <v>0</v>
      </c>
      <c r="D57" s="48"/>
      <c r="E57" s="48"/>
      <c r="F57" s="49"/>
      <c r="G57" s="204"/>
      <c r="H57" s="50"/>
      <c r="I57" s="51"/>
      <c r="J57" s="52"/>
      <c r="K57" s="53"/>
      <c r="L57" s="54" t="str">
        <f t="shared" si="0"/>
        <v/>
      </c>
      <c r="M57" s="49" t="str">
        <f t="shared" si="1"/>
        <v/>
      </c>
      <c r="N57" s="55" t="str">
        <f t="shared" si="2"/>
        <v/>
      </c>
      <c r="O57" s="56">
        <f t="shared" si="3"/>
        <v>0</v>
      </c>
      <c r="P57" s="56">
        <f t="shared" si="4"/>
        <v>0</v>
      </c>
      <c r="Q57" s="55">
        <f t="shared" si="5"/>
        <v>0</v>
      </c>
      <c r="R57" s="48"/>
      <c r="T57" s="58"/>
      <c r="U57" s="46"/>
      <c r="V57" s="47">
        <f>IF(U57&lt;&gt;"",VLOOKUP(U57,'Tipo Projeto'!$A$3:$B$35,2,0),0)</f>
        <v>0</v>
      </c>
      <c r="W57" s="48"/>
      <c r="X57" s="50"/>
      <c r="Y57" s="51"/>
      <c r="Z57" s="52"/>
      <c r="AA57" s="53"/>
      <c r="AB57" s="54" t="str">
        <f t="shared" si="6"/>
        <v/>
      </c>
      <c r="AC57" s="49" t="str">
        <f t="shared" si="7"/>
        <v/>
      </c>
      <c r="AD57" s="55" t="str">
        <f t="shared" si="8"/>
        <v/>
      </c>
      <c r="AE57" s="56">
        <f t="shared" si="9"/>
        <v>0</v>
      </c>
      <c r="AF57" s="56">
        <f t="shared" si="10"/>
        <v>0</v>
      </c>
      <c r="AG57" s="59">
        <f t="shared" si="11"/>
        <v>0</v>
      </c>
      <c r="AH57" s="48"/>
      <c r="AJ57" s="48"/>
      <c r="AL57" s="48"/>
      <c r="AM57" s="48" t="str">
        <f t="shared" si="12"/>
        <v/>
      </c>
    </row>
    <row r="58" spans="1:39" s="57" customFormat="1" ht="14">
      <c r="A58" s="45"/>
      <c r="B58" s="46"/>
      <c r="C58" s="47">
        <f>IF(B58&lt;&gt;"",VLOOKUP(B58,'Tipo Projeto'!$A$3:$B$35,2,0),0)</f>
        <v>0</v>
      </c>
      <c r="D58" s="48"/>
      <c r="E58" s="48"/>
      <c r="F58" s="49"/>
      <c r="G58" s="204"/>
      <c r="H58" s="50"/>
      <c r="I58" s="51"/>
      <c r="J58" s="52"/>
      <c r="K58" s="53"/>
      <c r="L58" s="54" t="str">
        <f t="shared" si="0"/>
        <v/>
      </c>
      <c r="M58" s="49" t="str">
        <f t="shared" si="1"/>
        <v/>
      </c>
      <c r="N58" s="55" t="str">
        <f t="shared" si="2"/>
        <v/>
      </c>
      <c r="O58" s="56">
        <f t="shared" si="3"/>
        <v>0</v>
      </c>
      <c r="P58" s="56">
        <f t="shared" si="4"/>
        <v>0</v>
      </c>
      <c r="Q58" s="55">
        <f t="shared" si="5"/>
        <v>0</v>
      </c>
      <c r="R58" s="48"/>
      <c r="T58" s="58"/>
      <c r="U58" s="46"/>
      <c r="V58" s="47">
        <f>IF(U58&lt;&gt;"",VLOOKUP(U58,'Tipo Projeto'!$A$3:$B$35,2,0),0)</f>
        <v>0</v>
      </c>
      <c r="W58" s="48"/>
      <c r="X58" s="50"/>
      <c r="Y58" s="51"/>
      <c r="Z58" s="52"/>
      <c r="AA58" s="53"/>
      <c r="AB58" s="54" t="str">
        <f t="shared" si="6"/>
        <v/>
      </c>
      <c r="AC58" s="49" t="str">
        <f t="shared" si="7"/>
        <v/>
      </c>
      <c r="AD58" s="55" t="str">
        <f t="shared" si="8"/>
        <v/>
      </c>
      <c r="AE58" s="56">
        <f t="shared" si="9"/>
        <v>0</v>
      </c>
      <c r="AF58" s="56">
        <f t="shared" si="10"/>
        <v>0</v>
      </c>
      <c r="AG58" s="59">
        <f t="shared" si="11"/>
        <v>0</v>
      </c>
      <c r="AH58" s="48"/>
      <c r="AJ58" s="48"/>
      <c r="AL58" s="48"/>
      <c r="AM58" s="48" t="str">
        <f t="shared" si="12"/>
        <v/>
      </c>
    </row>
    <row r="59" spans="1:39" s="57" customFormat="1" ht="14">
      <c r="A59" s="45"/>
      <c r="B59" s="46"/>
      <c r="C59" s="47">
        <f>IF(B59&lt;&gt;"",VLOOKUP(B59,'Tipo Projeto'!$A$3:$B$35,2,0),0)</f>
        <v>0</v>
      </c>
      <c r="D59" s="48"/>
      <c r="E59" s="48"/>
      <c r="F59" s="49"/>
      <c r="G59" s="204"/>
      <c r="H59" s="50"/>
      <c r="I59" s="51"/>
      <c r="J59" s="52"/>
      <c r="K59" s="53"/>
      <c r="L59" s="54" t="str">
        <f t="shared" si="0"/>
        <v/>
      </c>
      <c r="M59" s="49" t="str">
        <f t="shared" si="1"/>
        <v/>
      </c>
      <c r="N59" s="55" t="str">
        <f t="shared" si="2"/>
        <v/>
      </c>
      <c r="O59" s="56">
        <f t="shared" si="3"/>
        <v>0</v>
      </c>
      <c r="P59" s="56">
        <f t="shared" si="4"/>
        <v>0</v>
      </c>
      <c r="Q59" s="55">
        <f t="shared" si="5"/>
        <v>0</v>
      </c>
      <c r="R59" s="48"/>
      <c r="T59" s="58"/>
      <c r="U59" s="46"/>
      <c r="V59" s="47">
        <f>IF(U59&lt;&gt;"",VLOOKUP(U59,'Tipo Projeto'!$A$3:$B$35,2,0),0)</f>
        <v>0</v>
      </c>
      <c r="W59" s="48"/>
      <c r="X59" s="50"/>
      <c r="Y59" s="51"/>
      <c r="Z59" s="52"/>
      <c r="AA59" s="53"/>
      <c r="AB59" s="54" t="str">
        <f t="shared" si="6"/>
        <v/>
      </c>
      <c r="AC59" s="49" t="str">
        <f t="shared" si="7"/>
        <v/>
      </c>
      <c r="AD59" s="55" t="str">
        <f t="shared" si="8"/>
        <v/>
      </c>
      <c r="AE59" s="56">
        <f t="shared" si="9"/>
        <v>0</v>
      </c>
      <c r="AF59" s="56">
        <f t="shared" si="10"/>
        <v>0</v>
      </c>
      <c r="AG59" s="59">
        <f t="shared" si="11"/>
        <v>0</v>
      </c>
      <c r="AH59" s="48"/>
      <c r="AJ59" s="48"/>
      <c r="AL59" s="48"/>
      <c r="AM59" s="48" t="str">
        <f t="shared" si="12"/>
        <v/>
      </c>
    </row>
    <row r="60" spans="1:39" s="57" customFormat="1" ht="14">
      <c r="A60" s="45"/>
      <c r="B60" s="46"/>
      <c r="C60" s="47">
        <f>IF(B60&lt;&gt;"",VLOOKUP(B60,'Tipo Projeto'!$A$3:$B$35,2,0),0)</f>
        <v>0</v>
      </c>
      <c r="D60" s="48"/>
      <c r="E60" s="48"/>
      <c r="F60" s="49"/>
      <c r="G60" s="204"/>
      <c r="H60" s="50"/>
      <c r="I60" s="51"/>
      <c r="J60" s="52"/>
      <c r="K60" s="53"/>
      <c r="L60" s="54" t="str">
        <f t="shared" si="0"/>
        <v/>
      </c>
      <c r="M60" s="49" t="str">
        <f t="shared" si="1"/>
        <v/>
      </c>
      <c r="N60" s="55" t="str">
        <f t="shared" si="2"/>
        <v/>
      </c>
      <c r="O60" s="56">
        <f t="shared" si="3"/>
        <v>0</v>
      </c>
      <c r="P60" s="56">
        <f t="shared" si="4"/>
        <v>0</v>
      </c>
      <c r="Q60" s="55">
        <f t="shared" si="5"/>
        <v>0</v>
      </c>
      <c r="R60" s="48"/>
      <c r="T60" s="58"/>
      <c r="U60" s="46"/>
      <c r="V60" s="47">
        <f>IF(U60&lt;&gt;"",VLOOKUP(U60,'Tipo Projeto'!$A$3:$B$35,2,0),0)</f>
        <v>0</v>
      </c>
      <c r="W60" s="48"/>
      <c r="X60" s="50"/>
      <c r="Y60" s="51"/>
      <c r="Z60" s="52"/>
      <c r="AA60" s="53"/>
      <c r="AB60" s="54" t="str">
        <f t="shared" si="6"/>
        <v/>
      </c>
      <c r="AC60" s="49" t="str">
        <f t="shared" si="7"/>
        <v/>
      </c>
      <c r="AD60" s="55" t="str">
        <f t="shared" si="8"/>
        <v/>
      </c>
      <c r="AE60" s="56">
        <f t="shared" si="9"/>
        <v>0</v>
      </c>
      <c r="AF60" s="56">
        <f t="shared" si="10"/>
        <v>0</v>
      </c>
      <c r="AG60" s="59">
        <f t="shared" si="11"/>
        <v>0</v>
      </c>
      <c r="AH60" s="48"/>
      <c r="AJ60" s="48"/>
      <c r="AL60" s="48"/>
      <c r="AM60" s="48" t="str">
        <f t="shared" si="12"/>
        <v/>
      </c>
    </row>
    <row r="61" spans="1:39" s="57" customFormat="1" ht="14">
      <c r="A61" s="45"/>
      <c r="B61" s="46"/>
      <c r="C61" s="47">
        <f>IF(B61&lt;&gt;"",VLOOKUP(B61,'Tipo Projeto'!$A$3:$B$35,2,0),0)</f>
        <v>0</v>
      </c>
      <c r="D61" s="48"/>
      <c r="E61" s="48"/>
      <c r="F61" s="49"/>
      <c r="G61" s="204"/>
      <c r="H61" s="50"/>
      <c r="I61" s="51"/>
      <c r="J61" s="52"/>
      <c r="K61" s="53"/>
      <c r="L61" s="54" t="str">
        <f t="shared" si="0"/>
        <v/>
      </c>
      <c r="M61" s="49" t="str">
        <f t="shared" si="1"/>
        <v/>
      </c>
      <c r="N61" s="55" t="str">
        <f t="shared" si="2"/>
        <v/>
      </c>
      <c r="O61" s="56">
        <f t="shared" si="3"/>
        <v>0</v>
      </c>
      <c r="P61" s="56">
        <f t="shared" si="4"/>
        <v>0</v>
      </c>
      <c r="Q61" s="55">
        <f t="shared" si="5"/>
        <v>0</v>
      </c>
      <c r="R61" s="48"/>
      <c r="T61" s="58"/>
      <c r="U61" s="46"/>
      <c r="V61" s="47">
        <f>IF(U61&lt;&gt;"",VLOOKUP(U61,'Tipo Projeto'!$A$3:$B$35,2,0),0)</f>
        <v>0</v>
      </c>
      <c r="W61" s="48"/>
      <c r="X61" s="50"/>
      <c r="Y61" s="51"/>
      <c r="Z61" s="52"/>
      <c r="AA61" s="53"/>
      <c r="AB61" s="54" t="str">
        <f t="shared" si="6"/>
        <v/>
      </c>
      <c r="AC61" s="49" t="str">
        <f t="shared" si="7"/>
        <v/>
      </c>
      <c r="AD61" s="55" t="str">
        <f t="shared" si="8"/>
        <v/>
      </c>
      <c r="AE61" s="56">
        <f t="shared" si="9"/>
        <v>0</v>
      </c>
      <c r="AF61" s="56">
        <f t="shared" si="10"/>
        <v>0</v>
      </c>
      <c r="AG61" s="59">
        <f t="shared" si="11"/>
        <v>0</v>
      </c>
      <c r="AH61" s="48"/>
      <c r="AJ61" s="48"/>
      <c r="AL61" s="48"/>
      <c r="AM61" s="48" t="str">
        <f t="shared" si="12"/>
        <v/>
      </c>
    </row>
    <row r="62" spans="1:39" s="57" customFormat="1" ht="14">
      <c r="A62" s="45"/>
      <c r="B62" s="46"/>
      <c r="C62" s="47">
        <f>IF(B62&lt;&gt;"",VLOOKUP(B62,'Tipo Projeto'!$A$3:$B$35,2,0),0)</f>
        <v>0</v>
      </c>
      <c r="D62" s="48"/>
      <c r="E62" s="48"/>
      <c r="F62" s="49"/>
      <c r="G62" s="204"/>
      <c r="H62" s="50"/>
      <c r="I62" s="51"/>
      <c r="J62" s="52"/>
      <c r="K62" s="53"/>
      <c r="L62" s="54" t="str">
        <f t="shared" si="0"/>
        <v/>
      </c>
      <c r="M62" s="49" t="str">
        <f t="shared" si="1"/>
        <v/>
      </c>
      <c r="N62" s="55" t="str">
        <f t="shared" si="2"/>
        <v/>
      </c>
      <c r="O62" s="56">
        <f t="shared" si="3"/>
        <v>0</v>
      </c>
      <c r="P62" s="56">
        <f t="shared" si="4"/>
        <v>0</v>
      </c>
      <c r="Q62" s="55">
        <f t="shared" si="5"/>
        <v>0</v>
      </c>
      <c r="R62" s="48"/>
      <c r="T62" s="58"/>
      <c r="U62" s="46"/>
      <c r="V62" s="47">
        <f>IF(U62&lt;&gt;"",VLOOKUP(U62,'Tipo Projeto'!$A$3:$B$35,2,0),0)</f>
        <v>0</v>
      </c>
      <c r="W62" s="48"/>
      <c r="X62" s="50"/>
      <c r="Y62" s="51"/>
      <c r="Z62" s="52"/>
      <c r="AA62" s="53"/>
      <c r="AB62" s="54" t="str">
        <f t="shared" si="6"/>
        <v/>
      </c>
      <c r="AC62" s="49" t="str">
        <f t="shared" si="7"/>
        <v/>
      </c>
      <c r="AD62" s="55" t="str">
        <f t="shared" si="8"/>
        <v/>
      </c>
      <c r="AE62" s="56">
        <f t="shared" si="9"/>
        <v>0</v>
      </c>
      <c r="AF62" s="56">
        <f t="shared" si="10"/>
        <v>0</v>
      </c>
      <c r="AG62" s="59">
        <f t="shared" si="11"/>
        <v>0</v>
      </c>
      <c r="AH62" s="48"/>
      <c r="AJ62" s="48"/>
      <c r="AL62" s="48"/>
      <c r="AM62" s="48" t="str">
        <f t="shared" si="12"/>
        <v/>
      </c>
    </row>
    <row r="63" spans="1:39" s="57" customFormat="1" ht="14">
      <c r="A63" s="45"/>
      <c r="B63" s="46"/>
      <c r="C63" s="47">
        <f>IF(B63&lt;&gt;"",VLOOKUP(B63,'Tipo Projeto'!$A$3:$B$35,2,0),0)</f>
        <v>0</v>
      </c>
      <c r="D63" s="48"/>
      <c r="E63" s="48"/>
      <c r="F63" s="49"/>
      <c r="G63" s="204"/>
      <c r="H63" s="50"/>
      <c r="I63" s="51"/>
      <c r="J63" s="52"/>
      <c r="K63" s="53"/>
      <c r="L63" s="54" t="str">
        <f t="shared" si="0"/>
        <v/>
      </c>
      <c r="M63" s="49" t="str">
        <f t="shared" si="1"/>
        <v/>
      </c>
      <c r="N63" s="55" t="str">
        <f t="shared" si="2"/>
        <v/>
      </c>
      <c r="O63" s="56">
        <f t="shared" si="3"/>
        <v>0</v>
      </c>
      <c r="P63" s="56">
        <f t="shared" si="4"/>
        <v>0</v>
      </c>
      <c r="Q63" s="55">
        <f t="shared" si="5"/>
        <v>0</v>
      </c>
      <c r="R63" s="48"/>
      <c r="T63" s="58"/>
      <c r="U63" s="46"/>
      <c r="V63" s="47">
        <f>IF(U63&lt;&gt;"",VLOOKUP(U63,'Tipo Projeto'!$A$3:$B$35,2,0),0)</f>
        <v>0</v>
      </c>
      <c r="W63" s="48"/>
      <c r="X63" s="50"/>
      <c r="Y63" s="51"/>
      <c r="Z63" s="52"/>
      <c r="AA63" s="53"/>
      <c r="AB63" s="54" t="str">
        <f t="shared" si="6"/>
        <v/>
      </c>
      <c r="AC63" s="49" t="str">
        <f t="shared" si="7"/>
        <v/>
      </c>
      <c r="AD63" s="55" t="str">
        <f t="shared" si="8"/>
        <v/>
      </c>
      <c r="AE63" s="56">
        <f t="shared" si="9"/>
        <v>0</v>
      </c>
      <c r="AF63" s="56">
        <f t="shared" si="10"/>
        <v>0</v>
      </c>
      <c r="AG63" s="59">
        <f t="shared" si="11"/>
        <v>0</v>
      </c>
      <c r="AH63" s="48"/>
      <c r="AJ63" s="48"/>
      <c r="AL63" s="48"/>
      <c r="AM63" s="48" t="str">
        <f t="shared" si="12"/>
        <v/>
      </c>
    </row>
    <row r="64" spans="1:39" s="57" customFormat="1" ht="14">
      <c r="A64" s="45"/>
      <c r="B64" s="46"/>
      <c r="C64" s="47">
        <f>IF(B64&lt;&gt;"",VLOOKUP(B64,'Tipo Projeto'!$A$3:$B$35,2,0),0)</f>
        <v>0</v>
      </c>
      <c r="D64" s="48"/>
      <c r="E64" s="48"/>
      <c r="F64" s="49"/>
      <c r="G64" s="204"/>
      <c r="H64" s="50"/>
      <c r="I64" s="51"/>
      <c r="J64" s="52"/>
      <c r="K64" s="53"/>
      <c r="L64" s="54" t="str">
        <f t="shared" si="0"/>
        <v/>
      </c>
      <c r="M64" s="49" t="str">
        <f t="shared" si="1"/>
        <v/>
      </c>
      <c r="N64" s="55" t="str">
        <f t="shared" si="2"/>
        <v/>
      </c>
      <c r="O64" s="56">
        <f t="shared" si="3"/>
        <v>0</v>
      </c>
      <c r="P64" s="56">
        <f t="shared" si="4"/>
        <v>0</v>
      </c>
      <c r="Q64" s="55">
        <f t="shared" si="5"/>
        <v>0</v>
      </c>
      <c r="R64" s="48"/>
      <c r="T64" s="58"/>
      <c r="U64" s="46"/>
      <c r="V64" s="47">
        <f>IF(U64&lt;&gt;"",VLOOKUP(U64,'Tipo Projeto'!$A$3:$B$35,2,0),0)</f>
        <v>0</v>
      </c>
      <c r="W64" s="48"/>
      <c r="X64" s="50"/>
      <c r="Y64" s="51"/>
      <c r="Z64" s="52"/>
      <c r="AA64" s="53"/>
      <c r="AB64" s="54" t="str">
        <f t="shared" si="6"/>
        <v/>
      </c>
      <c r="AC64" s="49" t="str">
        <f t="shared" si="7"/>
        <v/>
      </c>
      <c r="AD64" s="55" t="str">
        <f t="shared" si="8"/>
        <v/>
      </c>
      <c r="AE64" s="56">
        <f t="shared" si="9"/>
        <v>0</v>
      </c>
      <c r="AF64" s="56">
        <f t="shared" si="10"/>
        <v>0</v>
      </c>
      <c r="AG64" s="59">
        <f t="shared" si="11"/>
        <v>0</v>
      </c>
      <c r="AH64" s="48"/>
      <c r="AJ64" s="48"/>
      <c r="AL64" s="48"/>
      <c r="AM64" s="48" t="str">
        <f t="shared" si="12"/>
        <v/>
      </c>
    </row>
    <row r="65" spans="1:39" s="57" customFormat="1" ht="14">
      <c r="A65" s="45"/>
      <c r="B65" s="46"/>
      <c r="C65" s="47">
        <f>IF(B65&lt;&gt;"",VLOOKUP(B65,'Tipo Projeto'!$A$3:$B$35,2,0),0)</f>
        <v>0</v>
      </c>
      <c r="D65" s="48"/>
      <c r="E65" s="48"/>
      <c r="F65" s="49"/>
      <c r="G65" s="204"/>
      <c r="H65" s="50"/>
      <c r="I65" s="51"/>
      <c r="J65" s="52"/>
      <c r="K65" s="53"/>
      <c r="L65" s="54" t="str">
        <f t="shared" si="0"/>
        <v/>
      </c>
      <c r="M65" s="49" t="str">
        <f t="shared" si="1"/>
        <v/>
      </c>
      <c r="N65" s="55" t="str">
        <f t="shared" si="2"/>
        <v/>
      </c>
      <c r="O65" s="56">
        <f t="shared" si="3"/>
        <v>0</v>
      </c>
      <c r="P65" s="56">
        <f t="shared" si="4"/>
        <v>0</v>
      </c>
      <c r="Q65" s="55">
        <f t="shared" si="5"/>
        <v>0</v>
      </c>
      <c r="R65" s="48"/>
      <c r="T65" s="58"/>
      <c r="U65" s="46"/>
      <c r="V65" s="47">
        <f>IF(U65&lt;&gt;"",VLOOKUP(U65,'Tipo Projeto'!$A$3:$B$35,2,0),0)</f>
        <v>0</v>
      </c>
      <c r="W65" s="48"/>
      <c r="X65" s="50"/>
      <c r="Y65" s="51"/>
      <c r="Z65" s="52"/>
      <c r="AA65" s="53"/>
      <c r="AB65" s="54" t="str">
        <f t="shared" si="6"/>
        <v/>
      </c>
      <c r="AC65" s="49" t="str">
        <f t="shared" si="7"/>
        <v/>
      </c>
      <c r="AD65" s="55" t="str">
        <f t="shared" si="8"/>
        <v/>
      </c>
      <c r="AE65" s="56">
        <f t="shared" si="9"/>
        <v>0</v>
      </c>
      <c r="AF65" s="56">
        <f t="shared" si="10"/>
        <v>0</v>
      </c>
      <c r="AG65" s="59">
        <f t="shared" si="11"/>
        <v>0</v>
      </c>
      <c r="AH65" s="48"/>
      <c r="AJ65" s="48"/>
      <c r="AL65" s="48"/>
      <c r="AM65" s="48" t="str">
        <f t="shared" si="12"/>
        <v/>
      </c>
    </row>
    <row r="66" spans="1:39" s="57" customFormat="1" ht="14">
      <c r="A66" s="45"/>
      <c r="B66" s="46"/>
      <c r="C66" s="47">
        <f>IF(B66&lt;&gt;"",VLOOKUP(B66,'Tipo Projeto'!$A$3:$B$35,2,0),0)</f>
        <v>0</v>
      </c>
      <c r="D66" s="48"/>
      <c r="E66" s="48"/>
      <c r="F66" s="49"/>
      <c r="G66" s="204"/>
      <c r="H66" s="50"/>
      <c r="I66" s="51"/>
      <c r="J66" s="52"/>
      <c r="K66" s="53"/>
      <c r="L66" s="54" t="str">
        <f t="shared" si="0"/>
        <v/>
      </c>
      <c r="M66" s="49" t="str">
        <f t="shared" si="1"/>
        <v/>
      </c>
      <c r="N66" s="55" t="str">
        <f t="shared" si="2"/>
        <v/>
      </c>
      <c r="O66" s="56">
        <f t="shared" si="3"/>
        <v>0</v>
      </c>
      <c r="P66" s="56">
        <f t="shared" si="4"/>
        <v>0</v>
      </c>
      <c r="Q66" s="55">
        <f t="shared" si="5"/>
        <v>0</v>
      </c>
      <c r="R66" s="48"/>
      <c r="T66" s="58"/>
      <c r="U66" s="46"/>
      <c r="V66" s="47">
        <f>IF(U66&lt;&gt;"",VLOOKUP(U66,'Tipo Projeto'!$A$3:$B$35,2,0),0)</f>
        <v>0</v>
      </c>
      <c r="W66" s="48"/>
      <c r="X66" s="50"/>
      <c r="Y66" s="51"/>
      <c r="Z66" s="52"/>
      <c r="AA66" s="53"/>
      <c r="AB66" s="54" t="str">
        <f t="shared" si="6"/>
        <v/>
      </c>
      <c r="AC66" s="49" t="str">
        <f t="shared" si="7"/>
        <v/>
      </c>
      <c r="AD66" s="55" t="str">
        <f t="shared" si="8"/>
        <v/>
      </c>
      <c r="AE66" s="56">
        <f t="shared" si="9"/>
        <v>0</v>
      </c>
      <c r="AF66" s="56">
        <f t="shared" si="10"/>
        <v>0</v>
      </c>
      <c r="AG66" s="59">
        <f t="shared" si="11"/>
        <v>0</v>
      </c>
      <c r="AH66" s="48"/>
      <c r="AJ66" s="48"/>
      <c r="AL66" s="48"/>
      <c r="AM66" s="48" t="str">
        <f t="shared" si="12"/>
        <v/>
      </c>
    </row>
    <row r="67" spans="1:39" s="57" customFormat="1" ht="14">
      <c r="A67" s="45"/>
      <c r="B67" s="46"/>
      <c r="C67" s="47">
        <f>IF(B67&lt;&gt;"",VLOOKUP(B67,'Tipo Projeto'!$A$3:$B$35,2,0),0)</f>
        <v>0</v>
      </c>
      <c r="D67" s="48"/>
      <c r="E67" s="48"/>
      <c r="F67" s="49"/>
      <c r="G67" s="204"/>
      <c r="H67" s="50"/>
      <c r="I67" s="51"/>
      <c r="J67" s="52"/>
      <c r="K67" s="53"/>
      <c r="L67" s="54" t="str">
        <f t="shared" si="0"/>
        <v/>
      </c>
      <c r="M67" s="49" t="str">
        <f t="shared" si="1"/>
        <v/>
      </c>
      <c r="N67" s="55" t="str">
        <f t="shared" si="2"/>
        <v/>
      </c>
      <c r="O67" s="56">
        <f t="shared" si="3"/>
        <v>0</v>
      </c>
      <c r="P67" s="56">
        <f t="shared" si="4"/>
        <v>0</v>
      </c>
      <c r="Q67" s="55">
        <f t="shared" si="5"/>
        <v>0</v>
      </c>
      <c r="R67" s="48"/>
      <c r="T67" s="58"/>
      <c r="U67" s="46"/>
      <c r="V67" s="47">
        <f>IF(U67&lt;&gt;"",VLOOKUP(U67,'Tipo Projeto'!$A$3:$B$35,2,0),0)</f>
        <v>0</v>
      </c>
      <c r="W67" s="48"/>
      <c r="X67" s="50"/>
      <c r="Y67" s="51"/>
      <c r="Z67" s="52"/>
      <c r="AA67" s="53"/>
      <c r="AB67" s="54" t="str">
        <f t="shared" si="6"/>
        <v/>
      </c>
      <c r="AC67" s="49" t="str">
        <f t="shared" si="7"/>
        <v/>
      </c>
      <c r="AD67" s="55" t="str">
        <f t="shared" si="8"/>
        <v/>
      </c>
      <c r="AE67" s="56">
        <f t="shared" si="9"/>
        <v>0</v>
      </c>
      <c r="AF67" s="56">
        <f t="shared" si="10"/>
        <v>0</v>
      </c>
      <c r="AG67" s="59">
        <f t="shared" si="11"/>
        <v>0</v>
      </c>
      <c r="AH67" s="48"/>
      <c r="AJ67" s="48"/>
      <c r="AL67" s="48"/>
      <c r="AM67" s="48" t="str">
        <f t="shared" si="12"/>
        <v/>
      </c>
    </row>
    <row r="68" spans="1:39" s="57" customFormat="1" ht="14">
      <c r="A68" s="45"/>
      <c r="B68" s="46"/>
      <c r="C68" s="47">
        <f>IF(B68&lt;&gt;"",VLOOKUP(B68,'Tipo Projeto'!$A$3:$B$35,2,0),0)</f>
        <v>0</v>
      </c>
      <c r="D68" s="48"/>
      <c r="E68" s="48"/>
      <c r="F68" s="49"/>
      <c r="G68" s="204"/>
      <c r="H68" s="50"/>
      <c r="I68" s="51"/>
      <c r="J68" s="52"/>
      <c r="K68" s="53"/>
      <c r="L68" s="54" t="str">
        <f t="shared" si="0"/>
        <v/>
      </c>
      <c r="M68" s="49" t="str">
        <f t="shared" si="1"/>
        <v/>
      </c>
      <c r="N68" s="55" t="str">
        <f t="shared" si="2"/>
        <v/>
      </c>
      <c r="O68" s="56">
        <f t="shared" si="3"/>
        <v>0</v>
      </c>
      <c r="P68" s="56">
        <f t="shared" si="4"/>
        <v>0</v>
      </c>
      <c r="Q68" s="55">
        <f t="shared" si="5"/>
        <v>0</v>
      </c>
      <c r="R68" s="48"/>
      <c r="T68" s="58"/>
      <c r="U68" s="46"/>
      <c r="V68" s="47">
        <f>IF(U68&lt;&gt;"",VLOOKUP(U68,'Tipo Projeto'!$A$3:$B$35,2,0),0)</f>
        <v>0</v>
      </c>
      <c r="W68" s="48"/>
      <c r="X68" s="50"/>
      <c r="Y68" s="51"/>
      <c r="Z68" s="52"/>
      <c r="AA68" s="53"/>
      <c r="AB68" s="54" t="str">
        <f t="shared" si="6"/>
        <v/>
      </c>
      <c r="AC68" s="49" t="str">
        <f t="shared" si="7"/>
        <v/>
      </c>
      <c r="AD68" s="55" t="str">
        <f t="shared" si="8"/>
        <v/>
      </c>
      <c r="AE68" s="56">
        <f t="shared" si="9"/>
        <v>0</v>
      </c>
      <c r="AF68" s="56">
        <f t="shared" si="10"/>
        <v>0</v>
      </c>
      <c r="AG68" s="59">
        <f t="shared" si="11"/>
        <v>0</v>
      </c>
      <c r="AH68" s="48"/>
      <c r="AJ68" s="48"/>
      <c r="AL68" s="48"/>
      <c r="AM68" s="48" t="str">
        <f t="shared" si="12"/>
        <v/>
      </c>
    </row>
    <row r="69" spans="1:39" s="57" customFormat="1" ht="14">
      <c r="A69" s="45"/>
      <c r="B69" s="46"/>
      <c r="C69" s="47">
        <f>IF(B69&lt;&gt;"",VLOOKUP(B69,'Tipo Projeto'!$A$3:$B$35,2,0),0)</f>
        <v>0</v>
      </c>
      <c r="D69" s="48"/>
      <c r="E69" s="48"/>
      <c r="F69" s="49"/>
      <c r="G69" s="204"/>
      <c r="H69" s="50"/>
      <c r="I69" s="51"/>
      <c r="J69" s="52"/>
      <c r="K69" s="53"/>
      <c r="L69" s="54" t="str">
        <f t="shared" si="0"/>
        <v/>
      </c>
      <c r="M69" s="49" t="str">
        <f t="shared" si="1"/>
        <v/>
      </c>
      <c r="N69" s="55" t="str">
        <f t="shared" si="2"/>
        <v/>
      </c>
      <c r="O69" s="56">
        <f t="shared" si="3"/>
        <v>0</v>
      </c>
      <c r="P69" s="56">
        <f t="shared" si="4"/>
        <v>0</v>
      </c>
      <c r="Q69" s="55">
        <f t="shared" si="5"/>
        <v>0</v>
      </c>
      <c r="R69" s="48"/>
      <c r="T69" s="58"/>
      <c r="U69" s="46"/>
      <c r="V69" s="47">
        <f>IF(U69&lt;&gt;"",VLOOKUP(U69,'Tipo Projeto'!$A$3:$B$35,2,0),0)</f>
        <v>0</v>
      </c>
      <c r="W69" s="48"/>
      <c r="X69" s="50"/>
      <c r="Y69" s="51"/>
      <c r="Z69" s="52"/>
      <c r="AA69" s="53"/>
      <c r="AB69" s="54" t="str">
        <f t="shared" si="6"/>
        <v/>
      </c>
      <c r="AC69" s="49" t="str">
        <f t="shared" si="7"/>
        <v/>
      </c>
      <c r="AD69" s="55" t="str">
        <f t="shared" si="8"/>
        <v/>
      </c>
      <c r="AE69" s="56">
        <f t="shared" si="9"/>
        <v>0</v>
      </c>
      <c r="AF69" s="56">
        <f t="shared" si="10"/>
        <v>0</v>
      </c>
      <c r="AG69" s="59">
        <f t="shared" si="11"/>
        <v>0</v>
      </c>
      <c r="AH69" s="48"/>
      <c r="AJ69" s="48"/>
      <c r="AL69" s="48"/>
      <c r="AM69" s="48" t="str">
        <f t="shared" si="12"/>
        <v/>
      </c>
    </row>
    <row r="70" spans="1:39" s="57" customFormat="1" ht="14">
      <c r="A70" s="45"/>
      <c r="B70" s="46"/>
      <c r="C70" s="47">
        <f>IF(B70&lt;&gt;"",VLOOKUP(B70,'Tipo Projeto'!$A$3:$B$35,2,0),0)</f>
        <v>0</v>
      </c>
      <c r="D70" s="48"/>
      <c r="E70" s="48"/>
      <c r="F70" s="49"/>
      <c r="G70" s="204"/>
      <c r="H70" s="50"/>
      <c r="I70" s="51"/>
      <c r="J70" s="52"/>
      <c r="K70" s="53"/>
      <c r="L70" s="54" t="str">
        <f t="shared" si="0"/>
        <v/>
      </c>
      <c r="M70" s="49" t="str">
        <f t="shared" si="1"/>
        <v/>
      </c>
      <c r="N70" s="55" t="str">
        <f t="shared" si="2"/>
        <v/>
      </c>
      <c r="O70" s="56">
        <f t="shared" si="3"/>
        <v>0</v>
      </c>
      <c r="P70" s="56">
        <f t="shared" si="4"/>
        <v>0</v>
      </c>
      <c r="Q70" s="55">
        <f t="shared" si="5"/>
        <v>0</v>
      </c>
      <c r="R70" s="48"/>
      <c r="T70" s="58"/>
      <c r="U70" s="46"/>
      <c r="V70" s="47">
        <f>IF(U70&lt;&gt;"",VLOOKUP(U70,'Tipo Projeto'!$A$3:$B$35,2,0),0)</f>
        <v>0</v>
      </c>
      <c r="W70" s="48"/>
      <c r="X70" s="50"/>
      <c r="Y70" s="51"/>
      <c r="Z70" s="52"/>
      <c r="AA70" s="53"/>
      <c r="AB70" s="54" t="str">
        <f t="shared" si="6"/>
        <v/>
      </c>
      <c r="AC70" s="49" t="str">
        <f t="shared" si="7"/>
        <v/>
      </c>
      <c r="AD70" s="55" t="str">
        <f t="shared" si="8"/>
        <v/>
      </c>
      <c r="AE70" s="56">
        <f t="shared" si="9"/>
        <v>0</v>
      </c>
      <c r="AF70" s="56">
        <f t="shared" si="10"/>
        <v>0</v>
      </c>
      <c r="AG70" s="59">
        <f t="shared" si="11"/>
        <v>0</v>
      </c>
      <c r="AH70" s="48"/>
      <c r="AJ70" s="48"/>
      <c r="AL70" s="48"/>
      <c r="AM70" s="48" t="str">
        <f t="shared" si="12"/>
        <v/>
      </c>
    </row>
    <row r="71" spans="1:39" s="57" customFormat="1" ht="14">
      <c r="A71" s="45"/>
      <c r="B71" s="46"/>
      <c r="C71" s="47">
        <f>IF(B71&lt;&gt;"",VLOOKUP(B71,'Tipo Projeto'!$A$3:$B$35,2,0),0)</f>
        <v>0</v>
      </c>
      <c r="D71" s="48"/>
      <c r="E71" s="48"/>
      <c r="F71" s="49"/>
      <c r="G71" s="204"/>
      <c r="H71" s="50"/>
      <c r="I71" s="51"/>
      <c r="J71" s="52"/>
      <c r="K71" s="53"/>
      <c r="L71" s="54" t="str">
        <f t="shared" si="0"/>
        <v/>
      </c>
      <c r="M71" s="49" t="str">
        <f t="shared" si="1"/>
        <v/>
      </c>
      <c r="N71" s="55" t="str">
        <f t="shared" si="2"/>
        <v/>
      </c>
      <c r="O71" s="56">
        <f t="shared" si="3"/>
        <v>0</v>
      </c>
      <c r="P71" s="56">
        <f t="shared" si="4"/>
        <v>0</v>
      </c>
      <c r="Q71" s="55">
        <f t="shared" si="5"/>
        <v>0</v>
      </c>
      <c r="R71" s="48"/>
      <c r="T71" s="58"/>
      <c r="U71" s="46"/>
      <c r="V71" s="47">
        <f>IF(U71&lt;&gt;"",VLOOKUP(U71,'Tipo Projeto'!$A$3:$B$35,2,0),0)</f>
        <v>0</v>
      </c>
      <c r="W71" s="48"/>
      <c r="X71" s="50"/>
      <c r="Y71" s="51"/>
      <c r="Z71" s="52"/>
      <c r="AA71" s="53"/>
      <c r="AB71" s="54" t="str">
        <f t="shared" si="6"/>
        <v/>
      </c>
      <c r="AC71" s="49" t="str">
        <f t="shared" si="7"/>
        <v/>
      </c>
      <c r="AD71" s="55" t="str">
        <f t="shared" si="8"/>
        <v/>
      </c>
      <c r="AE71" s="56">
        <f t="shared" si="9"/>
        <v>0</v>
      </c>
      <c r="AF71" s="56">
        <f t="shared" si="10"/>
        <v>0</v>
      </c>
      <c r="AG71" s="59">
        <f t="shared" si="11"/>
        <v>0</v>
      </c>
      <c r="AH71" s="48"/>
      <c r="AJ71" s="48"/>
      <c r="AL71" s="48"/>
      <c r="AM71" s="48" t="str">
        <f t="shared" si="12"/>
        <v/>
      </c>
    </row>
    <row r="72" spans="1:39" s="57" customFormat="1" ht="14">
      <c r="A72" s="45"/>
      <c r="B72" s="46"/>
      <c r="C72" s="47">
        <f>IF(B72&lt;&gt;"",VLOOKUP(B72,'Tipo Projeto'!$A$3:$B$35,2,0),0)</f>
        <v>0</v>
      </c>
      <c r="D72" s="48"/>
      <c r="E72" s="48"/>
      <c r="F72" s="49"/>
      <c r="G72" s="204"/>
      <c r="H72" s="50"/>
      <c r="I72" s="51"/>
      <c r="J72" s="52"/>
      <c r="K72" s="53"/>
      <c r="L72" s="54" t="str">
        <f t="shared" si="0"/>
        <v/>
      </c>
      <c r="M72" s="49" t="str">
        <f t="shared" si="1"/>
        <v/>
      </c>
      <c r="N72" s="55" t="str">
        <f t="shared" si="2"/>
        <v/>
      </c>
      <c r="O72" s="56">
        <f t="shared" si="3"/>
        <v>0</v>
      </c>
      <c r="P72" s="56">
        <f t="shared" si="4"/>
        <v>0</v>
      </c>
      <c r="Q72" s="55">
        <f t="shared" si="5"/>
        <v>0</v>
      </c>
      <c r="R72" s="48"/>
      <c r="T72" s="58"/>
      <c r="U72" s="46"/>
      <c r="V72" s="47">
        <f>IF(U72&lt;&gt;"",VLOOKUP(U72,'Tipo Projeto'!$A$3:$B$35,2,0),0)</f>
        <v>0</v>
      </c>
      <c r="W72" s="48"/>
      <c r="X72" s="50"/>
      <c r="Y72" s="51"/>
      <c r="Z72" s="52"/>
      <c r="AA72" s="53"/>
      <c r="AB72" s="54" t="str">
        <f t="shared" si="6"/>
        <v/>
      </c>
      <c r="AC72" s="49" t="str">
        <f t="shared" si="7"/>
        <v/>
      </c>
      <c r="AD72" s="55" t="str">
        <f t="shared" si="8"/>
        <v/>
      </c>
      <c r="AE72" s="56">
        <f t="shared" si="9"/>
        <v>0</v>
      </c>
      <c r="AF72" s="56">
        <f t="shared" si="10"/>
        <v>0</v>
      </c>
      <c r="AG72" s="59">
        <f t="shared" si="11"/>
        <v>0</v>
      </c>
      <c r="AH72" s="48"/>
      <c r="AJ72" s="48"/>
      <c r="AL72" s="48"/>
      <c r="AM72" s="48" t="str">
        <f t="shared" si="12"/>
        <v/>
      </c>
    </row>
    <row r="73" spans="1:39" s="57" customFormat="1" ht="14">
      <c r="A73" s="45"/>
      <c r="B73" s="46"/>
      <c r="C73" s="47">
        <f>IF(B73&lt;&gt;"",VLOOKUP(B73,'Tipo Projeto'!$A$3:$B$35,2,0),0)</f>
        <v>0</v>
      </c>
      <c r="D73" s="48"/>
      <c r="E73" s="48"/>
      <c r="F73" s="49"/>
      <c r="G73" s="204"/>
      <c r="H73" s="50"/>
      <c r="I73" s="51"/>
      <c r="J73" s="52"/>
      <c r="K73" s="53"/>
      <c r="L73" s="54" t="str">
        <f t="shared" si="0"/>
        <v/>
      </c>
      <c r="M73" s="49" t="str">
        <f t="shared" si="1"/>
        <v/>
      </c>
      <c r="N73" s="55" t="str">
        <f t="shared" si="2"/>
        <v/>
      </c>
      <c r="O73" s="56">
        <f t="shared" si="3"/>
        <v>0</v>
      </c>
      <c r="P73" s="56">
        <f t="shared" si="4"/>
        <v>0</v>
      </c>
      <c r="Q73" s="55">
        <f t="shared" si="5"/>
        <v>0</v>
      </c>
      <c r="R73" s="48"/>
      <c r="T73" s="58"/>
      <c r="U73" s="46"/>
      <c r="V73" s="47">
        <f>IF(U73&lt;&gt;"",VLOOKUP(U73,'Tipo Projeto'!$A$3:$B$35,2,0),0)</f>
        <v>0</v>
      </c>
      <c r="W73" s="48"/>
      <c r="X73" s="50"/>
      <c r="Y73" s="51"/>
      <c r="Z73" s="52"/>
      <c r="AA73" s="53"/>
      <c r="AB73" s="54" t="str">
        <f t="shared" si="6"/>
        <v/>
      </c>
      <c r="AC73" s="49" t="str">
        <f t="shared" si="7"/>
        <v/>
      </c>
      <c r="AD73" s="55" t="str">
        <f t="shared" si="8"/>
        <v/>
      </c>
      <c r="AE73" s="56">
        <f t="shared" si="9"/>
        <v>0</v>
      </c>
      <c r="AF73" s="56">
        <f t="shared" si="10"/>
        <v>0</v>
      </c>
      <c r="AG73" s="59">
        <f t="shared" si="11"/>
        <v>0</v>
      </c>
      <c r="AH73" s="48"/>
      <c r="AJ73" s="48"/>
      <c r="AL73" s="48"/>
      <c r="AM73" s="48" t="str">
        <f t="shared" si="12"/>
        <v/>
      </c>
    </row>
    <row r="74" spans="1:39" s="57" customFormat="1" ht="14">
      <c r="A74" s="45"/>
      <c r="B74" s="46"/>
      <c r="C74" s="47">
        <f>IF(B74&lt;&gt;"",VLOOKUP(B74,'Tipo Projeto'!$A$3:$B$35,2,0),0)</f>
        <v>0</v>
      </c>
      <c r="D74" s="48"/>
      <c r="E74" s="48"/>
      <c r="F74" s="49"/>
      <c r="G74" s="204"/>
      <c r="H74" s="50"/>
      <c r="I74" s="51"/>
      <c r="J74" s="52"/>
      <c r="K74" s="53"/>
      <c r="L74" s="54"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9"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5" t="str">
        <f t="shared" ref="N74:N137" si="15">IF(L74="",M74,IF(M74="",L74,""))</f>
        <v/>
      </c>
      <c r="O74" s="56">
        <f t="shared" ref="O74:O137" si="16">IF(AND(OR(G74="EE",G74="CE"),N74="Simples"),3, IF(AND(OR(G74="EE",G74="CE"),N74="Médio"),4, IF(AND(OR(G74="EE",G74="CE"),N74="Complexo"),6, IF(AND(G74="SE",N74="Simples"),4, IF(AND(G74="SE",N74="Médio"),5, IF(AND(G74="SE",N74="Complexo"),7,0))))))</f>
        <v>0</v>
      </c>
      <c r="P74" s="56">
        <f t="shared" ref="P74:P137" si="17">IF(AND(G74="ALI",M74="Simples"),7, IF(AND(G74="ALI",M74="Médio"),10, IF(AND(G74="ALI",M74="Complexo"),15, IF(AND(G74="AIE",M74="Simples"),5, IF(AND(G74="AIE",M74="Médio"),7, IF(AND(G74="AIE",M74="Complexo"),10,0))))))</f>
        <v>0</v>
      </c>
      <c r="Q74" s="55">
        <f t="shared" ref="Q74:Q137" si="18">IF(B74&lt;&gt;"Manutenção em interface",IF(B74&lt;&gt;"Desenv., Manutenção e Publicação de Páginas Estáticas",(O74+P74)*C74,C74),C74)</f>
        <v>0</v>
      </c>
      <c r="R74" s="48"/>
      <c r="T74" s="58"/>
      <c r="U74" s="46"/>
      <c r="V74" s="47">
        <f>IF(U74&lt;&gt;"",VLOOKUP(U74,'Tipo Projeto'!$A$3:$B$35,2,0),0)</f>
        <v>0</v>
      </c>
      <c r="W74" s="48"/>
      <c r="X74" s="50"/>
      <c r="Y74" s="51"/>
      <c r="Z74" s="52"/>
      <c r="AA74" s="53"/>
      <c r="AB74" s="54"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9"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5" t="str">
        <f t="shared" ref="AD74:AD137" si="21">IF(AB74="",AC74,IF(AC74="",AB74,""))</f>
        <v/>
      </c>
      <c r="AE74" s="56">
        <f t="shared" ref="AE74:AE137" si="22">IF(AND(OR(W74="EE",W74="CE"),AD74="Simples"),3, IF(AND(OR(W74="EE",W74="CE"),AD74="Médio"),4, IF(AND(OR(W74="EE",W74="CE"),AD74="Complexo"),6, IF(AND(W74="SE",AD74="Simples"),4, IF(AND(W74="SE",AD74="Médio"),5, IF(AND(W74="SE",AD74="Complexo"),7,0))))))</f>
        <v>0</v>
      </c>
      <c r="AF74" s="56">
        <f t="shared" ref="AF74:AF137" si="23">IF(AND(W74="ALI",AC74="Simples"),7, IF(AND(W74="ALI",AC74="Médio"),10, IF(AND(W74="ALI",AC74="Complexo"),15, IF(AND(W74="AIE",AC74="Simples"),5, IF(AND(W74="AIE",AC74="Médio"),7, IF(AND(W74="AIE",AC74="Complexo"),10,0))))))</f>
        <v>0</v>
      </c>
      <c r="AG74" s="59">
        <f t="shared" ref="AG74:AG137" si="24">IF(T74="OK",Q74,( IF(U74&lt;&gt;"Manutenção em interface",IF(U74&lt;&gt;"Desenv., Manutenção e Publicação de Páginas Estáticas",(AE74+AF74)*V74,V74),V74)))</f>
        <v>0</v>
      </c>
      <c r="AH74" s="48"/>
      <c r="AJ74" s="48"/>
      <c r="AL74" s="48"/>
      <c r="AM74" s="48" t="str">
        <f t="shared" ref="AM74:AM137" si="25">IF(AG74=0,"",IF(AG74=Q74,"OK","Divergente"))</f>
        <v/>
      </c>
    </row>
    <row r="75" spans="1:39" s="57" customFormat="1" ht="14">
      <c r="A75" s="45"/>
      <c r="B75" s="46"/>
      <c r="C75" s="47">
        <f>IF(B75&lt;&gt;"",VLOOKUP(B75,'Tipo Projeto'!$A$3:$B$35,2,0),0)</f>
        <v>0</v>
      </c>
      <c r="D75" s="48"/>
      <c r="E75" s="48"/>
      <c r="F75" s="49"/>
      <c r="G75" s="204"/>
      <c r="H75" s="50"/>
      <c r="I75" s="51"/>
      <c r="J75" s="52"/>
      <c r="K75" s="53"/>
      <c r="L75" s="54" t="str">
        <f t="shared" si="13"/>
        <v/>
      </c>
      <c r="M75" s="49" t="str">
        <f t="shared" si="14"/>
        <v/>
      </c>
      <c r="N75" s="55" t="str">
        <f t="shared" si="15"/>
        <v/>
      </c>
      <c r="O75" s="56">
        <f t="shared" si="16"/>
        <v>0</v>
      </c>
      <c r="P75" s="56">
        <f t="shared" si="17"/>
        <v>0</v>
      </c>
      <c r="Q75" s="55">
        <f t="shared" si="18"/>
        <v>0</v>
      </c>
      <c r="R75" s="48"/>
      <c r="T75" s="58"/>
      <c r="U75" s="46"/>
      <c r="V75" s="47">
        <f>IF(U75&lt;&gt;"",VLOOKUP(U75,'Tipo Projeto'!$A$3:$B$35,2,0),0)</f>
        <v>0</v>
      </c>
      <c r="W75" s="48"/>
      <c r="X75" s="50"/>
      <c r="Y75" s="51"/>
      <c r="Z75" s="52"/>
      <c r="AA75" s="53"/>
      <c r="AB75" s="54" t="str">
        <f t="shared" si="19"/>
        <v/>
      </c>
      <c r="AC75" s="49" t="str">
        <f t="shared" si="20"/>
        <v/>
      </c>
      <c r="AD75" s="55" t="str">
        <f t="shared" si="21"/>
        <v/>
      </c>
      <c r="AE75" s="56">
        <f t="shared" si="22"/>
        <v>0</v>
      </c>
      <c r="AF75" s="56">
        <f t="shared" si="23"/>
        <v>0</v>
      </c>
      <c r="AG75" s="59">
        <f t="shared" si="24"/>
        <v>0</v>
      </c>
      <c r="AH75" s="48"/>
      <c r="AJ75" s="48"/>
      <c r="AL75" s="48"/>
      <c r="AM75" s="48" t="str">
        <f t="shared" si="25"/>
        <v/>
      </c>
    </row>
    <row r="76" spans="1:39" s="57" customFormat="1" ht="14">
      <c r="A76" s="45"/>
      <c r="B76" s="46"/>
      <c r="C76" s="47">
        <f>IF(B76&lt;&gt;"",VLOOKUP(B76,'Tipo Projeto'!$A$3:$B$35,2,0),0)</f>
        <v>0</v>
      </c>
      <c r="D76" s="48"/>
      <c r="E76" s="48"/>
      <c r="F76" s="49"/>
      <c r="G76" s="204"/>
      <c r="H76" s="50"/>
      <c r="I76" s="51"/>
      <c r="J76" s="52"/>
      <c r="K76" s="53"/>
      <c r="L76" s="54" t="str">
        <f t="shared" si="13"/>
        <v/>
      </c>
      <c r="M76" s="49" t="str">
        <f t="shared" si="14"/>
        <v/>
      </c>
      <c r="N76" s="55" t="str">
        <f t="shared" si="15"/>
        <v/>
      </c>
      <c r="O76" s="56">
        <f t="shared" si="16"/>
        <v>0</v>
      </c>
      <c r="P76" s="56">
        <f t="shared" si="17"/>
        <v>0</v>
      </c>
      <c r="Q76" s="55">
        <f t="shared" si="18"/>
        <v>0</v>
      </c>
      <c r="R76" s="48"/>
      <c r="T76" s="58"/>
      <c r="U76" s="46"/>
      <c r="V76" s="47">
        <f>IF(U76&lt;&gt;"",VLOOKUP(U76,'Tipo Projeto'!$A$3:$B$35,2,0),0)</f>
        <v>0</v>
      </c>
      <c r="W76" s="48"/>
      <c r="X76" s="50"/>
      <c r="Y76" s="51"/>
      <c r="Z76" s="52"/>
      <c r="AA76" s="53"/>
      <c r="AB76" s="54" t="str">
        <f t="shared" si="19"/>
        <v/>
      </c>
      <c r="AC76" s="49" t="str">
        <f t="shared" si="20"/>
        <v/>
      </c>
      <c r="AD76" s="55" t="str">
        <f t="shared" si="21"/>
        <v/>
      </c>
      <c r="AE76" s="56">
        <f t="shared" si="22"/>
        <v>0</v>
      </c>
      <c r="AF76" s="56">
        <f t="shared" si="23"/>
        <v>0</v>
      </c>
      <c r="AG76" s="59">
        <f t="shared" si="24"/>
        <v>0</v>
      </c>
      <c r="AH76" s="48"/>
      <c r="AJ76" s="48"/>
      <c r="AL76" s="48"/>
      <c r="AM76" s="48" t="str">
        <f t="shared" si="25"/>
        <v/>
      </c>
    </row>
    <row r="77" spans="1:39" s="57" customFormat="1" ht="14">
      <c r="A77" s="45"/>
      <c r="B77" s="46"/>
      <c r="C77" s="47">
        <f>IF(B77&lt;&gt;"",VLOOKUP(B77,'Tipo Projeto'!$A$3:$B$35,2,0),0)</f>
        <v>0</v>
      </c>
      <c r="D77" s="48"/>
      <c r="E77" s="48"/>
      <c r="F77" s="49"/>
      <c r="G77" s="204"/>
      <c r="H77" s="50"/>
      <c r="I77" s="51"/>
      <c r="J77" s="52"/>
      <c r="K77" s="53"/>
      <c r="L77" s="54" t="str">
        <f t="shared" si="13"/>
        <v/>
      </c>
      <c r="M77" s="49" t="str">
        <f t="shared" si="14"/>
        <v/>
      </c>
      <c r="N77" s="55" t="str">
        <f t="shared" si="15"/>
        <v/>
      </c>
      <c r="O77" s="56">
        <f t="shared" si="16"/>
        <v>0</v>
      </c>
      <c r="P77" s="56">
        <f t="shared" si="17"/>
        <v>0</v>
      </c>
      <c r="Q77" s="55">
        <f t="shared" si="18"/>
        <v>0</v>
      </c>
      <c r="R77" s="48"/>
      <c r="T77" s="58"/>
      <c r="U77" s="46"/>
      <c r="V77" s="47">
        <f>IF(U77&lt;&gt;"",VLOOKUP(U77,'Tipo Projeto'!$A$3:$B$35,2,0),0)</f>
        <v>0</v>
      </c>
      <c r="W77" s="48"/>
      <c r="X77" s="50"/>
      <c r="Y77" s="51"/>
      <c r="Z77" s="52"/>
      <c r="AA77" s="53"/>
      <c r="AB77" s="54" t="str">
        <f t="shared" si="19"/>
        <v/>
      </c>
      <c r="AC77" s="49" t="str">
        <f t="shared" si="20"/>
        <v/>
      </c>
      <c r="AD77" s="55" t="str">
        <f t="shared" si="21"/>
        <v/>
      </c>
      <c r="AE77" s="56">
        <f t="shared" si="22"/>
        <v>0</v>
      </c>
      <c r="AF77" s="56">
        <f t="shared" si="23"/>
        <v>0</v>
      </c>
      <c r="AG77" s="59">
        <f t="shared" si="24"/>
        <v>0</v>
      </c>
      <c r="AH77" s="48"/>
      <c r="AJ77" s="48"/>
      <c r="AL77" s="48"/>
      <c r="AM77" s="48" t="str">
        <f t="shared" si="25"/>
        <v/>
      </c>
    </row>
    <row r="78" spans="1:39" s="57" customFormat="1" ht="14">
      <c r="A78" s="45"/>
      <c r="B78" s="46"/>
      <c r="C78" s="47">
        <f>IF(B78&lt;&gt;"",VLOOKUP(B78,'Tipo Projeto'!$A$3:$B$35,2,0),0)</f>
        <v>0</v>
      </c>
      <c r="D78" s="48"/>
      <c r="E78" s="48"/>
      <c r="F78" s="49"/>
      <c r="G78" s="204"/>
      <c r="H78" s="50"/>
      <c r="I78" s="51"/>
      <c r="J78" s="52"/>
      <c r="K78" s="53"/>
      <c r="L78" s="54" t="str">
        <f t="shared" si="13"/>
        <v/>
      </c>
      <c r="M78" s="49" t="str">
        <f t="shared" si="14"/>
        <v/>
      </c>
      <c r="N78" s="55" t="str">
        <f t="shared" si="15"/>
        <v/>
      </c>
      <c r="O78" s="56">
        <f t="shared" si="16"/>
        <v>0</v>
      </c>
      <c r="P78" s="56">
        <f t="shared" si="17"/>
        <v>0</v>
      </c>
      <c r="Q78" s="55">
        <f t="shared" si="18"/>
        <v>0</v>
      </c>
      <c r="R78" s="48"/>
      <c r="T78" s="58"/>
      <c r="U78" s="46"/>
      <c r="V78" s="47">
        <f>IF(U78&lt;&gt;"",VLOOKUP(U78,'Tipo Projeto'!$A$3:$B$35,2,0),0)</f>
        <v>0</v>
      </c>
      <c r="W78" s="48"/>
      <c r="X78" s="50"/>
      <c r="Y78" s="51"/>
      <c r="Z78" s="52"/>
      <c r="AA78" s="53"/>
      <c r="AB78" s="54" t="str">
        <f t="shared" si="19"/>
        <v/>
      </c>
      <c r="AC78" s="49" t="str">
        <f t="shared" si="20"/>
        <v/>
      </c>
      <c r="AD78" s="55" t="str">
        <f t="shared" si="21"/>
        <v/>
      </c>
      <c r="AE78" s="56">
        <f t="shared" si="22"/>
        <v>0</v>
      </c>
      <c r="AF78" s="56">
        <f t="shared" si="23"/>
        <v>0</v>
      </c>
      <c r="AG78" s="59">
        <f t="shared" si="24"/>
        <v>0</v>
      </c>
      <c r="AH78" s="48"/>
      <c r="AJ78" s="48"/>
      <c r="AL78" s="48"/>
      <c r="AM78" s="48" t="str">
        <f t="shared" si="25"/>
        <v/>
      </c>
    </row>
    <row r="79" spans="1:39" s="57" customFormat="1" ht="14">
      <c r="A79" s="45"/>
      <c r="B79" s="46"/>
      <c r="C79" s="47">
        <f>IF(B79&lt;&gt;"",VLOOKUP(B79,'Tipo Projeto'!$A$3:$B$35,2,0),0)</f>
        <v>0</v>
      </c>
      <c r="D79" s="48"/>
      <c r="E79" s="48"/>
      <c r="F79" s="49"/>
      <c r="G79" s="204"/>
      <c r="H79" s="50"/>
      <c r="I79" s="51"/>
      <c r="J79" s="52"/>
      <c r="K79" s="53"/>
      <c r="L79" s="54" t="str">
        <f t="shared" si="13"/>
        <v/>
      </c>
      <c r="M79" s="49" t="str">
        <f t="shared" si="14"/>
        <v/>
      </c>
      <c r="N79" s="55" t="str">
        <f t="shared" si="15"/>
        <v/>
      </c>
      <c r="O79" s="56">
        <f t="shared" si="16"/>
        <v>0</v>
      </c>
      <c r="P79" s="56">
        <f t="shared" si="17"/>
        <v>0</v>
      </c>
      <c r="Q79" s="55">
        <f t="shared" si="18"/>
        <v>0</v>
      </c>
      <c r="R79" s="48"/>
      <c r="T79" s="58"/>
      <c r="U79" s="46"/>
      <c r="V79" s="47">
        <f>IF(U79&lt;&gt;"",VLOOKUP(U79,'Tipo Projeto'!$A$3:$B$35,2,0),0)</f>
        <v>0</v>
      </c>
      <c r="W79" s="48"/>
      <c r="X79" s="50"/>
      <c r="Y79" s="51"/>
      <c r="Z79" s="52"/>
      <c r="AA79" s="53"/>
      <c r="AB79" s="54" t="str">
        <f t="shared" si="19"/>
        <v/>
      </c>
      <c r="AC79" s="49" t="str">
        <f t="shared" si="20"/>
        <v/>
      </c>
      <c r="AD79" s="55" t="str">
        <f t="shared" si="21"/>
        <v/>
      </c>
      <c r="AE79" s="56">
        <f t="shared" si="22"/>
        <v>0</v>
      </c>
      <c r="AF79" s="56">
        <f t="shared" si="23"/>
        <v>0</v>
      </c>
      <c r="AG79" s="59">
        <f t="shared" si="24"/>
        <v>0</v>
      </c>
      <c r="AH79" s="48"/>
      <c r="AJ79" s="48"/>
      <c r="AL79" s="48"/>
      <c r="AM79" s="48" t="str">
        <f t="shared" si="25"/>
        <v/>
      </c>
    </row>
    <row r="80" spans="1:39" s="57" customFormat="1" ht="14">
      <c r="A80" s="45"/>
      <c r="B80" s="46"/>
      <c r="C80" s="47">
        <f>IF(B80&lt;&gt;"",VLOOKUP(B80,'Tipo Projeto'!$A$3:$B$35,2,0),0)</f>
        <v>0</v>
      </c>
      <c r="D80" s="48"/>
      <c r="E80" s="48"/>
      <c r="F80" s="49"/>
      <c r="G80" s="204"/>
      <c r="H80" s="50"/>
      <c r="I80" s="51"/>
      <c r="J80" s="52"/>
      <c r="K80" s="53"/>
      <c r="L80" s="54" t="str">
        <f t="shared" si="13"/>
        <v/>
      </c>
      <c r="M80" s="49" t="str">
        <f t="shared" si="14"/>
        <v/>
      </c>
      <c r="N80" s="55" t="str">
        <f t="shared" si="15"/>
        <v/>
      </c>
      <c r="O80" s="56">
        <f t="shared" si="16"/>
        <v>0</v>
      </c>
      <c r="P80" s="56">
        <f t="shared" si="17"/>
        <v>0</v>
      </c>
      <c r="Q80" s="55">
        <f t="shared" si="18"/>
        <v>0</v>
      </c>
      <c r="R80" s="48"/>
      <c r="T80" s="58"/>
      <c r="U80" s="46"/>
      <c r="V80" s="47">
        <f>IF(U80&lt;&gt;"",VLOOKUP(U80,'Tipo Projeto'!$A$3:$B$35,2,0),0)</f>
        <v>0</v>
      </c>
      <c r="W80" s="48"/>
      <c r="X80" s="50"/>
      <c r="Y80" s="51"/>
      <c r="Z80" s="52"/>
      <c r="AA80" s="53"/>
      <c r="AB80" s="54" t="str">
        <f t="shared" si="19"/>
        <v/>
      </c>
      <c r="AC80" s="49" t="str">
        <f t="shared" si="20"/>
        <v/>
      </c>
      <c r="AD80" s="55" t="str">
        <f t="shared" si="21"/>
        <v/>
      </c>
      <c r="AE80" s="56">
        <f t="shared" si="22"/>
        <v>0</v>
      </c>
      <c r="AF80" s="56">
        <f t="shared" si="23"/>
        <v>0</v>
      </c>
      <c r="AG80" s="59">
        <f t="shared" si="24"/>
        <v>0</v>
      </c>
      <c r="AH80" s="48"/>
      <c r="AJ80" s="48"/>
      <c r="AL80" s="48"/>
      <c r="AM80" s="48" t="str">
        <f t="shared" si="25"/>
        <v/>
      </c>
    </row>
    <row r="81" spans="1:39" s="57" customFormat="1" ht="14">
      <c r="A81" s="45"/>
      <c r="B81" s="46"/>
      <c r="C81" s="47">
        <f>IF(B81&lt;&gt;"",VLOOKUP(B81,'Tipo Projeto'!$A$3:$B$35,2,0),0)</f>
        <v>0</v>
      </c>
      <c r="D81" s="48"/>
      <c r="E81" s="48"/>
      <c r="F81" s="49"/>
      <c r="G81" s="204"/>
      <c r="H81" s="50"/>
      <c r="I81" s="51"/>
      <c r="J81" s="52"/>
      <c r="K81" s="53"/>
      <c r="L81" s="54" t="str">
        <f t="shared" si="13"/>
        <v/>
      </c>
      <c r="M81" s="49" t="str">
        <f t="shared" si="14"/>
        <v/>
      </c>
      <c r="N81" s="55" t="str">
        <f t="shared" si="15"/>
        <v/>
      </c>
      <c r="O81" s="56">
        <f t="shared" si="16"/>
        <v>0</v>
      </c>
      <c r="P81" s="56">
        <f t="shared" si="17"/>
        <v>0</v>
      </c>
      <c r="Q81" s="55">
        <f t="shared" si="18"/>
        <v>0</v>
      </c>
      <c r="R81" s="48"/>
      <c r="T81" s="58"/>
      <c r="U81" s="46"/>
      <c r="V81" s="47">
        <f>IF(U81&lt;&gt;"",VLOOKUP(U81,'Tipo Projeto'!$A$3:$B$35,2,0),0)</f>
        <v>0</v>
      </c>
      <c r="W81" s="48"/>
      <c r="X81" s="50"/>
      <c r="Y81" s="51"/>
      <c r="Z81" s="52"/>
      <c r="AA81" s="53"/>
      <c r="AB81" s="54" t="str">
        <f t="shared" si="19"/>
        <v/>
      </c>
      <c r="AC81" s="49" t="str">
        <f t="shared" si="20"/>
        <v/>
      </c>
      <c r="AD81" s="55" t="str">
        <f t="shared" si="21"/>
        <v/>
      </c>
      <c r="AE81" s="56">
        <f t="shared" si="22"/>
        <v>0</v>
      </c>
      <c r="AF81" s="56">
        <f t="shared" si="23"/>
        <v>0</v>
      </c>
      <c r="AG81" s="59">
        <f t="shared" si="24"/>
        <v>0</v>
      </c>
      <c r="AH81" s="48"/>
      <c r="AJ81" s="48"/>
      <c r="AL81" s="48"/>
      <c r="AM81" s="48" t="str">
        <f t="shared" si="25"/>
        <v/>
      </c>
    </row>
    <row r="82" spans="1:39" s="57" customFormat="1" ht="14">
      <c r="A82" s="45"/>
      <c r="B82" s="46"/>
      <c r="C82" s="47">
        <f>IF(B82&lt;&gt;"",VLOOKUP(B82,'Tipo Projeto'!$A$3:$B$35,2,0),0)</f>
        <v>0</v>
      </c>
      <c r="D82" s="48"/>
      <c r="E82" s="48"/>
      <c r="F82" s="49"/>
      <c r="G82" s="204"/>
      <c r="H82" s="50"/>
      <c r="I82" s="51"/>
      <c r="J82" s="52"/>
      <c r="K82" s="53"/>
      <c r="L82" s="54" t="str">
        <f t="shared" si="13"/>
        <v/>
      </c>
      <c r="M82" s="49" t="str">
        <f t="shared" si="14"/>
        <v/>
      </c>
      <c r="N82" s="55" t="str">
        <f t="shared" si="15"/>
        <v/>
      </c>
      <c r="O82" s="56">
        <f t="shared" si="16"/>
        <v>0</v>
      </c>
      <c r="P82" s="56">
        <f t="shared" si="17"/>
        <v>0</v>
      </c>
      <c r="Q82" s="55">
        <f t="shared" si="18"/>
        <v>0</v>
      </c>
      <c r="R82" s="48"/>
      <c r="T82" s="58"/>
      <c r="U82" s="46"/>
      <c r="V82" s="47">
        <f>IF(U82&lt;&gt;"",VLOOKUP(U82,'Tipo Projeto'!$A$3:$B$35,2,0),0)</f>
        <v>0</v>
      </c>
      <c r="W82" s="48"/>
      <c r="X82" s="50"/>
      <c r="Y82" s="51"/>
      <c r="Z82" s="52"/>
      <c r="AA82" s="53"/>
      <c r="AB82" s="54" t="str">
        <f t="shared" si="19"/>
        <v/>
      </c>
      <c r="AC82" s="49" t="str">
        <f t="shared" si="20"/>
        <v/>
      </c>
      <c r="AD82" s="55" t="str">
        <f t="shared" si="21"/>
        <v/>
      </c>
      <c r="AE82" s="56">
        <f t="shared" si="22"/>
        <v>0</v>
      </c>
      <c r="AF82" s="56">
        <f t="shared" si="23"/>
        <v>0</v>
      </c>
      <c r="AG82" s="59">
        <f t="shared" si="24"/>
        <v>0</v>
      </c>
      <c r="AH82" s="48"/>
      <c r="AJ82" s="48"/>
      <c r="AL82" s="48"/>
      <c r="AM82" s="48" t="str">
        <f t="shared" si="25"/>
        <v/>
      </c>
    </row>
    <row r="83" spans="1:39" s="57" customFormat="1" ht="14">
      <c r="A83" s="45"/>
      <c r="B83" s="46"/>
      <c r="C83" s="47">
        <f>IF(B83&lt;&gt;"",VLOOKUP(B83,'Tipo Projeto'!$A$3:$B$35,2,0),0)</f>
        <v>0</v>
      </c>
      <c r="D83" s="48"/>
      <c r="E83" s="48"/>
      <c r="F83" s="49"/>
      <c r="G83" s="204"/>
      <c r="H83" s="50"/>
      <c r="I83" s="51"/>
      <c r="J83" s="52"/>
      <c r="K83" s="53"/>
      <c r="L83" s="54" t="str">
        <f t="shared" si="13"/>
        <v/>
      </c>
      <c r="M83" s="49" t="str">
        <f t="shared" si="14"/>
        <v/>
      </c>
      <c r="N83" s="55" t="str">
        <f t="shared" si="15"/>
        <v/>
      </c>
      <c r="O83" s="56">
        <f t="shared" si="16"/>
        <v>0</v>
      </c>
      <c r="P83" s="56">
        <f t="shared" si="17"/>
        <v>0</v>
      </c>
      <c r="Q83" s="55">
        <f t="shared" si="18"/>
        <v>0</v>
      </c>
      <c r="R83" s="48"/>
      <c r="T83" s="58"/>
      <c r="U83" s="46"/>
      <c r="V83" s="47">
        <f>IF(U83&lt;&gt;"",VLOOKUP(U83,'Tipo Projeto'!$A$3:$B$35,2,0),0)</f>
        <v>0</v>
      </c>
      <c r="W83" s="48"/>
      <c r="X83" s="50"/>
      <c r="Y83" s="51"/>
      <c r="Z83" s="52"/>
      <c r="AA83" s="53"/>
      <c r="AB83" s="54" t="str">
        <f t="shared" si="19"/>
        <v/>
      </c>
      <c r="AC83" s="49" t="str">
        <f t="shared" si="20"/>
        <v/>
      </c>
      <c r="AD83" s="55" t="str">
        <f t="shared" si="21"/>
        <v/>
      </c>
      <c r="AE83" s="56">
        <f t="shared" si="22"/>
        <v>0</v>
      </c>
      <c r="AF83" s="56">
        <f t="shared" si="23"/>
        <v>0</v>
      </c>
      <c r="AG83" s="59">
        <f t="shared" si="24"/>
        <v>0</v>
      </c>
      <c r="AH83" s="48"/>
      <c r="AJ83" s="48"/>
      <c r="AL83" s="48"/>
      <c r="AM83" s="48" t="str">
        <f t="shared" si="25"/>
        <v/>
      </c>
    </row>
    <row r="84" spans="1:39" s="57" customFormat="1" ht="14">
      <c r="A84" s="45"/>
      <c r="B84" s="46"/>
      <c r="C84" s="47">
        <f>IF(B84&lt;&gt;"",VLOOKUP(B84,'Tipo Projeto'!$A$3:$B$35,2,0),0)</f>
        <v>0</v>
      </c>
      <c r="D84" s="48"/>
      <c r="E84" s="48"/>
      <c r="F84" s="49"/>
      <c r="G84" s="204"/>
      <c r="H84" s="50"/>
      <c r="I84" s="51"/>
      <c r="J84" s="52"/>
      <c r="K84" s="53"/>
      <c r="L84" s="54" t="str">
        <f t="shared" si="13"/>
        <v/>
      </c>
      <c r="M84" s="49" t="str">
        <f t="shared" si="14"/>
        <v/>
      </c>
      <c r="N84" s="55" t="str">
        <f t="shared" si="15"/>
        <v/>
      </c>
      <c r="O84" s="56">
        <f t="shared" si="16"/>
        <v>0</v>
      </c>
      <c r="P84" s="56">
        <f t="shared" si="17"/>
        <v>0</v>
      </c>
      <c r="Q84" s="55">
        <f t="shared" si="18"/>
        <v>0</v>
      </c>
      <c r="R84" s="48"/>
      <c r="T84" s="58"/>
      <c r="U84" s="46"/>
      <c r="V84" s="47">
        <f>IF(U84&lt;&gt;"",VLOOKUP(U84,'Tipo Projeto'!$A$3:$B$35,2,0),0)</f>
        <v>0</v>
      </c>
      <c r="W84" s="48"/>
      <c r="X84" s="50"/>
      <c r="Y84" s="51"/>
      <c r="Z84" s="52"/>
      <c r="AA84" s="53"/>
      <c r="AB84" s="54" t="str">
        <f t="shared" si="19"/>
        <v/>
      </c>
      <c r="AC84" s="49" t="str">
        <f t="shared" si="20"/>
        <v/>
      </c>
      <c r="AD84" s="55" t="str">
        <f t="shared" si="21"/>
        <v/>
      </c>
      <c r="AE84" s="56">
        <f t="shared" si="22"/>
        <v>0</v>
      </c>
      <c r="AF84" s="56">
        <f t="shared" si="23"/>
        <v>0</v>
      </c>
      <c r="AG84" s="59">
        <f t="shared" si="24"/>
        <v>0</v>
      </c>
      <c r="AH84" s="48"/>
      <c r="AJ84" s="48"/>
      <c r="AL84" s="48"/>
      <c r="AM84" s="48" t="str">
        <f t="shared" si="25"/>
        <v/>
      </c>
    </row>
    <row r="85" spans="1:39" s="57" customFormat="1" ht="14">
      <c r="A85" s="45"/>
      <c r="B85" s="46"/>
      <c r="C85" s="47">
        <f>IF(B85&lt;&gt;"",VLOOKUP(B85,'Tipo Projeto'!$A$3:$B$35,2,0),0)</f>
        <v>0</v>
      </c>
      <c r="D85" s="48"/>
      <c r="E85" s="48"/>
      <c r="F85" s="49"/>
      <c r="G85" s="204"/>
      <c r="H85" s="50"/>
      <c r="I85" s="51"/>
      <c r="J85" s="52"/>
      <c r="K85" s="53"/>
      <c r="L85" s="54" t="str">
        <f t="shared" si="13"/>
        <v/>
      </c>
      <c r="M85" s="49" t="str">
        <f t="shared" si="14"/>
        <v/>
      </c>
      <c r="N85" s="55" t="str">
        <f t="shared" si="15"/>
        <v/>
      </c>
      <c r="O85" s="56">
        <f t="shared" si="16"/>
        <v>0</v>
      </c>
      <c r="P85" s="56">
        <f t="shared" si="17"/>
        <v>0</v>
      </c>
      <c r="Q85" s="55">
        <f t="shared" si="18"/>
        <v>0</v>
      </c>
      <c r="R85" s="48"/>
      <c r="T85" s="58"/>
      <c r="U85" s="46"/>
      <c r="V85" s="47">
        <f>IF(U85&lt;&gt;"",VLOOKUP(U85,'Tipo Projeto'!$A$3:$B$35,2,0),0)</f>
        <v>0</v>
      </c>
      <c r="W85" s="48"/>
      <c r="X85" s="50"/>
      <c r="Y85" s="51"/>
      <c r="Z85" s="52"/>
      <c r="AA85" s="53"/>
      <c r="AB85" s="54" t="str">
        <f t="shared" si="19"/>
        <v/>
      </c>
      <c r="AC85" s="49" t="str">
        <f t="shared" si="20"/>
        <v/>
      </c>
      <c r="AD85" s="55" t="str">
        <f t="shared" si="21"/>
        <v/>
      </c>
      <c r="AE85" s="56">
        <f t="shared" si="22"/>
        <v>0</v>
      </c>
      <c r="AF85" s="56">
        <f t="shared" si="23"/>
        <v>0</v>
      </c>
      <c r="AG85" s="59">
        <f t="shared" si="24"/>
        <v>0</v>
      </c>
      <c r="AH85" s="48"/>
      <c r="AJ85" s="48"/>
      <c r="AL85" s="48"/>
      <c r="AM85" s="48" t="str">
        <f t="shared" si="25"/>
        <v/>
      </c>
    </row>
    <row r="86" spans="1:39" s="57" customFormat="1" ht="14">
      <c r="A86" s="45"/>
      <c r="B86" s="46"/>
      <c r="C86" s="47">
        <f>IF(B86&lt;&gt;"",VLOOKUP(B86,'Tipo Projeto'!$A$3:$B$35,2,0),0)</f>
        <v>0</v>
      </c>
      <c r="D86" s="48"/>
      <c r="E86" s="48"/>
      <c r="F86" s="49"/>
      <c r="G86" s="204"/>
      <c r="H86" s="50"/>
      <c r="I86" s="51"/>
      <c r="J86" s="52"/>
      <c r="K86" s="53"/>
      <c r="L86" s="54" t="str">
        <f t="shared" si="13"/>
        <v/>
      </c>
      <c r="M86" s="49" t="str">
        <f t="shared" si="14"/>
        <v/>
      </c>
      <c r="N86" s="55" t="str">
        <f t="shared" si="15"/>
        <v/>
      </c>
      <c r="O86" s="56">
        <f t="shared" si="16"/>
        <v>0</v>
      </c>
      <c r="P86" s="56">
        <f t="shared" si="17"/>
        <v>0</v>
      </c>
      <c r="Q86" s="55">
        <f t="shared" si="18"/>
        <v>0</v>
      </c>
      <c r="R86" s="48"/>
      <c r="T86" s="58"/>
      <c r="U86" s="46"/>
      <c r="V86" s="47">
        <f>IF(U86&lt;&gt;"",VLOOKUP(U86,'Tipo Projeto'!$A$3:$B$35,2,0),0)</f>
        <v>0</v>
      </c>
      <c r="W86" s="48"/>
      <c r="X86" s="50"/>
      <c r="Y86" s="51"/>
      <c r="Z86" s="52"/>
      <c r="AA86" s="53"/>
      <c r="AB86" s="54" t="str">
        <f t="shared" si="19"/>
        <v/>
      </c>
      <c r="AC86" s="49" t="str">
        <f t="shared" si="20"/>
        <v/>
      </c>
      <c r="AD86" s="55" t="str">
        <f t="shared" si="21"/>
        <v/>
      </c>
      <c r="AE86" s="56">
        <f t="shared" si="22"/>
        <v>0</v>
      </c>
      <c r="AF86" s="56">
        <f t="shared" si="23"/>
        <v>0</v>
      </c>
      <c r="AG86" s="59">
        <f t="shared" si="24"/>
        <v>0</v>
      </c>
      <c r="AH86" s="48"/>
      <c r="AJ86" s="48"/>
      <c r="AL86" s="48"/>
      <c r="AM86" s="48" t="str">
        <f t="shared" si="25"/>
        <v/>
      </c>
    </row>
    <row r="87" spans="1:39" s="57" customFormat="1" ht="14">
      <c r="A87" s="45"/>
      <c r="B87" s="46"/>
      <c r="C87" s="47">
        <f>IF(B87&lt;&gt;"",VLOOKUP(B87,'Tipo Projeto'!$A$3:$B$35,2,0),0)</f>
        <v>0</v>
      </c>
      <c r="D87" s="48"/>
      <c r="E87" s="48"/>
      <c r="F87" s="49"/>
      <c r="G87" s="204"/>
      <c r="H87" s="50"/>
      <c r="I87" s="51"/>
      <c r="J87" s="52"/>
      <c r="K87" s="53"/>
      <c r="L87" s="54" t="str">
        <f t="shared" si="13"/>
        <v/>
      </c>
      <c r="M87" s="49" t="str">
        <f t="shared" si="14"/>
        <v/>
      </c>
      <c r="N87" s="55" t="str">
        <f t="shared" si="15"/>
        <v/>
      </c>
      <c r="O87" s="56">
        <f t="shared" si="16"/>
        <v>0</v>
      </c>
      <c r="P87" s="56">
        <f t="shared" si="17"/>
        <v>0</v>
      </c>
      <c r="Q87" s="55">
        <f t="shared" si="18"/>
        <v>0</v>
      </c>
      <c r="R87" s="48"/>
      <c r="T87" s="58"/>
      <c r="U87" s="46"/>
      <c r="V87" s="47">
        <f>IF(U87&lt;&gt;"",VLOOKUP(U87,'Tipo Projeto'!$A$3:$B$35,2,0),0)</f>
        <v>0</v>
      </c>
      <c r="W87" s="48"/>
      <c r="X87" s="50"/>
      <c r="Y87" s="51"/>
      <c r="Z87" s="52"/>
      <c r="AA87" s="53"/>
      <c r="AB87" s="54" t="str">
        <f t="shared" si="19"/>
        <v/>
      </c>
      <c r="AC87" s="49" t="str">
        <f t="shared" si="20"/>
        <v/>
      </c>
      <c r="AD87" s="55" t="str">
        <f t="shared" si="21"/>
        <v/>
      </c>
      <c r="AE87" s="56">
        <f t="shared" si="22"/>
        <v>0</v>
      </c>
      <c r="AF87" s="56">
        <f t="shared" si="23"/>
        <v>0</v>
      </c>
      <c r="AG87" s="59">
        <f t="shared" si="24"/>
        <v>0</v>
      </c>
      <c r="AH87" s="48"/>
      <c r="AJ87" s="48"/>
      <c r="AL87" s="48"/>
      <c r="AM87" s="48" t="str">
        <f t="shared" si="25"/>
        <v/>
      </c>
    </row>
    <row r="88" spans="1:39" s="57" customFormat="1" ht="14">
      <c r="A88" s="45"/>
      <c r="B88" s="46"/>
      <c r="C88" s="47">
        <f>IF(B88&lt;&gt;"",VLOOKUP(B88,'Tipo Projeto'!$A$3:$B$35,2,0),0)</f>
        <v>0</v>
      </c>
      <c r="D88" s="48"/>
      <c r="E88" s="48"/>
      <c r="F88" s="49"/>
      <c r="G88" s="204"/>
      <c r="H88" s="50"/>
      <c r="I88" s="51"/>
      <c r="J88" s="52"/>
      <c r="K88" s="53"/>
      <c r="L88" s="54" t="str">
        <f t="shared" si="13"/>
        <v/>
      </c>
      <c r="M88" s="49" t="str">
        <f t="shared" si="14"/>
        <v/>
      </c>
      <c r="N88" s="55" t="str">
        <f t="shared" si="15"/>
        <v/>
      </c>
      <c r="O88" s="56">
        <f t="shared" si="16"/>
        <v>0</v>
      </c>
      <c r="P88" s="56">
        <f t="shared" si="17"/>
        <v>0</v>
      </c>
      <c r="Q88" s="55">
        <f t="shared" si="18"/>
        <v>0</v>
      </c>
      <c r="R88" s="48"/>
      <c r="T88" s="58"/>
      <c r="U88" s="46"/>
      <c r="V88" s="47">
        <f>IF(U88&lt;&gt;"",VLOOKUP(U88,'Tipo Projeto'!$A$3:$B$35,2,0),0)</f>
        <v>0</v>
      </c>
      <c r="W88" s="48"/>
      <c r="X88" s="50"/>
      <c r="Y88" s="51"/>
      <c r="Z88" s="52"/>
      <c r="AA88" s="53"/>
      <c r="AB88" s="54" t="str">
        <f t="shared" si="19"/>
        <v/>
      </c>
      <c r="AC88" s="49" t="str">
        <f t="shared" si="20"/>
        <v/>
      </c>
      <c r="AD88" s="55" t="str">
        <f t="shared" si="21"/>
        <v/>
      </c>
      <c r="AE88" s="56">
        <f t="shared" si="22"/>
        <v>0</v>
      </c>
      <c r="AF88" s="56">
        <f t="shared" si="23"/>
        <v>0</v>
      </c>
      <c r="AG88" s="59">
        <f t="shared" si="24"/>
        <v>0</v>
      </c>
      <c r="AH88" s="48"/>
      <c r="AJ88" s="48"/>
      <c r="AL88" s="48"/>
      <c r="AM88" s="48" t="str">
        <f t="shared" si="25"/>
        <v/>
      </c>
    </row>
    <row r="89" spans="1:39" s="57" customFormat="1" ht="14">
      <c r="A89" s="45"/>
      <c r="B89" s="46"/>
      <c r="C89" s="47">
        <f>IF(B89&lt;&gt;"",VLOOKUP(B89,'Tipo Projeto'!$A$3:$B$35,2,0),0)</f>
        <v>0</v>
      </c>
      <c r="D89" s="48"/>
      <c r="E89" s="48"/>
      <c r="F89" s="49"/>
      <c r="G89" s="204"/>
      <c r="H89" s="50"/>
      <c r="I89" s="51"/>
      <c r="J89" s="52"/>
      <c r="K89" s="53"/>
      <c r="L89" s="54" t="str">
        <f t="shared" si="13"/>
        <v/>
      </c>
      <c r="M89" s="49" t="str">
        <f t="shared" si="14"/>
        <v/>
      </c>
      <c r="N89" s="55" t="str">
        <f t="shared" si="15"/>
        <v/>
      </c>
      <c r="O89" s="56">
        <f t="shared" si="16"/>
        <v>0</v>
      </c>
      <c r="P89" s="56">
        <f t="shared" si="17"/>
        <v>0</v>
      </c>
      <c r="Q89" s="55">
        <f t="shared" si="18"/>
        <v>0</v>
      </c>
      <c r="R89" s="48"/>
      <c r="T89" s="58"/>
      <c r="U89" s="46"/>
      <c r="V89" s="47">
        <f>IF(U89&lt;&gt;"",VLOOKUP(U89,'Tipo Projeto'!$A$3:$B$35,2,0),0)</f>
        <v>0</v>
      </c>
      <c r="W89" s="48"/>
      <c r="X89" s="50"/>
      <c r="Y89" s="51"/>
      <c r="Z89" s="52"/>
      <c r="AA89" s="53"/>
      <c r="AB89" s="54" t="str">
        <f t="shared" si="19"/>
        <v/>
      </c>
      <c r="AC89" s="49" t="str">
        <f t="shared" si="20"/>
        <v/>
      </c>
      <c r="AD89" s="55" t="str">
        <f t="shared" si="21"/>
        <v/>
      </c>
      <c r="AE89" s="56">
        <f t="shared" si="22"/>
        <v>0</v>
      </c>
      <c r="AF89" s="56">
        <f t="shared" si="23"/>
        <v>0</v>
      </c>
      <c r="AG89" s="59">
        <f t="shared" si="24"/>
        <v>0</v>
      </c>
      <c r="AH89" s="48"/>
      <c r="AJ89" s="48"/>
      <c r="AL89" s="48"/>
      <c r="AM89" s="48" t="str">
        <f t="shared" si="25"/>
        <v/>
      </c>
    </row>
    <row r="90" spans="1:39" s="57" customFormat="1" ht="14">
      <c r="A90" s="45"/>
      <c r="B90" s="46"/>
      <c r="C90" s="47">
        <f>IF(B90&lt;&gt;"",VLOOKUP(B90,'Tipo Projeto'!$A$3:$B$35,2,0),0)</f>
        <v>0</v>
      </c>
      <c r="D90" s="48"/>
      <c r="E90" s="48"/>
      <c r="F90" s="49"/>
      <c r="G90" s="204"/>
      <c r="H90" s="50"/>
      <c r="I90" s="51"/>
      <c r="J90" s="52"/>
      <c r="K90" s="53"/>
      <c r="L90" s="54" t="str">
        <f t="shared" si="13"/>
        <v/>
      </c>
      <c r="M90" s="49" t="str">
        <f t="shared" si="14"/>
        <v/>
      </c>
      <c r="N90" s="55" t="str">
        <f t="shared" si="15"/>
        <v/>
      </c>
      <c r="O90" s="56">
        <f t="shared" si="16"/>
        <v>0</v>
      </c>
      <c r="P90" s="56">
        <f t="shared" si="17"/>
        <v>0</v>
      </c>
      <c r="Q90" s="55">
        <f t="shared" si="18"/>
        <v>0</v>
      </c>
      <c r="R90" s="48"/>
      <c r="T90" s="58"/>
      <c r="U90" s="46"/>
      <c r="V90" s="47">
        <f>IF(U90&lt;&gt;"",VLOOKUP(U90,'Tipo Projeto'!$A$3:$B$35,2,0),0)</f>
        <v>0</v>
      </c>
      <c r="W90" s="48"/>
      <c r="X90" s="50"/>
      <c r="Y90" s="51"/>
      <c r="Z90" s="52"/>
      <c r="AA90" s="53"/>
      <c r="AB90" s="54" t="str">
        <f t="shared" si="19"/>
        <v/>
      </c>
      <c r="AC90" s="49" t="str">
        <f t="shared" si="20"/>
        <v/>
      </c>
      <c r="AD90" s="55" t="str">
        <f t="shared" si="21"/>
        <v/>
      </c>
      <c r="AE90" s="56">
        <f t="shared" si="22"/>
        <v>0</v>
      </c>
      <c r="AF90" s="56">
        <f t="shared" si="23"/>
        <v>0</v>
      </c>
      <c r="AG90" s="59">
        <f t="shared" si="24"/>
        <v>0</v>
      </c>
      <c r="AH90" s="48"/>
      <c r="AJ90" s="48"/>
      <c r="AL90" s="48"/>
      <c r="AM90" s="48" t="str">
        <f t="shared" si="25"/>
        <v/>
      </c>
    </row>
    <row r="91" spans="1:39" s="57" customFormat="1" ht="14">
      <c r="A91" s="45"/>
      <c r="B91" s="46"/>
      <c r="C91" s="47">
        <f>IF(B91&lt;&gt;"",VLOOKUP(B91,'Tipo Projeto'!$A$3:$B$35,2,0),0)</f>
        <v>0</v>
      </c>
      <c r="D91" s="48"/>
      <c r="E91" s="48"/>
      <c r="F91" s="49"/>
      <c r="G91" s="204"/>
      <c r="H91" s="50"/>
      <c r="I91" s="51"/>
      <c r="J91" s="52"/>
      <c r="K91" s="53"/>
      <c r="L91" s="54" t="str">
        <f t="shared" si="13"/>
        <v/>
      </c>
      <c r="M91" s="49" t="str">
        <f t="shared" si="14"/>
        <v/>
      </c>
      <c r="N91" s="55" t="str">
        <f t="shared" si="15"/>
        <v/>
      </c>
      <c r="O91" s="56">
        <f t="shared" si="16"/>
        <v>0</v>
      </c>
      <c r="P91" s="56">
        <f t="shared" si="17"/>
        <v>0</v>
      </c>
      <c r="Q91" s="55">
        <f t="shared" si="18"/>
        <v>0</v>
      </c>
      <c r="R91" s="48"/>
      <c r="T91" s="58"/>
      <c r="U91" s="46"/>
      <c r="V91" s="47">
        <f>IF(U91&lt;&gt;"",VLOOKUP(U91,'Tipo Projeto'!$A$3:$B$35,2,0),0)</f>
        <v>0</v>
      </c>
      <c r="W91" s="48"/>
      <c r="X91" s="50"/>
      <c r="Y91" s="51"/>
      <c r="Z91" s="52"/>
      <c r="AA91" s="53"/>
      <c r="AB91" s="54" t="str">
        <f t="shared" si="19"/>
        <v/>
      </c>
      <c r="AC91" s="49" t="str">
        <f t="shared" si="20"/>
        <v/>
      </c>
      <c r="AD91" s="55" t="str">
        <f t="shared" si="21"/>
        <v/>
      </c>
      <c r="AE91" s="56">
        <f t="shared" si="22"/>
        <v>0</v>
      </c>
      <c r="AF91" s="56">
        <f t="shared" si="23"/>
        <v>0</v>
      </c>
      <c r="AG91" s="59">
        <f t="shared" si="24"/>
        <v>0</v>
      </c>
      <c r="AH91" s="48"/>
      <c r="AJ91" s="48"/>
      <c r="AL91" s="48"/>
      <c r="AM91" s="48" t="str">
        <f t="shared" si="25"/>
        <v/>
      </c>
    </row>
    <row r="92" spans="1:39" s="57" customFormat="1" ht="14">
      <c r="A92" s="45"/>
      <c r="B92" s="46"/>
      <c r="C92" s="47">
        <f>IF(B92&lt;&gt;"",VLOOKUP(B92,'Tipo Projeto'!$A$3:$B$35,2,0),0)</f>
        <v>0</v>
      </c>
      <c r="D92" s="48"/>
      <c r="E92" s="48"/>
      <c r="F92" s="49"/>
      <c r="G92" s="204"/>
      <c r="H92" s="50"/>
      <c r="I92" s="51"/>
      <c r="J92" s="52"/>
      <c r="K92" s="53"/>
      <c r="L92" s="54" t="str">
        <f t="shared" si="13"/>
        <v/>
      </c>
      <c r="M92" s="49" t="str">
        <f t="shared" si="14"/>
        <v/>
      </c>
      <c r="N92" s="55" t="str">
        <f t="shared" si="15"/>
        <v/>
      </c>
      <c r="O92" s="56">
        <f t="shared" si="16"/>
        <v>0</v>
      </c>
      <c r="P92" s="56">
        <f t="shared" si="17"/>
        <v>0</v>
      </c>
      <c r="Q92" s="55">
        <f t="shared" si="18"/>
        <v>0</v>
      </c>
      <c r="R92" s="48"/>
      <c r="T92" s="58"/>
      <c r="U92" s="46"/>
      <c r="V92" s="47">
        <f>IF(U92&lt;&gt;"",VLOOKUP(U92,'Tipo Projeto'!$A$3:$B$35,2,0),0)</f>
        <v>0</v>
      </c>
      <c r="W92" s="48"/>
      <c r="X92" s="50"/>
      <c r="Y92" s="51"/>
      <c r="Z92" s="52"/>
      <c r="AA92" s="53"/>
      <c r="AB92" s="54" t="str">
        <f t="shared" si="19"/>
        <v/>
      </c>
      <c r="AC92" s="49" t="str">
        <f t="shared" si="20"/>
        <v/>
      </c>
      <c r="AD92" s="55" t="str">
        <f t="shared" si="21"/>
        <v/>
      </c>
      <c r="AE92" s="56">
        <f t="shared" si="22"/>
        <v>0</v>
      </c>
      <c r="AF92" s="56">
        <f t="shared" si="23"/>
        <v>0</v>
      </c>
      <c r="AG92" s="59">
        <f t="shared" si="24"/>
        <v>0</v>
      </c>
      <c r="AH92" s="48"/>
      <c r="AJ92" s="48"/>
      <c r="AL92" s="48"/>
      <c r="AM92" s="48" t="str">
        <f t="shared" si="25"/>
        <v/>
      </c>
    </row>
    <row r="93" spans="1:39" s="57" customFormat="1" ht="14">
      <c r="A93" s="45"/>
      <c r="B93" s="46"/>
      <c r="C93" s="47">
        <f>IF(B93&lt;&gt;"",VLOOKUP(B93,'Tipo Projeto'!$A$3:$B$35,2,0),0)</f>
        <v>0</v>
      </c>
      <c r="D93" s="48"/>
      <c r="E93" s="48"/>
      <c r="F93" s="49"/>
      <c r="G93" s="204"/>
      <c r="H93" s="50"/>
      <c r="I93" s="51"/>
      <c r="J93" s="52"/>
      <c r="K93" s="53"/>
      <c r="L93" s="54" t="str">
        <f t="shared" si="13"/>
        <v/>
      </c>
      <c r="M93" s="49" t="str">
        <f t="shared" si="14"/>
        <v/>
      </c>
      <c r="N93" s="55" t="str">
        <f t="shared" si="15"/>
        <v/>
      </c>
      <c r="O93" s="56">
        <f t="shared" si="16"/>
        <v>0</v>
      </c>
      <c r="P93" s="56">
        <f t="shared" si="17"/>
        <v>0</v>
      </c>
      <c r="Q93" s="55">
        <f t="shared" si="18"/>
        <v>0</v>
      </c>
      <c r="R93" s="48"/>
      <c r="T93" s="58"/>
      <c r="U93" s="46"/>
      <c r="V93" s="47">
        <f>IF(U93&lt;&gt;"",VLOOKUP(U93,'Tipo Projeto'!$A$3:$B$35,2,0),0)</f>
        <v>0</v>
      </c>
      <c r="W93" s="48"/>
      <c r="X93" s="50"/>
      <c r="Y93" s="51"/>
      <c r="Z93" s="52"/>
      <c r="AA93" s="53"/>
      <c r="AB93" s="54" t="str">
        <f t="shared" si="19"/>
        <v/>
      </c>
      <c r="AC93" s="49" t="str">
        <f t="shared" si="20"/>
        <v/>
      </c>
      <c r="AD93" s="55" t="str">
        <f t="shared" si="21"/>
        <v/>
      </c>
      <c r="AE93" s="56">
        <f t="shared" si="22"/>
        <v>0</v>
      </c>
      <c r="AF93" s="56">
        <f t="shared" si="23"/>
        <v>0</v>
      </c>
      <c r="AG93" s="59">
        <f t="shared" si="24"/>
        <v>0</v>
      </c>
      <c r="AH93" s="48"/>
      <c r="AJ93" s="48"/>
      <c r="AL93" s="48"/>
      <c r="AM93" s="48" t="str">
        <f t="shared" si="25"/>
        <v/>
      </c>
    </row>
    <row r="94" spans="1:39" s="57" customFormat="1" ht="14">
      <c r="A94" s="45"/>
      <c r="B94" s="46"/>
      <c r="C94" s="47">
        <f>IF(B94&lt;&gt;"",VLOOKUP(B94,'Tipo Projeto'!$A$3:$B$35,2,0),0)</f>
        <v>0</v>
      </c>
      <c r="D94" s="48"/>
      <c r="E94" s="48"/>
      <c r="F94" s="49"/>
      <c r="G94" s="204"/>
      <c r="H94" s="50"/>
      <c r="I94" s="51"/>
      <c r="J94" s="52"/>
      <c r="K94" s="53"/>
      <c r="L94" s="54" t="str">
        <f t="shared" si="13"/>
        <v/>
      </c>
      <c r="M94" s="49" t="str">
        <f t="shared" si="14"/>
        <v/>
      </c>
      <c r="N94" s="55" t="str">
        <f t="shared" si="15"/>
        <v/>
      </c>
      <c r="O94" s="56">
        <f t="shared" si="16"/>
        <v>0</v>
      </c>
      <c r="P94" s="56">
        <f t="shared" si="17"/>
        <v>0</v>
      </c>
      <c r="Q94" s="55">
        <f t="shared" si="18"/>
        <v>0</v>
      </c>
      <c r="R94" s="48"/>
      <c r="T94" s="58"/>
      <c r="U94" s="46"/>
      <c r="V94" s="47">
        <f>IF(U94&lt;&gt;"",VLOOKUP(U94,'Tipo Projeto'!$A$3:$B$35,2,0),0)</f>
        <v>0</v>
      </c>
      <c r="W94" s="48"/>
      <c r="X94" s="50"/>
      <c r="Y94" s="51"/>
      <c r="Z94" s="52"/>
      <c r="AA94" s="53"/>
      <c r="AB94" s="54" t="str">
        <f t="shared" si="19"/>
        <v/>
      </c>
      <c r="AC94" s="49" t="str">
        <f t="shared" si="20"/>
        <v/>
      </c>
      <c r="AD94" s="55" t="str">
        <f t="shared" si="21"/>
        <v/>
      </c>
      <c r="AE94" s="56">
        <f t="shared" si="22"/>
        <v>0</v>
      </c>
      <c r="AF94" s="56">
        <f t="shared" si="23"/>
        <v>0</v>
      </c>
      <c r="AG94" s="59">
        <f t="shared" si="24"/>
        <v>0</v>
      </c>
      <c r="AH94" s="48"/>
      <c r="AJ94" s="48"/>
      <c r="AL94" s="48"/>
      <c r="AM94" s="48" t="str">
        <f t="shared" si="25"/>
        <v/>
      </c>
    </row>
    <row r="95" spans="1:39" s="57" customFormat="1" ht="14">
      <c r="A95" s="45"/>
      <c r="B95" s="46"/>
      <c r="C95" s="47">
        <f>IF(B95&lt;&gt;"",VLOOKUP(B95,'Tipo Projeto'!$A$3:$B$35,2,0),0)</f>
        <v>0</v>
      </c>
      <c r="D95" s="48"/>
      <c r="E95" s="48"/>
      <c r="F95" s="49"/>
      <c r="G95" s="204"/>
      <c r="H95" s="50"/>
      <c r="I95" s="51"/>
      <c r="J95" s="52"/>
      <c r="K95" s="53"/>
      <c r="L95" s="54" t="str">
        <f t="shared" si="13"/>
        <v/>
      </c>
      <c r="M95" s="49" t="str">
        <f t="shared" si="14"/>
        <v/>
      </c>
      <c r="N95" s="55" t="str">
        <f t="shared" si="15"/>
        <v/>
      </c>
      <c r="O95" s="56">
        <f t="shared" si="16"/>
        <v>0</v>
      </c>
      <c r="P95" s="56">
        <f t="shared" si="17"/>
        <v>0</v>
      </c>
      <c r="Q95" s="55">
        <f t="shared" si="18"/>
        <v>0</v>
      </c>
      <c r="R95" s="48"/>
      <c r="T95" s="58"/>
      <c r="U95" s="46"/>
      <c r="V95" s="47">
        <f>IF(U95&lt;&gt;"",VLOOKUP(U95,'Tipo Projeto'!$A$3:$B$35,2,0),0)</f>
        <v>0</v>
      </c>
      <c r="W95" s="48"/>
      <c r="X95" s="50"/>
      <c r="Y95" s="51"/>
      <c r="Z95" s="52"/>
      <c r="AA95" s="53"/>
      <c r="AB95" s="54" t="str">
        <f t="shared" si="19"/>
        <v/>
      </c>
      <c r="AC95" s="49" t="str">
        <f t="shared" si="20"/>
        <v/>
      </c>
      <c r="AD95" s="55" t="str">
        <f t="shared" si="21"/>
        <v/>
      </c>
      <c r="AE95" s="56">
        <f t="shared" si="22"/>
        <v>0</v>
      </c>
      <c r="AF95" s="56">
        <f t="shared" si="23"/>
        <v>0</v>
      </c>
      <c r="AG95" s="59">
        <f t="shared" si="24"/>
        <v>0</v>
      </c>
      <c r="AH95" s="48"/>
      <c r="AJ95" s="48"/>
      <c r="AL95" s="48"/>
      <c r="AM95" s="48" t="str">
        <f t="shared" si="25"/>
        <v/>
      </c>
    </row>
    <row r="96" spans="1:39" s="57" customFormat="1" ht="14">
      <c r="A96" s="45"/>
      <c r="B96" s="46"/>
      <c r="C96" s="47">
        <f>IF(B96&lt;&gt;"",VLOOKUP(B96,'Tipo Projeto'!$A$3:$B$35,2,0),0)</f>
        <v>0</v>
      </c>
      <c r="D96" s="48"/>
      <c r="E96" s="48"/>
      <c r="F96" s="49"/>
      <c r="G96" s="204"/>
      <c r="H96" s="50"/>
      <c r="I96" s="51"/>
      <c r="J96" s="52"/>
      <c r="K96" s="53"/>
      <c r="L96" s="54" t="str">
        <f t="shared" si="13"/>
        <v/>
      </c>
      <c r="M96" s="49" t="str">
        <f t="shared" si="14"/>
        <v/>
      </c>
      <c r="N96" s="55" t="str">
        <f t="shared" si="15"/>
        <v/>
      </c>
      <c r="O96" s="56">
        <f t="shared" si="16"/>
        <v>0</v>
      </c>
      <c r="P96" s="56">
        <f t="shared" si="17"/>
        <v>0</v>
      </c>
      <c r="Q96" s="55">
        <f t="shared" si="18"/>
        <v>0</v>
      </c>
      <c r="R96" s="48"/>
      <c r="T96" s="58"/>
      <c r="U96" s="46"/>
      <c r="V96" s="47">
        <f>IF(U96&lt;&gt;"",VLOOKUP(U96,'Tipo Projeto'!$A$3:$B$35,2,0),0)</f>
        <v>0</v>
      </c>
      <c r="W96" s="48"/>
      <c r="X96" s="50"/>
      <c r="Y96" s="51"/>
      <c r="Z96" s="52"/>
      <c r="AA96" s="53"/>
      <c r="AB96" s="54" t="str">
        <f t="shared" si="19"/>
        <v/>
      </c>
      <c r="AC96" s="49" t="str">
        <f t="shared" si="20"/>
        <v/>
      </c>
      <c r="AD96" s="55" t="str">
        <f t="shared" si="21"/>
        <v/>
      </c>
      <c r="AE96" s="56">
        <f t="shared" si="22"/>
        <v>0</v>
      </c>
      <c r="AF96" s="56">
        <f t="shared" si="23"/>
        <v>0</v>
      </c>
      <c r="AG96" s="59">
        <f t="shared" si="24"/>
        <v>0</v>
      </c>
      <c r="AH96" s="48"/>
      <c r="AJ96" s="48"/>
      <c r="AL96" s="48"/>
      <c r="AM96" s="48" t="str">
        <f t="shared" si="25"/>
        <v/>
      </c>
    </row>
    <row r="97" spans="1:39" s="57" customFormat="1" ht="14">
      <c r="A97" s="45"/>
      <c r="B97" s="46"/>
      <c r="C97" s="47">
        <f>IF(B97&lt;&gt;"",VLOOKUP(B97,'Tipo Projeto'!$A$3:$B$35,2,0),0)</f>
        <v>0</v>
      </c>
      <c r="D97" s="48"/>
      <c r="E97" s="48"/>
      <c r="F97" s="49"/>
      <c r="G97" s="204"/>
      <c r="H97" s="50"/>
      <c r="I97" s="51"/>
      <c r="J97" s="52"/>
      <c r="K97" s="53"/>
      <c r="L97" s="54" t="str">
        <f t="shared" si="13"/>
        <v/>
      </c>
      <c r="M97" s="49" t="str">
        <f t="shared" si="14"/>
        <v/>
      </c>
      <c r="N97" s="55" t="str">
        <f t="shared" si="15"/>
        <v/>
      </c>
      <c r="O97" s="56">
        <f t="shared" si="16"/>
        <v>0</v>
      </c>
      <c r="P97" s="56">
        <f t="shared" si="17"/>
        <v>0</v>
      </c>
      <c r="Q97" s="55">
        <f t="shared" si="18"/>
        <v>0</v>
      </c>
      <c r="R97" s="48"/>
      <c r="T97" s="58"/>
      <c r="U97" s="46"/>
      <c r="V97" s="47">
        <f>IF(U97&lt;&gt;"",VLOOKUP(U97,'Tipo Projeto'!$A$3:$B$35,2,0),0)</f>
        <v>0</v>
      </c>
      <c r="W97" s="48"/>
      <c r="X97" s="50"/>
      <c r="Y97" s="51"/>
      <c r="Z97" s="52"/>
      <c r="AA97" s="53"/>
      <c r="AB97" s="54" t="str">
        <f t="shared" si="19"/>
        <v/>
      </c>
      <c r="AC97" s="49" t="str">
        <f t="shared" si="20"/>
        <v/>
      </c>
      <c r="AD97" s="55" t="str">
        <f t="shared" si="21"/>
        <v/>
      </c>
      <c r="AE97" s="56">
        <f t="shared" si="22"/>
        <v>0</v>
      </c>
      <c r="AF97" s="56">
        <f t="shared" si="23"/>
        <v>0</v>
      </c>
      <c r="AG97" s="59">
        <f t="shared" si="24"/>
        <v>0</v>
      </c>
      <c r="AH97" s="48"/>
      <c r="AJ97" s="48"/>
      <c r="AL97" s="48"/>
      <c r="AM97" s="48" t="str">
        <f t="shared" si="25"/>
        <v/>
      </c>
    </row>
    <row r="98" spans="1:39" s="57" customFormat="1" ht="14">
      <c r="A98" s="45"/>
      <c r="B98" s="46"/>
      <c r="C98" s="47">
        <f>IF(B98&lt;&gt;"",VLOOKUP(B98,'Tipo Projeto'!$A$3:$B$35,2,0),0)</f>
        <v>0</v>
      </c>
      <c r="D98" s="48"/>
      <c r="E98" s="48"/>
      <c r="F98" s="49"/>
      <c r="G98" s="204"/>
      <c r="H98" s="50"/>
      <c r="I98" s="51"/>
      <c r="J98" s="52"/>
      <c r="K98" s="53"/>
      <c r="L98" s="54" t="str">
        <f t="shared" si="13"/>
        <v/>
      </c>
      <c r="M98" s="49" t="str">
        <f t="shared" si="14"/>
        <v/>
      </c>
      <c r="N98" s="55" t="str">
        <f t="shared" si="15"/>
        <v/>
      </c>
      <c r="O98" s="56">
        <f t="shared" si="16"/>
        <v>0</v>
      </c>
      <c r="P98" s="56">
        <f t="shared" si="17"/>
        <v>0</v>
      </c>
      <c r="Q98" s="55">
        <f t="shared" si="18"/>
        <v>0</v>
      </c>
      <c r="R98" s="48"/>
      <c r="T98" s="58"/>
      <c r="U98" s="46"/>
      <c r="V98" s="47">
        <f>IF(U98&lt;&gt;"",VLOOKUP(U98,'Tipo Projeto'!$A$3:$B$35,2,0),0)</f>
        <v>0</v>
      </c>
      <c r="W98" s="48"/>
      <c r="X98" s="50"/>
      <c r="Y98" s="51"/>
      <c r="Z98" s="52"/>
      <c r="AA98" s="53"/>
      <c r="AB98" s="54" t="str">
        <f t="shared" si="19"/>
        <v/>
      </c>
      <c r="AC98" s="49" t="str">
        <f t="shared" si="20"/>
        <v/>
      </c>
      <c r="AD98" s="55" t="str">
        <f t="shared" si="21"/>
        <v/>
      </c>
      <c r="AE98" s="56">
        <f t="shared" si="22"/>
        <v>0</v>
      </c>
      <c r="AF98" s="56">
        <f t="shared" si="23"/>
        <v>0</v>
      </c>
      <c r="AG98" s="59">
        <f t="shared" si="24"/>
        <v>0</v>
      </c>
      <c r="AH98" s="48"/>
      <c r="AJ98" s="48"/>
      <c r="AL98" s="48"/>
      <c r="AM98" s="48" t="str">
        <f t="shared" si="25"/>
        <v/>
      </c>
    </row>
    <row r="99" spans="1:39" s="57" customFormat="1" ht="14">
      <c r="A99" s="45"/>
      <c r="B99" s="46"/>
      <c r="C99" s="47">
        <f>IF(B99&lt;&gt;"",VLOOKUP(B99,'Tipo Projeto'!$A$3:$B$35,2,0),0)</f>
        <v>0</v>
      </c>
      <c r="D99" s="48"/>
      <c r="E99" s="48"/>
      <c r="F99" s="49"/>
      <c r="G99" s="204"/>
      <c r="H99" s="50"/>
      <c r="I99" s="51"/>
      <c r="J99" s="52"/>
      <c r="K99" s="53"/>
      <c r="L99" s="54" t="str">
        <f t="shared" si="13"/>
        <v/>
      </c>
      <c r="M99" s="49" t="str">
        <f t="shared" si="14"/>
        <v/>
      </c>
      <c r="N99" s="55" t="str">
        <f t="shared" si="15"/>
        <v/>
      </c>
      <c r="O99" s="56">
        <f t="shared" si="16"/>
        <v>0</v>
      </c>
      <c r="P99" s="56">
        <f t="shared" si="17"/>
        <v>0</v>
      </c>
      <c r="Q99" s="55">
        <f t="shared" si="18"/>
        <v>0</v>
      </c>
      <c r="R99" s="48"/>
      <c r="T99" s="58"/>
      <c r="U99" s="46"/>
      <c r="V99" s="47">
        <f>IF(U99&lt;&gt;"",VLOOKUP(U99,'Tipo Projeto'!$A$3:$B$35,2,0),0)</f>
        <v>0</v>
      </c>
      <c r="W99" s="48"/>
      <c r="X99" s="50"/>
      <c r="Y99" s="51"/>
      <c r="Z99" s="52"/>
      <c r="AA99" s="53"/>
      <c r="AB99" s="54" t="str">
        <f t="shared" si="19"/>
        <v/>
      </c>
      <c r="AC99" s="49" t="str">
        <f t="shared" si="20"/>
        <v/>
      </c>
      <c r="AD99" s="55" t="str">
        <f t="shared" si="21"/>
        <v/>
      </c>
      <c r="AE99" s="56">
        <f t="shared" si="22"/>
        <v>0</v>
      </c>
      <c r="AF99" s="56">
        <f t="shared" si="23"/>
        <v>0</v>
      </c>
      <c r="AG99" s="59">
        <f t="shared" si="24"/>
        <v>0</v>
      </c>
      <c r="AH99" s="48"/>
      <c r="AJ99" s="48"/>
      <c r="AL99" s="48"/>
      <c r="AM99" s="48" t="str">
        <f t="shared" si="25"/>
        <v/>
      </c>
    </row>
    <row r="100" spans="1:39" s="57" customFormat="1" ht="14">
      <c r="A100" s="45"/>
      <c r="B100" s="46"/>
      <c r="C100" s="47">
        <f>IF(B100&lt;&gt;"",VLOOKUP(B100,'Tipo Projeto'!$A$3:$B$35,2,0),0)</f>
        <v>0</v>
      </c>
      <c r="D100" s="48"/>
      <c r="E100" s="48"/>
      <c r="F100" s="49"/>
      <c r="G100" s="204"/>
      <c r="H100" s="50"/>
      <c r="I100" s="51"/>
      <c r="J100" s="52"/>
      <c r="K100" s="53"/>
      <c r="L100" s="54" t="str">
        <f t="shared" si="13"/>
        <v/>
      </c>
      <c r="M100" s="49" t="str">
        <f t="shared" si="14"/>
        <v/>
      </c>
      <c r="N100" s="55" t="str">
        <f t="shared" si="15"/>
        <v/>
      </c>
      <c r="O100" s="56">
        <f t="shared" si="16"/>
        <v>0</v>
      </c>
      <c r="P100" s="56">
        <f t="shared" si="17"/>
        <v>0</v>
      </c>
      <c r="Q100" s="55">
        <f t="shared" si="18"/>
        <v>0</v>
      </c>
      <c r="R100" s="48"/>
      <c r="T100" s="58"/>
      <c r="U100" s="46"/>
      <c r="V100" s="47">
        <f>IF(U100&lt;&gt;"",VLOOKUP(U100,'Tipo Projeto'!$A$3:$B$35,2,0),0)</f>
        <v>0</v>
      </c>
      <c r="W100" s="48"/>
      <c r="X100" s="50"/>
      <c r="Y100" s="51"/>
      <c r="Z100" s="52"/>
      <c r="AA100" s="53"/>
      <c r="AB100" s="54" t="str">
        <f t="shared" si="19"/>
        <v/>
      </c>
      <c r="AC100" s="49" t="str">
        <f t="shared" si="20"/>
        <v/>
      </c>
      <c r="AD100" s="55" t="str">
        <f t="shared" si="21"/>
        <v/>
      </c>
      <c r="AE100" s="56">
        <f t="shared" si="22"/>
        <v>0</v>
      </c>
      <c r="AF100" s="56">
        <f t="shared" si="23"/>
        <v>0</v>
      </c>
      <c r="AG100" s="59">
        <f t="shared" si="24"/>
        <v>0</v>
      </c>
      <c r="AH100" s="48"/>
      <c r="AJ100" s="48"/>
      <c r="AL100" s="48"/>
      <c r="AM100" s="48" t="str">
        <f t="shared" si="25"/>
        <v/>
      </c>
    </row>
    <row r="101" spans="1:39" s="57" customFormat="1" ht="14">
      <c r="A101" s="45"/>
      <c r="B101" s="46"/>
      <c r="C101" s="47">
        <f>IF(B101&lt;&gt;"",VLOOKUP(B101,'Tipo Projeto'!$A$3:$B$35,2,0),0)</f>
        <v>0</v>
      </c>
      <c r="D101" s="48"/>
      <c r="E101" s="48"/>
      <c r="F101" s="49"/>
      <c r="G101" s="204"/>
      <c r="H101" s="50"/>
      <c r="I101" s="51"/>
      <c r="J101" s="52"/>
      <c r="K101" s="53"/>
      <c r="L101" s="54" t="str">
        <f t="shared" si="13"/>
        <v/>
      </c>
      <c r="M101" s="49" t="str">
        <f t="shared" si="14"/>
        <v/>
      </c>
      <c r="N101" s="55" t="str">
        <f t="shared" si="15"/>
        <v/>
      </c>
      <c r="O101" s="56">
        <f t="shared" si="16"/>
        <v>0</v>
      </c>
      <c r="P101" s="56">
        <f t="shared" si="17"/>
        <v>0</v>
      </c>
      <c r="Q101" s="55">
        <f t="shared" si="18"/>
        <v>0</v>
      </c>
      <c r="R101" s="48"/>
      <c r="T101" s="58"/>
      <c r="U101" s="46"/>
      <c r="V101" s="47">
        <f>IF(U101&lt;&gt;"",VLOOKUP(U101,'Tipo Projeto'!$A$3:$B$35,2,0),0)</f>
        <v>0</v>
      </c>
      <c r="W101" s="48"/>
      <c r="X101" s="50"/>
      <c r="Y101" s="51"/>
      <c r="Z101" s="52"/>
      <c r="AA101" s="53"/>
      <c r="AB101" s="54" t="str">
        <f t="shared" si="19"/>
        <v/>
      </c>
      <c r="AC101" s="49" t="str">
        <f t="shared" si="20"/>
        <v/>
      </c>
      <c r="AD101" s="55" t="str">
        <f t="shared" si="21"/>
        <v/>
      </c>
      <c r="AE101" s="56">
        <f t="shared" si="22"/>
        <v>0</v>
      </c>
      <c r="AF101" s="56">
        <f t="shared" si="23"/>
        <v>0</v>
      </c>
      <c r="AG101" s="59">
        <f t="shared" si="24"/>
        <v>0</v>
      </c>
      <c r="AH101" s="48"/>
      <c r="AJ101" s="48"/>
      <c r="AL101" s="48"/>
      <c r="AM101" s="48" t="str">
        <f t="shared" si="25"/>
        <v/>
      </c>
    </row>
    <row r="102" spans="1:39" s="57" customFormat="1" ht="14">
      <c r="A102" s="45"/>
      <c r="B102" s="46"/>
      <c r="C102" s="47">
        <f>IF(B102&lt;&gt;"",VLOOKUP(B102,'Tipo Projeto'!$A$3:$B$35,2,0),0)</f>
        <v>0</v>
      </c>
      <c r="D102" s="48"/>
      <c r="E102" s="48"/>
      <c r="F102" s="49"/>
      <c r="G102" s="204"/>
      <c r="H102" s="50"/>
      <c r="I102" s="51"/>
      <c r="J102" s="52"/>
      <c r="K102" s="53"/>
      <c r="L102" s="54" t="str">
        <f t="shared" si="13"/>
        <v/>
      </c>
      <c r="M102" s="49" t="str">
        <f t="shared" si="14"/>
        <v/>
      </c>
      <c r="N102" s="55" t="str">
        <f t="shared" si="15"/>
        <v/>
      </c>
      <c r="O102" s="56">
        <f t="shared" si="16"/>
        <v>0</v>
      </c>
      <c r="P102" s="56">
        <f t="shared" si="17"/>
        <v>0</v>
      </c>
      <c r="Q102" s="55">
        <f t="shared" si="18"/>
        <v>0</v>
      </c>
      <c r="R102" s="48"/>
      <c r="T102" s="58"/>
      <c r="U102" s="46"/>
      <c r="V102" s="47">
        <f>IF(U102&lt;&gt;"",VLOOKUP(U102,'Tipo Projeto'!$A$3:$B$35,2,0),0)</f>
        <v>0</v>
      </c>
      <c r="W102" s="48"/>
      <c r="X102" s="50"/>
      <c r="Y102" s="51"/>
      <c r="Z102" s="52"/>
      <c r="AA102" s="53"/>
      <c r="AB102" s="54" t="str">
        <f t="shared" si="19"/>
        <v/>
      </c>
      <c r="AC102" s="49" t="str">
        <f t="shared" si="20"/>
        <v/>
      </c>
      <c r="AD102" s="55" t="str">
        <f t="shared" si="21"/>
        <v/>
      </c>
      <c r="AE102" s="56">
        <f t="shared" si="22"/>
        <v>0</v>
      </c>
      <c r="AF102" s="56">
        <f t="shared" si="23"/>
        <v>0</v>
      </c>
      <c r="AG102" s="59">
        <f t="shared" si="24"/>
        <v>0</v>
      </c>
      <c r="AH102" s="48"/>
      <c r="AJ102" s="48"/>
      <c r="AL102" s="48"/>
      <c r="AM102" s="48" t="str">
        <f t="shared" si="25"/>
        <v/>
      </c>
    </row>
    <row r="103" spans="1:39" s="57" customFormat="1" ht="14">
      <c r="A103" s="45"/>
      <c r="B103" s="46"/>
      <c r="C103" s="47">
        <f>IF(B103&lt;&gt;"",VLOOKUP(B103,'Tipo Projeto'!$A$3:$B$35,2,0),0)</f>
        <v>0</v>
      </c>
      <c r="D103" s="48"/>
      <c r="E103" s="48"/>
      <c r="F103" s="49"/>
      <c r="G103" s="204"/>
      <c r="H103" s="50"/>
      <c r="I103" s="51"/>
      <c r="J103" s="52"/>
      <c r="K103" s="53"/>
      <c r="L103" s="54" t="str">
        <f t="shared" si="13"/>
        <v/>
      </c>
      <c r="M103" s="49" t="str">
        <f t="shared" si="14"/>
        <v/>
      </c>
      <c r="N103" s="55" t="str">
        <f t="shared" si="15"/>
        <v/>
      </c>
      <c r="O103" s="56">
        <f t="shared" si="16"/>
        <v>0</v>
      </c>
      <c r="P103" s="56">
        <f t="shared" si="17"/>
        <v>0</v>
      </c>
      <c r="Q103" s="55">
        <f t="shared" si="18"/>
        <v>0</v>
      </c>
      <c r="R103" s="48"/>
      <c r="T103" s="58"/>
      <c r="U103" s="46"/>
      <c r="V103" s="47">
        <f>IF(U103&lt;&gt;"",VLOOKUP(U103,'Tipo Projeto'!$A$3:$B$35,2,0),0)</f>
        <v>0</v>
      </c>
      <c r="W103" s="48"/>
      <c r="X103" s="50"/>
      <c r="Y103" s="51"/>
      <c r="Z103" s="52"/>
      <c r="AA103" s="53"/>
      <c r="AB103" s="54" t="str">
        <f t="shared" si="19"/>
        <v/>
      </c>
      <c r="AC103" s="49" t="str">
        <f t="shared" si="20"/>
        <v/>
      </c>
      <c r="AD103" s="55" t="str">
        <f t="shared" si="21"/>
        <v/>
      </c>
      <c r="AE103" s="56">
        <f t="shared" si="22"/>
        <v>0</v>
      </c>
      <c r="AF103" s="56">
        <f t="shared" si="23"/>
        <v>0</v>
      </c>
      <c r="AG103" s="59">
        <f t="shared" si="24"/>
        <v>0</v>
      </c>
      <c r="AH103" s="48"/>
      <c r="AJ103" s="48"/>
      <c r="AL103" s="48"/>
      <c r="AM103" s="48" t="str">
        <f t="shared" si="25"/>
        <v/>
      </c>
    </row>
    <row r="104" spans="1:39" s="57" customFormat="1" ht="14">
      <c r="A104" s="45"/>
      <c r="B104" s="46"/>
      <c r="C104" s="47">
        <f>IF(B104&lt;&gt;"",VLOOKUP(B104,'Tipo Projeto'!$A$3:$B$35,2,0),0)</f>
        <v>0</v>
      </c>
      <c r="D104" s="48"/>
      <c r="E104" s="48"/>
      <c r="F104" s="49"/>
      <c r="G104" s="204"/>
      <c r="H104" s="50"/>
      <c r="I104" s="51"/>
      <c r="J104" s="52"/>
      <c r="K104" s="53"/>
      <c r="L104" s="54" t="str">
        <f t="shared" si="13"/>
        <v/>
      </c>
      <c r="M104" s="49" t="str">
        <f t="shared" si="14"/>
        <v/>
      </c>
      <c r="N104" s="55" t="str">
        <f t="shared" si="15"/>
        <v/>
      </c>
      <c r="O104" s="56">
        <f t="shared" si="16"/>
        <v>0</v>
      </c>
      <c r="P104" s="56">
        <f t="shared" si="17"/>
        <v>0</v>
      </c>
      <c r="Q104" s="55">
        <f t="shared" si="18"/>
        <v>0</v>
      </c>
      <c r="R104" s="48"/>
      <c r="T104" s="58"/>
      <c r="U104" s="46"/>
      <c r="V104" s="47">
        <f>IF(U104&lt;&gt;"",VLOOKUP(U104,'Tipo Projeto'!$A$3:$B$35,2,0),0)</f>
        <v>0</v>
      </c>
      <c r="W104" s="48"/>
      <c r="X104" s="50"/>
      <c r="Y104" s="51"/>
      <c r="Z104" s="52"/>
      <c r="AA104" s="53"/>
      <c r="AB104" s="54" t="str">
        <f t="shared" si="19"/>
        <v/>
      </c>
      <c r="AC104" s="49" t="str">
        <f t="shared" si="20"/>
        <v/>
      </c>
      <c r="AD104" s="55" t="str">
        <f t="shared" si="21"/>
        <v/>
      </c>
      <c r="AE104" s="56">
        <f t="shared" si="22"/>
        <v>0</v>
      </c>
      <c r="AF104" s="56">
        <f t="shared" si="23"/>
        <v>0</v>
      </c>
      <c r="AG104" s="59">
        <f t="shared" si="24"/>
        <v>0</v>
      </c>
      <c r="AH104" s="48"/>
      <c r="AJ104" s="48"/>
      <c r="AL104" s="48"/>
      <c r="AM104" s="48" t="str">
        <f t="shared" si="25"/>
        <v/>
      </c>
    </row>
    <row r="105" spans="1:39" s="57" customFormat="1" ht="14">
      <c r="A105" s="45"/>
      <c r="B105" s="46"/>
      <c r="C105" s="47">
        <f>IF(B105&lt;&gt;"",VLOOKUP(B105,'Tipo Projeto'!$A$3:$B$35,2,0),0)</f>
        <v>0</v>
      </c>
      <c r="D105" s="48"/>
      <c r="E105" s="48"/>
      <c r="F105" s="49"/>
      <c r="G105" s="204"/>
      <c r="H105" s="50"/>
      <c r="I105" s="51"/>
      <c r="J105" s="52"/>
      <c r="K105" s="53"/>
      <c r="L105" s="54" t="str">
        <f t="shared" si="13"/>
        <v/>
      </c>
      <c r="M105" s="49" t="str">
        <f t="shared" si="14"/>
        <v/>
      </c>
      <c r="N105" s="55" t="str">
        <f t="shared" si="15"/>
        <v/>
      </c>
      <c r="O105" s="56">
        <f t="shared" si="16"/>
        <v>0</v>
      </c>
      <c r="P105" s="56">
        <f t="shared" si="17"/>
        <v>0</v>
      </c>
      <c r="Q105" s="55">
        <f t="shared" si="18"/>
        <v>0</v>
      </c>
      <c r="R105" s="48"/>
      <c r="T105" s="58"/>
      <c r="U105" s="46"/>
      <c r="V105" s="47">
        <f>IF(U105&lt;&gt;"",VLOOKUP(U105,'Tipo Projeto'!$A$3:$B$35,2,0),0)</f>
        <v>0</v>
      </c>
      <c r="W105" s="48"/>
      <c r="X105" s="50"/>
      <c r="Y105" s="51"/>
      <c r="Z105" s="52"/>
      <c r="AA105" s="53"/>
      <c r="AB105" s="54" t="str">
        <f t="shared" si="19"/>
        <v/>
      </c>
      <c r="AC105" s="49" t="str">
        <f t="shared" si="20"/>
        <v/>
      </c>
      <c r="AD105" s="55" t="str">
        <f t="shared" si="21"/>
        <v/>
      </c>
      <c r="AE105" s="56">
        <f t="shared" si="22"/>
        <v>0</v>
      </c>
      <c r="AF105" s="56">
        <f t="shared" si="23"/>
        <v>0</v>
      </c>
      <c r="AG105" s="59">
        <f t="shared" si="24"/>
        <v>0</v>
      </c>
      <c r="AH105" s="48"/>
      <c r="AJ105" s="48"/>
      <c r="AL105" s="48"/>
      <c r="AM105" s="48" t="str">
        <f t="shared" si="25"/>
        <v/>
      </c>
    </row>
    <row r="106" spans="1:39" s="57" customFormat="1" ht="14">
      <c r="A106" s="45"/>
      <c r="B106" s="46"/>
      <c r="C106" s="47">
        <f>IF(B106&lt;&gt;"",VLOOKUP(B106,'Tipo Projeto'!$A$3:$B$35,2,0),0)</f>
        <v>0</v>
      </c>
      <c r="D106" s="48"/>
      <c r="E106" s="48"/>
      <c r="F106" s="49"/>
      <c r="G106" s="204"/>
      <c r="H106" s="50"/>
      <c r="I106" s="51"/>
      <c r="J106" s="52"/>
      <c r="K106" s="53"/>
      <c r="L106" s="54" t="str">
        <f t="shared" si="13"/>
        <v/>
      </c>
      <c r="M106" s="49" t="str">
        <f t="shared" si="14"/>
        <v/>
      </c>
      <c r="N106" s="55" t="str">
        <f t="shared" si="15"/>
        <v/>
      </c>
      <c r="O106" s="56">
        <f t="shared" si="16"/>
        <v>0</v>
      </c>
      <c r="P106" s="56">
        <f t="shared" si="17"/>
        <v>0</v>
      </c>
      <c r="Q106" s="55">
        <f t="shared" si="18"/>
        <v>0</v>
      </c>
      <c r="R106" s="48"/>
      <c r="T106" s="58"/>
      <c r="U106" s="46"/>
      <c r="V106" s="47">
        <f>IF(U106&lt;&gt;"",VLOOKUP(U106,'Tipo Projeto'!$A$3:$B$35,2,0),0)</f>
        <v>0</v>
      </c>
      <c r="W106" s="48"/>
      <c r="X106" s="50"/>
      <c r="Y106" s="51"/>
      <c r="Z106" s="52"/>
      <c r="AA106" s="53"/>
      <c r="AB106" s="54" t="str">
        <f t="shared" si="19"/>
        <v/>
      </c>
      <c r="AC106" s="49" t="str">
        <f t="shared" si="20"/>
        <v/>
      </c>
      <c r="AD106" s="55" t="str">
        <f t="shared" si="21"/>
        <v/>
      </c>
      <c r="AE106" s="56">
        <f t="shared" si="22"/>
        <v>0</v>
      </c>
      <c r="AF106" s="56">
        <f t="shared" si="23"/>
        <v>0</v>
      </c>
      <c r="AG106" s="59">
        <f t="shared" si="24"/>
        <v>0</v>
      </c>
      <c r="AH106" s="48"/>
      <c r="AJ106" s="48"/>
      <c r="AL106" s="48"/>
      <c r="AM106" s="48" t="str">
        <f t="shared" si="25"/>
        <v/>
      </c>
    </row>
    <row r="107" spans="1:39" s="57" customFormat="1" ht="14">
      <c r="A107" s="45"/>
      <c r="B107" s="46"/>
      <c r="C107" s="47">
        <f>IF(B107&lt;&gt;"",VLOOKUP(B107,'Tipo Projeto'!$A$3:$B$35,2,0),0)</f>
        <v>0</v>
      </c>
      <c r="D107" s="48"/>
      <c r="E107" s="48"/>
      <c r="F107" s="49"/>
      <c r="G107" s="204"/>
      <c r="H107" s="50"/>
      <c r="I107" s="51"/>
      <c r="J107" s="52"/>
      <c r="K107" s="53"/>
      <c r="L107" s="54" t="str">
        <f t="shared" si="13"/>
        <v/>
      </c>
      <c r="M107" s="49" t="str">
        <f t="shared" si="14"/>
        <v/>
      </c>
      <c r="N107" s="55" t="str">
        <f t="shared" si="15"/>
        <v/>
      </c>
      <c r="O107" s="56">
        <f t="shared" si="16"/>
        <v>0</v>
      </c>
      <c r="P107" s="56">
        <f t="shared" si="17"/>
        <v>0</v>
      </c>
      <c r="Q107" s="55">
        <f t="shared" si="18"/>
        <v>0</v>
      </c>
      <c r="R107" s="48"/>
      <c r="T107" s="58"/>
      <c r="U107" s="46"/>
      <c r="V107" s="47">
        <f>IF(U107&lt;&gt;"",VLOOKUP(U107,'Tipo Projeto'!$A$3:$B$35,2,0),0)</f>
        <v>0</v>
      </c>
      <c r="W107" s="48"/>
      <c r="X107" s="50"/>
      <c r="Y107" s="51"/>
      <c r="Z107" s="52"/>
      <c r="AA107" s="53"/>
      <c r="AB107" s="54" t="str">
        <f t="shared" si="19"/>
        <v/>
      </c>
      <c r="AC107" s="49" t="str">
        <f t="shared" si="20"/>
        <v/>
      </c>
      <c r="AD107" s="55" t="str">
        <f t="shared" si="21"/>
        <v/>
      </c>
      <c r="AE107" s="56">
        <f t="shared" si="22"/>
        <v>0</v>
      </c>
      <c r="AF107" s="56">
        <f t="shared" si="23"/>
        <v>0</v>
      </c>
      <c r="AG107" s="59">
        <f t="shared" si="24"/>
        <v>0</v>
      </c>
      <c r="AH107" s="48"/>
      <c r="AJ107" s="48"/>
      <c r="AL107" s="48"/>
      <c r="AM107" s="48" t="str">
        <f t="shared" si="25"/>
        <v/>
      </c>
    </row>
    <row r="108" spans="1:39" s="57" customFormat="1" ht="14">
      <c r="A108" s="45"/>
      <c r="B108" s="46"/>
      <c r="C108" s="47">
        <f>IF(B108&lt;&gt;"",VLOOKUP(B108,'Tipo Projeto'!$A$3:$B$35,2,0),0)</f>
        <v>0</v>
      </c>
      <c r="D108" s="48"/>
      <c r="E108" s="48"/>
      <c r="F108" s="49"/>
      <c r="G108" s="204"/>
      <c r="H108" s="50"/>
      <c r="I108" s="51"/>
      <c r="J108" s="52"/>
      <c r="K108" s="53"/>
      <c r="L108" s="54" t="str">
        <f t="shared" si="13"/>
        <v/>
      </c>
      <c r="M108" s="49" t="str">
        <f t="shared" si="14"/>
        <v/>
      </c>
      <c r="N108" s="55" t="str">
        <f t="shared" si="15"/>
        <v/>
      </c>
      <c r="O108" s="56">
        <f t="shared" si="16"/>
        <v>0</v>
      </c>
      <c r="P108" s="56">
        <f t="shared" si="17"/>
        <v>0</v>
      </c>
      <c r="Q108" s="55">
        <f t="shared" si="18"/>
        <v>0</v>
      </c>
      <c r="R108" s="48"/>
      <c r="T108" s="58"/>
      <c r="U108" s="46"/>
      <c r="V108" s="47">
        <f>IF(U108&lt;&gt;"",VLOOKUP(U108,'Tipo Projeto'!$A$3:$B$35,2,0),0)</f>
        <v>0</v>
      </c>
      <c r="W108" s="48"/>
      <c r="X108" s="50"/>
      <c r="Y108" s="51"/>
      <c r="Z108" s="52"/>
      <c r="AA108" s="53"/>
      <c r="AB108" s="54" t="str">
        <f t="shared" si="19"/>
        <v/>
      </c>
      <c r="AC108" s="49" t="str">
        <f t="shared" si="20"/>
        <v/>
      </c>
      <c r="AD108" s="55" t="str">
        <f t="shared" si="21"/>
        <v/>
      </c>
      <c r="AE108" s="56">
        <f t="shared" si="22"/>
        <v>0</v>
      </c>
      <c r="AF108" s="56">
        <f t="shared" si="23"/>
        <v>0</v>
      </c>
      <c r="AG108" s="59">
        <f t="shared" si="24"/>
        <v>0</v>
      </c>
      <c r="AH108" s="48"/>
      <c r="AJ108" s="48"/>
      <c r="AL108" s="48"/>
      <c r="AM108" s="48" t="str">
        <f t="shared" si="25"/>
        <v/>
      </c>
    </row>
    <row r="109" spans="1:39" s="57" customFormat="1" ht="14">
      <c r="A109" s="45"/>
      <c r="B109" s="46"/>
      <c r="C109" s="47">
        <f>IF(B109&lt;&gt;"",VLOOKUP(B109,'Tipo Projeto'!$A$3:$B$35,2,0),0)</f>
        <v>0</v>
      </c>
      <c r="D109" s="48"/>
      <c r="E109" s="48"/>
      <c r="F109" s="49"/>
      <c r="G109" s="204"/>
      <c r="H109" s="50"/>
      <c r="I109" s="51"/>
      <c r="J109" s="52"/>
      <c r="K109" s="53"/>
      <c r="L109" s="54" t="str">
        <f t="shared" si="13"/>
        <v/>
      </c>
      <c r="M109" s="49" t="str">
        <f t="shared" si="14"/>
        <v/>
      </c>
      <c r="N109" s="55" t="str">
        <f t="shared" si="15"/>
        <v/>
      </c>
      <c r="O109" s="56">
        <f t="shared" si="16"/>
        <v>0</v>
      </c>
      <c r="P109" s="56">
        <f t="shared" si="17"/>
        <v>0</v>
      </c>
      <c r="Q109" s="55">
        <f t="shared" si="18"/>
        <v>0</v>
      </c>
      <c r="R109" s="48"/>
      <c r="T109" s="58"/>
      <c r="U109" s="46"/>
      <c r="V109" s="47">
        <f>IF(U109&lt;&gt;"",VLOOKUP(U109,'Tipo Projeto'!$A$3:$B$35,2,0),0)</f>
        <v>0</v>
      </c>
      <c r="W109" s="48"/>
      <c r="X109" s="50"/>
      <c r="Y109" s="51"/>
      <c r="Z109" s="52"/>
      <c r="AA109" s="53"/>
      <c r="AB109" s="54" t="str">
        <f t="shared" si="19"/>
        <v/>
      </c>
      <c r="AC109" s="49" t="str">
        <f t="shared" si="20"/>
        <v/>
      </c>
      <c r="AD109" s="55" t="str">
        <f t="shared" si="21"/>
        <v/>
      </c>
      <c r="AE109" s="56">
        <f t="shared" si="22"/>
        <v>0</v>
      </c>
      <c r="AF109" s="56">
        <f t="shared" si="23"/>
        <v>0</v>
      </c>
      <c r="AG109" s="59">
        <f t="shared" si="24"/>
        <v>0</v>
      </c>
      <c r="AH109" s="48"/>
      <c r="AJ109" s="48"/>
      <c r="AL109" s="48"/>
      <c r="AM109" s="48" t="str">
        <f t="shared" si="25"/>
        <v/>
      </c>
    </row>
    <row r="110" spans="1:39" s="57" customFormat="1" ht="14">
      <c r="A110" s="45"/>
      <c r="B110" s="46"/>
      <c r="C110" s="47">
        <f>IF(B110&lt;&gt;"",VLOOKUP(B110,'Tipo Projeto'!$A$3:$B$35,2,0),0)</f>
        <v>0</v>
      </c>
      <c r="D110" s="48"/>
      <c r="E110" s="48"/>
      <c r="F110" s="49"/>
      <c r="G110" s="204"/>
      <c r="H110" s="50"/>
      <c r="I110" s="51"/>
      <c r="J110" s="52"/>
      <c r="K110" s="53"/>
      <c r="L110" s="54" t="str">
        <f t="shared" si="13"/>
        <v/>
      </c>
      <c r="M110" s="49" t="str">
        <f t="shared" si="14"/>
        <v/>
      </c>
      <c r="N110" s="55" t="str">
        <f t="shared" si="15"/>
        <v/>
      </c>
      <c r="O110" s="56">
        <f t="shared" si="16"/>
        <v>0</v>
      </c>
      <c r="P110" s="56">
        <f t="shared" si="17"/>
        <v>0</v>
      </c>
      <c r="Q110" s="55">
        <f t="shared" si="18"/>
        <v>0</v>
      </c>
      <c r="R110" s="48"/>
      <c r="T110" s="58"/>
      <c r="U110" s="46"/>
      <c r="V110" s="47">
        <f>IF(U110&lt;&gt;"",VLOOKUP(U110,'Tipo Projeto'!$A$3:$B$35,2,0),0)</f>
        <v>0</v>
      </c>
      <c r="W110" s="48"/>
      <c r="X110" s="50"/>
      <c r="Y110" s="51"/>
      <c r="Z110" s="52"/>
      <c r="AA110" s="53"/>
      <c r="AB110" s="54" t="str">
        <f t="shared" si="19"/>
        <v/>
      </c>
      <c r="AC110" s="49" t="str">
        <f t="shared" si="20"/>
        <v/>
      </c>
      <c r="AD110" s="55" t="str">
        <f t="shared" si="21"/>
        <v/>
      </c>
      <c r="AE110" s="56">
        <f t="shared" si="22"/>
        <v>0</v>
      </c>
      <c r="AF110" s="56">
        <f t="shared" si="23"/>
        <v>0</v>
      </c>
      <c r="AG110" s="59">
        <f t="shared" si="24"/>
        <v>0</v>
      </c>
      <c r="AH110" s="48"/>
      <c r="AJ110" s="48"/>
      <c r="AL110" s="48"/>
      <c r="AM110" s="48" t="str">
        <f t="shared" si="25"/>
        <v/>
      </c>
    </row>
    <row r="111" spans="1:39" s="57" customFormat="1" ht="14">
      <c r="A111" s="45"/>
      <c r="B111" s="46"/>
      <c r="C111" s="47">
        <f>IF(B111&lt;&gt;"",VLOOKUP(B111,'Tipo Projeto'!$A$3:$B$35,2,0),0)</f>
        <v>0</v>
      </c>
      <c r="D111" s="48"/>
      <c r="E111" s="48"/>
      <c r="F111" s="49"/>
      <c r="G111" s="204"/>
      <c r="H111" s="50"/>
      <c r="I111" s="51"/>
      <c r="J111" s="52"/>
      <c r="K111" s="53"/>
      <c r="L111" s="54" t="str">
        <f t="shared" si="13"/>
        <v/>
      </c>
      <c r="M111" s="49" t="str">
        <f t="shared" si="14"/>
        <v/>
      </c>
      <c r="N111" s="55" t="str">
        <f t="shared" si="15"/>
        <v/>
      </c>
      <c r="O111" s="56">
        <f t="shared" si="16"/>
        <v>0</v>
      </c>
      <c r="P111" s="56">
        <f t="shared" si="17"/>
        <v>0</v>
      </c>
      <c r="Q111" s="55">
        <f t="shared" si="18"/>
        <v>0</v>
      </c>
      <c r="R111" s="48"/>
      <c r="T111" s="58"/>
      <c r="U111" s="46"/>
      <c r="V111" s="47">
        <f>IF(U111&lt;&gt;"",VLOOKUP(U111,'Tipo Projeto'!$A$3:$B$35,2,0),0)</f>
        <v>0</v>
      </c>
      <c r="W111" s="48"/>
      <c r="X111" s="50"/>
      <c r="Y111" s="51"/>
      <c r="Z111" s="52"/>
      <c r="AA111" s="53"/>
      <c r="AB111" s="54" t="str">
        <f t="shared" si="19"/>
        <v/>
      </c>
      <c r="AC111" s="49" t="str">
        <f t="shared" si="20"/>
        <v/>
      </c>
      <c r="AD111" s="55" t="str">
        <f t="shared" si="21"/>
        <v/>
      </c>
      <c r="AE111" s="56">
        <f t="shared" si="22"/>
        <v>0</v>
      </c>
      <c r="AF111" s="56">
        <f t="shared" si="23"/>
        <v>0</v>
      </c>
      <c r="AG111" s="59">
        <f t="shared" si="24"/>
        <v>0</v>
      </c>
      <c r="AH111" s="48"/>
      <c r="AJ111" s="48"/>
      <c r="AL111" s="48"/>
      <c r="AM111" s="48" t="str">
        <f t="shared" si="25"/>
        <v/>
      </c>
    </row>
    <row r="112" spans="1:39" s="57" customFormat="1" ht="14">
      <c r="A112" s="45"/>
      <c r="B112" s="46"/>
      <c r="C112" s="47">
        <f>IF(B112&lt;&gt;"",VLOOKUP(B112,'Tipo Projeto'!$A$3:$B$35,2,0),0)</f>
        <v>0</v>
      </c>
      <c r="D112" s="48"/>
      <c r="E112" s="48"/>
      <c r="F112" s="49"/>
      <c r="G112" s="204"/>
      <c r="H112" s="50"/>
      <c r="I112" s="51"/>
      <c r="J112" s="52"/>
      <c r="K112" s="53"/>
      <c r="L112" s="54" t="str">
        <f t="shared" si="13"/>
        <v/>
      </c>
      <c r="M112" s="49" t="str">
        <f t="shared" si="14"/>
        <v/>
      </c>
      <c r="N112" s="55" t="str">
        <f t="shared" si="15"/>
        <v/>
      </c>
      <c r="O112" s="56">
        <f t="shared" si="16"/>
        <v>0</v>
      </c>
      <c r="P112" s="56">
        <f t="shared" si="17"/>
        <v>0</v>
      </c>
      <c r="Q112" s="55">
        <f t="shared" si="18"/>
        <v>0</v>
      </c>
      <c r="R112" s="48"/>
      <c r="T112" s="58"/>
      <c r="U112" s="46"/>
      <c r="V112" s="47">
        <f>IF(U112&lt;&gt;"",VLOOKUP(U112,'Tipo Projeto'!$A$3:$B$35,2,0),0)</f>
        <v>0</v>
      </c>
      <c r="W112" s="48"/>
      <c r="X112" s="50"/>
      <c r="Y112" s="51"/>
      <c r="Z112" s="52"/>
      <c r="AA112" s="53"/>
      <c r="AB112" s="54" t="str">
        <f t="shared" si="19"/>
        <v/>
      </c>
      <c r="AC112" s="49" t="str">
        <f t="shared" si="20"/>
        <v/>
      </c>
      <c r="AD112" s="55" t="str">
        <f t="shared" si="21"/>
        <v/>
      </c>
      <c r="AE112" s="56">
        <f t="shared" si="22"/>
        <v>0</v>
      </c>
      <c r="AF112" s="56">
        <f t="shared" si="23"/>
        <v>0</v>
      </c>
      <c r="AG112" s="59">
        <f t="shared" si="24"/>
        <v>0</v>
      </c>
      <c r="AH112" s="48"/>
      <c r="AJ112" s="48"/>
      <c r="AL112" s="48"/>
      <c r="AM112" s="48" t="str">
        <f t="shared" si="25"/>
        <v/>
      </c>
    </row>
    <row r="113" spans="1:39" s="57" customFormat="1" ht="14">
      <c r="A113" s="45"/>
      <c r="B113" s="46"/>
      <c r="C113" s="47">
        <f>IF(B113&lt;&gt;"",VLOOKUP(B113,'Tipo Projeto'!$A$3:$B$35,2,0),0)</f>
        <v>0</v>
      </c>
      <c r="D113" s="48"/>
      <c r="E113" s="48"/>
      <c r="F113" s="49"/>
      <c r="G113" s="204"/>
      <c r="H113" s="50"/>
      <c r="I113" s="51"/>
      <c r="J113" s="52"/>
      <c r="K113" s="53"/>
      <c r="L113" s="54" t="str">
        <f t="shared" si="13"/>
        <v/>
      </c>
      <c r="M113" s="49" t="str">
        <f t="shared" si="14"/>
        <v/>
      </c>
      <c r="N113" s="55" t="str">
        <f t="shared" si="15"/>
        <v/>
      </c>
      <c r="O113" s="56">
        <f t="shared" si="16"/>
        <v>0</v>
      </c>
      <c r="P113" s="56">
        <f t="shared" si="17"/>
        <v>0</v>
      </c>
      <c r="Q113" s="55">
        <f t="shared" si="18"/>
        <v>0</v>
      </c>
      <c r="R113" s="48"/>
      <c r="T113" s="58"/>
      <c r="U113" s="46"/>
      <c r="V113" s="47">
        <f>IF(U113&lt;&gt;"",VLOOKUP(U113,'Tipo Projeto'!$A$3:$B$35,2,0),0)</f>
        <v>0</v>
      </c>
      <c r="W113" s="48"/>
      <c r="X113" s="50"/>
      <c r="Y113" s="51"/>
      <c r="Z113" s="52"/>
      <c r="AA113" s="53"/>
      <c r="AB113" s="54" t="str">
        <f t="shared" si="19"/>
        <v/>
      </c>
      <c r="AC113" s="49" t="str">
        <f t="shared" si="20"/>
        <v/>
      </c>
      <c r="AD113" s="55" t="str">
        <f t="shared" si="21"/>
        <v/>
      </c>
      <c r="AE113" s="56">
        <f t="shared" si="22"/>
        <v>0</v>
      </c>
      <c r="AF113" s="56">
        <f t="shared" si="23"/>
        <v>0</v>
      </c>
      <c r="AG113" s="59">
        <f t="shared" si="24"/>
        <v>0</v>
      </c>
      <c r="AH113" s="48"/>
      <c r="AJ113" s="48"/>
      <c r="AL113" s="48"/>
      <c r="AM113" s="48" t="str">
        <f t="shared" si="25"/>
        <v/>
      </c>
    </row>
    <row r="114" spans="1:39" s="57" customFormat="1" ht="14">
      <c r="A114" s="45"/>
      <c r="B114" s="46"/>
      <c r="C114" s="47">
        <f>IF(B114&lt;&gt;"",VLOOKUP(B114,'Tipo Projeto'!$A$3:$B$35,2,0),0)</f>
        <v>0</v>
      </c>
      <c r="D114" s="48"/>
      <c r="E114" s="48"/>
      <c r="F114" s="49"/>
      <c r="G114" s="204"/>
      <c r="H114" s="50"/>
      <c r="I114" s="51"/>
      <c r="J114" s="52"/>
      <c r="K114" s="53"/>
      <c r="L114" s="54" t="str">
        <f t="shared" si="13"/>
        <v/>
      </c>
      <c r="M114" s="49" t="str">
        <f t="shared" si="14"/>
        <v/>
      </c>
      <c r="N114" s="55" t="str">
        <f t="shared" si="15"/>
        <v/>
      </c>
      <c r="O114" s="56">
        <f t="shared" si="16"/>
        <v>0</v>
      </c>
      <c r="P114" s="56">
        <f t="shared" si="17"/>
        <v>0</v>
      </c>
      <c r="Q114" s="55">
        <f t="shared" si="18"/>
        <v>0</v>
      </c>
      <c r="R114" s="48"/>
      <c r="T114" s="58"/>
      <c r="U114" s="46"/>
      <c r="V114" s="47">
        <f>IF(U114&lt;&gt;"",VLOOKUP(U114,'Tipo Projeto'!$A$3:$B$35,2,0),0)</f>
        <v>0</v>
      </c>
      <c r="W114" s="48"/>
      <c r="X114" s="50"/>
      <c r="Y114" s="51"/>
      <c r="Z114" s="52"/>
      <c r="AA114" s="53"/>
      <c r="AB114" s="54" t="str">
        <f t="shared" si="19"/>
        <v/>
      </c>
      <c r="AC114" s="49" t="str">
        <f t="shared" si="20"/>
        <v/>
      </c>
      <c r="AD114" s="55" t="str">
        <f t="shared" si="21"/>
        <v/>
      </c>
      <c r="AE114" s="56">
        <f t="shared" si="22"/>
        <v>0</v>
      </c>
      <c r="AF114" s="56">
        <f t="shared" si="23"/>
        <v>0</v>
      </c>
      <c r="AG114" s="59">
        <f t="shared" si="24"/>
        <v>0</v>
      </c>
      <c r="AH114" s="48"/>
      <c r="AJ114" s="48"/>
      <c r="AL114" s="48"/>
      <c r="AM114" s="48" t="str">
        <f t="shared" si="25"/>
        <v/>
      </c>
    </row>
    <row r="115" spans="1:39" s="57" customFormat="1" ht="14">
      <c r="A115" s="45"/>
      <c r="B115" s="46"/>
      <c r="C115" s="47">
        <f>IF(B115&lt;&gt;"",VLOOKUP(B115,'Tipo Projeto'!$A$3:$B$35,2,0),0)</f>
        <v>0</v>
      </c>
      <c r="D115" s="48"/>
      <c r="E115" s="48"/>
      <c r="F115" s="49"/>
      <c r="G115" s="204"/>
      <c r="H115" s="50"/>
      <c r="I115" s="51"/>
      <c r="J115" s="52"/>
      <c r="K115" s="53"/>
      <c r="L115" s="54" t="str">
        <f t="shared" si="13"/>
        <v/>
      </c>
      <c r="M115" s="49" t="str">
        <f t="shared" si="14"/>
        <v/>
      </c>
      <c r="N115" s="55" t="str">
        <f t="shared" si="15"/>
        <v/>
      </c>
      <c r="O115" s="56">
        <f t="shared" si="16"/>
        <v>0</v>
      </c>
      <c r="P115" s="56">
        <f t="shared" si="17"/>
        <v>0</v>
      </c>
      <c r="Q115" s="55">
        <f t="shared" si="18"/>
        <v>0</v>
      </c>
      <c r="R115" s="48"/>
      <c r="T115" s="58"/>
      <c r="U115" s="46"/>
      <c r="V115" s="47">
        <f>IF(U115&lt;&gt;"",VLOOKUP(U115,'Tipo Projeto'!$A$3:$B$35,2,0),0)</f>
        <v>0</v>
      </c>
      <c r="W115" s="48"/>
      <c r="X115" s="50"/>
      <c r="Y115" s="51"/>
      <c r="Z115" s="52"/>
      <c r="AA115" s="53"/>
      <c r="AB115" s="54" t="str">
        <f t="shared" si="19"/>
        <v/>
      </c>
      <c r="AC115" s="49" t="str">
        <f t="shared" si="20"/>
        <v/>
      </c>
      <c r="AD115" s="55" t="str">
        <f t="shared" si="21"/>
        <v/>
      </c>
      <c r="AE115" s="56">
        <f t="shared" si="22"/>
        <v>0</v>
      </c>
      <c r="AF115" s="56">
        <f t="shared" si="23"/>
        <v>0</v>
      </c>
      <c r="AG115" s="59">
        <f t="shared" si="24"/>
        <v>0</v>
      </c>
      <c r="AH115" s="48"/>
      <c r="AJ115" s="48"/>
      <c r="AL115" s="48"/>
      <c r="AM115" s="48" t="str">
        <f t="shared" si="25"/>
        <v/>
      </c>
    </row>
    <row r="116" spans="1:39" s="57" customFormat="1" ht="14">
      <c r="A116" s="45"/>
      <c r="B116" s="46"/>
      <c r="C116" s="47">
        <f>IF(B116&lt;&gt;"",VLOOKUP(B116,'Tipo Projeto'!$A$3:$B$35,2,0),0)</f>
        <v>0</v>
      </c>
      <c r="D116" s="48"/>
      <c r="E116" s="48"/>
      <c r="F116" s="49"/>
      <c r="G116" s="204"/>
      <c r="H116" s="50"/>
      <c r="I116" s="51"/>
      <c r="J116" s="52"/>
      <c r="K116" s="53"/>
      <c r="L116" s="54" t="str">
        <f t="shared" si="13"/>
        <v/>
      </c>
      <c r="M116" s="49" t="str">
        <f t="shared" si="14"/>
        <v/>
      </c>
      <c r="N116" s="55" t="str">
        <f t="shared" si="15"/>
        <v/>
      </c>
      <c r="O116" s="56">
        <f t="shared" si="16"/>
        <v>0</v>
      </c>
      <c r="P116" s="56">
        <f t="shared" si="17"/>
        <v>0</v>
      </c>
      <c r="Q116" s="55">
        <f t="shared" si="18"/>
        <v>0</v>
      </c>
      <c r="R116" s="48"/>
      <c r="T116" s="58"/>
      <c r="U116" s="46"/>
      <c r="V116" s="47">
        <f>IF(U116&lt;&gt;"",VLOOKUP(U116,'Tipo Projeto'!$A$3:$B$35,2,0),0)</f>
        <v>0</v>
      </c>
      <c r="W116" s="48"/>
      <c r="X116" s="50"/>
      <c r="Y116" s="51"/>
      <c r="Z116" s="52"/>
      <c r="AA116" s="53"/>
      <c r="AB116" s="54" t="str">
        <f t="shared" si="19"/>
        <v/>
      </c>
      <c r="AC116" s="49" t="str">
        <f t="shared" si="20"/>
        <v/>
      </c>
      <c r="AD116" s="55" t="str">
        <f t="shared" si="21"/>
        <v/>
      </c>
      <c r="AE116" s="56">
        <f t="shared" si="22"/>
        <v>0</v>
      </c>
      <c r="AF116" s="56">
        <f t="shared" si="23"/>
        <v>0</v>
      </c>
      <c r="AG116" s="59">
        <f t="shared" si="24"/>
        <v>0</v>
      </c>
      <c r="AH116" s="48"/>
      <c r="AJ116" s="48"/>
      <c r="AL116" s="48"/>
      <c r="AM116" s="48" t="str">
        <f t="shared" si="25"/>
        <v/>
      </c>
    </row>
    <row r="117" spans="1:39" s="57" customFormat="1" ht="14">
      <c r="A117" s="45"/>
      <c r="B117" s="46"/>
      <c r="C117" s="47">
        <f>IF(B117&lt;&gt;"",VLOOKUP(B117,'Tipo Projeto'!$A$3:$B$35,2,0),0)</f>
        <v>0</v>
      </c>
      <c r="D117" s="48"/>
      <c r="E117" s="48"/>
      <c r="F117" s="49"/>
      <c r="G117" s="204"/>
      <c r="H117" s="50"/>
      <c r="I117" s="51"/>
      <c r="J117" s="52"/>
      <c r="K117" s="53"/>
      <c r="L117" s="54" t="str">
        <f t="shared" si="13"/>
        <v/>
      </c>
      <c r="M117" s="49" t="str">
        <f t="shared" si="14"/>
        <v/>
      </c>
      <c r="N117" s="55" t="str">
        <f t="shared" si="15"/>
        <v/>
      </c>
      <c r="O117" s="56">
        <f t="shared" si="16"/>
        <v>0</v>
      </c>
      <c r="P117" s="56">
        <f t="shared" si="17"/>
        <v>0</v>
      </c>
      <c r="Q117" s="55">
        <f t="shared" si="18"/>
        <v>0</v>
      </c>
      <c r="R117" s="48"/>
      <c r="T117" s="58"/>
      <c r="U117" s="46"/>
      <c r="V117" s="47">
        <f>IF(U117&lt;&gt;"",VLOOKUP(U117,'Tipo Projeto'!$A$3:$B$35,2,0),0)</f>
        <v>0</v>
      </c>
      <c r="W117" s="48"/>
      <c r="X117" s="50"/>
      <c r="Y117" s="51"/>
      <c r="Z117" s="52"/>
      <c r="AA117" s="53"/>
      <c r="AB117" s="54" t="str">
        <f t="shared" si="19"/>
        <v/>
      </c>
      <c r="AC117" s="49" t="str">
        <f t="shared" si="20"/>
        <v/>
      </c>
      <c r="AD117" s="55" t="str">
        <f t="shared" si="21"/>
        <v/>
      </c>
      <c r="AE117" s="56">
        <f t="shared" si="22"/>
        <v>0</v>
      </c>
      <c r="AF117" s="56">
        <f t="shared" si="23"/>
        <v>0</v>
      </c>
      <c r="AG117" s="59">
        <f t="shared" si="24"/>
        <v>0</v>
      </c>
      <c r="AH117" s="48"/>
      <c r="AJ117" s="48"/>
      <c r="AL117" s="48"/>
      <c r="AM117" s="48" t="str">
        <f t="shared" si="25"/>
        <v/>
      </c>
    </row>
    <row r="118" spans="1:39" s="57" customFormat="1" ht="14">
      <c r="A118" s="45"/>
      <c r="B118" s="46"/>
      <c r="C118" s="47">
        <f>IF(B118&lt;&gt;"",VLOOKUP(B118,'Tipo Projeto'!$A$3:$B$35,2,0),0)</f>
        <v>0</v>
      </c>
      <c r="D118" s="48"/>
      <c r="E118" s="48"/>
      <c r="F118" s="49"/>
      <c r="G118" s="204"/>
      <c r="H118" s="50"/>
      <c r="I118" s="51"/>
      <c r="J118" s="52"/>
      <c r="K118" s="53"/>
      <c r="L118" s="54" t="str">
        <f t="shared" si="13"/>
        <v/>
      </c>
      <c r="M118" s="49" t="str">
        <f t="shared" si="14"/>
        <v/>
      </c>
      <c r="N118" s="55" t="str">
        <f t="shared" si="15"/>
        <v/>
      </c>
      <c r="O118" s="56">
        <f t="shared" si="16"/>
        <v>0</v>
      </c>
      <c r="P118" s="56">
        <f t="shared" si="17"/>
        <v>0</v>
      </c>
      <c r="Q118" s="55">
        <f t="shared" si="18"/>
        <v>0</v>
      </c>
      <c r="R118" s="48"/>
      <c r="T118" s="58"/>
      <c r="U118" s="46"/>
      <c r="V118" s="47">
        <f>IF(U118&lt;&gt;"",VLOOKUP(U118,'Tipo Projeto'!$A$3:$B$35,2,0),0)</f>
        <v>0</v>
      </c>
      <c r="W118" s="48"/>
      <c r="X118" s="50"/>
      <c r="Y118" s="51"/>
      <c r="Z118" s="52"/>
      <c r="AA118" s="53"/>
      <c r="AB118" s="54" t="str">
        <f t="shared" si="19"/>
        <v/>
      </c>
      <c r="AC118" s="49" t="str">
        <f t="shared" si="20"/>
        <v/>
      </c>
      <c r="AD118" s="55" t="str">
        <f t="shared" si="21"/>
        <v/>
      </c>
      <c r="AE118" s="56">
        <f t="shared" si="22"/>
        <v>0</v>
      </c>
      <c r="AF118" s="56">
        <f t="shared" si="23"/>
        <v>0</v>
      </c>
      <c r="AG118" s="59">
        <f t="shared" si="24"/>
        <v>0</v>
      </c>
      <c r="AH118" s="48"/>
      <c r="AJ118" s="48"/>
      <c r="AL118" s="48"/>
      <c r="AM118" s="48" t="str">
        <f t="shared" si="25"/>
        <v/>
      </c>
    </row>
    <row r="119" spans="1:39" s="57" customFormat="1" ht="14">
      <c r="A119" s="45"/>
      <c r="B119" s="46"/>
      <c r="C119" s="47">
        <f>IF(B119&lt;&gt;"",VLOOKUP(B119,'Tipo Projeto'!$A$3:$B$35,2,0),0)</f>
        <v>0</v>
      </c>
      <c r="D119" s="48"/>
      <c r="E119" s="48"/>
      <c r="F119" s="49"/>
      <c r="G119" s="204"/>
      <c r="H119" s="50"/>
      <c r="I119" s="51"/>
      <c r="J119" s="52"/>
      <c r="K119" s="53"/>
      <c r="L119" s="54" t="str">
        <f t="shared" si="13"/>
        <v/>
      </c>
      <c r="M119" s="49" t="str">
        <f t="shared" si="14"/>
        <v/>
      </c>
      <c r="N119" s="55" t="str">
        <f t="shared" si="15"/>
        <v/>
      </c>
      <c r="O119" s="56">
        <f t="shared" si="16"/>
        <v>0</v>
      </c>
      <c r="P119" s="56">
        <f t="shared" si="17"/>
        <v>0</v>
      </c>
      <c r="Q119" s="55">
        <f t="shared" si="18"/>
        <v>0</v>
      </c>
      <c r="R119" s="48"/>
      <c r="T119" s="58"/>
      <c r="U119" s="46"/>
      <c r="V119" s="47">
        <f>IF(U119&lt;&gt;"",VLOOKUP(U119,'Tipo Projeto'!$A$3:$B$35,2,0),0)</f>
        <v>0</v>
      </c>
      <c r="W119" s="48"/>
      <c r="X119" s="50"/>
      <c r="Y119" s="51"/>
      <c r="Z119" s="52"/>
      <c r="AA119" s="53"/>
      <c r="AB119" s="54" t="str">
        <f t="shared" si="19"/>
        <v/>
      </c>
      <c r="AC119" s="49" t="str">
        <f t="shared" si="20"/>
        <v/>
      </c>
      <c r="AD119" s="55" t="str">
        <f t="shared" si="21"/>
        <v/>
      </c>
      <c r="AE119" s="56">
        <f t="shared" si="22"/>
        <v>0</v>
      </c>
      <c r="AF119" s="56">
        <f t="shared" si="23"/>
        <v>0</v>
      </c>
      <c r="AG119" s="59">
        <f t="shared" si="24"/>
        <v>0</v>
      </c>
      <c r="AH119" s="48"/>
      <c r="AJ119" s="48"/>
      <c r="AL119" s="48"/>
      <c r="AM119" s="48" t="str">
        <f t="shared" si="25"/>
        <v/>
      </c>
    </row>
    <row r="120" spans="1:39" s="57" customFormat="1" ht="14">
      <c r="A120" s="45"/>
      <c r="B120" s="46"/>
      <c r="C120" s="47">
        <f>IF(B120&lt;&gt;"",VLOOKUP(B120,'Tipo Projeto'!$A$3:$B$35,2,0),0)</f>
        <v>0</v>
      </c>
      <c r="D120" s="48"/>
      <c r="E120" s="48"/>
      <c r="F120" s="49"/>
      <c r="G120" s="204"/>
      <c r="H120" s="50"/>
      <c r="I120" s="51"/>
      <c r="J120" s="52"/>
      <c r="K120" s="53"/>
      <c r="L120" s="54" t="str">
        <f t="shared" si="13"/>
        <v/>
      </c>
      <c r="M120" s="49" t="str">
        <f t="shared" si="14"/>
        <v/>
      </c>
      <c r="N120" s="55" t="str">
        <f t="shared" si="15"/>
        <v/>
      </c>
      <c r="O120" s="56">
        <f t="shared" si="16"/>
        <v>0</v>
      </c>
      <c r="P120" s="56">
        <f t="shared" si="17"/>
        <v>0</v>
      </c>
      <c r="Q120" s="55">
        <f t="shared" si="18"/>
        <v>0</v>
      </c>
      <c r="R120" s="48"/>
      <c r="T120" s="58"/>
      <c r="U120" s="46"/>
      <c r="V120" s="47">
        <f>IF(U120&lt;&gt;"",VLOOKUP(U120,'Tipo Projeto'!$A$3:$B$35,2,0),0)</f>
        <v>0</v>
      </c>
      <c r="W120" s="48"/>
      <c r="X120" s="50"/>
      <c r="Y120" s="51"/>
      <c r="Z120" s="52"/>
      <c r="AA120" s="53"/>
      <c r="AB120" s="54" t="str">
        <f t="shared" si="19"/>
        <v/>
      </c>
      <c r="AC120" s="49" t="str">
        <f t="shared" si="20"/>
        <v/>
      </c>
      <c r="AD120" s="55" t="str">
        <f t="shared" si="21"/>
        <v/>
      </c>
      <c r="AE120" s="56">
        <f t="shared" si="22"/>
        <v>0</v>
      </c>
      <c r="AF120" s="56">
        <f t="shared" si="23"/>
        <v>0</v>
      </c>
      <c r="AG120" s="59">
        <f t="shared" si="24"/>
        <v>0</v>
      </c>
      <c r="AH120" s="48"/>
      <c r="AJ120" s="48"/>
      <c r="AL120" s="48"/>
      <c r="AM120" s="48" t="str">
        <f t="shared" si="25"/>
        <v/>
      </c>
    </row>
    <row r="121" spans="1:39" s="57" customFormat="1" ht="14">
      <c r="A121" s="45"/>
      <c r="B121" s="46"/>
      <c r="C121" s="47">
        <f>IF(B121&lt;&gt;"",VLOOKUP(B121,'Tipo Projeto'!$A$3:$B$35,2,0),0)</f>
        <v>0</v>
      </c>
      <c r="D121" s="48"/>
      <c r="E121" s="48"/>
      <c r="F121" s="49"/>
      <c r="G121" s="204"/>
      <c r="H121" s="50"/>
      <c r="I121" s="51"/>
      <c r="J121" s="52"/>
      <c r="K121" s="53"/>
      <c r="L121" s="54" t="str">
        <f t="shared" si="13"/>
        <v/>
      </c>
      <c r="M121" s="49" t="str">
        <f t="shared" si="14"/>
        <v/>
      </c>
      <c r="N121" s="55" t="str">
        <f t="shared" si="15"/>
        <v/>
      </c>
      <c r="O121" s="56">
        <f t="shared" si="16"/>
        <v>0</v>
      </c>
      <c r="P121" s="56">
        <f t="shared" si="17"/>
        <v>0</v>
      </c>
      <c r="Q121" s="55">
        <f t="shared" si="18"/>
        <v>0</v>
      </c>
      <c r="R121" s="48"/>
      <c r="T121" s="58"/>
      <c r="U121" s="46"/>
      <c r="V121" s="47">
        <f>IF(U121&lt;&gt;"",VLOOKUP(U121,'Tipo Projeto'!$A$3:$B$35,2,0),0)</f>
        <v>0</v>
      </c>
      <c r="W121" s="48"/>
      <c r="X121" s="50"/>
      <c r="Y121" s="51"/>
      <c r="Z121" s="52"/>
      <c r="AA121" s="53"/>
      <c r="AB121" s="54" t="str">
        <f t="shared" si="19"/>
        <v/>
      </c>
      <c r="AC121" s="49" t="str">
        <f t="shared" si="20"/>
        <v/>
      </c>
      <c r="AD121" s="55" t="str">
        <f t="shared" si="21"/>
        <v/>
      </c>
      <c r="AE121" s="56">
        <f t="shared" si="22"/>
        <v>0</v>
      </c>
      <c r="AF121" s="56">
        <f t="shared" si="23"/>
        <v>0</v>
      </c>
      <c r="AG121" s="59">
        <f t="shared" si="24"/>
        <v>0</v>
      </c>
      <c r="AH121" s="48"/>
      <c r="AJ121" s="48"/>
      <c r="AL121" s="48"/>
      <c r="AM121" s="48" t="str">
        <f t="shared" si="25"/>
        <v/>
      </c>
    </row>
    <row r="122" spans="1:39" s="57" customFormat="1" ht="14">
      <c r="A122" s="45"/>
      <c r="B122" s="46"/>
      <c r="C122" s="47">
        <f>IF(B122&lt;&gt;"",VLOOKUP(B122,'Tipo Projeto'!$A$3:$B$35,2,0),0)</f>
        <v>0</v>
      </c>
      <c r="D122" s="48"/>
      <c r="E122" s="48"/>
      <c r="F122" s="49"/>
      <c r="G122" s="204"/>
      <c r="H122" s="50"/>
      <c r="I122" s="51"/>
      <c r="J122" s="52"/>
      <c r="K122" s="53"/>
      <c r="L122" s="54" t="str">
        <f t="shared" si="13"/>
        <v/>
      </c>
      <c r="M122" s="49" t="str">
        <f t="shared" si="14"/>
        <v/>
      </c>
      <c r="N122" s="55" t="str">
        <f t="shared" si="15"/>
        <v/>
      </c>
      <c r="O122" s="56">
        <f t="shared" si="16"/>
        <v>0</v>
      </c>
      <c r="P122" s="56">
        <f t="shared" si="17"/>
        <v>0</v>
      </c>
      <c r="Q122" s="55">
        <f t="shared" si="18"/>
        <v>0</v>
      </c>
      <c r="R122" s="48"/>
      <c r="T122" s="58"/>
      <c r="U122" s="46"/>
      <c r="V122" s="47">
        <f>IF(U122&lt;&gt;"",VLOOKUP(U122,'Tipo Projeto'!$A$3:$B$35,2,0),0)</f>
        <v>0</v>
      </c>
      <c r="W122" s="48"/>
      <c r="X122" s="50"/>
      <c r="Y122" s="51"/>
      <c r="Z122" s="52"/>
      <c r="AA122" s="53"/>
      <c r="AB122" s="54" t="str">
        <f t="shared" si="19"/>
        <v/>
      </c>
      <c r="AC122" s="49" t="str">
        <f t="shared" si="20"/>
        <v/>
      </c>
      <c r="AD122" s="55" t="str">
        <f t="shared" si="21"/>
        <v/>
      </c>
      <c r="AE122" s="56">
        <f t="shared" si="22"/>
        <v>0</v>
      </c>
      <c r="AF122" s="56">
        <f t="shared" si="23"/>
        <v>0</v>
      </c>
      <c r="AG122" s="59">
        <f t="shared" si="24"/>
        <v>0</v>
      </c>
      <c r="AH122" s="48"/>
      <c r="AJ122" s="48"/>
      <c r="AL122" s="48"/>
      <c r="AM122" s="48" t="str">
        <f t="shared" si="25"/>
        <v/>
      </c>
    </row>
    <row r="123" spans="1:39" s="57" customFormat="1" ht="14">
      <c r="A123" s="45"/>
      <c r="B123" s="46"/>
      <c r="C123" s="47">
        <f>IF(B123&lt;&gt;"",VLOOKUP(B123,'Tipo Projeto'!$A$3:$B$35,2,0),0)</f>
        <v>0</v>
      </c>
      <c r="D123" s="48"/>
      <c r="E123" s="48"/>
      <c r="F123" s="49"/>
      <c r="G123" s="204"/>
      <c r="H123" s="50"/>
      <c r="I123" s="51"/>
      <c r="J123" s="52"/>
      <c r="K123" s="53"/>
      <c r="L123" s="54" t="str">
        <f t="shared" si="13"/>
        <v/>
      </c>
      <c r="M123" s="49" t="str">
        <f t="shared" si="14"/>
        <v/>
      </c>
      <c r="N123" s="55" t="str">
        <f t="shared" si="15"/>
        <v/>
      </c>
      <c r="O123" s="56">
        <f t="shared" si="16"/>
        <v>0</v>
      </c>
      <c r="P123" s="56">
        <f t="shared" si="17"/>
        <v>0</v>
      </c>
      <c r="Q123" s="55">
        <f t="shared" si="18"/>
        <v>0</v>
      </c>
      <c r="R123" s="48"/>
      <c r="T123" s="58"/>
      <c r="U123" s="46"/>
      <c r="V123" s="47">
        <f>IF(U123&lt;&gt;"",VLOOKUP(U123,'Tipo Projeto'!$A$3:$B$35,2,0),0)</f>
        <v>0</v>
      </c>
      <c r="W123" s="48"/>
      <c r="X123" s="50"/>
      <c r="Y123" s="51"/>
      <c r="Z123" s="52"/>
      <c r="AA123" s="53"/>
      <c r="AB123" s="54" t="str">
        <f t="shared" si="19"/>
        <v/>
      </c>
      <c r="AC123" s="49" t="str">
        <f t="shared" si="20"/>
        <v/>
      </c>
      <c r="AD123" s="55" t="str">
        <f t="shared" si="21"/>
        <v/>
      </c>
      <c r="AE123" s="56">
        <f t="shared" si="22"/>
        <v>0</v>
      </c>
      <c r="AF123" s="56">
        <f t="shared" si="23"/>
        <v>0</v>
      </c>
      <c r="AG123" s="59">
        <f t="shared" si="24"/>
        <v>0</v>
      </c>
      <c r="AH123" s="48"/>
      <c r="AJ123" s="48"/>
      <c r="AL123" s="48"/>
      <c r="AM123" s="48" t="str">
        <f t="shared" si="25"/>
        <v/>
      </c>
    </row>
    <row r="124" spans="1:39" s="57" customFormat="1" ht="14">
      <c r="A124" s="45"/>
      <c r="B124" s="46"/>
      <c r="C124" s="47">
        <f>IF(B124&lt;&gt;"",VLOOKUP(B124,'Tipo Projeto'!$A$3:$B$35,2,0),0)</f>
        <v>0</v>
      </c>
      <c r="D124" s="48"/>
      <c r="E124" s="48"/>
      <c r="F124" s="49"/>
      <c r="G124" s="204"/>
      <c r="H124" s="50"/>
      <c r="I124" s="51"/>
      <c r="J124" s="52"/>
      <c r="K124" s="53"/>
      <c r="L124" s="54" t="str">
        <f t="shared" si="13"/>
        <v/>
      </c>
      <c r="M124" s="49" t="str">
        <f t="shared" si="14"/>
        <v/>
      </c>
      <c r="N124" s="55" t="str">
        <f t="shared" si="15"/>
        <v/>
      </c>
      <c r="O124" s="56">
        <f t="shared" si="16"/>
        <v>0</v>
      </c>
      <c r="P124" s="56">
        <f t="shared" si="17"/>
        <v>0</v>
      </c>
      <c r="Q124" s="55">
        <f t="shared" si="18"/>
        <v>0</v>
      </c>
      <c r="R124" s="48"/>
      <c r="T124" s="58"/>
      <c r="U124" s="46"/>
      <c r="V124" s="47">
        <f>IF(U124&lt;&gt;"",VLOOKUP(U124,'Tipo Projeto'!$A$3:$B$35,2,0),0)</f>
        <v>0</v>
      </c>
      <c r="W124" s="48"/>
      <c r="X124" s="50"/>
      <c r="Y124" s="51"/>
      <c r="Z124" s="52"/>
      <c r="AA124" s="53"/>
      <c r="AB124" s="54" t="str">
        <f t="shared" si="19"/>
        <v/>
      </c>
      <c r="AC124" s="49" t="str">
        <f t="shared" si="20"/>
        <v/>
      </c>
      <c r="AD124" s="55" t="str">
        <f t="shared" si="21"/>
        <v/>
      </c>
      <c r="AE124" s="56">
        <f t="shared" si="22"/>
        <v>0</v>
      </c>
      <c r="AF124" s="56">
        <f t="shared" si="23"/>
        <v>0</v>
      </c>
      <c r="AG124" s="59">
        <f t="shared" si="24"/>
        <v>0</v>
      </c>
      <c r="AH124" s="48"/>
      <c r="AJ124" s="48"/>
      <c r="AL124" s="48"/>
      <c r="AM124" s="48" t="str">
        <f t="shared" si="25"/>
        <v/>
      </c>
    </row>
    <row r="125" spans="1:39" s="57" customFormat="1" ht="14">
      <c r="A125" s="45"/>
      <c r="B125" s="46"/>
      <c r="C125" s="47">
        <f>IF(B125&lt;&gt;"",VLOOKUP(B125,'Tipo Projeto'!$A$3:$B$35,2,0),0)</f>
        <v>0</v>
      </c>
      <c r="D125" s="48"/>
      <c r="E125" s="48"/>
      <c r="F125" s="49"/>
      <c r="G125" s="204"/>
      <c r="H125" s="50"/>
      <c r="I125" s="51"/>
      <c r="J125" s="52"/>
      <c r="K125" s="53"/>
      <c r="L125" s="54" t="str">
        <f t="shared" si="13"/>
        <v/>
      </c>
      <c r="M125" s="49" t="str">
        <f t="shared" si="14"/>
        <v/>
      </c>
      <c r="N125" s="55" t="str">
        <f t="shared" si="15"/>
        <v/>
      </c>
      <c r="O125" s="56">
        <f t="shared" si="16"/>
        <v>0</v>
      </c>
      <c r="P125" s="56">
        <f t="shared" si="17"/>
        <v>0</v>
      </c>
      <c r="Q125" s="55">
        <f t="shared" si="18"/>
        <v>0</v>
      </c>
      <c r="R125" s="48"/>
      <c r="T125" s="58"/>
      <c r="U125" s="46"/>
      <c r="V125" s="47">
        <f>IF(U125&lt;&gt;"",VLOOKUP(U125,'Tipo Projeto'!$A$3:$B$35,2,0),0)</f>
        <v>0</v>
      </c>
      <c r="W125" s="48"/>
      <c r="X125" s="50"/>
      <c r="Y125" s="51"/>
      <c r="Z125" s="52"/>
      <c r="AA125" s="53"/>
      <c r="AB125" s="54" t="str">
        <f t="shared" si="19"/>
        <v/>
      </c>
      <c r="AC125" s="49" t="str">
        <f t="shared" si="20"/>
        <v/>
      </c>
      <c r="AD125" s="55" t="str">
        <f t="shared" si="21"/>
        <v/>
      </c>
      <c r="AE125" s="56">
        <f t="shared" si="22"/>
        <v>0</v>
      </c>
      <c r="AF125" s="56">
        <f t="shared" si="23"/>
        <v>0</v>
      </c>
      <c r="AG125" s="59">
        <f t="shared" si="24"/>
        <v>0</v>
      </c>
      <c r="AH125" s="48"/>
      <c r="AJ125" s="48"/>
      <c r="AL125" s="48"/>
      <c r="AM125" s="48" t="str">
        <f t="shared" si="25"/>
        <v/>
      </c>
    </row>
    <row r="126" spans="1:39" s="57" customFormat="1" ht="14">
      <c r="A126" s="45"/>
      <c r="B126" s="46"/>
      <c r="C126" s="47">
        <f>IF(B126&lt;&gt;"",VLOOKUP(B126,'Tipo Projeto'!$A$3:$B$35,2,0),0)</f>
        <v>0</v>
      </c>
      <c r="D126" s="48"/>
      <c r="E126" s="48"/>
      <c r="F126" s="49"/>
      <c r="G126" s="204"/>
      <c r="H126" s="50"/>
      <c r="I126" s="51"/>
      <c r="J126" s="52"/>
      <c r="K126" s="53"/>
      <c r="L126" s="54" t="str">
        <f t="shared" si="13"/>
        <v/>
      </c>
      <c r="M126" s="49" t="str">
        <f t="shared" si="14"/>
        <v/>
      </c>
      <c r="N126" s="55" t="str">
        <f t="shared" si="15"/>
        <v/>
      </c>
      <c r="O126" s="56">
        <f t="shared" si="16"/>
        <v>0</v>
      </c>
      <c r="P126" s="56">
        <f t="shared" si="17"/>
        <v>0</v>
      </c>
      <c r="Q126" s="55">
        <f t="shared" si="18"/>
        <v>0</v>
      </c>
      <c r="R126" s="48"/>
      <c r="T126" s="58"/>
      <c r="U126" s="46"/>
      <c r="V126" s="47">
        <f>IF(U126&lt;&gt;"",VLOOKUP(U126,'Tipo Projeto'!$A$3:$B$35,2,0),0)</f>
        <v>0</v>
      </c>
      <c r="W126" s="48"/>
      <c r="X126" s="50"/>
      <c r="Y126" s="51"/>
      <c r="Z126" s="52"/>
      <c r="AA126" s="53"/>
      <c r="AB126" s="54" t="str">
        <f t="shared" si="19"/>
        <v/>
      </c>
      <c r="AC126" s="49" t="str">
        <f t="shared" si="20"/>
        <v/>
      </c>
      <c r="AD126" s="55" t="str">
        <f t="shared" si="21"/>
        <v/>
      </c>
      <c r="AE126" s="56">
        <f t="shared" si="22"/>
        <v>0</v>
      </c>
      <c r="AF126" s="56">
        <f t="shared" si="23"/>
        <v>0</v>
      </c>
      <c r="AG126" s="59">
        <f t="shared" si="24"/>
        <v>0</v>
      </c>
      <c r="AH126" s="48"/>
      <c r="AJ126" s="48"/>
      <c r="AL126" s="48"/>
      <c r="AM126" s="48" t="str">
        <f t="shared" si="25"/>
        <v/>
      </c>
    </row>
    <row r="127" spans="1:39" s="57" customFormat="1" ht="14">
      <c r="A127" s="45"/>
      <c r="B127" s="46"/>
      <c r="C127" s="47">
        <f>IF(B127&lt;&gt;"",VLOOKUP(B127,'Tipo Projeto'!$A$3:$B$35,2,0),0)</f>
        <v>0</v>
      </c>
      <c r="D127" s="48"/>
      <c r="E127" s="48"/>
      <c r="F127" s="49"/>
      <c r="G127" s="204"/>
      <c r="H127" s="50"/>
      <c r="I127" s="51"/>
      <c r="J127" s="52"/>
      <c r="K127" s="53"/>
      <c r="L127" s="54" t="str">
        <f t="shared" si="13"/>
        <v/>
      </c>
      <c r="M127" s="49" t="str">
        <f t="shared" si="14"/>
        <v/>
      </c>
      <c r="N127" s="55" t="str">
        <f t="shared" si="15"/>
        <v/>
      </c>
      <c r="O127" s="56">
        <f t="shared" si="16"/>
        <v>0</v>
      </c>
      <c r="P127" s="56">
        <f t="shared" si="17"/>
        <v>0</v>
      </c>
      <c r="Q127" s="55">
        <f t="shared" si="18"/>
        <v>0</v>
      </c>
      <c r="R127" s="48"/>
      <c r="T127" s="58"/>
      <c r="U127" s="46"/>
      <c r="V127" s="47">
        <f>IF(U127&lt;&gt;"",VLOOKUP(U127,'Tipo Projeto'!$A$3:$B$35,2,0),0)</f>
        <v>0</v>
      </c>
      <c r="W127" s="48"/>
      <c r="X127" s="50"/>
      <c r="Y127" s="51"/>
      <c r="Z127" s="52"/>
      <c r="AA127" s="53"/>
      <c r="AB127" s="54" t="str">
        <f t="shared" si="19"/>
        <v/>
      </c>
      <c r="AC127" s="49" t="str">
        <f t="shared" si="20"/>
        <v/>
      </c>
      <c r="AD127" s="55" t="str">
        <f t="shared" si="21"/>
        <v/>
      </c>
      <c r="AE127" s="56">
        <f t="shared" si="22"/>
        <v>0</v>
      </c>
      <c r="AF127" s="56">
        <f t="shared" si="23"/>
        <v>0</v>
      </c>
      <c r="AG127" s="59">
        <f t="shared" si="24"/>
        <v>0</v>
      </c>
      <c r="AH127" s="48"/>
      <c r="AJ127" s="48"/>
      <c r="AL127" s="48"/>
      <c r="AM127" s="48" t="str">
        <f t="shared" si="25"/>
        <v/>
      </c>
    </row>
    <row r="128" spans="1:39" s="57" customFormat="1" ht="14">
      <c r="A128" s="45"/>
      <c r="B128" s="46"/>
      <c r="C128" s="47">
        <f>IF(B128&lt;&gt;"",VLOOKUP(B128,'Tipo Projeto'!$A$3:$B$35,2,0),0)</f>
        <v>0</v>
      </c>
      <c r="D128" s="48"/>
      <c r="E128" s="48"/>
      <c r="F128" s="49"/>
      <c r="G128" s="204"/>
      <c r="H128" s="50"/>
      <c r="I128" s="51"/>
      <c r="J128" s="52"/>
      <c r="K128" s="53"/>
      <c r="L128" s="54" t="str">
        <f t="shared" si="13"/>
        <v/>
      </c>
      <c r="M128" s="49" t="str">
        <f t="shared" si="14"/>
        <v/>
      </c>
      <c r="N128" s="55" t="str">
        <f t="shared" si="15"/>
        <v/>
      </c>
      <c r="O128" s="56">
        <f t="shared" si="16"/>
        <v>0</v>
      </c>
      <c r="P128" s="56">
        <f t="shared" si="17"/>
        <v>0</v>
      </c>
      <c r="Q128" s="55">
        <f t="shared" si="18"/>
        <v>0</v>
      </c>
      <c r="R128" s="48"/>
      <c r="T128" s="58"/>
      <c r="U128" s="46"/>
      <c r="V128" s="47">
        <f>IF(U128&lt;&gt;"",VLOOKUP(U128,'Tipo Projeto'!$A$3:$B$35,2,0),0)</f>
        <v>0</v>
      </c>
      <c r="W128" s="48"/>
      <c r="X128" s="50"/>
      <c r="Y128" s="51"/>
      <c r="Z128" s="52"/>
      <c r="AA128" s="53"/>
      <c r="AB128" s="54" t="str">
        <f t="shared" si="19"/>
        <v/>
      </c>
      <c r="AC128" s="49" t="str">
        <f t="shared" si="20"/>
        <v/>
      </c>
      <c r="AD128" s="55" t="str">
        <f t="shared" si="21"/>
        <v/>
      </c>
      <c r="AE128" s="56">
        <f t="shared" si="22"/>
        <v>0</v>
      </c>
      <c r="AF128" s="56">
        <f t="shared" si="23"/>
        <v>0</v>
      </c>
      <c r="AG128" s="59">
        <f t="shared" si="24"/>
        <v>0</v>
      </c>
      <c r="AH128" s="48"/>
      <c r="AJ128" s="48"/>
      <c r="AL128" s="48"/>
      <c r="AM128" s="48" t="str">
        <f t="shared" si="25"/>
        <v/>
      </c>
    </row>
    <row r="129" spans="1:39" s="57" customFormat="1" ht="14">
      <c r="A129" s="45"/>
      <c r="B129" s="46"/>
      <c r="C129" s="47">
        <f>IF(B129&lt;&gt;"",VLOOKUP(B129,'Tipo Projeto'!$A$3:$B$35,2,0),0)</f>
        <v>0</v>
      </c>
      <c r="D129" s="48"/>
      <c r="E129" s="48"/>
      <c r="F129" s="49"/>
      <c r="G129" s="204"/>
      <c r="H129" s="50"/>
      <c r="I129" s="51"/>
      <c r="J129" s="52"/>
      <c r="K129" s="53"/>
      <c r="L129" s="54" t="str">
        <f t="shared" si="13"/>
        <v/>
      </c>
      <c r="M129" s="49" t="str">
        <f t="shared" si="14"/>
        <v/>
      </c>
      <c r="N129" s="55" t="str">
        <f t="shared" si="15"/>
        <v/>
      </c>
      <c r="O129" s="56">
        <f t="shared" si="16"/>
        <v>0</v>
      </c>
      <c r="P129" s="56">
        <f t="shared" si="17"/>
        <v>0</v>
      </c>
      <c r="Q129" s="55">
        <f t="shared" si="18"/>
        <v>0</v>
      </c>
      <c r="R129" s="48"/>
      <c r="T129" s="58"/>
      <c r="U129" s="46"/>
      <c r="V129" s="47">
        <f>IF(U129&lt;&gt;"",VLOOKUP(U129,'Tipo Projeto'!$A$3:$B$35,2,0),0)</f>
        <v>0</v>
      </c>
      <c r="W129" s="48"/>
      <c r="X129" s="50"/>
      <c r="Y129" s="51"/>
      <c r="Z129" s="52"/>
      <c r="AA129" s="53"/>
      <c r="AB129" s="54" t="str">
        <f t="shared" si="19"/>
        <v/>
      </c>
      <c r="AC129" s="49" t="str">
        <f t="shared" si="20"/>
        <v/>
      </c>
      <c r="AD129" s="55" t="str">
        <f t="shared" si="21"/>
        <v/>
      </c>
      <c r="AE129" s="56">
        <f t="shared" si="22"/>
        <v>0</v>
      </c>
      <c r="AF129" s="56">
        <f t="shared" si="23"/>
        <v>0</v>
      </c>
      <c r="AG129" s="59">
        <f t="shared" si="24"/>
        <v>0</v>
      </c>
      <c r="AH129" s="48"/>
      <c r="AJ129" s="48"/>
      <c r="AL129" s="48"/>
      <c r="AM129" s="48" t="str">
        <f t="shared" si="25"/>
        <v/>
      </c>
    </row>
    <row r="130" spans="1:39" s="57" customFormat="1" ht="14">
      <c r="A130" s="45"/>
      <c r="B130" s="46"/>
      <c r="C130" s="47">
        <f>IF(B130&lt;&gt;"",VLOOKUP(B130,'Tipo Projeto'!$A$3:$B$35,2,0),0)</f>
        <v>0</v>
      </c>
      <c r="D130" s="48"/>
      <c r="E130" s="48"/>
      <c r="F130" s="49"/>
      <c r="G130" s="204"/>
      <c r="H130" s="50"/>
      <c r="I130" s="51"/>
      <c r="J130" s="52"/>
      <c r="K130" s="53"/>
      <c r="L130" s="54" t="str">
        <f t="shared" si="13"/>
        <v/>
      </c>
      <c r="M130" s="49" t="str">
        <f t="shared" si="14"/>
        <v/>
      </c>
      <c r="N130" s="55" t="str">
        <f t="shared" si="15"/>
        <v/>
      </c>
      <c r="O130" s="56">
        <f t="shared" si="16"/>
        <v>0</v>
      </c>
      <c r="P130" s="56">
        <f t="shared" si="17"/>
        <v>0</v>
      </c>
      <c r="Q130" s="55">
        <f t="shared" si="18"/>
        <v>0</v>
      </c>
      <c r="R130" s="48"/>
      <c r="T130" s="58"/>
      <c r="U130" s="46"/>
      <c r="V130" s="47">
        <f>IF(U130&lt;&gt;"",VLOOKUP(U130,'Tipo Projeto'!$A$3:$B$35,2,0),0)</f>
        <v>0</v>
      </c>
      <c r="W130" s="48"/>
      <c r="X130" s="50"/>
      <c r="Y130" s="51"/>
      <c r="Z130" s="52"/>
      <c r="AA130" s="53"/>
      <c r="AB130" s="54" t="str">
        <f t="shared" si="19"/>
        <v/>
      </c>
      <c r="AC130" s="49" t="str">
        <f t="shared" si="20"/>
        <v/>
      </c>
      <c r="AD130" s="55" t="str">
        <f t="shared" si="21"/>
        <v/>
      </c>
      <c r="AE130" s="56">
        <f t="shared" si="22"/>
        <v>0</v>
      </c>
      <c r="AF130" s="56">
        <f t="shared" si="23"/>
        <v>0</v>
      </c>
      <c r="AG130" s="59">
        <f t="shared" si="24"/>
        <v>0</v>
      </c>
      <c r="AH130" s="48"/>
      <c r="AJ130" s="48"/>
      <c r="AL130" s="48"/>
      <c r="AM130" s="48" t="str">
        <f t="shared" si="25"/>
        <v/>
      </c>
    </row>
    <row r="131" spans="1:39" s="57" customFormat="1" ht="14">
      <c r="A131" s="45"/>
      <c r="B131" s="46"/>
      <c r="C131" s="47">
        <f>IF(B131&lt;&gt;"",VLOOKUP(B131,'Tipo Projeto'!$A$3:$B$35,2,0),0)</f>
        <v>0</v>
      </c>
      <c r="D131" s="48"/>
      <c r="E131" s="48"/>
      <c r="F131" s="49"/>
      <c r="G131" s="204"/>
      <c r="H131" s="50"/>
      <c r="I131" s="51"/>
      <c r="J131" s="52"/>
      <c r="K131" s="53"/>
      <c r="L131" s="54" t="str">
        <f t="shared" si="13"/>
        <v/>
      </c>
      <c r="M131" s="49" t="str">
        <f t="shared" si="14"/>
        <v/>
      </c>
      <c r="N131" s="55" t="str">
        <f t="shared" si="15"/>
        <v/>
      </c>
      <c r="O131" s="56">
        <f t="shared" si="16"/>
        <v>0</v>
      </c>
      <c r="P131" s="56">
        <f t="shared" si="17"/>
        <v>0</v>
      </c>
      <c r="Q131" s="55">
        <f t="shared" si="18"/>
        <v>0</v>
      </c>
      <c r="R131" s="48"/>
      <c r="T131" s="58"/>
      <c r="U131" s="46"/>
      <c r="V131" s="47">
        <f>IF(U131&lt;&gt;"",VLOOKUP(U131,'Tipo Projeto'!$A$3:$B$35,2,0),0)</f>
        <v>0</v>
      </c>
      <c r="W131" s="48"/>
      <c r="X131" s="50"/>
      <c r="Y131" s="51"/>
      <c r="Z131" s="52"/>
      <c r="AA131" s="53"/>
      <c r="AB131" s="54" t="str">
        <f t="shared" si="19"/>
        <v/>
      </c>
      <c r="AC131" s="49" t="str">
        <f t="shared" si="20"/>
        <v/>
      </c>
      <c r="AD131" s="55" t="str">
        <f t="shared" si="21"/>
        <v/>
      </c>
      <c r="AE131" s="56">
        <f t="shared" si="22"/>
        <v>0</v>
      </c>
      <c r="AF131" s="56">
        <f t="shared" si="23"/>
        <v>0</v>
      </c>
      <c r="AG131" s="59">
        <f t="shared" si="24"/>
        <v>0</v>
      </c>
      <c r="AH131" s="48"/>
      <c r="AJ131" s="48"/>
      <c r="AL131" s="48"/>
      <c r="AM131" s="48" t="str">
        <f t="shared" si="25"/>
        <v/>
      </c>
    </row>
    <row r="132" spans="1:39" s="57" customFormat="1" ht="14">
      <c r="A132" s="45"/>
      <c r="B132" s="46"/>
      <c r="C132" s="47">
        <f>IF(B132&lt;&gt;"",VLOOKUP(B132,'Tipo Projeto'!$A$3:$B$35,2,0),0)</f>
        <v>0</v>
      </c>
      <c r="D132" s="48"/>
      <c r="E132" s="48"/>
      <c r="F132" s="49"/>
      <c r="G132" s="204"/>
      <c r="H132" s="50"/>
      <c r="I132" s="51"/>
      <c r="J132" s="52"/>
      <c r="K132" s="53"/>
      <c r="L132" s="54" t="str">
        <f t="shared" si="13"/>
        <v/>
      </c>
      <c r="M132" s="49" t="str">
        <f t="shared" si="14"/>
        <v/>
      </c>
      <c r="N132" s="55" t="str">
        <f t="shared" si="15"/>
        <v/>
      </c>
      <c r="O132" s="56">
        <f t="shared" si="16"/>
        <v>0</v>
      </c>
      <c r="P132" s="56">
        <f t="shared" si="17"/>
        <v>0</v>
      </c>
      <c r="Q132" s="55">
        <f t="shared" si="18"/>
        <v>0</v>
      </c>
      <c r="R132" s="48"/>
      <c r="T132" s="58"/>
      <c r="U132" s="46"/>
      <c r="V132" s="47">
        <f>IF(U132&lt;&gt;"",VLOOKUP(U132,'Tipo Projeto'!$A$3:$B$35,2,0),0)</f>
        <v>0</v>
      </c>
      <c r="W132" s="48"/>
      <c r="X132" s="50"/>
      <c r="Y132" s="51"/>
      <c r="Z132" s="52"/>
      <c r="AA132" s="53"/>
      <c r="AB132" s="54" t="str">
        <f t="shared" si="19"/>
        <v/>
      </c>
      <c r="AC132" s="49" t="str">
        <f t="shared" si="20"/>
        <v/>
      </c>
      <c r="AD132" s="55" t="str">
        <f t="shared" si="21"/>
        <v/>
      </c>
      <c r="AE132" s="56">
        <f t="shared" si="22"/>
        <v>0</v>
      </c>
      <c r="AF132" s="56">
        <f t="shared" si="23"/>
        <v>0</v>
      </c>
      <c r="AG132" s="59">
        <f t="shared" si="24"/>
        <v>0</v>
      </c>
      <c r="AH132" s="48"/>
      <c r="AJ132" s="48"/>
      <c r="AL132" s="48"/>
      <c r="AM132" s="48" t="str">
        <f t="shared" si="25"/>
        <v/>
      </c>
    </row>
    <row r="133" spans="1:39" s="57" customFormat="1" ht="14">
      <c r="A133" s="45"/>
      <c r="B133" s="46"/>
      <c r="C133" s="47">
        <f>IF(B133&lt;&gt;"",VLOOKUP(B133,'Tipo Projeto'!$A$3:$B$35,2,0),0)</f>
        <v>0</v>
      </c>
      <c r="D133" s="48"/>
      <c r="E133" s="48"/>
      <c r="F133" s="49"/>
      <c r="G133" s="204"/>
      <c r="H133" s="50"/>
      <c r="I133" s="51"/>
      <c r="J133" s="52"/>
      <c r="K133" s="53"/>
      <c r="L133" s="54" t="str">
        <f t="shared" si="13"/>
        <v/>
      </c>
      <c r="M133" s="49" t="str">
        <f t="shared" si="14"/>
        <v/>
      </c>
      <c r="N133" s="55" t="str">
        <f t="shared" si="15"/>
        <v/>
      </c>
      <c r="O133" s="56">
        <f t="shared" si="16"/>
        <v>0</v>
      </c>
      <c r="P133" s="56">
        <f t="shared" si="17"/>
        <v>0</v>
      </c>
      <c r="Q133" s="55">
        <f t="shared" si="18"/>
        <v>0</v>
      </c>
      <c r="R133" s="48"/>
      <c r="T133" s="58"/>
      <c r="U133" s="46"/>
      <c r="V133" s="47">
        <f>IF(U133&lt;&gt;"",VLOOKUP(U133,'Tipo Projeto'!$A$3:$B$35,2,0),0)</f>
        <v>0</v>
      </c>
      <c r="W133" s="48"/>
      <c r="X133" s="50"/>
      <c r="Y133" s="51"/>
      <c r="Z133" s="52"/>
      <c r="AA133" s="53"/>
      <c r="AB133" s="54" t="str">
        <f t="shared" si="19"/>
        <v/>
      </c>
      <c r="AC133" s="49" t="str">
        <f t="shared" si="20"/>
        <v/>
      </c>
      <c r="AD133" s="55" t="str">
        <f t="shared" si="21"/>
        <v/>
      </c>
      <c r="AE133" s="56">
        <f t="shared" si="22"/>
        <v>0</v>
      </c>
      <c r="AF133" s="56">
        <f t="shared" si="23"/>
        <v>0</v>
      </c>
      <c r="AG133" s="59">
        <f t="shared" si="24"/>
        <v>0</v>
      </c>
      <c r="AH133" s="48"/>
      <c r="AJ133" s="48"/>
      <c r="AL133" s="48"/>
      <c r="AM133" s="48" t="str">
        <f t="shared" si="25"/>
        <v/>
      </c>
    </row>
    <row r="134" spans="1:39" s="57" customFormat="1" ht="14">
      <c r="A134" s="45"/>
      <c r="B134" s="46"/>
      <c r="C134" s="47">
        <f>IF(B134&lt;&gt;"",VLOOKUP(B134,'Tipo Projeto'!$A$3:$B$35,2,0),0)</f>
        <v>0</v>
      </c>
      <c r="D134" s="48"/>
      <c r="E134" s="48"/>
      <c r="F134" s="49"/>
      <c r="G134" s="204"/>
      <c r="H134" s="50"/>
      <c r="I134" s="51"/>
      <c r="J134" s="52"/>
      <c r="K134" s="53"/>
      <c r="L134" s="54" t="str">
        <f t="shared" si="13"/>
        <v/>
      </c>
      <c r="M134" s="49" t="str">
        <f t="shared" si="14"/>
        <v/>
      </c>
      <c r="N134" s="55" t="str">
        <f t="shared" si="15"/>
        <v/>
      </c>
      <c r="O134" s="56">
        <f t="shared" si="16"/>
        <v>0</v>
      </c>
      <c r="P134" s="56">
        <f t="shared" si="17"/>
        <v>0</v>
      </c>
      <c r="Q134" s="55">
        <f t="shared" si="18"/>
        <v>0</v>
      </c>
      <c r="R134" s="48"/>
      <c r="T134" s="58"/>
      <c r="U134" s="46"/>
      <c r="V134" s="47">
        <f>IF(U134&lt;&gt;"",VLOOKUP(U134,'Tipo Projeto'!$A$3:$B$35,2,0),0)</f>
        <v>0</v>
      </c>
      <c r="W134" s="48"/>
      <c r="X134" s="50"/>
      <c r="Y134" s="51"/>
      <c r="Z134" s="52"/>
      <c r="AA134" s="53"/>
      <c r="AB134" s="54" t="str">
        <f t="shared" si="19"/>
        <v/>
      </c>
      <c r="AC134" s="49" t="str">
        <f t="shared" si="20"/>
        <v/>
      </c>
      <c r="AD134" s="55" t="str">
        <f t="shared" si="21"/>
        <v/>
      </c>
      <c r="AE134" s="56">
        <f t="shared" si="22"/>
        <v>0</v>
      </c>
      <c r="AF134" s="56">
        <f t="shared" si="23"/>
        <v>0</v>
      </c>
      <c r="AG134" s="59">
        <f t="shared" si="24"/>
        <v>0</v>
      </c>
      <c r="AH134" s="48"/>
      <c r="AJ134" s="48"/>
      <c r="AL134" s="48"/>
      <c r="AM134" s="48" t="str">
        <f t="shared" si="25"/>
        <v/>
      </c>
    </row>
    <row r="135" spans="1:39" s="57" customFormat="1" ht="14">
      <c r="A135" s="45"/>
      <c r="B135" s="46"/>
      <c r="C135" s="47">
        <f>IF(B135&lt;&gt;"",VLOOKUP(B135,'Tipo Projeto'!$A$3:$B$35,2,0),0)</f>
        <v>0</v>
      </c>
      <c r="D135" s="48"/>
      <c r="E135" s="48"/>
      <c r="F135" s="49"/>
      <c r="G135" s="204"/>
      <c r="H135" s="50"/>
      <c r="I135" s="51"/>
      <c r="J135" s="52"/>
      <c r="K135" s="53"/>
      <c r="L135" s="54" t="str">
        <f t="shared" si="13"/>
        <v/>
      </c>
      <c r="M135" s="49" t="str">
        <f t="shared" si="14"/>
        <v/>
      </c>
      <c r="N135" s="55" t="str">
        <f t="shared" si="15"/>
        <v/>
      </c>
      <c r="O135" s="56">
        <f t="shared" si="16"/>
        <v>0</v>
      </c>
      <c r="P135" s="56">
        <f t="shared" si="17"/>
        <v>0</v>
      </c>
      <c r="Q135" s="55">
        <f t="shared" si="18"/>
        <v>0</v>
      </c>
      <c r="R135" s="48"/>
      <c r="T135" s="58"/>
      <c r="U135" s="46"/>
      <c r="V135" s="47">
        <f>IF(U135&lt;&gt;"",VLOOKUP(U135,'Tipo Projeto'!$A$3:$B$35,2,0),0)</f>
        <v>0</v>
      </c>
      <c r="W135" s="48"/>
      <c r="X135" s="50"/>
      <c r="Y135" s="51"/>
      <c r="Z135" s="52"/>
      <c r="AA135" s="53"/>
      <c r="AB135" s="54" t="str">
        <f t="shared" si="19"/>
        <v/>
      </c>
      <c r="AC135" s="49" t="str">
        <f t="shared" si="20"/>
        <v/>
      </c>
      <c r="AD135" s="55" t="str">
        <f t="shared" si="21"/>
        <v/>
      </c>
      <c r="AE135" s="56">
        <f t="shared" si="22"/>
        <v>0</v>
      </c>
      <c r="AF135" s="56">
        <f t="shared" si="23"/>
        <v>0</v>
      </c>
      <c r="AG135" s="59">
        <f t="shared" si="24"/>
        <v>0</v>
      </c>
      <c r="AH135" s="48"/>
      <c r="AJ135" s="48"/>
      <c r="AL135" s="48"/>
      <c r="AM135" s="48" t="str">
        <f t="shared" si="25"/>
        <v/>
      </c>
    </row>
    <row r="136" spans="1:39" s="57" customFormat="1" ht="14">
      <c r="A136" s="45"/>
      <c r="B136" s="46"/>
      <c r="C136" s="47">
        <f>IF(B136&lt;&gt;"",VLOOKUP(B136,'Tipo Projeto'!$A$3:$B$35,2,0),0)</f>
        <v>0</v>
      </c>
      <c r="D136" s="48"/>
      <c r="E136" s="48"/>
      <c r="F136" s="49"/>
      <c r="G136" s="204"/>
      <c r="H136" s="50"/>
      <c r="I136" s="51"/>
      <c r="J136" s="52"/>
      <c r="K136" s="53"/>
      <c r="L136" s="54" t="str">
        <f t="shared" si="13"/>
        <v/>
      </c>
      <c r="M136" s="49" t="str">
        <f t="shared" si="14"/>
        <v/>
      </c>
      <c r="N136" s="55" t="str">
        <f t="shared" si="15"/>
        <v/>
      </c>
      <c r="O136" s="56">
        <f t="shared" si="16"/>
        <v>0</v>
      </c>
      <c r="P136" s="56">
        <f t="shared" si="17"/>
        <v>0</v>
      </c>
      <c r="Q136" s="55">
        <f t="shared" si="18"/>
        <v>0</v>
      </c>
      <c r="R136" s="48"/>
      <c r="T136" s="58"/>
      <c r="U136" s="46"/>
      <c r="V136" s="47">
        <f>IF(U136&lt;&gt;"",VLOOKUP(U136,'Tipo Projeto'!$A$3:$B$35,2,0),0)</f>
        <v>0</v>
      </c>
      <c r="W136" s="48"/>
      <c r="X136" s="50"/>
      <c r="Y136" s="51"/>
      <c r="Z136" s="52"/>
      <c r="AA136" s="53"/>
      <c r="AB136" s="54" t="str">
        <f t="shared" si="19"/>
        <v/>
      </c>
      <c r="AC136" s="49" t="str">
        <f t="shared" si="20"/>
        <v/>
      </c>
      <c r="AD136" s="55" t="str">
        <f t="shared" si="21"/>
        <v/>
      </c>
      <c r="AE136" s="56">
        <f t="shared" si="22"/>
        <v>0</v>
      </c>
      <c r="AF136" s="56">
        <f t="shared" si="23"/>
        <v>0</v>
      </c>
      <c r="AG136" s="59">
        <f t="shared" si="24"/>
        <v>0</v>
      </c>
      <c r="AH136" s="48"/>
      <c r="AJ136" s="48"/>
      <c r="AL136" s="48"/>
      <c r="AM136" s="48" t="str">
        <f t="shared" si="25"/>
        <v/>
      </c>
    </row>
    <row r="137" spans="1:39" s="57" customFormat="1" ht="14">
      <c r="A137" s="45"/>
      <c r="B137" s="46"/>
      <c r="C137" s="47">
        <f>IF(B137&lt;&gt;"",VLOOKUP(B137,'Tipo Projeto'!$A$3:$B$35,2,0),0)</f>
        <v>0</v>
      </c>
      <c r="D137" s="48"/>
      <c r="E137" s="48"/>
      <c r="F137" s="49"/>
      <c r="G137" s="204"/>
      <c r="H137" s="50"/>
      <c r="I137" s="51"/>
      <c r="J137" s="52"/>
      <c r="K137" s="53"/>
      <c r="L137" s="54" t="str">
        <f t="shared" si="13"/>
        <v/>
      </c>
      <c r="M137" s="49" t="str">
        <f t="shared" si="14"/>
        <v/>
      </c>
      <c r="N137" s="55" t="str">
        <f t="shared" si="15"/>
        <v/>
      </c>
      <c r="O137" s="56">
        <f t="shared" si="16"/>
        <v>0</v>
      </c>
      <c r="P137" s="56">
        <f t="shared" si="17"/>
        <v>0</v>
      </c>
      <c r="Q137" s="55">
        <f t="shared" si="18"/>
        <v>0</v>
      </c>
      <c r="R137" s="48"/>
      <c r="T137" s="58"/>
      <c r="U137" s="46"/>
      <c r="V137" s="47">
        <f>IF(U137&lt;&gt;"",VLOOKUP(U137,'Tipo Projeto'!$A$3:$B$35,2,0),0)</f>
        <v>0</v>
      </c>
      <c r="W137" s="48"/>
      <c r="X137" s="50"/>
      <c r="Y137" s="51"/>
      <c r="Z137" s="52"/>
      <c r="AA137" s="53"/>
      <c r="AB137" s="54" t="str">
        <f t="shared" si="19"/>
        <v/>
      </c>
      <c r="AC137" s="49" t="str">
        <f t="shared" si="20"/>
        <v/>
      </c>
      <c r="AD137" s="55" t="str">
        <f t="shared" si="21"/>
        <v/>
      </c>
      <c r="AE137" s="56">
        <f t="shared" si="22"/>
        <v>0</v>
      </c>
      <c r="AF137" s="56">
        <f t="shared" si="23"/>
        <v>0</v>
      </c>
      <c r="AG137" s="59">
        <f t="shared" si="24"/>
        <v>0</v>
      </c>
      <c r="AH137" s="48"/>
      <c r="AJ137" s="48"/>
      <c r="AL137" s="48"/>
      <c r="AM137" s="48" t="str">
        <f t="shared" si="25"/>
        <v/>
      </c>
    </row>
    <row r="138" spans="1:39" s="57" customFormat="1" ht="14">
      <c r="A138" s="45"/>
      <c r="B138" s="46"/>
      <c r="C138" s="47">
        <f>IF(B138&lt;&gt;"",VLOOKUP(B138,'Tipo Projeto'!$A$3:$B$35,2,0),0)</f>
        <v>0</v>
      </c>
      <c r="D138" s="48"/>
      <c r="E138" s="48"/>
      <c r="F138" s="49"/>
      <c r="G138" s="204"/>
      <c r="H138" s="50"/>
      <c r="I138" s="51"/>
      <c r="J138" s="52"/>
      <c r="K138" s="53"/>
      <c r="L138" s="54"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9"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5" t="str">
        <f t="shared" ref="N138:N201" si="28">IF(L138="",M138,IF(M138="",L138,""))</f>
        <v/>
      </c>
      <c r="O138" s="56">
        <f t="shared" ref="O138:O201" si="29">IF(AND(OR(G138="EE",G138="CE"),N138="Simples"),3, IF(AND(OR(G138="EE",G138="CE"),N138="Médio"),4, IF(AND(OR(G138="EE",G138="CE"),N138="Complexo"),6, IF(AND(G138="SE",N138="Simples"),4, IF(AND(G138="SE",N138="Médio"),5, IF(AND(G138="SE",N138="Complexo"),7,0))))))</f>
        <v>0</v>
      </c>
      <c r="P138" s="56">
        <f t="shared" ref="P138:P201" si="30">IF(AND(G138="ALI",M138="Simples"),7, IF(AND(G138="ALI",M138="Médio"),10, IF(AND(G138="ALI",M138="Complexo"),15, IF(AND(G138="AIE",M138="Simples"),5, IF(AND(G138="AIE",M138="Médio"),7, IF(AND(G138="AIE",M138="Complexo"),10,0))))))</f>
        <v>0</v>
      </c>
      <c r="Q138" s="55">
        <f t="shared" ref="Q138:Q201" si="31">IF(B138&lt;&gt;"Manutenção em interface",IF(B138&lt;&gt;"Desenv., Manutenção e Publicação de Páginas Estáticas",(O138+P138)*C138,C138),C138)</f>
        <v>0</v>
      </c>
      <c r="R138" s="48"/>
      <c r="T138" s="58"/>
      <c r="U138" s="46"/>
      <c r="V138" s="47">
        <f>IF(U138&lt;&gt;"",VLOOKUP(U138,'Tipo Projeto'!$A$3:$B$35,2,0),0)</f>
        <v>0</v>
      </c>
      <c r="W138" s="48"/>
      <c r="X138" s="50"/>
      <c r="Y138" s="51"/>
      <c r="Z138" s="52"/>
      <c r="AA138" s="53"/>
      <c r="AB138" s="54"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9"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5" t="str">
        <f t="shared" ref="AD138:AD201" si="34">IF(AB138="",AC138,IF(AC138="",AB138,""))</f>
        <v/>
      </c>
      <c r="AE138" s="56">
        <f t="shared" ref="AE138:AE201" si="35">IF(AND(OR(W138="EE",W138="CE"),AD138="Simples"),3, IF(AND(OR(W138="EE",W138="CE"),AD138="Médio"),4, IF(AND(OR(W138="EE",W138="CE"),AD138="Complexo"),6, IF(AND(W138="SE",AD138="Simples"),4, IF(AND(W138="SE",AD138="Médio"),5, IF(AND(W138="SE",AD138="Complexo"),7,0))))))</f>
        <v>0</v>
      </c>
      <c r="AF138" s="56">
        <f t="shared" ref="AF138:AF201" si="36">IF(AND(W138="ALI",AC138="Simples"),7, IF(AND(W138="ALI",AC138="Médio"),10, IF(AND(W138="ALI",AC138="Complexo"),15, IF(AND(W138="AIE",AC138="Simples"),5, IF(AND(W138="AIE",AC138="Médio"),7, IF(AND(W138="AIE",AC138="Complexo"),10,0))))))</f>
        <v>0</v>
      </c>
      <c r="AG138" s="59">
        <f t="shared" ref="AG138:AG201" si="37">IF(T138="OK",Q138,( IF(U138&lt;&gt;"Manutenção em interface",IF(U138&lt;&gt;"Desenv., Manutenção e Publicação de Páginas Estáticas",(AE138+AF138)*V138,V138),V138)))</f>
        <v>0</v>
      </c>
      <c r="AH138" s="48"/>
      <c r="AJ138" s="48"/>
      <c r="AL138" s="48"/>
      <c r="AM138" s="48" t="str">
        <f t="shared" ref="AM138:AM201" si="38">IF(AG138=0,"",IF(AG138=Q138,"OK","Divergente"))</f>
        <v/>
      </c>
    </row>
    <row r="139" spans="1:39" s="57" customFormat="1" ht="14">
      <c r="A139" s="45"/>
      <c r="B139" s="46"/>
      <c r="C139" s="47">
        <f>IF(B139&lt;&gt;"",VLOOKUP(B139,'Tipo Projeto'!$A$3:$B$35,2,0),0)</f>
        <v>0</v>
      </c>
      <c r="D139" s="48"/>
      <c r="E139" s="48"/>
      <c r="F139" s="49"/>
      <c r="G139" s="204"/>
      <c r="H139" s="50"/>
      <c r="I139" s="51"/>
      <c r="J139" s="52"/>
      <c r="K139" s="53"/>
      <c r="L139" s="54" t="str">
        <f t="shared" si="26"/>
        <v/>
      </c>
      <c r="M139" s="49" t="str">
        <f t="shared" si="27"/>
        <v/>
      </c>
      <c r="N139" s="55" t="str">
        <f t="shared" si="28"/>
        <v/>
      </c>
      <c r="O139" s="56">
        <f t="shared" si="29"/>
        <v>0</v>
      </c>
      <c r="P139" s="56">
        <f t="shared" si="30"/>
        <v>0</v>
      </c>
      <c r="Q139" s="55">
        <f t="shared" si="31"/>
        <v>0</v>
      </c>
      <c r="R139" s="48"/>
      <c r="T139" s="58"/>
      <c r="U139" s="46"/>
      <c r="V139" s="47">
        <f>IF(U139&lt;&gt;"",VLOOKUP(U139,'Tipo Projeto'!$A$3:$B$35,2,0),0)</f>
        <v>0</v>
      </c>
      <c r="W139" s="48"/>
      <c r="X139" s="50"/>
      <c r="Y139" s="51"/>
      <c r="Z139" s="52"/>
      <c r="AA139" s="53"/>
      <c r="AB139" s="54" t="str">
        <f t="shared" si="32"/>
        <v/>
      </c>
      <c r="AC139" s="49" t="str">
        <f t="shared" si="33"/>
        <v/>
      </c>
      <c r="AD139" s="55" t="str">
        <f t="shared" si="34"/>
        <v/>
      </c>
      <c r="AE139" s="56">
        <f t="shared" si="35"/>
        <v>0</v>
      </c>
      <c r="AF139" s="56">
        <f t="shared" si="36"/>
        <v>0</v>
      </c>
      <c r="AG139" s="59">
        <f t="shared" si="37"/>
        <v>0</v>
      </c>
      <c r="AH139" s="48"/>
      <c r="AJ139" s="48"/>
      <c r="AL139" s="48"/>
      <c r="AM139" s="48" t="str">
        <f t="shared" si="38"/>
        <v/>
      </c>
    </row>
    <row r="140" spans="1:39" s="57" customFormat="1" ht="14">
      <c r="A140" s="45"/>
      <c r="B140" s="46"/>
      <c r="C140" s="47">
        <f>IF(B140&lt;&gt;"",VLOOKUP(B140,'Tipo Projeto'!$A$3:$B$35,2,0),0)</f>
        <v>0</v>
      </c>
      <c r="D140" s="48"/>
      <c r="E140" s="48"/>
      <c r="F140" s="49"/>
      <c r="G140" s="204"/>
      <c r="H140" s="50"/>
      <c r="I140" s="51"/>
      <c r="J140" s="52"/>
      <c r="K140" s="53"/>
      <c r="L140" s="54" t="str">
        <f t="shared" si="26"/>
        <v/>
      </c>
      <c r="M140" s="49" t="str">
        <f t="shared" si="27"/>
        <v/>
      </c>
      <c r="N140" s="55" t="str">
        <f t="shared" si="28"/>
        <v/>
      </c>
      <c r="O140" s="56">
        <f t="shared" si="29"/>
        <v>0</v>
      </c>
      <c r="P140" s="56">
        <f t="shared" si="30"/>
        <v>0</v>
      </c>
      <c r="Q140" s="55">
        <f t="shared" si="31"/>
        <v>0</v>
      </c>
      <c r="R140" s="48"/>
      <c r="T140" s="58"/>
      <c r="U140" s="46"/>
      <c r="V140" s="47">
        <f>IF(U140&lt;&gt;"",VLOOKUP(U140,'Tipo Projeto'!$A$3:$B$35,2,0),0)</f>
        <v>0</v>
      </c>
      <c r="W140" s="48"/>
      <c r="X140" s="50"/>
      <c r="Y140" s="51"/>
      <c r="Z140" s="52"/>
      <c r="AA140" s="53"/>
      <c r="AB140" s="54" t="str">
        <f t="shared" si="32"/>
        <v/>
      </c>
      <c r="AC140" s="49" t="str">
        <f t="shared" si="33"/>
        <v/>
      </c>
      <c r="AD140" s="55" t="str">
        <f t="shared" si="34"/>
        <v/>
      </c>
      <c r="AE140" s="56">
        <f t="shared" si="35"/>
        <v>0</v>
      </c>
      <c r="AF140" s="56">
        <f t="shared" si="36"/>
        <v>0</v>
      </c>
      <c r="AG140" s="59">
        <f t="shared" si="37"/>
        <v>0</v>
      </c>
      <c r="AH140" s="48"/>
      <c r="AJ140" s="48"/>
      <c r="AL140" s="48"/>
      <c r="AM140" s="48" t="str">
        <f t="shared" si="38"/>
        <v/>
      </c>
    </row>
    <row r="141" spans="1:39" s="57" customFormat="1" ht="14">
      <c r="A141" s="45"/>
      <c r="B141" s="46"/>
      <c r="C141" s="47">
        <f>IF(B141&lt;&gt;"",VLOOKUP(B141,'Tipo Projeto'!$A$3:$B$35,2,0),0)</f>
        <v>0</v>
      </c>
      <c r="D141" s="48"/>
      <c r="E141" s="48"/>
      <c r="F141" s="49"/>
      <c r="G141" s="204"/>
      <c r="H141" s="50"/>
      <c r="I141" s="51"/>
      <c r="J141" s="52"/>
      <c r="K141" s="53"/>
      <c r="L141" s="54" t="str">
        <f t="shared" si="26"/>
        <v/>
      </c>
      <c r="M141" s="49" t="str">
        <f t="shared" si="27"/>
        <v/>
      </c>
      <c r="N141" s="55" t="str">
        <f t="shared" si="28"/>
        <v/>
      </c>
      <c r="O141" s="56">
        <f t="shared" si="29"/>
        <v>0</v>
      </c>
      <c r="P141" s="56">
        <f t="shared" si="30"/>
        <v>0</v>
      </c>
      <c r="Q141" s="55">
        <f t="shared" si="31"/>
        <v>0</v>
      </c>
      <c r="R141" s="48"/>
      <c r="T141" s="58"/>
      <c r="U141" s="46"/>
      <c r="V141" s="47">
        <f>IF(U141&lt;&gt;"",VLOOKUP(U141,'Tipo Projeto'!$A$3:$B$35,2,0),0)</f>
        <v>0</v>
      </c>
      <c r="W141" s="48"/>
      <c r="X141" s="50"/>
      <c r="Y141" s="51"/>
      <c r="Z141" s="52"/>
      <c r="AA141" s="53"/>
      <c r="AB141" s="54" t="str">
        <f t="shared" si="32"/>
        <v/>
      </c>
      <c r="AC141" s="49" t="str">
        <f t="shared" si="33"/>
        <v/>
      </c>
      <c r="AD141" s="55" t="str">
        <f t="shared" si="34"/>
        <v/>
      </c>
      <c r="AE141" s="56">
        <f t="shared" si="35"/>
        <v>0</v>
      </c>
      <c r="AF141" s="56">
        <f t="shared" si="36"/>
        <v>0</v>
      </c>
      <c r="AG141" s="59">
        <f t="shared" si="37"/>
        <v>0</v>
      </c>
      <c r="AH141" s="48"/>
      <c r="AJ141" s="48"/>
      <c r="AL141" s="48"/>
      <c r="AM141" s="48" t="str">
        <f t="shared" si="38"/>
        <v/>
      </c>
    </row>
    <row r="142" spans="1:39" s="57" customFormat="1" ht="14">
      <c r="A142" s="45"/>
      <c r="B142" s="46"/>
      <c r="C142" s="47">
        <f>IF(B142&lt;&gt;"",VLOOKUP(B142,'Tipo Projeto'!$A$3:$B$35,2,0),0)</f>
        <v>0</v>
      </c>
      <c r="D142" s="48"/>
      <c r="E142" s="48"/>
      <c r="F142" s="49"/>
      <c r="G142" s="204"/>
      <c r="H142" s="50"/>
      <c r="I142" s="51"/>
      <c r="J142" s="52"/>
      <c r="K142" s="53"/>
      <c r="L142" s="54" t="str">
        <f t="shared" si="26"/>
        <v/>
      </c>
      <c r="M142" s="49" t="str">
        <f t="shared" si="27"/>
        <v/>
      </c>
      <c r="N142" s="55" t="str">
        <f t="shared" si="28"/>
        <v/>
      </c>
      <c r="O142" s="56">
        <f t="shared" si="29"/>
        <v>0</v>
      </c>
      <c r="P142" s="56">
        <f t="shared" si="30"/>
        <v>0</v>
      </c>
      <c r="Q142" s="55">
        <f t="shared" si="31"/>
        <v>0</v>
      </c>
      <c r="R142" s="48"/>
      <c r="T142" s="58"/>
      <c r="U142" s="46"/>
      <c r="V142" s="47">
        <f>IF(U142&lt;&gt;"",VLOOKUP(U142,'Tipo Projeto'!$A$3:$B$35,2,0),0)</f>
        <v>0</v>
      </c>
      <c r="W142" s="48"/>
      <c r="X142" s="50"/>
      <c r="Y142" s="51"/>
      <c r="Z142" s="52"/>
      <c r="AA142" s="53"/>
      <c r="AB142" s="54" t="str">
        <f t="shared" si="32"/>
        <v/>
      </c>
      <c r="AC142" s="49" t="str">
        <f t="shared" si="33"/>
        <v/>
      </c>
      <c r="AD142" s="55" t="str">
        <f t="shared" si="34"/>
        <v/>
      </c>
      <c r="AE142" s="56">
        <f t="shared" si="35"/>
        <v>0</v>
      </c>
      <c r="AF142" s="56">
        <f t="shared" si="36"/>
        <v>0</v>
      </c>
      <c r="AG142" s="59">
        <f t="shared" si="37"/>
        <v>0</v>
      </c>
      <c r="AH142" s="48"/>
      <c r="AJ142" s="48"/>
      <c r="AL142" s="48"/>
      <c r="AM142" s="48" t="str">
        <f t="shared" si="38"/>
        <v/>
      </c>
    </row>
    <row r="143" spans="1:39" s="57" customFormat="1" ht="14">
      <c r="A143" s="45"/>
      <c r="B143" s="46"/>
      <c r="C143" s="47">
        <f>IF(B143&lt;&gt;"",VLOOKUP(B143,'Tipo Projeto'!$A$3:$B$35,2,0),0)</f>
        <v>0</v>
      </c>
      <c r="D143" s="48"/>
      <c r="E143" s="48"/>
      <c r="F143" s="49"/>
      <c r="G143" s="204"/>
      <c r="H143" s="50"/>
      <c r="I143" s="51"/>
      <c r="J143" s="52"/>
      <c r="K143" s="53"/>
      <c r="L143" s="54" t="str">
        <f t="shared" si="26"/>
        <v/>
      </c>
      <c r="M143" s="49" t="str">
        <f t="shared" si="27"/>
        <v/>
      </c>
      <c r="N143" s="55" t="str">
        <f t="shared" si="28"/>
        <v/>
      </c>
      <c r="O143" s="56">
        <f t="shared" si="29"/>
        <v>0</v>
      </c>
      <c r="P143" s="56">
        <f t="shared" si="30"/>
        <v>0</v>
      </c>
      <c r="Q143" s="55">
        <f t="shared" si="31"/>
        <v>0</v>
      </c>
      <c r="R143" s="48"/>
      <c r="T143" s="58"/>
      <c r="U143" s="46"/>
      <c r="V143" s="47">
        <f>IF(U143&lt;&gt;"",VLOOKUP(U143,'Tipo Projeto'!$A$3:$B$35,2,0),0)</f>
        <v>0</v>
      </c>
      <c r="W143" s="48"/>
      <c r="X143" s="50"/>
      <c r="Y143" s="51"/>
      <c r="Z143" s="52"/>
      <c r="AA143" s="53"/>
      <c r="AB143" s="54" t="str">
        <f t="shared" si="32"/>
        <v/>
      </c>
      <c r="AC143" s="49" t="str">
        <f t="shared" si="33"/>
        <v/>
      </c>
      <c r="AD143" s="55" t="str">
        <f t="shared" si="34"/>
        <v/>
      </c>
      <c r="AE143" s="56">
        <f t="shared" si="35"/>
        <v>0</v>
      </c>
      <c r="AF143" s="56">
        <f t="shared" si="36"/>
        <v>0</v>
      </c>
      <c r="AG143" s="59">
        <f t="shared" si="37"/>
        <v>0</v>
      </c>
      <c r="AH143" s="48"/>
      <c r="AJ143" s="48"/>
      <c r="AL143" s="48"/>
      <c r="AM143" s="48" t="str">
        <f t="shared" si="38"/>
        <v/>
      </c>
    </row>
    <row r="144" spans="1:39" s="57" customFormat="1" ht="14">
      <c r="A144" s="45"/>
      <c r="B144" s="46"/>
      <c r="C144" s="47">
        <f>IF(B144&lt;&gt;"",VLOOKUP(B144,'Tipo Projeto'!$A$3:$B$35,2,0),0)</f>
        <v>0</v>
      </c>
      <c r="D144" s="48"/>
      <c r="E144" s="48"/>
      <c r="F144" s="49"/>
      <c r="G144" s="204"/>
      <c r="H144" s="50"/>
      <c r="I144" s="51"/>
      <c r="J144" s="52"/>
      <c r="K144" s="53"/>
      <c r="L144" s="54" t="str">
        <f t="shared" si="26"/>
        <v/>
      </c>
      <c r="M144" s="49" t="str">
        <f t="shared" si="27"/>
        <v/>
      </c>
      <c r="N144" s="55" t="str">
        <f t="shared" si="28"/>
        <v/>
      </c>
      <c r="O144" s="56">
        <f t="shared" si="29"/>
        <v>0</v>
      </c>
      <c r="P144" s="56">
        <f t="shared" si="30"/>
        <v>0</v>
      </c>
      <c r="Q144" s="55">
        <f t="shared" si="31"/>
        <v>0</v>
      </c>
      <c r="R144" s="48"/>
      <c r="T144" s="58"/>
      <c r="U144" s="46"/>
      <c r="V144" s="47">
        <f>IF(U144&lt;&gt;"",VLOOKUP(U144,'Tipo Projeto'!$A$3:$B$35,2,0),0)</f>
        <v>0</v>
      </c>
      <c r="W144" s="48"/>
      <c r="X144" s="50"/>
      <c r="Y144" s="51"/>
      <c r="Z144" s="52"/>
      <c r="AA144" s="53"/>
      <c r="AB144" s="54" t="str">
        <f t="shared" si="32"/>
        <v/>
      </c>
      <c r="AC144" s="49" t="str">
        <f t="shared" si="33"/>
        <v/>
      </c>
      <c r="AD144" s="55" t="str">
        <f t="shared" si="34"/>
        <v/>
      </c>
      <c r="AE144" s="56">
        <f t="shared" si="35"/>
        <v>0</v>
      </c>
      <c r="AF144" s="56">
        <f t="shared" si="36"/>
        <v>0</v>
      </c>
      <c r="AG144" s="59">
        <f t="shared" si="37"/>
        <v>0</v>
      </c>
      <c r="AH144" s="48"/>
      <c r="AJ144" s="48"/>
      <c r="AL144" s="48"/>
      <c r="AM144" s="48" t="str">
        <f t="shared" si="38"/>
        <v/>
      </c>
    </row>
    <row r="145" spans="1:39" s="57" customFormat="1" ht="14">
      <c r="A145" s="45"/>
      <c r="B145" s="46"/>
      <c r="C145" s="47">
        <f>IF(B145&lt;&gt;"",VLOOKUP(B145,'Tipo Projeto'!$A$3:$B$35,2,0),0)</f>
        <v>0</v>
      </c>
      <c r="D145" s="48"/>
      <c r="E145" s="48"/>
      <c r="F145" s="49"/>
      <c r="G145" s="204"/>
      <c r="H145" s="50"/>
      <c r="I145" s="51"/>
      <c r="J145" s="52"/>
      <c r="K145" s="53"/>
      <c r="L145" s="54" t="str">
        <f t="shared" si="26"/>
        <v/>
      </c>
      <c r="M145" s="49" t="str">
        <f t="shared" si="27"/>
        <v/>
      </c>
      <c r="N145" s="55" t="str">
        <f t="shared" si="28"/>
        <v/>
      </c>
      <c r="O145" s="56">
        <f t="shared" si="29"/>
        <v>0</v>
      </c>
      <c r="P145" s="56">
        <f t="shared" si="30"/>
        <v>0</v>
      </c>
      <c r="Q145" s="55">
        <f t="shared" si="31"/>
        <v>0</v>
      </c>
      <c r="R145" s="48"/>
      <c r="T145" s="58"/>
      <c r="U145" s="46"/>
      <c r="V145" s="47">
        <f>IF(U145&lt;&gt;"",VLOOKUP(U145,'Tipo Projeto'!$A$3:$B$35,2,0),0)</f>
        <v>0</v>
      </c>
      <c r="W145" s="48"/>
      <c r="X145" s="50"/>
      <c r="Y145" s="51"/>
      <c r="Z145" s="52"/>
      <c r="AA145" s="53"/>
      <c r="AB145" s="54" t="str">
        <f t="shared" si="32"/>
        <v/>
      </c>
      <c r="AC145" s="49" t="str">
        <f t="shared" si="33"/>
        <v/>
      </c>
      <c r="AD145" s="55" t="str">
        <f t="shared" si="34"/>
        <v/>
      </c>
      <c r="AE145" s="56">
        <f t="shared" si="35"/>
        <v>0</v>
      </c>
      <c r="AF145" s="56">
        <f t="shared" si="36"/>
        <v>0</v>
      </c>
      <c r="AG145" s="59">
        <f t="shared" si="37"/>
        <v>0</v>
      </c>
      <c r="AH145" s="48"/>
      <c r="AJ145" s="48"/>
      <c r="AL145" s="48"/>
      <c r="AM145" s="48" t="str">
        <f t="shared" si="38"/>
        <v/>
      </c>
    </row>
    <row r="146" spans="1:39" s="57" customFormat="1" ht="14">
      <c r="A146" s="45"/>
      <c r="B146" s="46"/>
      <c r="C146" s="47">
        <f>IF(B146&lt;&gt;"",VLOOKUP(B146,'Tipo Projeto'!$A$3:$B$35,2,0),0)</f>
        <v>0</v>
      </c>
      <c r="D146" s="48"/>
      <c r="E146" s="48"/>
      <c r="F146" s="49"/>
      <c r="G146" s="204"/>
      <c r="H146" s="50"/>
      <c r="I146" s="51"/>
      <c r="J146" s="52"/>
      <c r="K146" s="53"/>
      <c r="L146" s="54" t="str">
        <f t="shared" si="26"/>
        <v/>
      </c>
      <c r="M146" s="49" t="str">
        <f t="shared" si="27"/>
        <v/>
      </c>
      <c r="N146" s="55" t="str">
        <f t="shared" si="28"/>
        <v/>
      </c>
      <c r="O146" s="56">
        <f t="shared" si="29"/>
        <v>0</v>
      </c>
      <c r="P146" s="56">
        <f t="shared" si="30"/>
        <v>0</v>
      </c>
      <c r="Q146" s="55">
        <f t="shared" si="31"/>
        <v>0</v>
      </c>
      <c r="R146" s="48"/>
      <c r="T146" s="58"/>
      <c r="U146" s="46"/>
      <c r="V146" s="47">
        <f>IF(U146&lt;&gt;"",VLOOKUP(U146,'Tipo Projeto'!$A$3:$B$35,2,0),0)</f>
        <v>0</v>
      </c>
      <c r="W146" s="48"/>
      <c r="X146" s="50"/>
      <c r="Y146" s="51"/>
      <c r="Z146" s="52"/>
      <c r="AA146" s="53"/>
      <c r="AB146" s="54" t="str">
        <f t="shared" si="32"/>
        <v/>
      </c>
      <c r="AC146" s="49" t="str">
        <f t="shared" si="33"/>
        <v/>
      </c>
      <c r="AD146" s="55" t="str">
        <f t="shared" si="34"/>
        <v/>
      </c>
      <c r="AE146" s="56">
        <f t="shared" si="35"/>
        <v>0</v>
      </c>
      <c r="AF146" s="56">
        <f t="shared" si="36"/>
        <v>0</v>
      </c>
      <c r="AG146" s="59">
        <f t="shared" si="37"/>
        <v>0</v>
      </c>
      <c r="AH146" s="48"/>
      <c r="AJ146" s="48"/>
      <c r="AL146" s="48"/>
      <c r="AM146" s="48" t="str">
        <f t="shared" si="38"/>
        <v/>
      </c>
    </row>
    <row r="147" spans="1:39" s="57" customFormat="1" ht="14">
      <c r="A147" s="45"/>
      <c r="B147" s="46"/>
      <c r="C147" s="47">
        <f>IF(B147&lt;&gt;"",VLOOKUP(B147,'Tipo Projeto'!$A$3:$B$35,2,0),0)</f>
        <v>0</v>
      </c>
      <c r="D147" s="48"/>
      <c r="E147" s="48"/>
      <c r="F147" s="49"/>
      <c r="G147" s="204"/>
      <c r="H147" s="50"/>
      <c r="I147" s="51"/>
      <c r="J147" s="52"/>
      <c r="K147" s="53"/>
      <c r="L147" s="54" t="str">
        <f t="shared" si="26"/>
        <v/>
      </c>
      <c r="M147" s="49" t="str">
        <f t="shared" si="27"/>
        <v/>
      </c>
      <c r="N147" s="55" t="str">
        <f t="shared" si="28"/>
        <v/>
      </c>
      <c r="O147" s="56">
        <f t="shared" si="29"/>
        <v>0</v>
      </c>
      <c r="P147" s="56">
        <f t="shared" si="30"/>
        <v>0</v>
      </c>
      <c r="Q147" s="55">
        <f t="shared" si="31"/>
        <v>0</v>
      </c>
      <c r="R147" s="48"/>
      <c r="T147" s="58"/>
      <c r="U147" s="46"/>
      <c r="V147" s="47">
        <f>IF(U147&lt;&gt;"",VLOOKUP(U147,'Tipo Projeto'!$A$3:$B$35,2,0),0)</f>
        <v>0</v>
      </c>
      <c r="W147" s="48"/>
      <c r="X147" s="50"/>
      <c r="Y147" s="51"/>
      <c r="Z147" s="52"/>
      <c r="AA147" s="53"/>
      <c r="AB147" s="54" t="str">
        <f t="shared" si="32"/>
        <v/>
      </c>
      <c r="AC147" s="49" t="str">
        <f t="shared" si="33"/>
        <v/>
      </c>
      <c r="AD147" s="55" t="str">
        <f t="shared" si="34"/>
        <v/>
      </c>
      <c r="AE147" s="56">
        <f t="shared" si="35"/>
        <v>0</v>
      </c>
      <c r="AF147" s="56">
        <f t="shared" si="36"/>
        <v>0</v>
      </c>
      <c r="AG147" s="59">
        <f t="shared" si="37"/>
        <v>0</v>
      </c>
      <c r="AH147" s="48"/>
      <c r="AJ147" s="48"/>
      <c r="AL147" s="48"/>
      <c r="AM147" s="48" t="str">
        <f t="shared" si="38"/>
        <v/>
      </c>
    </row>
    <row r="148" spans="1:39" s="57" customFormat="1" ht="14">
      <c r="A148" s="45"/>
      <c r="B148" s="46"/>
      <c r="C148" s="47">
        <f>IF(B148&lt;&gt;"",VLOOKUP(B148,'Tipo Projeto'!$A$3:$B$35,2,0),0)</f>
        <v>0</v>
      </c>
      <c r="D148" s="48"/>
      <c r="E148" s="48"/>
      <c r="F148" s="49"/>
      <c r="G148" s="204"/>
      <c r="H148" s="50"/>
      <c r="I148" s="51"/>
      <c r="J148" s="52"/>
      <c r="K148" s="53"/>
      <c r="L148" s="54" t="str">
        <f t="shared" si="26"/>
        <v/>
      </c>
      <c r="M148" s="49" t="str">
        <f t="shared" si="27"/>
        <v/>
      </c>
      <c r="N148" s="55" t="str">
        <f t="shared" si="28"/>
        <v/>
      </c>
      <c r="O148" s="56">
        <f t="shared" si="29"/>
        <v>0</v>
      </c>
      <c r="P148" s="56">
        <f t="shared" si="30"/>
        <v>0</v>
      </c>
      <c r="Q148" s="55">
        <f t="shared" si="31"/>
        <v>0</v>
      </c>
      <c r="R148" s="48"/>
      <c r="T148" s="58"/>
      <c r="U148" s="46"/>
      <c r="V148" s="47">
        <f>IF(U148&lt;&gt;"",VLOOKUP(U148,'Tipo Projeto'!$A$3:$B$35,2,0),0)</f>
        <v>0</v>
      </c>
      <c r="W148" s="48"/>
      <c r="X148" s="50"/>
      <c r="Y148" s="51"/>
      <c r="Z148" s="52"/>
      <c r="AA148" s="53"/>
      <c r="AB148" s="54" t="str">
        <f t="shared" si="32"/>
        <v/>
      </c>
      <c r="AC148" s="49" t="str">
        <f t="shared" si="33"/>
        <v/>
      </c>
      <c r="AD148" s="55" t="str">
        <f t="shared" si="34"/>
        <v/>
      </c>
      <c r="AE148" s="56">
        <f t="shared" si="35"/>
        <v>0</v>
      </c>
      <c r="AF148" s="56">
        <f t="shared" si="36"/>
        <v>0</v>
      </c>
      <c r="AG148" s="59">
        <f t="shared" si="37"/>
        <v>0</v>
      </c>
      <c r="AH148" s="48"/>
      <c r="AJ148" s="48"/>
      <c r="AL148" s="48"/>
      <c r="AM148" s="48" t="str">
        <f t="shared" si="38"/>
        <v/>
      </c>
    </row>
    <row r="149" spans="1:39" s="57" customFormat="1" ht="14">
      <c r="A149" s="45"/>
      <c r="B149" s="46"/>
      <c r="C149" s="47">
        <f>IF(B149&lt;&gt;"",VLOOKUP(B149,'Tipo Projeto'!$A$3:$B$35,2,0),0)</f>
        <v>0</v>
      </c>
      <c r="D149" s="48"/>
      <c r="E149" s="48"/>
      <c r="F149" s="49"/>
      <c r="G149" s="204"/>
      <c r="H149" s="50"/>
      <c r="I149" s="51"/>
      <c r="J149" s="52"/>
      <c r="K149" s="53"/>
      <c r="L149" s="54" t="str">
        <f t="shared" si="26"/>
        <v/>
      </c>
      <c r="M149" s="49" t="str">
        <f t="shared" si="27"/>
        <v/>
      </c>
      <c r="N149" s="55" t="str">
        <f t="shared" si="28"/>
        <v/>
      </c>
      <c r="O149" s="56">
        <f t="shared" si="29"/>
        <v>0</v>
      </c>
      <c r="P149" s="56">
        <f t="shared" si="30"/>
        <v>0</v>
      </c>
      <c r="Q149" s="55">
        <f t="shared" si="31"/>
        <v>0</v>
      </c>
      <c r="R149" s="48"/>
      <c r="T149" s="58"/>
      <c r="U149" s="46"/>
      <c r="V149" s="47">
        <f>IF(U149&lt;&gt;"",VLOOKUP(U149,'Tipo Projeto'!$A$3:$B$35,2,0),0)</f>
        <v>0</v>
      </c>
      <c r="W149" s="48"/>
      <c r="X149" s="50"/>
      <c r="Y149" s="51"/>
      <c r="Z149" s="52"/>
      <c r="AA149" s="53"/>
      <c r="AB149" s="54" t="str">
        <f t="shared" si="32"/>
        <v/>
      </c>
      <c r="AC149" s="49" t="str">
        <f t="shared" si="33"/>
        <v/>
      </c>
      <c r="AD149" s="55" t="str">
        <f t="shared" si="34"/>
        <v/>
      </c>
      <c r="AE149" s="56">
        <f t="shared" si="35"/>
        <v>0</v>
      </c>
      <c r="AF149" s="56">
        <f t="shared" si="36"/>
        <v>0</v>
      </c>
      <c r="AG149" s="59">
        <f t="shared" si="37"/>
        <v>0</v>
      </c>
      <c r="AH149" s="48"/>
      <c r="AJ149" s="48"/>
      <c r="AL149" s="48"/>
      <c r="AM149" s="48" t="str">
        <f t="shared" si="38"/>
        <v/>
      </c>
    </row>
    <row r="150" spans="1:39" s="57" customFormat="1" ht="14">
      <c r="A150" s="45"/>
      <c r="B150" s="46"/>
      <c r="C150" s="47">
        <f>IF(B150&lt;&gt;"",VLOOKUP(B150,'Tipo Projeto'!$A$3:$B$35,2,0),0)</f>
        <v>0</v>
      </c>
      <c r="D150" s="48"/>
      <c r="E150" s="48"/>
      <c r="F150" s="49"/>
      <c r="G150" s="204"/>
      <c r="H150" s="50"/>
      <c r="I150" s="51"/>
      <c r="J150" s="52"/>
      <c r="K150" s="53"/>
      <c r="L150" s="54" t="str">
        <f t="shared" si="26"/>
        <v/>
      </c>
      <c r="M150" s="49" t="str">
        <f t="shared" si="27"/>
        <v/>
      </c>
      <c r="N150" s="55" t="str">
        <f t="shared" si="28"/>
        <v/>
      </c>
      <c r="O150" s="56">
        <f t="shared" si="29"/>
        <v>0</v>
      </c>
      <c r="P150" s="56">
        <f t="shared" si="30"/>
        <v>0</v>
      </c>
      <c r="Q150" s="55">
        <f t="shared" si="31"/>
        <v>0</v>
      </c>
      <c r="R150" s="48"/>
      <c r="T150" s="58"/>
      <c r="U150" s="46"/>
      <c r="V150" s="47">
        <f>IF(U150&lt;&gt;"",VLOOKUP(U150,'Tipo Projeto'!$A$3:$B$35,2,0),0)</f>
        <v>0</v>
      </c>
      <c r="W150" s="48"/>
      <c r="X150" s="50"/>
      <c r="Y150" s="51"/>
      <c r="Z150" s="52"/>
      <c r="AA150" s="53"/>
      <c r="AB150" s="54" t="str">
        <f t="shared" si="32"/>
        <v/>
      </c>
      <c r="AC150" s="49" t="str">
        <f t="shared" si="33"/>
        <v/>
      </c>
      <c r="AD150" s="55" t="str">
        <f t="shared" si="34"/>
        <v/>
      </c>
      <c r="AE150" s="56">
        <f t="shared" si="35"/>
        <v>0</v>
      </c>
      <c r="AF150" s="56">
        <f t="shared" si="36"/>
        <v>0</v>
      </c>
      <c r="AG150" s="59">
        <f t="shared" si="37"/>
        <v>0</v>
      </c>
      <c r="AH150" s="48"/>
      <c r="AJ150" s="48"/>
      <c r="AL150" s="48"/>
      <c r="AM150" s="48" t="str">
        <f t="shared" si="38"/>
        <v/>
      </c>
    </row>
    <row r="151" spans="1:39" s="57" customFormat="1" ht="14">
      <c r="A151" s="45"/>
      <c r="B151" s="46"/>
      <c r="C151" s="47">
        <f>IF(B151&lt;&gt;"",VLOOKUP(B151,'Tipo Projeto'!$A$3:$B$35,2,0),0)</f>
        <v>0</v>
      </c>
      <c r="D151" s="48"/>
      <c r="E151" s="48"/>
      <c r="F151" s="49"/>
      <c r="G151" s="204"/>
      <c r="H151" s="50"/>
      <c r="I151" s="51"/>
      <c r="J151" s="52"/>
      <c r="K151" s="53"/>
      <c r="L151" s="54" t="str">
        <f t="shared" si="26"/>
        <v/>
      </c>
      <c r="M151" s="49" t="str">
        <f t="shared" si="27"/>
        <v/>
      </c>
      <c r="N151" s="55" t="str">
        <f t="shared" si="28"/>
        <v/>
      </c>
      <c r="O151" s="56">
        <f t="shared" si="29"/>
        <v>0</v>
      </c>
      <c r="P151" s="56">
        <f t="shared" si="30"/>
        <v>0</v>
      </c>
      <c r="Q151" s="55">
        <f t="shared" si="31"/>
        <v>0</v>
      </c>
      <c r="R151" s="48"/>
      <c r="T151" s="58"/>
      <c r="U151" s="46"/>
      <c r="V151" s="47">
        <f>IF(U151&lt;&gt;"",VLOOKUP(U151,'Tipo Projeto'!$A$3:$B$35,2,0),0)</f>
        <v>0</v>
      </c>
      <c r="W151" s="48"/>
      <c r="X151" s="50"/>
      <c r="Y151" s="51"/>
      <c r="Z151" s="52"/>
      <c r="AA151" s="53"/>
      <c r="AB151" s="54" t="str">
        <f t="shared" si="32"/>
        <v/>
      </c>
      <c r="AC151" s="49" t="str">
        <f t="shared" si="33"/>
        <v/>
      </c>
      <c r="AD151" s="55" t="str">
        <f t="shared" si="34"/>
        <v/>
      </c>
      <c r="AE151" s="56">
        <f t="shared" si="35"/>
        <v>0</v>
      </c>
      <c r="AF151" s="56">
        <f t="shared" si="36"/>
        <v>0</v>
      </c>
      <c r="AG151" s="59">
        <f t="shared" si="37"/>
        <v>0</v>
      </c>
      <c r="AH151" s="48"/>
      <c r="AJ151" s="48"/>
      <c r="AL151" s="48"/>
      <c r="AM151" s="48" t="str">
        <f t="shared" si="38"/>
        <v/>
      </c>
    </row>
    <row r="152" spans="1:39" s="57" customFormat="1" ht="14">
      <c r="A152" s="45"/>
      <c r="B152" s="46"/>
      <c r="C152" s="47">
        <f>IF(B152&lt;&gt;"",VLOOKUP(B152,'Tipo Projeto'!$A$3:$B$35,2,0),0)</f>
        <v>0</v>
      </c>
      <c r="D152" s="48"/>
      <c r="E152" s="48"/>
      <c r="F152" s="49"/>
      <c r="G152" s="204"/>
      <c r="H152" s="50"/>
      <c r="I152" s="51"/>
      <c r="J152" s="52"/>
      <c r="K152" s="53"/>
      <c r="L152" s="54" t="str">
        <f t="shared" si="26"/>
        <v/>
      </c>
      <c r="M152" s="49" t="str">
        <f t="shared" si="27"/>
        <v/>
      </c>
      <c r="N152" s="55" t="str">
        <f t="shared" si="28"/>
        <v/>
      </c>
      <c r="O152" s="56">
        <f t="shared" si="29"/>
        <v>0</v>
      </c>
      <c r="P152" s="56">
        <f t="shared" si="30"/>
        <v>0</v>
      </c>
      <c r="Q152" s="55">
        <f t="shared" si="31"/>
        <v>0</v>
      </c>
      <c r="R152" s="48"/>
      <c r="T152" s="58"/>
      <c r="U152" s="46"/>
      <c r="V152" s="47">
        <f>IF(U152&lt;&gt;"",VLOOKUP(U152,'Tipo Projeto'!$A$3:$B$35,2,0),0)</f>
        <v>0</v>
      </c>
      <c r="W152" s="48"/>
      <c r="X152" s="50"/>
      <c r="Y152" s="51"/>
      <c r="Z152" s="52"/>
      <c r="AA152" s="53"/>
      <c r="AB152" s="54" t="str">
        <f t="shared" si="32"/>
        <v/>
      </c>
      <c r="AC152" s="49" t="str">
        <f t="shared" si="33"/>
        <v/>
      </c>
      <c r="AD152" s="55" t="str">
        <f t="shared" si="34"/>
        <v/>
      </c>
      <c r="AE152" s="56">
        <f t="shared" si="35"/>
        <v>0</v>
      </c>
      <c r="AF152" s="56">
        <f t="shared" si="36"/>
        <v>0</v>
      </c>
      <c r="AG152" s="59">
        <f t="shared" si="37"/>
        <v>0</v>
      </c>
      <c r="AH152" s="48"/>
      <c r="AJ152" s="48"/>
      <c r="AL152" s="48"/>
      <c r="AM152" s="48" t="str">
        <f t="shared" si="38"/>
        <v/>
      </c>
    </row>
    <row r="153" spans="1:39" s="57" customFormat="1" ht="14">
      <c r="A153" s="45"/>
      <c r="B153" s="46"/>
      <c r="C153" s="47">
        <f>IF(B153&lt;&gt;"",VLOOKUP(B153,'Tipo Projeto'!$A$3:$B$35,2,0),0)</f>
        <v>0</v>
      </c>
      <c r="D153" s="48"/>
      <c r="E153" s="48"/>
      <c r="F153" s="49"/>
      <c r="G153" s="204"/>
      <c r="H153" s="50"/>
      <c r="I153" s="51"/>
      <c r="J153" s="52"/>
      <c r="K153" s="53"/>
      <c r="L153" s="54" t="str">
        <f t="shared" si="26"/>
        <v/>
      </c>
      <c r="M153" s="49" t="str">
        <f t="shared" si="27"/>
        <v/>
      </c>
      <c r="N153" s="55" t="str">
        <f t="shared" si="28"/>
        <v/>
      </c>
      <c r="O153" s="56">
        <f t="shared" si="29"/>
        <v>0</v>
      </c>
      <c r="P153" s="56">
        <f t="shared" si="30"/>
        <v>0</v>
      </c>
      <c r="Q153" s="55">
        <f t="shared" si="31"/>
        <v>0</v>
      </c>
      <c r="R153" s="48"/>
      <c r="T153" s="58"/>
      <c r="U153" s="46"/>
      <c r="V153" s="47">
        <f>IF(U153&lt;&gt;"",VLOOKUP(U153,'Tipo Projeto'!$A$3:$B$35,2,0),0)</f>
        <v>0</v>
      </c>
      <c r="W153" s="48"/>
      <c r="X153" s="50"/>
      <c r="Y153" s="51"/>
      <c r="Z153" s="52"/>
      <c r="AA153" s="53"/>
      <c r="AB153" s="54" t="str">
        <f t="shared" si="32"/>
        <v/>
      </c>
      <c r="AC153" s="49" t="str">
        <f t="shared" si="33"/>
        <v/>
      </c>
      <c r="AD153" s="55" t="str">
        <f t="shared" si="34"/>
        <v/>
      </c>
      <c r="AE153" s="56">
        <f t="shared" si="35"/>
        <v>0</v>
      </c>
      <c r="AF153" s="56">
        <f t="shared" si="36"/>
        <v>0</v>
      </c>
      <c r="AG153" s="59">
        <f t="shared" si="37"/>
        <v>0</v>
      </c>
      <c r="AH153" s="48"/>
      <c r="AJ153" s="48"/>
      <c r="AL153" s="48"/>
      <c r="AM153" s="48" t="str">
        <f t="shared" si="38"/>
        <v/>
      </c>
    </row>
    <row r="154" spans="1:39" s="57" customFormat="1" ht="14">
      <c r="A154" s="45"/>
      <c r="B154" s="46"/>
      <c r="C154" s="47">
        <f>IF(B154&lt;&gt;"",VLOOKUP(B154,'Tipo Projeto'!$A$3:$B$35,2,0),0)</f>
        <v>0</v>
      </c>
      <c r="D154" s="48"/>
      <c r="E154" s="48"/>
      <c r="F154" s="49"/>
      <c r="G154" s="204"/>
      <c r="H154" s="50"/>
      <c r="I154" s="51"/>
      <c r="J154" s="52"/>
      <c r="K154" s="53"/>
      <c r="L154" s="54" t="str">
        <f t="shared" si="26"/>
        <v/>
      </c>
      <c r="M154" s="49" t="str">
        <f t="shared" si="27"/>
        <v/>
      </c>
      <c r="N154" s="55" t="str">
        <f t="shared" si="28"/>
        <v/>
      </c>
      <c r="O154" s="56">
        <f t="shared" si="29"/>
        <v>0</v>
      </c>
      <c r="P154" s="56">
        <f t="shared" si="30"/>
        <v>0</v>
      </c>
      <c r="Q154" s="55">
        <f t="shared" si="31"/>
        <v>0</v>
      </c>
      <c r="R154" s="48"/>
      <c r="T154" s="58"/>
      <c r="U154" s="46"/>
      <c r="V154" s="47">
        <f>IF(U154&lt;&gt;"",VLOOKUP(U154,'Tipo Projeto'!$A$3:$B$35,2,0),0)</f>
        <v>0</v>
      </c>
      <c r="W154" s="48"/>
      <c r="X154" s="50"/>
      <c r="Y154" s="51"/>
      <c r="Z154" s="52"/>
      <c r="AA154" s="53"/>
      <c r="AB154" s="54" t="str">
        <f t="shared" si="32"/>
        <v/>
      </c>
      <c r="AC154" s="49" t="str">
        <f t="shared" si="33"/>
        <v/>
      </c>
      <c r="AD154" s="55" t="str">
        <f t="shared" si="34"/>
        <v/>
      </c>
      <c r="AE154" s="56">
        <f t="shared" si="35"/>
        <v>0</v>
      </c>
      <c r="AF154" s="56">
        <f t="shared" si="36"/>
        <v>0</v>
      </c>
      <c r="AG154" s="59">
        <f t="shared" si="37"/>
        <v>0</v>
      </c>
      <c r="AH154" s="48"/>
      <c r="AJ154" s="48"/>
      <c r="AL154" s="48"/>
      <c r="AM154" s="48" t="str">
        <f t="shared" si="38"/>
        <v/>
      </c>
    </row>
    <row r="155" spans="1:39" s="57" customFormat="1" ht="14">
      <c r="A155" s="45"/>
      <c r="B155" s="46"/>
      <c r="C155" s="47">
        <f>IF(B155&lt;&gt;"",VLOOKUP(B155,'Tipo Projeto'!$A$3:$B$35,2,0),0)</f>
        <v>0</v>
      </c>
      <c r="D155" s="48"/>
      <c r="E155" s="48"/>
      <c r="F155" s="49"/>
      <c r="G155" s="204"/>
      <c r="H155" s="50"/>
      <c r="I155" s="51"/>
      <c r="J155" s="52"/>
      <c r="K155" s="53"/>
      <c r="L155" s="54" t="str">
        <f t="shared" si="26"/>
        <v/>
      </c>
      <c r="M155" s="49" t="str">
        <f t="shared" si="27"/>
        <v/>
      </c>
      <c r="N155" s="55" t="str">
        <f t="shared" si="28"/>
        <v/>
      </c>
      <c r="O155" s="56">
        <f t="shared" si="29"/>
        <v>0</v>
      </c>
      <c r="P155" s="56">
        <f t="shared" si="30"/>
        <v>0</v>
      </c>
      <c r="Q155" s="55">
        <f t="shared" si="31"/>
        <v>0</v>
      </c>
      <c r="R155" s="48"/>
      <c r="T155" s="58"/>
      <c r="U155" s="46"/>
      <c r="V155" s="47">
        <f>IF(U155&lt;&gt;"",VLOOKUP(U155,'Tipo Projeto'!$A$3:$B$35,2,0),0)</f>
        <v>0</v>
      </c>
      <c r="W155" s="48"/>
      <c r="X155" s="50"/>
      <c r="Y155" s="51"/>
      <c r="Z155" s="52"/>
      <c r="AA155" s="53"/>
      <c r="AB155" s="54" t="str">
        <f t="shared" si="32"/>
        <v/>
      </c>
      <c r="AC155" s="49" t="str">
        <f t="shared" si="33"/>
        <v/>
      </c>
      <c r="AD155" s="55" t="str">
        <f t="shared" si="34"/>
        <v/>
      </c>
      <c r="AE155" s="56">
        <f t="shared" si="35"/>
        <v>0</v>
      </c>
      <c r="AF155" s="56">
        <f t="shared" si="36"/>
        <v>0</v>
      </c>
      <c r="AG155" s="59">
        <f t="shared" si="37"/>
        <v>0</v>
      </c>
      <c r="AH155" s="48"/>
      <c r="AJ155" s="48"/>
      <c r="AL155" s="48"/>
      <c r="AM155" s="48" t="str">
        <f t="shared" si="38"/>
        <v/>
      </c>
    </row>
    <row r="156" spans="1:39" s="57" customFormat="1" ht="14">
      <c r="A156" s="45"/>
      <c r="B156" s="46"/>
      <c r="C156" s="47">
        <f>IF(B156&lt;&gt;"",VLOOKUP(B156,'Tipo Projeto'!$A$3:$B$35,2,0),0)</f>
        <v>0</v>
      </c>
      <c r="D156" s="48"/>
      <c r="E156" s="48"/>
      <c r="F156" s="49"/>
      <c r="G156" s="204"/>
      <c r="H156" s="50"/>
      <c r="I156" s="51"/>
      <c r="J156" s="52"/>
      <c r="K156" s="53"/>
      <c r="L156" s="54" t="str">
        <f t="shared" si="26"/>
        <v/>
      </c>
      <c r="M156" s="49" t="str">
        <f t="shared" si="27"/>
        <v/>
      </c>
      <c r="N156" s="55" t="str">
        <f t="shared" si="28"/>
        <v/>
      </c>
      <c r="O156" s="56">
        <f t="shared" si="29"/>
        <v>0</v>
      </c>
      <c r="P156" s="56">
        <f t="shared" si="30"/>
        <v>0</v>
      </c>
      <c r="Q156" s="55">
        <f t="shared" si="31"/>
        <v>0</v>
      </c>
      <c r="R156" s="48"/>
      <c r="T156" s="58"/>
      <c r="U156" s="46"/>
      <c r="V156" s="47">
        <f>IF(U156&lt;&gt;"",VLOOKUP(U156,'Tipo Projeto'!$A$3:$B$35,2,0),0)</f>
        <v>0</v>
      </c>
      <c r="W156" s="48"/>
      <c r="X156" s="50"/>
      <c r="Y156" s="51"/>
      <c r="Z156" s="52"/>
      <c r="AA156" s="53"/>
      <c r="AB156" s="54" t="str">
        <f t="shared" si="32"/>
        <v/>
      </c>
      <c r="AC156" s="49" t="str">
        <f t="shared" si="33"/>
        <v/>
      </c>
      <c r="AD156" s="55" t="str">
        <f t="shared" si="34"/>
        <v/>
      </c>
      <c r="AE156" s="56">
        <f t="shared" si="35"/>
        <v>0</v>
      </c>
      <c r="AF156" s="56">
        <f t="shared" si="36"/>
        <v>0</v>
      </c>
      <c r="AG156" s="59">
        <f t="shared" si="37"/>
        <v>0</v>
      </c>
      <c r="AH156" s="48"/>
      <c r="AJ156" s="48"/>
      <c r="AL156" s="48"/>
      <c r="AM156" s="48" t="str">
        <f t="shared" si="38"/>
        <v/>
      </c>
    </row>
    <row r="157" spans="1:39" s="57" customFormat="1" ht="14">
      <c r="A157" s="45"/>
      <c r="B157" s="46"/>
      <c r="C157" s="47">
        <f>IF(B157&lt;&gt;"",VLOOKUP(B157,'Tipo Projeto'!$A$3:$B$35,2,0),0)</f>
        <v>0</v>
      </c>
      <c r="D157" s="48"/>
      <c r="E157" s="48"/>
      <c r="F157" s="49"/>
      <c r="G157" s="204"/>
      <c r="H157" s="50"/>
      <c r="I157" s="51"/>
      <c r="J157" s="52"/>
      <c r="K157" s="53"/>
      <c r="L157" s="54" t="str">
        <f t="shared" si="26"/>
        <v/>
      </c>
      <c r="M157" s="49" t="str">
        <f t="shared" si="27"/>
        <v/>
      </c>
      <c r="N157" s="55" t="str">
        <f t="shared" si="28"/>
        <v/>
      </c>
      <c r="O157" s="56">
        <f t="shared" si="29"/>
        <v>0</v>
      </c>
      <c r="P157" s="56">
        <f t="shared" si="30"/>
        <v>0</v>
      </c>
      <c r="Q157" s="55">
        <f t="shared" si="31"/>
        <v>0</v>
      </c>
      <c r="R157" s="48"/>
      <c r="T157" s="58"/>
      <c r="U157" s="46"/>
      <c r="V157" s="47">
        <f>IF(U157&lt;&gt;"",VLOOKUP(U157,'Tipo Projeto'!$A$3:$B$35,2,0),0)</f>
        <v>0</v>
      </c>
      <c r="W157" s="48"/>
      <c r="X157" s="50"/>
      <c r="Y157" s="51"/>
      <c r="Z157" s="52"/>
      <c r="AA157" s="53"/>
      <c r="AB157" s="54" t="str">
        <f t="shared" si="32"/>
        <v/>
      </c>
      <c r="AC157" s="49" t="str">
        <f t="shared" si="33"/>
        <v/>
      </c>
      <c r="AD157" s="55" t="str">
        <f t="shared" si="34"/>
        <v/>
      </c>
      <c r="AE157" s="56">
        <f t="shared" si="35"/>
        <v>0</v>
      </c>
      <c r="AF157" s="56">
        <f t="shared" si="36"/>
        <v>0</v>
      </c>
      <c r="AG157" s="59">
        <f t="shared" si="37"/>
        <v>0</v>
      </c>
      <c r="AH157" s="48"/>
      <c r="AJ157" s="48"/>
      <c r="AL157" s="48"/>
      <c r="AM157" s="48" t="str">
        <f t="shared" si="38"/>
        <v/>
      </c>
    </row>
    <row r="158" spans="1:39" s="57" customFormat="1" ht="14">
      <c r="A158" s="45"/>
      <c r="B158" s="46"/>
      <c r="C158" s="47">
        <f>IF(B158&lt;&gt;"",VLOOKUP(B158,'Tipo Projeto'!$A$3:$B$35,2,0),0)</f>
        <v>0</v>
      </c>
      <c r="D158" s="48"/>
      <c r="E158" s="48"/>
      <c r="F158" s="49"/>
      <c r="G158" s="204"/>
      <c r="H158" s="50"/>
      <c r="I158" s="51"/>
      <c r="J158" s="52"/>
      <c r="K158" s="53"/>
      <c r="L158" s="54" t="str">
        <f t="shared" si="26"/>
        <v/>
      </c>
      <c r="M158" s="49" t="str">
        <f t="shared" si="27"/>
        <v/>
      </c>
      <c r="N158" s="55" t="str">
        <f t="shared" si="28"/>
        <v/>
      </c>
      <c r="O158" s="56">
        <f t="shared" si="29"/>
        <v>0</v>
      </c>
      <c r="P158" s="56">
        <f t="shared" si="30"/>
        <v>0</v>
      </c>
      <c r="Q158" s="55">
        <f t="shared" si="31"/>
        <v>0</v>
      </c>
      <c r="R158" s="48"/>
      <c r="T158" s="58"/>
      <c r="U158" s="46"/>
      <c r="V158" s="47">
        <f>IF(U158&lt;&gt;"",VLOOKUP(U158,'Tipo Projeto'!$A$3:$B$35,2,0),0)</f>
        <v>0</v>
      </c>
      <c r="W158" s="48"/>
      <c r="X158" s="50"/>
      <c r="Y158" s="51"/>
      <c r="Z158" s="52"/>
      <c r="AA158" s="53"/>
      <c r="AB158" s="54" t="str">
        <f t="shared" si="32"/>
        <v/>
      </c>
      <c r="AC158" s="49" t="str">
        <f t="shared" si="33"/>
        <v/>
      </c>
      <c r="AD158" s="55" t="str">
        <f t="shared" si="34"/>
        <v/>
      </c>
      <c r="AE158" s="56">
        <f t="shared" si="35"/>
        <v>0</v>
      </c>
      <c r="AF158" s="56">
        <f t="shared" si="36"/>
        <v>0</v>
      </c>
      <c r="AG158" s="59">
        <f t="shared" si="37"/>
        <v>0</v>
      </c>
      <c r="AH158" s="48"/>
      <c r="AJ158" s="48"/>
      <c r="AL158" s="48"/>
      <c r="AM158" s="48" t="str">
        <f t="shared" si="38"/>
        <v/>
      </c>
    </row>
    <row r="159" spans="1:39" s="57" customFormat="1" ht="14">
      <c r="A159" s="45"/>
      <c r="B159" s="46"/>
      <c r="C159" s="47">
        <f>IF(B159&lt;&gt;"",VLOOKUP(B159,'Tipo Projeto'!$A$3:$B$35,2,0),0)</f>
        <v>0</v>
      </c>
      <c r="D159" s="48"/>
      <c r="E159" s="48"/>
      <c r="F159" s="49"/>
      <c r="G159" s="204"/>
      <c r="H159" s="50"/>
      <c r="I159" s="51"/>
      <c r="J159" s="52"/>
      <c r="K159" s="53"/>
      <c r="L159" s="54" t="str">
        <f t="shared" si="26"/>
        <v/>
      </c>
      <c r="M159" s="49" t="str">
        <f t="shared" si="27"/>
        <v/>
      </c>
      <c r="N159" s="55" t="str">
        <f t="shared" si="28"/>
        <v/>
      </c>
      <c r="O159" s="56">
        <f t="shared" si="29"/>
        <v>0</v>
      </c>
      <c r="P159" s="56">
        <f t="shared" si="30"/>
        <v>0</v>
      </c>
      <c r="Q159" s="55">
        <f t="shared" si="31"/>
        <v>0</v>
      </c>
      <c r="R159" s="48"/>
      <c r="T159" s="58"/>
      <c r="U159" s="46"/>
      <c r="V159" s="47">
        <f>IF(U159&lt;&gt;"",VLOOKUP(U159,'Tipo Projeto'!$A$3:$B$35,2,0),0)</f>
        <v>0</v>
      </c>
      <c r="W159" s="48"/>
      <c r="X159" s="50"/>
      <c r="Y159" s="51"/>
      <c r="Z159" s="52"/>
      <c r="AA159" s="53"/>
      <c r="AB159" s="54" t="str">
        <f t="shared" si="32"/>
        <v/>
      </c>
      <c r="AC159" s="49" t="str">
        <f t="shared" si="33"/>
        <v/>
      </c>
      <c r="AD159" s="55" t="str">
        <f t="shared" si="34"/>
        <v/>
      </c>
      <c r="AE159" s="56">
        <f t="shared" si="35"/>
        <v>0</v>
      </c>
      <c r="AF159" s="56">
        <f t="shared" si="36"/>
        <v>0</v>
      </c>
      <c r="AG159" s="59">
        <f t="shared" si="37"/>
        <v>0</v>
      </c>
      <c r="AH159" s="48"/>
      <c r="AJ159" s="48"/>
      <c r="AL159" s="48"/>
      <c r="AM159" s="48" t="str">
        <f t="shared" si="38"/>
        <v/>
      </c>
    </row>
    <row r="160" spans="1:39" s="57" customFormat="1" ht="14">
      <c r="A160" s="45"/>
      <c r="B160" s="46"/>
      <c r="C160" s="47">
        <f>IF(B160&lt;&gt;"",VLOOKUP(B160,'Tipo Projeto'!$A$3:$B$35,2,0),0)</f>
        <v>0</v>
      </c>
      <c r="D160" s="48"/>
      <c r="E160" s="48"/>
      <c r="F160" s="49"/>
      <c r="G160" s="204"/>
      <c r="H160" s="50"/>
      <c r="I160" s="51"/>
      <c r="J160" s="52"/>
      <c r="K160" s="53"/>
      <c r="L160" s="54" t="str">
        <f t="shared" si="26"/>
        <v/>
      </c>
      <c r="M160" s="49" t="str">
        <f t="shared" si="27"/>
        <v/>
      </c>
      <c r="N160" s="55" t="str">
        <f t="shared" si="28"/>
        <v/>
      </c>
      <c r="O160" s="56">
        <f t="shared" si="29"/>
        <v>0</v>
      </c>
      <c r="P160" s="56">
        <f t="shared" si="30"/>
        <v>0</v>
      </c>
      <c r="Q160" s="55">
        <f t="shared" si="31"/>
        <v>0</v>
      </c>
      <c r="R160" s="48"/>
      <c r="T160" s="58"/>
      <c r="U160" s="46"/>
      <c r="V160" s="47">
        <f>IF(U160&lt;&gt;"",VLOOKUP(U160,'Tipo Projeto'!$A$3:$B$35,2,0),0)</f>
        <v>0</v>
      </c>
      <c r="W160" s="48"/>
      <c r="X160" s="50"/>
      <c r="Y160" s="51"/>
      <c r="Z160" s="52"/>
      <c r="AA160" s="53"/>
      <c r="AB160" s="54" t="str">
        <f t="shared" si="32"/>
        <v/>
      </c>
      <c r="AC160" s="49" t="str">
        <f t="shared" si="33"/>
        <v/>
      </c>
      <c r="AD160" s="55" t="str">
        <f t="shared" si="34"/>
        <v/>
      </c>
      <c r="AE160" s="56">
        <f t="shared" si="35"/>
        <v>0</v>
      </c>
      <c r="AF160" s="56">
        <f t="shared" si="36"/>
        <v>0</v>
      </c>
      <c r="AG160" s="59">
        <f t="shared" si="37"/>
        <v>0</v>
      </c>
      <c r="AH160" s="48"/>
      <c r="AJ160" s="48"/>
      <c r="AL160" s="48"/>
      <c r="AM160" s="48" t="str">
        <f t="shared" si="38"/>
        <v/>
      </c>
    </row>
    <row r="161" spans="1:39" s="57" customFormat="1" ht="14">
      <c r="A161" s="45"/>
      <c r="B161" s="46"/>
      <c r="C161" s="47">
        <f>IF(B161&lt;&gt;"",VLOOKUP(B161,'Tipo Projeto'!$A$3:$B$35,2,0),0)</f>
        <v>0</v>
      </c>
      <c r="D161" s="48"/>
      <c r="E161" s="48"/>
      <c r="F161" s="49"/>
      <c r="G161" s="204"/>
      <c r="H161" s="50"/>
      <c r="I161" s="51"/>
      <c r="J161" s="52"/>
      <c r="K161" s="53"/>
      <c r="L161" s="54" t="str">
        <f t="shared" si="26"/>
        <v/>
      </c>
      <c r="M161" s="49" t="str">
        <f t="shared" si="27"/>
        <v/>
      </c>
      <c r="N161" s="55" t="str">
        <f t="shared" si="28"/>
        <v/>
      </c>
      <c r="O161" s="56">
        <f t="shared" si="29"/>
        <v>0</v>
      </c>
      <c r="P161" s="56">
        <f t="shared" si="30"/>
        <v>0</v>
      </c>
      <c r="Q161" s="55">
        <f t="shared" si="31"/>
        <v>0</v>
      </c>
      <c r="R161" s="48"/>
      <c r="T161" s="58"/>
      <c r="U161" s="46"/>
      <c r="V161" s="47">
        <f>IF(U161&lt;&gt;"",VLOOKUP(U161,'Tipo Projeto'!$A$3:$B$35,2,0),0)</f>
        <v>0</v>
      </c>
      <c r="W161" s="48"/>
      <c r="X161" s="50"/>
      <c r="Y161" s="51"/>
      <c r="Z161" s="52"/>
      <c r="AA161" s="53"/>
      <c r="AB161" s="54" t="str">
        <f t="shared" si="32"/>
        <v/>
      </c>
      <c r="AC161" s="49" t="str">
        <f t="shared" si="33"/>
        <v/>
      </c>
      <c r="AD161" s="55" t="str">
        <f t="shared" si="34"/>
        <v/>
      </c>
      <c r="AE161" s="56">
        <f t="shared" si="35"/>
        <v>0</v>
      </c>
      <c r="AF161" s="56">
        <f t="shared" si="36"/>
        <v>0</v>
      </c>
      <c r="AG161" s="59">
        <f t="shared" si="37"/>
        <v>0</v>
      </c>
      <c r="AH161" s="48"/>
      <c r="AJ161" s="48"/>
      <c r="AL161" s="48"/>
      <c r="AM161" s="48" t="str">
        <f t="shared" si="38"/>
        <v/>
      </c>
    </row>
    <row r="162" spans="1:39" s="57" customFormat="1" ht="14">
      <c r="A162" s="45"/>
      <c r="B162" s="46"/>
      <c r="C162" s="47">
        <f>IF(B162&lt;&gt;"",VLOOKUP(B162,'Tipo Projeto'!$A$3:$B$35,2,0),0)</f>
        <v>0</v>
      </c>
      <c r="D162" s="48"/>
      <c r="E162" s="48"/>
      <c r="F162" s="49"/>
      <c r="G162" s="204"/>
      <c r="H162" s="50"/>
      <c r="I162" s="51"/>
      <c r="J162" s="52"/>
      <c r="K162" s="53"/>
      <c r="L162" s="54" t="str">
        <f t="shared" si="26"/>
        <v/>
      </c>
      <c r="M162" s="49" t="str">
        <f t="shared" si="27"/>
        <v/>
      </c>
      <c r="N162" s="55" t="str">
        <f t="shared" si="28"/>
        <v/>
      </c>
      <c r="O162" s="56">
        <f t="shared" si="29"/>
        <v>0</v>
      </c>
      <c r="P162" s="56">
        <f t="shared" si="30"/>
        <v>0</v>
      </c>
      <c r="Q162" s="55">
        <f t="shared" si="31"/>
        <v>0</v>
      </c>
      <c r="R162" s="48"/>
      <c r="T162" s="58"/>
      <c r="U162" s="46"/>
      <c r="V162" s="47">
        <f>IF(U162&lt;&gt;"",VLOOKUP(U162,'Tipo Projeto'!$A$3:$B$35,2,0),0)</f>
        <v>0</v>
      </c>
      <c r="W162" s="48"/>
      <c r="X162" s="50"/>
      <c r="Y162" s="51"/>
      <c r="Z162" s="52"/>
      <c r="AA162" s="53"/>
      <c r="AB162" s="54" t="str">
        <f t="shared" si="32"/>
        <v/>
      </c>
      <c r="AC162" s="49" t="str">
        <f t="shared" si="33"/>
        <v/>
      </c>
      <c r="AD162" s="55" t="str">
        <f t="shared" si="34"/>
        <v/>
      </c>
      <c r="AE162" s="56">
        <f t="shared" si="35"/>
        <v>0</v>
      </c>
      <c r="AF162" s="56">
        <f t="shared" si="36"/>
        <v>0</v>
      </c>
      <c r="AG162" s="59">
        <f t="shared" si="37"/>
        <v>0</v>
      </c>
      <c r="AH162" s="48"/>
      <c r="AJ162" s="48"/>
      <c r="AL162" s="48"/>
      <c r="AM162" s="48" t="str">
        <f t="shared" si="38"/>
        <v/>
      </c>
    </row>
    <row r="163" spans="1:39" s="57" customFormat="1" ht="14">
      <c r="A163" s="45"/>
      <c r="B163" s="46"/>
      <c r="C163" s="47">
        <f>IF(B163&lt;&gt;"",VLOOKUP(B163,'Tipo Projeto'!$A$3:$B$35,2,0),0)</f>
        <v>0</v>
      </c>
      <c r="D163" s="48"/>
      <c r="E163" s="48"/>
      <c r="F163" s="49"/>
      <c r="G163" s="204"/>
      <c r="H163" s="50"/>
      <c r="I163" s="51"/>
      <c r="J163" s="52"/>
      <c r="K163" s="53"/>
      <c r="L163" s="54" t="str">
        <f t="shared" si="26"/>
        <v/>
      </c>
      <c r="M163" s="49" t="str">
        <f t="shared" si="27"/>
        <v/>
      </c>
      <c r="N163" s="55" t="str">
        <f t="shared" si="28"/>
        <v/>
      </c>
      <c r="O163" s="56">
        <f t="shared" si="29"/>
        <v>0</v>
      </c>
      <c r="P163" s="56">
        <f t="shared" si="30"/>
        <v>0</v>
      </c>
      <c r="Q163" s="55">
        <f t="shared" si="31"/>
        <v>0</v>
      </c>
      <c r="R163" s="48"/>
      <c r="T163" s="58"/>
      <c r="U163" s="46"/>
      <c r="V163" s="47">
        <f>IF(U163&lt;&gt;"",VLOOKUP(U163,'Tipo Projeto'!$A$3:$B$35,2,0),0)</f>
        <v>0</v>
      </c>
      <c r="W163" s="48"/>
      <c r="X163" s="50"/>
      <c r="Y163" s="51"/>
      <c r="Z163" s="52"/>
      <c r="AA163" s="53"/>
      <c r="AB163" s="54" t="str">
        <f t="shared" si="32"/>
        <v/>
      </c>
      <c r="AC163" s="49" t="str">
        <f t="shared" si="33"/>
        <v/>
      </c>
      <c r="AD163" s="55" t="str">
        <f t="shared" si="34"/>
        <v/>
      </c>
      <c r="AE163" s="56">
        <f t="shared" si="35"/>
        <v>0</v>
      </c>
      <c r="AF163" s="56">
        <f t="shared" si="36"/>
        <v>0</v>
      </c>
      <c r="AG163" s="59">
        <f t="shared" si="37"/>
        <v>0</v>
      </c>
      <c r="AH163" s="48"/>
      <c r="AJ163" s="48"/>
      <c r="AL163" s="48"/>
      <c r="AM163" s="48" t="str">
        <f t="shared" si="38"/>
        <v/>
      </c>
    </row>
    <row r="164" spans="1:39" s="57" customFormat="1" ht="14">
      <c r="A164" s="45"/>
      <c r="B164" s="46"/>
      <c r="C164" s="47">
        <f>IF(B164&lt;&gt;"",VLOOKUP(B164,'Tipo Projeto'!$A$3:$B$35,2,0),0)</f>
        <v>0</v>
      </c>
      <c r="D164" s="48"/>
      <c r="E164" s="48"/>
      <c r="F164" s="49"/>
      <c r="G164" s="204"/>
      <c r="H164" s="50"/>
      <c r="I164" s="51"/>
      <c r="J164" s="52"/>
      <c r="K164" s="53"/>
      <c r="L164" s="54" t="str">
        <f t="shared" si="26"/>
        <v/>
      </c>
      <c r="M164" s="49" t="str">
        <f t="shared" si="27"/>
        <v/>
      </c>
      <c r="N164" s="55" t="str">
        <f t="shared" si="28"/>
        <v/>
      </c>
      <c r="O164" s="56">
        <f t="shared" si="29"/>
        <v>0</v>
      </c>
      <c r="P164" s="56">
        <f t="shared" si="30"/>
        <v>0</v>
      </c>
      <c r="Q164" s="55">
        <f t="shared" si="31"/>
        <v>0</v>
      </c>
      <c r="R164" s="48"/>
      <c r="T164" s="58"/>
      <c r="U164" s="46"/>
      <c r="V164" s="47">
        <f>IF(U164&lt;&gt;"",VLOOKUP(U164,'Tipo Projeto'!$A$3:$B$35,2,0),0)</f>
        <v>0</v>
      </c>
      <c r="W164" s="48"/>
      <c r="X164" s="50"/>
      <c r="Y164" s="51"/>
      <c r="Z164" s="52"/>
      <c r="AA164" s="53"/>
      <c r="AB164" s="54" t="str">
        <f t="shared" si="32"/>
        <v/>
      </c>
      <c r="AC164" s="49" t="str">
        <f t="shared" si="33"/>
        <v/>
      </c>
      <c r="AD164" s="55" t="str">
        <f t="shared" si="34"/>
        <v/>
      </c>
      <c r="AE164" s="56">
        <f t="shared" si="35"/>
        <v>0</v>
      </c>
      <c r="AF164" s="56">
        <f t="shared" si="36"/>
        <v>0</v>
      </c>
      <c r="AG164" s="59">
        <f t="shared" si="37"/>
        <v>0</v>
      </c>
      <c r="AH164" s="48"/>
      <c r="AJ164" s="48"/>
      <c r="AL164" s="48"/>
      <c r="AM164" s="48" t="str">
        <f t="shared" si="38"/>
        <v/>
      </c>
    </row>
    <row r="165" spans="1:39" s="57" customFormat="1" ht="14">
      <c r="A165" s="45"/>
      <c r="B165" s="46"/>
      <c r="C165" s="47">
        <f>IF(B165&lt;&gt;"",VLOOKUP(B165,'Tipo Projeto'!$A$3:$B$35,2,0),0)</f>
        <v>0</v>
      </c>
      <c r="D165" s="48"/>
      <c r="E165" s="48"/>
      <c r="F165" s="49"/>
      <c r="G165" s="204"/>
      <c r="H165" s="50"/>
      <c r="I165" s="51"/>
      <c r="J165" s="52"/>
      <c r="K165" s="53"/>
      <c r="L165" s="54" t="str">
        <f t="shared" si="26"/>
        <v/>
      </c>
      <c r="M165" s="49" t="str">
        <f t="shared" si="27"/>
        <v/>
      </c>
      <c r="N165" s="55" t="str">
        <f t="shared" si="28"/>
        <v/>
      </c>
      <c r="O165" s="56">
        <f t="shared" si="29"/>
        <v>0</v>
      </c>
      <c r="P165" s="56">
        <f t="shared" si="30"/>
        <v>0</v>
      </c>
      <c r="Q165" s="55">
        <f t="shared" si="31"/>
        <v>0</v>
      </c>
      <c r="R165" s="48"/>
      <c r="T165" s="58"/>
      <c r="U165" s="46"/>
      <c r="V165" s="47">
        <f>IF(U165&lt;&gt;"",VLOOKUP(U165,'Tipo Projeto'!$A$3:$B$35,2,0),0)</f>
        <v>0</v>
      </c>
      <c r="W165" s="48"/>
      <c r="X165" s="50"/>
      <c r="Y165" s="51"/>
      <c r="Z165" s="52"/>
      <c r="AA165" s="53"/>
      <c r="AB165" s="54" t="str">
        <f t="shared" si="32"/>
        <v/>
      </c>
      <c r="AC165" s="49" t="str">
        <f t="shared" si="33"/>
        <v/>
      </c>
      <c r="AD165" s="55" t="str">
        <f t="shared" si="34"/>
        <v/>
      </c>
      <c r="AE165" s="56">
        <f t="shared" si="35"/>
        <v>0</v>
      </c>
      <c r="AF165" s="56">
        <f t="shared" si="36"/>
        <v>0</v>
      </c>
      <c r="AG165" s="59">
        <f t="shared" si="37"/>
        <v>0</v>
      </c>
      <c r="AH165" s="48"/>
      <c r="AJ165" s="48"/>
      <c r="AL165" s="48"/>
      <c r="AM165" s="48" t="str">
        <f t="shared" si="38"/>
        <v/>
      </c>
    </row>
    <row r="166" spans="1:39" s="57" customFormat="1" ht="14">
      <c r="A166" s="45"/>
      <c r="B166" s="46"/>
      <c r="C166" s="47">
        <f>IF(B166&lt;&gt;"",VLOOKUP(B166,'Tipo Projeto'!$A$3:$B$35,2,0),0)</f>
        <v>0</v>
      </c>
      <c r="D166" s="48"/>
      <c r="E166" s="48"/>
      <c r="F166" s="49"/>
      <c r="G166" s="204"/>
      <c r="H166" s="50"/>
      <c r="I166" s="51"/>
      <c r="J166" s="52"/>
      <c r="K166" s="53"/>
      <c r="L166" s="54" t="str">
        <f t="shared" si="26"/>
        <v/>
      </c>
      <c r="M166" s="49" t="str">
        <f t="shared" si="27"/>
        <v/>
      </c>
      <c r="N166" s="55" t="str">
        <f t="shared" si="28"/>
        <v/>
      </c>
      <c r="O166" s="56">
        <f t="shared" si="29"/>
        <v>0</v>
      </c>
      <c r="P166" s="56">
        <f t="shared" si="30"/>
        <v>0</v>
      </c>
      <c r="Q166" s="55">
        <f t="shared" si="31"/>
        <v>0</v>
      </c>
      <c r="R166" s="48"/>
      <c r="T166" s="58"/>
      <c r="U166" s="46"/>
      <c r="V166" s="47">
        <f>IF(U166&lt;&gt;"",VLOOKUP(U166,'Tipo Projeto'!$A$3:$B$35,2,0),0)</f>
        <v>0</v>
      </c>
      <c r="W166" s="48"/>
      <c r="X166" s="50"/>
      <c r="Y166" s="51"/>
      <c r="Z166" s="52"/>
      <c r="AA166" s="53"/>
      <c r="AB166" s="54" t="str">
        <f t="shared" si="32"/>
        <v/>
      </c>
      <c r="AC166" s="49" t="str">
        <f t="shared" si="33"/>
        <v/>
      </c>
      <c r="AD166" s="55" t="str">
        <f t="shared" si="34"/>
        <v/>
      </c>
      <c r="AE166" s="56">
        <f t="shared" si="35"/>
        <v>0</v>
      </c>
      <c r="AF166" s="56">
        <f t="shared" si="36"/>
        <v>0</v>
      </c>
      <c r="AG166" s="59">
        <f t="shared" si="37"/>
        <v>0</v>
      </c>
      <c r="AH166" s="48"/>
      <c r="AJ166" s="48"/>
      <c r="AL166" s="48"/>
      <c r="AM166" s="48" t="str">
        <f t="shared" si="38"/>
        <v/>
      </c>
    </row>
    <row r="167" spans="1:39" s="57" customFormat="1" ht="14">
      <c r="A167" s="45"/>
      <c r="B167" s="46"/>
      <c r="C167" s="47">
        <f>IF(B167&lt;&gt;"",VLOOKUP(B167,'Tipo Projeto'!$A$3:$B$35,2,0),0)</f>
        <v>0</v>
      </c>
      <c r="D167" s="48"/>
      <c r="E167" s="48"/>
      <c r="F167" s="49"/>
      <c r="G167" s="204"/>
      <c r="H167" s="50"/>
      <c r="I167" s="51"/>
      <c r="J167" s="52"/>
      <c r="K167" s="53"/>
      <c r="L167" s="54" t="str">
        <f t="shared" si="26"/>
        <v/>
      </c>
      <c r="M167" s="49" t="str">
        <f t="shared" si="27"/>
        <v/>
      </c>
      <c r="N167" s="55" t="str">
        <f t="shared" si="28"/>
        <v/>
      </c>
      <c r="O167" s="56">
        <f t="shared" si="29"/>
        <v>0</v>
      </c>
      <c r="P167" s="56">
        <f t="shared" si="30"/>
        <v>0</v>
      </c>
      <c r="Q167" s="55">
        <f t="shared" si="31"/>
        <v>0</v>
      </c>
      <c r="R167" s="48"/>
      <c r="T167" s="58"/>
      <c r="U167" s="46"/>
      <c r="V167" s="47">
        <f>IF(U167&lt;&gt;"",VLOOKUP(U167,'Tipo Projeto'!$A$3:$B$35,2,0),0)</f>
        <v>0</v>
      </c>
      <c r="W167" s="48"/>
      <c r="X167" s="50"/>
      <c r="Y167" s="51"/>
      <c r="Z167" s="52"/>
      <c r="AA167" s="53"/>
      <c r="AB167" s="54" t="str">
        <f t="shared" si="32"/>
        <v/>
      </c>
      <c r="AC167" s="49" t="str">
        <f t="shared" si="33"/>
        <v/>
      </c>
      <c r="AD167" s="55" t="str">
        <f t="shared" si="34"/>
        <v/>
      </c>
      <c r="AE167" s="56">
        <f t="shared" si="35"/>
        <v>0</v>
      </c>
      <c r="AF167" s="56">
        <f t="shared" si="36"/>
        <v>0</v>
      </c>
      <c r="AG167" s="59">
        <f t="shared" si="37"/>
        <v>0</v>
      </c>
      <c r="AH167" s="48"/>
      <c r="AJ167" s="48"/>
      <c r="AL167" s="48"/>
      <c r="AM167" s="48" t="str">
        <f t="shared" si="38"/>
        <v/>
      </c>
    </row>
    <row r="168" spans="1:39" s="57" customFormat="1" ht="14">
      <c r="A168" s="45"/>
      <c r="B168" s="46"/>
      <c r="C168" s="47">
        <f>IF(B168&lt;&gt;"",VLOOKUP(B168,'Tipo Projeto'!$A$3:$B$35,2,0),0)</f>
        <v>0</v>
      </c>
      <c r="D168" s="48"/>
      <c r="E168" s="48"/>
      <c r="F168" s="49"/>
      <c r="G168" s="204"/>
      <c r="H168" s="50"/>
      <c r="I168" s="51"/>
      <c r="J168" s="52"/>
      <c r="K168" s="53"/>
      <c r="L168" s="54" t="str">
        <f t="shared" si="26"/>
        <v/>
      </c>
      <c r="M168" s="49" t="str">
        <f t="shared" si="27"/>
        <v/>
      </c>
      <c r="N168" s="55" t="str">
        <f t="shared" si="28"/>
        <v/>
      </c>
      <c r="O168" s="56">
        <f t="shared" si="29"/>
        <v>0</v>
      </c>
      <c r="P168" s="56">
        <f t="shared" si="30"/>
        <v>0</v>
      </c>
      <c r="Q168" s="55">
        <f t="shared" si="31"/>
        <v>0</v>
      </c>
      <c r="R168" s="48"/>
      <c r="T168" s="58"/>
      <c r="U168" s="46"/>
      <c r="V168" s="47">
        <f>IF(U168&lt;&gt;"",VLOOKUP(U168,'Tipo Projeto'!$A$3:$B$35,2,0),0)</f>
        <v>0</v>
      </c>
      <c r="W168" s="48"/>
      <c r="X168" s="50"/>
      <c r="Y168" s="51"/>
      <c r="Z168" s="52"/>
      <c r="AA168" s="53"/>
      <c r="AB168" s="54" t="str">
        <f t="shared" si="32"/>
        <v/>
      </c>
      <c r="AC168" s="49" t="str">
        <f t="shared" si="33"/>
        <v/>
      </c>
      <c r="AD168" s="55" t="str">
        <f t="shared" si="34"/>
        <v/>
      </c>
      <c r="AE168" s="56">
        <f t="shared" si="35"/>
        <v>0</v>
      </c>
      <c r="AF168" s="56">
        <f t="shared" si="36"/>
        <v>0</v>
      </c>
      <c r="AG168" s="59">
        <f t="shared" si="37"/>
        <v>0</v>
      </c>
      <c r="AH168" s="48"/>
      <c r="AJ168" s="48"/>
      <c r="AL168" s="48"/>
      <c r="AM168" s="48" t="str">
        <f t="shared" si="38"/>
        <v/>
      </c>
    </row>
    <row r="169" spans="1:39" s="57" customFormat="1" ht="14">
      <c r="A169" s="45"/>
      <c r="B169" s="46"/>
      <c r="C169" s="47">
        <f>IF(B169&lt;&gt;"",VLOOKUP(B169,'Tipo Projeto'!$A$3:$B$35,2,0),0)</f>
        <v>0</v>
      </c>
      <c r="D169" s="48"/>
      <c r="E169" s="48"/>
      <c r="F169" s="49"/>
      <c r="G169" s="204"/>
      <c r="H169" s="50"/>
      <c r="I169" s="51"/>
      <c r="J169" s="52"/>
      <c r="K169" s="53"/>
      <c r="L169" s="54" t="str">
        <f t="shared" si="26"/>
        <v/>
      </c>
      <c r="M169" s="49" t="str">
        <f t="shared" si="27"/>
        <v/>
      </c>
      <c r="N169" s="55" t="str">
        <f t="shared" si="28"/>
        <v/>
      </c>
      <c r="O169" s="56">
        <f t="shared" si="29"/>
        <v>0</v>
      </c>
      <c r="P169" s="56">
        <f t="shared" si="30"/>
        <v>0</v>
      </c>
      <c r="Q169" s="55">
        <f t="shared" si="31"/>
        <v>0</v>
      </c>
      <c r="R169" s="48"/>
      <c r="T169" s="58"/>
      <c r="U169" s="46"/>
      <c r="V169" s="47">
        <f>IF(U169&lt;&gt;"",VLOOKUP(U169,'Tipo Projeto'!$A$3:$B$35,2,0),0)</f>
        <v>0</v>
      </c>
      <c r="W169" s="48"/>
      <c r="X169" s="50"/>
      <c r="Y169" s="51"/>
      <c r="Z169" s="52"/>
      <c r="AA169" s="53"/>
      <c r="AB169" s="54" t="str">
        <f t="shared" si="32"/>
        <v/>
      </c>
      <c r="AC169" s="49" t="str">
        <f t="shared" si="33"/>
        <v/>
      </c>
      <c r="AD169" s="55" t="str">
        <f t="shared" si="34"/>
        <v/>
      </c>
      <c r="AE169" s="56">
        <f t="shared" si="35"/>
        <v>0</v>
      </c>
      <c r="AF169" s="56">
        <f t="shared" si="36"/>
        <v>0</v>
      </c>
      <c r="AG169" s="59">
        <f t="shared" si="37"/>
        <v>0</v>
      </c>
      <c r="AH169" s="48"/>
      <c r="AJ169" s="48"/>
      <c r="AL169" s="48"/>
      <c r="AM169" s="48" t="str">
        <f t="shared" si="38"/>
        <v/>
      </c>
    </row>
    <row r="170" spans="1:39" s="57" customFormat="1" ht="14">
      <c r="A170" s="45"/>
      <c r="B170" s="46"/>
      <c r="C170" s="47">
        <f>IF(B170&lt;&gt;"",VLOOKUP(B170,'Tipo Projeto'!$A$3:$B$35,2,0),0)</f>
        <v>0</v>
      </c>
      <c r="D170" s="48"/>
      <c r="E170" s="48"/>
      <c r="F170" s="49"/>
      <c r="G170" s="204"/>
      <c r="H170" s="50"/>
      <c r="I170" s="51"/>
      <c r="J170" s="52"/>
      <c r="K170" s="53"/>
      <c r="L170" s="54" t="str">
        <f t="shared" si="26"/>
        <v/>
      </c>
      <c r="M170" s="49" t="str">
        <f t="shared" si="27"/>
        <v/>
      </c>
      <c r="N170" s="55" t="str">
        <f t="shared" si="28"/>
        <v/>
      </c>
      <c r="O170" s="56">
        <f t="shared" si="29"/>
        <v>0</v>
      </c>
      <c r="P170" s="56">
        <f t="shared" si="30"/>
        <v>0</v>
      </c>
      <c r="Q170" s="55">
        <f t="shared" si="31"/>
        <v>0</v>
      </c>
      <c r="R170" s="48"/>
      <c r="T170" s="58"/>
      <c r="U170" s="46"/>
      <c r="V170" s="47">
        <f>IF(U170&lt;&gt;"",VLOOKUP(U170,'Tipo Projeto'!$A$3:$B$35,2,0),0)</f>
        <v>0</v>
      </c>
      <c r="W170" s="48"/>
      <c r="X170" s="50"/>
      <c r="Y170" s="51"/>
      <c r="Z170" s="52"/>
      <c r="AA170" s="53"/>
      <c r="AB170" s="54" t="str">
        <f t="shared" si="32"/>
        <v/>
      </c>
      <c r="AC170" s="49" t="str">
        <f t="shared" si="33"/>
        <v/>
      </c>
      <c r="AD170" s="55" t="str">
        <f t="shared" si="34"/>
        <v/>
      </c>
      <c r="AE170" s="56">
        <f t="shared" si="35"/>
        <v>0</v>
      </c>
      <c r="AF170" s="56">
        <f t="shared" si="36"/>
        <v>0</v>
      </c>
      <c r="AG170" s="59">
        <f t="shared" si="37"/>
        <v>0</v>
      </c>
      <c r="AH170" s="48"/>
      <c r="AJ170" s="48"/>
      <c r="AL170" s="48"/>
      <c r="AM170" s="48" t="str">
        <f t="shared" si="38"/>
        <v/>
      </c>
    </row>
    <row r="171" spans="1:39" s="57" customFormat="1" ht="14">
      <c r="A171" s="45"/>
      <c r="B171" s="46"/>
      <c r="C171" s="47">
        <f>IF(B171&lt;&gt;"",VLOOKUP(B171,'Tipo Projeto'!$A$3:$B$35,2,0),0)</f>
        <v>0</v>
      </c>
      <c r="D171" s="48"/>
      <c r="E171" s="48"/>
      <c r="F171" s="49"/>
      <c r="G171" s="204"/>
      <c r="H171" s="50"/>
      <c r="I171" s="51"/>
      <c r="J171" s="52"/>
      <c r="K171" s="53"/>
      <c r="L171" s="54" t="str">
        <f t="shared" si="26"/>
        <v/>
      </c>
      <c r="M171" s="49" t="str">
        <f t="shared" si="27"/>
        <v/>
      </c>
      <c r="N171" s="55" t="str">
        <f t="shared" si="28"/>
        <v/>
      </c>
      <c r="O171" s="56">
        <f t="shared" si="29"/>
        <v>0</v>
      </c>
      <c r="P171" s="56">
        <f t="shared" si="30"/>
        <v>0</v>
      </c>
      <c r="Q171" s="55">
        <f t="shared" si="31"/>
        <v>0</v>
      </c>
      <c r="R171" s="48"/>
      <c r="T171" s="58"/>
      <c r="U171" s="46"/>
      <c r="V171" s="47">
        <f>IF(U171&lt;&gt;"",VLOOKUP(U171,'Tipo Projeto'!$A$3:$B$35,2,0),0)</f>
        <v>0</v>
      </c>
      <c r="W171" s="48"/>
      <c r="X171" s="50"/>
      <c r="Y171" s="51"/>
      <c r="Z171" s="52"/>
      <c r="AA171" s="53"/>
      <c r="AB171" s="54" t="str">
        <f t="shared" si="32"/>
        <v/>
      </c>
      <c r="AC171" s="49" t="str">
        <f t="shared" si="33"/>
        <v/>
      </c>
      <c r="AD171" s="55" t="str">
        <f t="shared" si="34"/>
        <v/>
      </c>
      <c r="AE171" s="56">
        <f t="shared" si="35"/>
        <v>0</v>
      </c>
      <c r="AF171" s="56">
        <f t="shared" si="36"/>
        <v>0</v>
      </c>
      <c r="AG171" s="59">
        <f t="shared" si="37"/>
        <v>0</v>
      </c>
      <c r="AH171" s="48"/>
      <c r="AJ171" s="48"/>
      <c r="AL171" s="48"/>
      <c r="AM171" s="48" t="str">
        <f t="shared" si="38"/>
        <v/>
      </c>
    </row>
    <row r="172" spans="1:39" s="57" customFormat="1" ht="14">
      <c r="A172" s="45"/>
      <c r="B172" s="46"/>
      <c r="C172" s="47">
        <f>IF(B172&lt;&gt;"",VLOOKUP(B172,'Tipo Projeto'!$A$3:$B$35,2,0),0)</f>
        <v>0</v>
      </c>
      <c r="D172" s="48"/>
      <c r="E172" s="48"/>
      <c r="F172" s="49"/>
      <c r="G172" s="204"/>
      <c r="H172" s="50"/>
      <c r="I172" s="51"/>
      <c r="J172" s="52"/>
      <c r="K172" s="53"/>
      <c r="L172" s="54" t="str">
        <f t="shared" si="26"/>
        <v/>
      </c>
      <c r="M172" s="49" t="str">
        <f t="shared" si="27"/>
        <v/>
      </c>
      <c r="N172" s="55" t="str">
        <f t="shared" si="28"/>
        <v/>
      </c>
      <c r="O172" s="56">
        <f t="shared" si="29"/>
        <v>0</v>
      </c>
      <c r="P172" s="56">
        <f t="shared" si="30"/>
        <v>0</v>
      </c>
      <c r="Q172" s="55">
        <f t="shared" si="31"/>
        <v>0</v>
      </c>
      <c r="R172" s="48"/>
      <c r="T172" s="58"/>
      <c r="U172" s="46"/>
      <c r="V172" s="47">
        <f>IF(U172&lt;&gt;"",VLOOKUP(U172,'Tipo Projeto'!$A$3:$B$35,2,0),0)</f>
        <v>0</v>
      </c>
      <c r="W172" s="48"/>
      <c r="X172" s="50"/>
      <c r="Y172" s="51"/>
      <c r="Z172" s="52"/>
      <c r="AA172" s="53"/>
      <c r="AB172" s="54" t="str">
        <f t="shared" si="32"/>
        <v/>
      </c>
      <c r="AC172" s="49" t="str">
        <f t="shared" si="33"/>
        <v/>
      </c>
      <c r="AD172" s="55" t="str">
        <f t="shared" si="34"/>
        <v/>
      </c>
      <c r="AE172" s="56">
        <f t="shared" si="35"/>
        <v>0</v>
      </c>
      <c r="AF172" s="56">
        <f t="shared" si="36"/>
        <v>0</v>
      </c>
      <c r="AG172" s="59">
        <f t="shared" si="37"/>
        <v>0</v>
      </c>
      <c r="AH172" s="48"/>
      <c r="AJ172" s="48"/>
      <c r="AL172" s="48"/>
      <c r="AM172" s="48" t="str">
        <f t="shared" si="38"/>
        <v/>
      </c>
    </row>
    <row r="173" spans="1:39" s="57" customFormat="1" ht="14">
      <c r="A173" s="45"/>
      <c r="B173" s="46"/>
      <c r="C173" s="47">
        <f>IF(B173&lt;&gt;"",VLOOKUP(B173,'Tipo Projeto'!$A$3:$B$35,2,0),0)</f>
        <v>0</v>
      </c>
      <c r="D173" s="48"/>
      <c r="E173" s="48"/>
      <c r="F173" s="49"/>
      <c r="G173" s="204"/>
      <c r="H173" s="50"/>
      <c r="I173" s="51"/>
      <c r="J173" s="52"/>
      <c r="K173" s="53"/>
      <c r="L173" s="54" t="str">
        <f t="shared" si="26"/>
        <v/>
      </c>
      <c r="M173" s="49" t="str">
        <f t="shared" si="27"/>
        <v/>
      </c>
      <c r="N173" s="55" t="str">
        <f t="shared" si="28"/>
        <v/>
      </c>
      <c r="O173" s="56">
        <f t="shared" si="29"/>
        <v>0</v>
      </c>
      <c r="P173" s="56">
        <f t="shared" si="30"/>
        <v>0</v>
      </c>
      <c r="Q173" s="55">
        <f t="shared" si="31"/>
        <v>0</v>
      </c>
      <c r="R173" s="48"/>
      <c r="T173" s="58"/>
      <c r="U173" s="46"/>
      <c r="V173" s="47">
        <f>IF(U173&lt;&gt;"",VLOOKUP(U173,'Tipo Projeto'!$A$3:$B$35,2,0),0)</f>
        <v>0</v>
      </c>
      <c r="W173" s="48"/>
      <c r="X173" s="50"/>
      <c r="Y173" s="51"/>
      <c r="Z173" s="52"/>
      <c r="AA173" s="53"/>
      <c r="AB173" s="54" t="str">
        <f t="shared" si="32"/>
        <v/>
      </c>
      <c r="AC173" s="49" t="str">
        <f t="shared" si="33"/>
        <v/>
      </c>
      <c r="AD173" s="55" t="str">
        <f t="shared" si="34"/>
        <v/>
      </c>
      <c r="AE173" s="56">
        <f t="shared" si="35"/>
        <v>0</v>
      </c>
      <c r="AF173" s="56">
        <f t="shared" si="36"/>
        <v>0</v>
      </c>
      <c r="AG173" s="59">
        <f t="shared" si="37"/>
        <v>0</v>
      </c>
      <c r="AH173" s="48"/>
      <c r="AJ173" s="48"/>
      <c r="AL173" s="48"/>
      <c r="AM173" s="48" t="str">
        <f t="shared" si="38"/>
        <v/>
      </c>
    </row>
    <row r="174" spans="1:39" s="57" customFormat="1" ht="14">
      <c r="A174" s="45"/>
      <c r="B174" s="46"/>
      <c r="C174" s="47">
        <f>IF(B174&lt;&gt;"",VLOOKUP(B174,'Tipo Projeto'!$A$3:$B$35,2,0),0)</f>
        <v>0</v>
      </c>
      <c r="D174" s="48"/>
      <c r="E174" s="48"/>
      <c r="F174" s="49"/>
      <c r="G174" s="204"/>
      <c r="H174" s="50"/>
      <c r="I174" s="51"/>
      <c r="J174" s="52"/>
      <c r="K174" s="53"/>
      <c r="L174" s="54" t="str">
        <f t="shared" si="26"/>
        <v/>
      </c>
      <c r="M174" s="49" t="str">
        <f t="shared" si="27"/>
        <v/>
      </c>
      <c r="N174" s="55" t="str">
        <f t="shared" si="28"/>
        <v/>
      </c>
      <c r="O174" s="56">
        <f t="shared" si="29"/>
        <v>0</v>
      </c>
      <c r="P174" s="56">
        <f t="shared" si="30"/>
        <v>0</v>
      </c>
      <c r="Q174" s="55">
        <f t="shared" si="31"/>
        <v>0</v>
      </c>
      <c r="R174" s="48"/>
      <c r="T174" s="58"/>
      <c r="U174" s="46"/>
      <c r="V174" s="47">
        <f>IF(U174&lt;&gt;"",VLOOKUP(U174,'Tipo Projeto'!$A$3:$B$35,2,0),0)</f>
        <v>0</v>
      </c>
      <c r="W174" s="48"/>
      <c r="X174" s="50"/>
      <c r="Y174" s="51"/>
      <c r="Z174" s="52"/>
      <c r="AA174" s="53"/>
      <c r="AB174" s="54" t="str">
        <f t="shared" si="32"/>
        <v/>
      </c>
      <c r="AC174" s="49" t="str">
        <f t="shared" si="33"/>
        <v/>
      </c>
      <c r="AD174" s="55" t="str">
        <f t="shared" si="34"/>
        <v/>
      </c>
      <c r="AE174" s="56">
        <f t="shared" si="35"/>
        <v>0</v>
      </c>
      <c r="AF174" s="56">
        <f t="shared" si="36"/>
        <v>0</v>
      </c>
      <c r="AG174" s="59">
        <f t="shared" si="37"/>
        <v>0</v>
      </c>
      <c r="AH174" s="48"/>
      <c r="AJ174" s="48"/>
      <c r="AL174" s="48"/>
      <c r="AM174" s="48" t="str">
        <f t="shared" si="38"/>
        <v/>
      </c>
    </row>
    <row r="175" spans="1:39" s="57" customFormat="1" ht="14">
      <c r="A175" s="45"/>
      <c r="B175" s="46"/>
      <c r="C175" s="47">
        <f>IF(B175&lt;&gt;"",VLOOKUP(B175,'Tipo Projeto'!$A$3:$B$35,2,0),0)</f>
        <v>0</v>
      </c>
      <c r="D175" s="48"/>
      <c r="E175" s="48"/>
      <c r="F175" s="49"/>
      <c r="G175" s="204"/>
      <c r="H175" s="50"/>
      <c r="I175" s="51"/>
      <c r="J175" s="52"/>
      <c r="K175" s="53"/>
      <c r="L175" s="54" t="str">
        <f t="shared" si="26"/>
        <v/>
      </c>
      <c r="M175" s="49" t="str">
        <f t="shared" si="27"/>
        <v/>
      </c>
      <c r="N175" s="55" t="str">
        <f t="shared" si="28"/>
        <v/>
      </c>
      <c r="O175" s="56">
        <f t="shared" si="29"/>
        <v>0</v>
      </c>
      <c r="P175" s="56">
        <f t="shared" si="30"/>
        <v>0</v>
      </c>
      <c r="Q175" s="55">
        <f t="shared" si="31"/>
        <v>0</v>
      </c>
      <c r="R175" s="48"/>
      <c r="T175" s="58"/>
      <c r="U175" s="46"/>
      <c r="V175" s="47">
        <f>IF(U175&lt;&gt;"",VLOOKUP(U175,'Tipo Projeto'!$A$3:$B$35,2,0),0)</f>
        <v>0</v>
      </c>
      <c r="W175" s="48"/>
      <c r="X175" s="50"/>
      <c r="Y175" s="51"/>
      <c r="Z175" s="52"/>
      <c r="AA175" s="53"/>
      <c r="AB175" s="54" t="str">
        <f t="shared" si="32"/>
        <v/>
      </c>
      <c r="AC175" s="49" t="str">
        <f t="shared" si="33"/>
        <v/>
      </c>
      <c r="AD175" s="55" t="str">
        <f t="shared" si="34"/>
        <v/>
      </c>
      <c r="AE175" s="56">
        <f t="shared" si="35"/>
        <v>0</v>
      </c>
      <c r="AF175" s="56">
        <f t="shared" si="36"/>
        <v>0</v>
      </c>
      <c r="AG175" s="59">
        <f t="shared" si="37"/>
        <v>0</v>
      </c>
      <c r="AH175" s="48"/>
      <c r="AJ175" s="48"/>
      <c r="AL175" s="48"/>
      <c r="AM175" s="48" t="str">
        <f t="shared" si="38"/>
        <v/>
      </c>
    </row>
    <row r="176" spans="1:39" s="57" customFormat="1" ht="14">
      <c r="A176" s="45"/>
      <c r="B176" s="46"/>
      <c r="C176" s="47">
        <f>IF(B176&lt;&gt;"",VLOOKUP(B176,'Tipo Projeto'!$A$3:$B$35,2,0),0)</f>
        <v>0</v>
      </c>
      <c r="D176" s="48"/>
      <c r="E176" s="48"/>
      <c r="F176" s="49"/>
      <c r="G176" s="204"/>
      <c r="H176" s="50"/>
      <c r="I176" s="51"/>
      <c r="J176" s="52"/>
      <c r="K176" s="53"/>
      <c r="L176" s="54" t="str">
        <f t="shared" si="26"/>
        <v/>
      </c>
      <c r="M176" s="49" t="str">
        <f t="shared" si="27"/>
        <v/>
      </c>
      <c r="N176" s="55" t="str">
        <f t="shared" si="28"/>
        <v/>
      </c>
      <c r="O176" s="56">
        <f t="shared" si="29"/>
        <v>0</v>
      </c>
      <c r="P176" s="56">
        <f t="shared" si="30"/>
        <v>0</v>
      </c>
      <c r="Q176" s="55">
        <f t="shared" si="31"/>
        <v>0</v>
      </c>
      <c r="R176" s="48"/>
      <c r="T176" s="58"/>
      <c r="U176" s="46"/>
      <c r="V176" s="47">
        <f>IF(U176&lt;&gt;"",VLOOKUP(U176,'Tipo Projeto'!$A$3:$B$35,2,0),0)</f>
        <v>0</v>
      </c>
      <c r="W176" s="48"/>
      <c r="X176" s="50"/>
      <c r="Y176" s="51"/>
      <c r="Z176" s="52"/>
      <c r="AA176" s="53"/>
      <c r="AB176" s="54" t="str">
        <f t="shared" si="32"/>
        <v/>
      </c>
      <c r="AC176" s="49" t="str">
        <f t="shared" si="33"/>
        <v/>
      </c>
      <c r="AD176" s="55" t="str">
        <f t="shared" si="34"/>
        <v/>
      </c>
      <c r="AE176" s="56">
        <f t="shared" si="35"/>
        <v>0</v>
      </c>
      <c r="AF176" s="56">
        <f t="shared" si="36"/>
        <v>0</v>
      </c>
      <c r="AG176" s="59">
        <f t="shared" si="37"/>
        <v>0</v>
      </c>
      <c r="AH176" s="48"/>
      <c r="AJ176" s="48"/>
      <c r="AL176" s="48"/>
      <c r="AM176" s="48" t="str">
        <f t="shared" si="38"/>
        <v/>
      </c>
    </row>
    <row r="177" spans="1:39" s="57" customFormat="1" ht="14">
      <c r="A177" s="45"/>
      <c r="B177" s="46"/>
      <c r="C177" s="47">
        <f>IF(B177&lt;&gt;"",VLOOKUP(B177,'Tipo Projeto'!$A$3:$B$35,2,0),0)</f>
        <v>0</v>
      </c>
      <c r="D177" s="48"/>
      <c r="E177" s="48"/>
      <c r="F177" s="49"/>
      <c r="G177" s="204"/>
      <c r="H177" s="50"/>
      <c r="I177" s="51"/>
      <c r="J177" s="52"/>
      <c r="K177" s="53"/>
      <c r="L177" s="54" t="str">
        <f t="shared" si="26"/>
        <v/>
      </c>
      <c r="M177" s="49" t="str">
        <f t="shared" si="27"/>
        <v/>
      </c>
      <c r="N177" s="55" t="str">
        <f t="shared" si="28"/>
        <v/>
      </c>
      <c r="O177" s="56">
        <f t="shared" si="29"/>
        <v>0</v>
      </c>
      <c r="P177" s="56">
        <f t="shared" si="30"/>
        <v>0</v>
      </c>
      <c r="Q177" s="55">
        <f t="shared" si="31"/>
        <v>0</v>
      </c>
      <c r="R177" s="48"/>
      <c r="T177" s="58"/>
      <c r="U177" s="46"/>
      <c r="V177" s="47">
        <f>IF(U177&lt;&gt;"",VLOOKUP(U177,'Tipo Projeto'!$A$3:$B$35,2,0),0)</f>
        <v>0</v>
      </c>
      <c r="W177" s="48"/>
      <c r="X177" s="50"/>
      <c r="Y177" s="51"/>
      <c r="Z177" s="52"/>
      <c r="AA177" s="53"/>
      <c r="AB177" s="54" t="str">
        <f t="shared" si="32"/>
        <v/>
      </c>
      <c r="AC177" s="49" t="str">
        <f t="shared" si="33"/>
        <v/>
      </c>
      <c r="AD177" s="55" t="str">
        <f t="shared" si="34"/>
        <v/>
      </c>
      <c r="AE177" s="56">
        <f t="shared" si="35"/>
        <v>0</v>
      </c>
      <c r="AF177" s="56">
        <f t="shared" si="36"/>
        <v>0</v>
      </c>
      <c r="AG177" s="59">
        <f t="shared" si="37"/>
        <v>0</v>
      </c>
      <c r="AH177" s="48"/>
      <c r="AJ177" s="48"/>
      <c r="AL177" s="48"/>
      <c r="AM177" s="48" t="str">
        <f t="shared" si="38"/>
        <v/>
      </c>
    </row>
    <row r="178" spans="1:39" s="57" customFormat="1" ht="14">
      <c r="A178" s="45"/>
      <c r="B178" s="46"/>
      <c r="C178" s="47">
        <f>IF(B178&lt;&gt;"",VLOOKUP(B178,'Tipo Projeto'!$A$3:$B$35,2,0),0)</f>
        <v>0</v>
      </c>
      <c r="D178" s="48"/>
      <c r="E178" s="48"/>
      <c r="F178" s="49"/>
      <c r="G178" s="204"/>
      <c r="H178" s="50"/>
      <c r="I178" s="51"/>
      <c r="J178" s="52"/>
      <c r="K178" s="53"/>
      <c r="L178" s="54" t="str">
        <f t="shared" si="26"/>
        <v/>
      </c>
      <c r="M178" s="49" t="str">
        <f t="shared" si="27"/>
        <v/>
      </c>
      <c r="N178" s="55" t="str">
        <f t="shared" si="28"/>
        <v/>
      </c>
      <c r="O178" s="56">
        <f t="shared" si="29"/>
        <v>0</v>
      </c>
      <c r="P178" s="56">
        <f t="shared" si="30"/>
        <v>0</v>
      </c>
      <c r="Q178" s="55">
        <f t="shared" si="31"/>
        <v>0</v>
      </c>
      <c r="R178" s="48"/>
      <c r="T178" s="58"/>
      <c r="U178" s="46"/>
      <c r="V178" s="47">
        <f>IF(U178&lt;&gt;"",VLOOKUP(U178,'Tipo Projeto'!$A$3:$B$35,2,0),0)</f>
        <v>0</v>
      </c>
      <c r="W178" s="48"/>
      <c r="X178" s="50"/>
      <c r="Y178" s="51"/>
      <c r="Z178" s="52"/>
      <c r="AA178" s="53"/>
      <c r="AB178" s="54" t="str">
        <f t="shared" si="32"/>
        <v/>
      </c>
      <c r="AC178" s="49" t="str">
        <f t="shared" si="33"/>
        <v/>
      </c>
      <c r="AD178" s="55" t="str">
        <f t="shared" si="34"/>
        <v/>
      </c>
      <c r="AE178" s="56">
        <f t="shared" si="35"/>
        <v>0</v>
      </c>
      <c r="AF178" s="56">
        <f t="shared" si="36"/>
        <v>0</v>
      </c>
      <c r="AG178" s="59">
        <f t="shared" si="37"/>
        <v>0</v>
      </c>
      <c r="AH178" s="48"/>
      <c r="AJ178" s="48"/>
      <c r="AL178" s="48"/>
      <c r="AM178" s="48" t="str">
        <f t="shared" si="38"/>
        <v/>
      </c>
    </row>
    <row r="179" spans="1:39" s="57" customFormat="1" ht="14">
      <c r="A179" s="45"/>
      <c r="B179" s="46"/>
      <c r="C179" s="47">
        <f>IF(B179&lt;&gt;"",VLOOKUP(B179,'Tipo Projeto'!$A$3:$B$35,2,0),0)</f>
        <v>0</v>
      </c>
      <c r="D179" s="48"/>
      <c r="E179" s="48"/>
      <c r="F179" s="49"/>
      <c r="G179" s="204"/>
      <c r="H179" s="50"/>
      <c r="I179" s="51"/>
      <c r="J179" s="52"/>
      <c r="K179" s="53"/>
      <c r="L179" s="54" t="str">
        <f t="shared" si="26"/>
        <v/>
      </c>
      <c r="M179" s="49" t="str">
        <f t="shared" si="27"/>
        <v/>
      </c>
      <c r="N179" s="55" t="str">
        <f t="shared" si="28"/>
        <v/>
      </c>
      <c r="O179" s="56">
        <f t="shared" si="29"/>
        <v>0</v>
      </c>
      <c r="P179" s="56">
        <f t="shared" si="30"/>
        <v>0</v>
      </c>
      <c r="Q179" s="55">
        <f t="shared" si="31"/>
        <v>0</v>
      </c>
      <c r="R179" s="48"/>
      <c r="T179" s="58"/>
      <c r="U179" s="46"/>
      <c r="V179" s="47">
        <f>IF(U179&lt;&gt;"",VLOOKUP(U179,'Tipo Projeto'!$A$3:$B$35,2,0),0)</f>
        <v>0</v>
      </c>
      <c r="W179" s="48"/>
      <c r="X179" s="50"/>
      <c r="Y179" s="51"/>
      <c r="Z179" s="52"/>
      <c r="AA179" s="53"/>
      <c r="AB179" s="54" t="str">
        <f t="shared" si="32"/>
        <v/>
      </c>
      <c r="AC179" s="49" t="str">
        <f t="shared" si="33"/>
        <v/>
      </c>
      <c r="AD179" s="55" t="str">
        <f t="shared" si="34"/>
        <v/>
      </c>
      <c r="AE179" s="56">
        <f t="shared" si="35"/>
        <v>0</v>
      </c>
      <c r="AF179" s="56">
        <f t="shared" si="36"/>
        <v>0</v>
      </c>
      <c r="AG179" s="59">
        <f t="shared" si="37"/>
        <v>0</v>
      </c>
      <c r="AH179" s="48"/>
      <c r="AJ179" s="48"/>
      <c r="AL179" s="48"/>
      <c r="AM179" s="48" t="str">
        <f t="shared" si="38"/>
        <v/>
      </c>
    </row>
    <row r="180" spans="1:39" s="57" customFormat="1" ht="14">
      <c r="A180" s="45"/>
      <c r="B180" s="46"/>
      <c r="C180" s="47">
        <f>IF(B180&lt;&gt;"",VLOOKUP(B180,'Tipo Projeto'!$A$3:$B$35,2,0),0)</f>
        <v>0</v>
      </c>
      <c r="D180" s="48"/>
      <c r="E180" s="48"/>
      <c r="F180" s="49"/>
      <c r="G180" s="204"/>
      <c r="H180" s="50"/>
      <c r="I180" s="51"/>
      <c r="J180" s="52"/>
      <c r="K180" s="53"/>
      <c r="L180" s="54" t="str">
        <f t="shared" si="26"/>
        <v/>
      </c>
      <c r="M180" s="49" t="str">
        <f t="shared" si="27"/>
        <v/>
      </c>
      <c r="N180" s="55" t="str">
        <f t="shared" si="28"/>
        <v/>
      </c>
      <c r="O180" s="56">
        <f t="shared" si="29"/>
        <v>0</v>
      </c>
      <c r="P180" s="56">
        <f t="shared" si="30"/>
        <v>0</v>
      </c>
      <c r="Q180" s="55">
        <f t="shared" si="31"/>
        <v>0</v>
      </c>
      <c r="R180" s="48"/>
      <c r="T180" s="58"/>
      <c r="U180" s="46"/>
      <c r="V180" s="47">
        <f>IF(U180&lt;&gt;"",VLOOKUP(U180,'Tipo Projeto'!$A$3:$B$35,2,0),0)</f>
        <v>0</v>
      </c>
      <c r="W180" s="48"/>
      <c r="X180" s="50"/>
      <c r="Y180" s="51"/>
      <c r="Z180" s="52"/>
      <c r="AA180" s="53"/>
      <c r="AB180" s="54" t="str">
        <f t="shared" si="32"/>
        <v/>
      </c>
      <c r="AC180" s="49" t="str">
        <f t="shared" si="33"/>
        <v/>
      </c>
      <c r="AD180" s="55" t="str">
        <f t="shared" si="34"/>
        <v/>
      </c>
      <c r="AE180" s="56">
        <f t="shared" si="35"/>
        <v>0</v>
      </c>
      <c r="AF180" s="56">
        <f t="shared" si="36"/>
        <v>0</v>
      </c>
      <c r="AG180" s="59">
        <f t="shared" si="37"/>
        <v>0</v>
      </c>
      <c r="AH180" s="48"/>
      <c r="AJ180" s="48"/>
      <c r="AL180" s="48"/>
      <c r="AM180" s="48" t="str">
        <f t="shared" si="38"/>
        <v/>
      </c>
    </row>
    <row r="181" spans="1:39" s="57" customFormat="1" ht="14">
      <c r="A181" s="45"/>
      <c r="B181" s="46"/>
      <c r="C181" s="47">
        <f>IF(B181&lt;&gt;"",VLOOKUP(B181,'Tipo Projeto'!$A$3:$B$35,2,0),0)</f>
        <v>0</v>
      </c>
      <c r="D181" s="48"/>
      <c r="E181" s="48"/>
      <c r="F181" s="49"/>
      <c r="G181" s="204"/>
      <c r="H181" s="50"/>
      <c r="I181" s="51"/>
      <c r="J181" s="52"/>
      <c r="K181" s="53"/>
      <c r="L181" s="54" t="str">
        <f t="shared" si="26"/>
        <v/>
      </c>
      <c r="M181" s="49" t="str">
        <f t="shared" si="27"/>
        <v/>
      </c>
      <c r="N181" s="55" t="str">
        <f t="shared" si="28"/>
        <v/>
      </c>
      <c r="O181" s="56">
        <f t="shared" si="29"/>
        <v>0</v>
      </c>
      <c r="P181" s="56">
        <f t="shared" si="30"/>
        <v>0</v>
      </c>
      <c r="Q181" s="55">
        <f t="shared" si="31"/>
        <v>0</v>
      </c>
      <c r="R181" s="48"/>
      <c r="T181" s="58"/>
      <c r="U181" s="46"/>
      <c r="V181" s="47">
        <f>IF(U181&lt;&gt;"",VLOOKUP(U181,'Tipo Projeto'!$A$3:$B$35,2,0),0)</f>
        <v>0</v>
      </c>
      <c r="W181" s="48"/>
      <c r="X181" s="50"/>
      <c r="Y181" s="51"/>
      <c r="Z181" s="52"/>
      <c r="AA181" s="53"/>
      <c r="AB181" s="54" t="str">
        <f t="shared" si="32"/>
        <v/>
      </c>
      <c r="AC181" s="49" t="str">
        <f t="shared" si="33"/>
        <v/>
      </c>
      <c r="AD181" s="55" t="str">
        <f t="shared" si="34"/>
        <v/>
      </c>
      <c r="AE181" s="56">
        <f t="shared" si="35"/>
        <v>0</v>
      </c>
      <c r="AF181" s="56">
        <f t="shared" si="36"/>
        <v>0</v>
      </c>
      <c r="AG181" s="59">
        <f t="shared" si="37"/>
        <v>0</v>
      </c>
      <c r="AH181" s="48"/>
      <c r="AJ181" s="48"/>
      <c r="AL181" s="48"/>
      <c r="AM181" s="48" t="str">
        <f t="shared" si="38"/>
        <v/>
      </c>
    </row>
    <row r="182" spans="1:39" s="57" customFormat="1" ht="14">
      <c r="A182" s="45"/>
      <c r="B182" s="46"/>
      <c r="C182" s="47">
        <f>IF(B182&lt;&gt;"",VLOOKUP(B182,'Tipo Projeto'!$A$3:$B$35,2,0),0)</f>
        <v>0</v>
      </c>
      <c r="D182" s="48"/>
      <c r="E182" s="48"/>
      <c r="F182" s="49"/>
      <c r="G182" s="204"/>
      <c r="H182" s="50"/>
      <c r="I182" s="51"/>
      <c r="J182" s="52"/>
      <c r="K182" s="53"/>
      <c r="L182" s="54" t="str">
        <f t="shared" si="26"/>
        <v/>
      </c>
      <c r="M182" s="49" t="str">
        <f t="shared" si="27"/>
        <v/>
      </c>
      <c r="N182" s="55" t="str">
        <f t="shared" si="28"/>
        <v/>
      </c>
      <c r="O182" s="56">
        <f t="shared" si="29"/>
        <v>0</v>
      </c>
      <c r="P182" s="56">
        <f t="shared" si="30"/>
        <v>0</v>
      </c>
      <c r="Q182" s="55">
        <f t="shared" si="31"/>
        <v>0</v>
      </c>
      <c r="R182" s="48"/>
      <c r="T182" s="58"/>
      <c r="U182" s="46"/>
      <c r="V182" s="47">
        <f>IF(U182&lt;&gt;"",VLOOKUP(U182,'Tipo Projeto'!$A$3:$B$35,2,0),0)</f>
        <v>0</v>
      </c>
      <c r="W182" s="48"/>
      <c r="X182" s="50"/>
      <c r="Y182" s="51"/>
      <c r="Z182" s="52"/>
      <c r="AA182" s="53"/>
      <c r="AB182" s="54" t="str">
        <f t="shared" si="32"/>
        <v/>
      </c>
      <c r="AC182" s="49" t="str">
        <f t="shared" si="33"/>
        <v/>
      </c>
      <c r="AD182" s="55" t="str">
        <f t="shared" si="34"/>
        <v/>
      </c>
      <c r="AE182" s="56">
        <f t="shared" si="35"/>
        <v>0</v>
      </c>
      <c r="AF182" s="56">
        <f t="shared" si="36"/>
        <v>0</v>
      </c>
      <c r="AG182" s="59">
        <f t="shared" si="37"/>
        <v>0</v>
      </c>
      <c r="AH182" s="48"/>
      <c r="AJ182" s="48"/>
      <c r="AL182" s="48"/>
      <c r="AM182" s="48" t="str">
        <f t="shared" si="38"/>
        <v/>
      </c>
    </row>
    <row r="183" spans="1:39" s="57" customFormat="1" ht="14">
      <c r="A183" s="45"/>
      <c r="B183" s="46"/>
      <c r="C183" s="47">
        <f>IF(B183&lt;&gt;"",VLOOKUP(B183,'Tipo Projeto'!$A$3:$B$35,2,0),0)</f>
        <v>0</v>
      </c>
      <c r="D183" s="48"/>
      <c r="E183" s="48"/>
      <c r="F183" s="49"/>
      <c r="G183" s="204"/>
      <c r="H183" s="50"/>
      <c r="I183" s="51"/>
      <c r="J183" s="52"/>
      <c r="K183" s="53"/>
      <c r="L183" s="54" t="str">
        <f t="shared" si="26"/>
        <v/>
      </c>
      <c r="M183" s="49" t="str">
        <f t="shared" si="27"/>
        <v/>
      </c>
      <c r="N183" s="55" t="str">
        <f t="shared" si="28"/>
        <v/>
      </c>
      <c r="O183" s="56">
        <f t="shared" si="29"/>
        <v>0</v>
      </c>
      <c r="P183" s="56">
        <f t="shared" si="30"/>
        <v>0</v>
      </c>
      <c r="Q183" s="55">
        <f t="shared" si="31"/>
        <v>0</v>
      </c>
      <c r="R183" s="48"/>
      <c r="T183" s="58"/>
      <c r="U183" s="46"/>
      <c r="V183" s="47">
        <f>IF(U183&lt;&gt;"",VLOOKUP(U183,'Tipo Projeto'!$A$3:$B$35,2,0),0)</f>
        <v>0</v>
      </c>
      <c r="W183" s="48"/>
      <c r="X183" s="50"/>
      <c r="Y183" s="51"/>
      <c r="Z183" s="52"/>
      <c r="AA183" s="53"/>
      <c r="AB183" s="54" t="str">
        <f t="shared" si="32"/>
        <v/>
      </c>
      <c r="AC183" s="49" t="str">
        <f t="shared" si="33"/>
        <v/>
      </c>
      <c r="AD183" s="55" t="str">
        <f t="shared" si="34"/>
        <v/>
      </c>
      <c r="AE183" s="56">
        <f t="shared" si="35"/>
        <v>0</v>
      </c>
      <c r="AF183" s="56">
        <f t="shared" si="36"/>
        <v>0</v>
      </c>
      <c r="AG183" s="59">
        <f t="shared" si="37"/>
        <v>0</v>
      </c>
      <c r="AH183" s="48"/>
      <c r="AJ183" s="48"/>
      <c r="AL183" s="48"/>
      <c r="AM183" s="48" t="str">
        <f t="shared" si="38"/>
        <v/>
      </c>
    </row>
    <row r="184" spans="1:39" s="57" customFormat="1" ht="14">
      <c r="A184" s="45"/>
      <c r="B184" s="46"/>
      <c r="C184" s="47">
        <f>IF(B184&lt;&gt;"",VLOOKUP(B184,'Tipo Projeto'!$A$3:$B$35,2,0),0)</f>
        <v>0</v>
      </c>
      <c r="D184" s="48"/>
      <c r="E184" s="48"/>
      <c r="F184" s="49"/>
      <c r="G184" s="204"/>
      <c r="H184" s="50"/>
      <c r="I184" s="51"/>
      <c r="J184" s="52"/>
      <c r="K184" s="53"/>
      <c r="L184" s="54" t="str">
        <f t="shared" si="26"/>
        <v/>
      </c>
      <c r="M184" s="49" t="str">
        <f t="shared" si="27"/>
        <v/>
      </c>
      <c r="N184" s="55" t="str">
        <f t="shared" si="28"/>
        <v/>
      </c>
      <c r="O184" s="56">
        <f t="shared" si="29"/>
        <v>0</v>
      </c>
      <c r="P184" s="56">
        <f t="shared" si="30"/>
        <v>0</v>
      </c>
      <c r="Q184" s="55">
        <f t="shared" si="31"/>
        <v>0</v>
      </c>
      <c r="R184" s="48"/>
      <c r="T184" s="58"/>
      <c r="U184" s="46"/>
      <c r="V184" s="47">
        <f>IF(U184&lt;&gt;"",VLOOKUP(U184,'Tipo Projeto'!$A$3:$B$35,2,0),0)</f>
        <v>0</v>
      </c>
      <c r="W184" s="48"/>
      <c r="X184" s="50"/>
      <c r="Y184" s="51"/>
      <c r="Z184" s="52"/>
      <c r="AA184" s="53"/>
      <c r="AB184" s="54" t="str">
        <f t="shared" si="32"/>
        <v/>
      </c>
      <c r="AC184" s="49" t="str">
        <f t="shared" si="33"/>
        <v/>
      </c>
      <c r="AD184" s="55" t="str">
        <f t="shared" si="34"/>
        <v/>
      </c>
      <c r="AE184" s="56">
        <f t="shared" si="35"/>
        <v>0</v>
      </c>
      <c r="AF184" s="56">
        <f t="shared" si="36"/>
        <v>0</v>
      </c>
      <c r="AG184" s="59">
        <f t="shared" si="37"/>
        <v>0</v>
      </c>
      <c r="AH184" s="48"/>
      <c r="AJ184" s="48"/>
      <c r="AL184" s="48"/>
      <c r="AM184" s="48" t="str">
        <f t="shared" si="38"/>
        <v/>
      </c>
    </row>
    <row r="185" spans="1:39" s="57" customFormat="1" ht="14">
      <c r="A185" s="45"/>
      <c r="B185" s="46"/>
      <c r="C185" s="47">
        <f>IF(B185&lt;&gt;"",VLOOKUP(B185,'Tipo Projeto'!$A$3:$B$35,2,0),0)</f>
        <v>0</v>
      </c>
      <c r="D185" s="48"/>
      <c r="E185" s="48"/>
      <c r="F185" s="49"/>
      <c r="G185" s="204"/>
      <c r="H185" s="50"/>
      <c r="I185" s="51"/>
      <c r="J185" s="52"/>
      <c r="K185" s="53"/>
      <c r="L185" s="54" t="str">
        <f t="shared" si="26"/>
        <v/>
      </c>
      <c r="M185" s="49" t="str">
        <f t="shared" si="27"/>
        <v/>
      </c>
      <c r="N185" s="55" t="str">
        <f t="shared" si="28"/>
        <v/>
      </c>
      <c r="O185" s="56">
        <f t="shared" si="29"/>
        <v>0</v>
      </c>
      <c r="P185" s="56">
        <f t="shared" si="30"/>
        <v>0</v>
      </c>
      <c r="Q185" s="55">
        <f t="shared" si="31"/>
        <v>0</v>
      </c>
      <c r="R185" s="48"/>
      <c r="T185" s="58"/>
      <c r="U185" s="46"/>
      <c r="V185" s="47">
        <f>IF(U185&lt;&gt;"",VLOOKUP(U185,'Tipo Projeto'!$A$3:$B$35,2,0),0)</f>
        <v>0</v>
      </c>
      <c r="W185" s="48"/>
      <c r="X185" s="50"/>
      <c r="Y185" s="51"/>
      <c r="Z185" s="52"/>
      <c r="AA185" s="53"/>
      <c r="AB185" s="54" t="str">
        <f t="shared" si="32"/>
        <v/>
      </c>
      <c r="AC185" s="49" t="str">
        <f t="shared" si="33"/>
        <v/>
      </c>
      <c r="AD185" s="55" t="str">
        <f t="shared" si="34"/>
        <v/>
      </c>
      <c r="AE185" s="56">
        <f t="shared" si="35"/>
        <v>0</v>
      </c>
      <c r="AF185" s="56">
        <f t="shared" si="36"/>
        <v>0</v>
      </c>
      <c r="AG185" s="59">
        <f t="shared" si="37"/>
        <v>0</v>
      </c>
      <c r="AH185" s="48"/>
      <c r="AJ185" s="48"/>
      <c r="AL185" s="48"/>
      <c r="AM185" s="48" t="str">
        <f t="shared" si="38"/>
        <v/>
      </c>
    </row>
    <row r="186" spans="1:39" s="57" customFormat="1" ht="14">
      <c r="A186" s="45"/>
      <c r="B186" s="46"/>
      <c r="C186" s="47">
        <f>IF(B186&lt;&gt;"",VLOOKUP(B186,'Tipo Projeto'!$A$3:$B$35,2,0),0)</f>
        <v>0</v>
      </c>
      <c r="D186" s="48"/>
      <c r="E186" s="48"/>
      <c r="F186" s="49"/>
      <c r="G186" s="204"/>
      <c r="H186" s="50"/>
      <c r="I186" s="51"/>
      <c r="J186" s="52"/>
      <c r="K186" s="53"/>
      <c r="L186" s="54" t="str">
        <f t="shared" si="26"/>
        <v/>
      </c>
      <c r="M186" s="49" t="str">
        <f t="shared" si="27"/>
        <v/>
      </c>
      <c r="N186" s="55" t="str">
        <f t="shared" si="28"/>
        <v/>
      </c>
      <c r="O186" s="56">
        <f t="shared" si="29"/>
        <v>0</v>
      </c>
      <c r="P186" s="56">
        <f t="shared" si="30"/>
        <v>0</v>
      </c>
      <c r="Q186" s="55">
        <f t="shared" si="31"/>
        <v>0</v>
      </c>
      <c r="R186" s="48"/>
      <c r="T186" s="58"/>
      <c r="U186" s="46"/>
      <c r="V186" s="47">
        <f>IF(U186&lt;&gt;"",VLOOKUP(U186,'Tipo Projeto'!$A$3:$B$35,2,0),0)</f>
        <v>0</v>
      </c>
      <c r="W186" s="48"/>
      <c r="X186" s="50"/>
      <c r="Y186" s="51"/>
      <c r="Z186" s="52"/>
      <c r="AA186" s="53"/>
      <c r="AB186" s="54" t="str">
        <f t="shared" si="32"/>
        <v/>
      </c>
      <c r="AC186" s="49" t="str">
        <f t="shared" si="33"/>
        <v/>
      </c>
      <c r="AD186" s="55" t="str">
        <f t="shared" si="34"/>
        <v/>
      </c>
      <c r="AE186" s="56">
        <f t="shared" si="35"/>
        <v>0</v>
      </c>
      <c r="AF186" s="56">
        <f t="shared" si="36"/>
        <v>0</v>
      </c>
      <c r="AG186" s="59">
        <f t="shared" si="37"/>
        <v>0</v>
      </c>
      <c r="AH186" s="48"/>
      <c r="AJ186" s="48"/>
      <c r="AL186" s="48"/>
      <c r="AM186" s="48" t="str">
        <f t="shared" si="38"/>
        <v/>
      </c>
    </row>
    <row r="187" spans="1:39" s="57" customFormat="1" ht="14">
      <c r="A187" s="45"/>
      <c r="B187" s="46"/>
      <c r="C187" s="47">
        <f>IF(B187&lt;&gt;"",VLOOKUP(B187,'Tipo Projeto'!$A$3:$B$35,2,0),0)</f>
        <v>0</v>
      </c>
      <c r="D187" s="48"/>
      <c r="E187" s="48"/>
      <c r="F187" s="49"/>
      <c r="G187" s="204"/>
      <c r="H187" s="50"/>
      <c r="I187" s="51"/>
      <c r="J187" s="52"/>
      <c r="K187" s="53"/>
      <c r="L187" s="54" t="str">
        <f t="shared" si="26"/>
        <v/>
      </c>
      <c r="M187" s="49" t="str">
        <f t="shared" si="27"/>
        <v/>
      </c>
      <c r="N187" s="55" t="str">
        <f t="shared" si="28"/>
        <v/>
      </c>
      <c r="O187" s="56">
        <f t="shared" si="29"/>
        <v>0</v>
      </c>
      <c r="P187" s="56">
        <f t="shared" si="30"/>
        <v>0</v>
      </c>
      <c r="Q187" s="55">
        <f t="shared" si="31"/>
        <v>0</v>
      </c>
      <c r="R187" s="48"/>
      <c r="T187" s="58"/>
      <c r="U187" s="46"/>
      <c r="V187" s="47">
        <f>IF(U187&lt;&gt;"",VLOOKUP(U187,'Tipo Projeto'!$A$3:$B$35,2,0),0)</f>
        <v>0</v>
      </c>
      <c r="W187" s="48"/>
      <c r="X187" s="50"/>
      <c r="Y187" s="51"/>
      <c r="Z187" s="52"/>
      <c r="AA187" s="53"/>
      <c r="AB187" s="54" t="str">
        <f t="shared" si="32"/>
        <v/>
      </c>
      <c r="AC187" s="49" t="str">
        <f t="shared" si="33"/>
        <v/>
      </c>
      <c r="AD187" s="55" t="str">
        <f t="shared" si="34"/>
        <v/>
      </c>
      <c r="AE187" s="56">
        <f t="shared" si="35"/>
        <v>0</v>
      </c>
      <c r="AF187" s="56">
        <f t="shared" si="36"/>
        <v>0</v>
      </c>
      <c r="AG187" s="59">
        <f t="shared" si="37"/>
        <v>0</v>
      </c>
      <c r="AH187" s="48"/>
      <c r="AJ187" s="48"/>
      <c r="AL187" s="48"/>
      <c r="AM187" s="48" t="str">
        <f t="shared" si="38"/>
        <v/>
      </c>
    </row>
    <row r="188" spans="1:39" s="57" customFormat="1" ht="14">
      <c r="A188" s="45"/>
      <c r="B188" s="46"/>
      <c r="C188" s="47">
        <f>IF(B188&lt;&gt;"",VLOOKUP(B188,'Tipo Projeto'!$A$3:$B$35,2,0),0)</f>
        <v>0</v>
      </c>
      <c r="D188" s="48"/>
      <c r="E188" s="48"/>
      <c r="F188" s="49"/>
      <c r="G188" s="204"/>
      <c r="H188" s="50"/>
      <c r="I188" s="51"/>
      <c r="J188" s="52"/>
      <c r="K188" s="53"/>
      <c r="L188" s="54" t="str">
        <f t="shared" si="26"/>
        <v/>
      </c>
      <c r="M188" s="49" t="str">
        <f t="shared" si="27"/>
        <v/>
      </c>
      <c r="N188" s="55" t="str">
        <f t="shared" si="28"/>
        <v/>
      </c>
      <c r="O188" s="56">
        <f t="shared" si="29"/>
        <v>0</v>
      </c>
      <c r="P188" s="56">
        <f t="shared" si="30"/>
        <v>0</v>
      </c>
      <c r="Q188" s="55">
        <f t="shared" si="31"/>
        <v>0</v>
      </c>
      <c r="R188" s="48"/>
      <c r="T188" s="58"/>
      <c r="U188" s="46"/>
      <c r="V188" s="47">
        <f>IF(U188&lt;&gt;"",VLOOKUP(U188,'Tipo Projeto'!$A$3:$B$35,2,0),0)</f>
        <v>0</v>
      </c>
      <c r="W188" s="48"/>
      <c r="X188" s="50"/>
      <c r="Y188" s="51"/>
      <c r="Z188" s="52"/>
      <c r="AA188" s="53"/>
      <c r="AB188" s="54" t="str">
        <f t="shared" si="32"/>
        <v/>
      </c>
      <c r="AC188" s="49" t="str">
        <f t="shared" si="33"/>
        <v/>
      </c>
      <c r="AD188" s="55" t="str">
        <f t="shared" si="34"/>
        <v/>
      </c>
      <c r="AE188" s="56">
        <f t="shared" si="35"/>
        <v>0</v>
      </c>
      <c r="AF188" s="56">
        <f t="shared" si="36"/>
        <v>0</v>
      </c>
      <c r="AG188" s="59">
        <f t="shared" si="37"/>
        <v>0</v>
      </c>
      <c r="AH188" s="48"/>
      <c r="AJ188" s="48"/>
      <c r="AL188" s="48"/>
      <c r="AM188" s="48" t="str">
        <f t="shared" si="38"/>
        <v/>
      </c>
    </row>
    <row r="189" spans="1:39" s="57" customFormat="1" ht="14">
      <c r="A189" s="45"/>
      <c r="B189" s="46"/>
      <c r="C189" s="47">
        <f>IF(B189&lt;&gt;"",VLOOKUP(B189,'Tipo Projeto'!$A$3:$B$35,2,0),0)</f>
        <v>0</v>
      </c>
      <c r="D189" s="48"/>
      <c r="E189" s="48"/>
      <c r="F189" s="49"/>
      <c r="G189" s="204"/>
      <c r="H189" s="50"/>
      <c r="I189" s="51"/>
      <c r="J189" s="52"/>
      <c r="K189" s="53"/>
      <c r="L189" s="54" t="str">
        <f t="shared" si="26"/>
        <v/>
      </c>
      <c r="M189" s="49" t="str">
        <f t="shared" si="27"/>
        <v/>
      </c>
      <c r="N189" s="55" t="str">
        <f t="shared" si="28"/>
        <v/>
      </c>
      <c r="O189" s="56">
        <f t="shared" si="29"/>
        <v>0</v>
      </c>
      <c r="P189" s="56">
        <f t="shared" si="30"/>
        <v>0</v>
      </c>
      <c r="Q189" s="55">
        <f t="shared" si="31"/>
        <v>0</v>
      </c>
      <c r="R189" s="48"/>
      <c r="T189" s="58"/>
      <c r="U189" s="46"/>
      <c r="V189" s="47">
        <f>IF(U189&lt;&gt;"",VLOOKUP(U189,'Tipo Projeto'!$A$3:$B$35,2,0),0)</f>
        <v>0</v>
      </c>
      <c r="W189" s="48"/>
      <c r="X189" s="50"/>
      <c r="Y189" s="51"/>
      <c r="Z189" s="52"/>
      <c r="AA189" s="53"/>
      <c r="AB189" s="54" t="str">
        <f t="shared" si="32"/>
        <v/>
      </c>
      <c r="AC189" s="49" t="str">
        <f t="shared" si="33"/>
        <v/>
      </c>
      <c r="AD189" s="55" t="str">
        <f t="shared" si="34"/>
        <v/>
      </c>
      <c r="AE189" s="56">
        <f t="shared" si="35"/>
        <v>0</v>
      </c>
      <c r="AF189" s="56">
        <f t="shared" si="36"/>
        <v>0</v>
      </c>
      <c r="AG189" s="59">
        <f t="shared" si="37"/>
        <v>0</v>
      </c>
      <c r="AH189" s="48"/>
      <c r="AJ189" s="48"/>
      <c r="AL189" s="48"/>
      <c r="AM189" s="48" t="str">
        <f t="shared" si="38"/>
        <v/>
      </c>
    </row>
    <row r="190" spans="1:39" s="57" customFormat="1" ht="14">
      <c r="A190" s="45"/>
      <c r="B190" s="46"/>
      <c r="C190" s="47">
        <f>IF(B190&lt;&gt;"",VLOOKUP(B190,'Tipo Projeto'!$A$3:$B$35,2,0),0)</f>
        <v>0</v>
      </c>
      <c r="D190" s="48"/>
      <c r="E190" s="48"/>
      <c r="F190" s="49"/>
      <c r="G190" s="204"/>
      <c r="H190" s="50"/>
      <c r="I190" s="51"/>
      <c r="J190" s="52"/>
      <c r="K190" s="53"/>
      <c r="L190" s="54" t="str">
        <f t="shared" si="26"/>
        <v/>
      </c>
      <c r="M190" s="49" t="str">
        <f t="shared" si="27"/>
        <v/>
      </c>
      <c r="N190" s="55" t="str">
        <f t="shared" si="28"/>
        <v/>
      </c>
      <c r="O190" s="56">
        <f t="shared" si="29"/>
        <v>0</v>
      </c>
      <c r="P190" s="56">
        <f t="shared" si="30"/>
        <v>0</v>
      </c>
      <c r="Q190" s="55">
        <f t="shared" si="31"/>
        <v>0</v>
      </c>
      <c r="R190" s="48"/>
      <c r="T190" s="58"/>
      <c r="U190" s="46"/>
      <c r="V190" s="47">
        <f>IF(U190&lt;&gt;"",VLOOKUP(U190,'Tipo Projeto'!$A$3:$B$35,2,0),0)</f>
        <v>0</v>
      </c>
      <c r="W190" s="48"/>
      <c r="X190" s="50"/>
      <c r="Y190" s="51"/>
      <c r="Z190" s="52"/>
      <c r="AA190" s="53"/>
      <c r="AB190" s="54" t="str">
        <f t="shared" si="32"/>
        <v/>
      </c>
      <c r="AC190" s="49" t="str">
        <f t="shared" si="33"/>
        <v/>
      </c>
      <c r="AD190" s="55" t="str">
        <f t="shared" si="34"/>
        <v/>
      </c>
      <c r="AE190" s="56">
        <f t="shared" si="35"/>
        <v>0</v>
      </c>
      <c r="AF190" s="56">
        <f t="shared" si="36"/>
        <v>0</v>
      </c>
      <c r="AG190" s="59">
        <f t="shared" si="37"/>
        <v>0</v>
      </c>
      <c r="AH190" s="48"/>
      <c r="AJ190" s="48"/>
      <c r="AL190" s="48"/>
      <c r="AM190" s="48" t="str">
        <f t="shared" si="38"/>
        <v/>
      </c>
    </row>
    <row r="191" spans="1:39" s="57" customFormat="1" ht="14">
      <c r="A191" s="45"/>
      <c r="B191" s="46"/>
      <c r="C191" s="47">
        <f>IF(B191&lt;&gt;"",VLOOKUP(B191,'Tipo Projeto'!$A$3:$B$35,2,0),0)</f>
        <v>0</v>
      </c>
      <c r="D191" s="48"/>
      <c r="E191" s="48"/>
      <c r="F191" s="49"/>
      <c r="G191" s="204"/>
      <c r="H191" s="50"/>
      <c r="I191" s="51"/>
      <c r="J191" s="52"/>
      <c r="K191" s="53"/>
      <c r="L191" s="54" t="str">
        <f t="shared" si="26"/>
        <v/>
      </c>
      <c r="M191" s="49" t="str">
        <f t="shared" si="27"/>
        <v/>
      </c>
      <c r="N191" s="55" t="str">
        <f t="shared" si="28"/>
        <v/>
      </c>
      <c r="O191" s="56">
        <f t="shared" si="29"/>
        <v>0</v>
      </c>
      <c r="P191" s="56">
        <f t="shared" si="30"/>
        <v>0</v>
      </c>
      <c r="Q191" s="55">
        <f t="shared" si="31"/>
        <v>0</v>
      </c>
      <c r="R191" s="48"/>
      <c r="T191" s="58"/>
      <c r="U191" s="46"/>
      <c r="V191" s="47">
        <f>IF(U191&lt;&gt;"",VLOOKUP(U191,'Tipo Projeto'!$A$3:$B$35,2,0),0)</f>
        <v>0</v>
      </c>
      <c r="W191" s="48"/>
      <c r="X191" s="50"/>
      <c r="Y191" s="51"/>
      <c r="Z191" s="52"/>
      <c r="AA191" s="53"/>
      <c r="AB191" s="54" t="str">
        <f t="shared" si="32"/>
        <v/>
      </c>
      <c r="AC191" s="49" t="str">
        <f t="shared" si="33"/>
        <v/>
      </c>
      <c r="AD191" s="55" t="str">
        <f t="shared" si="34"/>
        <v/>
      </c>
      <c r="AE191" s="56">
        <f t="shared" si="35"/>
        <v>0</v>
      </c>
      <c r="AF191" s="56">
        <f t="shared" si="36"/>
        <v>0</v>
      </c>
      <c r="AG191" s="59">
        <f t="shared" si="37"/>
        <v>0</v>
      </c>
      <c r="AH191" s="48"/>
      <c r="AJ191" s="48"/>
      <c r="AL191" s="48"/>
      <c r="AM191" s="48" t="str">
        <f t="shared" si="38"/>
        <v/>
      </c>
    </row>
    <row r="192" spans="1:39" s="57" customFormat="1" ht="14">
      <c r="A192" s="45"/>
      <c r="B192" s="46"/>
      <c r="C192" s="47">
        <f>IF(B192&lt;&gt;"",VLOOKUP(B192,'Tipo Projeto'!$A$3:$B$35,2,0),0)</f>
        <v>0</v>
      </c>
      <c r="D192" s="48"/>
      <c r="E192" s="48"/>
      <c r="F192" s="49"/>
      <c r="G192" s="204"/>
      <c r="H192" s="50"/>
      <c r="I192" s="51"/>
      <c r="J192" s="52"/>
      <c r="K192" s="53"/>
      <c r="L192" s="54" t="str">
        <f t="shared" si="26"/>
        <v/>
      </c>
      <c r="M192" s="49" t="str">
        <f t="shared" si="27"/>
        <v/>
      </c>
      <c r="N192" s="55" t="str">
        <f t="shared" si="28"/>
        <v/>
      </c>
      <c r="O192" s="56">
        <f t="shared" si="29"/>
        <v>0</v>
      </c>
      <c r="P192" s="56">
        <f t="shared" si="30"/>
        <v>0</v>
      </c>
      <c r="Q192" s="55">
        <f t="shared" si="31"/>
        <v>0</v>
      </c>
      <c r="R192" s="48"/>
      <c r="T192" s="58"/>
      <c r="U192" s="46"/>
      <c r="V192" s="47">
        <f>IF(U192&lt;&gt;"",VLOOKUP(U192,'Tipo Projeto'!$A$3:$B$35,2,0),0)</f>
        <v>0</v>
      </c>
      <c r="W192" s="48"/>
      <c r="X192" s="50"/>
      <c r="Y192" s="51"/>
      <c r="Z192" s="52"/>
      <c r="AA192" s="53"/>
      <c r="AB192" s="54" t="str">
        <f t="shared" si="32"/>
        <v/>
      </c>
      <c r="AC192" s="49" t="str">
        <f t="shared" si="33"/>
        <v/>
      </c>
      <c r="AD192" s="55" t="str">
        <f t="shared" si="34"/>
        <v/>
      </c>
      <c r="AE192" s="56">
        <f t="shared" si="35"/>
        <v>0</v>
      </c>
      <c r="AF192" s="56">
        <f t="shared" si="36"/>
        <v>0</v>
      </c>
      <c r="AG192" s="59">
        <f t="shared" si="37"/>
        <v>0</v>
      </c>
      <c r="AH192" s="48"/>
      <c r="AJ192" s="48"/>
      <c r="AL192" s="48"/>
      <c r="AM192" s="48" t="str">
        <f t="shared" si="38"/>
        <v/>
      </c>
    </row>
    <row r="193" spans="1:39" s="57" customFormat="1" ht="14">
      <c r="A193" s="45"/>
      <c r="B193" s="46"/>
      <c r="C193" s="47">
        <f>IF(B193&lt;&gt;"",VLOOKUP(B193,'Tipo Projeto'!$A$3:$B$35,2,0),0)</f>
        <v>0</v>
      </c>
      <c r="D193" s="48"/>
      <c r="E193" s="48"/>
      <c r="F193" s="49"/>
      <c r="G193" s="204"/>
      <c r="H193" s="50"/>
      <c r="I193" s="51"/>
      <c r="J193" s="52"/>
      <c r="K193" s="53"/>
      <c r="L193" s="54" t="str">
        <f t="shared" si="26"/>
        <v/>
      </c>
      <c r="M193" s="49" t="str">
        <f t="shared" si="27"/>
        <v/>
      </c>
      <c r="N193" s="55" t="str">
        <f t="shared" si="28"/>
        <v/>
      </c>
      <c r="O193" s="56">
        <f t="shared" si="29"/>
        <v>0</v>
      </c>
      <c r="P193" s="56">
        <f t="shared" si="30"/>
        <v>0</v>
      </c>
      <c r="Q193" s="55">
        <f t="shared" si="31"/>
        <v>0</v>
      </c>
      <c r="R193" s="48"/>
      <c r="T193" s="58"/>
      <c r="U193" s="46"/>
      <c r="V193" s="47">
        <f>IF(U193&lt;&gt;"",VLOOKUP(U193,'Tipo Projeto'!$A$3:$B$35,2,0),0)</f>
        <v>0</v>
      </c>
      <c r="W193" s="48"/>
      <c r="X193" s="50"/>
      <c r="Y193" s="51"/>
      <c r="Z193" s="52"/>
      <c r="AA193" s="53"/>
      <c r="AB193" s="54" t="str">
        <f t="shared" si="32"/>
        <v/>
      </c>
      <c r="AC193" s="49" t="str">
        <f t="shared" si="33"/>
        <v/>
      </c>
      <c r="AD193" s="55" t="str">
        <f t="shared" si="34"/>
        <v/>
      </c>
      <c r="AE193" s="56">
        <f t="shared" si="35"/>
        <v>0</v>
      </c>
      <c r="AF193" s="56">
        <f t="shared" si="36"/>
        <v>0</v>
      </c>
      <c r="AG193" s="59">
        <f t="shared" si="37"/>
        <v>0</v>
      </c>
      <c r="AH193" s="48"/>
      <c r="AJ193" s="48"/>
      <c r="AL193" s="48"/>
      <c r="AM193" s="48" t="str">
        <f t="shared" si="38"/>
        <v/>
      </c>
    </row>
    <row r="194" spans="1:39" s="57" customFormat="1" ht="14">
      <c r="A194" s="45"/>
      <c r="B194" s="46"/>
      <c r="C194" s="47">
        <f>IF(B194&lt;&gt;"",VLOOKUP(B194,'Tipo Projeto'!$A$3:$B$35,2,0),0)</f>
        <v>0</v>
      </c>
      <c r="D194" s="48"/>
      <c r="E194" s="48"/>
      <c r="F194" s="49"/>
      <c r="G194" s="204"/>
      <c r="H194" s="50"/>
      <c r="I194" s="51"/>
      <c r="J194" s="52"/>
      <c r="K194" s="53"/>
      <c r="L194" s="54" t="str">
        <f t="shared" si="26"/>
        <v/>
      </c>
      <c r="M194" s="49" t="str">
        <f t="shared" si="27"/>
        <v/>
      </c>
      <c r="N194" s="55" t="str">
        <f t="shared" si="28"/>
        <v/>
      </c>
      <c r="O194" s="56">
        <f t="shared" si="29"/>
        <v>0</v>
      </c>
      <c r="P194" s="56">
        <f t="shared" si="30"/>
        <v>0</v>
      </c>
      <c r="Q194" s="55">
        <f t="shared" si="31"/>
        <v>0</v>
      </c>
      <c r="R194" s="48"/>
      <c r="T194" s="58"/>
      <c r="U194" s="46"/>
      <c r="V194" s="47">
        <f>IF(U194&lt;&gt;"",VLOOKUP(U194,'Tipo Projeto'!$A$3:$B$35,2,0),0)</f>
        <v>0</v>
      </c>
      <c r="W194" s="48"/>
      <c r="X194" s="50"/>
      <c r="Y194" s="51"/>
      <c r="Z194" s="52"/>
      <c r="AA194" s="53"/>
      <c r="AB194" s="54" t="str">
        <f t="shared" si="32"/>
        <v/>
      </c>
      <c r="AC194" s="49" t="str">
        <f t="shared" si="33"/>
        <v/>
      </c>
      <c r="AD194" s="55" t="str">
        <f t="shared" si="34"/>
        <v/>
      </c>
      <c r="AE194" s="56">
        <f t="shared" si="35"/>
        <v>0</v>
      </c>
      <c r="AF194" s="56">
        <f t="shared" si="36"/>
        <v>0</v>
      </c>
      <c r="AG194" s="59">
        <f t="shared" si="37"/>
        <v>0</v>
      </c>
      <c r="AH194" s="48"/>
      <c r="AJ194" s="48"/>
      <c r="AL194" s="48"/>
      <c r="AM194" s="48" t="str">
        <f t="shared" si="38"/>
        <v/>
      </c>
    </row>
    <row r="195" spans="1:39" s="57" customFormat="1" ht="14">
      <c r="A195" s="45"/>
      <c r="B195" s="46"/>
      <c r="C195" s="47">
        <f>IF(B195&lt;&gt;"",VLOOKUP(B195,'Tipo Projeto'!$A$3:$B$35,2,0),0)</f>
        <v>0</v>
      </c>
      <c r="D195" s="48"/>
      <c r="E195" s="48"/>
      <c r="F195" s="49"/>
      <c r="G195" s="204"/>
      <c r="H195" s="50"/>
      <c r="I195" s="51"/>
      <c r="J195" s="52"/>
      <c r="K195" s="53"/>
      <c r="L195" s="54" t="str">
        <f t="shared" si="26"/>
        <v/>
      </c>
      <c r="M195" s="49" t="str">
        <f t="shared" si="27"/>
        <v/>
      </c>
      <c r="N195" s="55" t="str">
        <f t="shared" si="28"/>
        <v/>
      </c>
      <c r="O195" s="56">
        <f t="shared" si="29"/>
        <v>0</v>
      </c>
      <c r="P195" s="56">
        <f t="shared" si="30"/>
        <v>0</v>
      </c>
      <c r="Q195" s="55">
        <f t="shared" si="31"/>
        <v>0</v>
      </c>
      <c r="R195" s="48"/>
      <c r="T195" s="58"/>
      <c r="U195" s="46"/>
      <c r="V195" s="47">
        <f>IF(U195&lt;&gt;"",VLOOKUP(U195,'Tipo Projeto'!$A$3:$B$35,2,0),0)</f>
        <v>0</v>
      </c>
      <c r="W195" s="48"/>
      <c r="X195" s="50"/>
      <c r="Y195" s="51"/>
      <c r="Z195" s="52"/>
      <c r="AA195" s="53"/>
      <c r="AB195" s="54" t="str">
        <f t="shared" si="32"/>
        <v/>
      </c>
      <c r="AC195" s="49" t="str">
        <f t="shared" si="33"/>
        <v/>
      </c>
      <c r="AD195" s="55" t="str">
        <f t="shared" si="34"/>
        <v/>
      </c>
      <c r="AE195" s="56">
        <f t="shared" si="35"/>
        <v>0</v>
      </c>
      <c r="AF195" s="56">
        <f t="shared" si="36"/>
        <v>0</v>
      </c>
      <c r="AG195" s="59">
        <f t="shared" si="37"/>
        <v>0</v>
      </c>
      <c r="AH195" s="48"/>
      <c r="AJ195" s="48"/>
      <c r="AL195" s="48"/>
      <c r="AM195" s="48" t="str">
        <f t="shared" si="38"/>
        <v/>
      </c>
    </row>
    <row r="196" spans="1:39" s="57" customFormat="1" ht="14">
      <c r="A196" s="45"/>
      <c r="B196" s="46"/>
      <c r="C196" s="47">
        <f>IF(B196&lt;&gt;"",VLOOKUP(B196,'Tipo Projeto'!$A$3:$B$35,2,0),0)</f>
        <v>0</v>
      </c>
      <c r="D196" s="48"/>
      <c r="E196" s="48"/>
      <c r="F196" s="49"/>
      <c r="G196" s="204"/>
      <c r="H196" s="50"/>
      <c r="I196" s="51"/>
      <c r="J196" s="52"/>
      <c r="K196" s="53"/>
      <c r="L196" s="54" t="str">
        <f t="shared" si="26"/>
        <v/>
      </c>
      <c r="M196" s="49" t="str">
        <f t="shared" si="27"/>
        <v/>
      </c>
      <c r="N196" s="55" t="str">
        <f t="shared" si="28"/>
        <v/>
      </c>
      <c r="O196" s="56">
        <f t="shared" si="29"/>
        <v>0</v>
      </c>
      <c r="P196" s="56">
        <f t="shared" si="30"/>
        <v>0</v>
      </c>
      <c r="Q196" s="55">
        <f t="shared" si="31"/>
        <v>0</v>
      </c>
      <c r="R196" s="48"/>
      <c r="T196" s="58"/>
      <c r="U196" s="46"/>
      <c r="V196" s="47">
        <f>IF(U196&lt;&gt;"",VLOOKUP(U196,'Tipo Projeto'!$A$3:$B$35,2,0),0)</f>
        <v>0</v>
      </c>
      <c r="W196" s="48"/>
      <c r="X196" s="50"/>
      <c r="Y196" s="51"/>
      <c r="Z196" s="52"/>
      <c r="AA196" s="53"/>
      <c r="AB196" s="54" t="str">
        <f t="shared" si="32"/>
        <v/>
      </c>
      <c r="AC196" s="49" t="str">
        <f t="shared" si="33"/>
        <v/>
      </c>
      <c r="AD196" s="55" t="str">
        <f t="shared" si="34"/>
        <v/>
      </c>
      <c r="AE196" s="56">
        <f t="shared" si="35"/>
        <v>0</v>
      </c>
      <c r="AF196" s="56">
        <f t="shared" si="36"/>
        <v>0</v>
      </c>
      <c r="AG196" s="59">
        <f t="shared" si="37"/>
        <v>0</v>
      </c>
      <c r="AH196" s="48"/>
      <c r="AJ196" s="48"/>
      <c r="AL196" s="48"/>
      <c r="AM196" s="48" t="str">
        <f t="shared" si="38"/>
        <v/>
      </c>
    </row>
    <row r="197" spans="1:39" s="57" customFormat="1" ht="14">
      <c r="A197" s="45"/>
      <c r="B197" s="46"/>
      <c r="C197" s="47">
        <f>IF(B197&lt;&gt;"",VLOOKUP(B197,'Tipo Projeto'!$A$3:$B$35,2,0),0)</f>
        <v>0</v>
      </c>
      <c r="D197" s="48"/>
      <c r="E197" s="48"/>
      <c r="F197" s="49"/>
      <c r="G197" s="204"/>
      <c r="H197" s="50"/>
      <c r="I197" s="51"/>
      <c r="J197" s="52"/>
      <c r="K197" s="53"/>
      <c r="L197" s="54" t="str">
        <f t="shared" si="26"/>
        <v/>
      </c>
      <c r="M197" s="49" t="str">
        <f t="shared" si="27"/>
        <v/>
      </c>
      <c r="N197" s="55" t="str">
        <f t="shared" si="28"/>
        <v/>
      </c>
      <c r="O197" s="56">
        <f t="shared" si="29"/>
        <v>0</v>
      </c>
      <c r="P197" s="56">
        <f t="shared" si="30"/>
        <v>0</v>
      </c>
      <c r="Q197" s="55">
        <f t="shared" si="31"/>
        <v>0</v>
      </c>
      <c r="R197" s="48"/>
      <c r="T197" s="58"/>
      <c r="U197" s="46"/>
      <c r="V197" s="47">
        <f>IF(U197&lt;&gt;"",VLOOKUP(U197,'Tipo Projeto'!$A$3:$B$35,2,0),0)</f>
        <v>0</v>
      </c>
      <c r="W197" s="48"/>
      <c r="X197" s="50"/>
      <c r="Y197" s="51"/>
      <c r="Z197" s="52"/>
      <c r="AA197" s="53"/>
      <c r="AB197" s="54" t="str">
        <f t="shared" si="32"/>
        <v/>
      </c>
      <c r="AC197" s="49" t="str">
        <f t="shared" si="33"/>
        <v/>
      </c>
      <c r="AD197" s="55" t="str">
        <f t="shared" si="34"/>
        <v/>
      </c>
      <c r="AE197" s="56">
        <f t="shared" si="35"/>
        <v>0</v>
      </c>
      <c r="AF197" s="56">
        <f t="shared" si="36"/>
        <v>0</v>
      </c>
      <c r="AG197" s="59">
        <f t="shared" si="37"/>
        <v>0</v>
      </c>
      <c r="AH197" s="48"/>
      <c r="AJ197" s="48"/>
      <c r="AL197" s="48"/>
      <c r="AM197" s="48" t="str">
        <f t="shared" si="38"/>
        <v/>
      </c>
    </row>
    <row r="198" spans="1:39" s="57" customFormat="1" ht="14">
      <c r="A198" s="45"/>
      <c r="B198" s="46"/>
      <c r="C198" s="47">
        <f>IF(B198&lt;&gt;"",VLOOKUP(B198,'Tipo Projeto'!$A$3:$B$35,2,0),0)</f>
        <v>0</v>
      </c>
      <c r="D198" s="48"/>
      <c r="E198" s="48"/>
      <c r="F198" s="49"/>
      <c r="G198" s="204"/>
      <c r="H198" s="50"/>
      <c r="I198" s="51"/>
      <c r="J198" s="52"/>
      <c r="K198" s="53"/>
      <c r="L198" s="54" t="str">
        <f t="shared" si="26"/>
        <v/>
      </c>
      <c r="M198" s="49" t="str">
        <f t="shared" si="27"/>
        <v/>
      </c>
      <c r="N198" s="55" t="str">
        <f t="shared" si="28"/>
        <v/>
      </c>
      <c r="O198" s="56">
        <f t="shared" si="29"/>
        <v>0</v>
      </c>
      <c r="P198" s="56">
        <f t="shared" si="30"/>
        <v>0</v>
      </c>
      <c r="Q198" s="55">
        <f t="shared" si="31"/>
        <v>0</v>
      </c>
      <c r="R198" s="48"/>
      <c r="T198" s="58"/>
      <c r="U198" s="46"/>
      <c r="V198" s="47">
        <f>IF(U198&lt;&gt;"",VLOOKUP(U198,'Tipo Projeto'!$A$3:$B$35,2,0),0)</f>
        <v>0</v>
      </c>
      <c r="W198" s="48"/>
      <c r="X198" s="50"/>
      <c r="Y198" s="51"/>
      <c r="Z198" s="52"/>
      <c r="AA198" s="53"/>
      <c r="AB198" s="54" t="str">
        <f t="shared" si="32"/>
        <v/>
      </c>
      <c r="AC198" s="49" t="str">
        <f t="shared" si="33"/>
        <v/>
      </c>
      <c r="AD198" s="55" t="str">
        <f t="shared" si="34"/>
        <v/>
      </c>
      <c r="AE198" s="56">
        <f t="shared" si="35"/>
        <v>0</v>
      </c>
      <c r="AF198" s="56">
        <f t="shared" si="36"/>
        <v>0</v>
      </c>
      <c r="AG198" s="59">
        <f t="shared" si="37"/>
        <v>0</v>
      </c>
      <c r="AH198" s="48"/>
      <c r="AJ198" s="48"/>
      <c r="AL198" s="48"/>
      <c r="AM198" s="48" t="str">
        <f t="shared" si="38"/>
        <v/>
      </c>
    </row>
    <row r="199" spans="1:39" s="57" customFormat="1" ht="14">
      <c r="A199" s="45"/>
      <c r="B199" s="46"/>
      <c r="C199" s="47">
        <f>IF(B199&lt;&gt;"",VLOOKUP(B199,'Tipo Projeto'!$A$3:$B$35,2,0),0)</f>
        <v>0</v>
      </c>
      <c r="D199" s="48"/>
      <c r="E199" s="48"/>
      <c r="F199" s="49"/>
      <c r="G199" s="204"/>
      <c r="H199" s="50"/>
      <c r="I199" s="51"/>
      <c r="J199" s="52"/>
      <c r="K199" s="53"/>
      <c r="L199" s="54" t="str">
        <f t="shared" si="26"/>
        <v/>
      </c>
      <c r="M199" s="49" t="str">
        <f t="shared" si="27"/>
        <v/>
      </c>
      <c r="N199" s="55" t="str">
        <f t="shared" si="28"/>
        <v/>
      </c>
      <c r="O199" s="56">
        <f t="shared" si="29"/>
        <v>0</v>
      </c>
      <c r="P199" s="56">
        <f t="shared" si="30"/>
        <v>0</v>
      </c>
      <c r="Q199" s="55">
        <f t="shared" si="31"/>
        <v>0</v>
      </c>
      <c r="R199" s="48"/>
      <c r="T199" s="58"/>
      <c r="U199" s="46"/>
      <c r="V199" s="47">
        <f>IF(U199&lt;&gt;"",VLOOKUP(U199,'Tipo Projeto'!$A$3:$B$35,2,0),0)</f>
        <v>0</v>
      </c>
      <c r="W199" s="48"/>
      <c r="X199" s="50"/>
      <c r="Y199" s="51"/>
      <c r="Z199" s="52"/>
      <c r="AA199" s="53"/>
      <c r="AB199" s="54" t="str">
        <f t="shared" si="32"/>
        <v/>
      </c>
      <c r="AC199" s="49" t="str">
        <f t="shared" si="33"/>
        <v/>
      </c>
      <c r="AD199" s="55" t="str">
        <f t="shared" si="34"/>
        <v/>
      </c>
      <c r="AE199" s="56">
        <f t="shared" si="35"/>
        <v>0</v>
      </c>
      <c r="AF199" s="56">
        <f t="shared" si="36"/>
        <v>0</v>
      </c>
      <c r="AG199" s="59">
        <f t="shared" si="37"/>
        <v>0</v>
      </c>
      <c r="AH199" s="48"/>
      <c r="AJ199" s="48"/>
      <c r="AL199" s="48"/>
      <c r="AM199" s="48" t="str">
        <f t="shared" si="38"/>
        <v/>
      </c>
    </row>
    <row r="200" spans="1:39" s="57" customFormat="1" ht="14">
      <c r="A200" s="45"/>
      <c r="B200" s="46"/>
      <c r="C200" s="47">
        <f>IF(B200&lt;&gt;"",VLOOKUP(B200,'Tipo Projeto'!$A$3:$B$35,2,0),0)</f>
        <v>0</v>
      </c>
      <c r="D200" s="48"/>
      <c r="E200" s="48"/>
      <c r="F200" s="49"/>
      <c r="G200" s="204"/>
      <c r="H200" s="50"/>
      <c r="I200" s="51"/>
      <c r="J200" s="52"/>
      <c r="K200" s="53"/>
      <c r="L200" s="54" t="str">
        <f t="shared" si="26"/>
        <v/>
      </c>
      <c r="M200" s="49" t="str">
        <f t="shared" si="27"/>
        <v/>
      </c>
      <c r="N200" s="55" t="str">
        <f t="shared" si="28"/>
        <v/>
      </c>
      <c r="O200" s="56">
        <f t="shared" si="29"/>
        <v>0</v>
      </c>
      <c r="P200" s="56">
        <f t="shared" si="30"/>
        <v>0</v>
      </c>
      <c r="Q200" s="55">
        <f t="shared" si="31"/>
        <v>0</v>
      </c>
      <c r="R200" s="48"/>
      <c r="T200" s="58"/>
      <c r="U200" s="46"/>
      <c r="V200" s="47">
        <f>IF(U200&lt;&gt;"",VLOOKUP(U200,'Tipo Projeto'!$A$3:$B$35,2,0),0)</f>
        <v>0</v>
      </c>
      <c r="W200" s="48"/>
      <c r="X200" s="50"/>
      <c r="Y200" s="51"/>
      <c r="Z200" s="52"/>
      <c r="AA200" s="53"/>
      <c r="AB200" s="54" t="str">
        <f t="shared" si="32"/>
        <v/>
      </c>
      <c r="AC200" s="49" t="str">
        <f t="shared" si="33"/>
        <v/>
      </c>
      <c r="AD200" s="55" t="str">
        <f t="shared" si="34"/>
        <v/>
      </c>
      <c r="AE200" s="56">
        <f t="shared" si="35"/>
        <v>0</v>
      </c>
      <c r="AF200" s="56">
        <f t="shared" si="36"/>
        <v>0</v>
      </c>
      <c r="AG200" s="59">
        <f t="shared" si="37"/>
        <v>0</v>
      </c>
      <c r="AH200" s="48"/>
      <c r="AJ200" s="48"/>
      <c r="AL200" s="48"/>
      <c r="AM200" s="48" t="str">
        <f t="shared" si="38"/>
        <v/>
      </c>
    </row>
    <row r="201" spans="1:39" s="57" customFormat="1" ht="14">
      <c r="A201" s="45"/>
      <c r="B201" s="46"/>
      <c r="C201" s="47">
        <f>IF(B201&lt;&gt;"",VLOOKUP(B201,'Tipo Projeto'!$A$3:$B$35,2,0),0)</f>
        <v>0</v>
      </c>
      <c r="D201" s="48"/>
      <c r="E201" s="48"/>
      <c r="F201" s="49"/>
      <c r="G201" s="204"/>
      <c r="H201" s="50"/>
      <c r="I201" s="51"/>
      <c r="J201" s="52"/>
      <c r="K201" s="53"/>
      <c r="L201" s="54" t="str">
        <f t="shared" si="26"/>
        <v/>
      </c>
      <c r="M201" s="49" t="str">
        <f t="shared" si="27"/>
        <v/>
      </c>
      <c r="N201" s="55" t="str">
        <f t="shared" si="28"/>
        <v/>
      </c>
      <c r="O201" s="56">
        <f t="shared" si="29"/>
        <v>0</v>
      </c>
      <c r="P201" s="56">
        <f t="shared" si="30"/>
        <v>0</v>
      </c>
      <c r="Q201" s="55">
        <f t="shared" si="31"/>
        <v>0</v>
      </c>
      <c r="R201" s="48"/>
      <c r="T201" s="58"/>
      <c r="U201" s="46"/>
      <c r="V201" s="47">
        <f>IF(U201&lt;&gt;"",VLOOKUP(U201,'Tipo Projeto'!$A$3:$B$35,2,0),0)</f>
        <v>0</v>
      </c>
      <c r="W201" s="48"/>
      <c r="X201" s="50"/>
      <c r="Y201" s="51"/>
      <c r="Z201" s="52"/>
      <c r="AA201" s="53"/>
      <c r="AB201" s="54" t="str">
        <f t="shared" si="32"/>
        <v/>
      </c>
      <c r="AC201" s="49" t="str">
        <f t="shared" si="33"/>
        <v/>
      </c>
      <c r="AD201" s="55" t="str">
        <f t="shared" si="34"/>
        <v/>
      </c>
      <c r="AE201" s="56">
        <f t="shared" si="35"/>
        <v>0</v>
      </c>
      <c r="AF201" s="56">
        <f t="shared" si="36"/>
        <v>0</v>
      </c>
      <c r="AG201" s="59">
        <f t="shared" si="37"/>
        <v>0</v>
      </c>
      <c r="AH201" s="48"/>
      <c r="AJ201" s="48"/>
      <c r="AL201" s="48"/>
      <c r="AM201" s="48" t="str">
        <f t="shared" si="38"/>
        <v/>
      </c>
    </row>
    <row r="202" spans="1:39" s="57" customFormat="1" ht="14">
      <c r="A202" s="45"/>
      <c r="B202" s="46"/>
      <c r="C202" s="47">
        <f>IF(B202&lt;&gt;"",VLOOKUP(B202,'Tipo Projeto'!$A$3:$B$35,2,0),0)</f>
        <v>0</v>
      </c>
      <c r="D202" s="48"/>
      <c r="E202" s="48"/>
      <c r="F202" s="49"/>
      <c r="G202" s="204"/>
      <c r="H202" s="50"/>
      <c r="I202" s="51"/>
      <c r="J202" s="52"/>
      <c r="K202" s="53"/>
      <c r="L202" s="54"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9"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5" t="str">
        <f t="shared" ref="N202:N265" si="41">IF(L202="",M202,IF(M202="",L202,""))</f>
        <v/>
      </c>
      <c r="O202" s="56">
        <f t="shared" ref="O202:O265" si="42">IF(AND(OR(G202="EE",G202="CE"),N202="Simples"),3, IF(AND(OR(G202="EE",G202="CE"),N202="Médio"),4, IF(AND(OR(G202="EE",G202="CE"),N202="Complexo"),6, IF(AND(G202="SE",N202="Simples"),4, IF(AND(G202="SE",N202="Médio"),5, IF(AND(G202="SE",N202="Complexo"),7,0))))))</f>
        <v>0</v>
      </c>
      <c r="P202" s="56">
        <f t="shared" ref="P202:P265" si="43">IF(AND(G202="ALI",M202="Simples"),7, IF(AND(G202="ALI",M202="Médio"),10, IF(AND(G202="ALI",M202="Complexo"),15, IF(AND(G202="AIE",M202="Simples"),5, IF(AND(G202="AIE",M202="Médio"),7, IF(AND(G202="AIE",M202="Complexo"),10,0))))))</f>
        <v>0</v>
      </c>
      <c r="Q202" s="55">
        <f t="shared" ref="Q202:Q265" si="44">IF(B202&lt;&gt;"Manutenção em interface",IF(B202&lt;&gt;"Desenv., Manutenção e Publicação de Páginas Estáticas",(O202+P202)*C202,C202),C202)</f>
        <v>0</v>
      </c>
      <c r="R202" s="48"/>
      <c r="T202" s="58"/>
      <c r="U202" s="46"/>
      <c r="V202" s="47">
        <f>IF(U202&lt;&gt;"",VLOOKUP(U202,'Tipo Projeto'!$A$3:$B$35,2,0),0)</f>
        <v>0</v>
      </c>
      <c r="W202" s="48"/>
      <c r="X202" s="50"/>
      <c r="Y202" s="51"/>
      <c r="Z202" s="52"/>
      <c r="AA202" s="53"/>
      <c r="AB202" s="54"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9"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5" t="str">
        <f t="shared" ref="AD202:AD265" si="47">IF(AB202="",AC202,IF(AC202="",AB202,""))</f>
        <v/>
      </c>
      <c r="AE202" s="56">
        <f t="shared" ref="AE202:AE265" si="48">IF(AND(OR(W202="EE",W202="CE"),AD202="Simples"),3, IF(AND(OR(W202="EE",W202="CE"),AD202="Médio"),4, IF(AND(OR(W202="EE",W202="CE"),AD202="Complexo"),6, IF(AND(W202="SE",AD202="Simples"),4, IF(AND(W202="SE",AD202="Médio"),5, IF(AND(W202="SE",AD202="Complexo"),7,0))))))</f>
        <v>0</v>
      </c>
      <c r="AF202" s="56">
        <f t="shared" ref="AF202:AF265" si="49">IF(AND(W202="ALI",AC202="Simples"),7, IF(AND(W202="ALI",AC202="Médio"),10, IF(AND(W202="ALI",AC202="Complexo"),15, IF(AND(W202="AIE",AC202="Simples"),5, IF(AND(W202="AIE",AC202="Médio"),7, IF(AND(W202="AIE",AC202="Complexo"),10,0))))))</f>
        <v>0</v>
      </c>
      <c r="AG202" s="59">
        <f t="shared" ref="AG202:AG265" si="50">IF(T202="OK",Q202,( IF(U202&lt;&gt;"Manutenção em interface",IF(U202&lt;&gt;"Desenv., Manutenção e Publicação de Páginas Estáticas",(AE202+AF202)*V202,V202),V202)))</f>
        <v>0</v>
      </c>
      <c r="AH202" s="48"/>
      <c r="AJ202" s="48"/>
      <c r="AL202" s="48"/>
      <c r="AM202" s="48" t="str">
        <f t="shared" ref="AM202:AM265" si="51">IF(AG202=0,"",IF(AG202=Q202,"OK","Divergente"))</f>
        <v/>
      </c>
    </row>
    <row r="203" spans="1:39" s="57" customFormat="1" ht="14">
      <c r="A203" s="45"/>
      <c r="B203" s="46"/>
      <c r="C203" s="47">
        <f>IF(B203&lt;&gt;"",VLOOKUP(B203,'Tipo Projeto'!$A$3:$B$35,2,0),0)</f>
        <v>0</v>
      </c>
      <c r="D203" s="48"/>
      <c r="E203" s="48"/>
      <c r="F203" s="49"/>
      <c r="G203" s="204"/>
      <c r="H203" s="50"/>
      <c r="I203" s="51"/>
      <c r="J203" s="52"/>
      <c r="K203" s="53"/>
      <c r="L203" s="54" t="str">
        <f t="shared" si="39"/>
        <v/>
      </c>
      <c r="M203" s="49" t="str">
        <f t="shared" si="40"/>
        <v/>
      </c>
      <c r="N203" s="55" t="str">
        <f t="shared" si="41"/>
        <v/>
      </c>
      <c r="O203" s="56">
        <f t="shared" si="42"/>
        <v>0</v>
      </c>
      <c r="P203" s="56">
        <f t="shared" si="43"/>
        <v>0</v>
      </c>
      <c r="Q203" s="55">
        <f t="shared" si="44"/>
        <v>0</v>
      </c>
      <c r="R203" s="48"/>
      <c r="T203" s="58"/>
      <c r="U203" s="46"/>
      <c r="V203" s="47">
        <f>IF(U203&lt;&gt;"",VLOOKUP(U203,'Tipo Projeto'!$A$3:$B$35,2,0),0)</f>
        <v>0</v>
      </c>
      <c r="W203" s="48"/>
      <c r="X203" s="50"/>
      <c r="Y203" s="51"/>
      <c r="Z203" s="52"/>
      <c r="AA203" s="53"/>
      <c r="AB203" s="54" t="str">
        <f t="shared" si="45"/>
        <v/>
      </c>
      <c r="AC203" s="49" t="str">
        <f t="shared" si="46"/>
        <v/>
      </c>
      <c r="AD203" s="55" t="str">
        <f t="shared" si="47"/>
        <v/>
      </c>
      <c r="AE203" s="56">
        <f t="shared" si="48"/>
        <v>0</v>
      </c>
      <c r="AF203" s="56">
        <f t="shared" si="49"/>
        <v>0</v>
      </c>
      <c r="AG203" s="59">
        <f t="shared" si="50"/>
        <v>0</v>
      </c>
      <c r="AH203" s="48"/>
      <c r="AJ203" s="48"/>
      <c r="AL203" s="48"/>
      <c r="AM203" s="48" t="str">
        <f t="shared" si="51"/>
        <v/>
      </c>
    </row>
    <row r="204" spans="1:39" s="57" customFormat="1" ht="14">
      <c r="A204" s="45"/>
      <c r="B204" s="46"/>
      <c r="C204" s="47">
        <f>IF(B204&lt;&gt;"",VLOOKUP(B204,'Tipo Projeto'!$A$3:$B$35,2,0),0)</f>
        <v>0</v>
      </c>
      <c r="D204" s="48"/>
      <c r="E204" s="48"/>
      <c r="F204" s="49"/>
      <c r="G204" s="204"/>
      <c r="H204" s="50"/>
      <c r="I204" s="51"/>
      <c r="J204" s="52"/>
      <c r="K204" s="53"/>
      <c r="L204" s="54" t="str">
        <f t="shared" si="39"/>
        <v/>
      </c>
      <c r="M204" s="49" t="str">
        <f t="shared" si="40"/>
        <v/>
      </c>
      <c r="N204" s="55" t="str">
        <f t="shared" si="41"/>
        <v/>
      </c>
      <c r="O204" s="56">
        <f t="shared" si="42"/>
        <v>0</v>
      </c>
      <c r="P204" s="56">
        <f t="shared" si="43"/>
        <v>0</v>
      </c>
      <c r="Q204" s="55">
        <f t="shared" si="44"/>
        <v>0</v>
      </c>
      <c r="R204" s="48"/>
      <c r="T204" s="58"/>
      <c r="U204" s="46"/>
      <c r="V204" s="47">
        <f>IF(U204&lt;&gt;"",VLOOKUP(U204,'Tipo Projeto'!$A$3:$B$35,2,0),0)</f>
        <v>0</v>
      </c>
      <c r="W204" s="48"/>
      <c r="X204" s="50"/>
      <c r="Y204" s="51"/>
      <c r="Z204" s="52"/>
      <c r="AA204" s="53"/>
      <c r="AB204" s="54" t="str">
        <f t="shared" si="45"/>
        <v/>
      </c>
      <c r="AC204" s="49" t="str">
        <f t="shared" si="46"/>
        <v/>
      </c>
      <c r="AD204" s="55" t="str">
        <f t="shared" si="47"/>
        <v/>
      </c>
      <c r="AE204" s="56">
        <f t="shared" si="48"/>
        <v>0</v>
      </c>
      <c r="AF204" s="56">
        <f t="shared" si="49"/>
        <v>0</v>
      </c>
      <c r="AG204" s="59">
        <f t="shared" si="50"/>
        <v>0</v>
      </c>
      <c r="AH204" s="48"/>
      <c r="AJ204" s="48"/>
      <c r="AL204" s="48"/>
      <c r="AM204" s="48" t="str">
        <f t="shared" si="51"/>
        <v/>
      </c>
    </row>
    <row r="205" spans="1:39" s="57" customFormat="1" ht="14">
      <c r="A205" s="45"/>
      <c r="B205" s="46"/>
      <c r="C205" s="47">
        <f>IF(B205&lt;&gt;"",VLOOKUP(B205,'Tipo Projeto'!$A$3:$B$35,2,0),0)</f>
        <v>0</v>
      </c>
      <c r="D205" s="48"/>
      <c r="E205" s="48"/>
      <c r="F205" s="49"/>
      <c r="G205" s="204"/>
      <c r="H205" s="50"/>
      <c r="I205" s="51"/>
      <c r="J205" s="52"/>
      <c r="K205" s="53"/>
      <c r="L205" s="54" t="str">
        <f t="shared" si="39"/>
        <v/>
      </c>
      <c r="M205" s="49" t="str">
        <f t="shared" si="40"/>
        <v/>
      </c>
      <c r="N205" s="55" t="str">
        <f t="shared" si="41"/>
        <v/>
      </c>
      <c r="O205" s="56">
        <f t="shared" si="42"/>
        <v>0</v>
      </c>
      <c r="P205" s="56">
        <f t="shared" si="43"/>
        <v>0</v>
      </c>
      <c r="Q205" s="55">
        <f t="shared" si="44"/>
        <v>0</v>
      </c>
      <c r="R205" s="48"/>
      <c r="T205" s="58"/>
      <c r="U205" s="46"/>
      <c r="V205" s="47">
        <f>IF(U205&lt;&gt;"",VLOOKUP(U205,'Tipo Projeto'!$A$3:$B$35,2,0),0)</f>
        <v>0</v>
      </c>
      <c r="W205" s="48"/>
      <c r="X205" s="50"/>
      <c r="Y205" s="51"/>
      <c r="Z205" s="52"/>
      <c r="AA205" s="53"/>
      <c r="AB205" s="54" t="str">
        <f t="shared" si="45"/>
        <v/>
      </c>
      <c r="AC205" s="49" t="str">
        <f t="shared" si="46"/>
        <v/>
      </c>
      <c r="AD205" s="55" t="str">
        <f t="shared" si="47"/>
        <v/>
      </c>
      <c r="AE205" s="56">
        <f t="shared" si="48"/>
        <v>0</v>
      </c>
      <c r="AF205" s="56">
        <f t="shared" si="49"/>
        <v>0</v>
      </c>
      <c r="AG205" s="59">
        <f t="shared" si="50"/>
        <v>0</v>
      </c>
      <c r="AH205" s="48"/>
      <c r="AJ205" s="48"/>
      <c r="AL205" s="48"/>
      <c r="AM205" s="48" t="str">
        <f t="shared" si="51"/>
        <v/>
      </c>
    </row>
    <row r="206" spans="1:39" s="57" customFormat="1" ht="14">
      <c r="A206" s="45"/>
      <c r="B206" s="46"/>
      <c r="C206" s="47">
        <f>IF(B206&lt;&gt;"",VLOOKUP(B206,'Tipo Projeto'!$A$3:$B$35,2,0),0)</f>
        <v>0</v>
      </c>
      <c r="D206" s="48"/>
      <c r="E206" s="48"/>
      <c r="F206" s="49"/>
      <c r="G206" s="204"/>
      <c r="H206" s="50"/>
      <c r="I206" s="51"/>
      <c r="J206" s="52"/>
      <c r="K206" s="53"/>
      <c r="L206" s="54" t="str">
        <f t="shared" si="39"/>
        <v/>
      </c>
      <c r="M206" s="49" t="str">
        <f t="shared" si="40"/>
        <v/>
      </c>
      <c r="N206" s="55" t="str">
        <f t="shared" si="41"/>
        <v/>
      </c>
      <c r="O206" s="56">
        <f t="shared" si="42"/>
        <v>0</v>
      </c>
      <c r="P206" s="56">
        <f t="shared" si="43"/>
        <v>0</v>
      </c>
      <c r="Q206" s="55">
        <f t="shared" si="44"/>
        <v>0</v>
      </c>
      <c r="R206" s="48"/>
      <c r="T206" s="58"/>
      <c r="U206" s="46"/>
      <c r="V206" s="47">
        <f>IF(U206&lt;&gt;"",VLOOKUP(U206,'Tipo Projeto'!$A$3:$B$35,2,0),0)</f>
        <v>0</v>
      </c>
      <c r="W206" s="48"/>
      <c r="X206" s="50"/>
      <c r="Y206" s="51"/>
      <c r="Z206" s="52"/>
      <c r="AA206" s="53"/>
      <c r="AB206" s="54" t="str">
        <f t="shared" si="45"/>
        <v/>
      </c>
      <c r="AC206" s="49" t="str">
        <f t="shared" si="46"/>
        <v/>
      </c>
      <c r="AD206" s="55" t="str">
        <f t="shared" si="47"/>
        <v/>
      </c>
      <c r="AE206" s="56">
        <f t="shared" si="48"/>
        <v>0</v>
      </c>
      <c r="AF206" s="56">
        <f t="shared" si="49"/>
        <v>0</v>
      </c>
      <c r="AG206" s="59">
        <f t="shared" si="50"/>
        <v>0</v>
      </c>
      <c r="AH206" s="48"/>
      <c r="AJ206" s="48"/>
      <c r="AL206" s="48"/>
      <c r="AM206" s="48" t="str">
        <f t="shared" si="51"/>
        <v/>
      </c>
    </row>
    <row r="207" spans="1:39" s="57" customFormat="1" ht="14">
      <c r="A207" s="45"/>
      <c r="B207" s="46"/>
      <c r="C207" s="47">
        <f>IF(B207&lt;&gt;"",VLOOKUP(B207,'Tipo Projeto'!$A$3:$B$35,2,0),0)</f>
        <v>0</v>
      </c>
      <c r="D207" s="48"/>
      <c r="E207" s="48"/>
      <c r="F207" s="49"/>
      <c r="G207" s="204"/>
      <c r="H207" s="50"/>
      <c r="I207" s="51"/>
      <c r="J207" s="52"/>
      <c r="K207" s="53"/>
      <c r="L207" s="54" t="str">
        <f t="shared" si="39"/>
        <v/>
      </c>
      <c r="M207" s="49" t="str">
        <f t="shared" si="40"/>
        <v/>
      </c>
      <c r="N207" s="55" t="str">
        <f t="shared" si="41"/>
        <v/>
      </c>
      <c r="O207" s="56">
        <f t="shared" si="42"/>
        <v>0</v>
      </c>
      <c r="P207" s="56">
        <f t="shared" si="43"/>
        <v>0</v>
      </c>
      <c r="Q207" s="55">
        <f t="shared" si="44"/>
        <v>0</v>
      </c>
      <c r="R207" s="48"/>
      <c r="T207" s="58"/>
      <c r="U207" s="46"/>
      <c r="V207" s="47">
        <f>IF(U207&lt;&gt;"",VLOOKUP(U207,'Tipo Projeto'!$A$3:$B$35,2,0),0)</f>
        <v>0</v>
      </c>
      <c r="W207" s="48"/>
      <c r="X207" s="50"/>
      <c r="Y207" s="51"/>
      <c r="Z207" s="52"/>
      <c r="AA207" s="53"/>
      <c r="AB207" s="54" t="str">
        <f t="shared" si="45"/>
        <v/>
      </c>
      <c r="AC207" s="49" t="str">
        <f t="shared" si="46"/>
        <v/>
      </c>
      <c r="AD207" s="55" t="str">
        <f t="shared" si="47"/>
        <v/>
      </c>
      <c r="AE207" s="56">
        <f t="shared" si="48"/>
        <v>0</v>
      </c>
      <c r="AF207" s="56">
        <f t="shared" si="49"/>
        <v>0</v>
      </c>
      <c r="AG207" s="59">
        <f t="shared" si="50"/>
        <v>0</v>
      </c>
      <c r="AH207" s="48"/>
      <c r="AJ207" s="48"/>
      <c r="AL207" s="48"/>
      <c r="AM207" s="48" t="str">
        <f t="shared" si="51"/>
        <v/>
      </c>
    </row>
    <row r="208" spans="1:39" s="57" customFormat="1" ht="14">
      <c r="A208" s="45"/>
      <c r="B208" s="46"/>
      <c r="C208" s="47">
        <f>IF(B208&lt;&gt;"",VLOOKUP(B208,'Tipo Projeto'!$A$3:$B$35,2,0),0)</f>
        <v>0</v>
      </c>
      <c r="D208" s="48"/>
      <c r="E208" s="48"/>
      <c r="F208" s="49"/>
      <c r="G208" s="204"/>
      <c r="H208" s="50"/>
      <c r="I208" s="51"/>
      <c r="J208" s="52"/>
      <c r="K208" s="53"/>
      <c r="L208" s="54" t="str">
        <f t="shared" si="39"/>
        <v/>
      </c>
      <c r="M208" s="49" t="str">
        <f t="shared" si="40"/>
        <v/>
      </c>
      <c r="N208" s="55" t="str">
        <f t="shared" si="41"/>
        <v/>
      </c>
      <c r="O208" s="56">
        <f t="shared" si="42"/>
        <v>0</v>
      </c>
      <c r="P208" s="56">
        <f t="shared" si="43"/>
        <v>0</v>
      </c>
      <c r="Q208" s="55">
        <f t="shared" si="44"/>
        <v>0</v>
      </c>
      <c r="R208" s="48"/>
      <c r="T208" s="58"/>
      <c r="U208" s="46"/>
      <c r="V208" s="47">
        <f>IF(U208&lt;&gt;"",VLOOKUP(U208,'Tipo Projeto'!$A$3:$B$35,2,0),0)</f>
        <v>0</v>
      </c>
      <c r="W208" s="48"/>
      <c r="X208" s="50"/>
      <c r="Y208" s="51"/>
      <c r="Z208" s="52"/>
      <c r="AA208" s="53"/>
      <c r="AB208" s="54" t="str">
        <f t="shared" si="45"/>
        <v/>
      </c>
      <c r="AC208" s="49" t="str">
        <f t="shared" si="46"/>
        <v/>
      </c>
      <c r="AD208" s="55" t="str">
        <f t="shared" si="47"/>
        <v/>
      </c>
      <c r="AE208" s="56">
        <f t="shared" si="48"/>
        <v>0</v>
      </c>
      <c r="AF208" s="56">
        <f t="shared" si="49"/>
        <v>0</v>
      </c>
      <c r="AG208" s="59">
        <f t="shared" si="50"/>
        <v>0</v>
      </c>
      <c r="AH208" s="48"/>
      <c r="AJ208" s="48"/>
      <c r="AL208" s="48"/>
      <c r="AM208" s="48" t="str">
        <f t="shared" si="51"/>
        <v/>
      </c>
    </row>
    <row r="209" spans="1:39" s="57" customFormat="1" ht="14">
      <c r="A209" s="45"/>
      <c r="B209" s="46"/>
      <c r="C209" s="47">
        <f>IF(B209&lt;&gt;"",VLOOKUP(B209,'Tipo Projeto'!$A$3:$B$35,2,0),0)</f>
        <v>0</v>
      </c>
      <c r="D209" s="48"/>
      <c r="E209" s="48"/>
      <c r="F209" s="49"/>
      <c r="G209" s="204"/>
      <c r="H209" s="50"/>
      <c r="I209" s="51"/>
      <c r="J209" s="52"/>
      <c r="K209" s="53"/>
      <c r="L209" s="54" t="str">
        <f t="shared" si="39"/>
        <v/>
      </c>
      <c r="M209" s="49" t="str">
        <f t="shared" si="40"/>
        <v/>
      </c>
      <c r="N209" s="55" t="str">
        <f t="shared" si="41"/>
        <v/>
      </c>
      <c r="O209" s="56">
        <f t="shared" si="42"/>
        <v>0</v>
      </c>
      <c r="P209" s="56">
        <f t="shared" si="43"/>
        <v>0</v>
      </c>
      <c r="Q209" s="55">
        <f t="shared" si="44"/>
        <v>0</v>
      </c>
      <c r="R209" s="48"/>
      <c r="T209" s="58"/>
      <c r="U209" s="46"/>
      <c r="V209" s="47">
        <f>IF(U209&lt;&gt;"",VLOOKUP(U209,'Tipo Projeto'!$A$3:$B$35,2,0),0)</f>
        <v>0</v>
      </c>
      <c r="W209" s="48"/>
      <c r="X209" s="50"/>
      <c r="Y209" s="51"/>
      <c r="Z209" s="52"/>
      <c r="AA209" s="53"/>
      <c r="AB209" s="54" t="str">
        <f t="shared" si="45"/>
        <v/>
      </c>
      <c r="AC209" s="49" t="str">
        <f t="shared" si="46"/>
        <v/>
      </c>
      <c r="AD209" s="55" t="str">
        <f t="shared" si="47"/>
        <v/>
      </c>
      <c r="AE209" s="56">
        <f t="shared" si="48"/>
        <v>0</v>
      </c>
      <c r="AF209" s="56">
        <f t="shared" si="49"/>
        <v>0</v>
      </c>
      <c r="AG209" s="59">
        <f t="shared" si="50"/>
        <v>0</v>
      </c>
      <c r="AH209" s="48"/>
      <c r="AJ209" s="48"/>
      <c r="AL209" s="48"/>
      <c r="AM209" s="48" t="str">
        <f t="shared" si="51"/>
        <v/>
      </c>
    </row>
    <row r="210" spans="1:39" s="57" customFormat="1" ht="14">
      <c r="A210" s="45"/>
      <c r="B210" s="46"/>
      <c r="C210" s="47">
        <f>IF(B210&lt;&gt;"",VLOOKUP(B210,'Tipo Projeto'!$A$3:$B$35,2,0),0)</f>
        <v>0</v>
      </c>
      <c r="D210" s="48"/>
      <c r="E210" s="48"/>
      <c r="F210" s="49"/>
      <c r="G210" s="204"/>
      <c r="H210" s="50"/>
      <c r="I210" s="51"/>
      <c r="J210" s="52"/>
      <c r="K210" s="53"/>
      <c r="L210" s="54" t="str">
        <f t="shared" si="39"/>
        <v/>
      </c>
      <c r="M210" s="49" t="str">
        <f t="shared" si="40"/>
        <v/>
      </c>
      <c r="N210" s="55" t="str">
        <f t="shared" si="41"/>
        <v/>
      </c>
      <c r="O210" s="56">
        <f t="shared" si="42"/>
        <v>0</v>
      </c>
      <c r="P210" s="56">
        <f t="shared" si="43"/>
        <v>0</v>
      </c>
      <c r="Q210" s="55">
        <f t="shared" si="44"/>
        <v>0</v>
      </c>
      <c r="R210" s="48"/>
      <c r="T210" s="58"/>
      <c r="U210" s="46"/>
      <c r="V210" s="47">
        <f>IF(U210&lt;&gt;"",VLOOKUP(U210,'Tipo Projeto'!$A$3:$B$35,2,0),0)</f>
        <v>0</v>
      </c>
      <c r="W210" s="48"/>
      <c r="X210" s="50"/>
      <c r="Y210" s="51"/>
      <c r="Z210" s="52"/>
      <c r="AA210" s="53"/>
      <c r="AB210" s="54" t="str">
        <f t="shared" si="45"/>
        <v/>
      </c>
      <c r="AC210" s="49" t="str">
        <f t="shared" si="46"/>
        <v/>
      </c>
      <c r="AD210" s="55" t="str">
        <f t="shared" si="47"/>
        <v/>
      </c>
      <c r="AE210" s="56">
        <f t="shared" si="48"/>
        <v>0</v>
      </c>
      <c r="AF210" s="56">
        <f t="shared" si="49"/>
        <v>0</v>
      </c>
      <c r="AG210" s="59">
        <f t="shared" si="50"/>
        <v>0</v>
      </c>
      <c r="AH210" s="48"/>
      <c r="AJ210" s="48"/>
      <c r="AL210" s="48"/>
      <c r="AM210" s="48" t="str">
        <f t="shared" si="51"/>
        <v/>
      </c>
    </row>
    <row r="211" spans="1:39" s="57" customFormat="1" ht="14">
      <c r="A211" s="45"/>
      <c r="B211" s="46"/>
      <c r="C211" s="47">
        <f>IF(B211&lt;&gt;"",VLOOKUP(B211,'Tipo Projeto'!$A$3:$B$35,2,0),0)</f>
        <v>0</v>
      </c>
      <c r="D211" s="48"/>
      <c r="E211" s="48"/>
      <c r="F211" s="49"/>
      <c r="G211" s="204"/>
      <c r="H211" s="50"/>
      <c r="I211" s="51"/>
      <c r="J211" s="52"/>
      <c r="K211" s="53"/>
      <c r="L211" s="54" t="str">
        <f t="shared" si="39"/>
        <v/>
      </c>
      <c r="M211" s="49" t="str">
        <f t="shared" si="40"/>
        <v/>
      </c>
      <c r="N211" s="55" t="str">
        <f t="shared" si="41"/>
        <v/>
      </c>
      <c r="O211" s="56">
        <f t="shared" si="42"/>
        <v>0</v>
      </c>
      <c r="P211" s="56">
        <f t="shared" si="43"/>
        <v>0</v>
      </c>
      <c r="Q211" s="55">
        <f t="shared" si="44"/>
        <v>0</v>
      </c>
      <c r="R211" s="48"/>
      <c r="T211" s="58"/>
      <c r="U211" s="46"/>
      <c r="V211" s="47">
        <f>IF(U211&lt;&gt;"",VLOOKUP(U211,'Tipo Projeto'!$A$3:$B$35,2,0),0)</f>
        <v>0</v>
      </c>
      <c r="W211" s="48"/>
      <c r="X211" s="50"/>
      <c r="Y211" s="51"/>
      <c r="Z211" s="52"/>
      <c r="AA211" s="53"/>
      <c r="AB211" s="54" t="str">
        <f t="shared" si="45"/>
        <v/>
      </c>
      <c r="AC211" s="49" t="str">
        <f t="shared" si="46"/>
        <v/>
      </c>
      <c r="AD211" s="55" t="str">
        <f t="shared" si="47"/>
        <v/>
      </c>
      <c r="AE211" s="56">
        <f t="shared" si="48"/>
        <v>0</v>
      </c>
      <c r="AF211" s="56">
        <f t="shared" si="49"/>
        <v>0</v>
      </c>
      <c r="AG211" s="59">
        <f t="shared" si="50"/>
        <v>0</v>
      </c>
      <c r="AH211" s="48"/>
      <c r="AJ211" s="48"/>
      <c r="AL211" s="48"/>
      <c r="AM211" s="48" t="str">
        <f t="shared" si="51"/>
        <v/>
      </c>
    </row>
    <row r="212" spans="1:39" s="57" customFormat="1" ht="14">
      <c r="A212" s="45"/>
      <c r="B212" s="46"/>
      <c r="C212" s="47">
        <f>IF(B212&lt;&gt;"",VLOOKUP(B212,'Tipo Projeto'!$A$3:$B$35,2,0),0)</f>
        <v>0</v>
      </c>
      <c r="D212" s="48"/>
      <c r="E212" s="48"/>
      <c r="F212" s="49"/>
      <c r="G212" s="204"/>
      <c r="H212" s="50"/>
      <c r="I212" s="51"/>
      <c r="J212" s="52"/>
      <c r="K212" s="53"/>
      <c r="L212" s="54" t="str">
        <f t="shared" si="39"/>
        <v/>
      </c>
      <c r="M212" s="49" t="str">
        <f t="shared" si="40"/>
        <v/>
      </c>
      <c r="N212" s="55" t="str">
        <f t="shared" si="41"/>
        <v/>
      </c>
      <c r="O212" s="56">
        <f t="shared" si="42"/>
        <v>0</v>
      </c>
      <c r="P212" s="56">
        <f t="shared" si="43"/>
        <v>0</v>
      </c>
      <c r="Q212" s="55">
        <f t="shared" si="44"/>
        <v>0</v>
      </c>
      <c r="R212" s="48"/>
      <c r="T212" s="58"/>
      <c r="U212" s="46"/>
      <c r="V212" s="47">
        <f>IF(U212&lt;&gt;"",VLOOKUP(U212,'Tipo Projeto'!$A$3:$B$35,2,0),0)</f>
        <v>0</v>
      </c>
      <c r="W212" s="48"/>
      <c r="X212" s="50"/>
      <c r="Y212" s="51"/>
      <c r="Z212" s="52"/>
      <c r="AA212" s="53"/>
      <c r="AB212" s="54" t="str">
        <f t="shared" si="45"/>
        <v/>
      </c>
      <c r="AC212" s="49" t="str">
        <f t="shared" si="46"/>
        <v/>
      </c>
      <c r="AD212" s="55" t="str">
        <f t="shared" si="47"/>
        <v/>
      </c>
      <c r="AE212" s="56">
        <f t="shared" si="48"/>
        <v>0</v>
      </c>
      <c r="AF212" s="56">
        <f t="shared" si="49"/>
        <v>0</v>
      </c>
      <c r="AG212" s="59">
        <f t="shared" si="50"/>
        <v>0</v>
      </c>
      <c r="AH212" s="48"/>
      <c r="AJ212" s="48"/>
      <c r="AL212" s="48"/>
      <c r="AM212" s="48" t="str">
        <f t="shared" si="51"/>
        <v/>
      </c>
    </row>
    <row r="213" spans="1:39" s="57" customFormat="1" ht="14">
      <c r="A213" s="45"/>
      <c r="B213" s="46"/>
      <c r="C213" s="47">
        <f>IF(B213&lt;&gt;"",VLOOKUP(B213,'Tipo Projeto'!$A$3:$B$35,2,0),0)</f>
        <v>0</v>
      </c>
      <c r="D213" s="48"/>
      <c r="E213" s="48"/>
      <c r="F213" s="49"/>
      <c r="G213" s="204"/>
      <c r="H213" s="50"/>
      <c r="I213" s="51"/>
      <c r="J213" s="52"/>
      <c r="K213" s="53"/>
      <c r="L213" s="54" t="str">
        <f t="shared" si="39"/>
        <v/>
      </c>
      <c r="M213" s="49" t="str">
        <f t="shared" si="40"/>
        <v/>
      </c>
      <c r="N213" s="55" t="str">
        <f t="shared" si="41"/>
        <v/>
      </c>
      <c r="O213" s="56">
        <f t="shared" si="42"/>
        <v>0</v>
      </c>
      <c r="P213" s="56">
        <f t="shared" si="43"/>
        <v>0</v>
      </c>
      <c r="Q213" s="55">
        <f t="shared" si="44"/>
        <v>0</v>
      </c>
      <c r="R213" s="48"/>
      <c r="T213" s="58"/>
      <c r="U213" s="46"/>
      <c r="V213" s="47">
        <f>IF(U213&lt;&gt;"",VLOOKUP(U213,'Tipo Projeto'!$A$3:$B$35,2,0),0)</f>
        <v>0</v>
      </c>
      <c r="W213" s="48"/>
      <c r="X213" s="50"/>
      <c r="Y213" s="51"/>
      <c r="Z213" s="52"/>
      <c r="AA213" s="53"/>
      <c r="AB213" s="54" t="str">
        <f t="shared" si="45"/>
        <v/>
      </c>
      <c r="AC213" s="49" t="str">
        <f t="shared" si="46"/>
        <v/>
      </c>
      <c r="AD213" s="55" t="str">
        <f t="shared" si="47"/>
        <v/>
      </c>
      <c r="AE213" s="56">
        <f t="shared" si="48"/>
        <v>0</v>
      </c>
      <c r="AF213" s="56">
        <f t="shared" si="49"/>
        <v>0</v>
      </c>
      <c r="AG213" s="59">
        <f t="shared" si="50"/>
        <v>0</v>
      </c>
      <c r="AH213" s="48"/>
      <c r="AJ213" s="48"/>
      <c r="AL213" s="48"/>
      <c r="AM213" s="48" t="str">
        <f t="shared" si="51"/>
        <v/>
      </c>
    </row>
    <row r="214" spans="1:39" s="57" customFormat="1" ht="14">
      <c r="A214" s="45"/>
      <c r="B214" s="46"/>
      <c r="C214" s="47">
        <f>IF(B214&lt;&gt;"",VLOOKUP(B214,'Tipo Projeto'!$A$3:$B$35,2,0),0)</f>
        <v>0</v>
      </c>
      <c r="D214" s="48"/>
      <c r="E214" s="48"/>
      <c r="F214" s="49"/>
      <c r="G214" s="204"/>
      <c r="H214" s="50"/>
      <c r="I214" s="51"/>
      <c r="J214" s="52"/>
      <c r="K214" s="53"/>
      <c r="L214" s="54" t="str">
        <f t="shared" si="39"/>
        <v/>
      </c>
      <c r="M214" s="49" t="str">
        <f t="shared" si="40"/>
        <v/>
      </c>
      <c r="N214" s="55" t="str">
        <f t="shared" si="41"/>
        <v/>
      </c>
      <c r="O214" s="56">
        <f t="shared" si="42"/>
        <v>0</v>
      </c>
      <c r="P214" s="56">
        <f t="shared" si="43"/>
        <v>0</v>
      </c>
      <c r="Q214" s="55">
        <f t="shared" si="44"/>
        <v>0</v>
      </c>
      <c r="R214" s="48"/>
      <c r="T214" s="58"/>
      <c r="U214" s="46"/>
      <c r="V214" s="47">
        <f>IF(U214&lt;&gt;"",VLOOKUP(U214,'Tipo Projeto'!$A$3:$B$35,2,0),0)</f>
        <v>0</v>
      </c>
      <c r="W214" s="48"/>
      <c r="X214" s="50"/>
      <c r="Y214" s="51"/>
      <c r="Z214" s="52"/>
      <c r="AA214" s="53"/>
      <c r="AB214" s="54" t="str">
        <f t="shared" si="45"/>
        <v/>
      </c>
      <c r="AC214" s="49" t="str">
        <f t="shared" si="46"/>
        <v/>
      </c>
      <c r="AD214" s="55" t="str">
        <f t="shared" si="47"/>
        <v/>
      </c>
      <c r="AE214" s="56">
        <f t="shared" si="48"/>
        <v>0</v>
      </c>
      <c r="AF214" s="56">
        <f t="shared" si="49"/>
        <v>0</v>
      </c>
      <c r="AG214" s="59">
        <f t="shared" si="50"/>
        <v>0</v>
      </c>
      <c r="AH214" s="48"/>
      <c r="AJ214" s="48"/>
      <c r="AL214" s="48"/>
      <c r="AM214" s="48" t="str">
        <f t="shared" si="51"/>
        <v/>
      </c>
    </row>
    <row r="215" spans="1:39" s="57" customFormat="1" ht="14">
      <c r="A215" s="45"/>
      <c r="B215" s="46"/>
      <c r="C215" s="47">
        <f>IF(B215&lt;&gt;"",VLOOKUP(B215,'Tipo Projeto'!$A$3:$B$35,2,0),0)</f>
        <v>0</v>
      </c>
      <c r="D215" s="48"/>
      <c r="E215" s="48"/>
      <c r="F215" s="49"/>
      <c r="G215" s="204"/>
      <c r="H215" s="50"/>
      <c r="I215" s="51"/>
      <c r="J215" s="52"/>
      <c r="K215" s="53"/>
      <c r="L215" s="54" t="str">
        <f t="shared" si="39"/>
        <v/>
      </c>
      <c r="M215" s="49" t="str">
        <f t="shared" si="40"/>
        <v/>
      </c>
      <c r="N215" s="55" t="str">
        <f t="shared" si="41"/>
        <v/>
      </c>
      <c r="O215" s="56">
        <f t="shared" si="42"/>
        <v>0</v>
      </c>
      <c r="P215" s="56">
        <f t="shared" si="43"/>
        <v>0</v>
      </c>
      <c r="Q215" s="55">
        <f t="shared" si="44"/>
        <v>0</v>
      </c>
      <c r="R215" s="48"/>
      <c r="T215" s="58"/>
      <c r="U215" s="46"/>
      <c r="V215" s="47">
        <f>IF(U215&lt;&gt;"",VLOOKUP(U215,'Tipo Projeto'!$A$3:$B$35,2,0),0)</f>
        <v>0</v>
      </c>
      <c r="W215" s="48"/>
      <c r="X215" s="50"/>
      <c r="Y215" s="51"/>
      <c r="Z215" s="52"/>
      <c r="AA215" s="53"/>
      <c r="AB215" s="54" t="str">
        <f t="shared" si="45"/>
        <v/>
      </c>
      <c r="AC215" s="49" t="str">
        <f t="shared" si="46"/>
        <v/>
      </c>
      <c r="AD215" s="55" t="str">
        <f t="shared" si="47"/>
        <v/>
      </c>
      <c r="AE215" s="56">
        <f t="shared" si="48"/>
        <v>0</v>
      </c>
      <c r="AF215" s="56">
        <f t="shared" si="49"/>
        <v>0</v>
      </c>
      <c r="AG215" s="59">
        <f t="shared" si="50"/>
        <v>0</v>
      </c>
      <c r="AH215" s="48"/>
      <c r="AJ215" s="48"/>
      <c r="AL215" s="48"/>
      <c r="AM215" s="48" t="str">
        <f t="shared" si="51"/>
        <v/>
      </c>
    </row>
    <row r="216" spans="1:39" s="57" customFormat="1" ht="14">
      <c r="A216" s="45"/>
      <c r="B216" s="46"/>
      <c r="C216" s="47">
        <f>IF(B216&lt;&gt;"",VLOOKUP(B216,'Tipo Projeto'!$A$3:$B$35,2,0),0)</f>
        <v>0</v>
      </c>
      <c r="D216" s="48"/>
      <c r="E216" s="48"/>
      <c r="F216" s="49"/>
      <c r="G216" s="204"/>
      <c r="H216" s="50"/>
      <c r="I216" s="51"/>
      <c r="J216" s="52"/>
      <c r="K216" s="53"/>
      <c r="L216" s="54" t="str">
        <f t="shared" si="39"/>
        <v/>
      </c>
      <c r="M216" s="49" t="str">
        <f t="shared" si="40"/>
        <v/>
      </c>
      <c r="N216" s="55" t="str">
        <f t="shared" si="41"/>
        <v/>
      </c>
      <c r="O216" s="56">
        <f t="shared" si="42"/>
        <v>0</v>
      </c>
      <c r="P216" s="56">
        <f t="shared" si="43"/>
        <v>0</v>
      </c>
      <c r="Q216" s="55">
        <f t="shared" si="44"/>
        <v>0</v>
      </c>
      <c r="R216" s="48"/>
      <c r="T216" s="58"/>
      <c r="U216" s="46"/>
      <c r="V216" s="47">
        <f>IF(U216&lt;&gt;"",VLOOKUP(U216,'Tipo Projeto'!$A$3:$B$35,2,0),0)</f>
        <v>0</v>
      </c>
      <c r="W216" s="48"/>
      <c r="X216" s="50"/>
      <c r="Y216" s="51"/>
      <c r="Z216" s="52"/>
      <c r="AA216" s="53"/>
      <c r="AB216" s="54" t="str">
        <f t="shared" si="45"/>
        <v/>
      </c>
      <c r="AC216" s="49" t="str">
        <f t="shared" si="46"/>
        <v/>
      </c>
      <c r="AD216" s="55" t="str">
        <f t="shared" si="47"/>
        <v/>
      </c>
      <c r="AE216" s="56">
        <f t="shared" si="48"/>
        <v>0</v>
      </c>
      <c r="AF216" s="56">
        <f t="shared" si="49"/>
        <v>0</v>
      </c>
      <c r="AG216" s="59">
        <f t="shared" si="50"/>
        <v>0</v>
      </c>
      <c r="AH216" s="48"/>
      <c r="AJ216" s="48"/>
      <c r="AL216" s="48"/>
      <c r="AM216" s="48" t="str">
        <f t="shared" si="51"/>
        <v/>
      </c>
    </row>
    <row r="217" spans="1:39" s="57" customFormat="1" ht="14">
      <c r="A217" s="45"/>
      <c r="B217" s="46"/>
      <c r="C217" s="47">
        <f>IF(B217&lt;&gt;"",VLOOKUP(B217,'Tipo Projeto'!$A$3:$B$35,2,0),0)</f>
        <v>0</v>
      </c>
      <c r="D217" s="48"/>
      <c r="E217" s="48"/>
      <c r="F217" s="49"/>
      <c r="G217" s="204"/>
      <c r="H217" s="50"/>
      <c r="I217" s="51"/>
      <c r="J217" s="52"/>
      <c r="K217" s="53"/>
      <c r="L217" s="54" t="str">
        <f t="shared" si="39"/>
        <v/>
      </c>
      <c r="M217" s="49" t="str">
        <f t="shared" si="40"/>
        <v/>
      </c>
      <c r="N217" s="55" t="str">
        <f t="shared" si="41"/>
        <v/>
      </c>
      <c r="O217" s="56">
        <f t="shared" si="42"/>
        <v>0</v>
      </c>
      <c r="P217" s="56">
        <f t="shared" si="43"/>
        <v>0</v>
      </c>
      <c r="Q217" s="55">
        <f t="shared" si="44"/>
        <v>0</v>
      </c>
      <c r="R217" s="48"/>
      <c r="T217" s="58"/>
      <c r="U217" s="46"/>
      <c r="V217" s="47">
        <f>IF(U217&lt;&gt;"",VLOOKUP(U217,'Tipo Projeto'!$A$3:$B$35,2,0),0)</f>
        <v>0</v>
      </c>
      <c r="W217" s="48"/>
      <c r="X217" s="50"/>
      <c r="Y217" s="51"/>
      <c r="Z217" s="52"/>
      <c r="AA217" s="53"/>
      <c r="AB217" s="54" t="str">
        <f t="shared" si="45"/>
        <v/>
      </c>
      <c r="AC217" s="49" t="str">
        <f t="shared" si="46"/>
        <v/>
      </c>
      <c r="AD217" s="55" t="str">
        <f t="shared" si="47"/>
        <v/>
      </c>
      <c r="AE217" s="56">
        <f t="shared" si="48"/>
        <v>0</v>
      </c>
      <c r="AF217" s="56">
        <f t="shared" si="49"/>
        <v>0</v>
      </c>
      <c r="AG217" s="59">
        <f t="shared" si="50"/>
        <v>0</v>
      </c>
      <c r="AH217" s="48"/>
      <c r="AJ217" s="48"/>
      <c r="AL217" s="48"/>
      <c r="AM217" s="48" t="str">
        <f t="shared" si="51"/>
        <v/>
      </c>
    </row>
    <row r="218" spans="1:39" s="57" customFormat="1" ht="14">
      <c r="A218" s="45"/>
      <c r="B218" s="46"/>
      <c r="C218" s="47">
        <f>IF(B218&lt;&gt;"",VLOOKUP(B218,'Tipo Projeto'!$A$3:$B$35,2,0),0)</f>
        <v>0</v>
      </c>
      <c r="D218" s="48"/>
      <c r="E218" s="48"/>
      <c r="F218" s="49"/>
      <c r="G218" s="204"/>
      <c r="H218" s="50"/>
      <c r="I218" s="51"/>
      <c r="J218" s="52"/>
      <c r="K218" s="53"/>
      <c r="L218" s="54" t="str">
        <f t="shared" si="39"/>
        <v/>
      </c>
      <c r="M218" s="49" t="str">
        <f t="shared" si="40"/>
        <v/>
      </c>
      <c r="N218" s="55" t="str">
        <f t="shared" si="41"/>
        <v/>
      </c>
      <c r="O218" s="56">
        <f t="shared" si="42"/>
        <v>0</v>
      </c>
      <c r="P218" s="56">
        <f t="shared" si="43"/>
        <v>0</v>
      </c>
      <c r="Q218" s="55">
        <f t="shared" si="44"/>
        <v>0</v>
      </c>
      <c r="R218" s="48"/>
      <c r="T218" s="58"/>
      <c r="U218" s="46"/>
      <c r="V218" s="47">
        <f>IF(U218&lt;&gt;"",VLOOKUP(U218,'Tipo Projeto'!$A$3:$B$35,2,0),0)</f>
        <v>0</v>
      </c>
      <c r="W218" s="48"/>
      <c r="X218" s="50"/>
      <c r="Y218" s="51"/>
      <c r="Z218" s="52"/>
      <c r="AA218" s="53"/>
      <c r="AB218" s="54" t="str">
        <f t="shared" si="45"/>
        <v/>
      </c>
      <c r="AC218" s="49" t="str">
        <f t="shared" si="46"/>
        <v/>
      </c>
      <c r="AD218" s="55" t="str">
        <f t="shared" si="47"/>
        <v/>
      </c>
      <c r="AE218" s="56">
        <f t="shared" si="48"/>
        <v>0</v>
      </c>
      <c r="AF218" s="56">
        <f t="shared" si="49"/>
        <v>0</v>
      </c>
      <c r="AG218" s="59">
        <f t="shared" si="50"/>
        <v>0</v>
      </c>
      <c r="AH218" s="48"/>
      <c r="AJ218" s="48"/>
      <c r="AL218" s="48"/>
      <c r="AM218" s="48" t="str">
        <f t="shared" si="51"/>
        <v/>
      </c>
    </row>
    <row r="219" spans="1:39" s="57" customFormat="1" ht="14">
      <c r="A219" s="45"/>
      <c r="B219" s="46"/>
      <c r="C219" s="47">
        <f>IF(B219&lt;&gt;"",VLOOKUP(B219,'Tipo Projeto'!$A$3:$B$35,2,0),0)</f>
        <v>0</v>
      </c>
      <c r="D219" s="48"/>
      <c r="E219" s="48"/>
      <c r="F219" s="49"/>
      <c r="G219" s="204"/>
      <c r="H219" s="50"/>
      <c r="I219" s="51"/>
      <c r="J219" s="52"/>
      <c r="K219" s="53"/>
      <c r="L219" s="54" t="str">
        <f t="shared" si="39"/>
        <v/>
      </c>
      <c r="M219" s="49" t="str">
        <f t="shared" si="40"/>
        <v/>
      </c>
      <c r="N219" s="55" t="str">
        <f t="shared" si="41"/>
        <v/>
      </c>
      <c r="O219" s="56">
        <f t="shared" si="42"/>
        <v>0</v>
      </c>
      <c r="P219" s="56">
        <f t="shared" si="43"/>
        <v>0</v>
      </c>
      <c r="Q219" s="55">
        <f t="shared" si="44"/>
        <v>0</v>
      </c>
      <c r="R219" s="48"/>
      <c r="T219" s="58"/>
      <c r="U219" s="46"/>
      <c r="V219" s="47">
        <f>IF(U219&lt;&gt;"",VLOOKUP(U219,'Tipo Projeto'!$A$3:$B$35,2,0),0)</f>
        <v>0</v>
      </c>
      <c r="W219" s="48"/>
      <c r="X219" s="50"/>
      <c r="Y219" s="51"/>
      <c r="Z219" s="52"/>
      <c r="AA219" s="53"/>
      <c r="AB219" s="54" t="str">
        <f t="shared" si="45"/>
        <v/>
      </c>
      <c r="AC219" s="49" t="str">
        <f t="shared" si="46"/>
        <v/>
      </c>
      <c r="AD219" s="55" t="str">
        <f t="shared" si="47"/>
        <v/>
      </c>
      <c r="AE219" s="56">
        <f t="shared" si="48"/>
        <v>0</v>
      </c>
      <c r="AF219" s="56">
        <f t="shared" si="49"/>
        <v>0</v>
      </c>
      <c r="AG219" s="59">
        <f t="shared" si="50"/>
        <v>0</v>
      </c>
      <c r="AH219" s="48"/>
      <c r="AJ219" s="48"/>
      <c r="AL219" s="48"/>
      <c r="AM219" s="48" t="str">
        <f t="shared" si="51"/>
        <v/>
      </c>
    </row>
    <row r="220" spans="1:39" s="57" customFormat="1" ht="14">
      <c r="A220" s="45"/>
      <c r="B220" s="46"/>
      <c r="C220" s="47">
        <f>IF(B220&lt;&gt;"",VLOOKUP(B220,'Tipo Projeto'!$A$3:$B$35,2,0),0)</f>
        <v>0</v>
      </c>
      <c r="D220" s="48"/>
      <c r="E220" s="48"/>
      <c r="F220" s="49"/>
      <c r="G220" s="204"/>
      <c r="H220" s="50"/>
      <c r="I220" s="51"/>
      <c r="J220" s="52"/>
      <c r="K220" s="53"/>
      <c r="L220" s="54" t="str">
        <f t="shared" si="39"/>
        <v/>
      </c>
      <c r="M220" s="49" t="str">
        <f t="shared" si="40"/>
        <v/>
      </c>
      <c r="N220" s="55" t="str">
        <f t="shared" si="41"/>
        <v/>
      </c>
      <c r="O220" s="56">
        <f t="shared" si="42"/>
        <v>0</v>
      </c>
      <c r="P220" s="56">
        <f t="shared" si="43"/>
        <v>0</v>
      </c>
      <c r="Q220" s="55">
        <f t="shared" si="44"/>
        <v>0</v>
      </c>
      <c r="R220" s="48"/>
      <c r="T220" s="58"/>
      <c r="U220" s="46"/>
      <c r="V220" s="47">
        <f>IF(U220&lt;&gt;"",VLOOKUP(U220,'Tipo Projeto'!$A$3:$B$35,2,0),0)</f>
        <v>0</v>
      </c>
      <c r="W220" s="48"/>
      <c r="X220" s="50"/>
      <c r="Y220" s="51"/>
      <c r="Z220" s="52"/>
      <c r="AA220" s="53"/>
      <c r="AB220" s="54" t="str">
        <f t="shared" si="45"/>
        <v/>
      </c>
      <c r="AC220" s="49" t="str">
        <f t="shared" si="46"/>
        <v/>
      </c>
      <c r="AD220" s="55" t="str">
        <f t="shared" si="47"/>
        <v/>
      </c>
      <c r="AE220" s="56">
        <f t="shared" si="48"/>
        <v>0</v>
      </c>
      <c r="AF220" s="56">
        <f t="shared" si="49"/>
        <v>0</v>
      </c>
      <c r="AG220" s="59">
        <f t="shared" si="50"/>
        <v>0</v>
      </c>
      <c r="AH220" s="48"/>
      <c r="AJ220" s="48"/>
      <c r="AL220" s="48"/>
      <c r="AM220" s="48" t="str">
        <f t="shared" si="51"/>
        <v/>
      </c>
    </row>
    <row r="221" spans="1:39" s="57" customFormat="1" ht="14">
      <c r="A221" s="45"/>
      <c r="B221" s="46"/>
      <c r="C221" s="47">
        <f>IF(B221&lt;&gt;"",VLOOKUP(B221,'Tipo Projeto'!$A$3:$B$35,2,0),0)</f>
        <v>0</v>
      </c>
      <c r="D221" s="48"/>
      <c r="E221" s="48"/>
      <c r="F221" s="49"/>
      <c r="G221" s="204"/>
      <c r="H221" s="50"/>
      <c r="I221" s="51"/>
      <c r="J221" s="52"/>
      <c r="K221" s="53"/>
      <c r="L221" s="54" t="str">
        <f t="shared" si="39"/>
        <v/>
      </c>
      <c r="M221" s="49" t="str">
        <f t="shared" si="40"/>
        <v/>
      </c>
      <c r="N221" s="55" t="str">
        <f t="shared" si="41"/>
        <v/>
      </c>
      <c r="O221" s="56">
        <f t="shared" si="42"/>
        <v>0</v>
      </c>
      <c r="P221" s="56">
        <f t="shared" si="43"/>
        <v>0</v>
      </c>
      <c r="Q221" s="55">
        <f t="shared" si="44"/>
        <v>0</v>
      </c>
      <c r="R221" s="48"/>
      <c r="T221" s="58"/>
      <c r="U221" s="46"/>
      <c r="V221" s="47">
        <f>IF(U221&lt;&gt;"",VLOOKUP(U221,'Tipo Projeto'!$A$3:$B$35,2,0),0)</f>
        <v>0</v>
      </c>
      <c r="W221" s="48"/>
      <c r="X221" s="50"/>
      <c r="Y221" s="51"/>
      <c r="Z221" s="52"/>
      <c r="AA221" s="53"/>
      <c r="AB221" s="54" t="str">
        <f t="shared" si="45"/>
        <v/>
      </c>
      <c r="AC221" s="49" t="str">
        <f t="shared" si="46"/>
        <v/>
      </c>
      <c r="AD221" s="55" t="str">
        <f t="shared" si="47"/>
        <v/>
      </c>
      <c r="AE221" s="56">
        <f t="shared" si="48"/>
        <v>0</v>
      </c>
      <c r="AF221" s="56">
        <f t="shared" si="49"/>
        <v>0</v>
      </c>
      <c r="AG221" s="59">
        <f t="shared" si="50"/>
        <v>0</v>
      </c>
      <c r="AH221" s="48"/>
      <c r="AJ221" s="48"/>
      <c r="AL221" s="48"/>
      <c r="AM221" s="48" t="str">
        <f t="shared" si="51"/>
        <v/>
      </c>
    </row>
    <row r="222" spans="1:39" s="57" customFormat="1" ht="14">
      <c r="A222" s="45"/>
      <c r="B222" s="46"/>
      <c r="C222" s="47">
        <f>IF(B222&lt;&gt;"",VLOOKUP(B222,'Tipo Projeto'!$A$3:$B$35,2,0),0)</f>
        <v>0</v>
      </c>
      <c r="D222" s="48"/>
      <c r="E222" s="48"/>
      <c r="F222" s="49"/>
      <c r="G222" s="204"/>
      <c r="H222" s="50"/>
      <c r="I222" s="51"/>
      <c r="J222" s="52"/>
      <c r="K222" s="53"/>
      <c r="L222" s="54" t="str">
        <f t="shared" si="39"/>
        <v/>
      </c>
      <c r="M222" s="49" t="str">
        <f t="shared" si="40"/>
        <v/>
      </c>
      <c r="N222" s="55" t="str">
        <f t="shared" si="41"/>
        <v/>
      </c>
      <c r="O222" s="56">
        <f t="shared" si="42"/>
        <v>0</v>
      </c>
      <c r="P222" s="56">
        <f t="shared" si="43"/>
        <v>0</v>
      </c>
      <c r="Q222" s="55">
        <f t="shared" si="44"/>
        <v>0</v>
      </c>
      <c r="R222" s="48"/>
      <c r="T222" s="58"/>
      <c r="U222" s="46"/>
      <c r="V222" s="47">
        <f>IF(U222&lt;&gt;"",VLOOKUP(U222,'Tipo Projeto'!$A$3:$B$35,2,0),0)</f>
        <v>0</v>
      </c>
      <c r="W222" s="48"/>
      <c r="X222" s="50"/>
      <c r="Y222" s="51"/>
      <c r="Z222" s="52"/>
      <c r="AA222" s="53"/>
      <c r="AB222" s="54" t="str">
        <f t="shared" si="45"/>
        <v/>
      </c>
      <c r="AC222" s="49" t="str">
        <f t="shared" si="46"/>
        <v/>
      </c>
      <c r="AD222" s="55" t="str">
        <f t="shared" si="47"/>
        <v/>
      </c>
      <c r="AE222" s="56">
        <f t="shared" si="48"/>
        <v>0</v>
      </c>
      <c r="AF222" s="56">
        <f t="shared" si="49"/>
        <v>0</v>
      </c>
      <c r="AG222" s="59">
        <f t="shared" si="50"/>
        <v>0</v>
      </c>
      <c r="AH222" s="48"/>
      <c r="AJ222" s="48"/>
      <c r="AL222" s="48"/>
      <c r="AM222" s="48" t="str">
        <f t="shared" si="51"/>
        <v/>
      </c>
    </row>
    <row r="223" spans="1:39" s="57" customFormat="1" ht="14">
      <c r="A223" s="45"/>
      <c r="B223" s="46"/>
      <c r="C223" s="47">
        <f>IF(B223&lt;&gt;"",VLOOKUP(B223,'Tipo Projeto'!$A$3:$B$35,2,0),0)</f>
        <v>0</v>
      </c>
      <c r="D223" s="48"/>
      <c r="E223" s="48"/>
      <c r="F223" s="49"/>
      <c r="G223" s="204"/>
      <c r="H223" s="50"/>
      <c r="I223" s="51"/>
      <c r="J223" s="52"/>
      <c r="K223" s="53"/>
      <c r="L223" s="54" t="str">
        <f t="shared" si="39"/>
        <v/>
      </c>
      <c r="M223" s="49" t="str">
        <f t="shared" si="40"/>
        <v/>
      </c>
      <c r="N223" s="55" t="str">
        <f t="shared" si="41"/>
        <v/>
      </c>
      <c r="O223" s="56">
        <f t="shared" si="42"/>
        <v>0</v>
      </c>
      <c r="P223" s="56">
        <f t="shared" si="43"/>
        <v>0</v>
      </c>
      <c r="Q223" s="55">
        <f t="shared" si="44"/>
        <v>0</v>
      </c>
      <c r="R223" s="48"/>
      <c r="T223" s="58"/>
      <c r="U223" s="46"/>
      <c r="V223" s="47">
        <f>IF(U223&lt;&gt;"",VLOOKUP(U223,'Tipo Projeto'!$A$3:$B$35,2,0),0)</f>
        <v>0</v>
      </c>
      <c r="W223" s="48"/>
      <c r="X223" s="50"/>
      <c r="Y223" s="51"/>
      <c r="Z223" s="52"/>
      <c r="AA223" s="53"/>
      <c r="AB223" s="54" t="str">
        <f t="shared" si="45"/>
        <v/>
      </c>
      <c r="AC223" s="49" t="str">
        <f t="shared" si="46"/>
        <v/>
      </c>
      <c r="AD223" s="55" t="str">
        <f t="shared" si="47"/>
        <v/>
      </c>
      <c r="AE223" s="56">
        <f t="shared" si="48"/>
        <v>0</v>
      </c>
      <c r="AF223" s="56">
        <f t="shared" si="49"/>
        <v>0</v>
      </c>
      <c r="AG223" s="59">
        <f t="shared" si="50"/>
        <v>0</v>
      </c>
      <c r="AH223" s="48"/>
      <c r="AJ223" s="48"/>
      <c r="AL223" s="48"/>
      <c r="AM223" s="48" t="str">
        <f t="shared" si="51"/>
        <v/>
      </c>
    </row>
    <row r="224" spans="1:39" s="57" customFormat="1" ht="14">
      <c r="A224" s="45"/>
      <c r="B224" s="46"/>
      <c r="C224" s="47">
        <f>IF(B224&lt;&gt;"",VLOOKUP(B224,'Tipo Projeto'!$A$3:$B$35,2,0),0)</f>
        <v>0</v>
      </c>
      <c r="D224" s="48"/>
      <c r="E224" s="48"/>
      <c r="F224" s="49"/>
      <c r="G224" s="204"/>
      <c r="H224" s="50"/>
      <c r="I224" s="51"/>
      <c r="J224" s="52"/>
      <c r="K224" s="53"/>
      <c r="L224" s="54" t="str">
        <f t="shared" si="39"/>
        <v/>
      </c>
      <c r="M224" s="49" t="str">
        <f t="shared" si="40"/>
        <v/>
      </c>
      <c r="N224" s="55" t="str">
        <f t="shared" si="41"/>
        <v/>
      </c>
      <c r="O224" s="56">
        <f t="shared" si="42"/>
        <v>0</v>
      </c>
      <c r="P224" s="56">
        <f t="shared" si="43"/>
        <v>0</v>
      </c>
      <c r="Q224" s="55">
        <f t="shared" si="44"/>
        <v>0</v>
      </c>
      <c r="R224" s="48"/>
      <c r="T224" s="58"/>
      <c r="U224" s="46"/>
      <c r="V224" s="47">
        <f>IF(U224&lt;&gt;"",VLOOKUP(U224,'Tipo Projeto'!$A$3:$B$35,2,0),0)</f>
        <v>0</v>
      </c>
      <c r="W224" s="48"/>
      <c r="X224" s="50"/>
      <c r="Y224" s="51"/>
      <c r="Z224" s="52"/>
      <c r="AA224" s="53"/>
      <c r="AB224" s="54" t="str">
        <f t="shared" si="45"/>
        <v/>
      </c>
      <c r="AC224" s="49" t="str">
        <f t="shared" si="46"/>
        <v/>
      </c>
      <c r="AD224" s="55" t="str">
        <f t="shared" si="47"/>
        <v/>
      </c>
      <c r="AE224" s="56">
        <f t="shared" si="48"/>
        <v>0</v>
      </c>
      <c r="AF224" s="56">
        <f t="shared" si="49"/>
        <v>0</v>
      </c>
      <c r="AG224" s="59">
        <f t="shared" si="50"/>
        <v>0</v>
      </c>
      <c r="AH224" s="48"/>
      <c r="AJ224" s="48"/>
      <c r="AL224" s="48"/>
      <c r="AM224" s="48" t="str">
        <f t="shared" si="51"/>
        <v/>
      </c>
    </row>
    <row r="225" spans="1:39" s="57" customFormat="1" ht="14">
      <c r="A225" s="45"/>
      <c r="B225" s="46"/>
      <c r="C225" s="47">
        <f>IF(B225&lt;&gt;"",VLOOKUP(B225,'Tipo Projeto'!$A$3:$B$35,2,0),0)</f>
        <v>0</v>
      </c>
      <c r="D225" s="48"/>
      <c r="E225" s="48"/>
      <c r="F225" s="49"/>
      <c r="G225" s="204"/>
      <c r="H225" s="50"/>
      <c r="I225" s="51"/>
      <c r="J225" s="52"/>
      <c r="K225" s="53"/>
      <c r="L225" s="54" t="str">
        <f t="shared" si="39"/>
        <v/>
      </c>
      <c r="M225" s="49" t="str">
        <f t="shared" si="40"/>
        <v/>
      </c>
      <c r="N225" s="55" t="str">
        <f t="shared" si="41"/>
        <v/>
      </c>
      <c r="O225" s="56">
        <f t="shared" si="42"/>
        <v>0</v>
      </c>
      <c r="P225" s="56">
        <f t="shared" si="43"/>
        <v>0</v>
      </c>
      <c r="Q225" s="55">
        <f t="shared" si="44"/>
        <v>0</v>
      </c>
      <c r="R225" s="48"/>
      <c r="T225" s="58"/>
      <c r="U225" s="46"/>
      <c r="V225" s="47">
        <f>IF(U225&lt;&gt;"",VLOOKUP(U225,'Tipo Projeto'!$A$3:$B$35,2,0),0)</f>
        <v>0</v>
      </c>
      <c r="W225" s="48"/>
      <c r="X225" s="50"/>
      <c r="Y225" s="51"/>
      <c r="Z225" s="52"/>
      <c r="AA225" s="53"/>
      <c r="AB225" s="54" t="str">
        <f t="shared" si="45"/>
        <v/>
      </c>
      <c r="AC225" s="49" t="str">
        <f t="shared" si="46"/>
        <v/>
      </c>
      <c r="AD225" s="55" t="str">
        <f t="shared" si="47"/>
        <v/>
      </c>
      <c r="AE225" s="56">
        <f t="shared" si="48"/>
        <v>0</v>
      </c>
      <c r="AF225" s="56">
        <f t="shared" si="49"/>
        <v>0</v>
      </c>
      <c r="AG225" s="59">
        <f t="shared" si="50"/>
        <v>0</v>
      </c>
      <c r="AH225" s="48"/>
      <c r="AJ225" s="48"/>
      <c r="AL225" s="48"/>
      <c r="AM225" s="48" t="str">
        <f t="shared" si="51"/>
        <v/>
      </c>
    </row>
    <row r="226" spans="1:39" s="57" customFormat="1" ht="14">
      <c r="A226" s="45"/>
      <c r="B226" s="46"/>
      <c r="C226" s="47">
        <f>IF(B226&lt;&gt;"",VLOOKUP(B226,'Tipo Projeto'!$A$3:$B$35,2,0),0)</f>
        <v>0</v>
      </c>
      <c r="D226" s="48"/>
      <c r="E226" s="48"/>
      <c r="F226" s="49"/>
      <c r="G226" s="204"/>
      <c r="H226" s="50"/>
      <c r="I226" s="51"/>
      <c r="J226" s="52"/>
      <c r="K226" s="53"/>
      <c r="L226" s="54" t="str">
        <f t="shared" si="39"/>
        <v/>
      </c>
      <c r="M226" s="49" t="str">
        <f t="shared" si="40"/>
        <v/>
      </c>
      <c r="N226" s="55" t="str">
        <f t="shared" si="41"/>
        <v/>
      </c>
      <c r="O226" s="56">
        <f t="shared" si="42"/>
        <v>0</v>
      </c>
      <c r="P226" s="56">
        <f t="shared" si="43"/>
        <v>0</v>
      </c>
      <c r="Q226" s="55">
        <f t="shared" si="44"/>
        <v>0</v>
      </c>
      <c r="R226" s="48"/>
      <c r="T226" s="58"/>
      <c r="U226" s="46"/>
      <c r="V226" s="47">
        <f>IF(U226&lt;&gt;"",VLOOKUP(U226,'Tipo Projeto'!$A$3:$B$35,2,0),0)</f>
        <v>0</v>
      </c>
      <c r="W226" s="48"/>
      <c r="X226" s="50"/>
      <c r="Y226" s="51"/>
      <c r="Z226" s="52"/>
      <c r="AA226" s="53"/>
      <c r="AB226" s="54" t="str">
        <f t="shared" si="45"/>
        <v/>
      </c>
      <c r="AC226" s="49" t="str">
        <f t="shared" si="46"/>
        <v/>
      </c>
      <c r="AD226" s="55" t="str">
        <f t="shared" si="47"/>
        <v/>
      </c>
      <c r="AE226" s="56">
        <f t="shared" si="48"/>
        <v>0</v>
      </c>
      <c r="AF226" s="56">
        <f t="shared" si="49"/>
        <v>0</v>
      </c>
      <c r="AG226" s="59">
        <f t="shared" si="50"/>
        <v>0</v>
      </c>
      <c r="AH226" s="48"/>
      <c r="AJ226" s="48"/>
      <c r="AL226" s="48"/>
      <c r="AM226" s="48" t="str">
        <f t="shared" si="51"/>
        <v/>
      </c>
    </row>
    <row r="227" spans="1:39" s="57" customFormat="1" ht="14">
      <c r="A227" s="45"/>
      <c r="B227" s="46"/>
      <c r="C227" s="47">
        <f>IF(B227&lt;&gt;"",VLOOKUP(B227,'Tipo Projeto'!$A$3:$B$35,2,0),0)</f>
        <v>0</v>
      </c>
      <c r="D227" s="48"/>
      <c r="E227" s="48"/>
      <c r="F227" s="49"/>
      <c r="G227" s="204"/>
      <c r="H227" s="50"/>
      <c r="I227" s="51"/>
      <c r="J227" s="52"/>
      <c r="K227" s="53"/>
      <c r="L227" s="54" t="str">
        <f t="shared" si="39"/>
        <v/>
      </c>
      <c r="M227" s="49" t="str">
        <f t="shared" si="40"/>
        <v/>
      </c>
      <c r="N227" s="55" t="str">
        <f t="shared" si="41"/>
        <v/>
      </c>
      <c r="O227" s="56">
        <f t="shared" si="42"/>
        <v>0</v>
      </c>
      <c r="P227" s="56">
        <f t="shared" si="43"/>
        <v>0</v>
      </c>
      <c r="Q227" s="55">
        <f t="shared" si="44"/>
        <v>0</v>
      </c>
      <c r="R227" s="48"/>
      <c r="T227" s="58"/>
      <c r="U227" s="46"/>
      <c r="V227" s="47">
        <f>IF(U227&lt;&gt;"",VLOOKUP(U227,'Tipo Projeto'!$A$3:$B$35,2,0),0)</f>
        <v>0</v>
      </c>
      <c r="W227" s="48"/>
      <c r="X227" s="50"/>
      <c r="Y227" s="51"/>
      <c r="Z227" s="52"/>
      <c r="AA227" s="53"/>
      <c r="AB227" s="54" t="str">
        <f t="shared" si="45"/>
        <v/>
      </c>
      <c r="AC227" s="49" t="str">
        <f t="shared" si="46"/>
        <v/>
      </c>
      <c r="AD227" s="55" t="str">
        <f t="shared" si="47"/>
        <v/>
      </c>
      <c r="AE227" s="56">
        <f t="shared" si="48"/>
        <v>0</v>
      </c>
      <c r="AF227" s="56">
        <f t="shared" si="49"/>
        <v>0</v>
      </c>
      <c r="AG227" s="59">
        <f t="shared" si="50"/>
        <v>0</v>
      </c>
      <c r="AH227" s="48"/>
      <c r="AJ227" s="48"/>
      <c r="AL227" s="48"/>
      <c r="AM227" s="48" t="str">
        <f t="shared" si="51"/>
        <v/>
      </c>
    </row>
    <row r="228" spans="1:39" s="57" customFormat="1" ht="14">
      <c r="A228" s="45"/>
      <c r="B228" s="46"/>
      <c r="C228" s="47">
        <f>IF(B228&lt;&gt;"",VLOOKUP(B228,'Tipo Projeto'!$A$3:$B$35,2,0),0)</f>
        <v>0</v>
      </c>
      <c r="D228" s="48"/>
      <c r="E228" s="48"/>
      <c r="F228" s="49"/>
      <c r="G228" s="204"/>
      <c r="H228" s="50"/>
      <c r="I228" s="51"/>
      <c r="J228" s="52"/>
      <c r="K228" s="53"/>
      <c r="L228" s="54" t="str">
        <f t="shared" si="39"/>
        <v/>
      </c>
      <c r="M228" s="49" t="str">
        <f t="shared" si="40"/>
        <v/>
      </c>
      <c r="N228" s="55" t="str">
        <f t="shared" si="41"/>
        <v/>
      </c>
      <c r="O228" s="56">
        <f t="shared" si="42"/>
        <v>0</v>
      </c>
      <c r="P228" s="56">
        <f t="shared" si="43"/>
        <v>0</v>
      </c>
      <c r="Q228" s="55">
        <f t="shared" si="44"/>
        <v>0</v>
      </c>
      <c r="R228" s="48"/>
      <c r="T228" s="58"/>
      <c r="U228" s="46"/>
      <c r="V228" s="47">
        <f>IF(U228&lt;&gt;"",VLOOKUP(U228,'Tipo Projeto'!$A$3:$B$35,2,0),0)</f>
        <v>0</v>
      </c>
      <c r="W228" s="48"/>
      <c r="X228" s="50"/>
      <c r="Y228" s="51"/>
      <c r="Z228" s="52"/>
      <c r="AA228" s="53"/>
      <c r="AB228" s="54" t="str">
        <f t="shared" si="45"/>
        <v/>
      </c>
      <c r="AC228" s="49" t="str">
        <f t="shared" si="46"/>
        <v/>
      </c>
      <c r="AD228" s="55" t="str">
        <f t="shared" si="47"/>
        <v/>
      </c>
      <c r="AE228" s="56">
        <f t="shared" si="48"/>
        <v>0</v>
      </c>
      <c r="AF228" s="56">
        <f t="shared" si="49"/>
        <v>0</v>
      </c>
      <c r="AG228" s="59">
        <f t="shared" si="50"/>
        <v>0</v>
      </c>
      <c r="AH228" s="48"/>
      <c r="AJ228" s="48"/>
      <c r="AL228" s="48"/>
      <c r="AM228" s="48" t="str">
        <f t="shared" si="51"/>
        <v/>
      </c>
    </row>
    <row r="229" spans="1:39" s="57" customFormat="1" ht="14">
      <c r="A229" s="45"/>
      <c r="B229" s="46"/>
      <c r="C229" s="47">
        <f>IF(B229&lt;&gt;"",VLOOKUP(B229,'Tipo Projeto'!$A$3:$B$35,2,0),0)</f>
        <v>0</v>
      </c>
      <c r="D229" s="48"/>
      <c r="E229" s="48"/>
      <c r="F229" s="49"/>
      <c r="G229" s="204"/>
      <c r="H229" s="50"/>
      <c r="I229" s="51"/>
      <c r="J229" s="52"/>
      <c r="K229" s="53"/>
      <c r="L229" s="54" t="str">
        <f t="shared" si="39"/>
        <v/>
      </c>
      <c r="M229" s="49" t="str">
        <f t="shared" si="40"/>
        <v/>
      </c>
      <c r="N229" s="55" t="str">
        <f t="shared" si="41"/>
        <v/>
      </c>
      <c r="O229" s="56">
        <f t="shared" si="42"/>
        <v>0</v>
      </c>
      <c r="P229" s="56">
        <f t="shared" si="43"/>
        <v>0</v>
      </c>
      <c r="Q229" s="55">
        <f t="shared" si="44"/>
        <v>0</v>
      </c>
      <c r="R229" s="48"/>
      <c r="T229" s="58"/>
      <c r="U229" s="46"/>
      <c r="V229" s="47">
        <f>IF(U229&lt;&gt;"",VLOOKUP(U229,'Tipo Projeto'!$A$3:$B$35,2,0),0)</f>
        <v>0</v>
      </c>
      <c r="W229" s="48"/>
      <c r="X229" s="50"/>
      <c r="Y229" s="51"/>
      <c r="Z229" s="52"/>
      <c r="AA229" s="53"/>
      <c r="AB229" s="54" t="str">
        <f t="shared" si="45"/>
        <v/>
      </c>
      <c r="AC229" s="49" t="str">
        <f t="shared" si="46"/>
        <v/>
      </c>
      <c r="AD229" s="55" t="str">
        <f t="shared" si="47"/>
        <v/>
      </c>
      <c r="AE229" s="56">
        <f t="shared" si="48"/>
        <v>0</v>
      </c>
      <c r="AF229" s="56">
        <f t="shared" si="49"/>
        <v>0</v>
      </c>
      <c r="AG229" s="59">
        <f t="shared" si="50"/>
        <v>0</v>
      </c>
      <c r="AH229" s="48"/>
      <c r="AJ229" s="48"/>
      <c r="AL229" s="48"/>
      <c r="AM229" s="48" t="str">
        <f t="shared" si="51"/>
        <v/>
      </c>
    </row>
    <row r="230" spans="1:39" s="57" customFormat="1" ht="14">
      <c r="A230" s="45"/>
      <c r="B230" s="46"/>
      <c r="C230" s="47">
        <f>IF(B230&lt;&gt;"",VLOOKUP(B230,'Tipo Projeto'!$A$3:$B$35,2,0),0)</f>
        <v>0</v>
      </c>
      <c r="D230" s="48"/>
      <c r="E230" s="48"/>
      <c r="F230" s="49"/>
      <c r="G230" s="204"/>
      <c r="H230" s="50"/>
      <c r="I230" s="51"/>
      <c r="J230" s="52"/>
      <c r="K230" s="53"/>
      <c r="L230" s="54" t="str">
        <f t="shared" si="39"/>
        <v/>
      </c>
      <c r="M230" s="49" t="str">
        <f t="shared" si="40"/>
        <v/>
      </c>
      <c r="N230" s="55" t="str">
        <f t="shared" si="41"/>
        <v/>
      </c>
      <c r="O230" s="56">
        <f t="shared" si="42"/>
        <v>0</v>
      </c>
      <c r="P230" s="56">
        <f t="shared" si="43"/>
        <v>0</v>
      </c>
      <c r="Q230" s="55">
        <f t="shared" si="44"/>
        <v>0</v>
      </c>
      <c r="R230" s="48"/>
      <c r="T230" s="58"/>
      <c r="U230" s="46"/>
      <c r="V230" s="47">
        <f>IF(U230&lt;&gt;"",VLOOKUP(U230,'Tipo Projeto'!$A$3:$B$35,2,0),0)</f>
        <v>0</v>
      </c>
      <c r="W230" s="48"/>
      <c r="X230" s="50"/>
      <c r="Y230" s="51"/>
      <c r="Z230" s="52"/>
      <c r="AA230" s="53"/>
      <c r="AB230" s="54" t="str">
        <f t="shared" si="45"/>
        <v/>
      </c>
      <c r="AC230" s="49" t="str">
        <f t="shared" si="46"/>
        <v/>
      </c>
      <c r="AD230" s="55" t="str">
        <f t="shared" si="47"/>
        <v/>
      </c>
      <c r="AE230" s="56">
        <f t="shared" si="48"/>
        <v>0</v>
      </c>
      <c r="AF230" s="56">
        <f t="shared" si="49"/>
        <v>0</v>
      </c>
      <c r="AG230" s="59">
        <f t="shared" si="50"/>
        <v>0</v>
      </c>
      <c r="AH230" s="48"/>
      <c r="AJ230" s="48"/>
      <c r="AL230" s="48"/>
      <c r="AM230" s="48" t="str">
        <f t="shared" si="51"/>
        <v/>
      </c>
    </row>
    <row r="231" spans="1:39" s="57" customFormat="1" ht="14">
      <c r="A231" s="45"/>
      <c r="B231" s="46"/>
      <c r="C231" s="47">
        <f>IF(B231&lt;&gt;"",VLOOKUP(B231,'Tipo Projeto'!$A$3:$B$35,2,0),0)</f>
        <v>0</v>
      </c>
      <c r="D231" s="48"/>
      <c r="E231" s="48"/>
      <c r="F231" s="49"/>
      <c r="G231" s="204"/>
      <c r="H231" s="50"/>
      <c r="I231" s="51"/>
      <c r="J231" s="52"/>
      <c r="K231" s="53"/>
      <c r="L231" s="54" t="str">
        <f t="shared" si="39"/>
        <v/>
      </c>
      <c r="M231" s="49" t="str">
        <f t="shared" si="40"/>
        <v/>
      </c>
      <c r="N231" s="55" t="str">
        <f t="shared" si="41"/>
        <v/>
      </c>
      <c r="O231" s="56">
        <f t="shared" si="42"/>
        <v>0</v>
      </c>
      <c r="P231" s="56">
        <f t="shared" si="43"/>
        <v>0</v>
      </c>
      <c r="Q231" s="55">
        <f t="shared" si="44"/>
        <v>0</v>
      </c>
      <c r="R231" s="48"/>
      <c r="T231" s="58"/>
      <c r="U231" s="46"/>
      <c r="V231" s="47">
        <f>IF(U231&lt;&gt;"",VLOOKUP(U231,'Tipo Projeto'!$A$3:$B$35,2,0),0)</f>
        <v>0</v>
      </c>
      <c r="W231" s="48"/>
      <c r="X231" s="50"/>
      <c r="Y231" s="51"/>
      <c r="Z231" s="52"/>
      <c r="AA231" s="53"/>
      <c r="AB231" s="54" t="str">
        <f t="shared" si="45"/>
        <v/>
      </c>
      <c r="AC231" s="49" t="str">
        <f t="shared" si="46"/>
        <v/>
      </c>
      <c r="AD231" s="55" t="str">
        <f t="shared" si="47"/>
        <v/>
      </c>
      <c r="AE231" s="56">
        <f t="shared" si="48"/>
        <v>0</v>
      </c>
      <c r="AF231" s="56">
        <f t="shared" si="49"/>
        <v>0</v>
      </c>
      <c r="AG231" s="59">
        <f t="shared" si="50"/>
        <v>0</v>
      </c>
      <c r="AH231" s="48"/>
      <c r="AJ231" s="48"/>
      <c r="AL231" s="48"/>
      <c r="AM231" s="48" t="str">
        <f t="shared" si="51"/>
        <v/>
      </c>
    </row>
    <row r="232" spans="1:39" s="57" customFormat="1" ht="14">
      <c r="A232" s="45"/>
      <c r="B232" s="46"/>
      <c r="C232" s="47">
        <f>IF(B232&lt;&gt;"",VLOOKUP(B232,'Tipo Projeto'!$A$3:$B$35,2,0),0)</f>
        <v>0</v>
      </c>
      <c r="D232" s="48"/>
      <c r="E232" s="48"/>
      <c r="F232" s="49"/>
      <c r="G232" s="204"/>
      <c r="H232" s="50"/>
      <c r="I232" s="51"/>
      <c r="J232" s="52"/>
      <c r="K232" s="53"/>
      <c r="L232" s="54" t="str">
        <f t="shared" si="39"/>
        <v/>
      </c>
      <c r="M232" s="49" t="str">
        <f t="shared" si="40"/>
        <v/>
      </c>
      <c r="N232" s="55" t="str">
        <f t="shared" si="41"/>
        <v/>
      </c>
      <c r="O232" s="56">
        <f t="shared" si="42"/>
        <v>0</v>
      </c>
      <c r="P232" s="56">
        <f t="shared" si="43"/>
        <v>0</v>
      </c>
      <c r="Q232" s="55">
        <f t="shared" si="44"/>
        <v>0</v>
      </c>
      <c r="R232" s="48"/>
      <c r="T232" s="58"/>
      <c r="U232" s="46"/>
      <c r="V232" s="47">
        <f>IF(U232&lt;&gt;"",VLOOKUP(U232,'Tipo Projeto'!$A$3:$B$35,2,0),0)</f>
        <v>0</v>
      </c>
      <c r="W232" s="48"/>
      <c r="X232" s="50"/>
      <c r="Y232" s="51"/>
      <c r="Z232" s="52"/>
      <c r="AA232" s="53"/>
      <c r="AB232" s="54" t="str">
        <f t="shared" si="45"/>
        <v/>
      </c>
      <c r="AC232" s="49" t="str">
        <f t="shared" si="46"/>
        <v/>
      </c>
      <c r="AD232" s="55" t="str">
        <f t="shared" si="47"/>
        <v/>
      </c>
      <c r="AE232" s="56">
        <f t="shared" si="48"/>
        <v>0</v>
      </c>
      <c r="AF232" s="56">
        <f t="shared" si="49"/>
        <v>0</v>
      </c>
      <c r="AG232" s="59">
        <f t="shared" si="50"/>
        <v>0</v>
      </c>
      <c r="AH232" s="48"/>
      <c r="AJ232" s="48"/>
      <c r="AL232" s="48"/>
      <c r="AM232" s="48" t="str">
        <f t="shared" si="51"/>
        <v/>
      </c>
    </row>
    <row r="233" spans="1:39" s="57" customFormat="1" ht="14">
      <c r="A233" s="45"/>
      <c r="B233" s="46"/>
      <c r="C233" s="47">
        <f>IF(B233&lt;&gt;"",VLOOKUP(B233,'Tipo Projeto'!$A$3:$B$35,2,0),0)</f>
        <v>0</v>
      </c>
      <c r="D233" s="48"/>
      <c r="E233" s="48"/>
      <c r="F233" s="49"/>
      <c r="G233" s="204"/>
      <c r="H233" s="50"/>
      <c r="I233" s="51"/>
      <c r="J233" s="52"/>
      <c r="K233" s="53"/>
      <c r="L233" s="54" t="str">
        <f t="shared" si="39"/>
        <v/>
      </c>
      <c r="M233" s="49" t="str">
        <f t="shared" si="40"/>
        <v/>
      </c>
      <c r="N233" s="55" t="str">
        <f t="shared" si="41"/>
        <v/>
      </c>
      <c r="O233" s="56">
        <f t="shared" si="42"/>
        <v>0</v>
      </c>
      <c r="P233" s="56">
        <f t="shared" si="43"/>
        <v>0</v>
      </c>
      <c r="Q233" s="55">
        <f t="shared" si="44"/>
        <v>0</v>
      </c>
      <c r="R233" s="48"/>
      <c r="T233" s="58"/>
      <c r="U233" s="46"/>
      <c r="V233" s="47">
        <f>IF(U233&lt;&gt;"",VLOOKUP(U233,'Tipo Projeto'!$A$3:$B$35,2,0),0)</f>
        <v>0</v>
      </c>
      <c r="W233" s="48"/>
      <c r="X233" s="50"/>
      <c r="Y233" s="51"/>
      <c r="Z233" s="52"/>
      <c r="AA233" s="53"/>
      <c r="AB233" s="54" t="str">
        <f t="shared" si="45"/>
        <v/>
      </c>
      <c r="AC233" s="49" t="str">
        <f t="shared" si="46"/>
        <v/>
      </c>
      <c r="AD233" s="55" t="str">
        <f t="shared" si="47"/>
        <v/>
      </c>
      <c r="AE233" s="56">
        <f t="shared" si="48"/>
        <v>0</v>
      </c>
      <c r="AF233" s="56">
        <f t="shared" si="49"/>
        <v>0</v>
      </c>
      <c r="AG233" s="59">
        <f t="shared" si="50"/>
        <v>0</v>
      </c>
      <c r="AH233" s="48"/>
      <c r="AJ233" s="48"/>
      <c r="AL233" s="48"/>
      <c r="AM233" s="48" t="str">
        <f t="shared" si="51"/>
        <v/>
      </c>
    </row>
    <row r="234" spans="1:39" s="57" customFormat="1" ht="14">
      <c r="A234" s="45"/>
      <c r="B234" s="46"/>
      <c r="C234" s="47">
        <f>IF(B234&lt;&gt;"",VLOOKUP(B234,'Tipo Projeto'!$A$3:$B$35,2,0),0)</f>
        <v>0</v>
      </c>
      <c r="D234" s="48"/>
      <c r="E234" s="48"/>
      <c r="F234" s="49"/>
      <c r="G234" s="204"/>
      <c r="H234" s="50"/>
      <c r="I234" s="51"/>
      <c r="J234" s="52"/>
      <c r="K234" s="53"/>
      <c r="L234" s="54" t="str">
        <f t="shared" si="39"/>
        <v/>
      </c>
      <c r="M234" s="49" t="str">
        <f t="shared" si="40"/>
        <v/>
      </c>
      <c r="N234" s="55" t="str">
        <f t="shared" si="41"/>
        <v/>
      </c>
      <c r="O234" s="56">
        <f t="shared" si="42"/>
        <v>0</v>
      </c>
      <c r="P234" s="56">
        <f t="shared" si="43"/>
        <v>0</v>
      </c>
      <c r="Q234" s="55">
        <f t="shared" si="44"/>
        <v>0</v>
      </c>
      <c r="R234" s="48"/>
      <c r="T234" s="58"/>
      <c r="U234" s="46"/>
      <c r="V234" s="47">
        <f>IF(U234&lt;&gt;"",VLOOKUP(U234,'Tipo Projeto'!$A$3:$B$35,2,0),0)</f>
        <v>0</v>
      </c>
      <c r="W234" s="48"/>
      <c r="X234" s="50"/>
      <c r="Y234" s="51"/>
      <c r="Z234" s="52"/>
      <c r="AA234" s="53"/>
      <c r="AB234" s="54" t="str">
        <f t="shared" si="45"/>
        <v/>
      </c>
      <c r="AC234" s="49" t="str">
        <f t="shared" si="46"/>
        <v/>
      </c>
      <c r="AD234" s="55" t="str">
        <f t="shared" si="47"/>
        <v/>
      </c>
      <c r="AE234" s="56">
        <f t="shared" si="48"/>
        <v>0</v>
      </c>
      <c r="AF234" s="56">
        <f t="shared" si="49"/>
        <v>0</v>
      </c>
      <c r="AG234" s="59">
        <f t="shared" si="50"/>
        <v>0</v>
      </c>
      <c r="AH234" s="48"/>
      <c r="AJ234" s="48"/>
      <c r="AL234" s="48"/>
      <c r="AM234" s="48" t="str">
        <f t="shared" si="51"/>
        <v/>
      </c>
    </row>
    <row r="235" spans="1:39" s="57" customFormat="1" ht="14">
      <c r="A235" s="45"/>
      <c r="B235" s="46"/>
      <c r="C235" s="47">
        <f>IF(B235&lt;&gt;"",VLOOKUP(B235,'Tipo Projeto'!$A$3:$B$35,2,0),0)</f>
        <v>0</v>
      </c>
      <c r="D235" s="48"/>
      <c r="E235" s="48"/>
      <c r="F235" s="49"/>
      <c r="G235" s="204"/>
      <c r="H235" s="50"/>
      <c r="I235" s="51"/>
      <c r="J235" s="52"/>
      <c r="K235" s="53"/>
      <c r="L235" s="54" t="str">
        <f t="shared" si="39"/>
        <v/>
      </c>
      <c r="M235" s="49" t="str">
        <f t="shared" si="40"/>
        <v/>
      </c>
      <c r="N235" s="55" t="str">
        <f t="shared" si="41"/>
        <v/>
      </c>
      <c r="O235" s="56">
        <f t="shared" si="42"/>
        <v>0</v>
      </c>
      <c r="P235" s="56">
        <f t="shared" si="43"/>
        <v>0</v>
      </c>
      <c r="Q235" s="55">
        <f t="shared" si="44"/>
        <v>0</v>
      </c>
      <c r="R235" s="48"/>
      <c r="T235" s="58"/>
      <c r="U235" s="46"/>
      <c r="V235" s="47">
        <f>IF(U235&lt;&gt;"",VLOOKUP(U235,'Tipo Projeto'!$A$3:$B$35,2,0),0)</f>
        <v>0</v>
      </c>
      <c r="W235" s="48"/>
      <c r="X235" s="50"/>
      <c r="Y235" s="51"/>
      <c r="Z235" s="52"/>
      <c r="AA235" s="53"/>
      <c r="AB235" s="54" t="str">
        <f t="shared" si="45"/>
        <v/>
      </c>
      <c r="AC235" s="49" t="str">
        <f t="shared" si="46"/>
        <v/>
      </c>
      <c r="AD235" s="55" t="str">
        <f t="shared" si="47"/>
        <v/>
      </c>
      <c r="AE235" s="56">
        <f t="shared" si="48"/>
        <v>0</v>
      </c>
      <c r="AF235" s="56">
        <f t="shared" si="49"/>
        <v>0</v>
      </c>
      <c r="AG235" s="59">
        <f t="shared" si="50"/>
        <v>0</v>
      </c>
      <c r="AH235" s="48"/>
      <c r="AJ235" s="48"/>
      <c r="AL235" s="48"/>
      <c r="AM235" s="48" t="str">
        <f t="shared" si="51"/>
        <v/>
      </c>
    </row>
    <row r="236" spans="1:39" s="57" customFormat="1" ht="14">
      <c r="A236" s="45"/>
      <c r="B236" s="46"/>
      <c r="C236" s="47">
        <f>IF(B236&lt;&gt;"",VLOOKUP(B236,'Tipo Projeto'!$A$3:$B$35,2,0),0)</f>
        <v>0</v>
      </c>
      <c r="D236" s="48"/>
      <c r="E236" s="48"/>
      <c r="F236" s="49"/>
      <c r="G236" s="204"/>
      <c r="H236" s="50"/>
      <c r="I236" s="51"/>
      <c r="J236" s="52"/>
      <c r="K236" s="53"/>
      <c r="L236" s="54" t="str">
        <f t="shared" si="39"/>
        <v/>
      </c>
      <c r="M236" s="49" t="str">
        <f t="shared" si="40"/>
        <v/>
      </c>
      <c r="N236" s="55" t="str">
        <f t="shared" si="41"/>
        <v/>
      </c>
      <c r="O236" s="56">
        <f t="shared" si="42"/>
        <v>0</v>
      </c>
      <c r="P236" s="56">
        <f t="shared" si="43"/>
        <v>0</v>
      </c>
      <c r="Q236" s="55">
        <f t="shared" si="44"/>
        <v>0</v>
      </c>
      <c r="R236" s="48"/>
      <c r="T236" s="58"/>
      <c r="U236" s="46"/>
      <c r="V236" s="47">
        <f>IF(U236&lt;&gt;"",VLOOKUP(U236,'Tipo Projeto'!$A$3:$B$35,2,0),0)</f>
        <v>0</v>
      </c>
      <c r="W236" s="48"/>
      <c r="X236" s="50"/>
      <c r="Y236" s="51"/>
      <c r="Z236" s="52"/>
      <c r="AA236" s="53"/>
      <c r="AB236" s="54" t="str">
        <f t="shared" si="45"/>
        <v/>
      </c>
      <c r="AC236" s="49" t="str">
        <f t="shared" si="46"/>
        <v/>
      </c>
      <c r="AD236" s="55" t="str">
        <f t="shared" si="47"/>
        <v/>
      </c>
      <c r="AE236" s="56">
        <f t="shared" si="48"/>
        <v>0</v>
      </c>
      <c r="AF236" s="56">
        <f t="shared" si="49"/>
        <v>0</v>
      </c>
      <c r="AG236" s="59">
        <f t="shared" si="50"/>
        <v>0</v>
      </c>
      <c r="AH236" s="48"/>
      <c r="AJ236" s="48"/>
      <c r="AL236" s="48"/>
      <c r="AM236" s="48" t="str">
        <f t="shared" si="51"/>
        <v/>
      </c>
    </row>
    <row r="237" spans="1:39" s="57" customFormat="1" ht="14">
      <c r="A237" s="45"/>
      <c r="B237" s="46"/>
      <c r="C237" s="47">
        <f>IF(B237&lt;&gt;"",VLOOKUP(B237,'Tipo Projeto'!$A$3:$B$35,2,0),0)</f>
        <v>0</v>
      </c>
      <c r="D237" s="48"/>
      <c r="E237" s="48"/>
      <c r="F237" s="49"/>
      <c r="G237" s="204"/>
      <c r="H237" s="50"/>
      <c r="I237" s="51"/>
      <c r="J237" s="52"/>
      <c r="K237" s="53"/>
      <c r="L237" s="54" t="str">
        <f t="shared" si="39"/>
        <v/>
      </c>
      <c r="M237" s="49" t="str">
        <f t="shared" si="40"/>
        <v/>
      </c>
      <c r="N237" s="55" t="str">
        <f t="shared" si="41"/>
        <v/>
      </c>
      <c r="O237" s="56">
        <f t="shared" si="42"/>
        <v>0</v>
      </c>
      <c r="P237" s="56">
        <f t="shared" si="43"/>
        <v>0</v>
      </c>
      <c r="Q237" s="55">
        <f t="shared" si="44"/>
        <v>0</v>
      </c>
      <c r="R237" s="48"/>
      <c r="T237" s="58"/>
      <c r="U237" s="46"/>
      <c r="V237" s="47">
        <f>IF(U237&lt;&gt;"",VLOOKUP(U237,'Tipo Projeto'!$A$3:$B$35,2,0),0)</f>
        <v>0</v>
      </c>
      <c r="W237" s="48"/>
      <c r="X237" s="50"/>
      <c r="Y237" s="51"/>
      <c r="Z237" s="52"/>
      <c r="AA237" s="53"/>
      <c r="AB237" s="54" t="str">
        <f t="shared" si="45"/>
        <v/>
      </c>
      <c r="AC237" s="49" t="str">
        <f t="shared" si="46"/>
        <v/>
      </c>
      <c r="AD237" s="55" t="str">
        <f t="shared" si="47"/>
        <v/>
      </c>
      <c r="AE237" s="56">
        <f t="shared" si="48"/>
        <v>0</v>
      </c>
      <c r="AF237" s="56">
        <f t="shared" si="49"/>
        <v>0</v>
      </c>
      <c r="AG237" s="59">
        <f t="shared" si="50"/>
        <v>0</v>
      </c>
      <c r="AH237" s="48"/>
      <c r="AJ237" s="48"/>
      <c r="AL237" s="48"/>
      <c r="AM237" s="48" t="str">
        <f t="shared" si="51"/>
        <v/>
      </c>
    </row>
    <row r="238" spans="1:39" s="57" customFormat="1" ht="14">
      <c r="A238" s="45"/>
      <c r="B238" s="46"/>
      <c r="C238" s="47">
        <f>IF(B238&lt;&gt;"",VLOOKUP(B238,'Tipo Projeto'!$A$3:$B$35,2,0),0)</f>
        <v>0</v>
      </c>
      <c r="D238" s="48"/>
      <c r="E238" s="48"/>
      <c r="F238" s="49"/>
      <c r="G238" s="204"/>
      <c r="H238" s="50"/>
      <c r="I238" s="51"/>
      <c r="J238" s="52"/>
      <c r="K238" s="53"/>
      <c r="L238" s="54" t="str">
        <f t="shared" si="39"/>
        <v/>
      </c>
      <c r="M238" s="49" t="str">
        <f t="shared" si="40"/>
        <v/>
      </c>
      <c r="N238" s="55" t="str">
        <f t="shared" si="41"/>
        <v/>
      </c>
      <c r="O238" s="56">
        <f t="shared" si="42"/>
        <v>0</v>
      </c>
      <c r="P238" s="56">
        <f t="shared" si="43"/>
        <v>0</v>
      </c>
      <c r="Q238" s="55">
        <f t="shared" si="44"/>
        <v>0</v>
      </c>
      <c r="R238" s="48"/>
      <c r="T238" s="58"/>
      <c r="U238" s="46"/>
      <c r="V238" s="47">
        <f>IF(U238&lt;&gt;"",VLOOKUP(U238,'Tipo Projeto'!$A$3:$B$35,2,0),0)</f>
        <v>0</v>
      </c>
      <c r="W238" s="48"/>
      <c r="X238" s="50"/>
      <c r="Y238" s="51"/>
      <c r="Z238" s="52"/>
      <c r="AA238" s="53"/>
      <c r="AB238" s="54" t="str">
        <f t="shared" si="45"/>
        <v/>
      </c>
      <c r="AC238" s="49" t="str">
        <f t="shared" si="46"/>
        <v/>
      </c>
      <c r="AD238" s="55" t="str">
        <f t="shared" si="47"/>
        <v/>
      </c>
      <c r="AE238" s="56">
        <f t="shared" si="48"/>
        <v>0</v>
      </c>
      <c r="AF238" s="56">
        <f t="shared" si="49"/>
        <v>0</v>
      </c>
      <c r="AG238" s="59">
        <f t="shared" si="50"/>
        <v>0</v>
      </c>
      <c r="AH238" s="48"/>
      <c r="AJ238" s="48"/>
      <c r="AL238" s="48"/>
      <c r="AM238" s="48" t="str">
        <f t="shared" si="51"/>
        <v/>
      </c>
    </row>
    <row r="239" spans="1:39" s="57" customFormat="1" ht="14">
      <c r="A239" s="45"/>
      <c r="B239" s="46"/>
      <c r="C239" s="47">
        <f>IF(B239&lt;&gt;"",VLOOKUP(B239,'Tipo Projeto'!$A$3:$B$35,2,0),0)</f>
        <v>0</v>
      </c>
      <c r="D239" s="48"/>
      <c r="E239" s="48"/>
      <c r="F239" s="49"/>
      <c r="G239" s="204"/>
      <c r="H239" s="50"/>
      <c r="I239" s="51"/>
      <c r="J239" s="52"/>
      <c r="K239" s="53"/>
      <c r="L239" s="54" t="str">
        <f t="shared" si="39"/>
        <v/>
      </c>
      <c r="M239" s="49" t="str">
        <f t="shared" si="40"/>
        <v/>
      </c>
      <c r="N239" s="55" t="str">
        <f t="shared" si="41"/>
        <v/>
      </c>
      <c r="O239" s="56">
        <f t="shared" si="42"/>
        <v>0</v>
      </c>
      <c r="P239" s="56">
        <f t="shared" si="43"/>
        <v>0</v>
      </c>
      <c r="Q239" s="55">
        <f t="shared" si="44"/>
        <v>0</v>
      </c>
      <c r="R239" s="48"/>
      <c r="T239" s="58"/>
      <c r="U239" s="46"/>
      <c r="V239" s="47">
        <f>IF(U239&lt;&gt;"",VLOOKUP(U239,'Tipo Projeto'!$A$3:$B$35,2,0),0)</f>
        <v>0</v>
      </c>
      <c r="W239" s="48"/>
      <c r="X239" s="50"/>
      <c r="Y239" s="51"/>
      <c r="Z239" s="52"/>
      <c r="AA239" s="53"/>
      <c r="AB239" s="54" t="str">
        <f t="shared" si="45"/>
        <v/>
      </c>
      <c r="AC239" s="49" t="str">
        <f t="shared" si="46"/>
        <v/>
      </c>
      <c r="AD239" s="55" t="str">
        <f t="shared" si="47"/>
        <v/>
      </c>
      <c r="AE239" s="56">
        <f t="shared" si="48"/>
        <v>0</v>
      </c>
      <c r="AF239" s="56">
        <f t="shared" si="49"/>
        <v>0</v>
      </c>
      <c r="AG239" s="59">
        <f t="shared" si="50"/>
        <v>0</v>
      </c>
      <c r="AH239" s="48"/>
      <c r="AJ239" s="48"/>
      <c r="AL239" s="48"/>
      <c r="AM239" s="48" t="str">
        <f t="shared" si="51"/>
        <v/>
      </c>
    </row>
    <row r="240" spans="1:39" s="57" customFormat="1" ht="14">
      <c r="A240" s="45"/>
      <c r="B240" s="46"/>
      <c r="C240" s="47">
        <f>IF(B240&lt;&gt;"",VLOOKUP(B240,'Tipo Projeto'!$A$3:$B$35,2,0),0)</f>
        <v>0</v>
      </c>
      <c r="D240" s="48"/>
      <c r="E240" s="48"/>
      <c r="F240" s="49"/>
      <c r="G240" s="204"/>
      <c r="H240" s="50"/>
      <c r="I240" s="51"/>
      <c r="J240" s="52"/>
      <c r="K240" s="53"/>
      <c r="L240" s="54" t="str">
        <f t="shared" si="39"/>
        <v/>
      </c>
      <c r="M240" s="49" t="str">
        <f t="shared" si="40"/>
        <v/>
      </c>
      <c r="N240" s="55" t="str">
        <f t="shared" si="41"/>
        <v/>
      </c>
      <c r="O240" s="56">
        <f t="shared" si="42"/>
        <v>0</v>
      </c>
      <c r="P240" s="56">
        <f t="shared" si="43"/>
        <v>0</v>
      </c>
      <c r="Q240" s="55">
        <f t="shared" si="44"/>
        <v>0</v>
      </c>
      <c r="R240" s="48"/>
      <c r="T240" s="58"/>
      <c r="U240" s="46"/>
      <c r="V240" s="47">
        <f>IF(U240&lt;&gt;"",VLOOKUP(U240,'Tipo Projeto'!$A$3:$B$35,2,0),0)</f>
        <v>0</v>
      </c>
      <c r="W240" s="48"/>
      <c r="X240" s="50"/>
      <c r="Y240" s="51"/>
      <c r="Z240" s="52"/>
      <c r="AA240" s="53"/>
      <c r="AB240" s="54" t="str">
        <f t="shared" si="45"/>
        <v/>
      </c>
      <c r="AC240" s="49" t="str">
        <f t="shared" si="46"/>
        <v/>
      </c>
      <c r="AD240" s="55" t="str">
        <f t="shared" si="47"/>
        <v/>
      </c>
      <c r="AE240" s="56">
        <f t="shared" si="48"/>
        <v>0</v>
      </c>
      <c r="AF240" s="56">
        <f t="shared" si="49"/>
        <v>0</v>
      </c>
      <c r="AG240" s="59">
        <f t="shared" si="50"/>
        <v>0</v>
      </c>
      <c r="AH240" s="48"/>
      <c r="AJ240" s="48"/>
      <c r="AL240" s="48"/>
      <c r="AM240" s="48" t="str">
        <f t="shared" si="51"/>
        <v/>
      </c>
    </row>
    <row r="241" spans="1:39" s="57" customFormat="1" ht="14">
      <c r="A241" s="45"/>
      <c r="B241" s="46"/>
      <c r="C241" s="47">
        <f>IF(B241&lt;&gt;"",VLOOKUP(B241,'Tipo Projeto'!$A$3:$B$35,2,0),0)</f>
        <v>0</v>
      </c>
      <c r="D241" s="48"/>
      <c r="E241" s="48"/>
      <c r="F241" s="49"/>
      <c r="G241" s="204"/>
      <c r="H241" s="50"/>
      <c r="I241" s="51"/>
      <c r="J241" s="52"/>
      <c r="K241" s="53"/>
      <c r="L241" s="54" t="str">
        <f t="shared" si="39"/>
        <v/>
      </c>
      <c r="M241" s="49" t="str">
        <f t="shared" si="40"/>
        <v/>
      </c>
      <c r="N241" s="55" t="str">
        <f t="shared" si="41"/>
        <v/>
      </c>
      <c r="O241" s="56">
        <f t="shared" si="42"/>
        <v>0</v>
      </c>
      <c r="P241" s="56">
        <f t="shared" si="43"/>
        <v>0</v>
      </c>
      <c r="Q241" s="55">
        <f t="shared" si="44"/>
        <v>0</v>
      </c>
      <c r="R241" s="48"/>
      <c r="T241" s="58"/>
      <c r="U241" s="46"/>
      <c r="V241" s="47">
        <f>IF(U241&lt;&gt;"",VLOOKUP(U241,'Tipo Projeto'!$A$3:$B$35,2,0),0)</f>
        <v>0</v>
      </c>
      <c r="W241" s="48"/>
      <c r="X241" s="50"/>
      <c r="Y241" s="51"/>
      <c r="Z241" s="52"/>
      <c r="AA241" s="53"/>
      <c r="AB241" s="54" t="str">
        <f t="shared" si="45"/>
        <v/>
      </c>
      <c r="AC241" s="49" t="str">
        <f t="shared" si="46"/>
        <v/>
      </c>
      <c r="AD241" s="55" t="str">
        <f t="shared" si="47"/>
        <v/>
      </c>
      <c r="AE241" s="56">
        <f t="shared" si="48"/>
        <v>0</v>
      </c>
      <c r="AF241" s="56">
        <f t="shared" si="49"/>
        <v>0</v>
      </c>
      <c r="AG241" s="59">
        <f t="shared" si="50"/>
        <v>0</v>
      </c>
      <c r="AH241" s="48"/>
      <c r="AJ241" s="48"/>
      <c r="AL241" s="48"/>
      <c r="AM241" s="48" t="str">
        <f t="shared" si="51"/>
        <v/>
      </c>
    </row>
    <row r="242" spans="1:39" s="57" customFormat="1" ht="14">
      <c r="A242" s="45"/>
      <c r="B242" s="46"/>
      <c r="C242" s="47">
        <f>IF(B242&lt;&gt;"",VLOOKUP(B242,'Tipo Projeto'!$A$3:$B$35,2,0),0)</f>
        <v>0</v>
      </c>
      <c r="D242" s="48"/>
      <c r="E242" s="48"/>
      <c r="F242" s="49"/>
      <c r="G242" s="204"/>
      <c r="H242" s="50"/>
      <c r="I242" s="51"/>
      <c r="J242" s="52"/>
      <c r="K242" s="53"/>
      <c r="L242" s="54" t="str">
        <f t="shared" si="39"/>
        <v/>
      </c>
      <c r="M242" s="49" t="str">
        <f t="shared" si="40"/>
        <v/>
      </c>
      <c r="N242" s="55" t="str">
        <f t="shared" si="41"/>
        <v/>
      </c>
      <c r="O242" s="56">
        <f t="shared" si="42"/>
        <v>0</v>
      </c>
      <c r="P242" s="56">
        <f t="shared" si="43"/>
        <v>0</v>
      </c>
      <c r="Q242" s="55">
        <f t="shared" si="44"/>
        <v>0</v>
      </c>
      <c r="R242" s="48"/>
      <c r="T242" s="58"/>
      <c r="U242" s="46"/>
      <c r="V242" s="47">
        <f>IF(U242&lt;&gt;"",VLOOKUP(U242,'Tipo Projeto'!$A$3:$B$35,2,0),0)</f>
        <v>0</v>
      </c>
      <c r="W242" s="48"/>
      <c r="X242" s="50"/>
      <c r="Y242" s="51"/>
      <c r="Z242" s="52"/>
      <c r="AA242" s="53"/>
      <c r="AB242" s="54" t="str">
        <f t="shared" si="45"/>
        <v/>
      </c>
      <c r="AC242" s="49" t="str">
        <f t="shared" si="46"/>
        <v/>
      </c>
      <c r="AD242" s="55" t="str">
        <f t="shared" si="47"/>
        <v/>
      </c>
      <c r="AE242" s="56">
        <f t="shared" si="48"/>
        <v>0</v>
      </c>
      <c r="AF242" s="56">
        <f t="shared" si="49"/>
        <v>0</v>
      </c>
      <c r="AG242" s="59">
        <f t="shared" si="50"/>
        <v>0</v>
      </c>
      <c r="AH242" s="48"/>
      <c r="AJ242" s="48"/>
      <c r="AL242" s="48"/>
      <c r="AM242" s="48" t="str">
        <f t="shared" si="51"/>
        <v/>
      </c>
    </row>
    <row r="243" spans="1:39" s="57" customFormat="1" ht="14">
      <c r="A243" s="45"/>
      <c r="B243" s="46"/>
      <c r="C243" s="47">
        <f>IF(B243&lt;&gt;"",VLOOKUP(B243,'Tipo Projeto'!$A$3:$B$35,2,0),0)</f>
        <v>0</v>
      </c>
      <c r="D243" s="48"/>
      <c r="E243" s="48"/>
      <c r="F243" s="49"/>
      <c r="G243" s="204"/>
      <c r="H243" s="50"/>
      <c r="I243" s="51"/>
      <c r="J243" s="52"/>
      <c r="K243" s="53"/>
      <c r="L243" s="54" t="str">
        <f t="shared" si="39"/>
        <v/>
      </c>
      <c r="M243" s="49" t="str">
        <f t="shared" si="40"/>
        <v/>
      </c>
      <c r="N243" s="55" t="str">
        <f t="shared" si="41"/>
        <v/>
      </c>
      <c r="O243" s="56">
        <f t="shared" si="42"/>
        <v>0</v>
      </c>
      <c r="P243" s="56">
        <f t="shared" si="43"/>
        <v>0</v>
      </c>
      <c r="Q243" s="55">
        <f t="shared" si="44"/>
        <v>0</v>
      </c>
      <c r="R243" s="48"/>
      <c r="T243" s="58"/>
      <c r="U243" s="46"/>
      <c r="V243" s="47">
        <f>IF(U243&lt;&gt;"",VLOOKUP(U243,'Tipo Projeto'!$A$3:$B$35,2,0),0)</f>
        <v>0</v>
      </c>
      <c r="W243" s="48"/>
      <c r="X243" s="50"/>
      <c r="Y243" s="51"/>
      <c r="Z243" s="52"/>
      <c r="AA243" s="53"/>
      <c r="AB243" s="54" t="str">
        <f t="shared" si="45"/>
        <v/>
      </c>
      <c r="AC243" s="49" t="str">
        <f t="shared" si="46"/>
        <v/>
      </c>
      <c r="AD243" s="55" t="str">
        <f t="shared" si="47"/>
        <v/>
      </c>
      <c r="AE243" s="56">
        <f t="shared" si="48"/>
        <v>0</v>
      </c>
      <c r="AF243" s="56">
        <f t="shared" si="49"/>
        <v>0</v>
      </c>
      <c r="AG243" s="59">
        <f t="shared" si="50"/>
        <v>0</v>
      </c>
      <c r="AH243" s="48"/>
      <c r="AJ243" s="48"/>
      <c r="AL243" s="48"/>
      <c r="AM243" s="48" t="str">
        <f t="shared" si="51"/>
        <v/>
      </c>
    </row>
    <row r="244" spans="1:39" s="57" customFormat="1" ht="14">
      <c r="A244" s="45"/>
      <c r="B244" s="46"/>
      <c r="C244" s="47">
        <f>IF(B244&lt;&gt;"",VLOOKUP(B244,'Tipo Projeto'!$A$3:$B$35,2,0),0)</f>
        <v>0</v>
      </c>
      <c r="D244" s="48"/>
      <c r="E244" s="48"/>
      <c r="F244" s="49"/>
      <c r="G244" s="204"/>
      <c r="H244" s="50"/>
      <c r="I244" s="51"/>
      <c r="J244" s="52"/>
      <c r="K244" s="53"/>
      <c r="L244" s="54" t="str">
        <f t="shared" si="39"/>
        <v/>
      </c>
      <c r="M244" s="49" t="str">
        <f t="shared" si="40"/>
        <v/>
      </c>
      <c r="N244" s="55" t="str">
        <f t="shared" si="41"/>
        <v/>
      </c>
      <c r="O244" s="56">
        <f t="shared" si="42"/>
        <v>0</v>
      </c>
      <c r="P244" s="56">
        <f t="shared" si="43"/>
        <v>0</v>
      </c>
      <c r="Q244" s="55">
        <f t="shared" si="44"/>
        <v>0</v>
      </c>
      <c r="R244" s="48"/>
      <c r="T244" s="58"/>
      <c r="U244" s="46"/>
      <c r="V244" s="47">
        <f>IF(U244&lt;&gt;"",VLOOKUP(U244,'Tipo Projeto'!$A$3:$B$35,2,0),0)</f>
        <v>0</v>
      </c>
      <c r="W244" s="48"/>
      <c r="X244" s="50"/>
      <c r="Y244" s="51"/>
      <c r="Z244" s="52"/>
      <c r="AA244" s="53"/>
      <c r="AB244" s="54" t="str">
        <f t="shared" si="45"/>
        <v/>
      </c>
      <c r="AC244" s="49" t="str">
        <f t="shared" si="46"/>
        <v/>
      </c>
      <c r="AD244" s="55" t="str">
        <f t="shared" si="47"/>
        <v/>
      </c>
      <c r="AE244" s="56">
        <f t="shared" si="48"/>
        <v>0</v>
      </c>
      <c r="AF244" s="56">
        <f t="shared" si="49"/>
        <v>0</v>
      </c>
      <c r="AG244" s="59">
        <f t="shared" si="50"/>
        <v>0</v>
      </c>
      <c r="AH244" s="48"/>
      <c r="AJ244" s="48"/>
      <c r="AL244" s="48"/>
      <c r="AM244" s="48" t="str">
        <f t="shared" si="51"/>
        <v/>
      </c>
    </row>
    <row r="245" spans="1:39" s="57" customFormat="1" ht="14">
      <c r="A245" s="45"/>
      <c r="B245" s="46"/>
      <c r="C245" s="47">
        <f>IF(B245&lt;&gt;"",VLOOKUP(B245,'Tipo Projeto'!$A$3:$B$35,2,0),0)</f>
        <v>0</v>
      </c>
      <c r="D245" s="48"/>
      <c r="E245" s="48"/>
      <c r="F245" s="49"/>
      <c r="G245" s="204"/>
      <c r="H245" s="50"/>
      <c r="I245" s="51"/>
      <c r="J245" s="52"/>
      <c r="K245" s="53"/>
      <c r="L245" s="54" t="str">
        <f t="shared" si="39"/>
        <v/>
      </c>
      <c r="M245" s="49" t="str">
        <f t="shared" si="40"/>
        <v/>
      </c>
      <c r="N245" s="55" t="str">
        <f t="shared" si="41"/>
        <v/>
      </c>
      <c r="O245" s="56">
        <f t="shared" si="42"/>
        <v>0</v>
      </c>
      <c r="P245" s="56">
        <f t="shared" si="43"/>
        <v>0</v>
      </c>
      <c r="Q245" s="55">
        <f t="shared" si="44"/>
        <v>0</v>
      </c>
      <c r="R245" s="48"/>
      <c r="T245" s="58"/>
      <c r="U245" s="46"/>
      <c r="V245" s="47">
        <f>IF(U245&lt;&gt;"",VLOOKUP(U245,'Tipo Projeto'!$A$3:$B$35,2,0),0)</f>
        <v>0</v>
      </c>
      <c r="W245" s="48"/>
      <c r="X245" s="50"/>
      <c r="Y245" s="51"/>
      <c r="Z245" s="52"/>
      <c r="AA245" s="53"/>
      <c r="AB245" s="54" t="str">
        <f t="shared" si="45"/>
        <v/>
      </c>
      <c r="AC245" s="49" t="str">
        <f t="shared" si="46"/>
        <v/>
      </c>
      <c r="AD245" s="55" t="str">
        <f t="shared" si="47"/>
        <v/>
      </c>
      <c r="AE245" s="56">
        <f t="shared" si="48"/>
        <v>0</v>
      </c>
      <c r="AF245" s="56">
        <f t="shared" si="49"/>
        <v>0</v>
      </c>
      <c r="AG245" s="59">
        <f t="shared" si="50"/>
        <v>0</v>
      </c>
      <c r="AH245" s="48"/>
      <c r="AJ245" s="48"/>
      <c r="AL245" s="48"/>
      <c r="AM245" s="48" t="str">
        <f t="shared" si="51"/>
        <v/>
      </c>
    </row>
    <row r="246" spans="1:39" s="57" customFormat="1" ht="14">
      <c r="A246" s="45"/>
      <c r="B246" s="46"/>
      <c r="C246" s="47">
        <f>IF(B246&lt;&gt;"",VLOOKUP(B246,'Tipo Projeto'!$A$3:$B$35,2,0),0)</f>
        <v>0</v>
      </c>
      <c r="D246" s="48"/>
      <c r="E246" s="48"/>
      <c r="F246" s="49"/>
      <c r="G246" s="204"/>
      <c r="H246" s="50"/>
      <c r="I246" s="51"/>
      <c r="J246" s="52"/>
      <c r="K246" s="53"/>
      <c r="L246" s="54" t="str">
        <f t="shared" si="39"/>
        <v/>
      </c>
      <c r="M246" s="49" t="str">
        <f t="shared" si="40"/>
        <v/>
      </c>
      <c r="N246" s="55" t="str">
        <f t="shared" si="41"/>
        <v/>
      </c>
      <c r="O246" s="56">
        <f t="shared" si="42"/>
        <v>0</v>
      </c>
      <c r="P246" s="56">
        <f t="shared" si="43"/>
        <v>0</v>
      </c>
      <c r="Q246" s="55">
        <f t="shared" si="44"/>
        <v>0</v>
      </c>
      <c r="R246" s="48"/>
      <c r="T246" s="58"/>
      <c r="U246" s="46"/>
      <c r="V246" s="47">
        <f>IF(U246&lt;&gt;"",VLOOKUP(U246,'Tipo Projeto'!$A$3:$B$35,2,0),0)</f>
        <v>0</v>
      </c>
      <c r="W246" s="48"/>
      <c r="X246" s="50"/>
      <c r="Y246" s="51"/>
      <c r="Z246" s="52"/>
      <c r="AA246" s="53"/>
      <c r="AB246" s="54" t="str">
        <f t="shared" si="45"/>
        <v/>
      </c>
      <c r="AC246" s="49" t="str">
        <f t="shared" si="46"/>
        <v/>
      </c>
      <c r="AD246" s="55" t="str">
        <f t="shared" si="47"/>
        <v/>
      </c>
      <c r="AE246" s="56">
        <f t="shared" si="48"/>
        <v>0</v>
      </c>
      <c r="AF246" s="56">
        <f t="shared" si="49"/>
        <v>0</v>
      </c>
      <c r="AG246" s="59">
        <f t="shared" si="50"/>
        <v>0</v>
      </c>
      <c r="AH246" s="48"/>
      <c r="AJ246" s="48"/>
      <c r="AL246" s="48"/>
      <c r="AM246" s="48" t="str">
        <f t="shared" si="51"/>
        <v/>
      </c>
    </row>
    <row r="247" spans="1:39" s="57" customFormat="1" ht="14">
      <c r="A247" s="45"/>
      <c r="B247" s="46"/>
      <c r="C247" s="47">
        <f>IF(B247&lt;&gt;"",VLOOKUP(B247,'Tipo Projeto'!$A$3:$B$35,2,0),0)</f>
        <v>0</v>
      </c>
      <c r="D247" s="48"/>
      <c r="E247" s="48"/>
      <c r="F247" s="49"/>
      <c r="G247" s="204"/>
      <c r="H247" s="50"/>
      <c r="I247" s="51"/>
      <c r="J247" s="52"/>
      <c r="K247" s="53"/>
      <c r="L247" s="54" t="str">
        <f t="shared" si="39"/>
        <v/>
      </c>
      <c r="M247" s="49" t="str">
        <f t="shared" si="40"/>
        <v/>
      </c>
      <c r="N247" s="55" t="str">
        <f t="shared" si="41"/>
        <v/>
      </c>
      <c r="O247" s="56">
        <f t="shared" si="42"/>
        <v>0</v>
      </c>
      <c r="P247" s="56">
        <f t="shared" si="43"/>
        <v>0</v>
      </c>
      <c r="Q247" s="55">
        <f t="shared" si="44"/>
        <v>0</v>
      </c>
      <c r="R247" s="48"/>
      <c r="T247" s="58"/>
      <c r="U247" s="46"/>
      <c r="V247" s="47">
        <f>IF(U247&lt;&gt;"",VLOOKUP(U247,'Tipo Projeto'!$A$3:$B$35,2,0),0)</f>
        <v>0</v>
      </c>
      <c r="W247" s="48"/>
      <c r="X247" s="50"/>
      <c r="Y247" s="51"/>
      <c r="Z247" s="52"/>
      <c r="AA247" s="53"/>
      <c r="AB247" s="54" t="str">
        <f t="shared" si="45"/>
        <v/>
      </c>
      <c r="AC247" s="49" t="str">
        <f t="shared" si="46"/>
        <v/>
      </c>
      <c r="AD247" s="55" t="str">
        <f t="shared" si="47"/>
        <v/>
      </c>
      <c r="AE247" s="56">
        <f t="shared" si="48"/>
        <v>0</v>
      </c>
      <c r="AF247" s="56">
        <f t="shared" si="49"/>
        <v>0</v>
      </c>
      <c r="AG247" s="59">
        <f t="shared" si="50"/>
        <v>0</v>
      </c>
      <c r="AH247" s="48"/>
      <c r="AJ247" s="48"/>
      <c r="AL247" s="48"/>
      <c r="AM247" s="48" t="str">
        <f t="shared" si="51"/>
        <v/>
      </c>
    </row>
    <row r="248" spans="1:39" s="57" customFormat="1" ht="14">
      <c r="A248" s="45"/>
      <c r="B248" s="46"/>
      <c r="C248" s="47">
        <f>IF(B248&lt;&gt;"",VLOOKUP(B248,'Tipo Projeto'!$A$3:$B$35,2,0),0)</f>
        <v>0</v>
      </c>
      <c r="D248" s="48"/>
      <c r="E248" s="48"/>
      <c r="F248" s="49"/>
      <c r="G248" s="204"/>
      <c r="H248" s="50"/>
      <c r="I248" s="51"/>
      <c r="J248" s="52"/>
      <c r="K248" s="53"/>
      <c r="L248" s="54" t="str">
        <f t="shared" si="39"/>
        <v/>
      </c>
      <c r="M248" s="49" t="str">
        <f t="shared" si="40"/>
        <v/>
      </c>
      <c r="N248" s="55" t="str">
        <f t="shared" si="41"/>
        <v/>
      </c>
      <c r="O248" s="56">
        <f t="shared" si="42"/>
        <v>0</v>
      </c>
      <c r="P248" s="56">
        <f t="shared" si="43"/>
        <v>0</v>
      </c>
      <c r="Q248" s="55">
        <f t="shared" si="44"/>
        <v>0</v>
      </c>
      <c r="R248" s="48"/>
      <c r="T248" s="58"/>
      <c r="U248" s="46"/>
      <c r="V248" s="47">
        <f>IF(U248&lt;&gt;"",VLOOKUP(U248,'Tipo Projeto'!$A$3:$B$35,2,0),0)</f>
        <v>0</v>
      </c>
      <c r="W248" s="48"/>
      <c r="X248" s="50"/>
      <c r="Y248" s="51"/>
      <c r="Z248" s="52"/>
      <c r="AA248" s="53"/>
      <c r="AB248" s="54" t="str">
        <f t="shared" si="45"/>
        <v/>
      </c>
      <c r="AC248" s="49" t="str">
        <f t="shared" si="46"/>
        <v/>
      </c>
      <c r="AD248" s="55" t="str">
        <f t="shared" si="47"/>
        <v/>
      </c>
      <c r="AE248" s="56">
        <f t="shared" si="48"/>
        <v>0</v>
      </c>
      <c r="AF248" s="56">
        <f t="shared" si="49"/>
        <v>0</v>
      </c>
      <c r="AG248" s="59">
        <f t="shared" si="50"/>
        <v>0</v>
      </c>
      <c r="AH248" s="48"/>
      <c r="AJ248" s="48"/>
      <c r="AL248" s="48"/>
      <c r="AM248" s="48" t="str">
        <f t="shared" si="51"/>
        <v/>
      </c>
    </row>
    <row r="249" spans="1:39" s="57" customFormat="1" ht="14">
      <c r="A249" s="45"/>
      <c r="B249" s="46"/>
      <c r="C249" s="47">
        <f>IF(B249&lt;&gt;"",VLOOKUP(B249,'Tipo Projeto'!$A$3:$B$35,2,0),0)</f>
        <v>0</v>
      </c>
      <c r="D249" s="48"/>
      <c r="E249" s="48"/>
      <c r="F249" s="49"/>
      <c r="G249" s="204"/>
      <c r="H249" s="50"/>
      <c r="I249" s="51"/>
      <c r="J249" s="52"/>
      <c r="K249" s="53"/>
      <c r="L249" s="54" t="str">
        <f t="shared" si="39"/>
        <v/>
      </c>
      <c r="M249" s="49" t="str">
        <f t="shared" si="40"/>
        <v/>
      </c>
      <c r="N249" s="55" t="str">
        <f t="shared" si="41"/>
        <v/>
      </c>
      <c r="O249" s="56">
        <f t="shared" si="42"/>
        <v>0</v>
      </c>
      <c r="P249" s="56">
        <f t="shared" si="43"/>
        <v>0</v>
      </c>
      <c r="Q249" s="55">
        <f t="shared" si="44"/>
        <v>0</v>
      </c>
      <c r="R249" s="48"/>
      <c r="T249" s="58"/>
      <c r="U249" s="46"/>
      <c r="V249" s="47">
        <f>IF(U249&lt;&gt;"",VLOOKUP(U249,'Tipo Projeto'!$A$3:$B$35,2,0),0)</f>
        <v>0</v>
      </c>
      <c r="W249" s="48"/>
      <c r="X249" s="50"/>
      <c r="Y249" s="51"/>
      <c r="Z249" s="52"/>
      <c r="AA249" s="53"/>
      <c r="AB249" s="54" t="str">
        <f t="shared" si="45"/>
        <v/>
      </c>
      <c r="AC249" s="49" t="str">
        <f t="shared" si="46"/>
        <v/>
      </c>
      <c r="AD249" s="55" t="str">
        <f t="shared" si="47"/>
        <v/>
      </c>
      <c r="AE249" s="56">
        <f t="shared" si="48"/>
        <v>0</v>
      </c>
      <c r="AF249" s="56">
        <f t="shared" si="49"/>
        <v>0</v>
      </c>
      <c r="AG249" s="59">
        <f t="shared" si="50"/>
        <v>0</v>
      </c>
      <c r="AH249" s="48"/>
      <c r="AJ249" s="48"/>
      <c r="AL249" s="48"/>
      <c r="AM249" s="48" t="str">
        <f t="shared" si="51"/>
        <v/>
      </c>
    </row>
    <row r="250" spans="1:39" s="57" customFormat="1" ht="14">
      <c r="A250" s="45"/>
      <c r="B250" s="46"/>
      <c r="C250" s="47">
        <f>IF(B250&lt;&gt;"",VLOOKUP(B250,'Tipo Projeto'!$A$3:$B$35,2,0),0)</f>
        <v>0</v>
      </c>
      <c r="D250" s="48"/>
      <c r="E250" s="48"/>
      <c r="F250" s="49"/>
      <c r="G250" s="204"/>
      <c r="H250" s="50"/>
      <c r="I250" s="51"/>
      <c r="J250" s="52"/>
      <c r="K250" s="53"/>
      <c r="L250" s="54" t="str">
        <f t="shared" si="39"/>
        <v/>
      </c>
      <c r="M250" s="49" t="str">
        <f t="shared" si="40"/>
        <v/>
      </c>
      <c r="N250" s="55" t="str">
        <f t="shared" si="41"/>
        <v/>
      </c>
      <c r="O250" s="56">
        <f t="shared" si="42"/>
        <v>0</v>
      </c>
      <c r="P250" s="56">
        <f t="shared" si="43"/>
        <v>0</v>
      </c>
      <c r="Q250" s="55">
        <f t="shared" si="44"/>
        <v>0</v>
      </c>
      <c r="R250" s="48"/>
      <c r="T250" s="58"/>
      <c r="U250" s="46"/>
      <c r="V250" s="47">
        <f>IF(U250&lt;&gt;"",VLOOKUP(U250,'Tipo Projeto'!$A$3:$B$35,2,0),0)</f>
        <v>0</v>
      </c>
      <c r="W250" s="48"/>
      <c r="X250" s="50"/>
      <c r="Y250" s="51"/>
      <c r="Z250" s="52"/>
      <c r="AA250" s="53"/>
      <c r="AB250" s="54" t="str">
        <f t="shared" si="45"/>
        <v/>
      </c>
      <c r="AC250" s="49" t="str">
        <f t="shared" si="46"/>
        <v/>
      </c>
      <c r="AD250" s="55" t="str">
        <f t="shared" si="47"/>
        <v/>
      </c>
      <c r="AE250" s="56">
        <f t="shared" si="48"/>
        <v>0</v>
      </c>
      <c r="AF250" s="56">
        <f t="shared" si="49"/>
        <v>0</v>
      </c>
      <c r="AG250" s="59">
        <f t="shared" si="50"/>
        <v>0</v>
      </c>
      <c r="AH250" s="48"/>
      <c r="AJ250" s="48"/>
      <c r="AL250" s="48"/>
      <c r="AM250" s="48" t="str">
        <f t="shared" si="51"/>
        <v/>
      </c>
    </row>
    <row r="251" spans="1:39" s="57" customFormat="1" ht="14">
      <c r="A251" s="45"/>
      <c r="B251" s="46"/>
      <c r="C251" s="47">
        <f>IF(B251&lt;&gt;"",VLOOKUP(B251,'Tipo Projeto'!$A$3:$B$35,2,0),0)</f>
        <v>0</v>
      </c>
      <c r="D251" s="48"/>
      <c r="E251" s="48"/>
      <c r="F251" s="49"/>
      <c r="G251" s="204"/>
      <c r="H251" s="50"/>
      <c r="I251" s="51"/>
      <c r="J251" s="52"/>
      <c r="K251" s="53"/>
      <c r="L251" s="54" t="str">
        <f t="shared" si="39"/>
        <v/>
      </c>
      <c r="M251" s="49" t="str">
        <f t="shared" si="40"/>
        <v/>
      </c>
      <c r="N251" s="55" t="str">
        <f t="shared" si="41"/>
        <v/>
      </c>
      <c r="O251" s="56">
        <f t="shared" si="42"/>
        <v>0</v>
      </c>
      <c r="P251" s="56">
        <f t="shared" si="43"/>
        <v>0</v>
      </c>
      <c r="Q251" s="55">
        <f t="shared" si="44"/>
        <v>0</v>
      </c>
      <c r="R251" s="48"/>
      <c r="T251" s="58"/>
      <c r="U251" s="46"/>
      <c r="V251" s="47">
        <f>IF(U251&lt;&gt;"",VLOOKUP(U251,'Tipo Projeto'!$A$3:$B$35,2,0),0)</f>
        <v>0</v>
      </c>
      <c r="W251" s="48"/>
      <c r="X251" s="50"/>
      <c r="Y251" s="51"/>
      <c r="Z251" s="52"/>
      <c r="AA251" s="53"/>
      <c r="AB251" s="54" t="str">
        <f t="shared" si="45"/>
        <v/>
      </c>
      <c r="AC251" s="49" t="str">
        <f t="shared" si="46"/>
        <v/>
      </c>
      <c r="AD251" s="55" t="str">
        <f t="shared" si="47"/>
        <v/>
      </c>
      <c r="AE251" s="56">
        <f t="shared" si="48"/>
        <v>0</v>
      </c>
      <c r="AF251" s="56">
        <f t="shared" si="49"/>
        <v>0</v>
      </c>
      <c r="AG251" s="59">
        <f t="shared" si="50"/>
        <v>0</v>
      </c>
      <c r="AH251" s="48"/>
      <c r="AJ251" s="48"/>
      <c r="AL251" s="48"/>
      <c r="AM251" s="48" t="str">
        <f t="shared" si="51"/>
        <v/>
      </c>
    </row>
    <row r="252" spans="1:39" s="57" customFormat="1" ht="14">
      <c r="A252" s="45"/>
      <c r="B252" s="46"/>
      <c r="C252" s="47">
        <f>IF(B252&lt;&gt;"",VLOOKUP(B252,'Tipo Projeto'!$A$3:$B$35,2,0),0)</f>
        <v>0</v>
      </c>
      <c r="D252" s="48"/>
      <c r="E252" s="48"/>
      <c r="F252" s="49"/>
      <c r="G252" s="204"/>
      <c r="H252" s="50"/>
      <c r="I252" s="51"/>
      <c r="J252" s="52"/>
      <c r="K252" s="53"/>
      <c r="L252" s="54" t="str">
        <f t="shared" si="39"/>
        <v/>
      </c>
      <c r="M252" s="49" t="str">
        <f t="shared" si="40"/>
        <v/>
      </c>
      <c r="N252" s="55" t="str">
        <f t="shared" si="41"/>
        <v/>
      </c>
      <c r="O252" s="56">
        <f t="shared" si="42"/>
        <v>0</v>
      </c>
      <c r="P252" s="56">
        <f t="shared" si="43"/>
        <v>0</v>
      </c>
      <c r="Q252" s="55">
        <f t="shared" si="44"/>
        <v>0</v>
      </c>
      <c r="R252" s="48"/>
      <c r="T252" s="58"/>
      <c r="U252" s="46"/>
      <c r="V252" s="47">
        <f>IF(U252&lt;&gt;"",VLOOKUP(U252,'Tipo Projeto'!$A$3:$B$35,2,0),0)</f>
        <v>0</v>
      </c>
      <c r="W252" s="48"/>
      <c r="X252" s="50"/>
      <c r="Y252" s="51"/>
      <c r="Z252" s="52"/>
      <c r="AA252" s="53"/>
      <c r="AB252" s="54" t="str">
        <f t="shared" si="45"/>
        <v/>
      </c>
      <c r="AC252" s="49" t="str">
        <f t="shared" si="46"/>
        <v/>
      </c>
      <c r="AD252" s="55" t="str">
        <f t="shared" si="47"/>
        <v/>
      </c>
      <c r="AE252" s="56">
        <f t="shared" si="48"/>
        <v>0</v>
      </c>
      <c r="AF252" s="56">
        <f t="shared" si="49"/>
        <v>0</v>
      </c>
      <c r="AG252" s="59">
        <f t="shared" si="50"/>
        <v>0</v>
      </c>
      <c r="AH252" s="48"/>
      <c r="AJ252" s="48"/>
      <c r="AL252" s="48"/>
      <c r="AM252" s="48" t="str">
        <f t="shared" si="51"/>
        <v/>
      </c>
    </row>
    <row r="253" spans="1:39" s="57" customFormat="1" ht="14">
      <c r="A253" s="45"/>
      <c r="B253" s="46"/>
      <c r="C253" s="47">
        <f>IF(B253&lt;&gt;"",VLOOKUP(B253,'Tipo Projeto'!$A$3:$B$35,2,0),0)</f>
        <v>0</v>
      </c>
      <c r="D253" s="48"/>
      <c r="E253" s="48"/>
      <c r="F253" s="49"/>
      <c r="G253" s="204"/>
      <c r="H253" s="50"/>
      <c r="I253" s="51"/>
      <c r="J253" s="52"/>
      <c r="K253" s="53"/>
      <c r="L253" s="54" t="str">
        <f t="shared" si="39"/>
        <v/>
      </c>
      <c r="M253" s="49" t="str">
        <f t="shared" si="40"/>
        <v/>
      </c>
      <c r="N253" s="55" t="str">
        <f t="shared" si="41"/>
        <v/>
      </c>
      <c r="O253" s="56">
        <f t="shared" si="42"/>
        <v>0</v>
      </c>
      <c r="P253" s="56">
        <f t="shared" si="43"/>
        <v>0</v>
      </c>
      <c r="Q253" s="55">
        <f t="shared" si="44"/>
        <v>0</v>
      </c>
      <c r="R253" s="48"/>
      <c r="T253" s="58"/>
      <c r="U253" s="46"/>
      <c r="V253" s="47">
        <f>IF(U253&lt;&gt;"",VLOOKUP(U253,'Tipo Projeto'!$A$3:$B$35,2,0),0)</f>
        <v>0</v>
      </c>
      <c r="W253" s="48"/>
      <c r="X253" s="50"/>
      <c r="Y253" s="51"/>
      <c r="Z253" s="52"/>
      <c r="AA253" s="53"/>
      <c r="AB253" s="54" t="str">
        <f t="shared" si="45"/>
        <v/>
      </c>
      <c r="AC253" s="49" t="str">
        <f t="shared" si="46"/>
        <v/>
      </c>
      <c r="AD253" s="55" t="str">
        <f t="shared" si="47"/>
        <v/>
      </c>
      <c r="AE253" s="56">
        <f t="shared" si="48"/>
        <v>0</v>
      </c>
      <c r="AF253" s="56">
        <f t="shared" si="49"/>
        <v>0</v>
      </c>
      <c r="AG253" s="59">
        <f t="shared" si="50"/>
        <v>0</v>
      </c>
      <c r="AH253" s="48"/>
      <c r="AJ253" s="48"/>
      <c r="AL253" s="48"/>
      <c r="AM253" s="48" t="str">
        <f t="shared" si="51"/>
        <v/>
      </c>
    </row>
    <row r="254" spans="1:39" s="57" customFormat="1" ht="14">
      <c r="A254" s="45"/>
      <c r="B254" s="46"/>
      <c r="C254" s="47">
        <f>IF(B254&lt;&gt;"",VLOOKUP(B254,'Tipo Projeto'!$A$3:$B$35,2,0),0)</f>
        <v>0</v>
      </c>
      <c r="D254" s="48"/>
      <c r="E254" s="48"/>
      <c r="F254" s="49"/>
      <c r="G254" s="204"/>
      <c r="H254" s="50"/>
      <c r="I254" s="51"/>
      <c r="J254" s="52"/>
      <c r="K254" s="53"/>
      <c r="L254" s="54" t="str">
        <f t="shared" si="39"/>
        <v/>
      </c>
      <c r="M254" s="49" t="str">
        <f t="shared" si="40"/>
        <v/>
      </c>
      <c r="N254" s="55" t="str">
        <f t="shared" si="41"/>
        <v/>
      </c>
      <c r="O254" s="56">
        <f t="shared" si="42"/>
        <v>0</v>
      </c>
      <c r="P254" s="56">
        <f t="shared" si="43"/>
        <v>0</v>
      </c>
      <c r="Q254" s="55">
        <f t="shared" si="44"/>
        <v>0</v>
      </c>
      <c r="R254" s="48"/>
      <c r="T254" s="58"/>
      <c r="U254" s="46"/>
      <c r="V254" s="47">
        <f>IF(U254&lt;&gt;"",VLOOKUP(U254,'Tipo Projeto'!$A$3:$B$35,2,0),0)</f>
        <v>0</v>
      </c>
      <c r="W254" s="48"/>
      <c r="X254" s="50"/>
      <c r="Y254" s="51"/>
      <c r="Z254" s="52"/>
      <c r="AA254" s="53"/>
      <c r="AB254" s="54" t="str">
        <f t="shared" si="45"/>
        <v/>
      </c>
      <c r="AC254" s="49" t="str">
        <f t="shared" si="46"/>
        <v/>
      </c>
      <c r="AD254" s="55" t="str">
        <f t="shared" si="47"/>
        <v/>
      </c>
      <c r="AE254" s="56">
        <f t="shared" si="48"/>
        <v>0</v>
      </c>
      <c r="AF254" s="56">
        <f t="shared" si="49"/>
        <v>0</v>
      </c>
      <c r="AG254" s="59">
        <f t="shared" si="50"/>
        <v>0</v>
      </c>
      <c r="AH254" s="48"/>
      <c r="AJ254" s="48"/>
      <c r="AL254" s="48"/>
      <c r="AM254" s="48" t="str">
        <f t="shared" si="51"/>
        <v/>
      </c>
    </row>
    <row r="255" spans="1:39" s="57" customFormat="1" ht="14">
      <c r="A255" s="45"/>
      <c r="B255" s="46"/>
      <c r="C255" s="47">
        <f>IF(B255&lt;&gt;"",VLOOKUP(B255,'Tipo Projeto'!$A$3:$B$35,2,0),0)</f>
        <v>0</v>
      </c>
      <c r="D255" s="48"/>
      <c r="E255" s="48"/>
      <c r="F255" s="49"/>
      <c r="G255" s="204"/>
      <c r="H255" s="50"/>
      <c r="I255" s="51"/>
      <c r="J255" s="52"/>
      <c r="K255" s="53"/>
      <c r="L255" s="54" t="str">
        <f t="shared" si="39"/>
        <v/>
      </c>
      <c r="M255" s="49" t="str">
        <f t="shared" si="40"/>
        <v/>
      </c>
      <c r="N255" s="55" t="str">
        <f t="shared" si="41"/>
        <v/>
      </c>
      <c r="O255" s="56">
        <f t="shared" si="42"/>
        <v>0</v>
      </c>
      <c r="P255" s="56">
        <f t="shared" si="43"/>
        <v>0</v>
      </c>
      <c r="Q255" s="55">
        <f t="shared" si="44"/>
        <v>0</v>
      </c>
      <c r="R255" s="48"/>
      <c r="T255" s="58"/>
      <c r="U255" s="46"/>
      <c r="V255" s="47">
        <f>IF(U255&lt;&gt;"",VLOOKUP(U255,'Tipo Projeto'!$A$3:$B$35,2,0),0)</f>
        <v>0</v>
      </c>
      <c r="W255" s="48"/>
      <c r="X255" s="50"/>
      <c r="Y255" s="51"/>
      <c r="Z255" s="52"/>
      <c r="AA255" s="53"/>
      <c r="AB255" s="54" t="str">
        <f t="shared" si="45"/>
        <v/>
      </c>
      <c r="AC255" s="49" t="str">
        <f t="shared" si="46"/>
        <v/>
      </c>
      <c r="AD255" s="55" t="str">
        <f t="shared" si="47"/>
        <v/>
      </c>
      <c r="AE255" s="56">
        <f t="shared" si="48"/>
        <v>0</v>
      </c>
      <c r="AF255" s="56">
        <f t="shared" si="49"/>
        <v>0</v>
      </c>
      <c r="AG255" s="59">
        <f t="shared" si="50"/>
        <v>0</v>
      </c>
      <c r="AH255" s="48"/>
      <c r="AJ255" s="48"/>
      <c r="AL255" s="48"/>
      <c r="AM255" s="48" t="str">
        <f t="shared" si="51"/>
        <v/>
      </c>
    </row>
    <row r="256" spans="1:39" s="57" customFormat="1" ht="14">
      <c r="A256" s="45"/>
      <c r="B256" s="46"/>
      <c r="C256" s="47">
        <f>IF(B256&lt;&gt;"",VLOOKUP(B256,'Tipo Projeto'!$A$3:$B$35,2,0),0)</f>
        <v>0</v>
      </c>
      <c r="D256" s="48"/>
      <c r="E256" s="48"/>
      <c r="F256" s="49"/>
      <c r="G256" s="204"/>
      <c r="H256" s="50"/>
      <c r="I256" s="51"/>
      <c r="J256" s="52"/>
      <c r="K256" s="53"/>
      <c r="L256" s="54" t="str">
        <f t="shared" si="39"/>
        <v/>
      </c>
      <c r="M256" s="49" t="str">
        <f t="shared" si="40"/>
        <v/>
      </c>
      <c r="N256" s="55" t="str">
        <f t="shared" si="41"/>
        <v/>
      </c>
      <c r="O256" s="56">
        <f t="shared" si="42"/>
        <v>0</v>
      </c>
      <c r="P256" s="56">
        <f t="shared" si="43"/>
        <v>0</v>
      </c>
      <c r="Q256" s="55">
        <f t="shared" si="44"/>
        <v>0</v>
      </c>
      <c r="R256" s="48"/>
      <c r="T256" s="58"/>
      <c r="U256" s="46"/>
      <c r="V256" s="47">
        <f>IF(U256&lt;&gt;"",VLOOKUP(U256,'Tipo Projeto'!$A$3:$B$35,2,0),0)</f>
        <v>0</v>
      </c>
      <c r="W256" s="48"/>
      <c r="X256" s="50"/>
      <c r="Y256" s="51"/>
      <c r="Z256" s="52"/>
      <c r="AA256" s="53"/>
      <c r="AB256" s="54" t="str">
        <f t="shared" si="45"/>
        <v/>
      </c>
      <c r="AC256" s="49" t="str">
        <f t="shared" si="46"/>
        <v/>
      </c>
      <c r="AD256" s="55" t="str">
        <f t="shared" si="47"/>
        <v/>
      </c>
      <c r="AE256" s="56">
        <f t="shared" si="48"/>
        <v>0</v>
      </c>
      <c r="AF256" s="56">
        <f t="shared" si="49"/>
        <v>0</v>
      </c>
      <c r="AG256" s="59">
        <f t="shared" si="50"/>
        <v>0</v>
      </c>
      <c r="AH256" s="48"/>
      <c r="AJ256" s="48"/>
      <c r="AL256" s="48"/>
      <c r="AM256" s="48" t="str">
        <f t="shared" si="51"/>
        <v/>
      </c>
    </row>
    <row r="257" spans="1:39" s="57" customFormat="1" ht="14">
      <c r="A257" s="45"/>
      <c r="B257" s="46"/>
      <c r="C257" s="47">
        <f>IF(B257&lt;&gt;"",VLOOKUP(B257,'Tipo Projeto'!$A$3:$B$35,2,0),0)</f>
        <v>0</v>
      </c>
      <c r="D257" s="48"/>
      <c r="E257" s="48"/>
      <c r="F257" s="49"/>
      <c r="G257" s="204"/>
      <c r="H257" s="50"/>
      <c r="I257" s="51"/>
      <c r="J257" s="52"/>
      <c r="K257" s="53"/>
      <c r="L257" s="54" t="str">
        <f t="shared" si="39"/>
        <v/>
      </c>
      <c r="M257" s="49" t="str">
        <f t="shared" si="40"/>
        <v/>
      </c>
      <c r="N257" s="55" t="str">
        <f t="shared" si="41"/>
        <v/>
      </c>
      <c r="O257" s="56">
        <f t="shared" si="42"/>
        <v>0</v>
      </c>
      <c r="P257" s="56">
        <f t="shared" si="43"/>
        <v>0</v>
      </c>
      <c r="Q257" s="55">
        <f t="shared" si="44"/>
        <v>0</v>
      </c>
      <c r="R257" s="48"/>
      <c r="T257" s="58"/>
      <c r="U257" s="46"/>
      <c r="V257" s="47">
        <f>IF(U257&lt;&gt;"",VLOOKUP(U257,'Tipo Projeto'!$A$3:$B$35,2,0),0)</f>
        <v>0</v>
      </c>
      <c r="W257" s="48"/>
      <c r="X257" s="50"/>
      <c r="Y257" s="51"/>
      <c r="Z257" s="52"/>
      <c r="AA257" s="53"/>
      <c r="AB257" s="54" t="str">
        <f t="shared" si="45"/>
        <v/>
      </c>
      <c r="AC257" s="49" t="str">
        <f t="shared" si="46"/>
        <v/>
      </c>
      <c r="AD257" s="55" t="str">
        <f t="shared" si="47"/>
        <v/>
      </c>
      <c r="AE257" s="56">
        <f t="shared" si="48"/>
        <v>0</v>
      </c>
      <c r="AF257" s="56">
        <f t="shared" si="49"/>
        <v>0</v>
      </c>
      <c r="AG257" s="59">
        <f t="shared" si="50"/>
        <v>0</v>
      </c>
      <c r="AH257" s="48"/>
      <c r="AJ257" s="48"/>
      <c r="AL257" s="48"/>
      <c r="AM257" s="48" t="str">
        <f t="shared" si="51"/>
        <v/>
      </c>
    </row>
    <row r="258" spans="1:39" s="57" customFormat="1" ht="14">
      <c r="A258" s="45"/>
      <c r="B258" s="46"/>
      <c r="C258" s="47">
        <f>IF(B258&lt;&gt;"",VLOOKUP(B258,'Tipo Projeto'!$A$3:$B$35,2,0),0)</f>
        <v>0</v>
      </c>
      <c r="D258" s="48"/>
      <c r="E258" s="48"/>
      <c r="F258" s="49"/>
      <c r="G258" s="204"/>
      <c r="H258" s="50"/>
      <c r="I258" s="51"/>
      <c r="J258" s="52"/>
      <c r="K258" s="53"/>
      <c r="L258" s="54" t="str">
        <f t="shared" si="39"/>
        <v/>
      </c>
      <c r="M258" s="49" t="str">
        <f t="shared" si="40"/>
        <v/>
      </c>
      <c r="N258" s="55" t="str">
        <f t="shared" si="41"/>
        <v/>
      </c>
      <c r="O258" s="56">
        <f t="shared" si="42"/>
        <v>0</v>
      </c>
      <c r="P258" s="56">
        <f t="shared" si="43"/>
        <v>0</v>
      </c>
      <c r="Q258" s="55">
        <f t="shared" si="44"/>
        <v>0</v>
      </c>
      <c r="R258" s="48"/>
      <c r="T258" s="58"/>
      <c r="U258" s="46"/>
      <c r="V258" s="47">
        <f>IF(U258&lt;&gt;"",VLOOKUP(U258,'Tipo Projeto'!$A$3:$B$35,2,0),0)</f>
        <v>0</v>
      </c>
      <c r="W258" s="48"/>
      <c r="X258" s="50"/>
      <c r="Y258" s="51"/>
      <c r="Z258" s="52"/>
      <c r="AA258" s="53"/>
      <c r="AB258" s="54" t="str">
        <f t="shared" si="45"/>
        <v/>
      </c>
      <c r="AC258" s="49" t="str">
        <f t="shared" si="46"/>
        <v/>
      </c>
      <c r="AD258" s="55" t="str">
        <f t="shared" si="47"/>
        <v/>
      </c>
      <c r="AE258" s="56">
        <f t="shared" si="48"/>
        <v>0</v>
      </c>
      <c r="AF258" s="56">
        <f t="shared" si="49"/>
        <v>0</v>
      </c>
      <c r="AG258" s="59">
        <f t="shared" si="50"/>
        <v>0</v>
      </c>
      <c r="AH258" s="48"/>
      <c r="AJ258" s="48"/>
      <c r="AL258" s="48"/>
      <c r="AM258" s="48" t="str">
        <f t="shared" si="51"/>
        <v/>
      </c>
    </row>
    <row r="259" spans="1:39" s="57" customFormat="1" ht="14">
      <c r="A259" s="45"/>
      <c r="B259" s="46"/>
      <c r="C259" s="47">
        <f>IF(B259&lt;&gt;"",VLOOKUP(B259,'Tipo Projeto'!$A$3:$B$35,2,0),0)</f>
        <v>0</v>
      </c>
      <c r="D259" s="48"/>
      <c r="E259" s="48"/>
      <c r="F259" s="49"/>
      <c r="G259" s="204"/>
      <c r="H259" s="50"/>
      <c r="I259" s="51"/>
      <c r="J259" s="52"/>
      <c r="K259" s="53"/>
      <c r="L259" s="54" t="str">
        <f t="shared" si="39"/>
        <v/>
      </c>
      <c r="M259" s="49" t="str">
        <f t="shared" si="40"/>
        <v/>
      </c>
      <c r="N259" s="55" t="str">
        <f t="shared" si="41"/>
        <v/>
      </c>
      <c r="O259" s="56">
        <f t="shared" si="42"/>
        <v>0</v>
      </c>
      <c r="P259" s="56">
        <f t="shared" si="43"/>
        <v>0</v>
      </c>
      <c r="Q259" s="55">
        <f t="shared" si="44"/>
        <v>0</v>
      </c>
      <c r="R259" s="48"/>
      <c r="T259" s="58"/>
      <c r="U259" s="46"/>
      <c r="V259" s="47">
        <f>IF(U259&lt;&gt;"",VLOOKUP(U259,'Tipo Projeto'!$A$3:$B$35,2,0),0)</f>
        <v>0</v>
      </c>
      <c r="W259" s="48"/>
      <c r="X259" s="50"/>
      <c r="Y259" s="51"/>
      <c r="Z259" s="52"/>
      <c r="AA259" s="53"/>
      <c r="AB259" s="54" t="str">
        <f t="shared" si="45"/>
        <v/>
      </c>
      <c r="AC259" s="49" t="str">
        <f t="shared" si="46"/>
        <v/>
      </c>
      <c r="AD259" s="55" t="str">
        <f t="shared" si="47"/>
        <v/>
      </c>
      <c r="AE259" s="56">
        <f t="shared" si="48"/>
        <v>0</v>
      </c>
      <c r="AF259" s="56">
        <f t="shared" si="49"/>
        <v>0</v>
      </c>
      <c r="AG259" s="59">
        <f t="shared" si="50"/>
        <v>0</v>
      </c>
      <c r="AH259" s="48"/>
      <c r="AJ259" s="48"/>
      <c r="AL259" s="48"/>
      <c r="AM259" s="48" t="str">
        <f t="shared" si="51"/>
        <v/>
      </c>
    </row>
    <row r="260" spans="1:39" s="57" customFormat="1" ht="14">
      <c r="A260" s="45"/>
      <c r="B260" s="46"/>
      <c r="C260" s="47">
        <f>IF(B260&lt;&gt;"",VLOOKUP(B260,'Tipo Projeto'!$A$3:$B$35,2,0),0)</f>
        <v>0</v>
      </c>
      <c r="D260" s="48"/>
      <c r="E260" s="48"/>
      <c r="F260" s="49"/>
      <c r="G260" s="204"/>
      <c r="H260" s="50"/>
      <c r="I260" s="51"/>
      <c r="J260" s="52"/>
      <c r="K260" s="53"/>
      <c r="L260" s="54" t="str">
        <f t="shared" si="39"/>
        <v/>
      </c>
      <c r="M260" s="49" t="str">
        <f t="shared" si="40"/>
        <v/>
      </c>
      <c r="N260" s="55" t="str">
        <f t="shared" si="41"/>
        <v/>
      </c>
      <c r="O260" s="56">
        <f t="shared" si="42"/>
        <v>0</v>
      </c>
      <c r="P260" s="56">
        <f t="shared" si="43"/>
        <v>0</v>
      </c>
      <c r="Q260" s="55">
        <f t="shared" si="44"/>
        <v>0</v>
      </c>
      <c r="R260" s="48"/>
      <c r="T260" s="58"/>
      <c r="U260" s="46"/>
      <c r="V260" s="47">
        <f>IF(U260&lt;&gt;"",VLOOKUP(U260,'Tipo Projeto'!$A$3:$B$35,2,0),0)</f>
        <v>0</v>
      </c>
      <c r="W260" s="48"/>
      <c r="X260" s="50"/>
      <c r="Y260" s="51"/>
      <c r="Z260" s="52"/>
      <c r="AA260" s="53"/>
      <c r="AB260" s="54" t="str">
        <f t="shared" si="45"/>
        <v/>
      </c>
      <c r="AC260" s="49" t="str">
        <f t="shared" si="46"/>
        <v/>
      </c>
      <c r="AD260" s="55" t="str">
        <f t="shared" si="47"/>
        <v/>
      </c>
      <c r="AE260" s="56">
        <f t="shared" si="48"/>
        <v>0</v>
      </c>
      <c r="AF260" s="56">
        <f t="shared" si="49"/>
        <v>0</v>
      </c>
      <c r="AG260" s="59">
        <f t="shared" si="50"/>
        <v>0</v>
      </c>
      <c r="AH260" s="48"/>
      <c r="AJ260" s="48"/>
      <c r="AL260" s="48"/>
      <c r="AM260" s="48" t="str">
        <f t="shared" si="51"/>
        <v/>
      </c>
    </row>
    <row r="261" spans="1:39" s="57" customFormat="1" ht="14">
      <c r="A261" s="45"/>
      <c r="B261" s="46"/>
      <c r="C261" s="47">
        <f>IF(B261&lt;&gt;"",VLOOKUP(B261,'Tipo Projeto'!$A$3:$B$35,2,0),0)</f>
        <v>0</v>
      </c>
      <c r="D261" s="48"/>
      <c r="E261" s="48"/>
      <c r="F261" s="49"/>
      <c r="G261" s="204"/>
      <c r="H261" s="50"/>
      <c r="I261" s="51"/>
      <c r="J261" s="52"/>
      <c r="K261" s="53"/>
      <c r="L261" s="54" t="str">
        <f t="shared" si="39"/>
        <v/>
      </c>
      <c r="M261" s="49" t="str">
        <f t="shared" si="40"/>
        <v/>
      </c>
      <c r="N261" s="55" t="str">
        <f t="shared" si="41"/>
        <v/>
      </c>
      <c r="O261" s="56">
        <f t="shared" si="42"/>
        <v>0</v>
      </c>
      <c r="P261" s="56">
        <f t="shared" si="43"/>
        <v>0</v>
      </c>
      <c r="Q261" s="55">
        <f t="shared" si="44"/>
        <v>0</v>
      </c>
      <c r="R261" s="48"/>
      <c r="T261" s="58"/>
      <c r="U261" s="46"/>
      <c r="V261" s="47">
        <f>IF(U261&lt;&gt;"",VLOOKUP(U261,'Tipo Projeto'!$A$3:$B$35,2,0),0)</f>
        <v>0</v>
      </c>
      <c r="W261" s="48"/>
      <c r="X261" s="50"/>
      <c r="Y261" s="51"/>
      <c r="Z261" s="52"/>
      <c r="AA261" s="53"/>
      <c r="AB261" s="54" t="str">
        <f t="shared" si="45"/>
        <v/>
      </c>
      <c r="AC261" s="49" t="str">
        <f t="shared" si="46"/>
        <v/>
      </c>
      <c r="AD261" s="55" t="str">
        <f t="shared" si="47"/>
        <v/>
      </c>
      <c r="AE261" s="56">
        <f t="shared" si="48"/>
        <v>0</v>
      </c>
      <c r="AF261" s="56">
        <f t="shared" si="49"/>
        <v>0</v>
      </c>
      <c r="AG261" s="59">
        <f t="shared" si="50"/>
        <v>0</v>
      </c>
      <c r="AH261" s="48"/>
      <c r="AJ261" s="48"/>
      <c r="AL261" s="48"/>
      <c r="AM261" s="48" t="str">
        <f t="shared" si="51"/>
        <v/>
      </c>
    </row>
    <row r="262" spans="1:39" s="57" customFormat="1" ht="14">
      <c r="A262" s="45"/>
      <c r="B262" s="46"/>
      <c r="C262" s="47">
        <f>IF(B262&lt;&gt;"",VLOOKUP(B262,'Tipo Projeto'!$A$3:$B$35,2,0),0)</f>
        <v>0</v>
      </c>
      <c r="D262" s="48"/>
      <c r="E262" s="48"/>
      <c r="F262" s="49"/>
      <c r="G262" s="204"/>
      <c r="H262" s="50"/>
      <c r="I262" s="51"/>
      <c r="J262" s="52"/>
      <c r="K262" s="53"/>
      <c r="L262" s="54" t="str">
        <f t="shared" si="39"/>
        <v/>
      </c>
      <c r="M262" s="49" t="str">
        <f t="shared" si="40"/>
        <v/>
      </c>
      <c r="N262" s="55" t="str">
        <f t="shared" si="41"/>
        <v/>
      </c>
      <c r="O262" s="56">
        <f t="shared" si="42"/>
        <v>0</v>
      </c>
      <c r="P262" s="56">
        <f t="shared" si="43"/>
        <v>0</v>
      </c>
      <c r="Q262" s="55">
        <f t="shared" si="44"/>
        <v>0</v>
      </c>
      <c r="R262" s="48"/>
      <c r="T262" s="58"/>
      <c r="U262" s="46"/>
      <c r="V262" s="47">
        <f>IF(U262&lt;&gt;"",VLOOKUP(U262,'Tipo Projeto'!$A$3:$B$35,2,0),0)</f>
        <v>0</v>
      </c>
      <c r="W262" s="48"/>
      <c r="X262" s="50"/>
      <c r="Y262" s="51"/>
      <c r="Z262" s="52"/>
      <c r="AA262" s="53"/>
      <c r="AB262" s="54" t="str">
        <f t="shared" si="45"/>
        <v/>
      </c>
      <c r="AC262" s="49" t="str">
        <f t="shared" si="46"/>
        <v/>
      </c>
      <c r="AD262" s="55" t="str">
        <f t="shared" si="47"/>
        <v/>
      </c>
      <c r="AE262" s="56">
        <f t="shared" si="48"/>
        <v>0</v>
      </c>
      <c r="AF262" s="56">
        <f t="shared" si="49"/>
        <v>0</v>
      </c>
      <c r="AG262" s="59">
        <f t="shared" si="50"/>
        <v>0</v>
      </c>
      <c r="AH262" s="48"/>
      <c r="AJ262" s="48"/>
      <c r="AL262" s="48"/>
      <c r="AM262" s="48" t="str">
        <f t="shared" si="51"/>
        <v/>
      </c>
    </row>
    <row r="263" spans="1:39" s="57" customFormat="1" ht="14">
      <c r="A263" s="45"/>
      <c r="B263" s="46"/>
      <c r="C263" s="47">
        <f>IF(B263&lt;&gt;"",VLOOKUP(B263,'Tipo Projeto'!$A$3:$B$35,2,0),0)</f>
        <v>0</v>
      </c>
      <c r="D263" s="48"/>
      <c r="E263" s="48"/>
      <c r="F263" s="49"/>
      <c r="G263" s="204"/>
      <c r="H263" s="50"/>
      <c r="I263" s="51"/>
      <c r="J263" s="52"/>
      <c r="K263" s="53"/>
      <c r="L263" s="54" t="str">
        <f t="shared" si="39"/>
        <v/>
      </c>
      <c r="M263" s="49" t="str">
        <f t="shared" si="40"/>
        <v/>
      </c>
      <c r="N263" s="55" t="str">
        <f t="shared" si="41"/>
        <v/>
      </c>
      <c r="O263" s="56">
        <f t="shared" si="42"/>
        <v>0</v>
      </c>
      <c r="P263" s="56">
        <f t="shared" si="43"/>
        <v>0</v>
      </c>
      <c r="Q263" s="55">
        <f t="shared" si="44"/>
        <v>0</v>
      </c>
      <c r="R263" s="48"/>
      <c r="T263" s="58"/>
      <c r="U263" s="46"/>
      <c r="V263" s="47">
        <f>IF(U263&lt;&gt;"",VLOOKUP(U263,'Tipo Projeto'!$A$3:$B$35,2,0),0)</f>
        <v>0</v>
      </c>
      <c r="W263" s="48"/>
      <c r="X263" s="50"/>
      <c r="Y263" s="51"/>
      <c r="Z263" s="52"/>
      <c r="AA263" s="53"/>
      <c r="AB263" s="54" t="str">
        <f t="shared" si="45"/>
        <v/>
      </c>
      <c r="AC263" s="49" t="str">
        <f t="shared" si="46"/>
        <v/>
      </c>
      <c r="AD263" s="55" t="str">
        <f t="shared" si="47"/>
        <v/>
      </c>
      <c r="AE263" s="56">
        <f t="shared" si="48"/>
        <v>0</v>
      </c>
      <c r="AF263" s="56">
        <f t="shared" si="49"/>
        <v>0</v>
      </c>
      <c r="AG263" s="59">
        <f t="shared" si="50"/>
        <v>0</v>
      </c>
      <c r="AH263" s="48"/>
      <c r="AJ263" s="48"/>
      <c r="AL263" s="48"/>
      <c r="AM263" s="48" t="str">
        <f t="shared" si="51"/>
        <v/>
      </c>
    </row>
    <row r="264" spans="1:39" s="57" customFormat="1" ht="14">
      <c r="A264" s="45"/>
      <c r="B264" s="46"/>
      <c r="C264" s="47">
        <f>IF(B264&lt;&gt;"",VLOOKUP(B264,'Tipo Projeto'!$A$3:$B$35,2,0),0)</f>
        <v>0</v>
      </c>
      <c r="D264" s="48"/>
      <c r="E264" s="48"/>
      <c r="F264" s="49"/>
      <c r="G264" s="204"/>
      <c r="H264" s="50"/>
      <c r="I264" s="51"/>
      <c r="J264" s="52"/>
      <c r="K264" s="53"/>
      <c r="L264" s="54" t="str">
        <f t="shared" si="39"/>
        <v/>
      </c>
      <c r="M264" s="49" t="str">
        <f t="shared" si="40"/>
        <v/>
      </c>
      <c r="N264" s="55" t="str">
        <f t="shared" si="41"/>
        <v/>
      </c>
      <c r="O264" s="56">
        <f t="shared" si="42"/>
        <v>0</v>
      </c>
      <c r="P264" s="56">
        <f t="shared" si="43"/>
        <v>0</v>
      </c>
      <c r="Q264" s="55">
        <f t="shared" si="44"/>
        <v>0</v>
      </c>
      <c r="R264" s="48"/>
      <c r="T264" s="58"/>
      <c r="U264" s="46"/>
      <c r="V264" s="47">
        <f>IF(U264&lt;&gt;"",VLOOKUP(U264,'Tipo Projeto'!$A$3:$B$35,2,0),0)</f>
        <v>0</v>
      </c>
      <c r="W264" s="48"/>
      <c r="X264" s="50"/>
      <c r="Y264" s="51"/>
      <c r="Z264" s="52"/>
      <c r="AA264" s="53"/>
      <c r="AB264" s="54" t="str">
        <f t="shared" si="45"/>
        <v/>
      </c>
      <c r="AC264" s="49" t="str">
        <f t="shared" si="46"/>
        <v/>
      </c>
      <c r="AD264" s="55" t="str">
        <f t="shared" si="47"/>
        <v/>
      </c>
      <c r="AE264" s="56">
        <f t="shared" si="48"/>
        <v>0</v>
      </c>
      <c r="AF264" s="56">
        <f t="shared" si="49"/>
        <v>0</v>
      </c>
      <c r="AG264" s="59">
        <f t="shared" si="50"/>
        <v>0</v>
      </c>
      <c r="AH264" s="48"/>
      <c r="AJ264" s="48"/>
      <c r="AL264" s="48"/>
      <c r="AM264" s="48" t="str">
        <f t="shared" si="51"/>
        <v/>
      </c>
    </row>
    <row r="265" spans="1:39" s="57" customFormat="1" ht="14">
      <c r="A265" s="45"/>
      <c r="B265" s="46"/>
      <c r="C265" s="47">
        <f>IF(B265&lt;&gt;"",VLOOKUP(B265,'Tipo Projeto'!$A$3:$B$35,2,0),0)</f>
        <v>0</v>
      </c>
      <c r="D265" s="48"/>
      <c r="E265" s="48"/>
      <c r="F265" s="49"/>
      <c r="G265" s="204"/>
      <c r="H265" s="50"/>
      <c r="I265" s="51"/>
      <c r="J265" s="52"/>
      <c r="K265" s="53"/>
      <c r="L265" s="54" t="str">
        <f t="shared" si="39"/>
        <v/>
      </c>
      <c r="M265" s="49" t="str">
        <f t="shared" si="40"/>
        <v/>
      </c>
      <c r="N265" s="55" t="str">
        <f t="shared" si="41"/>
        <v/>
      </c>
      <c r="O265" s="56">
        <f t="shared" si="42"/>
        <v>0</v>
      </c>
      <c r="P265" s="56">
        <f t="shared" si="43"/>
        <v>0</v>
      </c>
      <c r="Q265" s="55">
        <f t="shared" si="44"/>
        <v>0</v>
      </c>
      <c r="R265" s="48"/>
      <c r="T265" s="58"/>
      <c r="U265" s="46"/>
      <c r="V265" s="47">
        <f>IF(U265&lt;&gt;"",VLOOKUP(U265,'Tipo Projeto'!$A$3:$B$35,2,0),0)</f>
        <v>0</v>
      </c>
      <c r="W265" s="48"/>
      <c r="X265" s="50"/>
      <c r="Y265" s="51"/>
      <c r="Z265" s="52"/>
      <c r="AA265" s="53"/>
      <c r="AB265" s="54" t="str">
        <f t="shared" si="45"/>
        <v/>
      </c>
      <c r="AC265" s="49" t="str">
        <f t="shared" si="46"/>
        <v/>
      </c>
      <c r="AD265" s="55" t="str">
        <f t="shared" si="47"/>
        <v/>
      </c>
      <c r="AE265" s="56">
        <f t="shared" si="48"/>
        <v>0</v>
      </c>
      <c r="AF265" s="56">
        <f t="shared" si="49"/>
        <v>0</v>
      </c>
      <c r="AG265" s="59">
        <f t="shared" si="50"/>
        <v>0</v>
      </c>
      <c r="AH265" s="48"/>
      <c r="AJ265" s="48"/>
      <c r="AL265" s="48"/>
      <c r="AM265" s="48" t="str">
        <f t="shared" si="51"/>
        <v/>
      </c>
    </row>
    <row r="266" spans="1:39" s="57" customFormat="1" ht="14">
      <c r="A266" s="45"/>
      <c r="B266" s="46"/>
      <c r="C266" s="47">
        <f>IF(B266&lt;&gt;"",VLOOKUP(B266,'Tipo Projeto'!$A$3:$B$35,2,0),0)</f>
        <v>0</v>
      </c>
      <c r="D266" s="48"/>
      <c r="E266" s="48"/>
      <c r="F266" s="49"/>
      <c r="G266" s="204"/>
      <c r="H266" s="50"/>
      <c r="I266" s="51"/>
      <c r="J266" s="52"/>
      <c r="K266" s="53"/>
      <c r="L266" s="54"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9"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5" t="str">
        <f t="shared" ref="N266:N329" si="54">IF(L266="",M266,IF(M266="",L266,""))</f>
        <v/>
      </c>
      <c r="O266" s="56">
        <f t="shared" ref="O266:O329" si="55">IF(AND(OR(G266="EE",G266="CE"),N266="Simples"),3, IF(AND(OR(G266="EE",G266="CE"),N266="Médio"),4, IF(AND(OR(G266="EE",G266="CE"),N266="Complexo"),6, IF(AND(G266="SE",N266="Simples"),4, IF(AND(G266="SE",N266="Médio"),5, IF(AND(G266="SE",N266="Complexo"),7,0))))))</f>
        <v>0</v>
      </c>
      <c r="P266" s="56">
        <f t="shared" ref="P266:P329" si="56">IF(AND(G266="ALI",M266="Simples"),7, IF(AND(G266="ALI",M266="Médio"),10, IF(AND(G266="ALI",M266="Complexo"),15, IF(AND(G266="AIE",M266="Simples"),5, IF(AND(G266="AIE",M266="Médio"),7, IF(AND(G266="AIE",M266="Complexo"),10,0))))))</f>
        <v>0</v>
      </c>
      <c r="Q266" s="55">
        <f t="shared" ref="Q266:Q329" si="57">IF(B266&lt;&gt;"Manutenção em interface",IF(B266&lt;&gt;"Desenv., Manutenção e Publicação de Páginas Estáticas",(O266+P266)*C266,C266),C266)</f>
        <v>0</v>
      </c>
      <c r="R266" s="48"/>
      <c r="T266" s="58"/>
      <c r="U266" s="46"/>
      <c r="V266" s="47">
        <f>IF(U266&lt;&gt;"",VLOOKUP(U266,'Tipo Projeto'!$A$3:$B$35,2,0),0)</f>
        <v>0</v>
      </c>
      <c r="W266" s="48"/>
      <c r="X266" s="50"/>
      <c r="Y266" s="51"/>
      <c r="Z266" s="52"/>
      <c r="AA266" s="53"/>
      <c r="AB266" s="54"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9"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5" t="str">
        <f t="shared" ref="AD266:AD329" si="60">IF(AB266="",AC266,IF(AC266="",AB266,""))</f>
        <v/>
      </c>
      <c r="AE266" s="56">
        <f t="shared" ref="AE266:AE329" si="61">IF(AND(OR(W266="EE",W266="CE"),AD266="Simples"),3, IF(AND(OR(W266="EE",W266="CE"),AD266="Médio"),4, IF(AND(OR(W266="EE",W266="CE"),AD266="Complexo"),6, IF(AND(W266="SE",AD266="Simples"),4, IF(AND(W266="SE",AD266="Médio"),5, IF(AND(W266="SE",AD266="Complexo"),7,0))))))</f>
        <v>0</v>
      </c>
      <c r="AF266" s="56">
        <f t="shared" ref="AF266:AF329" si="62">IF(AND(W266="ALI",AC266="Simples"),7, IF(AND(W266="ALI",AC266="Médio"),10, IF(AND(W266="ALI",AC266="Complexo"),15, IF(AND(W266="AIE",AC266="Simples"),5, IF(AND(W266="AIE",AC266="Médio"),7, IF(AND(W266="AIE",AC266="Complexo"),10,0))))))</f>
        <v>0</v>
      </c>
      <c r="AG266" s="59">
        <f t="shared" ref="AG266:AG329" si="63">IF(T266="OK",Q266,( IF(U266&lt;&gt;"Manutenção em interface",IF(U266&lt;&gt;"Desenv., Manutenção e Publicação de Páginas Estáticas",(AE266+AF266)*V266,V266),V266)))</f>
        <v>0</v>
      </c>
      <c r="AH266" s="48"/>
      <c r="AJ266" s="48"/>
      <c r="AL266" s="48"/>
      <c r="AM266" s="48" t="str">
        <f t="shared" ref="AM266:AM329" si="64">IF(AG266=0,"",IF(AG266=Q266,"OK","Divergente"))</f>
        <v/>
      </c>
    </row>
    <row r="267" spans="1:39" s="57" customFormat="1" ht="14">
      <c r="A267" s="45"/>
      <c r="B267" s="46"/>
      <c r="C267" s="47">
        <f>IF(B267&lt;&gt;"",VLOOKUP(B267,'Tipo Projeto'!$A$3:$B$35,2,0),0)</f>
        <v>0</v>
      </c>
      <c r="D267" s="48"/>
      <c r="E267" s="48"/>
      <c r="F267" s="49"/>
      <c r="G267" s="204"/>
      <c r="H267" s="50"/>
      <c r="I267" s="51"/>
      <c r="J267" s="52"/>
      <c r="K267" s="53"/>
      <c r="L267" s="54" t="str">
        <f t="shared" si="52"/>
        <v/>
      </c>
      <c r="M267" s="49" t="str">
        <f t="shared" si="53"/>
        <v/>
      </c>
      <c r="N267" s="55" t="str">
        <f t="shared" si="54"/>
        <v/>
      </c>
      <c r="O267" s="56">
        <f t="shared" si="55"/>
        <v>0</v>
      </c>
      <c r="P267" s="56">
        <f t="shared" si="56"/>
        <v>0</v>
      </c>
      <c r="Q267" s="55">
        <f t="shared" si="57"/>
        <v>0</v>
      </c>
      <c r="R267" s="48"/>
      <c r="T267" s="58"/>
      <c r="U267" s="46"/>
      <c r="V267" s="47">
        <f>IF(U267&lt;&gt;"",VLOOKUP(U267,'Tipo Projeto'!$A$3:$B$35,2,0),0)</f>
        <v>0</v>
      </c>
      <c r="W267" s="48"/>
      <c r="X267" s="50"/>
      <c r="Y267" s="51"/>
      <c r="Z267" s="52"/>
      <c r="AA267" s="53"/>
      <c r="AB267" s="54" t="str">
        <f t="shared" si="58"/>
        <v/>
      </c>
      <c r="AC267" s="49" t="str">
        <f t="shared" si="59"/>
        <v/>
      </c>
      <c r="AD267" s="55" t="str">
        <f t="shared" si="60"/>
        <v/>
      </c>
      <c r="AE267" s="56">
        <f t="shared" si="61"/>
        <v>0</v>
      </c>
      <c r="AF267" s="56">
        <f t="shared" si="62"/>
        <v>0</v>
      </c>
      <c r="AG267" s="59">
        <f t="shared" si="63"/>
        <v>0</v>
      </c>
      <c r="AH267" s="48"/>
      <c r="AJ267" s="48"/>
      <c r="AL267" s="48"/>
      <c r="AM267" s="48" t="str">
        <f t="shared" si="64"/>
        <v/>
      </c>
    </row>
    <row r="268" spans="1:39" s="57" customFormat="1" ht="14">
      <c r="A268" s="45"/>
      <c r="B268" s="46"/>
      <c r="C268" s="47">
        <f>IF(B268&lt;&gt;"",VLOOKUP(B268,'Tipo Projeto'!$A$3:$B$35,2,0),0)</f>
        <v>0</v>
      </c>
      <c r="D268" s="48"/>
      <c r="E268" s="48"/>
      <c r="F268" s="49"/>
      <c r="G268" s="204"/>
      <c r="H268" s="50"/>
      <c r="I268" s="51"/>
      <c r="J268" s="52"/>
      <c r="K268" s="53"/>
      <c r="L268" s="54" t="str">
        <f t="shared" si="52"/>
        <v/>
      </c>
      <c r="M268" s="49" t="str">
        <f t="shared" si="53"/>
        <v/>
      </c>
      <c r="N268" s="55" t="str">
        <f t="shared" si="54"/>
        <v/>
      </c>
      <c r="O268" s="56">
        <f t="shared" si="55"/>
        <v>0</v>
      </c>
      <c r="P268" s="56">
        <f t="shared" si="56"/>
        <v>0</v>
      </c>
      <c r="Q268" s="55">
        <f t="shared" si="57"/>
        <v>0</v>
      </c>
      <c r="R268" s="48"/>
      <c r="T268" s="58"/>
      <c r="U268" s="46"/>
      <c r="V268" s="47">
        <f>IF(U268&lt;&gt;"",VLOOKUP(U268,'Tipo Projeto'!$A$3:$B$35,2,0),0)</f>
        <v>0</v>
      </c>
      <c r="W268" s="48"/>
      <c r="X268" s="50"/>
      <c r="Y268" s="51"/>
      <c r="Z268" s="52"/>
      <c r="AA268" s="53"/>
      <c r="AB268" s="54" t="str">
        <f t="shared" si="58"/>
        <v/>
      </c>
      <c r="AC268" s="49" t="str">
        <f t="shared" si="59"/>
        <v/>
      </c>
      <c r="AD268" s="55" t="str">
        <f t="shared" si="60"/>
        <v/>
      </c>
      <c r="AE268" s="56">
        <f t="shared" si="61"/>
        <v>0</v>
      </c>
      <c r="AF268" s="56">
        <f t="shared" si="62"/>
        <v>0</v>
      </c>
      <c r="AG268" s="59">
        <f t="shared" si="63"/>
        <v>0</v>
      </c>
      <c r="AH268" s="48"/>
      <c r="AJ268" s="48"/>
      <c r="AL268" s="48"/>
      <c r="AM268" s="48" t="str">
        <f t="shared" si="64"/>
        <v/>
      </c>
    </row>
    <row r="269" spans="1:39" s="57" customFormat="1" ht="14">
      <c r="A269" s="45"/>
      <c r="B269" s="46"/>
      <c r="C269" s="47">
        <f>IF(B269&lt;&gt;"",VLOOKUP(B269,'Tipo Projeto'!$A$3:$B$35,2,0),0)</f>
        <v>0</v>
      </c>
      <c r="D269" s="48"/>
      <c r="E269" s="48"/>
      <c r="F269" s="49"/>
      <c r="G269" s="204"/>
      <c r="H269" s="50"/>
      <c r="I269" s="51"/>
      <c r="J269" s="52"/>
      <c r="K269" s="53"/>
      <c r="L269" s="54" t="str">
        <f t="shared" si="52"/>
        <v/>
      </c>
      <c r="M269" s="49" t="str">
        <f t="shared" si="53"/>
        <v/>
      </c>
      <c r="N269" s="55" t="str">
        <f t="shared" si="54"/>
        <v/>
      </c>
      <c r="O269" s="56">
        <f t="shared" si="55"/>
        <v>0</v>
      </c>
      <c r="P269" s="56">
        <f t="shared" si="56"/>
        <v>0</v>
      </c>
      <c r="Q269" s="55">
        <f t="shared" si="57"/>
        <v>0</v>
      </c>
      <c r="R269" s="48"/>
      <c r="T269" s="58"/>
      <c r="U269" s="46"/>
      <c r="V269" s="47">
        <f>IF(U269&lt;&gt;"",VLOOKUP(U269,'Tipo Projeto'!$A$3:$B$35,2,0),0)</f>
        <v>0</v>
      </c>
      <c r="W269" s="48"/>
      <c r="X269" s="50"/>
      <c r="Y269" s="51"/>
      <c r="Z269" s="52"/>
      <c r="AA269" s="53"/>
      <c r="AB269" s="54" t="str">
        <f t="shared" si="58"/>
        <v/>
      </c>
      <c r="AC269" s="49" t="str">
        <f t="shared" si="59"/>
        <v/>
      </c>
      <c r="AD269" s="55" t="str">
        <f t="shared" si="60"/>
        <v/>
      </c>
      <c r="AE269" s="56">
        <f t="shared" si="61"/>
        <v>0</v>
      </c>
      <c r="AF269" s="56">
        <f t="shared" si="62"/>
        <v>0</v>
      </c>
      <c r="AG269" s="59">
        <f t="shared" si="63"/>
        <v>0</v>
      </c>
      <c r="AH269" s="48"/>
      <c r="AJ269" s="48"/>
      <c r="AL269" s="48"/>
      <c r="AM269" s="48" t="str">
        <f t="shared" si="64"/>
        <v/>
      </c>
    </row>
    <row r="270" spans="1:39" s="57" customFormat="1" ht="14">
      <c r="A270" s="45"/>
      <c r="B270" s="46"/>
      <c r="C270" s="47">
        <f>IF(B270&lt;&gt;"",VLOOKUP(B270,'Tipo Projeto'!$A$3:$B$35,2,0),0)</f>
        <v>0</v>
      </c>
      <c r="D270" s="48"/>
      <c r="E270" s="48"/>
      <c r="F270" s="49"/>
      <c r="G270" s="204"/>
      <c r="H270" s="50"/>
      <c r="I270" s="51"/>
      <c r="J270" s="52"/>
      <c r="K270" s="53"/>
      <c r="L270" s="54" t="str">
        <f t="shared" si="52"/>
        <v/>
      </c>
      <c r="M270" s="49" t="str">
        <f t="shared" si="53"/>
        <v/>
      </c>
      <c r="N270" s="55" t="str">
        <f t="shared" si="54"/>
        <v/>
      </c>
      <c r="O270" s="56">
        <f t="shared" si="55"/>
        <v>0</v>
      </c>
      <c r="P270" s="56">
        <f t="shared" si="56"/>
        <v>0</v>
      </c>
      <c r="Q270" s="55">
        <f t="shared" si="57"/>
        <v>0</v>
      </c>
      <c r="R270" s="48"/>
      <c r="T270" s="58"/>
      <c r="U270" s="46"/>
      <c r="V270" s="47">
        <f>IF(U270&lt;&gt;"",VLOOKUP(U270,'Tipo Projeto'!$A$3:$B$35,2,0),0)</f>
        <v>0</v>
      </c>
      <c r="W270" s="48"/>
      <c r="X270" s="50"/>
      <c r="Y270" s="51"/>
      <c r="Z270" s="52"/>
      <c r="AA270" s="53"/>
      <c r="AB270" s="54" t="str">
        <f t="shared" si="58"/>
        <v/>
      </c>
      <c r="AC270" s="49" t="str">
        <f t="shared" si="59"/>
        <v/>
      </c>
      <c r="AD270" s="55" t="str">
        <f t="shared" si="60"/>
        <v/>
      </c>
      <c r="AE270" s="56">
        <f t="shared" si="61"/>
        <v>0</v>
      </c>
      <c r="AF270" s="56">
        <f t="shared" si="62"/>
        <v>0</v>
      </c>
      <c r="AG270" s="59">
        <f t="shared" si="63"/>
        <v>0</v>
      </c>
      <c r="AH270" s="48"/>
      <c r="AJ270" s="48"/>
      <c r="AL270" s="48"/>
      <c r="AM270" s="48" t="str">
        <f t="shared" si="64"/>
        <v/>
      </c>
    </row>
    <row r="271" spans="1:39" s="57" customFormat="1" ht="14">
      <c r="A271" s="45"/>
      <c r="B271" s="46"/>
      <c r="C271" s="47">
        <f>IF(B271&lt;&gt;"",VLOOKUP(B271,'Tipo Projeto'!$A$3:$B$35,2,0),0)</f>
        <v>0</v>
      </c>
      <c r="D271" s="48"/>
      <c r="E271" s="48"/>
      <c r="F271" s="49"/>
      <c r="G271" s="204"/>
      <c r="H271" s="50"/>
      <c r="I271" s="51"/>
      <c r="J271" s="52"/>
      <c r="K271" s="53"/>
      <c r="L271" s="54" t="str">
        <f t="shared" si="52"/>
        <v/>
      </c>
      <c r="M271" s="49" t="str">
        <f t="shared" si="53"/>
        <v/>
      </c>
      <c r="N271" s="55" t="str">
        <f t="shared" si="54"/>
        <v/>
      </c>
      <c r="O271" s="56">
        <f t="shared" si="55"/>
        <v>0</v>
      </c>
      <c r="P271" s="56">
        <f t="shared" si="56"/>
        <v>0</v>
      </c>
      <c r="Q271" s="55">
        <f t="shared" si="57"/>
        <v>0</v>
      </c>
      <c r="R271" s="48"/>
      <c r="T271" s="58"/>
      <c r="U271" s="46"/>
      <c r="V271" s="47">
        <f>IF(U271&lt;&gt;"",VLOOKUP(U271,'Tipo Projeto'!$A$3:$B$35,2,0),0)</f>
        <v>0</v>
      </c>
      <c r="W271" s="48"/>
      <c r="X271" s="50"/>
      <c r="Y271" s="51"/>
      <c r="Z271" s="52"/>
      <c r="AA271" s="53"/>
      <c r="AB271" s="54" t="str">
        <f t="shared" si="58"/>
        <v/>
      </c>
      <c r="AC271" s="49" t="str">
        <f t="shared" si="59"/>
        <v/>
      </c>
      <c r="AD271" s="55" t="str">
        <f t="shared" si="60"/>
        <v/>
      </c>
      <c r="AE271" s="56">
        <f t="shared" si="61"/>
        <v>0</v>
      </c>
      <c r="AF271" s="56">
        <f t="shared" si="62"/>
        <v>0</v>
      </c>
      <c r="AG271" s="59">
        <f t="shared" si="63"/>
        <v>0</v>
      </c>
      <c r="AH271" s="48"/>
      <c r="AJ271" s="48"/>
      <c r="AL271" s="48"/>
      <c r="AM271" s="48" t="str">
        <f t="shared" si="64"/>
        <v/>
      </c>
    </row>
    <row r="272" spans="1:39" s="57" customFormat="1" ht="14">
      <c r="A272" s="45"/>
      <c r="B272" s="46"/>
      <c r="C272" s="47">
        <f>IF(B272&lt;&gt;"",VLOOKUP(B272,'Tipo Projeto'!$A$3:$B$35,2,0),0)</f>
        <v>0</v>
      </c>
      <c r="D272" s="48"/>
      <c r="E272" s="48"/>
      <c r="F272" s="49"/>
      <c r="G272" s="204"/>
      <c r="H272" s="50"/>
      <c r="I272" s="51"/>
      <c r="J272" s="52"/>
      <c r="K272" s="53"/>
      <c r="L272" s="54" t="str">
        <f t="shared" si="52"/>
        <v/>
      </c>
      <c r="M272" s="49" t="str">
        <f t="shared" si="53"/>
        <v/>
      </c>
      <c r="N272" s="55" t="str">
        <f t="shared" si="54"/>
        <v/>
      </c>
      <c r="O272" s="56">
        <f t="shared" si="55"/>
        <v>0</v>
      </c>
      <c r="P272" s="56">
        <f t="shared" si="56"/>
        <v>0</v>
      </c>
      <c r="Q272" s="55">
        <f t="shared" si="57"/>
        <v>0</v>
      </c>
      <c r="R272" s="48"/>
      <c r="T272" s="58"/>
      <c r="U272" s="46"/>
      <c r="V272" s="47">
        <f>IF(U272&lt;&gt;"",VLOOKUP(U272,'Tipo Projeto'!$A$3:$B$35,2,0),0)</f>
        <v>0</v>
      </c>
      <c r="W272" s="48"/>
      <c r="X272" s="50"/>
      <c r="Y272" s="51"/>
      <c r="Z272" s="52"/>
      <c r="AA272" s="53"/>
      <c r="AB272" s="54" t="str">
        <f t="shared" si="58"/>
        <v/>
      </c>
      <c r="AC272" s="49" t="str">
        <f t="shared" si="59"/>
        <v/>
      </c>
      <c r="AD272" s="55" t="str">
        <f t="shared" si="60"/>
        <v/>
      </c>
      <c r="AE272" s="56">
        <f t="shared" si="61"/>
        <v>0</v>
      </c>
      <c r="AF272" s="56">
        <f t="shared" si="62"/>
        <v>0</v>
      </c>
      <c r="AG272" s="59">
        <f t="shared" si="63"/>
        <v>0</v>
      </c>
      <c r="AH272" s="48"/>
      <c r="AJ272" s="48"/>
      <c r="AL272" s="48"/>
      <c r="AM272" s="48" t="str">
        <f t="shared" si="64"/>
        <v/>
      </c>
    </row>
    <row r="273" spans="1:39" s="57" customFormat="1" ht="14">
      <c r="A273" s="45"/>
      <c r="B273" s="46"/>
      <c r="C273" s="47">
        <f>IF(B273&lt;&gt;"",VLOOKUP(B273,'Tipo Projeto'!$A$3:$B$35,2,0),0)</f>
        <v>0</v>
      </c>
      <c r="D273" s="48"/>
      <c r="E273" s="48"/>
      <c r="F273" s="49"/>
      <c r="G273" s="204"/>
      <c r="H273" s="50"/>
      <c r="I273" s="51"/>
      <c r="J273" s="52"/>
      <c r="K273" s="53"/>
      <c r="L273" s="54" t="str">
        <f t="shared" si="52"/>
        <v/>
      </c>
      <c r="M273" s="49" t="str">
        <f t="shared" si="53"/>
        <v/>
      </c>
      <c r="N273" s="55" t="str">
        <f t="shared" si="54"/>
        <v/>
      </c>
      <c r="O273" s="56">
        <f t="shared" si="55"/>
        <v>0</v>
      </c>
      <c r="P273" s="56">
        <f t="shared" si="56"/>
        <v>0</v>
      </c>
      <c r="Q273" s="55">
        <f t="shared" si="57"/>
        <v>0</v>
      </c>
      <c r="R273" s="48"/>
      <c r="T273" s="58"/>
      <c r="U273" s="46"/>
      <c r="V273" s="47">
        <f>IF(U273&lt;&gt;"",VLOOKUP(U273,'Tipo Projeto'!$A$3:$B$35,2,0),0)</f>
        <v>0</v>
      </c>
      <c r="W273" s="48"/>
      <c r="X273" s="50"/>
      <c r="Y273" s="51"/>
      <c r="Z273" s="52"/>
      <c r="AA273" s="53"/>
      <c r="AB273" s="54" t="str">
        <f t="shared" si="58"/>
        <v/>
      </c>
      <c r="AC273" s="49" t="str">
        <f t="shared" si="59"/>
        <v/>
      </c>
      <c r="AD273" s="55" t="str">
        <f t="shared" si="60"/>
        <v/>
      </c>
      <c r="AE273" s="56">
        <f t="shared" si="61"/>
        <v>0</v>
      </c>
      <c r="AF273" s="56">
        <f t="shared" si="62"/>
        <v>0</v>
      </c>
      <c r="AG273" s="59">
        <f t="shared" si="63"/>
        <v>0</v>
      </c>
      <c r="AH273" s="48"/>
      <c r="AJ273" s="48"/>
      <c r="AL273" s="48"/>
      <c r="AM273" s="48" t="str">
        <f t="shared" si="64"/>
        <v/>
      </c>
    </row>
    <row r="274" spans="1:39" s="57" customFormat="1" ht="14">
      <c r="A274" s="45"/>
      <c r="B274" s="46"/>
      <c r="C274" s="47">
        <f>IF(B274&lt;&gt;"",VLOOKUP(B274,'Tipo Projeto'!$A$3:$B$35,2,0),0)</f>
        <v>0</v>
      </c>
      <c r="D274" s="48"/>
      <c r="E274" s="48"/>
      <c r="F274" s="49"/>
      <c r="G274" s="204"/>
      <c r="H274" s="50"/>
      <c r="I274" s="51"/>
      <c r="J274" s="52"/>
      <c r="K274" s="53"/>
      <c r="L274" s="54" t="str">
        <f t="shared" si="52"/>
        <v/>
      </c>
      <c r="M274" s="49" t="str">
        <f t="shared" si="53"/>
        <v/>
      </c>
      <c r="N274" s="55" t="str">
        <f t="shared" si="54"/>
        <v/>
      </c>
      <c r="O274" s="56">
        <f t="shared" si="55"/>
        <v>0</v>
      </c>
      <c r="P274" s="56">
        <f t="shared" si="56"/>
        <v>0</v>
      </c>
      <c r="Q274" s="55">
        <f t="shared" si="57"/>
        <v>0</v>
      </c>
      <c r="R274" s="48"/>
      <c r="T274" s="58"/>
      <c r="U274" s="46"/>
      <c r="V274" s="47">
        <f>IF(U274&lt;&gt;"",VLOOKUP(U274,'Tipo Projeto'!$A$3:$B$35,2,0),0)</f>
        <v>0</v>
      </c>
      <c r="W274" s="48"/>
      <c r="X274" s="50"/>
      <c r="Y274" s="51"/>
      <c r="Z274" s="52"/>
      <c r="AA274" s="53"/>
      <c r="AB274" s="54" t="str">
        <f t="shared" si="58"/>
        <v/>
      </c>
      <c r="AC274" s="49" t="str">
        <f t="shared" si="59"/>
        <v/>
      </c>
      <c r="AD274" s="55" t="str">
        <f t="shared" si="60"/>
        <v/>
      </c>
      <c r="AE274" s="56">
        <f t="shared" si="61"/>
        <v>0</v>
      </c>
      <c r="AF274" s="56">
        <f t="shared" si="62"/>
        <v>0</v>
      </c>
      <c r="AG274" s="59">
        <f t="shared" si="63"/>
        <v>0</v>
      </c>
      <c r="AH274" s="48"/>
      <c r="AJ274" s="48"/>
      <c r="AL274" s="48"/>
      <c r="AM274" s="48" t="str">
        <f t="shared" si="64"/>
        <v/>
      </c>
    </row>
    <row r="275" spans="1:39" s="57" customFormat="1" ht="14">
      <c r="A275" s="45"/>
      <c r="B275" s="46"/>
      <c r="C275" s="47">
        <f>IF(B275&lt;&gt;"",VLOOKUP(B275,'Tipo Projeto'!$A$3:$B$35,2,0),0)</f>
        <v>0</v>
      </c>
      <c r="D275" s="48"/>
      <c r="E275" s="48"/>
      <c r="F275" s="49"/>
      <c r="G275" s="204"/>
      <c r="H275" s="50"/>
      <c r="I275" s="51"/>
      <c r="J275" s="52"/>
      <c r="K275" s="53"/>
      <c r="L275" s="54" t="str">
        <f t="shared" si="52"/>
        <v/>
      </c>
      <c r="M275" s="49" t="str">
        <f t="shared" si="53"/>
        <v/>
      </c>
      <c r="N275" s="55" t="str">
        <f t="shared" si="54"/>
        <v/>
      </c>
      <c r="O275" s="56">
        <f t="shared" si="55"/>
        <v>0</v>
      </c>
      <c r="P275" s="56">
        <f t="shared" si="56"/>
        <v>0</v>
      </c>
      <c r="Q275" s="55">
        <f t="shared" si="57"/>
        <v>0</v>
      </c>
      <c r="R275" s="48"/>
      <c r="T275" s="58"/>
      <c r="U275" s="46"/>
      <c r="V275" s="47">
        <f>IF(U275&lt;&gt;"",VLOOKUP(U275,'Tipo Projeto'!$A$3:$B$35,2,0),0)</f>
        <v>0</v>
      </c>
      <c r="W275" s="48"/>
      <c r="X275" s="50"/>
      <c r="Y275" s="51"/>
      <c r="Z275" s="52"/>
      <c r="AA275" s="53"/>
      <c r="AB275" s="54" t="str">
        <f t="shared" si="58"/>
        <v/>
      </c>
      <c r="AC275" s="49" t="str">
        <f t="shared" si="59"/>
        <v/>
      </c>
      <c r="AD275" s="55" t="str">
        <f t="shared" si="60"/>
        <v/>
      </c>
      <c r="AE275" s="56">
        <f t="shared" si="61"/>
        <v>0</v>
      </c>
      <c r="AF275" s="56">
        <f t="shared" si="62"/>
        <v>0</v>
      </c>
      <c r="AG275" s="59">
        <f t="shared" si="63"/>
        <v>0</v>
      </c>
      <c r="AH275" s="48"/>
      <c r="AJ275" s="48"/>
      <c r="AL275" s="48"/>
      <c r="AM275" s="48" t="str">
        <f t="shared" si="64"/>
        <v/>
      </c>
    </row>
    <row r="276" spans="1:39" s="57" customFormat="1" ht="14">
      <c r="A276" s="45"/>
      <c r="B276" s="46"/>
      <c r="C276" s="47">
        <f>IF(B276&lt;&gt;"",VLOOKUP(B276,'Tipo Projeto'!$A$3:$B$35,2,0),0)</f>
        <v>0</v>
      </c>
      <c r="D276" s="48"/>
      <c r="E276" s="48"/>
      <c r="F276" s="49"/>
      <c r="G276" s="204"/>
      <c r="H276" s="50"/>
      <c r="I276" s="51"/>
      <c r="J276" s="52"/>
      <c r="K276" s="53"/>
      <c r="L276" s="54" t="str">
        <f t="shared" si="52"/>
        <v/>
      </c>
      <c r="M276" s="49" t="str">
        <f t="shared" si="53"/>
        <v/>
      </c>
      <c r="N276" s="55" t="str">
        <f t="shared" si="54"/>
        <v/>
      </c>
      <c r="O276" s="56">
        <f t="shared" si="55"/>
        <v>0</v>
      </c>
      <c r="P276" s="56">
        <f t="shared" si="56"/>
        <v>0</v>
      </c>
      <c r="Q276" s="55">
        <f t="shared" si="57"/>
        <v>0</v>
      </c>
      <c r="R276" s="48"/>
      <c r="T276" s="58"/>
      <c r="U276" s="46"/>
      <c r="V276" s="47">
        <f>IF(U276&lt;&gt;"",VLOOKUP(U276,'Tipo Projeto'!$A$3:$B$35,2,0),0)</f>
        <v>0</v>
      </c>
      <c r="W276" s="48"/>
      <c r="X276" s="50"/>
      <c r="Y276" s="51"/>
      <c r="Z276" s="52"/>
      <c r="AA276" s="53"/>
      <c r="AB276" s="54" t="str">
        <f t="shared" si="58"/>
        <v/>
      </c>
      <c r="AC276" s="49" t="str">
        <f t="shared" si="59"/>
        <v/>
      </c>
      <c r="AD276" s="55" t="str">
        <f t="shared" si="60"/>
        <v/>
      </c>
      <c r="AE276" s="56">
        <f t="shared" si="61"/>
        <v>0</v>
      </c>
      <c r="AF276" s="56">
        <f t="shared" si="62"/>
        <v>0</v>
      </c>
      <c r="AG276" s="59">
        <f t="shared" si="63"/>
        <v>0</v>
      </c>
      <c r="AH276" s="48"/>
      <c r="AJ276" s="48"/>
      <c r="AL276" s="48"/>
      <c r="AM276" s="48" t="str">
        <f t="shared" si="64"/>
        <v/>
      </c>
    </row>
    <row r="277" spans="1:39" s="57" customFormat="1" ht="14">
      <c r="A277" s="45"/>
      <c r="B277" s="46"/>
      <c r="C277" s="47">
        <f>IF(B277&lt;&gt;"",VLOOKUP(B277,'Tipo Projeto'!$A$3:$B$35,2,0),0)</f>
        <v>0</v>
      </c>
      <c r="D277" s="48"/>
      <c r="E277" s="48"/>
      <c r="F277" s="49"/>
      <c r="G277" s="204"/>
      <c r="H277" s="50"/>
      <c r="I277" s="51"/>
      <c r="J277" s="52"/>
      <c r="K277" s="53"/>
      <c r="L277" s="54" t="str">
        <f t="shared" si="52"/>
        <v/>
      </c>
      <c r="M277" s="49" t="str">
        <f t="shared" si="53"/>
        <v/>
      </c>
      <c r="N277" s="55" t="str">
        <f t="shared" si="54"/>
        <v/>
      </c>
      <c r="O277" s="56">
        <f t="shared" si="55"/>
        <v>0</v>
      </c>
      <c r="P277" s="56">
        <f t="shared" si="56"/>
        <v>0</v>
      </c>
      <c r="Q277" s="55">
        <f t="shared" si="57"/>
        <v>0</v>
      </c>
      <c r="R277" s="48"/>
      <c r="T277" s="58"/>
      <c r="U277" s="46"/>
      <c r="V277" s="47">
        <f>IF(U277&lt;&gt;"",VLOOKUP(U277,'Tipo Projeto'!$A$3:$B$35,2,0),0)</f>
        <v>0</v>
      </c>
      <c r="W277" s="48"/>
      <c r="X277" s="50"/>
      <c r="Y277" s="51"/>
      <c r="Z277" s="52"/>
      <c r="AA277" s="53"/>
      <c r="AB277" s="54" t="str">
        <f t="shared" si="58"/>
        <v/>
      </c>
      <c r="AC277" s="49" t="str">
        <f t="shared" si="59"/>
        <v/>
      </c>
      <c r="AD277" s="55" t="str">
        <f t="shared" si="60"/>
        <v/>
      </c>
      <c r="AE277" s="56">
        <f t="shared" si="61"/>
        <v>0</v>
      </c>
      <c r="AF277" s="56">
        <f t="shared" si="62"/>
        <v>0</v>
      </c>
      <c r="AG277" s="59">
        <f t="shared" si="63"/>
        <v>0</v>
      </c>
      <c r="AH277" s="48"/>
      <c r="AJ277" s="48"/>
      <c r="AL277" s="48"/>
      <c r="AM277" s="48" t="str">
        <f t="shared" si="64"/>
        <v/>
      </c>
    </row>
    <row r="278" spans="1:39" s="57" customFormat="1" ht="14">
      <c r="A278" s="45"/>
      <c r="B278" s="46"/>
      <c r="C278" s="47">
        <f>IF(B278&lt;&gt;"",VLOOKUP(B278,'Tipo Projeto'!$A$3:$B$35,2,0),0)</f>
        <v>0</v>
      </c>
      <c r="D278" s="48"/>
      <c r="E278" s="48"/>
      <c r="F278" s="49"/>
      <c r="G278" s="204"/>
      <c r="H278" s="50"/>
      <c r="I278" s="51"/>
      <c r="J278" s="52"/>
      <c r="K278" s="53"/>
      <c r="L278" s="54" t="str">
        <f t="shared" si="52"/>
        <v/>
      </c>
      <c r="M278" s="49" t="str">
        <f t="shared" si="53"/>
        <v/>
      </c>
      <c r="N278" s="55" t="str">
        <f t="shared" si="54"/>
        <v/>
      </c>
      <c r="O278" s="56">
        <f t="shared" si="55"/>
        <v>0</v>
      </c>
      <c r="P278" s="56">
        <f t="shared" si="56"/>
        <v>0</v>
      </c>
      <c r="Q278" s="55">
        <f t="shared" si="57"/>
        <v>0</v>
      </c>
      <c r="R278" s="48"/>
      <c r="T278" s="58"/>
      <c r="U278" s="46"/>
      <c r="V278" s="47">
        <f>IF(U278&lt;&gt;"",VLOOKUP(U278,'Tipo Projeto'!$A$3:$B$35,2,0),0)</f>
        <v>0</v>
      </c>
      <c r="W278" s="48"/>
      <c r="X278" s="50"/>
      <c r="Y278" s="51"/>
      <c r="Z278" s="52"/>
      <c r="AA278" s="53"/>
      <c r="AB278" s="54" t="str">
        <f t="shared" si="58"/>
        <v/>
      </c>
      <c r="AC278" s="49" t="str">
        <f t="shared" si="59"/>
        <v/>
      </c>
      <c r="AD278" s="55" t="str">
        <f t="shared" si="60"/>
        <v/>
      </c>
      <c r="AE278" s="56">
        <f t="shared" si="61"/>
        <v>0</v>
      </c>
      <c r="AF278" s="56">
        <f t="shared" si="62"/>
        <v>0</v>
      </c>
      <c r="AG278" s="59">
        <f t="shared" si="63"/>
        <v>0</v>
      </c>
      <c r="AH278" s="48"/>
      <c r="AJ278" s="48"/>
      <c r="AL278" s="48"/>
      <c r="AM278" s="48" t="str">
        <f t="shared" si="64"/>
        <v/>
      </c>
    </row>
    <row r="279" spans="1:39" s="57" customFormat="1" ht="14">
      <c r="A279" s="45"/>
      <c r="B279" s="46"/>
      <c r="C279" s="47">
        <f>IF(B279&lt;&gt;"",VLOOKUP(B279,'Tipo Projeto'!$A$3:$B$35,2,0),0)</f>
        <v>0</v>
      </c>
      <c r="D279" s="48"/>
      <c r="E279" s="48"/>
      <c r="F279" s="49"/>
      <c r="G279" s="204"/>
      <c r="H279" s="50"/>
      <c r="I279" s="51"/>
      <c r="J279" s="52"/>
      <c r="K279" s="53"/>
      <c r="L279" s="54" t="str">
        <f t="shared" si="52"/>
        <v/>
      </c>
      <c r="M279" s="49" t="str">
        <f t="shared" si="53"/>
        <v/>
      </c>
      <c r="N279" s="55" t="str">
        <f t="shared" si="54"/>
        <v/>
      </c>
      <c r="O279" s="56">
        <f t="shared" si="55"/>
        <v>0</v>
      </c>
      <c r="P279" s="56">
        <f t="shared" si="56"/>
        <v>0</v>
      </c>
      <c r="Q279" s="55">
        <f t="shared" si="57"/>
        <v>0</v>
      </c>
      <c r="R279" s="48"/>
      <c r="T279" s="58"/>
      <c r="U279" s="46"/>
      <c r="V279" s="47">
        <f>IF(U279&lt;&gt;"",VLOOKUP(U279,'Tipo Projeto'!$A$3:$B$35,2,0),0)</f>
        <v>0</v>
      </c>
      <c r="W279" s="48"/>
      <c r="X279" s="50"/>
      <c r="Y279" s="51"/>
      <c r="Z279" s="52"/>
      <c r="AA279" s="53"/>
      <c r="AB279" s="54" t="str">
        <f t="shared" si="58"/>
        <v/>
      </c>
      <c r="AC279" s="49" t="str">
        <f t="shared" si="59"/>
        <v/>
      </c>
      <c r="AD279" s="55" t="str">
        <f t="shared" si="60"/>
        <v/>
      </c>
      <c r="AE279" s="56">
        <f t="shared" si="61"/>
        <v>0</v>
      </c>
      <c r="AF279" s="56">
        <f t="shared" si="62"/>
        <v>0</v>
      </c>
      <c r="AG279" s="59">
        <f t="shared" si="63"/>
        <v>0</v>
      </c>
      <c r="AH279" s="48"/>
      <c r="AJ279" s="48"/>
      <c r="AL279" s="48"/>
      <c r="AM279" s="48" t="str">
        <f t="shared" si="64"/>
        <v/>
      </c>
    </row>
    <row r="280" spans="1:39" s="57" customFormat="1" ht="14">
      <c r="A280" s="45"/>
      <c r="B280" s="46"/>
      <c r="C280" s="47">
        <f>IF(B280&lt;&gt;"",VLOOKUP(B280,'Tipo Projeto'!$A$3:$B$35,2,0),0)</f>
        <v>0</v>
      </c>
      <c r="D280" s="48"/>
      <c r="E280" s="48"/>
      <c r="F280" s="49"/>
      <c r="G280" s="204"/>
      <c r="H280" s="50"/>
      <c r="I280" s="51"/>
      <c r="J280" s="52"/>
      <c r="K280" s="53"/>
      <c r="L280" s="54" t="str">
        <f t="shared" si="52"/>
        <v/>
      </c>
      <c r="M280" s="49" t="str">
        <f t="shared" si="53"/>
        <v/>
      </c>
      <c r="N280" s="55" t="str">
        <f t="shared" si="54"/>
        <v/>
      </c>
      <c r="O280" s="56">
        <f t="shared" si="55"/>
        <v>0</v>
      </c>
      <c r="P280" s="56">
        <f t="shared" si="56"/>
        <v>0</v>
      </c>
      <c r="Q280" s="55">
        <f t="shared" si="57"/>
        <v>0</v>
      </c>
      <c r="R280" s="48"/>
      <c r="T280" s="58"/>
      <c r="U280" s="46"/>
      <c r="V280" s="47">
        <f>IF(U280&lt;&gt;"",VLOOKUP(U280,'Tipo Projeto'!$A$3:$B$35,2,0),0)</f>
        <v>0</v>
      </c>
      <c r="W280" s="48"/>
      <c r="X280" s="50"/>
      <c r="Y280" s="51"/>
      <c r="Z280" s="52"/>
      <c r="AA280" s="53"/>
      <c r="AB280" s="54" t="str">
        <f t="shared" si="58"/>
        <v/>
      </c>
      <c r="AC280" s="49" t="str">
        <f t="shared" si="59"/>
        <v/>
      </c>
      <c r="AD280" s="55" t="str">
        <f t="shared" si="60"/>
        <v/>
      </c>
      <c r="AE280" s="56">
        <f t="shared" si="61"/>
        <v>0</v>
      </c>
      <c r="AF280" s="56">
        <f t="shared" si="62"/>
        <v>0</v>
      </c>
      <c r="AG280" s="59">
        <f t="shared" si="63"/>
        <v>0</v>
      </c>
      <c r="AH280" s="48"/>
      <c r="AJ280" s="48"/>
      <c r="AL280" s="48"/>
      <c r="AM280" s="48" t="str">
        <f t="shared" si="64"/>
        <v/>
      </c>
    </row>
    <row r="281" spans="1:39" s="57" customFormat="1" ht="14">
      <c r="A281" s="45"/>
      <c r="B281" s="46"/>
      <c r="C281" s="47">
        <f>IF(B281&lt;&gt;"",VLOOKUP(B281,'Tipo Projeto'!$A$3:$B$35,2,0),0)</f>
        <v>0</v>
      </c>
      <c r="D281" s="48"/>
      <c r="E281" s="48"/>
      <c r="F281" s="49"/>
      <c r="G281" s="204"/>
      <c r="H281" s="50"/>
      <c r="I281" s="51"/>
      <c r="J281" s="52"/>
      <c r="K281" s="53"/>
      <c r="L281" s="54" t="str">
        <f t="shared" si="52"/>
        <v/>
      </c>
      <c r="M281" s="49" t="str">
        <f t="shared" si="53"/>
        <v/>
      </c>
      <c r="N281" s="55" t="str">
        <f t="shared" si="54"/>
        <v/>
      </c>
      <c r="O281" s="56">
        <f t="shared" si="55"/>
        <v>0</v>
      </c>
      <c r="P281" s="56">
        <f t="shared" si="56"/>
        <v>0</v>
      </c>
      <c r="Q281" s="55">
        <f t="shared" si="57"/>
        <v>0</v>
      </c>
      <c r="R281" s="48"/>
      <c r="T281" s="58"/>
      <c r="U281" s="46"/>
      <c r="V281" s="47">
        <f>IF(U281&lt;&gt;"",VLOOKUP(U281,'Tipo Projeto'!$A$3:$B$35,2,0),0)</f>
        <v>0</v>
      </c>
      <c r="W281" s="48"/>
      <c r="X281" s="50"/>
      <c r="Y281" s="51"/>
      <c r="Z281" s="52"/>
      <c r="AA281" s="53"/>
      <c r="AB281" s="54" t="str">
        <f t="shared" si="58"/>
        <v/>
      </c>
      <c r="AC281" s="49" t="str">
        <f t="shared" si="59"/>
        <v/>
      </c>
      <c r="AD281" s="55" t="str">
        <f t="shared" si="60"/>
        <v/>
      </c>
      <c r="AE281" s="56">
        <f t="shared" si="61"/>
        <v>0</v>
      </c>
      <c r="AF281" s="56">
        <f t="shared" si="62"/>
        <v>0</v>
      </c>
      <c r="AG281" s="59">
        <f t="shared" si="63"/>
        <v>0</v>
      </c>
      <c r="AH281" s="48"/>
      <c r="AJ281" s="48"/>
      <c r="AL281" s="48"/>
      <c r="AM281" s="48" t="str">
        <f t="shared" si="64"/>
        <v/>
      </c>
    </row>
    <row r="282" spans="1:39" s="57" customFormat="1" ht="14">
      <c r="A282" s="45"/>
      <c r="B282" s="46"/>
      <c r="C282" s="47">
        <f>IF(B282&lt;&gt;"",VLOOKUP(B282,'Tipo Projeto'!$A$3:$B$35,2,0),0)</f>
        <v>0</v>
      </c>
      <c r="D282" s="48"/>
      <c r="E282" s="48"/>
      <c r="F282" s="49"/>
      <c r="G282" s="204"/>
      <c r="H282" s="50"/>
      <c r="I282" s="51"/>
      <c r="J282" s="52"/>
      <c r="K282" s="53"/>
      <c r="L282" s="54" t="str">
        <f t="shared" si="52"/>
        <v/>
      </c>
      <c r="M282" s="49" t="str">
        <f t="shared" si="53"/>
        <v/>
      </c>
      <c r="N282" s="55" t="str">
        <f t="shared" si="54"/>
        <v/>
      </c>
      <c r="O282" s="56">
        <f t="shared" si="55"/>
        <v>0</v>
      </c>
      <c r="P282" s="56">
        <f t="shared" si="56"/>
        <v>0</v>
      </c>
      <c r="Q282" s="55">
        <f t="shared" si="57"/>
        <v>0</v>
      </c>
      <c r="R282" s="48"/>
      <c r="T282" s="58"/>
      <c r="U282" s="46"/>
      <c r="V282" s="47">
        <f>IF(U282&lt;&gt;"",VLOOKUP(U282,'Tipo Projeto'!$A$3:$B$35,2,0),0)</f>
        <v>0</v>
      </c>
      <c r="W282" s="48"/>
      <c r="X282" s="50"/>
      <c r="Y282" s="51"/>
      <c r="Z282" s="52"/>
      <c r="AA282" s="53"/>
      <c r="AB282" s="54" t="str">
        <f t="shared" si="58"/>
        <v/>
      </c>
      <c r="AC282" s="49" t="str">
        <f t="shared" si="59"/>
        <v/>
      </c>
      <c r="AD282" s="55" t="str">
        <f t="shared" si="60"/>
        <v/>
      </c>
      <c r="AE282" s="56">
        <f t="shared" si="61"/>
        <v>0</v>
      </c>
      <c r="AF282" s="56">
        <f t="shared" si="62"/>
        <v>0</v>
      </c>
      <c r="AG282" s="59">
        <f t="shared" si="63"/>
        <v>0</v>
      </c>
      <c r="AH282" s="48"/>
      <c r="AJ282" s="48"/>
      <c r="AL282" s="48"/>
      <c r="AM282" s="48" t="str">
        <f t="shared" si="64"/>
        <v/>
      </c>
    </row>
    <row r="283" spans="1:39" s="57" customFormat="1" ht="14">
      <c r="A283" s="45"/>
      <c r="B283" s="46"/>
      <c r="C283" s="47">
        <f>IF(B283&lt;&gt;"",VLOOKUP(B283,'Tipo Projeto'!$A$3:$B$35,2,0),0)</f>
        <v>0</v>
      </c>
      <c r="D283" s="48"/>
      <c r="E283" s="48"/>
      <c r="F283" s="49"/>
      <c r="G283" s="204"/>
      <c r="H283" s="50"/>
      <c r="I283" s="51"/>
      <c r="J283" s="52"/>
      <c r="K283" s="53"/>
      <c r="L283" s="54" t="str">
        <f t="shared" si="52"/>
        <v/>
      </c>
      <c r="M283" s="49" t="str">
        <f t="shared" si="53"/>
        <v/>
      </c>
      <c r="N283" s="55" t="str">
        <f t="shared" si="54"/>
        <v/>
      </c>
      <c r="O283" s="56">
        <f t="shared" si="55"/>
        <v>0</v>
      </c>
      <c r="P283" s="56">
        <f t="shared" si="56"/>
        <v>0</v>
      </c>
      <c r="Q283" s="55">
        <f t="shared" si="57"/>
        <v>0</v>
      </c>
      <c r="R283" s="48"/>
      <c r="T283" s="58"/>
      <c r="U283" s="46"/>
      <c r="V283" s="47">
        <f>IF(U283&lt;&gt;"",VLOOKUP(U283,'Tipo Projeto'!$A$3:$B$35,2,0),0)</f>
        <v>0</v>
      </c>
      <c r="W283" s="48"/>
      <c r="X283" s="50"/>
      <c r="Y283" s="51"/>
      <c r="Z283" s="52"/>
      <c r="AA283" s="53"/>
      <c r="AB283" s="54" t="str">
        <f t="shared" si="58"/>
        <v/>
      </c>
      <c r="AC283" s="49" t="str">
        <f t="shared" si="59"/>
        <v/>
      </c>
      <c r="AD283" s="55" t="str">
        <f t="shared" si="60"/>
        <v/>
      </c>
      <c r="AE283" s="56">
        <f t="shared" si="61"/>
        <v>0</v>
      </c>
      <c r="AF283" s="56">
        <f t="shared" si="62"/>
        <v>0</v>
      </c>
      <c r="AG283" s="59">
        <f t="shared" si="63"/>
        <v>0</v>
      </c>
      <c r="AH283" s="48"/>
      <c r="AJ283" s="48"/>
      <c r="AL283" s="48"/>
      <c r="AM283" s="48" t="str">
        <f t="shared" si="64"/>
        <v/>
      </c>
    </row>
    <row r="284" spans="1:39" s="57" customFormat="1" ht="14">
      <c r="A284" s="45"/>
      <c r="B284" s="46"/>
      <c r="C284" s="47">
        <f>IF(B284&lt;&gt;"",VLOOKUP(B284,'Tipo Projeto'!$A$3:$B$35,2,0),0)</f>
        <v>0</v>
      </c>
      <c r="D284" s="48"/>
      <c r="E284" s="48"/>
      <c r="F284" s="49"/>
      <c r="G284" s="204"/>
      <c r="H284" s="50"/>
      <c r="I284" s="51"/>
      <c r="J284" s="52"/>
      <c r="K284" s="53"/>
      <c r="L284" s="54" t="str">
        <f t="shared" si="52"/>
        <v/>
      </c>
      <c r="M284" s="49" t="str">
        <f t="shared" si="53"/>
        <v/>
      </c>
      <c r="N284" s="55" t="str">
        <f t="shared" si="54"/>
        <v/>
      </c>
      <c r="O284" s="56">
        <f t="shared" si="55"/>
        <v>0</v>
      </c>
      <c r="P284" s="56">
        <f t="shared" si="56"/>
        <v>0</v>
      </c>
      <c r="Q284" s="55">
        <f t="shared" si="57"/>
        <v>0</v>
      </c>
      <c r="R284" s="48"/>
      <c r="T284" s="58"/>
      <c r="U284" s="46"/>
      <c r="V284" s="47">
        <f>IF(U284&lt;&gt;"",VLOOKUP(U284,'Tipo Projeto'!$A$3:$B$35,2,0),0)</f>
        <v>0</v>
      </c>
      <c r="W284" s="48"/>
      <c r="X284" s="50"/>
      <c r="Y284" s="51"/>
      <c r="Z284" s="52"/>
      <c r="AA284" s="53"/>
      <c r="AB284" s="54" t="str">
        <f t="shared" si="58"/>
        <v/>
      </c>
      <c r="AC284" s="49" t="str">
        <f t="shared" si="59"/>
        <v/>
      </c>
      <c r="AD284" s="55" t="str">
        <f t="shared" si="60"/>
        <v/>
      </c>
      <c r="AE284" s="56">
        <f t="shared" si="61"/>
        <v>0</v>
      </c>
      <c r="AF284" s="56">
        <f t="shared" si="62"/>
        <v>0</v>
      </c>
      <c r="AG284" s="59">
        <f t="shared" si="63"/>
        <v>0</v>
      </c>
      <c r="AH284" s="48"/>
      <c r="AJ284" s="48"/>
      <c r="AL284" s="48"/>
      <c r="AM284" s="48" t="str">
        <f t="shared" si="64"/>
        <v/>
      </c>
    </row>
    <row r="285" spans="1:39" s="57" customFormat="1" ht="14">
      <c r="A285" s="45"/>
      <c r="B285" s="46"/>
      <c r="C285" s="47">
        <f>IF(B285&lt;&gt;"",VLOOKUP(B285,'Tipo Projeto'!$A$3:$B$35,2,0),0)</f>
        <v>0</v>
      </c>
      <c r="D285" s="48"/>
      <c r="E285" s="48"/>
      <c r="F285" s="49"/>
      <c r="G285" s="204"/>
      <c r="H285" s="50"/>
      <c r="I285" s="51"/>
      <c r="J285" s="52"/>
      <c r="K285" s="53"/>
      <c r="L285" s="54" t="str">
        <f t="shared" si="52"/>
        <v/>
      </c>
      <c r="M285" s="49" t="str">
        <f t="shared" si="53"/>
        <v/>
      </c>
      <c r="N285" s="55" t="str">
        <f t="shared" si="54"/>
        <v/>
      </c>
      <c r="O285" s="56">
        <f t="shared" si="55"/>
        <v>0</v>
      </c>
      <c r="P285" s="56">
        <f t="shared" si="56"/>
        <v>0</v>
      </c>
      <c r="Q285" s="55">
        <f t="shared" si="57"/>
        <v>0</v>
      </c>
      <c r="R285" s="48"/>
      <c r="T285" s="58"/>
      <c r="U285" s="46"/>
      <c r="V285" s="47">
        <f>IF(U285&lt;&gt;"",VLOOKUP(U285,'Tipo Projeto'!$A$3:$B$35,2,0),0)</f>
        <v>0</v>
      </c>
      <c r="W285" s="48"/>
      <c r="X285" s="50"/>
      <c r="Y285" s="51"/>
      <c r="Z285" s="52"/>
      <c r="AA285" s="53"/>
      <c r="AB285" s="54" t="str">
        <f t="shared" si="58"/>
        <v/>
      </c>
      <c r="AC285" s="49" t="str">
        <f t="shared" si="59"/>
        <v/>
      </c>
      <c r="AD285" s="55" t="str">
        <f t="shared" si="60"/>
        <v/>
      </c>
      <c r="AE285" s="56">
        <f t="shared" si="61"/>
        <v>0</v>
      </c>
      <c r="AF285" s="56">
        <f t="shared" si="62"/>
        <v>0</v>
      </c>
      <c r="AG285" s="59">
        <f t="shared" si="63"/>
        <v>0</v>
      </c>
      <c r="AH285" s="48"/>
      <c r="AJ285" s="48"/>
      <c r="AL285" s="48"/>
      <c r="AM285" s="48" t="str">
        <f t="shared" si="64"/>
        <v/>
      </c>
    </row>
    <row r="286" spans="1:39" s="57" customFormat="1" ht="14">
      <c r="A286" s="45"/>
      <c r="B286" s="46"/>
      <c r="C286" s="47">
        <f>IF(B286&lt;&gt;"",VLOOKUP(B286,'Tipo Projeto'!$A$3:$B$35,2,0),0)</f>
        <v>0</v>
      </c>
      <c r="D286" s="48"/>
      <c r="E286" s="48"/>
      <c r="F286" s="49"/>
      <c r="G286" s="204"/>
      <c r="H286" s="50"/>
      <c r="I286" s="51"/>
      <c r="J286" s="52"/>
      <c r="K286" s="53"/>
      <c r="L286" s="54" t="str">
        <f t="shared" si="52"/>
        <v/>
      </c>
      <c r="M286" s="49" t="str">
        <f t="shared" si="53"/>
        <v/>
      </c>
      <c r="N286" s="55" t="str">
        <f t="shared" si="54"/>
        <v/>
      </c>
      <c r="O286" s="56">
        <f t="shared" si="55"/>
        <v>0</v>
      </c>
      <c r="P286" s="56">
        <f t="shared" si="56"/>
        <v>0</v>
      </c>
      <c r="Q286" s="55">
        <f t="shared" si="57"/>
        <v>0</v>
      </c>
      <c r="R286" s="48"/>
      <c r="T286" s="58"/>
      <c r="U286" s="46"/>
      <c r="V286" s="47">
        <f>IF(U286&lt;&gt;"",VLOOKUP(U286,'Tipo Projeto'!$A$3:$B$35,2,0),0)</f>
        <v>0</v>
      </c>
      <c r="W286" s="48"/>
      <c r="X286" s="50"/>
      <c r="Y286" s="51"/>
      <c r="Z286" s="52"/>
      <c r="AA286" s="53"/>
      <c r="AB286" s="54" t="str">
        <f t="shared" si="58"/>
        <v/>
      </c>
      <c r="AC286" s="49" t="str">
        <f t="shared" si="59"/>
        <v/>
      </c>
      <c r="AD286" s="55" t="str">
        <f t="shared" si="60"/>
        <v/>
      </c>
      <c r="AE286" s="56">
        <f t="shared" si="61"/>
        <v>0</v>
      </c>
      <c r="AF286" s="56">
        <f t="shared" si="62"/>
        <v>0</v>
      </c>
      <c r="AG286" s="59">
        <f t="shared" si="63"/>
        <v>0</v>
      </c>
      <c r="AH286" s="48"/>
      <c r="AJ286" s="48"/>
      <c r="AL286" s="48"/>
      <c r="AM286" s="48" t="str">
        <f t="shared" si="64"/>
        <v/>
      </c>
    </row>
    <row r="287" spans="1:39" s="57" customFormat="1" ht="14">
      <c r="A287" s="45"/>
      <c r="B287" s="46"/>
      <c r="C287" s="47">
        <f>IF(B287&lt;&gt;"",VLOOKUP(B287,'Tipo Projeto'!$A$3:$B$35,2,0),0)</f>
        <v>0</v>
      </c>
      <c r="D287" s="48"/>
      <c r="E287" s="48"/>
      <c r="F287" s="49"/>
      <c r="G287" s="204"/>
      <c r="H287" s="50"/>
      <c r="I287" s="51"/>
      <c r="J287" s="52"/>
      <c r="K287" s="53"/>
      <c r="L287" s="54" t="str">
        <f t="shared" si="52"/>
        <v/>
      </c>
      <c r="M287" s="49" t="str">
        <f t="shared" si="53"/>
        <v/>
      </c>
      <c r="N287" s="55" t="str">
        <f t="shared" si="54"/>
        <v/>
      </c>
      <c r="O287" s="56">
        <f t="shared" si="55"/>
        <v>0</v>
      </c>
      <c r="P287" s="56">
        <f t="shared" si="56"/>
        <v>0</v>
      </c>
      <c r="Q287" s="55">
        <f t="shared" si="57"/>
        <v>0</v>
      </c>
      <c r="R287" s="48"/>
      <c r="T287" s="58"/>
      <c r="U287" s="46"/>
      <c r="V287" s="47">
        <f>IF(U287&lt;&gt;"",VLOOKUP(U287,'Tipo Projeto'!$A$3:$B$35,2,0),0)</f>
        <v>0</v>
      </c>
      <c r="W287" s="48"/>
      <c r="X287" s="50"/>
      <c r="Y287" s="51"/>
      <c r="Z287" s="52"/>
      <c r="AA287" s="53"/>
      <c r="AB287" s="54" t="str">
        <f t="shared" si="58"/>
        <v/>
      </c>
      <c r="AC287" s="49" t="str">
        <f t="shared" si="59"/>
        <v/>
      </c>
      <c r="AD287" s="55" t="str">
        <f t="shared" si="60"/>
        <v/>
      </c>
      <c r="AE287" s="56">
        <f t="shared" si="61"/>
        <v>0</v>
      </c>
      <c r="AF287" s="56">
        <f t="shared" si="62"/>
        <v>0</v>
      </c>
      <c r="AG287" s="59">
        <f t="shared" si="63"/>
        <v>0</v>
      </c>
      <c r="AH287" s="48"/>
      <c r="AJ287" s="48"/>
      <c r="AL287" s="48"/>
      <c r="AM287" s="48" t="str">
        <f t="shared" si="64"/>
        <v/>
      </c>
    </row>
    <row r="288" spans="1:39" s="57" customFormat="1" ht="14">
      <c r="A288" s="45"/>
      <c r="B288" s="46"/>
      <c r="C288" s="47">
        <f>IF(B288&lt;&gt;"",VLOOKUP(B288,'Tipo Projeto'!$A$3:$B$35,2,0),0)</f>
        <v>0</v>
      </c>
      <c r="D288" s="48"/>
      <c r="E288" s="48"/>
      <c r="F288" s="49"/>
      <c r="G288" s="204"/>
      <c r="H288" s="50"/>
      <c r="I288" s="51"/>
      <c r="J288" s="52"/>
      <c r="K288" s="53"/>
      <c r="L288" s="54" t="str">
        <f t="shared" si="52"/>
        <v/>
      </c>
      <c r="M288" s="49" t="str">
        <f t="shared" si="53"/>
        <v/>
      </c>
      <c r="N288" s="55" t="str">
        <f t="shared" si="54"/>
        <v/>
      </c>
      <c r="O288" s="56">
        <f t="shared" si="55"/>
        <v>0</v>
      </c>
      <c r="P288" s="56">
        <f t="shared" si="56"/>
        <v>0</v>
      </c>
      <c r="Q288" s="55">
        <f t="shared" si="57"/>
        <v>0</v>
      </c>
      <c r="R288" s="48"/>
      <c r="T288" s="58"/>
      <c r="U288" s="46"/>
      <c r="V288" s="47">
        <f>IF(U288&lt;&gt;"",VLOOKUP(U288,'Tipo Projeto'!$A$3:$B$35,2,0),0)</f>
        <v>0</v>
      </c>
      <c r="W288" s="48"/>
      <c r="X288" s="50"/>
      <c r="Y288" s="51"/>
      <c r="Z288" s="52"/>
      <c r="AA288" s="53"/>
      <c r="AB288" s="54" t="str">
        <f t="shared" si="58"/>
        <v/>
      </c>
      <c r="AC288" s="49" t="str">
        <f t="shared" si="59"/>
        <v/>
      </c>
      <c r="AD288" s="55" t="str">
        <f t="shared" si="60"/>
        <v/>
      </c>
      <c r="AE288" s="56">
        <f t="shared" si="61"/>
        <v>0</v>
      </c>
      <c r="AF288" s="56">
        <f t="shared" si="62"/>
        <v>0</v>
      </c>
      <c r="AG288" s="59">
        <f t="shared" si="63"/>
        <v>0</v>
      </c>
      <c r="AH288" s="48"/>
      <c r="AJ288" s="48"/>
      <c r="AL288" s="48"/>
      <c r="AM288" s="48" t="str">
        <f t="shared" si="64"/>
        <v/>
      </c>
    </row>
    <row r="289" spans="1:39" s="57" customFormat="1" ht="14">
      <c r="A289" s="45"/>
      <c r="B289" s="46"/>
      <c r="C289" s="47">
        <f>IF(B289&lt;&gt;"",VLOOKUP(B289,'Tipo Projeto'!$A$3:$B$35,2,0),0)</f>
        <v>0</v>
      </c>
      <c r="D289" s="48"/>
      <c r="E289" s="48"/>
      <c r="F289" s="49"/>
      <c r="G289" s="204"/>
      <c r="H289" s="50"/>
      <c r="I289" s="51"/>
      <c r="J289" s="52"/>
      <c r="K289" s="53"/>
      <c r="L289" s="54" t="str">
        <f t="shared" si="52"/>
        <v/>
      </c>
      <c r="M289" s="49" t="str">
        <f t="shared" si="53"/>
        <v/>
      </c>
      <c r="N289" s="55" t="str">
        <f t="shared" si="54"/>
        <v/>
      </c>
      <c r="O289" s="56">
        <f t="shared" si="55"/>
        <v>0</v>
      </c>
      <c r="P289" s="56">
        <f t="shared" si="56"/>
        <v>0</v>
      </c>
      <c r="Q289" s="55">
        <f t="shared" si="57"/>
        <v>0</v>
      </c>
      <c r="R289" s="48"/>
      <c r="T289" s="58"/>
      <c r="U289" s="46"/>
      <c r="V289" s="47">
        <f>IF(U289&lt;&gt;"",VLOOKUP(U289,'Tipo Projeto'!$A$3:$B$35,2,0),0)</f>
        <v>0</v>
      </c>
      <c r="W289" s="48"/>
      <c r="X289" s="50"/>
      <c r="Y289" s="51"/>
      <c r="Z289" s="52"/>
      <c r="AA289" s="53"/>
      <c r="AB289" s="54" t="str">
        <f t="shared" si="58"/>
        <v/>
      </c>
      <c r="AC289" s="49" t="str">
        <f t="shared" si="59"/>
        <v/>
      </c>
      <c r="AD289" s="55" t="str">
        <f t="shared" si="60"/>
        <v/>
      </c>
      <c r="AE289" s="56">
        <f t="shared" si="61"/>
        <v>0</v>
      </c>
      <c r="AF289" s="56">
        <f t="shared" si="62"/>
        <v>0</v>
      </c>
      <c r="AG289" s="59">
        <f t="shared" si="63"/>
        <v>0</v>
      </c>
      <c r="AH289" s="48"/>
      <c r="AJ289" s="48"/>
      <c r="AL289" s="48"/>
      <c r="AM289" s="48" t="str">
        <f t="shared" si="64"/>
        <v/>
      </c>
    </row>
    <row r="290" spans="1:39" s="57" customFormat="1" ht="14">
      <c r="A290" s="45"/>
      <c r="B290" s="46"/>
      <c r="C290" s="47">
        <f>IF(B290&lt;&gt;"",VLOOKUP(B290,'Tipo Projeto'!$A$3:$B$35,2,0),0)</f>
        <v>0</v>
      </c>
      <c r="D290" s="48"/>
      <c r="E290" s="48"/>
      <c r="F290" s="49"/>
      <c r="G290" s="204"/>
      <c r="H290" s="50"/>
      <c r="I290" s="51"/>
      <c r="J290" s="52"/>
      <c r="K290" s="53"/>
      <c r="L290" s="54" t="str">
        <f t="shared" si="52"/>
        <v/>
      </c>
      <c r="M290" s="49" t="str">
        <f t="shared" si="53"/>
        <v/>
      </c>
      <c r="N290" s="55" t="str">
        <f t="shared" si="54"/>
        <v/>
      </c>
      <c r="O290" s="56">
        <f t="shared" si="55"/>
        <v>0</v>
      </c>
      <c r="P290" s="56">
        <f t="shared" si="56"/>
        <v>0</v>
      </c>
      <c r="Q290" s="55">
        <f t="shared" si="57"/>
        <v>0</v>
      </c>
      <c r="R290" s="48"/>
      <c r="T290" s="58"/>
      <c r="U290" s="46"/>
      <c r="V290" s="47">
        <f>IF(U290&lt;&gt;"",VLOOKUP(U290,'Tipo Projeto'!$A$3:$B$35,2,0),0)</f>
        <v>0</v>
      </c>
      <c r="W290" s="48"/>
      <c r="X290" s="50"/>
      <c r="Y290" s="51"/>
      <c r="Z290" s="52"/>
      <c r="AA290" s="53"/>
      <c r="AB290" s="54" t="str">
        <f t="shared" si="58"/>
        <v/>
      </c>
      <c r="AC290" s="49" t="str">
        <f t="shared" si="59"/>
        <v/>
      </c>
      <c r="AD290" s="55" t="str">
        <f t="shared" si="60"/>
        <v/>
      </c>
      <c r="AE290" s="56">
        <f t="shared" si="61"/>
        <v>0</v>
      </c>
      <c r="AF290" s="56">
        <f t="shared" si="62"/>
        <v>0</v>
      </c>
      <c r="AG290" s="59">
        <f t="shared" si="63"/>
        <v>0</v>
      </c>
      <c r="AH290" s="48"/>
      <c r="AJ290" s="48"/>
      <c r="AL290" s="48"/>
      <c r="AM290" s="48" t="str">
        <f t="shared" si="64"/>
        <v/>
      </c>
    </row>
    <row r="291" spans="1:39" s="57" customFormat="1" ht="14">
      <c r="A291" s="45"/>
      <c r="B291" s="46"/>
      <c r="C291" s="47">
        <f>IF(B291&lt;&gt;"",VLOOKUP(B291,'Tipo Projeto'!$A$3:$B$35,2,0),0)</f>
        <v>0</v>
      </c>
      <c r="D291" s="48"/>
      <c r="E291" s="48"/>
      <c r="F291" s="49"/>
      <c r="G291" s="204"/>
      <c r="H291" s="50"/>
      <c r="I291" s="51"/>
      <c r="J291" s="52"/>
      <c r="K291" s="53"/>
      <c r="L291" s="54" t="str">
        <f t="shared" si="52"/>
        <v/>
      </c>
      <c r="M291" s="49" t="str">
        <f t="shared" si="53"/>
        <v/>
      </c>
      <c r="N291" s="55" t="str">
        <f t="shared" si="54"/>
        <v/>
      </c>
      <c r="O291" s="56">
        <f t="shared" si="55"/>
        <v>0</v>
      </c>
      <c r="P291" s="56">
        <f t="shared" si="56"/>
        <v>0</v>
      </c>
      <c r="Q291" s="55">
        <f t="shared" si="57"/>
        <v>0</v>
      </c>
      <c r="R291" s="48"/>
      <c r="T291" s="58"/>
      <c r="U291" s="46"/>
      <c r="V291" s="47">
        <f>IF(U291&lt;&gt;"",VLOOKUP(U291,'Tipo Projeto'!$A$3:$B$35,2,0),0)</f>
        <v>0</v>
      </c>
      <c r="W291" s="48"/>
      <c r="X291" s="50"/>
      <c r="Y291" s="51"/>
      <c r="Z291" s="52"/>
      <c r="AA291" s="53"/>
      <c r="AB291" s="54" t="str">
        <f t="shared" si="58"/>
        <v/>
      </c>
      <c r="AC291" s="49" t="str">
        <f t="shared" si="59"/>
        <v/>
      </c>
      <c r="AD291" s="55" t="str">
        <f t="shared" si="60"/>
        <v/>
      </c>
      <c r="AE291" s="56">
        <f t="shared" si="61"/>
        <v>0</v>
      </c>
      <c r="AF291" s="56">
        <f t="shared" si="62"/>
        <v>0</v>
      </c>
      <c r="AG291" s="59">
        <f t="shared" si="63"/>
        <v>0</v>
      </c>
      <c r="AH291" s="48"/>
      <c r="AJ291" s="48"/>
      <c r="AL291" s="48"/>
      <c r="AM291" s="48" t="str">
        <f t="shared" si="64"/>
        <v/>
      </c>
    </row>
    <row r="292" spans="1:39" s="57" customFormat="1" ht="14">
      <c r="A292" s="45"/>
      <c r="B292" s="46"/>
      <c r="C292" s="47">
        <f>IF(B292&lt;&gt;"",VLOOKUP(B292,'Tipo Projeto'!$A$3:$B$35,2,0),0)</f>
        <v>0</v>
      </c>
      <c r="D292" s="48"/>
      <c r="E292" s="48"/>
      <c r="F292" s="49"/>
      <c r="G292" s="204"/>
      <c r="H292" s="50"/>
      <c r="I292" s="51"/>
      <c r="J292" s="52"/>
      <c r="K292" s="53"/>
      <c r="L292" s="54" t="str">
        <f t="shared" si="52"/>
        <v/>
      </c>
      <c r="M292" s="49" t="str">
        <f t="shared" si="53"/>
        <v/>
      </c>
      <c r="N292" s="55" t="str">
        <f t="shared" si="54"/>
        <v/>
      </c>
      <c r="O292" s="56">
        <f t="shared" si="55"/>
        <v>0</v>
      </c>
      <c r="P292" s="56">
        <f t="shared" si="56"/>
        <v>0</v>
      </c>
      <c r="Q292" s="55">
        <f t="shared" si="57"/>
        <v>0</v>
      </c>
      <c r="R292" s="48"/>
      <c r="T292" s="58"/>
      <c r="U292" s="46"/>
      <c r="V292" s="47">
        <f>IF(U292&lt;&gt;"",VLOOKUP(U292,'Tipo Projeto'!$A$3:$B$35,2,0),0)</f>
        <v>0</v>
      </c>
      <c r="W292" s="48"/>
      <c r="X292" s="50"/>
      <c r="Y292" s="51"/>
      <c r="Z292" s="52"/>
      <c r="AA292" s="53"/>
      <c r="AB292" s="54" t="str">
        <f t="shared" si="58"/>
        <v/>
      </c>
      <c r="AC292" s="49" t="str">
        <f t="shared" si="59"/>
        <v/>
      </c>
      <c r="AD292" s="55" t="str">
        <f t="shared" si="60"/>
        <v/>
      </c>
      <c r="AE292" s="56">
        <f t="shared" si="61"/>
        <v>0</v>
      </c>
      <c r="AF292" s="56">
        <f t="shared" si="62"/>
        <v>0</v>
      </c>
      <c r="AG292" s="59">
        <f t="shared" si="63"/>
        <v>0</v>
      </c>
      <c r="AH292" s="48"/>
      <c r="AJ292" s="48"/>
      <c r="AL292" s="48"/>
      <c r="AM292" s="48" t="str">
        <f t="shared" si="64"/>
        <v/>
      </c>
    </row>
    <row r="293" spans="1:39" s="57" customFormat="1" ht="14">
      <c r="A293" s="45"/>
      <c r="B293" s="46"/>
      <c r="C293" s="47">
        <f>IF(B293&lt;&gt;"",VLOOKUP(B293,'Tipo Projeto'!$A$3:$B$35,2,0),0)</f>
        <v>0</v>
      </c>
      <c r="D293" s="48"/>
      <c r="E293" s="48"/>
      <c r="F293" s="49"/>
      <c r="G293" s="204"/>
      <c r="H293" s="50"/>
      <c r="I293" s="51"/>
      <c r="J293" s="52"/>
      <c r="K293" s="53"/>
      <c r="L293" s="54" t="str">
        <f t="shared" si="52"/>
        <v/>
      </c>
      <c r="M293" s="49" t="str">
        <f t="shared" si="53"/>
        <v/>
      </c>
      <c r="N293" s="55" t="str">
        <f t="shared" si="54"/>
        <v/>
      </c>
      <c r="O293" s="56">
        <f t="shared" si="55"/>
        <v>0</v>
      </c>
      <c r="P293" s="56">
        <f t="shared" si="56"/>
        <v>0</v>
      </c>
      <c r="Q293" s="55">
        <f t="shared" si="57"/>
        <v>0</v>
      </c>
      <c r="R293" s="48"/>
      <c r="T293" s="58"/>
      <c r="U293" s="46"/>
      <c r="V293" s="47">
        <f>IF(U293&lt;&gt;"",VLOOKUP(U293,'Tipo Projeto'!$A$3:$B$35,2,0),0)</f>
        <v>0</v>
      </c>
      <c r="W293" s="48"/>
      <c r="X293" s="50"/>
      <c r="Y293" s="51"/>
      <c r="Z293" s="52"/>
      <c r="AA293" s="53"/>
      <c r="AB293" s="54" t="str">
        <f t="shared" si="58"/>
        <v/>
      </c>
      <c r="AC293" s="49" t="str">
        <f t="shared" si="59"/>
        <v/>
      </c>
      <c r="AD293" s="55" t="str">
        <f t="shared" si="60"/>
        <v/>
      </c>
      <c r="AE293" s="56">
        <f t="shared" si="61"/>
        <v>0</v>
      </c>
      <c r="AF293" s="56">
        <f t="shared" si="62"/>
        <v>0</v>
      </c>
      <c r="AG293" s="59">
        <f t="shared" si="63"/>
        <v>0</v>
      </c>
      <c r="AH293" s="48"/>
      <c r="AJ293" s="48"/>
      <c r="AL293" s="48"/>
      <c r="AM293" s="48" t="str">
        <f t="shared" si="64"/>
        <v/>
      </c>
    </row>
    <row r="294" spans="1:39" s="57" customFormat="1" ht="14">
      <c r="A294" s="45"/>
      <c r="B294" s="46"/>
      <c r="C294" s="47">
        <f>IF(B294&lt;&gt;"",VLOOKUP(B294,'Tipo Projeto'!$A$3:$B$35,2,0),0)</f>
        <v>0</v>
      </c>
      <c r="D294" s="48"/>
      <c r="E294" s="48"/>
      <c r="F294" s="49"/>
      <c r="G294" s="204"/>
      <c r="H294" s="50"/>
      <c r="I294" s="51"/>
      <c r="J294" s="52"/>
      <c r="K294" s="53"/>
      <c r="L294" s="54" t="str">
        <f t="shared" si="52"/>
        <v/>
      </c>
      <c r="M294" s="49" t="str">
        <f t="shared" si="53"/>
        <v/>
      </c>
      <c r="N294" s="55" t="str">
        <f t="shared" si="54"/>
        <v/>
      </c>
      <c r="O294" s="56">
        <f t="shared" si="55"/>
        <v>0</v>
      </c>
      <c r="P294" s="56">
        <f t="shared" si="56"/>
        <v>0</v>
      </c>
      <c r="Q294" s="55">
        <f t="shared" si="57"/>
        <v>0</v>
      </c>
      <c r="R294" s="48"/>
      <c r="T294" s="58"/>
      <c r="U294" s="46"/>
      <c r="V294" s="47">
        <f>IF(U294&lt;&gt;"",VLOOKUP(U294,'Tipo Projeto'!$A$3:$B$35,2,0),0)</f>
        <v>0</v>
      </c>
      <c r="W294" s="48"/>
      <c r="X294" s="50"/>
      <c r="Y294" s="51"/>
      <c r="Z294" s="52"/>
      <c r="AA294" s="53"/>
      <c r="AB294" s="54" t="str">
        <f t="shared" si="58"/>
        <v/>
      </c>
      <c r="AC294" s="49" t="str">
        <f t="shared" si="59"/>
        <v/>
      </c>
      <c r="AD294" s="55" t="str">
        <f t="shared" si="60"/>
        <v/>
      </c>
      <c r="AE294" s="56">
        <f t="shared" si="61"/>
        <v>0</v>
      </c>
      <c r="AF294" s="56">
        <f t="shared" si="62"/>
        <v>0</v>
      </c>
      <c r="AG294" s="59">
        <f t="shared" si="63"/>
        <v>0</v>
      </c>
      <c r="AH294" s="48"/>
      <c r="AJ294" s="48"/>
      <c r="AL294" s="48"/>
      <c r="AM294" s="48" t="str">
        <f t="shared" si="64"/>
        <v/>
      </c>
    </row>
    <row r="295" spans="1:39" s="57" customFormat="1" ht="14">
      <c r="A295" s="45"/>
      <c r="B295" s="46"/>
      <c r="C295" s="47">
        <f>IF(B295&lt;&gt;"",VLOOKUP(B295,'Tipo Projeto'!$A$3:$B$35,2,0),0)</f>
        <v>0</v>
      </c>
      <c r="D295" s="48"/>
      <c r="E295" s="48"/>
      <c r="F295" s="49"/>
      <c r="G295" s="204"/>
      <c r="H295" s="50"/>
      <c r="I295" s="51"/>
      <c r="J295" s="52"/>
      <c r="K295" s="53"/>
      <c r="L295" s="54" t="str">
        <f t="shared" si="52"/>
        <v/>
      </c>
      <c r="M295" s="49" t="str">
        <f t="shared" si="53"/>
        <v/>
      </c>
      <c r="N295" s="55" t="str">
        <f t="shared" si="54"/>
        <v/>
      </c>
      <c r="O295" s="56">
        <f t="shared" si="55"/>
        <v>0</v>
      </c>
      <c r="P295" s="56">
        <f t="shared" si="56"/>
        <v>0</v>
      </c>
      <c r="Q295" s="55">
        <f t="shared" si="57"/>
        <v>0</v>
      </c>
      <c r="R295" s="48"/>
      <c r="T295" s="58"/>
      <c r="U295" s="46"/>
      <c r="V295" s="47">
        <f>IF(U295&lt;&gt;"",VLOOKUP(U295,'Tipo Projeto'!$A$3:$B$35,2,0),0)</f>
        <v>0</v>
      </c>
      <c r="W295" s="48"/>
      <c r="X295" s="50"/>
      <c r="Y295" s="51"/>
      <c r="Z295" s="52"/>
      <c r="AA295" s="53"/>
      <c r="AB295" s="54" t="str">
        <f t="shared" si="58"/>
        <v/>
      </c>
      <c r="AC295" s="49" t="str">
        <f t="shared" si="59"/>
        <v/>
      </c>
      <c r="AD295" s="55" t="str">
        <f t="shared" si="60"/>
        <v/>
      </c>
      <c r="AE295" s="56">
        <f t="shared" si="61"/>
        <v>0</v>
      </c>
      <c r="AF295" s="56">
        <f t="shared" si="62"/>
        <v>0</v>
      </c>
      <c r="AG295" s="59">
        <f t="shared" si="63"/>
        <v>0</v>
      </c>
      <c r="AH295" s="48"/>
      <c r="AJ295" s="48"/>
      <c r="AL295" s="48"/>
      <c r="AM295" s="48" t="str">
        <f t="shared" si="64"/>
        <v/>
      </c>
    </row>
    <row r="296" spans="1:39" s="57" customFormat="1" ht="14">
      <c r="A296" s="45"/>
      <c r="B296" s="46"/>
      <c r="C296" s="47">
        <f>IF(B296&lt;&gt;"",VLOOKUP(B296,'Tipo Projeto'!$A$3:$B$35,2,0),0)</f>
        <v>0</v>
      </c>
      <c r="D296" s="48"/>
      <c r="E296" s="48"/>
      <c r="F296" s="49"/>
      <c r="G296" s="204"/>
      <c r="H296" s="50"/>
      <c r="I296" s="51"/>
      <c r="J296" s="52"/>
      <c r="K296" s="53"/>
      <c r="L296" s="54" t="str">
        <f t="shared" si="52"/>
        <v/>
      </c>
      <c r="M296" s="49" t="str">
        <f t="shared" si="53"/>
        <v/>
      </c>
      <c r="N296" s="55" t="str">
        <f t="shared" si="54"/>
        <v/>
      </c>
      <c r="O296" s="56">
        <f t="shared" si="55"/>
        <v>0</v>
      </c>
      <c r="P296" s="56">
        <f t="shared" si="56"/>
        <v>0</v>
      </c>
      <c r="Q296" s="55">
        <f t="shared" si="57"/>
        <v>0</v>
      </c>
      <c r="R296" s="48"/>
      <c r="T296" s="58"/>
      <c r="U296" s="46"/>
      <c r="V296" s="47">
        <f>IF(U296&lt;&gt;"",VLOOKUP(U296,'Tipo Projeto'!$A$3:$B$35,2,0),0)</f>
        <v>0</v>
      </c>
      <c r="W296" s="48"/>
      <c r="X296" s="50"/>
      <c r="Y296" s="51"/>
      <c r="Z296" s="52"/>
      <c r="AA296" s="53"/>
      <c r="AB296" s="54" t="str">
        <f t="shared" si="58"/>
        <v/>
      </c>
      <c r="AC296" s="49" t="str">
        <f t="shared" si="59"/>
        <v/>
      </c>
      <c r="AD296" s="55" t="str">
        <f t="shared" si="60"/>
        <v/>
      </c>
      <c r="AE296" s="56">
        <f t="shared" si="61"/>
        <v>0</v>
      </c>
      <c r="AF296" s="56">
        <f t="shared" si="62"/>
        <v>0</v>
      </c>
      <c r="AG296" s="59">
        <f t="shared" si="63"/>
        <v>0</v>
      </c>
      <c r="AH296" s="48"/>
      <c r="AJ296" s="48"/>
      <c r="AL296" s="48"/>
      <c r="AM296" s="48" t="str">
        <f t="shared" si="64"/>
        <v/>
      </c>
    </row>
    <row r="297" spans="1:39" s="57" customFormat="1" ht="14">
      <c r="A297" s="45"/>
      <c r="B297" s="46"/>
      <c r="C297" s="47">
        <f>IF(B297&lt;&gt;"",VLOOKUP(B297,'Tipo Projeto'!$A$3:$B$35,2,0),0)</f>
        <v>0</v>
      </c>
      <c r="D297" s="48"/>
      <c r="E297" s="48"/>
      <c r="F297" s="49"/>
      <c r="G297" s="204"/>
      <c r="H297" s="50"/>
      <c r="I297" s="51"/>
      <c r="J297" s="52"/>
      <c r="K297" s="53"/>
      <c r="L297" s="54" t="str">
        <f t="shared" si="52"/>
        <v/>
      </c>
      <c r="M297" s="49" t="str">
        <f t="shared" si="53"/>
        <v/>
      </c>
      <c r="N297" s="55" t="str">
        <f t="shared" si="54"/>
        <v/>
      </c>
      <c r="O297" s="56">
        <f t="shared" si="55"/>
        <v>0</v>
      </c>
      <c r="P297" s="56">
        <f t="shared" si="56"/>
        <v>0</v>
      </c>
      <c r="Q297" s="55">
        <f t="shared" si="57"/>
        <v>0</v>
      </c>
      <c r="R297" s="48"/>
      <c r="T297" s="58"/>
      <c r="U297" s="46"/>
      <c r="V297" s="47">
        <f>IF(U297&lt;&gt;"",VLOOKUP(U297,'Tipo Projeto'!$A$3:$B$35,2,0),0)</f>
        <v>0</v>
      </c>
      <c r="W297" s="48"/>
      <c r="X297" s="50"/>
      <c r="Y297" s="51"/>
      <c r="Z297" s="52"/>
      <c r="AA297" s="53"/>
      <c r="AB297" s="54" t="str">
        <f t="shared" si="58"/>
        <v/>
      </c>
      <c r="AC297" s="49" t="str">
        <f t="shared" si="59"/>
        <v/>
      </c>
      <c r="AD297" s="55" t="str">
        <f t="shared" si="60"/>
        <v/>
      </c>
      <c r="AE297" s="56">
        <f t="shared" si="61"/>
        <v>0</v>
      </c>
      <c r="AF297" s="56">
        <f t="shared" si="62"/>
        <v>0</v>
      </c>
      <c r="AG297" s="59">
        <f t="shared" si="63"/>
        <v>0</v>
      </c>
      <c r="AH297" s="48"/>
      <c r="AJ297" s="48"/>
      <c r="AL297" s="48"/>
      <c r="AM297" s="48" t="str">
        <f t="shared" si="64"/>
        <v/>
      </c>
    </row>
    <row r="298" spans="1:39" s="57" customFormat="1" ht="14">
      <c r="A298" s="45"/>
      <c r="B298" s="46"/>
      <c r="C298" s="47">
        <f>IF(B298&lt;&gt;"",VLOOKUP(B298,'Tipo Projeto'!$A$3:$B$35,2,0),0)</f>
        <v>0</v>
      </c>
      <c r="D298" s="48"/>
      <c r="E298" s="48"/>
      <c r="F298" s="49"/>
      <c r="G298" s="204"/>
      <c r="H298" s="50"/>
      <c r="I298" s="51"/>
      <c r="J298" s="52"/>
      <c r="K298" s="53"/>
      <c r="L298" s="54" t="str">
        <f t="shared" si="52"/>
        <v/>
      </c>
      <c r="M298" s="49" t="str">
        <f t="shared" si="53"/>
        <v/>
      </c>
      <c r="N298" s="55" t="str">
        <f t="shared" si="54"/>
        <v/>
      </c>
      <c r="O298" s="56">
        <f t="shared" si="55"/>
        <v>0</v>
      </c>
      <c r="P298" s="56">
        <f t="shared" si="56"/>
        <v>0</v>
      </c>
      <c r="Q298" s="55">
        <f t="shared" si="57"/>
        <v>0</v>
      </c>
      <c r="R298" s="48"/>
      <c r="T298" s="58"/>
      <c r="U298" s="46"/>
      <c r="V298" s="47">
        <f>IF(U298&lt;&gt;"",VLOOKUP(U298,'Tipo Projeto'!$A$3:$B$35,2,0),0)</f>
        <v>0</v>
      </c>
      <c r="W298" s="48"/>
      <c r="X298" s="50"/>
      <c r="Y298" s="51"/>
      <c r="Z298" s="52"/>
      <c r="AA298" s="53"/>
      <c r="AB298" s="54" t="str">
        <f t="shared" si="58"/>
        <v/>
      </c>
      <c r="AC298" s="49" t="str">
        <f t="shared" si="59"/>
        <v/>
      </c>
      <c r="AD298" s="55" t="str">
        <f t="shared" si="60"/>
        <v/>
      </c>
      <c r="AE298" s="56">
        <f t="shared" si="61"/>
        <v>0</v>
      </c>
      <c r="AF298" s="56">
        <f t="shared" si="62"/>
        <v>0</v>
      </c>
      <c r="AG298" s="59">
        <f t="shared" si="63"/>
        <v>0</v>
      </c>
      <c r="AH298" s="48"/>
      <c r="AJ298" s="48"/>
      <c r="AL298" s="48"/>
      <c r="AM298" s="48" t="str">
        <f t="shared" si="64"/>
        <v/>
      </c>
    </row>
    <row r="299" spans="1:39" s="57" customFormat="1" ht="14">
      <c r="A299" s="45"/>
      <c r="B299" s="46"/>
      <c r="C299" s="47">
        <f>IF(B299&lt;&gt;"",VLOOKUP(B299,'Tipo Projeto'!$A$3:$B$35,2,0),0)</f>
        <v>0</v>
      </c>
      <c r="D299" s="48"/>
      <c r="E299" s="48"/>
      <c r="F299" s="49"/>
      <c r="G299" s="204"/>
      <c r="H299" s="50"/>
      <c r="I299" s="51"/>
      <c r="J299" s="52"/>
      <c r="K299" s="53"/>
      <c r="L299" s="54" t="str">
        <f t="shared" si="52"/>
        <v/>
      </c>
      <c r="M299" s="49" t="str">
        <f t="shared" si="53"/>
        <v/>
      </c>
      <c r="N299" s="55" t="str">
        <f t="shared" si="54"/>
        <v/>
      </c>
      <c r="O299" s="56">
        <f t="shared" si="55"/>
        <v>0</v>
      </c>
      <c r="P299" s="56">
        <f t="shared" si="56"/>
        <v>0</v>
      </c>
      <c r="Q299" s="55">
        <f t="shared" si="57"/>
        <v>0</v>
      </c>
      <c r="R299" s="48"/>
      <c r="T299" s="58"/>
      <c r="U299" s="46"/>
      <c r="V299" s="47">
        <f>IF(U299&lt;&gt;"",VLOOKUP(U299,'Tipo Projeto'!$A$3:$B$35,2,0),0)</f>
        <v>0</v>
      </c>
      <c r="W299" s="48"/>
      <c r="X299" s="50"/>
      <c r="Y299" s="51"/>
      <c r="Z299" s="52"/>
      <c r="AA299" s="53"/>
      <c r="AB299" s="54" t="str">
        <f t="shared" si="58"/>
        <v/>
      </c>
      <c r="AC299" s="49" t="str">
        <f t="shared" si="59"/>
        <v/>
      </c>
      <c r="AD299" s="55" t="str">
        <f t="shared" si="60"/>
        <v/>
      </c>
      <c r="AE299" s="56">
        <f t="shared" si="61"/>
        <v>0</v>
      </c>
      <c r="AF299" s="56">
        <f t="shared" si="62"/>
        <v>0</v>
      </c>
      <c r="AG299" s="59">
        <f t="shared" si="63"/>
        <v>0</v>
      </c>
      <c r="AH299" s="48"/>
      <c r="AJ299" s="48"/>
      <c r="AL299" s="48"/>
      <c r="AM299" s="48" t="str">
        <f t="shared" si="64"/>
        <v/>
      </c>
    </row>
    <row r="300" spans="1:39" s="57" customFormat="1" ht="14">
      <c r="A300" s="45"/>
      <c r="B300" s="46"/>
      <c r="C300" s="47">
        <f>IF(B300&lt;&gt;"",VLOOKUP(B300,'Tipo Projeto'!$A$3:$B$35,2,0),0)</f>
        <v>0</v>
      </c>
      <c r="D300" s="48"/>
      <c r="E300" s="48"/>
      <c r="F300" s="49"/>
      <c r="G300" s="204"/>
      <c r="H300" s="50"/>
      <c r="I300" s="51"/>
      <c r="J300" s="52"/>
      <c r="K300" s="53"/>
      <c r="L300" s="54" t="str">
        <f t="shared" si="52"/>
        <v/>
      </c>
      <c r="M300" s="49" t="str">
        <f t="shared" si="53"/>
        <v/>
      </c>
      <c r="N300" s="55" t="str">
        <f t="shared" si="54"/>
        <v/>
      </c>
      <c r="O300" s="56">
        <f t="shared" si="55"/>
        <v>0</v>
      </c>
      <c r="P300" s="56">
        <f t="shared" si="56"/>
        <v>0</v>
      </c>
      <c r="Q300" s="55">
        <f t="shared" si="57"/>
        <v>0</v>
      </c>
      <c r="R300" s="48"/>
      <c r="T300" s="58"/>
      <c r="U300" s="46"/>
      <c r="V300" s="47">
        <f>IF(U300&lt;&gt;"",VLOOKUP(U300,'Tipo Projeto'!$A$3:$B$35,2,0),0)</f>
        <v>0</v>
      </c>
      <c r="W300" s="48"/>
      <c r="X300" s="50"/>
      <c r="Y300" s="51"/>
      <c r="Z300" s="52"/>
      <c r="AA300" s="53"/>
      <c r="AB300" s="54" t="str">
        <f t="shared" si="58"/>
        <v/>
      </c>
      <c r="AC300" s="49" t="str">
        <f t="shared" si="59"/>
        <v/>
      </c>
      <c r="AD300" s="55" t="str">
        <f t="shared" si="60"/>
        <v/>
      </c>
      <c r="AE300" s="56">
        <f t="shared" si="61"/>
        <v>0</v>
      </c>
      <c r="AF300" s="56">
        <f t="shared" si="62"/>
        <v>0</v>
      </c>
      <c r="AG300" s="59">
        <f t="shared" si="63"/>
        <v>0</v>
      </c>
      <c r="AH300" s="48"/>
      <c r="AJ300" s="48"/>
      <c r="AL300" s="48"/>
      <c r="AM300" s="48" t="str">
        <f t="shared" si="64"/>
        <v/>
      </c>
    </row>
    <row r="301" spans="1:39" s="57" customFormat="1" ht="14">
      <c r="A301" s="45"/>
      <c r="B301" s="46"/>
      <c r="C301" s="47">
        <f>IF(B301&lt;&gt;"",VLOOKUP(B301,'Tipo Projeto'!$A$3:$B$35,2,0),0)</f>
        <v>0</v>
      </c>
      <c r="D301" s="48"/>
      <c r="E301" s="48"/>
      <c r="F301" s="49"/>
      <c r="G301" s="204"/>
      <c r="H301" s="50"/>
      <c r="I301" s="51"/>
      <c r="J301" s="52"/>
      <c r="K301" s="53"/>
      <c r="L301" s="54" t="str">
        <f t="shared" si="52"/>
        <v/>
      </c>
      <c r="M301" s="49" t="str">
        <f t="shared" si="53"/>
        <v/>
      </c>
      <c r="N301" s="55" t="str">
        <f t="shared" si="54"/>
        <v/>
      </c>
      <c r="O301" s="56">
        <f t="shared" si="55"/>
        <v>0</v>
      </c>
      <c r="P301" s="56">
        <f t="shared" si="56"/>
        <v>0</v>
      </c>
      <c r="Q301" s="55">
        <f t="shared" si="57"/>
        <v>0</v>
      </c>
      <c r="R301" s="48"/>
      <c r="T301" s="58"/>
      <c r="U301" s="46"/>
      <c r="V301" s="47">
        <f>IF(U301&lt;&gt;"",VLOOKUP(U301,'Tipo Projeto'!$A$3:$B$35,2,0),0)</f>
        <v>0</v>
      </c>
      <c r="W301" s="48"/>
      <c r="X301" s="50"/>
      <c r="Y301" s="51"/>
      <c r="Z301" s="52"/>
      <c r="AA301" s="53"/>
      <c r="AB301" s="54" t="str">
        <f t="shared" si="58"/>
        <v/>
      </c>
      <c r="AC301" s="49" t="str">
        <f t="shared" si="59"/>
        <v/>
      </c>
      <c r="AD301" s="55" t="str">
        <f t="shared" si="60"/>
        <v/>
      </c>
      <c r="AE301" s="56">
        <f t="shared" si="61"/>
        <v>0</v>
      </c>
      <c r="AF301" s="56">
        <f t="shared" si="62"/>
        <v>0</v>
      </c>
      <c r="AG301" s="59">
        <f t="shared" si="63"/>
        <v>0</v>
      </c>
      <c r="AH301" s="48"/>
      <c r="AJ301" s="48"/>
      <c r="AL301" s="48"/>
      <c r="AM301" s="48" t="str">
        <f t="shared" si="64"/>
        <v/>
      </c>
    </row>
    <row r="302" spans="1:39" s="57" customFormat="1" ht="14">
      <c r="A302" s="45"/>
      <c r="B302" s="46"/>
      <c r="C302" s="47">
        <f>IF(B302&lt;&gt;"",VLOOKUP(B302,'Tipo Projeto'!$A$3:$B$35,2,0),0)</f>
        <v>0</v>
      </c>
      <c r="D302" s="48"/>
      <c r="E302" s="48"/>
      <c r="F302" s="49"/>
      <c r="G302" s="204"/>
      <c r="H302" s="50"/>
      <c r="I302" s="51"/>
      <c r="J302" s="52"/>
      <c r="K302" s="53"/>
      <c r="L302" s="54" t="str">
        <f t="shared" si="52"/>
        <v/>
      </c>
      <c r="M302" s="49" t="str">
        <f t="shared" si="53"/>
        <v/>
      </c>
      <c r="N302" s="55" t="str">
        <f t="shared" si="54"/>
        <v/>
      </c>
      <c r="O302" s="56">
        <f t="shared" si="55"/>
        <v>0</v>
      </c>
      <c r="P302" s="56">
        <f t="shared" si="56"/>
        <v>0</v>
      </c>
      <c r="Q302" s="55">
        <f t="shared" si="57"/>
        <v>0</v>
      </c>
      <c r="R302" s="48"/>
      <c r="T302" s="58"/>
      <c r="U302" s="46"/>
      <c r="V302" s="47">
        <f>IF(U302&lt;&gt;"",VLOOKUP(U302,'Tipo Projeto'!$A$3:$B$35,2,0),0)</f>
        <v>0</v>
      </c>
      <c r="W302" s="48"/>
      <c r="X302" s="50"/>
      <c r="Y302" s="51"/>
      <c r="Z302" s="52"/>
      <c r="AA302" s="53"/>
      <c r="AB302" s="54" t="str">
        <f t="shared" si="58"/>
        <v/>
      </c>
      <c r="AC302" s="49" t="str">
        <f t="shared" si="59"/>
        <v/>
      </c>
      <c r="AD302" s="55" t="str">
        <f t="shared" si="60"/>
        <v/>
      </c>
      <c r="AE302" s="56">
        <f t="shared" si="61"/>
        <v>0</v>
      </c>
      <c r="AF302" s="56">
        <f t="shared" si="62"/>
        <v>0</v>
      </c>
      <c r="AG302" s="59">
        <f t="shared" si="63"/>
        <v>0</v>
      </c>
      <c r="AH302" s="48"/>
      <c r="AJ302" s="48"/>
      <c r="AL302" s="48"/>
      <c r="AM302" s="48" t="str">
        <f t="shared" si="64"/>
        <v/>
      </c>
    </row>
    <row r="303" spans="1:39" s="57" customFormat="1" ht="14">
      <c r="A303" s="45"/>
      <c r="B303" s="46"/>
      <c r="C303" s="47">
        <f>IF(B303&lt;&gt;"",VLOOKUP(B303,'Tipo Projeto'!$A$3:$B$35,2,0),0)</f>
        <v>0</v>
      </c>
      <c r="D303" s="48"/>
      <c r="E303" s="48"/>
      <c r="F303" s="49"/>
      <c r="G303" s="204"/>
      <c r="H303" s="50"/>
      <c r="I303" s="51"/>
      <c r="J303" s="52"/>
      <c r="K303" s="53"/>
      <c r="L303" s="54" t="str">
        <f t="shared" si="52"/>
        <v/>
      </c>
      <c r="M303" s="49" t="str">
        <f t="shared" si="53"/>
        <v/>
      </c>
      <c r="N303" s="55" t="str">
        <f t="shared" si="54"/>
        <v/>
      </c>
      <c r="O303" s="56">
        <f t="shared" si="55"/>
        <v>0</v>
      </c>
      <c r="P303" s="56">
        <f t="shared" si="56"/>
        <v>0</v>
      </c>
      <c r="Q303" s="55">
        <f t="shared" si="57"/>
        <v>0</v>
      </c>
      <c r="R303" s="48"/>
      <c r="T303" s="58"/>
      <c r="U303" s="46"/>
      <c r="V303" s="47">
        <f>IF(U303&lt;&gt;"",VLOOKUP(U303,'Tipo Projeto'!$A$3:$B$35,2,0),0)</f>
        <v>0</v>
      </c>
      <c r="W303" s="48"/>
      <c r="X303" s="50"/>
      <c r="Y303" s="51"/>
      <c r="Z303" s="52"/>
      <c r="AA303" s="53"/>
      <c r="AB303" s="54" t="str">
        <f t="shared" si="58"/>
        <v/>
      </c>
      <c r="AC303" s="49" t="str">
        <f t="shared" si="59"/>
        <v/>
      </c>
      <c r="AD303" s="55" t="str">
        <f t="shared" si="60"/>
        <v/>
      </c>
      <c r="AE303" s="56">
        <f t="shared" si="61"/>
        <v>0</v>
      </c>
      <c r="AF303" s="56">
        <f t="shared" si="62"/>
        <v>0</v>
      </c>
      <c r="AG303" s="59">
        <f t="shared" si="63"/>
        <v>0</v>
      </c>
      <c r="AH303" s="48"/>
      <c r="AJ303" s="48"/>
      <c r="AL303" s="48"/>
      <c r="AM303" s="48" t="str">
        <f t="shared" si="64"/>
        <v/>
      </c>
    </row>
    <row r="304" spans="1:39" s="57" customFormat="1" ht="14">
      <c r="A304" s="45"/>
      <c r="B304" s="46"/>
      <c r="C304" s="47">
        <f>IF(B304&lt;&gt;"",VLOOKUP(B304,'Tipo Projeto'!$A$3:$B$35,2,0),0)</f>
        <v>0</v>
      </c>
      <c r="D304" s="48"/>
      <c r="E304" s="48"/>
      <c r="F304" s="49"/>
      <c r="G304" s="204"/>
      <c r="H304" s="50"/>
      <c r="I304" s="51"/>
      <c r="J304" s="52"/>
      <c r="K304" s="53"/>
      <c r="L304" s="54" t="str">
        <f t="shared" si="52"/>
        <v/>
      </c>
      <c r="M304" s="49" t="str">
        <f t="shared" si="53"/>
        <v/>
      </c>
      <c r="N304" s="55" t="str">
        <f t="shared" si="54"/>
        <v/>
      </c>
      <c r="O304" s="56">
        <f t="shared" si="55"/>
        <v>0</v>
      </c>
      <c r="P304" s="56">
        <f t="shared" si="56"/>
        <v>0</v>
      </c>
      <c r="Q304" s="55">
        <f t="shared" si="57"/>
        <v>0</v>
      </c>
      <c r="R304" s="48"/>
      <c r="T304" s="58"/>
      <c r="U304" s="46"/>
      <c r="V304" s="47">
        <f>IF(U304&lt;&gt;"",VLOOKUP(U304,'Tipo Projeto'!$A$3:$B$35,2,0),0)</f>
        <v>0</v>
      </c>
      <c r="W304" s="48"/>
      <c r="X304" s="50"/>
      <c r="Y304" s="51"/>
      <c r="Z304" s="52"/>
      <c r="AA304" s="53"/>
      <c r="AB304" s="54" t="str">
        <f t="shared" si="58"/>
        <v/>
      </c>
      <c r="AC304" s="49" t="str">
        <f t="shared" si="59"/>
        <v/>
      </c>
      <c r="AD304" s="55" t="str">
        <f t="shared" si="60"/>
        <v/>
      </c>
      <c r="AE304" s="56">
        <f t="shared" si="61"/>
        <v>0</v>
      </c>
      <c r="AF304" s="56">
        <f t="shared" si="62"/>
        <v>0</v>
      </c>
      <c r="AG304" s="59">
        <f t="shared" si="63"/>
        <v>0</v>
      </c>
      <c r="AH304" s="48"/>
      <c r="AJ304" s="48"/>
      <c r="AL304" s="48"/>
      <c r="AM304" s="48" t="str">
        <f t="shared" si="64"/>
        <v/>
      </c>
    </row>
    <row r="305" spans="1:39" s="57" customFormat="1" ht="14">
      <c r="A305" s="45"/>
      <c r="B305" s="46"/>
      <c r="C305" s="47">
        <f>IF(B305&lt;&gt;"",VLOOKUP(B305,'Tipo Projeto'!$A$3:$B$35,2,0),0)</f>
        <v>0</v>
      </c>
      <c r="D305" s="48"/>
      <c r="E305" s="48"/>
      <c r="F305" s="49"/>
      <c r="G305" s="204"/>
      <c r="H305" s="50"/>
      <c r="I305" s="51"/>
      <c r="J305" s="52"/>
      <c r="K305" s="53"/>
      <c r="L305" s="54" t="str">
        <f t="shared" si="52"/>
        <v/>
      </c>
      <c r="M305" s="49" t="str">
        <f t="shared" si="53"/>
        <v/>
      </c>
      <c r="N305" s="55" t="str">
        <f t="shared" si="54"/>
        <v/>
      </c>
      <c r="O305" s="56">
        <f t="shared" si="55"/>
        <v>0</v>
      </c>
      <c r="P305" s="56">
        <f t="shared" si="56"/>
        <v>0</v>
      </c>
      <c r="Q305" s="55">
        <f t="shared" si="57"/>
        <v>0</v>
      </c>
      <c r="R305" s="48"/>
      <c r="T305" s="58"/>
      <c r="U305" s="46"/>
      <c r="V305" s="47">
        <f>IF(U305&lt;&gt;"",VLOOKUP(U305,'Tipo Projeto'!$A$3:$B$35,2,0),0)</f>
        <v>0</v>
      </c>
      <c r="W305" s="48"/>
      <c r="X305" s="50"/>
      <c r="Y305" s="51"/>
      <c r="Z305" s="52"/>
      <c r="AA305" s="53"/>
      <c r="AB305" s="54" t="str">
        <f t="shared" si="58"/>
        <v/>
      </c>
      <c r="AC305" s="49" t="str">
        <f t="shared" si="59"/>
        <v/>
      </c>
      <c r="AD305" s="55" t="str">
        <f t="shared" si="60"/>
        <v/>
      </c>
      <c r="AE305" s="56">
        <f t="shared" si="61"/>
        <v>0</v>
      </c>
      <c r="AF305" s="56">
        <f t="shared" si="62"/>
        <v>0</v>
      </c>
      <c r="AG305" s="59">
        <f t="shared" si="63"/>
        <v>0</v>
      </c>
      <c r="AH305" s="48"/>
      <c r="AJ305" s="48"/>
      <c r="AL305" s="48"/>
      <c r="AM305" s="48" t="str">
        <f t="shared" si="64"/>
        <v/>
      </c>
    </row>
    <row r="306" spans="1:39" s="57" customFormat="1" ht="14">
      <c r="A306" s="45"/>
      <c r="B306" s="46"/>
      <c r="C306" s="47">
        <f>IF(B306&lt;&gt;"",VLOOKUP(B306,'Tipo Projeto'!$A$3:$B$35,2,0),0)</f>
        <v>0</v>
      </c>
      <c r="D306" s="48"/>
      <c r="E306" s="48"/>
      <c r="F306" s="49"/>
      <c r="G306" s="204"/>
      <c r="H306" s="50"/>
      <c r="I306" s="51"/>
      <c r="J306" s="52"/>
      <c r="K306" s="53"/>
      <c r="L306" s="54" t="str">
        <f t="shared" si="52"/>
        <v/>
      </c>
      <c r="M306" s="49" t="str">
        <f t="shared" si="53"/>
        <v/>
      </c>
      <c r="N306" s="55" t="str">
        <f t="shared" si="54"/>
        <v/>
      </c>
      <c r="O306" s="56">
        <f t="shared" si="55"/>
        <v>0</v>
      </c>
      <c r="P306" s="56">
        <f t="shared" si="56"/>
        <v>0</v>
      </c>
      <c r="Q306" s="55">
        <f t="shared" si="57"/>
        <v>0</v>
      </c>
      <c r="R306" s="48"/>
      <c r="T306" s="58"/>
      <c r="U306" s="46"/>
      <c r="V306" s="47">
        <f>IF(U306&lt;&gt;"",VLOOKUP(U306,'Tipo Projeto'!$A$3:$B$35,2,0),0)</f>
        <v>0</v>
      </c>
      <c r="W306" s="48"/>
      <c r="X306" s="50"/>
      <c r="Y306" s="51"/>
      <c r="Z306" s="52"/>
      <c r="AA306" s="53"/>
      <c r="AB306" s="54" t="str">
        <f t="shared" si="58"/>
        <v/>
      </c>
      <c r="AC306" s="49" t="str">
        <f t="shared" si="59"/>
        <v/>
      </c>
      <c r="AD306" s="55" t="str">
        <f t="shared" si="60"/>
        <v/>
      </c>
      <c r="AE306" s="56">
        <f t="shared" si="61"/>
        <v>0</v>
      </c>
      <c r="AF306" s="56">
        <f t="shared" si="62"/>
        <v>0</v>
      </c>
      <c r="AG306" s="59">
        <f t="shared" si="63"/>
        <v>0</v>
      </c>
      <c r="AH306" s="48"/>
      <c r="AJ306" s="48"/>
      <c r="AL306" s="48"/>
      <c r="AM306" s="48" t="str">
        <f t="shared" si="64"/>
        <v/>
      </c>
    </row>
    <row r="307" spans="1:39" s="57" customFormat="1" ht="14">
      <c r="A307" s="45"/>
      <c r="B307" s="46"/>
      <c r="C307" s="47">
        <f>IF(B307&lt;&gt;"",VLOOKUP(B307,'Tipo Projeto'!$A$3:$B$35,2,0),0)</f>
        <v>0</v>
      </c>
      <c r="D307" s="48"/>
      <c r="E307" s="48"/>
      <c r="F307" s="49"/>
      <c r="G307" s="204"/>
      <c r="H307" s="50"/>
      <c r="I307" s="51"/>
      <c r="J307" s="52"/>
      <c r="K307" s="53"/>
      <c r="L307" s="54" t="str">
        <f t="shared" si="52"/>
        <v/>
      </c>
      <c r="M307" s="49" t="str">
        <f t="shared" si="53"/>
        <v/>
      </c>
      <c r="N307" s="55" t="str">
        <f t="shared" si="54"/>
        <v/>
      </c>
      <c r="O307" s="56">
        <f t="shared" si="55"/>
        <v>0</v>
      </c>
      <c r="P307" s="56">
        <f t="shared" si="56"/>
        <v>0</v>
      </c>
      <c r="Q307" s="55">
        <f t="shared" si="57"/>
        <v>0</v>
      </c>
      <c r="R307" s="48"/>
      <c r="T307" s="58"/>
      <c r="U307" s="46"/>
      <c r="V307" s="47">
        <f>IF(U307&lt;&gt;"",VLOOKUP(U307,'Tipo Projeto'!$A$3:$B$35,2,0),0)</f>
        <v>0</v>
      </c>
      <c r="W307" s="48"/>
      <c r="X307" s="50"/>
      <c r="Y307" s="51"/>
      <c r="Z307" s="52"/>
      <c r="AA307" s="53"/>
      <c r="AB307" s="54" t="str">
        <f t="shared" si="58"/>
        <v/>
      </c>
      <c r="AC307" s="49" t="str">
        <f t="shared" si="59"/>
        <v/>
      </c>
      <c r="AD307" s="55" t="str">
        <f t="shared" si="60"/>
        <v/>
      </c>
      <c r="AE307" s="56">
        <f t="shared" si="61"/>
        <v>0</v>
      </c>
      <c r="AF307" s="56">
        <f t="shared" si="62"/>
        <v>0</v>
      </c>
      <c r="AG307" s="59">
        <f t="shared" si="63"/>
        <v>0</v>
      </c>
      <c r="AH307" s="48"/>
      <c r="AJ307" s="48"/>
      <c r="AL307" s="48"/>
      <c r="AM307" s="48" t="str">
        <f t="shared" si="64"/>
        <v/>
      </c>
    </row>
    <row r="308" spans="1:39" s="57" customFormat="1" ht="14">
      <c r="A308" s="45"/>
      <c r="B308" s="46"/>
      <c r="C308" s="47">
        <f>IF(B308&lt;&gt;"",VLOOKUP(B308,'Tipo Projeto'!$A$3:$B$35,2,0),0)</f>
        <v>0</v>
      </c>
      <c r="D308" s="48"/>
      <c r="E308" s="48"/>
      <c r="F308" s="49"/>
      <c r="G308" s="204"/>
      <c r="H308" s="50"/>
      <c r="I308" s="51"/>
      <c r="J308" s="52"/>
      <c r="K308" s="53"/>
      <c r="L308" s="54" t="str">
        <f t="shared" si="52"/>
        <v/>
      </c>
      <c r="M308" s="49" t="str">
        <f t="shared" si="53"/>
        <v/>
      </c>
      <c r="N308" s="55" t="str">
        <f t="shared" si="54"/>
        <v/>
      </c>
      <c r="O308" s="56">
        <f t="shared" si="55"/>
        <v>0</v>
      </c>
      <c r="P308" s="56">
        <f t="shared" si="56"/>
        <v>0</v>
      </c>
      <c r="Q308" s="55">
        <f t="shared" si="57"/>
        <v>0</v>
      </c>
      <c r="R308" s="48"/>
      <c r="T308" s="58"/>
      <c r="U308" s="46"/>
      <c r="V308" s="47">
        <f>IF(U308&lt;&gt;"",VLOOKUP(U308,'Tipo Projeto'!$A$3:$B$35,2,0),0)</f>
        <v>0</v>
      </c>
      <c r="W308" s="48"/>
      <c r="X308" s="50"/>
      <c r="Y308" s="51"/>
      <c r="Z308" s="52"/>
      <c r="AA308" s="53"/>
      <c r="AB308" s="54" t="str">
        <f t="shared" si="58"/>
        <v/>
      </c>
      <c r="AC308" s="49" t="str">
        <f t="shared" si="59"/>
        <v/>
      </c>
      <c r="AD308" s="55" t="str">
        <f t="shared" si="60"/>
        <v/>
      </c>
      <c r="AE308" s="56">
        <f t="shared" si="61"/>
        <v>0</v>
      </c>
      <c r="AF308" s="56">
        <f t="shared" si="62"/>
        <v>0</v>
      </c>
      <c r="AG308" s="59">
        <f t="shared" si="63"/>
        <v>0</v>
      </c>
      <c r="AH308" s="48"/>
      <c r="AJ308" s="48"/>
      <c r="AL308" s="48"/>
      <c r="AM308" s="48" t="str">
        <f t="shared" si="64"/>
        <v/>
      </c>
    </row>
    <row r="309" spans="1:39" s="57" customFormat="1" ht="14">
      <c r="A309" s="45"/>
      <c r="B309" s="46"/>
      <c r="C309" s="47">
        <f>IF(B309&lt;&gt;"",VLOOKUP(B309,'Tipo Projeto'!$A$3:$B$35,2,0),0)</f>
        <v>0</v>
      </c>
      <c r="D309" s="48"/>
      <c r="E309" s="48"/>
      <c r="F309" s="49"/>
      <c r="G309" s="204"/>
      <c r="H309" s="50"/>
      <c r="I309" s="51"/>
      <c r="J309" s="52"/>
      <c r="K309" s="53"/>
      <c r="L309" s="54" t="str">
        <f t="shared" si="52"/>
        <v/>
      </c>
      <c r="M309" s="49" t="str">
        <f t="shared" si="53"/>
        <v/>
      </c>
      <c r="N309" s="55" t="str">
        <f t="shared" si="54"/>
        <v/>
      </c>
      <c r="O309" s="56">
        <f t="shared" si="55"/>
        <v>0</v>
      </c>
      <c r="P309" s="56">
        <f t="shared" si="56"/>
        <v>0</v>
      </c>
      <c r="Q309" s="55">
        <f t="shared" si="57"/>
        <v>0</v>
      </c>
      <c r="R309" s="48"/>
      <c r="T309" s="58"/>
      <c r="U309" s="46"/>
      <c r="V309" s="47">
        <f>IF(U309&lt;&gt;"",VLOOKUP(U309,'Tipo Projeto'!$A$3:$B$35,2,0),0)</f>
        <v>0</v>
      </c>
      <c r="W309" s="48"/>
      <c r="X309" s="50"/>
      <c r="Y309" s="51"/>
      <c r="Z309" s="52"/>
      <c r="AA309" s="53"/>
      <c r="AB309" s="54" t="str">
        <f t="shared" si="58"/>
        <v/>
      </c>
      <c r="AC309" s="49" t="str">
        <f t="shared" si="59"/>
        <v/>
      </c>
      <c r="AD309" s="55" t="str">
        <f t="shared" si="60"/>
        <v/>
      </c>
      <c r="AE309" s="56">
        <f t="shared" si="61"/>
        <v>0</v>
      </c>
      <c r="AF309" s="56">
        <f t="shared" si="62"/>
        <v>0</v>
      </c>
      <c r="AG309" s="59">
        <f t="shared" si="63"/>
        <v>0</v>
      </c>
      <c r="AH309" s="48"/>
      <c r="AJ309" s="48"/>
      <c r="AL309" s="48"/>
      <c r="AM309" s="48" t="str">
        <f t="shared" si="64"/>
        <v/>
      </c>
    </row>
    <row r="310" spans="1:39" s="57" customFormat="1" ht="14">
      <c r="A310" s="45"/>
      <c r="B310" s="46"/>
      <c r="C310" s="47">
        <f>IF(B310&lt;&gt;"",VLOOKUP(B310,'Tipo Projeto'!$A$3:$B$35,2,0),0)</f>
        <v>0</v>
      </c>
      <c r="D310" s="48"/>
      <c r="E310" s="48"/>
      <c r="F310" s="49"/>
      <c r="G310" s="204"/>
      <c r="H310" s="50"/>
      <c r="I310" s="51"/>
      <c r="J310" s="52"/>
      <c r="K310" s="53"/>
      <c r="L310" s="54" t="str">
        <f t="shared" si="52"/>
        <v/>
      </c>
      <c r="M310" s="49" t="str">
        <f t="shared" si="53"/>
        <v/>
      </c>
      <c r="N310" s="55" t="str">
        <f t="shared" si="54"/>
        <v/>
      </c>
      <c r="O310" s="56">
        <f t="shared" si="55"/>
        <v>0</v>
      </c>
      <c r="P310" s="56">
        <f t="shared" si="56"/>
        <v>0</v>
      </c>
      <c r="Q310" s="55">
        <f t="shared" si="57"/>
        <v>0</v>
      </c>
      <c r="R310" s="48"/>
      <c r="T310" s="58"/>
      <c r="U310" s="46"/>
      <c r="V310" s="47">
        <f>IF(U310&lt;&gt;"",VLOOKUP(U310,'Tipo Projeto'!$A$3:$B$35,2,0),0)</f>
        <v>0</v>
      </c>
      <c r="W310" s="48"/>
      <c r="X310" s="50"/>
      <c r="Y310" s="51"/>
      <c r="Z310" s="52"/>
      <c r="AA310" s="53"/>
      <c r="AB310" s="54" t="str">
        <f t="shared" si="58"/>
        <v/>
      </c>
      <c r="AC310" s="49" t="str">
        <f t="shared" si="59"/>
        <v/>
      </c>
      <c r="AD310" s="55" t="str">
        <f t="shared" si="60"/>
        <v/>
      </c>
      <c r="AE310" s="56">
        <f t="shared" si="61"/>
        <v>0</v>
      </c>
      <c r="AF310" s="56">
        <f t="shared" si="62"/>
        <v>0</v>
      </c>
      <c r="AG310" s="59">
        <f t="shared" si="63"/>
        <v>0</v>
      </c>
      <c r="AH310" s="48"/>
      <c r="AJ310" s="48"/>
      <c r="AL310" s="48"/>
      <c r="AM310" s="48" t="str">
        <f t="shared" si="64"/>
        <v/>
      </c>
    </row>
    <row r="311" spans="1:39" s="57" customFormat="1" ht="14">
      <c r="A311" s="45"/>
      <c r="B311" s="46"/>
      <c r="C311" s="47">
        <f>IF(B311&lt;&gt;"",VLOOKUP(B311,'Tipo Projeto'!$A$3:$B$35,2,0),0)</f>
        <v>0</v>
      </c>
      <c r="D311" s="48"/>
      <c r="E311" s="48"/>
      <c r="F311" s="49"/>
      <c r="G311" s="204"/>
      <c r="H311" s="50"/>
      <c r="I311" s="51"/>
      <c r="J311" s="52"/>
      <c r="K311" s="53"/>
      <c r="L311" s="54" t="str">
        <f t="shared" si="52"/>
        <v/>
      </c>
      <c r="M311" s="49" t="str">
        <f t="shared" si="53"/>
        <v/>
      </c>
      <c r="N311" s="55" t="str">
        <f t="shared" si="54"/>
        <v/>
      </c>
      <c r="O311" s="56">
        <f t="shared" si="55"/>
        <v>0</v>
      </c>
      <c r="P311" s="56">
        <f t="shared" si="56"/>
        <v>0</v>
      </c>
      <c r="Q311" s="55">
        <f t="shared" si="57"/>
        <v>0</v>
      </c>
      <c r="R311" s="48"/>
      <c r="T311" s="58"/>
      <c r="U311" s="46"/>
      <c r="V311" s="47">
        <f>IF(U311&lt;&gt;"",VLOOKUP(U311,'Tipo Projeto'!$A$3:$B$35,2,0),0)</f>
        <v>0</v>
      </c>
      <c r="W311" s="48"/>
      <c r="X311" s="50"/>
      <c r="Y311" s="51"/>
      <c r="Z311" s="52"/>
      <c r="AA311" s="53"/>
      <c r="AB311" s="54" t="str">
        <f t="shared" si="58"/>
        <v/>
      </c>
      <c r="AC311" s="49" t="str">
        <f t="shared" si="59"/>
        <v/>
      </c>
      <c r="AD311" s="55" t="str">
        <f t="shared" si="60"/>
        <v/>
      </c>
      <c r="AE311" s="56">
        <f t="shared" si="61"/>
        <v>0</v>
      </c>
      <c r="AF311" s="56">
        <f t="shared" si="62"/>
        <v>0</v>
      </c>
      <c r="AG311" s="59">
        <f t="shared" si="63"/>
        <v>0</v>
      </c>
      <c r="AH311" s="48"/>
      <c r="AJ311" s="48"/>
      <c r="AL311" s="48"/>
      <c r="AM311" s="48" t="str">
        <f t="shared" si="64"/>
        <v/>
      </c>
    </row>
    <row r="312" spans="1:39" s="57" customFormat="1" ht="14">
      <c r="A312" s="45"/>
      <c r="B312" s="46"/>
      <c r="C312" s="47">
        <f>IF(B312&lt;&gt;"",VLOOKUP(B312,'Tipo Projeto'!$A$3:$B$35,2,0),0)</f>
        <v>0</v>
      </c>
      <c r="D312" s="48"/>
      <c r="E312" s="48"/>
      <c r="F312" s="49"/>
      <c r="G312" s="204"/>
      <c r="H312" s="50"/>
      <c r="I312" s="51"/>
      <c r="J312" s="52"/>
      <c r="K312" s="53"/>
      <c r="L312" s="54" t="str">
        <f t="shared" si="52"/>
        <v/>
      </c>
      <c r="M312" s="49" t="str">
        <f t="shared" si="53"/>
        <v/>
      </c>
      <c r="N312" s="55" t="str">
        <f t="shared" si="54"/>
        <v/>
      </c>
      <c r="O312" s="56">
        <f t="shared" si="55"/>
        <v>0</v>
      </c>
      <c r="P312" s="56">
        <f t="shared" si="56"/>
        <v>0</v>
      </c>
      <c r="Q312" s="55">
        <f t="shared" si="57"/>
        <v>0</v>
      </c>
      <c r="R312" s="48"/>
      <c r="T312" s="58"/>
      <c r="U312" s="46"/>
      <c r="V312" s="47">
        <f>IF(U312&lt;&gt;"",VLOOKUP(U312,'Tipo Projeto'!$A$3:$B$35,2,0),0)</f>
        <v>0</v>
      </c>
      <c r="W312" s="48"/>
      <c r="X312" s="50"/>
      <c r="Y312" s="51"/>
      <c r="Z312" s="52"/>
      <c r="AA312" s="53"/>
      <c r="AB312" s="54" t="str">
        <f t="shared" si="58"/>
        <v/>
      </c>
      <c r="AC312" s="49" t="str">
        <f t="shared" si="59"/>
        <v/>
      </c>
      <c r="AD312" s="55" t="str">
        <f t="shared" si="60"/>
        <v/>
      </c>
      <c r="AE312" s="56">
        <f t="shared" si="61"/>
        <v>0</v>
      </c>
      <c r="AF312" s="56">
        <f t="shared" si="62"/>
        <v>0</v>
      </c>
      <c r="AG312" s="59">
        <f t="shared" si="63"/>
        <v>0</v>
      </c>
      <c r="AH312" s="48"/>
      <c r="AJ312" s="48"/>
      <c r="AL312" s="48"/>
      <c r="AM312" s="48" t="str">
        <f t="shared" si="64"/>
        <v/>
      </c>
    </row>
    <row r="313" spans="1:39" s="57" customFormat="1" ht="14">
      <c r="A313" s="45"/>
      <c r="B313" s="46"/>
      <c r="C313" s="47">
        <f>IF(B313&lt;&gt;"",VLOOKUP(B313,'Tipo Projeto'!$A$3:$B$35,2,0),0)</f>
        <v>0</v>
      </c>
      <c r="D313" s="48"/>
      <c r="E313" s="48"/>
      <c r="F313" s="49"/>
      <c r="G313" s="204"/>
      <c r="H313" s="50"/>
      <c r="I313" s="51"/>
      <c r="J313" s="52"/>
      <c r="K313" s="53"/>
      <c r="L313" s="54" t="str">
        <f t="shared" si="52"/>
        <v/>
      </c>
      <c r="M313" s="49" t="str">
        <f t="shared" si="53"/>
        <v/>
      </c>
      <c r="N313" s="55" t="str">
        <f t="shared" si="54"/>
        <v/>
      </c>
      <c r="O313" s="56">
        <f t="shared" si="55"/>
        <v>0</v>
      </c>
      <c r="P313" s="56">
        <f t="shared" si="56"/>
        <v>0</v>
      </c>
      <c r="Q313" s="55">
        <f t="shared" si="57"/>
        <v>0</v>
      </c>
      <c r="R313" s="48"/>
      <c r="T313" s="58"/>
      <c r="U313" s="46"/>
      <c r="V313" s="47">
        <f>IF(U313&lt;&gt;"",VLOOKUP(U313,'Tipo Projeto'!$A$3:$B$35,2,0),0)</f>
        <v>0</v>
      </c>
      <c r="W313" s="48"/>
      <c r="X313" s="50"/>
      <c r="Y313" s="51"/>
      <c r="Z313" s="52"/>
      <c r="AA313" s="53"/>
      <c r="AB313" s="54" t="str">
        <f t="shared" si="58"/>
        <v/>
      </c>
      <c r="AC313" s="49" t="str">
        <f t="shared" si="59"/>
        <v/>
      </c>
      <c r="AD313" s="55" t="str">
        <f t="shared" si="60"/>
        <v/>
      </c>
      <c r="AE313" s="56">
        <f t="shared" si="61"/>
        <v>0</v>
      </c>
      <c r="AF313" s="56">
        <f t="shared" si="62"/>
        <v>0</v>
      </c>
      <c r="AG313" s="59">
        <f t="shared" si="63"/>
        <v>0</v>
      </c>
      <c r="AH313" s="48"/>
      <c r="AJ313" s="48"/>
      <c r="AL313" s="48"/>
      <c r="AM313" s="48" t="str">
        <f t="shared" si="64"/>
        <v/>
      </c>
    </row>
    <row r="314" spans="1:39" s="57" customFormat="1" ht="14">
      <c r="A314" s="45"/>
      <c r="B314" s="46"/>
      <c r="C314" s="47">
        <f>IF(B314&lt;&gt;"",VLOOKUP(B314,'Tipo Projeto'!$A$3:$B$35,2,0),0)</f>
        <v>0</v>
      </c>
      <c r="D314" s="48"/>
      <c r="E314" s="48"/>
      <c r="F314" s="49"/>
      <c r="G314" s="204"/>
      <c r="H314" s="50"/>
      <c r="I314" s="51"/>
      <c r="J314" s="52"/>
      <c r="K314" s="53"/>
      <c r="L314" s="54" t="str">
        <f t="shared" si="52"/>
        <v/>
      </c>
      <c r="M314" s="49" t="str">
        <f t="shared" si="53"/>
        <v/>
      </c>
      <c r="N314" s="55" t="str">
        <f t="shared" si="54"/>
        <v/>
      </c>
      <c r="O314" s="56">
        <f t="shared" si="55"/>
        <v>0</v>
      </c>
      <c r="P314" s="56">
        <f t="shared" si="56"/>
        <v>0</v>
      </c>
      <c r="Q314" s="55">
        <f t="shared" si="57"/>
        <v>0</v>
      </c>
      <c r="R314" s="48"/>
      <c r="T314" s="58"/>
      <c r="U314" s="46"/>
      <c r="V314" s="47">
        <f>IF(U314&lt;&gt;"",VLOOKUP(U314,'Tipo Projeto'!$A$3:$B$35,2,0),0)</f>
        <v>0</v>
      </c>
      <c r="W314" s="48"/>
      <c r="X314" s="50"/>
      <c r="Y314" s="51"/>
      <c r="Z314" s="52"/>
      <c r="AA314" s="53"/>
      <c r="AB314" s="54" t="str">
        <f t="shared" si="58"/>
        <v/>
      </c>
      <c r="AC314" s="49" t="str">
        <f t="shared" si="59"/>
        <v/>
      </c>
      <c r="AD314" s="55" t="str">
        <f t="shared" si="60"/>
        <v/>
      </c>
      <c r="AE314" s="56">
        <f t="shared" si="61"/>
        <v>0</v>
      </c>
      <c r="AF314" s="56">
        <f t="shared" si="62"/>
        <v>0</v>
      </c>
      <c r="AG314" s="59">
        <f t="shared" si="63"/>
        <v>0</v>
      </c>
      <c r="AH314" s="48"/>
      <c r="AJ314" s="48"/>
      <c r="AL314" s="48"/>
      <c r="AM314" s="48" t="str">
        <f t="shared" si="64"/>
        <v/>
      </c>
    </row>
    <row r="315" spans="1:39" s="57" customFormat="1" ht="14">
      <c r="A315" s="45"/>
      <c r="B315" s="46"/>
      <c r="C315" s="47">
        <f>IF(B315&lt;&gt;"",VLOOKUP(B315,'Tipo Projeto'!$A$3:$B$35,2,0),0)</f>
        <v>0</v>
      </c>
      <c r="D315" s="48"/>
      <c r="E315" s="48"/>
      <c r="F315" s="49"/>
      <c r="G315" s="204"/>
      <c r="H315" s="50"/>
      <c r="I315" s="51"/>
      <c r="J315" s="52"/>
      <c r="K315" s="53"/>
      <c r="L315" s="54" t="str">
        <f t="shared" si="52"/>
        <v/>
      </c>
      <c r="M315" s="49" t="str">
        <f t="shared" si="53"/>
        <v/>
      </c>
      <c r="N315" s="55" t="str">
        <f t="shared" si="54"/>
        <v/>
      </c>
      <c r="O315" s="56">
        <f t="shared" si="55"/>
        <v>0</v>
      </c>
      <c r="P315" s="56">
        <f t="shared" si="56"/>
        <v>0</v>
      </c>
      <c r="Q315" s="55">
        <f t="shared" si="57"/>
        <v>0</v>
      </c>
      <c r="R315" s="48"/>
      <c r="T315" s="58"/>
      <c r="U315" s="46"/>
      <c r="V315" s="47">
        <f>IF(U315&lt;&gt;"",VLOOKUP(U315,'Tipo Projeto'!$A$3:$B$35,2,0),0)</f>
        <v>0</v>
      </c>
      <c r="W315" s="48"/>
      <c r="X315" s="50"/>
      <c r="Y315" s="51"/>
      <c r="Z315" s="52"/>
      <c r="AA315" s="53"/>
      <c r="AB315" s="54" t="str">
        <f t="shared" si="58"/>
        <v/>
      </c>
      <c r="AC315" s="49" t="str">
        <f t="shared" si="59"/>
        <v/>
      </c>
      <c r="AD315" s="55" t="str">
        <f t="shared" si="60"/>
        <v/>
      </c>
      <c r="AE315" s="56">
        <f t="shared" si="61"/>
        <v>0</v>
      </c>
      <c r="AF315" s="56">
        <f t="shared" si="62"/>
        <v>0</v>
      </c>
      <c r="AG315" s="59">
        <f t="shared" si="63"/>
        <v>0</v>
      </c>
      <c r="AH315" s="48"/>
      <c r="AJ315" s="48"/>
      <c r="AL315" s="48"/>
      <c r="AM315" s="48" t="str">
        <f t="shared" si="64"/>
        <v/>
      </c>
    </row>
    <row r="316" spans="1:39" s="57" customFormat="1" ht="14">
      <c r="A316" s="45"/>
      <c r="B316" s="46"/>
      <c r="C316" s="47">
        <f>IF(B316&lt;&gt;"",VLOOKUP(B316,'Tipo Projeto'!$A$3:$B$35,2,0),0)</f>
        <v>0</v>
      </c>
      <c r="D316" s="48"/>
      <c r="E316" s="48"/>
      <c r="F316" s="49"/>
      <c r="G316" s="204"/>
      <c r="H316" s="50"/>
      <c r="I316" s="51"/>
      <c r="J316" s="52"/>
      <c r="K316" s="53"/>
      <c r="L316" s="54" t="str">
        <f t="shared" si="52"/>
        <v/>
      </c>
      <c r="M316" s="49" t="str">
        <f t="shared" si="53"/>
        <v/>
      </c>
      <c r="N316" s="55" t="str">
        <f t="shared" si="54"/>
        <v/>
      </c>
      <c r="O316" s="56">
        <f t="shared" si="55"/>
        <v>0</v>
      </c>
      <c r="P316" s="56">
        <f t="shared" si="56"/>
        <v>0</v>
      </c>
      <c r="Q316" s="55">
        <f t="shared" si="57"/>
        <v>0</v>
      </c>
      <c r="R316" s="48"/>
      <c r="T316" s="58"/>
      <c r="U316" s="46"/>
      <c r="V316" s="47">
        <f>IF(U316&lt;&gt;"",VLOOKUP(U316,'Tipo Projeto'!$A$3:$B$35,2,0),0)</f>
        <v>0</v>
      </c>
      <c r="W316" s="48"/>
      <c r="X316" s="50"/>
      <c r="Y316" s="51"/>
      <c r="Z316" s="52"/>
      <c r="AA316" s="53"/>
      <c r="AB316" s="54" t="str">
        <f t="shared" si="58"/>
        <v/>
      </c>
      <c r="AC316" s="49" t="str">
        <f t="shared" si="59"/>
        <v/>
      </c>
      <c r="AD316" s="55" t="str">
        <f t="shared" si="60"/>
        <v/>
      </c>
      <c r="AE316" s="56">
        <f t="shared" si="61"/>
        <v>0</v>
      </c>
      <c r="AF316" s="56">
        <f t="shared" si="62"/>
        <v>0</v>
      </c>
      <c r="AG316" s="59">
        <f t="shared" si="63"/>
        <v>0</v>
      </c>
      <c r="AH316" s="48"/>
      <c r="AJ316" s="48"/>
      <c r="AL316" s="48"/>
      <c r="AM316" s="48" t="str">
        <f t="shared" si="64"/>
        <v/>
      </c>
    </row>
    <row r="317" spans="1:39" s="57" customFormat="1" ht="14">
      <c r="A317" s="45"/>
      <c r="B317" s="46"/>
      <c r="C317" s="47">
        <f>IF(B317&lt;&gt;"",VLOOKUP(B317,'Tipo Projeto'!$A$3:$B$35,2,0),0)</f>
        <v>0</v>
      </c>
      <c r="D317" s="48"/>
      <c r="E317" s="48"/>
      <c r="F317" s="49"/>
      <c r="G317" s="204"/>
      <c r="H317" s="50"/>
      <c r="I317" s="51"/>
      <c r="J317" s="52"/>
      <c r="K317" s="53"/>
      <c r="L317" s="54" t="str">
        <f t="shared" si="52"/>
        <v/>
      </c>
      <c r="M317" s="49" t="str">
        <f t="shared" si="53"/>
        <v/>
      </c>
      <c r="N317" s="55" t="str">
        <f t="shared" si="54"/>
        <v/>
      </c>
      <c r="O317" s="56">
        <f t="shared" si="55"/>
        <v>0</v>
      </c>
      <c r="P317" s="56">
        <f t="shared" si="56"/>
        <v>0</v>
      </c>
      <c r="Q317" s="55">
        <f t="shared" si="57"/>
        <v>0</v>
      </c>
      <c r="R317" s="48"/>
      <c r="T317" s="58"/>
      <c r="U317" s="46"/>
      <c r="V317" s="47">
        <f>IF(U317&lt;&gt;"",VLOOKUP(U317,'Tipo Projeto'!$A$3:$B$35,2,0),0)</f>
        <v>0</v>
      </c>
      <c r="W317" s="48"/>
      <c r="X317" s="50"/>
      <c r="Y317" s="51"/>
      <c r="Z317" s="52"/>
      <c r="AA317" s="53"/>
      <c r="AB317" s="54" t="str">
        <f t="shared" si="58"/>
        <v/>
      </c>
      <c r="AC317" s="49" t="str">
        <f t="shared" si="59"/>
        <v/>
      </c>
      <c r="AD317" s="55" t="str">
        <f t="shared" si="60"/>
        <v/>
      </c>
      <c r="AE317" s="56">
        <f t="shared" si="61"/>
        <v>0</v>
      </c>
      <c r="AF317" s="56">
        <f t="shared" si="62"/>
        <v>0</v>
      </c>
      <c r="AG317" s="59">
        <f t="shared" si="63"/>
        <v>0</v>
      </c>
      <c r="AH317" s="48"/>
      <c r="AJ317" s="48"/>
      <c r="AL317" s="48"/>
      <c r="AM317" s="48" t="str">
        <f t="shared" si="64"/>
        <v/>
      </c>
    </row>
    <row r="318" spans="1:39" s="57" customFormat="1" ht="14">
      <c r="A318" s="45"/>
      <c r="B318" s="46"/>
      <c r="C318" s="47">
        <f>IF(B318&lt;&gt;"",VLOOKUP(B318,'Tipo Projeto'!$A$3:$B$35,2,0),0)</f>
        <v>0</v>
      </c>
      <c r="D318" s="48"/>
      <c r="E318" s="48"/>
      <c r="F318" s="49"/>
      <c r="G318" s="204"/>
      <c r="H318" s="50"/>
      <c r="I318" s="51"/>
      <c r="J318" s="52"/>
      <c r="K318" s="53"/>
      <c r="L318" s="54" t="str">
        <f t="shared" si="52"/>
        <v/>
      </c>
      <c r="M318" s="49" t="str">
        <f t="shared" si="53"/>
        <v/>
      </c>
      <c r="N318" s="55" t="str">
        <f t="shared" si="54"/>
        <v/>
      </c>
      <c r="O318" s="56">
        <f t="shared" si="55"/>
        <v>0</v>
      </c>
      <c r="P318" s="56">
        <f t="shared" si="56"/>
        <v>0</v>
      </c>
      <c r="Q318" s="55">
        <f t="shared" si="57"/>
        <v>0</v>
      </c>
      <c r="R318" s="48"/>
      <c r="T318" s="58"/>
      <c r="U318" s="46"/>
      <c r="V318" s="47">
        <f>IF(U318&lt;&gt;"",VLOOKUP(U318,'Tipo Projeto'!$A$3:$B$35,2,0),0)</f>
        <v>0</v>
      </c>
      <c r="W318" s="48"/>
      <c r="X318" s="50"/>
      <c r="Y318" s="51"/>
      <c r="Z318" s="52"/>
      <c r="AA318" s="53"/>
      <c r="AB318" s="54" t="str">
        <f t="shared" si="58"/>
        <v/>
      </c>
      <c r="AC318" s="49" t="str">
        <f t="shared" si="59"/>
        <v/>
      </c>
      <c r="AD318" s="55" t="str">
        <f t="shared" si="60"/>
        <v/>
      </c>
      <c r="AE318" s="56">
        <f t="shared" si="61"/>
        <v>0</v>
      </c>
      <c r="AF318" s="56">
        <f t="shared" si="62"/>
        <v>0</v>
      </c>
      <c r="AG318" s="59">
        <f t="shared" si="63"/>
        <v>0</v>
      </c>
      <c r="AH318" s="48"/>
      <c r="AJ318" s="48"/>
      <c r="AL318" s="48"/>
      <c r="AM318" s="48" t="str">
        <f t="shared" si="64"/>
        <v/>
      </c>
    </row>
    <row r="319" spans="1:39" s="57" customFormat="1" ht="14">
      <c r="A319" s="45"/>
      <c r="B319" s="46"/>
      <c r="C319" s="47">
        <f>IF(B319&lt;&gt;"",VLOOKUP(B319,'Tipo Projeto'!$A$3:$B$35,2,0),0)</f>
        <v>0</v>
      </c>
      <c r="D319" s="48"/>
      <c r="E319" s="48"/>
      <c r="F319" s="49"/>
      <c r="G319" s="204"/>
      <c r="H319" s="50"/>
      <c r="I319" s="51"/>
      <c r="J319" s="52"/>
      <c r="K319" s="53"/>
      <c r="L319" s="54" t="str">
        <f t="shared" si="52"/>
        <v/>
      </c>
      <c r="M319" s="49" t="str">
        <f t="shared" si="53"/>
        <v/>
      </c>
      <c r="N319" s="55" t="str">
        <f t="shared" si="54"/>
        <v/>
      </c>
      <c r="O319" s="56">
        <f t="shared" si="55"/>
        <v>0</v>
      </c>
      <c r="P319" s="56">
        <f t="shared" si="56"/>
        <v>0</v>
      </c>
      <c r="Q319" s="55">
        <f t="shared" si="57"/>
        <v>0</v>
      </c>
      <c r="R319" s="48"/>
      <c r="T319" s="58"/>
      <c r="U319" s="46"/>
      <c r="V319" s="47">
        <f>IF(U319&lt;&gt;"",VLOOKUP(U319,'Tipo Projeto'!$A$3:$B$35,2,0),0)</f>
        <v>0</v>
      </c>
      <c r="W319" s="48"/>
      <c r="X319" s="50"/>
      <c r="Y319" s="51"/>
      <c r="Z319" s="52"/>
      <c r="AA319" s="53"/>
      <c r="AB319" s="54" t="str">
        <f t="shared" si="58"/>
        <v/>
      </c>
      <c r="AC319" s="49" t="str">
        <f t="shared" si="59"/>
        <v/>
      </c>
      <c r="AD319" s="55" t="str">
        <f t="shared" si="60"/>
        <v/>
      </c>
      <c r="AE319" s="56">
        <f t="shared" si="61"/>
        <v>0</v>
      </c>
      <c r="AF319" s="56">
        <f t="shared" si="62"/>
        <v>0</v>
      </c>
      <c r="AG319" s="59">
        <f t="shared" si="63"/>
        <v>0</v>
      </c>
      <c r="AH319" s="48"/>
      <c r="AJ319" s="48"/>
      <c r="AL319" s="48"/>
      <c r="AM319" s="48" t="str">
        <f t="shared" si="64"/>
        <v/>
      </c>
    </row>
    <row r="320" spans="1:39" s="57" customFormat="1" ht="14">
      <c r="A320" s="45"/>
      <c r="B320" s="46"/>
      <c r="C320" s="47">
        <f>IF(B320&lt;&gt;"",VLOOKUP(B320,'Tipo Projeto'!$A$3:$B$35,2,0),0)</f>
        <v>0</v>
      </c>
      <c r="D320" s="48"/>
      <c r="E320" s="48"/>
      <c r="F320" s="49"/>
      <c r="G320" s="204"/>
      <c r="H320" s="50"/>
      <c r="I320" s="51"/>
      <c r="J320" s="52"/>
      <c r="K320" s="53"/>
      <c r="L320" s="54" t="str">
        <f t="shared" si="52"/>
        <v/>
      </c>
      <c r="M320" s="49" t="str">
        <f t="shared" si="53"/>
        <v/>
      </c>
      <c r="N320" s="55" t="str">
        <f t="shared" si="54"/>
        <v/>
      </c>
      <c r="O320" s="56">
        <f t="shared" si="55"/>
        <v>0</v>
      </c>
      <c r="P320" s="56">
        <f t="shared" si="56"/>
        <v>0</v>
      </c>
      <c r="Q320" s="55">
        <f t="shared" si="57"/>
        <v>0</v>
      </c>
      <c r="R320" s="48"/>
      <c r="T320" s="58"/>
      <c r="U320" s="46"/>
      <c r="V320" s="47">
        <f>IF(U320&lt;&gt;"",VLOOKUP(U320,'Tipo Projeto'!$A$3:$B$35,2,0),0)</f>
        <v>0</v>
      </c>
      <c r="W320" s="48"/>
      <c r="X320" s="50"/>
      <c r="Y320" s="51"/>
      <c r="Z320" s="52"/>
      <c r="AA320" s="53"/>
      <c r="AB320" s="54" t="str">
        <f t="shared" si="58"/>
        <v/>
      </c>
      <c r="AC320" s="49" t="str">
        <f t="shared" si="59"/>
        <v/>
      </c>
      <c r="AD320" s="55" t="str">
        <f t="shared" si="60"/>
        <v/>
      </c>
      <c r="AE320" s="56">
        <f t="shared" si="61"/>
        <v>0</v>
      </c>
      <c r="AF320" s="56">
        <f t="shared" si="62"/>
        <v>0</v>
      </c>
      <c r="AG320" s="59">
        <f t="shared" si="63"/>
        <v>0</v>
      </c>
      <c r="AH320" s="48"/>
      <c r="AJ320" s="48"/>
      <c r="AL320" s="48"/>
      <c r="AM320" s="48" t="str">
        <f t="shared" si="64"/>
        <v/>
      </c>
    </row>
    <row r="321" spans="1:39" s="57" customFormat="1" ht="14">
      <c r="A321" s="45"/>
      <c r="B321" s="46"/>
      <c r="C321" s="47">
        <f>IF(B321&lt;&gt;"",VLOOKUP(B321,'Tipo Projeto'!$A$3:$B$35,2,0),0)</f>
        <v>0</v>
      </c>
      <c r="D321" s="48"/>
      <c r="E321" s="48"/>
      <c r="F321" s="49"/>
      <c r="G321" s="204"/>
      <c r="H321" s="50"/>
      <c r="I321" s="51"/>
      <c r="J321" s="52"/>
      <c r="K321" s="53"/>
      <c r="L321" s="54" t="str">
        <f t="shared" si="52"/>
        <v/>
      </c>
      <c r="M321" s="49" t="str">
        <f t="shared" si="53"/>
        <v/>
      </c>
      <c r="N321" s="55" t="str">
        <f t="shared" si="54"/>
        <v/>
      </c>
      <c r="O321" s="56">
        <f t="shared" si="55"/>
        <v>0</v>
      </c>
      <c r="P321" s="56">
        <f t="shared" si="56"/>
        <v>0</v>
      </c>
      <c r="Q321" s="55">
        <f t="shared" si="57"/>
        <v>0</v>
      </c>
      <c r="R321" s="48"/>
      <c r="T321" s="58"/>
      <c r="U321" s="46"/>
      <c r="V321" s="47">
        <f>IF(U321&lt;&gt;"",VLOOKUP(U321,'Tipo Projeto'!$A$3:$B$35,2,0),0)</f>
        <v>0</v>
      </c>
      <c r="W321" s="48"/>
      <c r="X321" s="50"/>
      <c r="Y321" s="51"/>
      <c r="Z321" s="52"/>
      <c r="AA321" s="53"/>
      <c r="AB321" s="54" t="str">
        <f t="shared" si="58"/>
        <v/>
      </c>
      <c r="AC321" s="49" t="str">
        <f t="shared" si="59"/>
        <v/>
      </c>
      <c r="AD321" s="55" t="str">
        <f t="shared" si="60"/>
        <v/>
      </c>
      <c r="AE321" s="56">
        <f t="shared" si="61"/>
        <v>0</v>
      </c>
      <c r="AF321" s="56">
        <f t="shared" si="62"/>
        <v>0</v>
      </c>
      <c r="AG321" s="59">
        <f t="shared" si="63"/>
        <v>0</v>
      </c>
      <c r="AH321" s="48"/>
      <c r="AJ321" s="48"/>
      <c r="AL321" s="48"/>
      <c r="AM321" s="48" t="str">
        <f t="shared" si="64"/>
        <v/>
      </c>
    </row>
    <row r="322" spans="1:39" s="57" customFormat="1" ht="14">
      <c r="A322" s="45"/>
      <c r="B322" s="46"/>
      <c r="C322" s="47">
        <f>IF(B322&lt;&gt;"",VLOOKUP(B322,'Tipo Projeto'!$A$3:$B$35,2,0),0)</f>
        <v>0</v>
      </c>
      <c r="D322" s="48"/>
      <c r="E322" s="48"/>
      <c r="F322" s="49"/>
      <c r="G322" s="204"/>
      <c r="H322" s="50"/>
      <c r="I322" s="51"/>
      <c r="J322" s="52"/>
      <c r="K322" s="53"/>
      <c r="L322" s="54" t="str">
        <f t="shared" si="52"/>
        <v/>
      </c>
      <c r="M322" s="49" t="str">
        <f t="shared" si="53"/>
        <v/>
      </c>
      <c r="N322" s="55" t="str">
        <f t="shared" si="54"/>
        <v/>
      </c>
      <c r="O322" s="56">
        <f t="shared" si="55"/>
        <v>0</v>
      </c>
      <c r="P322" s="56">
        <f t="shared" si="56"/>
        <v>0</v>
      </c>
      <c r="Q322" s="55">
        <f t="shared" si="57"/>
        <v>0</v>
      </c>
      <c r="R322" s="48"/>
      <c r="T322" s="58"/>
      <c r="U322" s="46"/>
      <c r="V322" s="47">
        <f>IF(U322&lt;&gt;"",VLOOKUP(U322,'Tipo Projeto'!$A$3:$B$35,2,0),0)</f>
        <v>0</v>
      </c>
      <c r="W322" s="48"/>
      <c r="X322" s="50"/>
      <c r="Y322" s="51"/>
      <c r="Z322" s="52"/>
      <c r="AA322" s="53"/>
      <c r="AB322" s="54" t="str">
        <f t="shared" si="58"/>
        <v/>
      </c>
      <c r="AC322" s="49" t="str">
        <f t="shared" si="59"/>
        <v/>
      </c>
      <c r="AD322" s="55" t="str">
        <f t="shared" si="60"/>
        <v/>
      </c>
      <c r="AE322" s="56">
        <f t="shared" si="61"/>
        <v>0</v>
      </c>
      <c r="AF322" s="56">
        <f t="shared" si="62"/>
        <v>0</v>
      </c>
      <c r="AG322" s="59">
        <f t="shared" si="63"/>
        <v>0</v>
      </c>
      <c r="AH322" s="48"/>
      <c r="AJ322" s="48"/>
      <c r="AL322" s="48"/>
      <c r="AM322" s="48" t="str">
        <f t="shared" si="64"/>
        <v/>
      </c>
    </row>
    <row r="323" spans="1:39" s="57" customFormat="1" ht="14">
      <c r="A323" s="45"/>
      <c r="B323" s="46"/>
      <c r="C323" s="47">
        <f>IF(B323&lt;&gt;"",VLOOKUP(B323,'Tipo Projeto'!$A$3:$B$35,2,0),0)</f>
        <v>0</v>
      </c>
      <c r="D323" s="48"/>
      <c r="E323" s="48"/>
      <c r="F323" s="49"/>
      <c r="G323" s="204"/>
      <c r="H323" s="50"/>
      <c r="I323" s="51"/>
      <c r="J323" s="52"/>
      <c r="K323" s="53"/>
      <c r="L323" s="54" t="str">
        <f t="shared" si="52"/>
        <v/>
      </c>
      <c r="M323" s="49" t="str">
        <f t="shared" si="53"/>
        <v/>
      </c>
      <c r="N323" s="55" t="str">
        <f t="shared" si="54"/>
        <v/>
      </c>
      <c r="O323" s="56">
        <f t="shared" si="55"/>
        <v>0</v>
      </c>
      <c r="P323" s="56">
        <f t="shared" si="56"/>
        <v>0</v>
      </c>
      <c r="Q323" s="55">
        <f t="shared" si="57"/>
        <v>0</v>
      </c>
      <c r="R323" s="48"/>
      <c r="T323" s="58"/>
      <c r="U323" s="46"/>
      <c r="V323" s="47">
        <f>IF(U323&lt;&gt;"",VLOOKUP(U323,'Tipo Projeto'!$A$3:$B$35,2,0),0)</f>
        <v>0</v>
      </c>
      <c r="W323" s="48"/>
      <c r="X323" s="50"/>
      <c r="Y323" s="51"/>
      <c r="Z323" s="52"/>
      <c r="AA323" s="53"/>
      <c r="AB323" s="54" t="str">
        <f t="shared" si="58"/>
        <v/>
      </c>
      <c r="AC323" s="49" t="str">
        <f t="shared" si="59"/>
        <v/>
      </c>
      <c r="AD323" s="55" t="str">
        <f t="shared" si="60"/>
        <v/>
      </c>
      <c r="AE323" s="56">
        <f t="shared" si="61"/>
        <v>0</v>
      </c>
      <c r="AF323" s="56">
        <f t="shared" si="62"/>
        <v>0</v>
      </c>
      <c r="AG323" s="59">
        <f t="shared" si="63"/>
        <v>0</v>
      </c>
      <c r="AH323" s="48"/>
      <c r="AJ323" s="48"/>
      <c r="AL323" s="48"/>
      <c r="AM323" s="48" t="str">
        <f t="shared" si="64"/>
        <v/>
      </c>
    </row>
    <row r="324" spans="1:39" s="57" customFormat="1" ht="14">
      <c r="A324" s="45"/>
      <c r="B324" s="46"/>
      <c r="C324" s="47">
        <f>IF(B324&lt;&gt;"",VLOOKUP(B324,'Tipo Projeto'!$A$3:$B$35,2,0),0)</f>
        <v>0</v>
      </c>
      <c r="D324" s="48"/>
      <c r="E324" s="48"/>
      <c r="F324" s="49"/>
      <c r="G324" s="204"/>
      <c r="H324" s="50"/>
      <c r="I324" s="51"/>
      <c r="J324" s="52"/>
      <c r="K324" s="53"/>
      <c r="L324" s="54" t="str">
        <f t="shared" si="52"/>
        <v/>
      </c>
      <c r="M324" s="49" t="str">
        <f t="shared" si="53"/>
        <v/>
      </c>
      <c r="N324" s="55" t="str">
        <f t="shared" si="54"/>
        <v/>
      </c>
      <c r="O324" s="56">
        <f t="shared" si="55"/>
        <v>0</v>
      </c>
      <c r="P324" s="56">
        <f t="shared" si="56"/>
        <v>0</v>
      </c>
      <c r="Q324" s="55">
        <f t="shared" si="57"/>
        <v>0</v>
      </c>
      <c r="R324" s="48"/>
      <c r="T324" s="58"/>
      <c r="U324" s="46"/>
      <c r="V324" s="47">
        <f>IF(U324&lt;&gt;"",VLOOKUP(U324,'Tipo Projeto'!$A$3:$B$35,2,0),0)</f>
        <v>0</v>
      </c>
      <c r="W324" s="48"/>
      <c r="X324" s="50"/>
      <c r="Y324" s="51"/>
      <c r="Z324" s="52"/>
      <c r="AA324" s="53"/>
      <c r="AB324" s="54" t="str">
        <f t="shared" si="58"/>
        <v/>
      </c>
      <c r="AC324" s="49" t="str">
        <f t="shared" si="59"/>
        <v/>
      </c>
      <c r="AD324" s="55" t="str">
        <f t="shared" si="60"/>
        <v/>
      </c>
      <c r="AE324" s="56">
        <f t="shared" si="61"/>
        <v>0</v>
      </c>
      <c r="AF324" s="56">
        <f t="shared" si="62"/>
        <v>0</v>
      </c>
      <c r="AG324" s="59">
        <f t="shared" si="63"/>
        <v>0</v>
      </c>
      <c r="AH324" s="48"/>
      <c r="AJ324" s="48"/>
      <c r="AL324" s="48"/>
      <c r="AM324" s="48" t="str">
        <f t="shared" si="64"/>
        <v/>
      </c>
    </row>
    <row r="325" spans="1:39" s="57" customFormat="1" ht="14">
      <c r="A325" s="45"/>
      <c r="B325" s="46"/>
      <c r="C325" s="47">
        <f>IF(B325&lt;&gt;"",VLOOKUP(B325,'Tipo Projeto'!$A$3:$B$35,2,0),0)</f>
        <v>0</v>
      </c>
      <c r="D325" s="48"/>
      <c r="E325" s="48"/>
      <c r="F325" s="49"/>
      <c r="G325" s="204"/>
      <c r="H325" s="50"/>
      <c r="I325" s="51"/>
      <c r="J325" s="52"/>
      <c r="K325" s="53"/>
      <c r="L325" s="54" t="str">
        <f t="shared" si="52"/>
        <v/>
      </c>
      <c r="M325" s="49" t="str">
        <f t="shared" si="53"/>
        <v/>
      </c>
      <c r="N325" s="55" t="str">
        <f t="shared" si="54"/>
        <v/>
      </c>
      <c r="O325" s="56">
        <f t="shared" si="55"/>
        <v>0</v>
      </c>
      <c r="P325" s="56">
        <f t="shared" si="56"/>
        <v>0</v>
      </c>
      <c r="Q325" s="55">
        <f t="shared" si="57"/>
        <v>0</v>
      </c>
      <c r="R325" s="48"/>
      <c r="T325" s="58"/>
      <c r="U325" s="46"/>
      <c r="V325" s="47">
        <f>IF(U325&lt;&gt;"",VLOOKUP(U325,'Tipo Projeto'!$A$3:$B$35,2,0),0)</f>
        <v>0</v>
      </c>
      <c r="W325" s="48"/>
      <c r="X325" s="50"/>
      <c r="Y325" s="51"/>
      <c r="Z325" s="52"/>
      <c r="AA325" s="53"/>
      <c r="AB325" s="54" t="str">
        <f t="shared" si="58"/>
        <v/>
      </c>
      <c r="AC325" s="49" t="str">
        <f t="shared" si="59"/>
        <v/>
      </c>
      <c r="AD325" s="55" t="str">
        <f t="shared" si="60"/>
        <v/>
      </c>
      <c r="AE325" s="56">
        <f t="shared" si="61"/>
        <v>0</v>
      </c>
      <c r="AF325" s="56">
        <f t="shared" si="62"/>
        <v>0</v>
      </c>
      <c r="AG325" s="59">
        <f t="shared" si="63"/>
        <v>0</v>
      </c>
      <c r="AH325" s="48"/>
      <c r="AJ325" s="48"/>
      <c r="AL325" s="48"/>
      <c r="AM325" s="48" t="str">
        <f t="shared" si="64"/>
        <v/>
      </c>
    </row>
    <row r="326" spans="1:39" s="57" customFormat="1" ht="14">
      <c r="A326" s="45"/>
      <c r="B326" s="46"/>
      <c r="C326" s="47">
        <f>IF(B326&lt;&gt;"",VLOOKUP(B326,'Tipo Projeto'!$A$3:$B$35,2,0),0)</f>
        <v>0</v>
      </c>
      <c r="D326" s="48"/>
      <c r="E326" s="48"/>
      <c r="F326" s="49"/>
      <c r="G326" s="204"/>
      <c r="H326" s="50"/>
      <c r="I326" s="51"/>
      <c r="J326" s="52"/>
      <c r="K326" s="53"/>
      <c r="L326" s="54" t="str">
        <f t="shared" si="52"/>
        <v/>
      </c>
      <c r="M326" s="49" t="str">
        <f t="shared" si="53"/>
        <v/>
      </c>
      <c r="N326" s="55" t="str">
        <f t="shared" si="54"/>
        <v/>
      </c>
      <c r="O326" s="56">
        <f t="shared" si="55"/>
        <v>0</v>
      </c>
      <c r="P326" s="56">
        <f t="shared" si="56"/>
        <v>0</v>
      </c>
      <c r="Q326" s="55">
        <f t="shared" si="57"/>
        <v>0</v>
      </c>
      <c r="R326" s="48"/>
      <c r="T326" s="58"/>
      <c r="U326" s="46"/>
      <c r="V326" s="47">
        <f>IF(U326&lt;&gt;"",VLOOKUP(U326,'Tipo Projeto'!$A$3:$B$35,2,0),0)</f>
        <v>0</v>
      </c>
      <c r="W326" s="48"/>
      <c r="X326" s="50"/>
      <c r="Y326" s="51"/>
      <c r="Z326" s="52"/>
      <c r="AA326" s="53"/>
      <c r="AB326" s="54" t="str">
        <f t="shared" si="58"/>
        <v/>
      </c>
      <c r="AC326" s="49" t="str">
        <f t="shared" si="59"/>
        <v/>
      </c>
      <c r="AD326" s="55" t="str">
        <f t="shared" si="60"/>
        <v/>
      </c>
      <c r="AE326" s="56">
        <f t="shared" si="61"/>
        <v>0</v>
      </c>
      <c r="AF326" s="56">
        <f t="shared" si="62"/>
        <v>0</v>
      </c>
      <c r="AG326" s="59">
        <f t="shared" si="63"/>
        <v>0</v>
      </c>
      <c r="AH326" s="48"/>
      <c r="AJ326" s="48"/>
      <c r="AL326" s="48"/>
      <c r="AM326" s="48" t="str">
        <f t="shared" si="64"/>
        <v/>
      </c>
    </row>
    <row r="327" spans="1:39" s="57" customFormat="1" ht="14">
      <c r="A327" s="45"/>
      <c r="B327" s="46"/>
      <c r="C327" s="47">
        <f>IF(B327&lt;&gt;"",VLOOKUP(B327,'Tipo Projeto'!$A$3:$B$35,2,0),0)</f>
        <v>0</v>
      </c>
      <c r="D327" s="48"/>
      <c r="E327" s="48"/>
      <c r="F327" s="49"/>
      <c r="G327" s="204"/>
      <c r="H327" s="50"/>
      <c r="I327" s="51"/>
      <c r="J327" s="52"/>
      <c r="K327" s="53"/>
      <c r="L327" s="54" t="str">
        <f t="shared" si="52"/>
        <v/>
      </c>
      <c r="M327" s="49" t="str">
        <f t="shared" si="53"/>
        <v/>
      </c>
      <c r="N327" s="55" t="str">
        <f t="shared" si="54"/>
        <v/>
      </c>
      <c r="O327" s="56">
        <f t="shared" si="55"/>
        <v>0</v>
      </c>
      <c r="P327" s="56">
        <f t="shared" si="56"/>
        <v>0</v>
      </c>
      <c r="Q327" s="55">
        <f t="shared" si="57"/>
        <v>0</v>
      </c>
      <c r="R327" s="48"/>
      <c r="T327" s="58"/>
      <c r="U327" s="46"/>
      <c r="V327" s="47">
        <f>IF(U327&lt;&gt;"",VLOOKUP(U327,'Tipo Projeto'!$A$3:$B$35,2,0),0)</f>
        <v>0</v>
      </c>
      <c r="W327" s="48"/>
      <c r="X327" s="50"/>
      <c r="Y327" s="51"/>
      <c r="Z327" s="52"/>
      <c r="AA327" s="53"/>
      <c r="AB327" s="54" t="str">
        <f t="shared" si="58"/>
        <v/>
      </c>
      <c r="AC327" s="49" t="str">
        <f t="shared" si="59"/>
        <v/>
      </c>
      <c r="AD327" s="55" t="str">
        <f t="shared" si="60"/>
        <v/>
      </c>
      <c r="AE327" s="56">
        <f t="shared" si="61"/>
        <v>0</v>
      </c>
      <c r="AF327" s="56">
        <f t="shared" si="62"/>
        <v>0</v>
      </c>
      <c r="AG327" s="59">
        <f t="shared" si="63"/>
        <v>0</v>
      </c>
      <c r="AH327" s="48"/>
      <c r="AJ327" s="48"/>
      <c r="AL327" s="48"/>
      <c r="AM327" s="48" t="str">
        <f t="shared" si="64"/>
        <v/>
      </c>
    </row>
    <row r="328" spans="1:39" s="57" customFormat="1" ht="14">
      <c r="A328" s="45"/>
      <c r="B328" s="46"/>
      <c r="C328" s="47">
        <f>IF(B328&lt;&gt;"",VLOOKUP(B328,'Tipo Projeto'!$A$3:$B$35,2,0),0)</f>
        <v>0</v>
      </c>
      <c r="D328" s="48"/>
      <c r="E328" s="48"/>
      <c r="F328" s="49"/>
      <c r="G328" s="204"/>
      <c r="H328" s="50"/>
      <c r="I328" s="51"/>
      <c r="J328" s="52"/>
      <c r="K328" s="53"/>
      <c r="L328" s="54" t="str">
        <f t="shared" si="52"/>
        <v/>
      </c>
      <c r="M328" s="49" t="str">
        <f t="shared" si="53"/>
        <v/>
      </c>
      <c r="N328" s="55" t="str">
        <f t="shared" si="54"/>
        <v/>
      </c>
      <c r="O328" s="56">
        <f t="shared" si="55"/>
        <v>0</v>
      </c>
      <c r="P328" s="56">
        <f t="shared" si="56"/>
        <v>0</v>
      </c>
      <c r="Q328" s="55">
        <f t="shared" si="57"/>
        <v>0</v>
      </c>
      <c r="R328" s="48"/>
      <c r="T328" s="58"/>
      <c r="U328" s="46"/>
      <c r="V328" s="47">
        <f>IF(U328&lt;&gt;"",VLOOKUP(U328,'Tipo Projeto'!$A$3:$B$35,2,0),0)</f>
        <v>0</v>
      </c>
      <c r="W328" s="48"/>
      <c r="X328" s="50"/>
      <c r="Y328" s="51"/>
      <c r="Z328" s="52"/>
      <c r="AA328" s="53"/>
      <c r="AB328" s="54" t="str">
        <f t="shared" si="58"/>
        <v/>
      </c>
      <c r="AC328" s="49" t="str">
        <f t="shared" si="59"/>
        <v/>
      </c>
      <c r="AD328" s="55" t="str">
        <f t="shared" si="60"/>
        <v/>
      </c>
      <c r="AE328" s="56">
        <f t="shared" si="61"/>
        <v>0</v>
      </c>
      <c r="AF328" s="56">
        <f t="shared" si="62"/>
        <v>0</v>
      </c>
      <c r="AG328" s="59">
        <f t="shared" si="63"/>
        <v>0</v>
      </c>
      <c r="AH328" s="48"/>
      <c r="AJ328" s="48"/>
      <c r="AL328" s="48"/>
      <c r="AM328" s="48" t="str">
        <f t="shared" si="64"/>
        <v/>
      </c>
    </row>
    <row r="329" spans="1:39" s="57" customFormat="1" ht="14">
      <c r="A329" s="45"/>
      <c r="B329" s="46"/>
      <c r="C329" s="47">
        <f>IF(B329&lt;&gt;"",VLOOKUP(B329,'Tipo Projeto'!$A$3:$B$35,2,0),0)</f>
        <v>0</v>
      </c>
      <c r="D329" s="48"/>
      <c r="E329" s="48"/>
      <c r="F329" s="49"/>
      <c r="G329" s="204"/>
      <c r="H329" s="50"/>
      <c r="I329" s="51"/>
      <c r="J329" s="52"/>
      <c r="K329" s="53"/>
      <c r="L329" s="54" t="str">
        <f t="shared" si="52"/>
        <v/>
      </c>
      <c r="M329" s="49" t="str">
        <f t="shared" si="53"/>
        <v/>
      </c>
      <c r="N329" s="55" t="str">
        <f t="shared" si="54"/>
        <v/>
      </c>
      <c r="O329" s="56">
        <f t="shared" si="55"/>
        <v>0</v>
      </c>
      <c r="P329" s="56">
        <f t="shared" si="56"/>
        <v>0</v>
      </c>
      <c r="Q329" s="55">
        <f t="shared" si="57"/>
        <v>0</v>
      </c>
      <c r="R329" s="48"/>
      <c r="T329" s="58"/>
      <c r="U329" s="46"/>
      <c r="V329" s="47">
        <f>IF(U329&lt;&gt;"",VLOOKUP(U329,'Tipo Projeto'!$A$3:$B$35,2,0),0)</f>
        <v>0</v>
      </c>
      <c r="W329" s="48"/>
      <c r="X329" s="50"/>
      <c r="Y329" s="51"/>
      <c r="Z329" s="52"/>
      <c r="AA329" s="53"/>
      <c r="AB329" s="54" t="str">
        <f t="shared" si="58"/>
        <v/>
      </c>
      <c r="AC329" s="49" t="str">
        <f t="shared" si="59"/>
        <v/>
      </c>
      <c r="AD329" s="55" t="str">
        <f t="shared" si="60"/>
        <v/>
      </c>
      <c r="AE329" s="56">
        <f t="shared" si="61"/>
        <v>0</v>
      </c>
      <c r="AF329" s="56">
        <f t="shared" si="62"/>
        <v>0</v>
      </c>
      <c r="AG329" s="59">
        <f t="shared" si="63"/>
        <v>0</v>
      </c>
      <c r="AH329" s="48"/>
      <c r="AJ329" s="48"/>
      <c r="AL329" s="48"/>
      <c r="AM329" s="48" t="str">
        <f t="shared" si="64"/>
        <v/>
      </c>
    </row>
    <row r="330" spans="1:39" s="57" customFormat="1" ht="14">
      <c r="A330" s="45"/>
      <c r="B330" s="46"/>
      <c r="C330" s="47">
        <f>IF(B330&lt;&gt;"",VLOOKUP(B330,'Tipo Projeto'!$A$3:$B$35,2,0),0)</f>
        <v>0</v>
      </c>
      <c r="D330" s="48"/>
      <c r="E330" s="48"/>
      <c r="F330" s="49"/>
      <c r="G330" s="204"/>
      <c r="H330" s="50"/>
      <c r="I330" s="51"/>
      <c r="J330" s="52"/>
      <c r="K330" s="53"/>
      <c r="L330" s="54"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9"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5" t="str">
        <f t="shared" ref="N330:N382" si="67">IF(L330="",M330,IF(M330="",L330,""))</f>
        <v/>
      </c>
      <c r="O330" s="56">
        <f t="shared" ref="O330:O382" si="68">IF(AND(OR(G330="EE",G330="CE"),N330="Simples"),3, IF(AND(OR(G330="EE",G330="CE"),N330="Médio"),4, IF(AND(OR(G330="EE",G330="CE"),N330="Complexo"),6, IF(AND(G330="SE",N330="Simples"),4, IF(AND(G330="SE",N330="Médio"),5, IF(AND(G330="SE",N330="Complexo"),7,0))))))</f>
        <v>0</v>
      </c>
      <c r="P330" s="56">
        <f t="shared" ref="P330:P382" si="69">IF(AND(G330="ALI",M330="Simples"),7, IF(AND(G330="ALI",M330="Médio"),10, IF(AND(G330="ALI",M330="Complexo"),15, IF(AND(G330="AIE",M330="Simples"),5, IF(AND(G330="AIE",M330="Médio"),7, IF(AND(G330="AIE",M330="Complexo"),10,0))))))</f>
        <v>0</v>
      </c>
      <c r="Q330" s="55">
        <f t="shared" ref="Q330:Q382" si="70">IF(B330&lt;&gt;"Manutenção em interface",IF(B330&lt;&gt;"Desenv., Manutenção e Publicação de Páginas Estáticas",(O330+P330)*C330,C330),C330)</f>
        <v>0</v>
      </c>
      <c r="R330" s="48"/>
      <c r="T330" s="58"/>
      <c r="U330" s="46"/>
      <c r="V330" s="47">
        <f>IF(U330&lt;&gt;"",VLOOKUP(U330,'Tipo Projeto'!$A$3:$B$35,2,0),0)</f>
        <v>0</v>
      </c>
      <c r="W330" s="48"/>
      <c r="X330" s="50"/>
      <c r="Y330" s="51"/>
      <c r="Z330" s="52"/>
      <c r="AA330" s="53"/>
      <c r="AB330" s="54"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9"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5" t="str">
        <f t="shared" ref="AD330:AD382" si="73">IF(AB330="",AC330,IF(AC330="",AB330,""))</f>
        <v/>
      </c>
      <c r="AE330" s="56">
        <f t="shared" ref="AE330:AE382" si="74">IF(AND(OR(W330="EE",W330="CE"),AD330="Simples"),3, IF(AND(OR(W330="EE",W330="CE"),AD330="Médio"),4, IF(AND(OR(W330="EE",W330="CE"),AD330="Complexo"),6, IF(AND(W330="SE",AD330="Simples"),4, IF(AND(W330="SE",AD330="Médio"),5, IF(AND(W330="SE",AD330="Complexo"),7,0))))))</f>
        <v>0</v>
      </c>
      <c r="AF330" s="56">
        <f t="shared" ref="AF330:AF382" si="75">IF(AND(W330="ALI",AC330="Simples"),7, IF(AND(W330="ALI",AC330="Médio"),10, IF(AND(W330="ALI",AC330="Complexo"),15, IF(AND(W330="AIE",AC330="Simples"),5, IF(AND(W330="AIE",AC330="Médio"),7, IF(AND(W330="AIE",AC330="Complexo"),10,0))))))</f>
        <v>0</v>
      </c>
      <c r="AG330" s="59">
        <f t="shared" ref="AG330:AG382" si="76">IF(T330="OK",Q330,( IF(U330&lt;&gt;"Manutenção em interface",IF(U330&lt;&gt;"Desenv., Manutenção e Publicação de Páginas Estáticas",(AE330+AF330)*V330,V330),V330)))</f>
        <v>0</v>
      </c>
      <c r="AH330" s="48"/>
      <c r="AJ330" s="48"/>
      <c r="AL330" s="48"/>
      <c r="AM330" s="48" t="str">
        <f t="shared" ref="AM330:AM382" si="77">IF(AG330=0,"",IF(AG330=Q330,"OK","Divergente"))</f>
        <v/>
      </c>
    </row>
    <row r="331" spans="1:39" s="57" customFormat="1" ht="14">
      <c r="A331" s="45"/>
      <c r="B331" s="46"/>
      <c r="C331" s="47">
        <f>IF(B331&lt;&gt;"",VLOOKUP(B331,'Tipo Projeto'!$A$3:$B$35,2,0),0)</f>
        <v>0</v>
      </c>
      <c r="D331" s="48"/>
      <c r="E331" s="48"/>
      <c r="F331" s="49"/>
      <c r="G331" s="204"/>
      <c r="H331" s="50"/>
      <c r="I331" s="51"/>
      <c r="J331" s="52"/>
      <c r="K331" s="53"/>
      <c r="L331" s="54" t="str">
        <f t="shared" si="65"/>
        <v/>
      </c>
      <c r="M331" s="49" t="str">
        <f t="shared" si="66"/>
        <v/>
      </c>
      <c r="N331" s="55" t="str">
        <f t="shared" si="67"/>
        <v/>
      </c>
      <c r="O331" s="56">
        <f t="shared" si="68"/>
        <v>0</v>
      </c>
      <c r="P331" s="56">
        <f t="shared" si="69"/>
        <v>0</v>
      </c>
      <c r="Q331" s="55">
        <f t="shared" si="70"/>
        <v>0</v>
      </c>
      <c r="R331" s="48"/>
      <c r="T331" s="58"/>
      <c r="U331" s="46"/>
      <c r="V331" s="47">
        <f>IF(U331&lt;&gt;"",VLOOKUP(U331,'Tipo Projeto'!$A$3:$B$35,2,0),0)</f>
        <v>0</v>
      </c>
      <c r="W331" s="48"/>
      <c r="X331" s="50"/>
      <c r="Y331" s="51"/>
      <c r="Z331" s="52"/>
      <c r="AA331" s="53"/>
      <c r="AB331" s="54" t="str">
        <f t="shared" si="71"/>
        <v/>
      </c>
      <c r="AC331" s="49" t="str">
        <f t="shared" si="72"/>
        <v/>
      </c>
      <c r="AD331" s="55" t="str">
        <f t="shared" si="73"/>
        <v/>
      </c>
      <c r="AE331" s="56">
        <f t="shared" si="74"/>
        <v>0</v>
      </c>
      <c r="AF331" s="56">
        <f t="shared" si="75"/>
        <v>0</v>
      </c>
      <c r="AG331" s="59">
        <f t="shared" si="76"/>
        <v>0</v>
      </c>
      <c r="AH331" s="48"/>
      <c r="AJ331" s="48"/>
      <c r="AL331" s="48"/>
      <c r="AM331" s="48" t="str">
        <f t="shared" si="77"/>
        <v/>
      </c>
    </row>
    <row r="332" spans="1:39" s="57" customFormat="1" ht="14">
      <c r="A332" s="45"/>
      <c r="B332" s="46"/>
      <c r="C332" s="47">
        <f>IF(B332&lt;&gt;"",VLOOKUP(B332,'Tipo Projeto'!$A$3:$B$35,2,0),0)</f>
        <v>0</v>
      </c>
      <c r="D332" s="48"/>
      <c r="E332" s="48"/>
      <c r="F332" s="49"/>
      <c r="G332" s="204"/>
      <c r="H332" s="50"/>
      <c r="I332" s="51"/>
      <c r="J332" s="52"/>
      <c r="K332" s="53"/>
      <c r="L332" s="54" t="str">
        <f t="shared" si="65"/>
        <v/>
      </c>
      <c r="M332" s="49" t="str">
        <f t="shared" si="66"/>
        <v/>
      </c>
      <c r="N332" s="55" t="str">
        <f t="shared" si="67"/>
        <v/>
      </c>
      <c r="O332" s="56">
        <f t="shared" si="68"/>
        <v>0</v>
      </c>
      <c r="P332" s="56">
        <f t="shared" si="69"/>
        <v>0</v>
      </c>
      <c r="Q332" s="55">
        <f t="shared" si="70"/>
        <v>0</v>
      </c>
      <c r="R332" s="48"/>
      <c r="T332" s="58"/>
      <c r="U332" s="46"/>
      <c r="V332" s="47">
        <f>IF(U332&lt;&gt;"",VLOOKUP(U332,'Tipo Projeto'!$A$3:$B$35,2,0),0)</f>
        <v>0</v>
      </c>
      <c r="W332" s="48"/>
      <c r="X332" s="50"/>
      <c r="Y332" s="51"/>
      <c r="Z332" s="52"/>
      <c r="AA332" s="53"/>
      <c r="AB332" s="54" t="str">
        <f t="shared" si="71"/>
        <v/>
      </c>
      <c r="AC332" s="49" t="str">
        <f t="shared" si="72"/>
        <v/>
      </c>
      <c r="AD332" s="55" t="str">
        <f t="shared" si="73"/>
        <v/>
      </c>
      <c r="AE332" s="56">
        <f t="shared" si="74"/>
        <v>0</v>
      </c>
      <c r="AF332" s="56">
        <f t="shared" si="75"/>
        <v>0</v>
      </c>
      <c r="AG332" s="59">
        <f t="shared" si="76"/>
        <v>0</v>
      </c>
      <c r="AH332" s="48"/>
      <c r="AJ332" s="48"/>
      <c r="AL332" s="48"/>
      <c r="AM332" s="48" t="str">
        <f t="shared" si="77"/>
        <v/>
      </c>
    </row>
    <row r="333" spans="1:39" s="57" customFormat="1" ht="14">
      <c r="A333" s="45"/>
      <c r="B333" s="46"/>
      <c r="C333" s="47">
        <f>IF(B333&lt;&gt;"",VLOOKUP(B333,'Tipo Projeto'!$A$3:$B$35,2,0),0)</f>
        <v>0</v>
      </c>
      <c r="D333" s="48"/>
      <c r="E333" s="48"/>
      <c r="F333" s="49"/>
      <c r="G333" s="204"/>
      <c r="H333" s="50"/>
      <c r="I333" s="51"/>
      <c r="J333" s="52"/>
      <c r="K333" s="53"/>
      <c r="L333" s="54" t="str">
        <f t="shared" si="65"/>
        <v/>
      </c>
      <c r="M333" s="49" t="str">
        <f t="shared" si="66"/>
        <v/>
      </c>
      <c r="N333" s="55" t="str">
        <f t="shared" si="67"/>
        <v/>
      </c>
      <c r="O333" s="56">
        <f t="shared" si="68"/>
        <v>0</v>
      </c>
      <c r="P333" s="56">
        <f t="shared" si="69"/>
        <v>0</v>
      </c>
      <c r="Q333" s="55">
        <f t="shared" si="70"/>
        <v>0</v>
      </c>
      <c r="R333" s="48"/>
      <c r="T333" s="58"/>
      <c r="U333" s="46"/>
      <c r="V333" s="47">
        <f>IF(U333&lt;&gt;"",VLOOKUP(U333,'Tipo Projeto'!$A$3:$B$35,2,0),0)</f>
        <v>0</v>
      </c>
      <c r="W333" s="48"/>
      <c r="X333" s="50"/>
      <c r="Y333" s="51"/>
      <c r="Z333" s="52"/>
      <c r="AA333" s="53"/>
      <c r="AB333" s="54" t="str">
        <f t="shared" si="71"/>
        <v/>
      </c>
      <c r="AC333" s="49" t="str">
        <f t="shared" si="72"/>
        <v/>
      </c>
      <c r="AD333" s="55" t="str">
        <f t="shared" si="73"/>
        <v/>
      </c>
      <c r="AE333" s="56">
        <f t="shared" si="74"/>
        <v>0</v>
      </c>
      <c r="AF333" s="56">
        <f t="shared" si="75"/>
        <v>0</v>
      </c>
      <c r="AG333" s="59">
        <f t="shared" si="76"/>
        <v>0</v>
      </c>
      <c r="AH333" s="48"/>
      <c r="AJ333" s="48"/>
      <c r="AL333" s="48"/>
      <c r="AM333" s="48" t="str">
        <f t="shared" si="77"/>
        <v/>
      </c>
    </row>
    <row r="334" spans="1:39" s="57" customFormat="1" ht="14">
      <c r="A334" s="45"/>
      <c r="B334" s="46"/>
      <c r="C334" s="47">
        <f>IF(B334&lt;&gt;"",VLOOKUP(B334,'Tipo Projeto'!$A$3:$B$35,2,0),0)</f>
        <v>0</v>
      </c>
      <c r="D334" s="48"/>
      <c r="E334" s="48"/>
      <c r="F334" s="49"/>
      <c r="G334" s="204"/>
      <c r="H334" s="50"/>
      <c r="I334" s="51"/>
      <c r="J334" s="52"/>
      <c r="K334" s="53"/>
      <c r="L334" s="54" t="str">
        <f t="shared" si="65"/>
        <v/>
      </c>
      <c r="M334" s="49" t="str">
        <f t="shared" si="66"/>
        <v/>
      </c>
      <c r="N334" s="55" t="str">
        <f t="shared" si="67"/>
        <v/>
      </c>
      <c r="O334" s="56">
        <f t="shared" si="68"/>
        <v>0</v>
      </c>
      <c r="P334" s="56">
        <f t="shared" si="69"/>
        <v>0</v>
      </c>
      <c r="Q334" s="55">
        <f t="shared" si="70"/>
        <v>0</v>
      </c>
      <c r="R334" s="48"/>
      <c r="T334" s="58"/>
      <c r="U334" s="46"/>
      <c r="V334" s="47">
        <f>IF(U334&lt;&gt;"",VLOOKUP(U334,'Tipo Projeto'!$A$3:$B$35,2,0),0)</f>
        <v>0</v>
      </c>
      <c r="W334" s="48"/>
      <c r="X334" s="50"/>
      <c r="Y334" s="51"/>
      <c r="Z334" s="52"/>
      <c r="AA334" s="53"/>
      <c r="AB334" s="54" t="str">
        <f t="shared" si="71"/>
        <v/>
      </c>
      <c r="AC334" s="49" t="str">
        <f t="shared" si="72"/>
        <v/>
      </c>
      <c r="AD334" s="55" t="str">
        <f t="shared" si="73"/>
        <v/>
      </c>
      <c r="AE334" s="56">
        <f t="shared" si="74"/>
        <v>0</v>
      </c>
      <c r="AF334" s="56">
        <f t="shared" si="75"/>
        <v>0</v>
      </c>
      <c r="AG334" s="59">
        <f t="shared" si="76"/>
        <v>0</v>
      </c>
      <c r="AH334" s="48"/>
      <c r="AJ334" s="48"/>
      <c r="AL334" s="48"/>
      <c r="AM334" s="48" t="str">
        <f t="shared" si="77"/>
        <v/>
      </c>
    </row>
    <row r="335" spans="1:39" s="57" customFormat="1" ht="14">
      <c r="A335" s="45"/>
      <c r="B335" s="46"/>
      <c r="C335" s="47">
        <f>IF(B335&lt;&gt;"",VLOOKUP(B335,'Tipo Projeto'!$A$3:$B$35,2,0),0)</f>
        <v>0</v>
      </c>
      <c r="D335" s="48"/>
      <c r="E335" s="48"/>
      <c r="F335" s="49"/>
      <c r="G335" s="204"/>
      <c r="H335" s="50"/>
      <c r="I335" s="51"/>
      <c r="J335" s="52"/>
      <c r="K335" s="53"/>
      <c r="L335" s="54" t="str">
        <f t="shared" si="65"/>
        <v/>
      </c>
      <c r="M335" s="49" t="str">
        <f t="shared" si="66"/>
        <v/>
      </c>
      <c r="N335" s="55" t="str">
        <f t="shared" si="67"/>
        <v/>
      </c>
      <c r="O335" s="56">
        <f t="shared" si="68"/>
        <v>0</v>
      </c>
      <c r="P335" s="56">
        <f t="shared" si="69"/>
        <v>0</v>
      </c>
      <c r="Q335" s="55">
        <f t="shared" si="70"/>
        <v>0</v>
      </c>
      <c r="R335" s="48"/>
      <c r="T335" s="58"/>
      <c r="U335" s="46"/>
      <c r="V335" s="47">
        <f>IF(U335&lt;&gt;"",VLOOKUP(U335,'Tipo Projeto'!$A$3:$B$35,2,0),0)</f>
        <v>0</v>
      </c>
      <c r="W335" s="48"/>
      <c r="X335" s="50"/>
      <c r="Y335" s="51"/>
      <c r="Z335" s="52"/>
      <c r="AA335" s="53"/>
      <c r="AB335" s="54" t="str">
        <f t="shared" si="71"/>
        <v/>
      </c>
      <c r="AC335" s="49" t="str">
        <f t="shared" si="72"/>
        <v/>
      </c>
      <c r="AD335" s="55" t="str">
        <f t="shared" si="73"/>
        <v/>
      </c>
      <c r="AE335" s="56">
        <f t="shared" si="74"/>
        <v>0</v>
      </c>
      <c r="AF335" s="56">
        <f t="shared" si="75"/>
        <v>0</v>
      </c>
      <c r="AG335" s="59">
        <f t="shared" si="76"/>
        <v>0</v>
      </c>
      <c r="AH335" s="48"/>
      <c r="AJ335" s="48"/>
      <c r="AL335" s="48"/>
      <c r="AM335" s="48" t="str">
        <f t="shared" si="77"/>
        <v/>
      </c>
    </row>
    <row r="336" spans="1:39" s="57" customFormat="1" ht="14">
      <c r="A336" s="45"/>
      <c r="B336" s="46"/>
      <c r="C336" s="47">
        <f>IF(B336&lt;&gt;"",VLOOKUP(B336,'Tipo Projeto'!$A$3:$B$35,2,0),0)</f>
        <v>0</v>
      </c>
      <c r="D336" s="48"/>
      <c r="E336" s="48"/>
      <c r="F336" s="49"/>
      <c r="G336" s="204"/>
      <c r="H336" s="50"/>
      <c r="I336" s="51"/>
      <c r="J336" s="52"/>
      <c r="K336" s="53"/>
      <c r="L336" s="54" t="str">
        <f t="shared" si="65"/>
        <v/>
      </c>
      <c r="M336" s="49" t="str">
        <f t="shared" si="66"/>
        <v/>
      </c>
      <c r="N336" s="55" t="str">
        <f t="shared" si="67"/>
        <v/>
      </c>
      <c r="O336" s="56">
        <f t="shared" si="68"/>
        <v>0</v>
      </c>
      <c r="P336" s="56">
        <f t="shared" si="69"/>
        <v>0</v>
      </c>
      <c r="Q336" s="55">
        <f t="shared" si="70"/>
        <v>0</v>
      </c>
      <c r="R336" s="48"/>
      <c r="T336" s="58"/>
      <c r="U336" s="46"/>
      <c r="V336" s="47">
        <f>IF(U336&lt;&gt;"",VLOOKUP(U336,'Tipo Projeto'!$A$3:$B$35,2,0),0)</f>
        <v>0</v>
      </c>
      <c r="W336" s="48"/>
      <c r="X336" s="50"/>
      <c r="Y336" s="51"/>
      <c r="Z336" s="52"/>
      <c r="AA336" s="53"/>
      <c r="AB336" s="54" t="str">
        <f t="shared" si="71"/>
        <v/>
      </c>
      <c r="AC336" s="49" t="str">
        <f t="shared" si="72"/>
        <v/>
      </c>
      <c r="AD336" s="55" t="str">
        <f t="shared" si="73"/>
        <v/>
      </c>
      <c r="AE336" s="56">
        <f t="shared" si="74"/>
        <v>0</v>
      </c>
      <c r="AF336" s="56">
        <f t="shared" si="75"/>
        <v>0</v>
      </c>
      <c r="AG336" s="59">
        <f t="shared" si="76"/>
        <v>0</v>
      </c>
      <c r="AH336" s="48"/>
      <c r="AJ336" s="48"/>
      <c r="AL336" s="48"/>
      <c r="AM336" s="48" t="str">
        <f t="shared" si="77"/>
        <v/>
      </c>
    </row>
    <row r="337" spans="1:39" s="57" customFormat="1" ht="14">
      <c r="A337" s="45"/>
      <c r="B337" s="46"/>
      <c r="C337" s="47">
        <f>IF(B337&lt;&gt;"",VLOOKUP(B337,'Tipo Projeto'!$A$3:$B$35,2,0),0)</f>
        <v>0</v>
      </c>
      <c r="D337" s="48"/>
      <c r="E337" s="48"/>
      <c r="F337" s="49"/>
      <c r="G337" s="204"/>
      <c r="H337" s="50"/>
      <c r="I337" s="51"/>
      <c r="J337" s="52"/>
      <c r="K337" s="53"/>
      <c r="L337" s="54" t="str">
        <f t="shared" si="65"/>
        <v/>
      </c>
      <c r="M337" s="49" t="str">
        <f t="shared" si="66"/>
        <v/>
      </c>
      <c r="N337" s="55" t="str">
        <f t="shared" si="67"/>
        <v/>
      </c>
      <c r="O337" s="56">
        <f t="shared" si="68"/>
        <v>0</v>
      </c>
      <c r="P337" s="56">
        <f t="shared" si="69"/>
        <v>0</v>
      </c>
      <c r="Q337" s="55">
        <f t="shared" si="70"/>
        <v>0</v>
      </c>
      <c r="R337" s="48"/>
      <c r="T337" s="58"/>
      <c r="U337" s="46"/>
      <c r="V337" s="47">
        <f>IF(U337&lt;&gt;"",VLOOKUP(U337,'Tipo Projeto'!$A$3:$B$35,2,0),0)</f>
        <v>0</v>
      </c>
      <c r="W337" s="48"/>
      <c r="X337" s="50"/>
      <c r="Y337" s="51"/>
      <c r="Z337" s="52"/>
      <c r="AA337" s="53"/>
      <c r="AB337" s="54" t="str">
        <f t="shared" si="71"/>
        <v/>
      </c>
      <c r="AC337" s="49" t="str">
        <f t="shared" si="72"/>
        <v/>
      </c>
      <c r="AD337" s="55" t="str">
        <f t="shared" si="73"/>
        <v/>
      </c>
      <c r="AE337" s="56">
        <f t="shared" si="74"/>
        <v>0</v>
      </c>
      <c r="AF337" s="56">
        <f t="shared" si="75"/>
        <v>0</v>
      </c>
      <c r="AG337" s="59">
        <f t="shared" si="76"/>
        <v>0</v>
      </c>
      <c r="AH337" s="48"/>
      <c r="AJ337" s="48"/>
      <c r="AL337" s="48"/>
      <c r="AM337" s="48" t="str">
        <f t="shared" si="77"/>
        <v/>
      </c>
    </row>
    <row r="338" spans="1:39" s="57" customFormat="1" ht="14">
      <c r="A338" s="45"/>
      <c r="B338" s="46"/>
      <c r="C338" s="47">
        <f>IF(B338&lt;&gt;"",VLOOKUP(B338,'Tipo Projeto'!$A$3:$B$35,2,0),0)</f>
        <v>0</v>
      </c>
      <c r="D338" s="48"/>
      <c r="E338" s="48"/>
      <c r="F338" s="49"/>
      <c r="G338" s="204"/>
      <c r="H338" s="50"/>
      <c r="I338" s="51"/>
      <c r="J338" s="52"/>
      <c r="K338" s="53"/>
      <c r="L338" s="54" t="str">
        <f t="shared" si="65"/>
        <v/>
      </c>
      <c r="M338" s="49" t="str">
        <f t="shared" si="66"/>
        <v/>
      </c>
      <c r="N338" s="55" t="str">
        <f t="shared" si="67"/>
        <v/>
      </c>
      <c r="O338" s="56">
        <f t="shared" si="68"/>
        <v>0</v>
      </c>
      <c r="P338" s="56">
        <f t="shared" si="69"/>
        <v>0</v>
      </c>
      <c r="Q338" s="55">
        <f t="shared" si="70"/>
        <v>0</v>
      </c>
      <c r="R338" s="48"/>
      <c r="T338" s="58"/>
      <c r="U338" s="46"/>
      <c r="V338" s="47">
        <f>IF(U338&lt;&gt;"",VLOOKUP(U338,'Tipo Projeto'!$A$3:$B$35,2,0),0)</f>
        <v>0</v>
      </c>
      <c r="W338" s="48"/>
      <c r="X338" s="50"/>
      <c r="Y338" s="51"/>
      <c r="Z338" s="52"/>
      <c r="AA338" s="53"/>
      <c r="AB338" s="54" t="str">
        <f t="shared" si="71"/>
        <v/>
      </c>
      <c r="AC338" s="49" t="str">
        <f t="shared" si="72"/>
        <v/>
      </c>
      <c r="AD338" s="55" t="str">
        <f t="shared" si="73"/>
        <v/>
      </c>
      <c r="AE338" s="56">
        <f t="shared" si="74"/>
        <v>0</v>
      </c>
      <c r="AF338" s="56">
        <f t="shared" si="75"/>
        <v>0</v>
      </c>
      <c r="AG338" s="59">
        <f t="shared" si="76"/>
        <v>0</v>
      </c>
      <c r="AH338" s="48"/>
      <c r="AJ338" s="48"/>
      <c r="AL338" s="48"/>
      <c r="AM338" s="48" t="str">
        <f t="shared" si="77"/>
        <v/>
      </c>
    </row>
    <row r="339" spans="1:39" s="57" customFormat="1" ht="14">
      <c r="A339" s="45"/>
      <c r="B339" s="46"/>
      <c r="C339" s="47">
        <f>IF(B339&lt;&gt;"",VLOOKUP(B339,'Tipo Projeto'!$A$3:$B$35,2,0),0)</f>
        <v>0</v>
      </c>
      <c r="D339" s="48"/>
      <c r="E339" s="48"/>
      <c r="F339" s="49"/>
      <c r="G339" s="204"/>
      <c r="H339" s="50"/>
      <c r="I339" s="51"/>
      <c r="J339" s="52"/>
      <c r="K339" s="53"/>
      <c r="L339" s="54" t="str">
        <f t="shared" si="65"/>
        <v/>
      </c>
      <c r="M339" s="49" t="str">
        <f t="shared" si="66"/>
        <v/>
      </c>
      <c r="N339" s="55" t="str">
        <f t="shared" si="67"/>
        <v/>
      </c>
      <c r="O339" s="56">
        <f t="shared" si="68"/>
        <v>0</v>
      </c>
      <c r="P339" s="56">
        <f t="shared" si="69"/>
        <v>0</v>
      </c>
      <c r="Q339" s="55">
        <f t="shared" si="70"/>
        <v>0</v>
      </c>
      <c r="R339" s="48"/>
      <c r="T339" s="58"/>
      <c r="U339" s="46"/>
      <c r="V339" s="47">
        <f>IF(U339&lt;&gt;"",VLOOKUP(U339,'Tipo Projeto'!$A$3:$B$35,2,0),0)</f>
        <v>0</v>
      </c>
      <c r="W339" s="48"/>
      <c r="X339" s="50"/>
      <c r="Y339" s="51"/>
      <c r="Z339" s="52"/>
      <c r="AA339" s="53"/>
      <c r="AB339" s="54" t="str">
        <f t="shared" si="71"/>
        <v/>
      </c>
      <c r="AC339" s="49" t="str">
        <f t="shared" si="72"/>
        <v/>
      </c>
      <c r="AD339" s="55" t="str">
        <f t="shared" si="73"/>
        <v/>
      </c>
      <c r="AE339" s="56">
        <f t="shared" si="74"/>
        <v>0</v>
      </c>
      <c r="AF339" s="56">
        <f t="shared" si="75"/>
        <v>0</v>
      </c>
      <c r="AG339" s="59">
        <f t="shared" si="76"/>
        <v>0</v>
      </c>
      <c r="AH339" s="48"/>
      <c r="AJ339" s="48"/>
      <c r="AL339" s="48"/>
      <c r="AM339" s="48" t="str">
        <f t="shared" si="77"/>
        <v/>
      </c>
    </row>
    <row r="340" spans="1:39" s="57" customFormat="1" ht="14">
      <c r="A340" s="45"/>
      <c r="B340" s="46"/>
      <c r="C340" s="47">
        <f>IF(B340&lt;&gt;"",VLOOKUP(B340,'Tipo Projeto'!$A$3:$B$35,2,0),0)</f>
        <v>0</v>
      </c>
      <c r="D340" s="48"/>
      <c r="E340" s="48"/>
      <c r="F340" s="49"/>
      <c r="G340" s="204"/>
      <c r="H340" s="50"/>
      <c r="I340" s="51"/>
      <c r="J340" s="52"/>
      <c r="K340" s="53"/>
      <c r="L340" s="54" t="str">
        <f t="shared" si="65"/>
        <v/>
      </c>
      <c r="M340" s="49" t="str">
        <f t="shared" si="66"/>
        <v/>
      </c>
      <c r="N340" s="55" t="str">
        <f t="shared" si="67"/>
        <v/>
      </c>
      <c r="O340" s="56">
        <f t="shared" si="68"/>
        <v>0</v>
      </c>
      <c r="P340" s="56">
        <f t="shared" si="69"/>
        <v>0</v>
      </c>
      <c r="Q340" s="55">
        <f t="shared" si="70"/>
        <v>0</v>
      </c>
      <c r="R340" s="48"/>
      <c r="T340" s="58"/>
      <c r="U340" s="46"/>
      <c r="V340" s="47">
        <f>IF(U340&lt;&gt;"",VLOOKUP(U340,'Tipo Projeto'!$A$3:$B$35,2,0),0)</f>
        <v>0</v>
      </c>
      <c r="W340" s="48"/>
      <c r="X340" s="50"/>
      <c r="Y340" s="51"/>
      <c r="Z340" s="52"/>
      <c r="AA340" s="53"/>
      <c r="AB340" s="54" t="str">
        <f t="shared" si="71"/>
        <v/>
      </c>
      <c r="AC340" s="49" t="str">
        <f t="shared" si="72"/>
        <v/>
      </c>
      <c r="AD340" s="55" t="str">
        <f t="shared" si="73"/>
        <v/>
      </c>
      <c r="AE340" s="56">
        <f t="shared" si="74"/>
        <v>0</v>
      </c>
      <c r="AF340" s="56">
        <f t="shared" si="75"/>
        <v>0</v>
      </c>
      <c r="AG340" s="59">
        <f t="shared" si="76"/>
        <v>0</v>
      </c>
      <c r="AH340" s="48"/>
      <c r="AJ340" s="48"/>
      <c r="AL340" s="48"/>
      <c r="AM340" s="48" t="str">
        <f t="shared" si="77"/>
        <v/>
      </c>
    </row>
    <row r="341" spans="1:39" s="57" customFormat="1" ht="14">
      <c r="A341" s="45"/>
      <c r="B341" s="46"/>
      <c r="C341" s="47">
        <f>IF(B341&lt;&gt;"",VLOOKUP(B341,'Tipo Projeto'!$A$3:$B$35,2,0),0)</f>
        <v>0</v>
      </c>
      <c r="D341" s="48"/>
      <c r="E341" s="48"/>
      <c r="F341" s="49"/>
      <c r="G341" s="204"/>
      <c r="H341" s="50"/>
      <c r="I341" s="51"/>
      <c r="J341" s="52"/>
      <c r="K341" s="53"/>
      <c r="L341" s="54" t="str">
        <f t="shared" si="65"/>
        <v/>
      </c>
      <c r="M341" s="49" t="str">
        <f t="shared" si="66"/>
        <v/>
      </c>
      <c r="N341" s="55" t="str">
        <f t="shared" si="67"/>
        <v/>
      </c>
      <c r="O341" s="56">
        <f t="shared" si="68"/>
        <v>0</v>
      </c>
      <c r="P341" s="56">
        <f t="shared" si="69"/>
        <v>0</v>
      </c>
      <c r="Q341" s="55">
        <f t="shared" si="70"/>
        <v>0</v>
      </c>
      <c r="R341" s="48"/>
      <c r="T341" s="58"/>
      <c r="U341" s="46"/>
      <c r="V341" s="47">
        <f>IF(U341&lt;&gt;"",VLOOKUP(U341,'Tipo Projeto'!$A$3:$B$35,2,0),0)</f>
        <v>0</v>
      </c>
      <c r="W341" s="48"/>
      <c r="X341" s="50"/>
      <c r="Y341" s="51"/>
      <c r="Z341" s="52"/>
      <c r="AA341" s="53"/>
      <c r="AB341" s="54" t="str">
        <f t="shared" si="71"/>
        <v/>
      </c>
      <c r="AC341" s="49" t="str">
        <f t="shared" si="72"/>
        <v/>
      </c>
      <c r="AD341" s="55" t="str">
        <f t="shared" si="73"/>
        <v/>
      </c>
      <c r="AE341" s="56">
        <f t="shared" si="74"/>
        <v>0</v>
      </c>
      <c r="AF341" s="56">
        <f t="shared" si="75"/>
        <v>0</v>
      </c>
      <c r="AG341" s="59">
        <f t="shared" si="76"/>
        <v>0</v>
      </c>
      <c r="AH341" s="48"/>
      <c r="AJ341" s="48"/>
      <c r="AL341" s="48"/>
      <c r="AM341" s="48" t="str">
        <f t="shared" si="77"/>
        <v/>
      </c>
    </row>
    <row r="342" spans="1:39" s="57" customFormat="1" ht="14">
      <c r="A342" s="45"/>
      <c r="B342" s="46"/>
      <c r="C342" s="47">
        <f>IF(B342&lt;&gt;"",VLOOKUP(B342,'Tipo Projeto'!$A$3:$B$35,2,0),0)</f>
        <v>0</v>
      </c>
      <c r="D342" s="48"/>
      <c r="E342" s="48"/>
      <c r="F342" s="49"/>
      <c r="G342" s="204"/>
      <c r="H342" s="50"/>
      <c r="I342" s="51"/>
      <c r="J342" s="52"/>
      <c r="K342" s="53"/>
      <c r="L342" s="54" t="str">
        <f t="shared" si="65"/>
        <v/>
      </c>
      <c r="M342" s="49" t="str">
        <f t="shared" si="66"/>
        <v/>
      </c>
      <c r="N342" s="55" t="str">
        <f t="shared" si="67"/>
        <v/>
      </c>
      <c r="O342" s="56">
        <f t="shared" si="68"/>
        <v>0</v>
      </c>
      <c r="P342" s="56">
        <f t="shared" si="69"/>
        <v>0</v>
      </c>
      <c r="Q342" s="55">
        <f t="shared" si="70"/>
        <v>0</v>
      </c>
      <c r="R342" s="48"/>
      <c r="T342" s="58"/>
      <c r="U342" s="46"/>
      <c r="V342" s="47">
        <f>IF(U342&lt;&gt;"",VLOOKUP(U342,'Tipo Projeto'!$A$3:$B$35,2,0),0)</f>
        <v>0</v>
      </c>
      <c r="W342" s="48"/>
      <c r="X342" s="50"/>
      <c r="Y342" s="51"/>
      <c r="Z342" s="52"/>
      <c r="AA342" s="53"/>
      <c r="AB342" s="54" t="str">
        <f t="shared" si="71"/>
        <v/>
      </c>
      <c r="AC342" s="49" t="str">
        <f t="shared" si="72"/>
        <v/>
      </c>
      <c r="AD342" s="55" t="str">
        <f t="shared" si="73"/>
        <v/>
      </c>
      <c r="AE342" s="56">
        <f t="shared" si="74"/>
        <v>0</v>
      </c>
      <c r="AF342" s="56">
        <f t="shared" si="75"/>
        <v>0</v>
      </c>
      <c r="AG342" s="59">
        <f t="shared" si="76"/>
        <v>0</v>
      </c>
      <c r="AH342" s="48"/>
      <c r="AJ342" s="48"/>
      <c r="AL342" s="48"/>
      <c r="AM342" s="48" t="str">
        <f t="shared" si="77"/>
        <v/>
      </c>
    </row>
    <row r="343" spans="1:39" s="57" customFormat="1" ht="14">
      <c r="A343" s="45"/>
      <c r="B343" s="46"/>
      <c r="C343" s="47">
        <f>IF(B343&lt;&gt;"",VLOOKUP(B343,'Tipo Projeto'!$A$3:$B$35,2,0),0)</f>
        <v>0</v>
      </c>
      <c r="D343" s="48"/>
      <c r="E343" s="48"/>
      <c r="F343" s="49"/>
      <c r="G343" s="204"/>
      <c r="H343" s="50"/>
      <c r="I343" s="51"/>
      <c r="J343" s="52"/>
      <c r="K343" s="53"/>
      <c r="L343" s="54" t="str">
        <f t="shared" si="65"/>
        <v/>
      </c>
      <c r="M343" s="49" t="str">
        <f t="shared" si="66"/>
        <v/>
      </c>
      <c r="N343" s="55" t="str">
        <f t="shared" si="67"/>
        <v/>
      </c>
      <c r="O343" s="56">
        <f t="shared" si="68"/>
        <v>0</v>
      </c>
      <c r="P343" s="56">
        <f t="shared" si="69"/>
        <v>0</v>
      </c>
      <c r="Q343" s="55">
        <f t="shared" si="70"/>
        <v>0</v>
      </c>
      <c r="R343" s="48"/>
      <c r="T343" s="58"/>
      <c r="U343" s="46"/>
      <c r="V343" s="47">
        <f>IF(U343&lt;&gt;"",VLOOKUP(U343,'Tipo Projeto'!$A$3:$B$35,2,0),0)</f>
        <v>0</v>
      </c>
      <c r="W343" s="48"/>
      <c r="X343" s="50"/>
      <c r="Y343" s="51"/>
      <c r="Z343" s="52"/>
      <c r="AA343" s="53"/>
      <c r="AB343" s="54" t="str">
        <f t="shared" si="71"/>
        <v/>
      </c>
      <c r="AC343" s="49" t="str">
        <f t="shared" si="72"/>
        <v/>
      </c>
      <c r="AD343" s="55" t="str">
        <f t="shared" si="73"/>
        <v/>
      </c>
      <c r="AE343" s="56">
        <f t="shared" si="74"/>
        <v>0</v>
      </c>
      <c r="AF343" s="56">
        <f t="shared" si="75"/>
        <v>0</v>
      </c>
      <c r="AG343" s="59">
        <f t="shared" si="76"/>
        <v>0</v>
      </c>
      <c r="AH343" s="48"/>
      <c r="AJ343" s="48"/>
      <c r="AL343" s="48"/>
      <c r="AM343" s="48" t="str">
        <f t="shared" si="77"/>
        <v/>
      </c>
    </row>
    <row r="344" spans="1:39" s="57" customFormat="1" ht="14">
      <c r="A344" s="45"/>
      <c r="B344" s="46"/>
      <c r="C344" s="47">
        <f>IF(B344&lt;&gt;"",VLOOKUP(B344,'Tipo Projeto'!$A$3:$B$35,2,0),0)</f>
        <v>0</v>
      </c>
      <c r="D344" s="48"/>
      <c r="E344" s="48"/>
      <c r="F344" s="49"/>
      <c r="G344" s="204"/>
      <c r="H344" s="50"/>
      <c r="I344" s="51"/>
      <c r="J344" s="52"/>
      <c r="K344" s="53"/>
      <c r="L344" s="54" t="str">
        <f t="shared" si="65"/>
        <v/>
      </c>
      <c r="M344" s="49" t="str">
        <f t="shared" si="66"/>
        <v/>
      </c>
      <c r="N344" s="55" t="str">
        <f t="shared" si="67"/>
        <v/>
      </c>
      <c r="O344" s="56">
        <f t="shared" si="68"/>
        <v>0</v>
      </c>
      <c r="P344" s="56">
        <f t="shared" si="69"/>
        <v>0</v>
      </c>
      <c r="Q344" s="55">
        <f t="shared" si="70"/>
        <v>0</v>
      </c>
      <c r="R344" s="48"/>
      <c r="T344" s="58"/>
      <c r="U344" s="46"/>
      <c r="V344" s="47">
        <f>IF(U344&lt;&gt;"",VLOOKUP(U344,'Tipo Projeto'!$A$3:$B$35,2,0),0)</f>
        <v>0</v>
      </c>
      <c r="W344" s="48"/>
      <c r="X344" s="50"/>
      <c r="Y344" s="51"/>
      <c r="Z344" s="52"/>
      <c r="AA344" s="53"/>
      <c r="AB344" s="54" t="str">
        <f t="shared" si="71"/>
        <v/>
      </c>
      <c r="AC344" s="49" t="str">
        <f t="shared" si="72"/>
        <v/>
      </c>
      <c r="AD344" s="55" t="str">
        <f t="shared" si="73"/>
        <v/>
      </c>
      <c r="AE344" s="56">
        <f t="shared" si="74"/>
        <v>0</v>
      </c>
      <c r="AF344" s="56">
        <f t="shared" si="75"/>
        <v>0</v>
      </c>
      <c r="AG344" s="59">
        <f t="shared" si="76"/>
        <v>0</v>
      </c>
      <c r="AH344" s="48"/>
      <c r="AJ344" s="48"/>
      <c r="AL344" s="48"/>
      <c r="AM344" s="48" t="str">
        <f t="shared" si="77"/>
        <v/>
      </c>
    </row>
    <row r="345" spans="1:39" s="57" customFormat="1" ht="14">
      <c r="A345" s="45"/>
      <c r="B345" s="46"/>
      <c r="C345" s="47">
        <f>IF(B345&lt;&gt;"",VLOOKUP(B345,'Tipo Projeto'!$A$3:$B$35,2,0),0)</f>
        <v>0</v>
      </c>
      <c r="D345" s="48"/>
      <c r="E345" s="48"/>
      <c r="F345" s="49"/>
      <c r="G345" s="204"/>
      <c r="H345" s="50"/>
      <c r="I345" s="51"/>
      <c r="J345" s="52"/>
      <c r="K345" s="53"/>
      <c r="L345" s="54" t="str">
        <f t="shared" si="65"/>
        <v/>
      </c>
      <c r="M345" s="49" t="str">
        <f t="shared" si="66"/>
        <v/>
      </c>
      <c r="N345" s="55" t="str">
        <f t="shared" si="67"/>
        <v/>
      </c>
      <c r="O345" s="56">
        <f t="shared" si="68"/>
        <v>0</v>
      </c>
      <c r="P345" s="56">
        <f t="shared" si="69"/>
        <v>0</v>
      </c>
      <c r="Q345" s="55">
        <f t="shared" si="70"/>
        <v>0</v>
      </c>
      <c r="R345" s="48"/>
      <c r="T345" s="58"/>
      <c r="U345" s="46"/>
      <c r="V345" s="47">
        <f>IF(U345&lt;&gt;"",VLOOKUP(U345,'Tipo Projeto'!$A$3:$B$35,2,0),0)</f>
        <v>0</v>
      </c>
      <c r="W345" s="48"/>
      <c r="X345" s="50"/>
      <c r="Y345" s="51"/>
      <c r="Z345" s="52"/>
      <c r="AA345" s="53"/>
      <c r="AB345" s="54" t="str">
        <f t="shared" si="71"/>
        <v/>
      </c>
      <c r="AC345" s="49" t="str">
        <f t="shared" si="72"/>
        <v/>
      </c>
      <c r="AD345" s="55" t="str">
        <f t="shared" si="73"/>
        <v/>
      </c>
      <c r="AE345" s="56">
        <f t="shared" si="74"/>
        <v>0</v>
      </c>
      <c r="AF345" s="56">
        <f t="shared" si="75"/>
        <v>0</v>
      </c>
      <c r="AG345" s="59">
        <f t="shared" si="76"/>
        <v>0</v>
      </c>
      <c r="AH345" s="48"/>
      <c r="AJ345" s="48"/>
      <c r="AL345" s="48"/>
      <c r="AM345" s="48" t="str">
        <f t="shared" si="77"/>
        <v/>
      </c>
    </row>
    <row r="346" spans="1:39" s="57" customFormat="1" ht="14">
      <c r="A346" s="45"/>
      <c r="B346" s="46"/>
      <c r="C346" s="47">
        <f>IF(B346&lt;&gt;"",VLOOKUP(B346,'Tipo Projeto'!$A$3:$B$35,2,0),0)</f>
        <v>0</v>
      </c>
      <c r="D346" s="48"/>
      <c r="E346" s="48"/>
      <c r="F346" s="49"/>
      <c r="G346" s="204"/>
      <c r="H346" s="50"/>
      <c r="I346" s="51"/>
      <c r="J346" s="52"/>
      <c r="K346" s="53"/>
      <c r="L346" s="54" t="str">
        <f t="shared" si="65"/>
        <v/>
      </c>
      <c r="M346" s="49" t="str">
        <f t="shared" si="66"/>
        <v/>
      </c>
      <c r="N346" s="55" t="str">
        <f t="shared" si="67"/>
        <v/>
      </c>
      <c r="O346" s="56">
        <f t="shared" si="68"/>
        <v>0</v>
      </c>
      <c r="P346" s="56">
        <f t="shared" si="69"/>
        <v>0</v>
      </c>
      <c r="Q346" s="55">
        <f t="shared" si="70"/>
        <v>0</v>
      </c>
      <c r="R346" s="48"/>
      <c r="T346" s="58"/>
      <c r="U346" s="46"/>
      <c r="V346" s="47">
        <f>IF(U346&lt;&gt;"",VLOOKUP(U346,'Tipo Projeto'!$A$3:$B$35,2,0),0)</f>
        <v>0</v>
      </c>
      <c r="W346" s="48"/>
      <c r="X346" s="50"/>
      <c r="Y346" s="51"/>
      <c r="Z346" s="52"/>
      <c r="AA346" s="53"/>
      <c r="AB346" s="54" t="str">
        <f t="shared" si="71"/>
        <v/>
      </c>
      <c r="AC346" s="49" t="str">
        <f t="shared" si="72"/>
        <v/>
      </c>
      <c r="AD346" s="55" t="str">
        <f t="shared" si="73"/>
        <v/>
      </c>
      <c r="AE346" s="56">
        <f t="shared" si="74"/>
        <v>0</v>
      </c>
      <c r="AF346" s="56">
        <f t="shared" si="75"/>
        <v>0</v>
      </c>
      <c r="AG346" s="59">
        <f t="shared" si="76"/>
        <v>0</v>
      </c>
      <c r="AH346" s="48"/>
      <c r="AJ346" s="48"/>
      <c r="AL346" s="48"/>
      <c r="AM346" s="48" t="str">
        <f t="shared" si="77"/>
        <v/>
      </c>
    </row>
    <row r="347" spans="1:39" s="57" customFormat="1" ht="14">
      <c r="A347" s="45"/>
      <c r="B347" s="46"/>
      <c r="C347" s="47">
        <f>IF(B347&lt;&gt;"",VLOOKUP(B347,'Tipo Projeto'!$A$3:$B$35,2,0),0)</f>
        <v>0</v>
      </c>
      <c r="D347" s="48"/>
      <c r="E347" s="48"/>
      <c r="F347" s="49"/>
      <c r="G347" s="204"/>
      <c r="H347" s="50"/>
      <c r="I347" s="51"/>
      <c r="J347" s="52"/>
      <c r="K347" s="53"/>
      <c r="L347" s="54" t="str">
        <f t="shared" si="65"/>
        <v/>
      </c>
      <c r="M347" s="49" t="str">
        <f t="shared" si="66"/>
        <v/>
      </c>
      <c r="N347" s="55" t="str">
        <f t="shared" si="67"/>
        <v/>
      </c>
      <c r="O347" s="56">
        <f t="shared" si="68"/>
        <v>0</v>
      </c>
      <c r="P347" s="56">
        <f t="shared" si="69"/>
        <v>0</v>
      </c>
      <c r="Q347" s="55">
        <f t="shared" si="70"/>
        <v>0</v>
      </c>
      <c r="R347" s="48"/>
      <c r="T347" s="58"/>
      <c r="U347" s="46"/>
      <c r="V347" s="47">
        <f>IF(U347&lt;&gt;"",VLOOKUP(U347,'Tipo Projeto'!$A$3:$B$35,2,0),0)</f>
        <v>0</v>
      </c>
      <c r="W347" s="48"/>
      <c r="X347" s="50"/>
      <c r="Y347" s="51"/>
      <c r="Z347" s="52"/>
      <c r="AA347" s="53"/>
      <c r="AB347" s="54" t="str">
        <f t="shared" si="71"/>
        <v/>
      </c>
      <c r="AC347" s="49" t="str">
        <f t="shared" si="72"/>
        <v/>
      </c>
      <c r="AD347" s="55" t="str">
        <f t="shared" si="73"/>
        <v/>
      </c>
      <c r="AE347" s="56">
        <f t="shared" si="74"/>
        <v>0</v>
      </c>
      <c r="AF347" s="56">
        <f t="shared" si="75"/>
        <v>0</v>
      </c>
      <c r="AG347" s="59">
        <f t="shared" si="76"/>
        <v>0</v>
      </c>
      <c r="AH347" s="48"/>
      <c r="AJ347" s="48"/>
      <c r="AL347" s="48"/>
      <c r="AM347" s="48" t="str">
        <f t="shared" si="77"/>
        <v/>
      </c>
    </row>
    <row r="348" spans="1:39" s="57" customFormat="1" ht="14">
      <c r="A348" s="45"/>
      <c r="B348" s="46"/>
      <c r="C348" s="47">
        <f>IF(B348&lt;&gt;"",VLOOKUP(B348,'Tipo Projeto'!$A$3:$B$35,2,0),0)</f>
        <v>0</v>
      </c>
      <c r="D348" s="48"/>
      <c r="E348" s="48"/>
      <c r="F348" s="49"/>
      <c r="G348" s="204"/>
      <c r="H348" s="50"/>
      <c r="I348" s="51"/>
      <c r="J348" s="52"/>
      <c r="K348" s="53"/>
      <c r="L348" s="54" t="str">
        <f t="shared" si="65"/>
        <v/>
      </c>
      <c r="M348" s="49" t="str">
        <f t="shared" si="66"/>
        <v/>
      </c>
      <c r="N348" s="55" t="str">
        <f t="shared" si="67"/>
        <v/>
      </c>
      <c r="O348" s="56">
        <f t="shared" si="68"/>
        <v>0</v>
      </c>
      <c r="P348" s="56">
        <f t="shared" si="69"/>
        <v>0</v>
      </c>
      <c r="Q348" s="55">
        <f t="shared" si="70"/>
        <v>0</v>
      </c>
      <c r="R348" s="48"/>
      <c r="T348" s="58"/>
      <c r="U348" s="46"/>
      <c r="V348" s="47">
        <f>IF(U348&lt;&gt;"",VLOOKUP(U348,'Tipo Projeto'!$A$3:$B$35,2,0),0)</f>
        <v>0</v>
      </c>
      <c r="W348" s="48"/>
      <c r="X348" s="50"/>
      <c r="Y348" s="51"/>
      <c r="Z348" s="52"/>
      <c r="AA348" s="53"/>
      <c r="AB348" s="54" t="str">
        <f t="shared" si="71"/>
        <v/>
      </c>
      <c r="AC348" s="49" t="str">
        <f t="shared" si="72"/>
        <v/>
      </c>
      <c r="AD348" s="55" t="str">
        <f t="shared" si="73"/>
        <v/>
      </c>
      <c r="AE348" s="56">
        <f t="shared" si="74"/>
        <v>0</v>
      </c>
      <c r="AF348" s="56">
        <f t="shared" si="75"/>
        <v>0</v>
      </c>
      <c r="AG348" s="59">
        <f t="shared" si="76"/>
        <v>0</v>
      </c>
      <c r="AH348" s="48"/>
      <c r="AJ348" s="48"/>
      <c r="AL348" s="48"/>
      <c r="AM348" s="48" t="str">
        <f t="shared" si="77"/>
        <v/>
      </c>
    </row>
    <row r="349" spans="1:39" s="57" customFormat="1" ht="14">
      <c r="A349" s="45"/>
      <c r="B349" s="46"/>
      <c r="C349" s="47">
        <f>IF(B349&lt;&gt;"",VLOOKUP(B349,'Tipo Projeto'!$A$3:$B$35,2,0),0)</f>
        <v>0</v>
      </c>
      <c r="D349" s="48"/>
      <c r="E349" s="48"/>
      <c r="F349" s="49"/>
      <c r="G349" s="204"/>
      <c r="H349" s="50"/>
      <c r="I349" s="51"/>
      <c r="J349" s="52"/>
      <c r="K349" s="53"/>
      <c r="L349" s="54" t="str">
        <f t="shared" si="65"/>
        <v/>
      </c>
      <c r="M349" s="49" t="str">
        <f t="shared" si="66"/>
        <v/>
      </c>
      <c r="N349" s="55" t="str">
        <f t="shared" si="67"/>
        <v/>
      </c>
      <c r="O349" s="56">
        <f t="shared" si="68"/>
        <v>0</v>
      </c>
      <c r="P349" s="56">
        <f t="shared" si="69"/>
        <v>0</v>
      </c>
      <c r="Q349" s="55">
        <f t="shared" si="70"/>
        <v>0</v>
      </c>
      <c r="R349" s="48"/>
      <c r="T349" s="58"/>
      <c r="U349" s="46"/>
      <c r="V349" s="47">
        <f>IF(U349&lt;&gt;"",VLOOKUP(U349,'Tipo Projeto'!$A$3:$B$35,2,0),0)</f>
        <v>0</v>
      </c>
      <c r="W349" s="48"/>
      <c r="X349" s="50"/>
      <c r="Y349" s="51"/>
      <c r="Z349" s="52"/>
      <c r="AA349" s="53"/>
      <c r="AB349" s="54" t="str">
        <f t="shared" si="71"/>
        <v/>
      </c>
      <c r="AC349" s="49" t="str">
        <f t="shared" si="72"/>
        <v/>
      </c>
      <c r="AD349" s="55" t="str">
        <f t="shared" si="73"/>
        <v/>
      </c>
      <c r="AE349" s="56">
        <f t="shared" si="74"/>
        <v>0</v>
      </c>
      <c r="AF349" s="56">
        <f t="shared" si="75"/>
        <v>0</v>
      </c>
      <c r="AG349" s="59">
        <f t="shared" si="76"/>
        <v>0</v>
      </c>
      <c r="AH349" s="48"/>
      <c r="AJ349" s="48"/>
      <c r="AL349" s="48"/>
      <c r="AM349" s="48" t="str">
        <f t="shared" si="77"/>
        <v/>
      </c>
    </row>
    <row r="350" spans="1:39" s="57" customFormat="1" ht="14">
      <c r="A350" s="45"/>
      <c r="B350" s="46"/>
      <c r="C350" s="47">
        <f>IF(B350&lt;&gt;"",VLOOKUP(B350,'Tipo Projeto'!$A$3:$B$35,2,0),0)</f>
        <v>0</v>
      </c>
      <c r="D350" s="48"/>
      <c r="E350" s="48"/>
      <c r="F350" s="49"/>
      <c r="G350" s="204"/>
      <c r="H350" s="50"/>
      <c r="I350" s="51"/>
      <c r="J350" s="52"/>
      <c r="K350" s="53"/>
      <c r="L350" s="54" t="str">
        <f t="shared" si="65"/>
        <v/>
      </c>
      <c r="M350" s="49" t="str">
        <f t="shared" si="66"/>
        <v/>
      </c>
      <c r="N350" s="55" t="str">
        <f t="shared" si="67"/>
        <v/>
      </c>
      <c r="O350" s="56">
        <f t="shared" si="68"/>
        <v>0</v>
      </c>
      <c r="P350" s="56">
        <f t="shared" si="69"/>
        <v>0</v>
      </c>
      <c r="Q350" s="55">
        <f t="shared" si="70"/>
        <v>0</v>
      </c>
      <c r="R350" s="48"/>
      <c r="T350" s="58"/>
      <c r="U350" s="46"/>
      <c r="V350" s="47">
        <f>IF(U350&lt;&gt;"",VLOOKUP(U350,'Tipo Projeto'!$A$3:$B$35,2,0),0)</f>
        <v>0</v>
      </c>
      <c r="W350" s="48"/>
      <c r="X350" s="50"/>
      <c r="Y350" s="51"/>
      <c r="Z350" s="52"/>
      <c r="AA350" s="53"/>
      <c r="AB350" s="54" t="str">
        <f t="shared" si="71"/>
        <v/>
      </c>
      <c r="AC350" s="49" t="str">
        <f t="shared" si="72"/>
        <v/>
      </c>
      <c r="AD350" s="55" t="str">
        <f t="shared" si="73"/>
        <v/>
      </c>
      <c r="AE350" s="56">
        <f t="shared" si="74"/>
        <v>0</v>
      </c>
      <c r="AF350" s="56">
        <f t="shared" si="75"/>
        <v>0</v>
      </c>
      <c r="AG350" s="59">
        <f t="shared" si="76"/>
        <v>0</v>
      </c>
      <c r="AH350" s="48"/>
      <c r="AJ350" s="48"/>
      <c r="AL350" s="48"/>
      <c r="AM350" s="48" t="str">
        <f t="shared" si="77"/>
        <v/>
      </c>
    </row>
    <row r="351" spans="1:39" s="57" customFormat="1" ht="14">
      <c r="A351" s="45"/>
      <c r="B351" s="46"/>
      <c r="C351" s="47">
        <f>IF(B351&lt;&gt;"",VLOOKUP(B351,'Tipo Projeto'!$A$3:$B$35,2,0),0)</f>
        <v>0</v>
      </c>
      <c r="D351" s="48"/>
      <c r="E351" s="48"/>
      <c r="F351" s="49"/>
      <c r="G351" s="204"/>
      <c r="H351" s="50"/>
      <c r="I351" s="51"/>
      <c r="J351" s="52"/>
      <c r="K351" s="53"/>
      <c r="L351" s="54" t="str">
        <f t="shared" si="65"/>
        <v/>
      </c>
      <c r="M351" s="49" t="str">
        <f t="shared" si="66"/>
        <v/>
      </c>
      <c r="N351" s="55" t="str">
        <f t="shared" si="67"/>
        <v/>
      </c>
      <c r="O351" s="56">
        <f t="shared" si="68"/>
        <v>0</v>
      </c>
      <c r="P351" s="56">
        <f t="shared" si="69"/>
        <v>0</v>
      </c>
      <c r="Q351" s="55">
        <f t="shared" si="70"/>
        <v>0</v>
      </c>
      <c r="R351" s="48"/>
      <c r="T351" s="58"/>
      <c r="U351" s="46"/>
      <c r="V351" s="47">
        <f>IF(U351&lt;&gt;"",VLOOKUP(U351,'Tipo Projeto'!$A$3:$B$35,2,0),0)</f>
        <v>0</v>
      </c>
      <c r="W351" s="48"/>
      <c r="X351" s="50"/>
      <c r="Y351" s="51"/>
      <c r="Z351" s="52"/>
      <c r="AA351" s="53"/>
      <c r="AB351" s="54" t="str">
        <f t="shared" si="71"/>
        <v/>
      </c>
      <c r="AC351" s="49" t="str">
        <f t="shared" si="72"/>
        <v/>
      </c>
      <c r="AD351" s="55" t="str">
        <f t="shared" si="73"/>
        <v/>
      </c>
      <c r="AE351" s="56">
        <f t="shared" si="74"/>
        <v>0</v>
      </c>
      <c r="AF351" s="56">
        <f t="shared" si="75"/>
        <v>0</v>
      </c>
      <c r="AG351" s="59">
        <f t="shared" si="76"/>
        <v>0</v>
      </c>
      <c r="AH351" s="48"/>
      <c r="AJ351" s="48"/>
      <c r="AL351" s="48"/>
      <c r="AM351" s="48" t="str">
        <f t="shared" si="77"/>
        <v/>
      </c>
    </row>
    <row r="352" spans="1:39" s="57" customFormat="1" ht="14">
      <c r="A352" s="45"/>
      <c r="B352" s="46"/>
      <c r="C352" s="47">
        <f>IF(B352&lt;&gt;"",VLOOKUP(B352,'Tipo Projeto'!$A$3:$B$35,2,0),0)</f>
        <v>0</v>
      </c>
      <c r="D352" s="48"/>
      <c r="E352" s="48"/>
      <c r="F352" s="49"/>
      <c r="G352" s="204"/>
      <c r="H352" s="50"/>
      <c r="I352" s="51"/>
      <c r="J352" s="52"/>
      <c r="K352" s="53"/>
      <c r="L352" s="54" t="str">
        <f t="shared" si="65"/>
        <v/>
      </c>
      <c r="M352" s="49" t="str">
        <f t="shared" si="66"/>
        <v/>
      </c>
      <c r="N352" s="55" t="str">
        <f t="shared" si="67"/>
        <v/>
      </c>
      <c r="O352" s="56">
        <f t="shared" si="68"/>
        <v>0</v>
      </c>
      <c r="P352" s="56">
        <f t="shared" si="69"/>
        <v>0</v>
      </c>
      <c r="Q352" s="55">
        <f t="shared" si="70"/>
        <v>0</v>
      </c>
      <c r="R352" s="48"/>
      <c r="T352" s="58"/>
      <c r="U352" s="46"/>
      <c r="V352" s="47">
        <f>IF(U352&lt;&gt;"",VLOOKUP(U352,'Tipo Projeto'!$A$3:$B$35,2,0),0)</f>
        <v>0</v>
      </c>
      <c r="W352" s="48"/>
      <c r="X352" s="50"/>
      <c r="Y352" s="51"/>
      <c r="Z352" s="52"/>
      <c r="AA352" s="53"/>
      <c r="AB352" s="54" t="str">
        <f t="shared" si="71"/>
        <v/>
      </c>
      <c r="AC352" s="49" t="str">
        <f t="shared" si="72"/>
        <v/>
      </c>
      <c r="AD352" s="55" t="str">
        <f t="shared" si="73"/>
        <v/>
      </c>
      <c r="AE352" s="56">
        <f t="shared" si="74"/>
        <v>0</v>
      </c>
      <c r="AF352" s="56">
        <f t="shared" si="75"/>
        <v>0</v>
      </c>
      <c r="AG352" s="59">
        <f t="shared" si="76"/>
        <v>0</v>
      </c>
      <c r="AH352" s="48"/>
      <c r="AJ352" s="48"/>
      <c r="AL352" s="48"/>
      <c r="AM352" s="48" t="str">
        <f t="shared" si="77"/>
        <v/>
      </c>
    </row>
    <row r="353" spans="1:39" s="57" customFormat="1" ht="14">
      <c r="A353" s="45"/>
      <c r="B353" s="46"/>
      <c r="C353" s="47">
        <f>IF(B353&lt;&gt;"",VLOOKUP(B353,'Tipo Projeto'!$A$3:$B$35,2,0),0)</f>
        <v>0</v>
      </c>
      <c r="D353" s="48"/>
      <c r="E353" s="48"/>
      <c r="F353" s="49"/>
      <c r="G353" s="204"/>
      <c r="H353" s="50"/>
      <c r="I353" s="51"/>
      <c r="J353" s="52"/>
      <c r="K353" s="53"/>
      <c r="L353" s="54" t="str">
        <f t="shared" si="65"/>
        <v/>
      </c>
      <c r="M353" s="49" t="str">
        <f t="shared" si="66"/>
        <v/>
      </c>
      <c r="N353" s="55" t="str">
        <f t="shared" si="67"/>
        <v/>
      </c>
      <c r="O353" s="56">
        <f t="shared" si="68"/>
        <v>0</v>
      </c>
      <c r="P353" s="56">
        <f t="shared" si="69"/>
        <v>0</v>
      </c>
      <c r="Q353" s="55">
        <f t="shared" si="70"/>
        <v>0</v>
      </c>
      <c r="R353" s="48"/>
      <c r="T353" s="58"/>
      <c r="U353" s="46"/>
      <c r="V353" s="47">
        <f>IF(U353&lt;&gt;"",VLOOKUP(U353,'Tipo Projeto'!$A$3:$B$35,2,0),0)</f>
        <v>0</v>
      </c>
      <c r="W353" s="48"/>
      <c r="X353" s="50"/>
      <c r="Y353" s="51"/>
      <c r="Z353" s="52"/>
      <c r="AA353" s="53"/>
      <c r="AB353" s="54" t="str">
        <f t="shared" si="71"/>
        <v/>
      </c>
      <c r="AC353" s="49" t="str">
        <f t="shared" si="72"/>
        <v/>
      </c>
      <c r="AD353" s="55" t="str">
        <f t="shared" si="73"/>
        <v/>
      </c>
      <c r="AE353" s="56">
        <f t="shared" si="74"/>
        <v>0</v>
      </c>
      <c r="AF353" s="56">
        <f t="shared" si="75"/>
        <v>0</v>
      </c>
      <c r="AG353" s="59">
        <f t="shared" si="76"/>
        <v>0</v>
      </c>
      <c r="AH353" s="48"/>
      <c r="AJ353" s="48"/>
      <c r="AL353" s="48"/>
      <c r="AM353" s="48" t="str">
        <f t="shared" si="77"/>
        <v/>
      </c>
    </row>
    <row r="354" spans="1:39" s="57" customFormat="1" ht="14">
      <c r="A354" s="45"/>
      <c r="B354" s="46"/>
      <c r="C354" s="47">
        <f>IF(B354&lt;&gt;"",VLOOKUP(B354,'Tipo Projeto'!$A$3:$B$35,2,0),0)</f>
        <v>0</v>
      </c>
      <c r="D354" s="48"/>
      <c r="E354" s="48"/>
      <c r="F354" s="49"/>
      <c r="G354" s="204"/>
      <c r="H354" s="50"/>
      <c r="I354" s="51"/>
      <c r="J354" s="52"/>
      <c r="K354" s="53"/>
      <c r="L354" s="54" t="str">
        <f t="shared" si="65"/>
        <v/>
      </c>
      <c r="M354" s="49" t="str">
        <f t="shared" si="66"/>
        <v/>
      </c>
      <c r="N354" s="55" t="str">
        <f t="shared" si="67"/>
        <v/>
      </c>
      <c r="O354" s="56">
        <f t="shared" si="68"/>
        <v>0</v>
      </c>
      <c r="P354" s="56">
        <f t="shared" si="69"/>
        <v>0</v>
      </c>
      <c r="Q354" s="55">
        <f t="shared" si="70"/>
        <v>0</v>
      </c>
      <c r="R354" s="48"/>
      <c r="T354" s="58"/>
      <c r="U354" s="46"/>
      <c r="V354" s="47">
        <f>IF(U354&lt;&gt;"",VLOOKUP(U354,'Tipo Projeto'!$A$3:$B$35,2,0),0)</f>
        <v>0</v>
      </c>
      <c r="W354" s="48"/>
      <c r="X354" s="50"/>
      <c r="Y354" s="51"/>
      <c r="Z354" s="52"/>
      <c r="AA354" s="53"/>
      <c r="AB354" s="54" t="str">
        <f t="shared" si="71"/>
        <v/>
      </c>
      <c r="AC354" s="49" t="str">
        <f t="shared" si="72"/>
        <v/>
      </c>
      <c r="AD354" s="55" t="str">
        <f t="shared" si="73"/>
        <v/>
      </c>
      <c r="AE354" s="56">
        <f t="shared" si="74"/>
        <v>0</v>
      </c>
      <c r="AF354" s="56">
        <f t="shared" si="75"/>
        <v>0</v>
      </c>
      <c r="AG354" s="59">
        <f t="shared" si="76"/>
        <v>0</v>
      </c>
      <c r="AH354" s="48"/>
      <c r="AJ354" s="48"/>
      <c r="AL354" s="48"/>
      <c r="AM354" s="48" t="str">
        <f t="shared" si="77"/>
        <v/>
      </c>
    </row>
    <row r="355" spans="1:39" s="57" customFormat="1" ht="14">
      <c r="A355" s="45"/>
      <c r="B355" s="46"/>
      <c r="C355" s="47">
        <f>IF(B355&lt;&gt;"",VLOOKUP(B355,'Tipo Projeto'!$A$3:$B$35,2,0),0)</f>
        <v>0</v>
      </c>
      <c r="D355" s="48"/>
      <c r="E355" s="48"/>
      <c r="F355" s="49"/>
      <c r="G355" s="204"/>
      <c r="H355" s="50"/>
      <c r="I355" s="51"/>
      <c r="J355" s="52"/>
      <c r="K355" s="53"/>
      <c r="L355" s="54" t="str">
        <f t="shared" si="65"/>
        <v/>
      </c>
      <c r="M355" s="49" t="str">
        <f t="shared" si="66"/>
        <v/>
      </c>
      <c r="N355" s="55" t="str">
        <f t="shared" si="67"/>
        <v/>
      </c>
      <c r="O355" s="56">
        <f t="shared" si="68"/>
        <v>0</v>
      </c>
      <c r="P355" s="56">
        <f t="shared" si="69"/>
        <v>0</v>
      </c>
      <c r="Q355" s="55">
        <f t="shared" si="70"/>
        <v>0</v>
      </c>
      <c r="R355" s="48"/>
      <c r="T355" s="58"/>
      <c r="U355" s="46"/>
      <c r="V355" s="47">
        <f>IF(U355&lt;&gt;"",VLOOKUP(U355,'Tipo Projeto'!$A$3:$B$35,2,0),0)</f>
        <v>0</v>
      </c>
      <c r="W355" s="48"/>
      <c r="X355" s="50"/>
      <c r="Y355" s="51"/>
      <c r="Z355" s="52"/>
      <c r="AA355" s="53"/>
      <c r="AB355" s="54" t="str">
        <f t="shared" si="71"/>
        <v/>
      </c>
      <c r="AC355" s="49" t="str">
        <f t="shared" si="72"/>
        <v/>
      </c>
      <c r="AD355" s="55" t="str">
        <f t="shared" si="73"/>
        <v/>
      </c>
      <c r="AE355" s="56">
        <f t="shared" si="74"/>
        <v>0</v>
      </c>
      <c r="AF355" s="56">
        <f t="shared" si="75"/>
        <v>0</v>
      </c>
      <c r="AG355" s="59">
        <f t="shared" si="76"/>
        <v>0</v>
      </c>
      <c r="AH355" s="48"/>
      <c r="AJ355" s="48"/>
      <c r="AL355" s="48"/>
      <c r="AM355" s="48" t="str">
        <f t="shared" si="77"/>
        <v/>
      </c>
    </row>
    <row r="356" spans="1:39" s="57" customFormat="1" ht="14">
      <c r="A356" s="45"/>
      <c r="B356" s="46"/>
      <c r="C356" s="47">
        <f>IF(B356&lt;&gt;"",VLOOKUP(B356,'Tipo Projeto'!$A$3:$B$35,2,0),0)</f>
        <v>0</v>
      </c>
      <c r="D356" s="48"/>
      <c r="E356" s="48"/>
      <c r="F356" s="49"/>
      <c r="G356" s="204"/>
      <c r="H356" s="50"/>
      <c r="I356" s="51"/>
      <c r="J356" s="52"/>
      <c r="K356" s="53"/>
      <c r="L356" s="54" t="str">
        <f t="shared" si="65"/>
        <v/>
      </c>
      <c r="M356" s="49" t="str">
        <f t="shared" si="66"/>
        <v/>
      </c>
      <c r="N356" s="55" t="str">
        <f t="shared" si="67"/>
        <v/>
      </c>
      <c r="O356" s="56">
        <f t="shared" si="68"/>
        <v>0</v>
      </c>
      <c r="P356" s="56">
        <f t="shared" si="69"/>
        <v>0</v>
      </c>
      <c r="Q356" s="55">
        <f t="shared" si="70"/>
        <v>0</v>
      </c>
      <c r="R356" s="48"/>
      <c r="T356" s="58"/>
      <c r="U356" s="46"/>
      <c r="V356" s="47">
        <f>IF(U356&lt;&gt;"",VLOOKUP(U356,'Tipo Projeto'!$A$3:$B$35,2,0),0)</f>
        <v>0</v>
      </c>
      <c r="W356" s="48"/>
      <c r="X356" s="50"/>
      <c r="Y356" s="51"/>
      <c r="Z356" s="52"/>
      <c r="AA356" s="53"/>
      <c r="AB356" s="54" t="str">
        <f t="shared" si="71"/>
        <v/>
      </c>
      <c r="AC356" s="49" t="str">
        <f t="shared" si="72"/>
        <v/>
      </c>
      <c r="AD356" s="55" t="str">
        <f t="shared" si="73"/>
        <v/>
      </c>
      <c r="AE356" s="56">
        <f t="shared" si="74"/>
        <v>0</v>
      </c>
      <c r="AF356" s="56">
        <f t="shared" si="75"/>
        <v>0</v>
      </c>
      <c r="AG356" s="59">
        <f t="shared" si="76"/>
        <v>0</v>
      </c>
      <c r="AH356" s="48"/>
      <c r="AJ356" s="48"/>
      <c r="AL356" s="48"/>
      <c r="AM356" s="48" t="str">
        <f t="shared" si="77"/>
        <v/>
      </c>
    </row>
    <row r="357" spans="1:39" s="57" customFormat="1" ht="14">
      <c r="A357" s="45"/>
      <c r="B357" s="46"/>
      <c r="C357" s="47">
        <f>IF(B357&lt;&gt;"",VLOOKUP(B357,'Tipo Projeto'!$A$3:$B$35,2,0),0)</f>
        <v>0</v>
      </c>
      <c r="D357" s="48"/>
      <c r="E357" s="48"/>
      <c r="F357" s="49"/>
      <c r="G357" s="204"/>
      <c r="H357" s="50"/>
      <c r="I357" s="51"/>
      <c r="J357" s="52"/>
      <c r="K357" s="53"/>
      <c r="L357" s="54" t="str">
        <f t="shared" si="65"/>
        <v/>
      </c>
      <c r="M357" s="49" t="str">
        <f t="shared" si="66"/>
        <v/>
      </c>
      <c r="N357" s="55" t="str">
        <f t="shared" si="67"/>
        <v/>
      </c>
      <c r="O357" s="56">
        <f t="shared" si="68"/>
        <v>0</v>
      </c>
      <c r="P357" s="56">
        <f t="shared" si="69"/>
        <v>0</v>
      </c>
      <c r="Q357" s="55">
        <f t="shared" si="70"/>
        <v>0</v>
      </c>
      <c r="R357" s="48"/>
      <c r="T357" s="58"/>
      <c r="U357" s="46"/>
      <c r="V357" s="47">
        <f>IF(U357&lt;&gt;"",VLOOKUP(U357,'Tipo Projeto'!$A$3:$B$35,2,0),0)</f>
        <v>0</v>
      </c>
      <c r="W357" s="48"/>
      <c r="X357" s="50"/>
      <c r="Y357" s="51"/>
      <c r="Z357" s="52"/>
      <c r="AA357" s="53"/>
      <c r="AB357" s="54" t="str">
        <f t="shared" si="71"/>
        <v/>
      </c>
      <c r="AC357" s="49" t="str">
        <f t="shared" si="72"/>
        <v/>
      </c>
      <c r="AD357" s="55" t="str">
        <f t="shared" si="73"/>
        <v/>
      </c>
      <c r="AE357" s="56">
        <f t="shared" si="74"/>
        <v>0</v>
      </c>
      <c r="AF357" s="56">
        <f t="shared" si="75"/>
        <v>0</v>
      </c>
      <c r="AG357" s="59">
        <f t="shared" si="76"/>
        <v>0</v>
      </c>
      <c r="AH357" s="48"/>
      <c r="AJ357" s="48"/>
      <c r="AL357" s="48"/>
      <c r="AM357" s="48" t="str">
        <f t="shared" si="77"/>
        <v/>
      </c>
    </row>
    <row r="358" spans="1:39" s="57" customFormat="1" ht="14">
      <c r="A358" s="45"/>
      <c r="B358" s="46"/>
      <c r="C358" s="47">
        <f>IF(B358&lt;&gt;"",VLOOKUP(B358,'Tipo Projeto'!$A$3:$B$35,2,0),0)</f>
        <v>0</v>
      </c>
      <c r="D358" s="48"/>
      <c r="E358" s="48"/>
      <c r="F358" s="49"/>
      <c r="G358" s="204"/>
      <c r="H358" s="50"/>
      <c r="I358" s="51"/>
      <c r="J358" s="52"/>
      <c r="K358" s="53"/>
      <c r="L358" s="54" t="str">
        <f t="shared" si="65"/>
        <v/>
      </c>
      <c r="M358" s="49" t="str">
        <f t="shared" si="66"/>
        <v/>
      </c>
      <c r="N358" s="55" t="str">
        <f t="shared" si="67"/>
        <v/>
      </c>
      <c r="O358" s="56">
        <f t="shared" si="68"/>
        <v>0</v>
      </c>
      <c r="P358" s="56">
        <f t="shared" si="69"/>
        <v>0</v>
      </c>
      <c r="Q358" s="55">
        <f t="shared" si="70"/>
        <v>0</v>
      </c>
      <c r="R358" s="48"/>
      <c r="T358" s="58"/>
      <c r="U358" s="46"/>
      <c r="V358" s="47">
        <f>IF(U358&lt;&gt;"",VLOOKUP(U358,'Tipo Projeto'!$A$3:$B$35,2,0),0)</f>
        <v>0</v>
      </c>
      <c r="W358" s="48"/>
      <c r="X358" s="50"/>
      <c r="Y358" s="51"/>
      <c r="Z358" s="52"/>
      <c r="AA358" s="53"/>
      <c r="AB358" s="54" t="str">
        <f t="shared" si="71"/>
        <v/>
      </c>
      <c r="AC358" s="49" t="str">
        <f t="shared" si="72"/>
        <v/>
      </c>
      <c r="AD358" s="55" t="str">
        <f t="shared" si="73"/>
        <v/>
      </c>
      <c r="AE358" s="56">
        <f t="shared" si="74"/>
        <v>0</v>
      </c>
      <c r="AF358" s="56">
        <f t="shared" si="75"/>
        <v>0</v>
      </c>
      <c r="AG358" s="59">
        <f t="shared" si="76"/>
        <v>0</v>
      </c>
      <c r="AH358" s="48"/>
      <c r="AJ358" s="48"/>
      <c r="AL358" s="48"/>
      <c r="AM358" s="48" t="str">
        <f t="shared" si="77"/>
        <v/>
      </c>
    </row>
    <row r="359" spans="1:39" s="57" customFormat="1" ht="14">
      <c r="A359" s="45"/>
      <c r="B359" s="46"/>
      <c r="C359" s="47">
        <f>IF(B359&lt;&gt;"",VLOOKUP(B359,'Tipo Projeto'!$A$3:$B$35,2,0),0)</f>
        <v>0</v>
      </c>
      <c r="D359" s="48"/>
      <c r="E359" s="48"/>
      <c r="F359" s="49"/>
      <c r="G359" s="204"/>
      <c r="H359" s="50"/>
      <c r="I359" s="51"/>
      <c r="J359" s="52"/>
      <c r="K359" s="53"/>
      <c r="L359" s="54" t="str">
        <f t="shared" si="65"/>
        <v/>
      </c>
      <c r="M359" s="49" t="str">
        <f t="shared" si="66"/>
        <v/>
      </c>
      <c r="N359" s="55" t="str">
        <f t="shared" si="67"/>
        <v/>
      </c>
      <c r="O359" s="56">
        <f t="shared" si="68"/>
        <v>0</v>
      </c>
      <c r="P359" s="56">
        <f t="shared" si="69"/>
        <v>0</v>
      </c>
      <c r="Q359" s="55">
        <f t="shared" si="70"/>
        <v>0</v>
      </c>
      <c r="R359" s="48"/>
      <c r="T359" s="58"/>
      <c r="U359" s="46"/>
      <c r="V359" s="47">
        <f>IF(U359&lt;&gt;"",VLOOKUP(U359,'Tipo Projeto'!$A$3:$B$35,2,0),0)</f>
        <v>0</v>
      </c>
      <c r="W359" s="48"/>
      <c r="X359" s="50"/>
      <c r="Y359" s="51"/>
      <c r="Z359" s="52"/>
      <c r="AA359" s="53"/>
      <c r="AB359" s="54" t="str">
        <f t="shared" si="71"/>
        <v/>
      </c>
      <c r="AC359" s="49" t="str">
        <f t="shared" si="72"/>
        <v/>
      </c>
      <c r="AD359" s="55" t="str">
        <f t="shared" si="73"/>
        <v/>
      </c>
      <c r="AE359" s="56">
        <f t="shared" si="74"/>
        <v>0</v>
      </c>
      <c r="AF359" s="56">
        <f t="shared" si="75"/>
        <v>0</v>
      </c>
      <c r="AG359" s="59">
        <f t="shared" si="76"/>
        <v>0</v>
      </c>
      <c r="AH359" s="48"/>
      <c r="AJ359" s="48"/>
      <c r="AL359" s="48"/>
      <c r="AM359" s="48" t="str">
        <f t="shared" si="77"/>
        <v/>
      </c>
    </row>
    <row r="360" spans="1:39" s="57" customFormat="1" ht="14">
      <c r="A360" s="45"/>
      <c r="B360" s="46"/>
      <c r="C360" s="47">
        <f>IF(B360&lt;&gt;"",VLOOKUP(B360,'Tipo Projeto'!$A$3:$B$35,2,0),0)</f>
        <v>0</v>
      </c>
      <c r="D360" s="48"/>
      <c r="E360" s="48"/>
      <c r="F360" s="49"/>
      <c r="G360" s="204"/>
      <c r="H360" s="50"/>
      <c r="I360" s="51"/>
      <c r="J360" s="52"/>
      <c r="K360" s="53"/>
      <c r="L360" s="54" t="str">
        <f t="shared" si="65"/>
        <v/>
      </c>
      <c r="M360" s="49" t="str">
        <f t="shared" si="66"/>
        <v/>
      </c>
      <c r="N360" s="55" t="str">
        <f t="shared" si="67"/>
        <v/>
      </c>
      <c r="O360" s="56">
        <f t="shared" si="68"/>
        <v>0</v>
      </c>
      <c r="P360" s="56">
        <f t="shared" si="69"/>
        <v>0</v>
      </c>
      <c r="Q360" s="55">
        <f t="shared" si="70"/>
        <v>0</v>
      </c>
      <c r="R360" s="48"/>
      <c r="T360" s="58"/>
      <c r="U360" s="46"/>
      <c r="V360" s="47">
        <f>IF(U360&lt;&gt;"",VLOOKUP(U360,'Tipo Projeto'!$A$3:$B$35,2,0),0)</f>
        <v>0</v>
      </c>
      <c r="W360" s="48"/>
      <c r="X360" s="50"/>
      <c r="Y360" s="51"/>
      <c r="Z360" s="52"/>
      <c r="AA360" s="53"/>
      <c r="AB360" s="54" t="str">
        <f t="shared" si="71"/>
        <v/>
      </c>
      <c r="AC360" s="49" t="str">
        <f t="shared" si="72"/>
        <v/>
      </c>
      <c r="AD360" s="55" t="str">
        <f t="shared" si="73"/>
        <v/>
      </c>
      <c r="AE360" s="56">
        <f t="shared" si="74"/>
        <v>0</v>
      </c>
      <c r="AF360" s="56">
        <f t="shared" si="75"/>
        <v>0</v>
      </c>
      <c r="AG360" s="59">
        <f t="shared" si="76"/>
        <v>0</v>
      </c>
      <c r="AH360" s="48"/>
      <c r="AJ360" s="48"/>
      <c r="AL360" s="48"/>
      <c r="AM360" s="48" t="str">
        <f t="shared" si="77"/>
        <v/>
      </c>
    </row>
    <row r="361" spans="1:39" s="57" customFormat="1" ht="14">
      <c r="A361" s="45"/>
      <c r="B361" s="46"/>
      <c r="C361" s="47">
        <f>IF(B361&lt;&gt;"",VLOOKUP(B361,'Tipo Projeto'!$A$3:$B$35,2,0),0)</f>
        <v>0</v>
      </c>
      <c r="D361" s="48"/>
      <c r="E361" s="48"/>
      <c r="F361" s="49"/>
      <c r="G361" s="204"/>
      <c r="H361" s="50"/>
      <c r="I361" s="51"/>
      <c r="J361" s="52"/>
      <c r="K361" s="53"/>
      <c r="L361" s="54" t="str">
        <f t="shared" si="65"/>
        <v/>
      </c>
      <c r="M361" s="49" t="str">
        <f t="shared" si="66"/>
        <v/>
      </c>
      <c r="N361" s="55" t="str">
        <f t="shared" si="67"/>
        <v/>
      </c>
      <c r="O361" s="56">
        <f t="shared" si="68"/>
        <v>0</v>
      </c>
      <c r="P361" s="56">
        <f t="shared" si="69"/>
        <v>0</v>
      </c>
      <c r="Q361" s="55">
        <f t="shared" si="70"/>
        <v>0</v>
      </c>
      <c r="R361" s="48"/>
      <c r="T361" s="58"/>
      <c r="U361" s="46"/>
      <c r="V361" s="47">
        <f>IF(U361&lt;&gt;"",VLOOKUP(U361,'Tipo Projeto'!$A$3:$B$35,2,0),0)</f>
        <v>0</v>
      </c>
      <c r="W361" s="48"/>
      <c r="X361" s="50"/>
      <c r="Y361" s="51"/>
      <c r="Z361" s="52"/>
      <c r="AA361" s="53"/>
      <c r="AB361" s="54" t="str">
        <f t="shared" si="71"/>
        <v/>
      </c>
      <c r="AC361" s="49" t="str">
        <f t="shared" si="72"/>
        <v/>
      </c>
      <c r="AD361" s="55" t="str">
        <f t="shared" si="73"/>
        <v/>
      </c>
      <c r="AE361" s="56">
        <f t="shared" si="74"/>
        <v>0</v>
      </c>
      <c r="AF361" s="56">
        <f t="shared" si="75"/>
        <v>0</v>
      </c>
      <c r="AG361" s="59">
        <f t="shared" si="76"/>
        <v>0</v>
      </c>
      <c r="AH361" s="48"/>
      <c r="AJ361" s="48"/>
      <c r="AL361" s="48"/>
      <c r="AM361" s="48" t="str">
        <f t="shared" si="77"/>
        <v/>
      </c>
    </row>
    <row r="362" spans="1:39" s="57" customFormat="1" ht="14">
      <c r="A362" s="45"/>
      <c r="B362" s="46"/>
      <c r="C362" s="47">
        <f>IF(B362&lt;&gt;"",VLOOKUP(B362,'Tipo Projeto'!$A$3:$B$35,2,0),0)</f>
        <v>0</v>
      </c>
      <c r="D362" s="48"/>
      <c r="E362" s="48"/>
      <c r="F362" s="49"/>
      <c r="G362" s="204"/>
      <c r="H362" s="50"/>
      <c r="I362" s="51"/>
      <c r="J362" s="52"/>
      <c r="K362" s="53"/>
      <c r="L362" s="54" t="str">
        <f t="shared" si="65"/>
        <v/>
      </c>
      <c r="M362" s="49" t="str">
        <f t="shared" si="66"/>
        <v/>
      </c>
      <c r="N362" s="55" t="str">
        <f t="shared" si="67"/>
        <v/>
      </c>
      <c r="O362" s="56">
        <f t="shared" si="68"/>
        <v>0</v>
      </c>
      <c r="P362" s="56">
        <f t="shared" si="69"/>
        <v>0</v>
      </c>
      <c r="Q362" s="55">
        <f t="shared" si="70"/>
        <v>0</v>
      </c>
      <c r="R362" s="48"/>
      <c r="T362" s="58"/>
      <c r="U362" s="46"/>
      <c r="V362" s="47">
        <f>IF(U362&lt;&gt;"",VLOOKUP(U362,'Tipo Projeto'!$A$3:$B$35,2,0),0)</f>
        <v>0</v>
      </c>
      <c r="W362" s="48"/>
      <c r="X362" s="50"/>
      <c r="Y362" s="51"/>
      <c r="Z362" s="52"/>
      <c r="AA362" s="53"/>
      <c r="AB362" s="54" t="str">
        <f t="shared" si="71"/>
        <v/>
      </c>
      <c r="AC362" s="49" t="str">
        <f t="shared" si="72"/>
        <v/>
      </c>
      <c r="AD362" s="55" t="str">
        <f t="shared" si="73"/>
        <v/>
      </c>
      <c r="AE362" s="56">
        <f t="shared" si="74"/>
        <v>0</v>
      </c>
      <c r="AF362" s="56">
        <f t="shared" si="75"/>
        <v>0</v>
      </c>
      <c r="AG362" s="59">
        <f t="shared" si="76"/>
        <v>0</v>
      </c>
      <c r="AH362" s="48"/>
      <c r="AJ362" s="48"/>
      <c r="AL362" s="48"/>
      <c r="AM362" s="48" t="str">
        <f t="shared" si="77"/>
        <v/>
      </c>
    </row>
    <row r="363" spans="1:39" s="57" customFormat="1" ht="14">
      <c r="A363" s="45"/>
      <c r="B363" s="46"/>
      <c r="C363" s="47">
        <f>IF(B363&lt;&gt;"",VLOOKUP(B363,'Tipo Projeto'!$A$3:$B$35,2,0),0)</f>
        <v>0</v>
      </c>
      <c r="D363" s="48"/>
      <c r="E363" s="48"/>
      <c r="F363" s="49"/>
      <c r="G363" s="204"/>
      <c r="H363" s="50"/>
      <c r="I363" s="51"/>
      <c r="J363" s="52"/>
      <c r="K363" s="53"/>
      <c r="L363" s="54" t="str">
        <f t="shared" si="65"/>
        <v/>
      </c>
      <c r="M363" s="49" t="str">
        <f t="shared" si="66"/>
        <v/>
      </c>
      <c r="N363" s="55" t="str">
        <f t="shared" si="67"/>
        <v/>
      </c>
      <c r="O363" s="56">
        <f t="shared" si="68"/>
        <v>0</v>
      </c>
      <c r="P363" s="56">
        <f t="shared" si="69"/>
        <v>0</v>
      </c>
      <c r="Q363" s="55">
        <f t="shared" si="70"/>
        <v>0</v>
      </c>
      <c r="R363" s="48"/>
      <c r="T363" s="58"/>
      <c r="U363" s="46"/>
      <c r="V363" s="47">
        <f>IF(U363&lt;&gt;"",VLOOKUP(U363,'Tipo Projeto'!$A$3:$B$35,2,0),0)</f>
        <v>0</v>
      </c>
      <c r="W363" s="48"/>
      <c r="X363" s="50"/>
      <c r="Y363" s="51"/>
      <c r="Z363" s="52"/>
      <c r="AA363" s="53"/>
      <c r="AB363" s="54" t="str">
        <f t="shared" si="71"/>
        <v/>
      </c>
      <c r="AC363" s="49" t="str">
        <f t="shared" si="72"/>
        <v/>
      </c>
      <c r="AD363" s="55" t="str">
        <f t="shared" si="73"/>
        <v/>
      </c>
      <c r="AE363" s="56">
        <f t="shared" si="74"/>
        <v>0</v>
      </c>
      <c r="AF363" s="56">
        <f t="shared" si="75"/>
        <v>0</v>
      </c>
      <c r="AG363" s="59">
        <f t="shared" si="76"/>
        <v>0</v>
      </c>
      <c r="AH363" s="48"/>
      <c r="AJ363" s="48"/>
      <c r="AL363" s="48"/>
      <c r="AM363" s="48" t="str">
        <f t="shared" si="77"/>
        <v/>
      </c>
    </row>
    <row r="364" spans="1:39" s="57" customFormat="1" ht="14">
      <c r="A364" s="45"/>
      <c r="B364" s="46"/>
      <c r="C364" s="47">
        <f>IF(B364&lt;&gt;"",VLOOKUP(B364,'Tipo Projeto'!$A$3:$B$35,2,0),0)</f>
        <v>0</v>
      </c>
      <c r="D364" s="48"/>
      <c r="E364" s="48"/>
      <c r="F364" s="49"/>
      <c r="G364" s="204"/>
      <c r="H364" s="50"/>
      <c r="I364" s="51"/>
      <c r="J364" s="52"/>
      <c r="K364" s="53"/>
      <c r="L364" s="54" t="str">
        <f t="shared" si="65"/>
        <v/>
      </c>
      <c r="M364" s="49" t="str">
        <f t="shared" si="66"/>
        <v/>
      </c>
      <c r="N364" s="55" t="str">
        <f t="shared" si="67"/>
        <v/>
      </c>
      <c r="O364" s="56">
        <f t="shared" si="68"/>
        <v>0</v>
      </c>
      <c r="P364" s="56">
        <f t="shared" si="69"/>
        <v>0</v>
      </c>
      <c r="Q364" s="55">
        <f t="shared" si="70"/>
        <v>0</v>
      </c>
      <c r="R364" s="48"/>
      <c r="T364" s="58"/>
      <c r="U364" s="46"/>
      <c r="V364" s="47">
        <f>IF(U364&lt;&gt;"",VLOOKUP(U364,'Tipo Projeto'!$A$3:$B$35,2,0),0)</f>
        <v>0</v>
      </c>
      <c r="W364" s="48"/>
      <c r="X364" s="50"/>
      <c r="Y364" s="51"/>
      <c r="Z364" s="52"/>
      <c r="AA364" s="53"/>
      <c r="AB364" s="54" t="str">
        <f t="shared" si="71"/>
        <v/>
      </c>
      <c r="AC364" s="49" t="str">
        <f t="shared" si="72"/>
        <v/>
      </c>
      <c r="AD364" s="55" t="str">
        <f t="shared" si="73"/>
        <v/>
      </c>
      <c r="AE364" s="56">
        <f t="shared" si="74"/>
        <v>0</v>
      </c>
      <c r="AF364" s="56">
        <f t="shared" si="75"/>
        <v>0</v>
      </c>
      <c r="AG364" s="59">
        <f t="shared" si="76"/>
        <v>0</v>
      </c>
      <c r="AH364" s="48"/>
      <c r="AJ364" s="48"/>
      <c r="AL364" s="48"/>
      <c r="AM364" s="48" t="str">
        <f t="shared" si="77"/>
        <v/>
      </c>
    </row>
    <row r="365" spans="1:39" s="57" customFormat="1" ht="14">
      <c r="A365" s="45"/>
      <c r="B365" s="46"/>
      <c r="C365" s="47">
        <f>IF(B365&lt;&gt;"",VLOOKUP(B365,'Tipo Projeto'!$A$3:$B$35,2,0),0)</f>
        <v>0</v>
      </c>
      <c r="D365" s="48"/>
      <c r="E365" s="48"/>
      <c r="F365" s="49"/>
      <c r="G365" s="204"/>
      <c r="H365" s="50"/>
      <c r="I365" s="51"/>
      <c r="J365" s="52"/>
      <c r="K365" s="53"/>
      <c r="L365" s="54" t="str">
        <f t="shared" si="65"/>
        <v/>
      </c>
      <c r="M365" s="49" t="str">
        <f t="shared" si="66"/>
        <v/>
      </c>
      <c r="N365" s="55" t="str">
        <f t="shared" si="67"/>
        <v/>
      </c>
      <c r="O365" s="56">
        <f t="shared" si="68"/>
        <v>0</v>
      </c>
      <c r="P365" s="56">
        <f t="shared" si="69"/>
        <v>0</v>
      </c>
      <c r="Q365" s="55">
        <f t="shared" si="70"/>
        <v>0</v>
      </c>
      <c r="R365" s="48"/>
      <c r="T365" s="58"/>
      <c r="U365" s="46"/>
      <c r="V365" s="47">
        <f>IF(U365&lt;&gt;"",VLOOKUP(U365,'Tipo Projeto'!$A$3:$B$35,2,0),0)</f>
        <v>0</v>
      </c>
      <c r="W365" s="48"/>
      <c r="X365" s="50"/>
      <c r="Y365" s="51"/>
      <c r="Z365" s="52"/>
      <c r="AA365" s="53"/>
      <c r="AB365" s="54" t="str">
        <f t="shared" si="71"/>
        <v/>
      </c>
      <c r="AC365" s="49" t="str">
        <f t="shared" si="72"/>
        <v/>
      </c>
      <c r="AD365" s="55" t="str">
        <f t="shared" si="73"/>
        <v/>
      </c>
      <c r="AE365" s="56">
        <f t="shared" si="74"/>
        <v>0</v>
      </c>
      <c r="AF365" s="56">
        <f t="shared" si="75"/>
        <v>0</v>
      </c>
      <c r="AG365" s="59">
        <f t="shared" si="76"/>
        <v>0</v>
      </c>
      <c r="AH365" s="48"/>
      <c r="AJ365" s="48"/>
      <c r="AL365" s="48"/>
      <c r="AM365" s="48" t="str">
        <f t="shared" si="77"/>
        <v/>
      </c>
    </row>
    <row r="366" spans="1:39" s="57" customFormat="1" ht="14">
      <c r="A366" s="45"/>
      <c r="B366" s="46"/>
      <c r="C366" s="47">
        <f>IF(B366&lt;&gt;"",VLOOKUP(B366,'Tipo Projeto'!$A$3:$B$35,2,0),0)</f>
        <v>0</v>
      </c>
      <c r="D366" s="48"/>
      <c r="E366" s="48"/>
      <c r="F366" s="49"/>
      <c r="G366" s="204"/>
      <c r="H366" s="50"/>
      <c r="I366" s="51"/>
      <c r="J366" s="52"/>
      <c r="K366" s="53"/>
      <c r="L366" s="54" t="str">
        <f t="shared" si="65"/>
        <v/>
      </c>
      <c r="M366" s="49" t="str">
        <f t="shared" si="66"/>
        <v/>
      </c>
      <c r="N366" s="55" t="str">
        <f t="shared" si="67"/>
        <v/>
      </c>
      <c r="O366" s="56">
        <f t="shared" si="68"/>
        <v>0</v>
      </c>
      <c r="P366" s="56">
        <f t="shared" si="69"/>
        <v>0</v>
      </c>
      <c r="Q366" s="55">
        <f t="shared" si="70"/>
        <v>0</v>
      </c>
      <c r="R366" s="48"/>
      <c r="T366" s="58"/>
      <c r="U366" s="46"/>
      <c r="V366" s="47">
        <f>IF(U366&lt;&gt;"",VLOOKUP(U366,'Tipo Projeto'!$A$3:$B$35,2,0),0)</f>
        <v>0</v>
      </c>
      <c r="W366" s="48"/>
      <c r="X366" s="50"/>
      <c r="Y366" s="51"/>
      <c r="Z366" s="52"/>
      <c r="AA366" s="53"/>
      <c r="AB366" s="54" t="str">
        <f t="shared" si="71"/>
        <v/>
      </c>
      <c r="AC366" s="49" t="str">
        <f t="shared" si="72"/>
        <v/>
      </c>
      <c r="AD366" s="55" t="str">
        <f t="shared" si="73"/>
        <v/>
      </c>
      <c r="AE366" s="56">
        <f t="shared" si="74"/>
        <v>0</v>
      </c>
      <c r="AF366" s="56">
        <f t="shared" si="75"/>
        <v>0</v>
      </c>
      <c r="AG366" s="59">
        <f t="shared" si="76"/>
        <v>0</v>
      </c>
      <c r="AH366" s="48"/>
      <c r="AJ366" s="48"/>
      <c r="AL366" s="48"/>
      <c r="AM366" s="48" t="str">
        <f t="shared" si="77"/>
        <v/>
      </c>
    </row>
    <row r="367" spans="1:39" s="57" customFormat="1" ht="14">
      <c r="A367" s="45"/>
      <c r="B367" s="46"/>
      <c r="C367" s="47">
        <f>IF(B367&lt;&gt;"",VLOOKUP(B367,'Tipo Projeto'!$A$3:$B$35,2,0),0)</f>
        <v>0</v>
      </c>
      <c r="D367" s="48"/>
      <c r="E367" s="48"/>
      <c r="F367" s="49"/>
      <c r="G367" s="204"/>
      <c r="H367" s="50"/>
      <c r="I367" s="51"/>
      <c r="J367" s="52"/>
      <c r="K367" s="53"/>
      <c r="L367" s="54" t="str">
        <f t="shared" si="65"/>
        <v/>
      </c>
      <c r="M367" s="49" t="str">
        <f t="shared" si="66"/>
        <v/>
      </c>
      <c r="N367" s="55" t="str">
        <f t="shared" si="67"/>
        <v/>
      </c>
      <c r="O367" s="56">
        <f t="shared" si="68"/>
        <v>0</v>
      </c>
      <c r="P367" s="56">
        <f t="shared" si="69"/>
        <v>0</v>
      </c>
      <c r="Q367" s="55">
        <f t="shared" si="70"/>
        <v>0</v>
      </c>
      <c r="R367" s="48"/>
      <c r="T367" s="58"/>
      <c r="U367" s="46"/>
      <c r="V367" s="47">
        <f>IF(U367&lt;&gt;"",VLOOKUP(U367,'Tipo Projeto'!$A$3:$B$35,2,0),0)</f>
        <v>0</v>
      </c>
      <c r="W367" s="48"/>
      <c r="X367" s="50"/>
      <c r="Y367" s="51"/>
      <c r="Z367" s="52"/>
      <c r="AA367" s="53"/>
      <c r="AB367" s="54" t="str">
        <f t="shared" si="71"/>
        <v/>
      </c>
      <c r="AC367" s="49" t="str">
        <f t="shared" si="72"/>
        <v/>
      </c>
      <c r="AD367" s="55" t="str">
        <f t="shared" si="73"/>
        <v/>
      </c>
      <c r="AE367" s="56">
        <f t="shared" si="74"/>
        <v>0</v>
      </c>
      <c r="AF367" s="56">
        <f t="shared" si="75"/>
        <v>0</v>
      </c>
      <c r="AG367" s="59">
        <f t="shared" si="76"/>
        <v>0</v>
      </c>
      <c r="AH367" s="48"/>
      <c r="AJ367" s="48"/>
      <c r="AL367" s="48"/>
      <c r="AM367" s="48" t="str">
        <f t="shared" si="77"/>
        <v/>
      </c>
    </row>
    <row r="368" spans="1:39" s="57" customFormat="1" ht="14">
      <c r="A368" s="45"/>
      <c r="B368" s="46"/>
      <c r="C368" s="47">
        <f>IF(B368&lt;&gt;"",VLOOKUP(B368,'Tipo Projeto'!$A$3:$B$35,2,0),0)</f>
        <v>0</v>
      </c>
      <c r="D368" s="48"/>
      <c r="E368" s="48"/>
      <c r="F368" s="49"/>
      <c r="G368" s="204"/>
      <c r="H368" s="50"/>
      <c r="I368" s="51"/>
      <c r="J368" s="52"/>
      <c r="K368" s="53"/>
      <c r="L368" s="54" t="str">
        <f t="shared" si="65"/>
        <v/>
      </c>
      <c r="M368" s="49" t="str">
        <f t="shared" si="66"/>
        <v/>
      </c>
      <c r="N368" s="55" t="str">
        <f t="shared" si="67"/>
        <v/>
      </c>
      <c r="O368" s="56">
        <f t="shared" si="68"/>
        <v>0</v>
      </c>
      <c r="P368" s="56">
        <f t="shared" si="69"/>
        <v>0</v>
      </c>
      <c r="Q368" s="55">
        <f t="shared" si="70"/>
        <v>0</v>
      </c>
      <c r="R368" s="48"/>
      <c r="T368" s="58"/>
      <c r="U368" s="46"/>
      <c r="V368" s="47">
        <f>IF(U368&lt;&gt;"",VLOOKUP(U368,'Tipo Projeto'!$A$3:$B$35,2,0),0)</f>
        <v>0</v>
      </c>
      <c r="W368" s="48"/>
      <c r="X368" s="50"/>
      <c r="Y368" s="51"/>
      <c r="Z368" s="52"/>
      <c r="AA368" s="53"/>
      <c r="AB368" s="54" t="str">
        <f t="shared" si="71"/>
        <v/>
      </c>
      <c r="AC368" s="49" t="str">
        <f t="shared" si="72"/>
        <v/>
      </c>
      <c r="AD368" s="55" t="str">
        <f t="shared" si="73"/>
        <v/>
      </c>
      <c r="AE368" s="56">
        <f t="shared" si="74"/>
        <v>0</v>
      </c>
      <c r="AF368" s="56">
        <f t="shared" si="75"/>
        <v>0</v>
      </c>
      <c r="AG368" s="59">
        <f t="shared" si="76"/>
        <v>0</v>
      </c>
      <c r="AH368" s="48"/>
      <c r="AJ368" s="48"/>
      <c r="AL368" s="48"/>
      <c r="AM368" s="48" t="str">
        <f t="shared" si="77"/>
        <v/>
      </c>
    </row>
    <row r="369" spans="1:39" s="57" customFormat="1" ht="14">
      <c r="A369" s="45"/>
      <c r="B369" s="46"/>
      <c r="C369" s="47">
        <f>IF(B369&lt;&gt;"",VLOOKUP(B369,'Tipo Projeto'!$A$3:$B$35,2,0),0)</f>
        <v>0</v>
      </c>
      <c r="D369" s="48"/>
      <c r="E369" s="48"/>
      <c r="F369" s="49"/>
      <c r="G369" s="204"/>
      <c r="H369" s="50"/>
      <c r="I369" s="51"/>
      <c r="J369" s="52"/>
      <c r="K369" s="53"/>
      <c r="L369" s="54" t="str">
        <f t="shared" si="65"/>
        <v/>
      </c>
      <c r="M369" s="49" t="str">
        <f t="shared" si="66"/>
        <v/>
      </c>
      <c r="N369" s="55" t="str">
        <f t="shared" si="67"/>
        <v/>
      </c>
      <c r="O369" s="56">
        <f t="shared" si="68"/>
        <v>0</v>
      </c>
      <c r="P369" s="56">
        <f t="shared" si="69"/>
        <v>0</v>
      </c>
      <c r="Q369" s="55">
        <f t="shared" si="70"/>
        <v>0</v>
      </c>
      <c r="R369" s="48"/>
      <c r="T369" s="58"/>
      <c r="U369" s="46"/>
      <c r="V369" s="47">
        <f>IF(U369&lt;&gt;"",VLOOKUP(U369,'Tipo Projeto'!$A$3:$B$35,2,0),0)</f>
        <v>0</v>
      </c>
      <c r="W369" s="48"/>
      <c r="X369" s="50"/>
      <c r="Y369" s="51"/>
      <c r="Z369" s="52"/>
      <c r="AA369" s="53"/>
      <c r="AB369" s="54" t="str">
        <f t="shared" si="71"/>
        <v/>
      </c>
      <c r="AC369" s="49" t="str">
        <f t="shared" si="72"/>
        <v/>
      </c>
      <c r="AD369" s="55" t="str">
        <f t="shared" si="73"/>
        <v/>
      </c>
      <c r="AE369" s="56">
        <f t="shared" si="74"/>
        <v>0</v>
      </c>
      <c r="AF369" s="56">
        <f t="shared" si="75"/>
        <v>0</v>
      </c>
      <c r="AG369" s="59">
        <f t="shared" si="76"/>
        <v>0</v>
      </c>
      <c r="AH369" s="48"/>
      <c r="AJ369" s="48"/>
      <c r="AL369" s="48"/>
      <c r="AM369" s="48" t="str">
        <f t="shared" si="77"/>
        <v/>
      </c>
    </row>
    <row r="370" spans="1:39" s="57" customFormat="1" ht="14">
      <c r="A370" s="45"/>
      <c r="B370" s="46"/>
      <c r="C370" s="47">
        <f>IF(B370&lt;&gt;"",VLOOKUP(B370,'Tipo Projeto'!$A$3:$B$35,2,0),0)</f>
        <v>0</v>
      </c>
      <c r="D370" s="48"/>
      <c r="E370" s="48"/>
      <c r="F370" s="49"/>
      <c r="G370" s="204"/>
      <c r="H370" s="50"/>
      <c r="I370" s="51"/>
      <c r="J370" s="52"/>
      <c r="K370" s="53"/>
      <c r="L370" s="54" t="str">
        <f t="shared" si="65"/>
        <v/>
      </c>
      <c r="M370" s="49" t="str">
        <f t="shared" si="66"/>
        <v/>
      </c>
      <c r="N370" s="55" t="str">
        <f t="shared" si="67"/>
        <v/>
      </c>
      <c r="O370" s="56">
        <f t="shared" si="68"/>
        <v>0</v>
      </c>
      <c r="P370" s="56">
        <f t="shared" si="69"/>
        <v>0</v>
      </c>
      <c r="Q370" s="55">
        <f t="shared" si="70"/>
        <v>0</v>
      </c>
      <c r="R370" s="48"/>
      <c r="T370" s="58"/>
      <c r="U370" s="46"/>
      <c r="V370" s="47">
        <f>IF(U370&lt;&gt;"",VLOOKUP(U370,'Tipo Projeto'!$A$3:$B$35,2,0),0)</f>
        <v>0</v>
      </c>
      <c r="W370" s="48"/>
      <c r="X370" s="50"/>
      <c r="Y370" s="51"/>
      <c r="Z370" s="52"/>
      <c r="AA370" s="53"/>
      <c r="AB370" s="54" t="str">
        <f t="shared" si="71"/>
        <v/>
      </c>
      <c r="AC370" s="49" t="str">
        <f t="shared" si="72"/>
        <v/>
      </c>
      <c r="AD370" s="55" t="str">
        <f t="shared" si="73"/>
        <v/>
      </c>
      <c r="AE370" s="56">
        <f t="shared" si="74"/>
        <v>0</v>
      </c>
      <c r="AF370" s="56">
        <f t="shared" si="75"/>
        <v>0</v>
      </c>
      <c r="AG370" s="59">
        <f t="shared" si="76"/>
        <v>0</v>
      </c>
      <c r="AH370" s="48"/>
      <c r="AJ370" s="48"/>
      <c r="AL370" s="48"/>
      <c r="AM370" s="48" t="str">
        <f t="shared" si="77"/>
        <v/>
      </c>
    </row>
    <row r="371" spans="1:39" s="57" customFormat="1" ht="14">
      <c r="A371" s="45"/>
      <c r="B371" s="46"/>
      <c r="C371" s="47">
        <f>IF(B371&lt;&gt;"",VLOOKUP(B371,'Tipo Projeto'!$A$3:$B$35,2,0),0)</f>
        <v>0</v>
      </c>
      <c r="D371" s="48"/>
      <c r="E371" s="48"/>
      <c r="F371" s="49"/>
      <c r="G371" s="204"/>
      <c r="H371" s="50"/>
      <c r="I371" s="51"/>
      <c r="J371" s="52"/>
      <c r="K371" s="53"/>
      <c r="L371" s="54" t="str">
        <f t="shared" si="65"/>
        <v/>
      </c>
      <c r="M371" s="49" t="str">
        <f t="shared" si="66"/>
        <v/>
      </c>
      <c r="N371" s="55" t="str">
        <f t="shared" si="67"/>
        <v/>
      </c>
      <c r="O371" s="56">
        <f t="shared" si="68"/>
        <v>0</v>
      </c>
      <c r="P371" s="56">
        <f t="shared" si="69"/>
        <v>0</v>
      </c>
      <c r="Q371" s="55">
        <f t="shared" si="70"/>
        <v>0</v>
      </c>
      <c r="R371" s="48"/>
      <c r="T371" s="58"/>
      <c r="U371" s="46"/>
      <c r="V371" s="47">
        <f>IF(U371&lt;&gt;"",VLOOKUP(U371,'Tipo Projeto'!$A$3:$B$35,2,0),0)</f>
        <v>0</v>
      </c>
      <c r="W371" s="48"/>
      <c r="X371" s="50"/>
      <c r="Y371" s="51"/>
      <c r="Z371" s="52"/>
      <c r="AA371" s="53"/>
      <c r="AB371" s="54" t="str">
        <f t="shared" si="71"/>
        <v/>
      </c>
      <c r="AC371" s="49" t="str">
        <f t="shared" si="72"/>
        <v/>
      </c>
      <c r="AD371" s="55" t="str">
        <f t="shared" si="73"/>
        <v/>
      </c>
      <c r="AE371" s="56">
        <f t="shared" si="74"/>
        <v>0</v>
      </c>
      <c r="AF371" s="56">
        <f t="shared" si="75"/>
        <v>0</v>
      </c>
      <c r="AG371" s="59">
        <f t="shared" si="76"/>
        <v>0</v>
      </c>
      <c r="AH371" s="48"/>
      <c r="AJ371" s="48"/>
      <c r="AL371" s="48"/>
      <c r="AM371" s="48" t="str">
        <f t="shared" si="77"/>
        <v/>
      </c>
    </row>
    <row r="372" spans="1:39" s="57" customFormat="1" ht="14">
      <c r="A372" s="45"/>
      <c r="B372" s="46"/>
      <c r="C372" s="47">
        <f>IF(B372&lt;&gt;"",VLOOKUP(B372,'Tipo Projeto'!$A$3:$B$35,2,0),0)</f>
        <v>0</v>
      </c>
      <c r="D372" s="48"/>
      <c r="E372" s="48"/>
      <c r="F372" s="49"/>
      <c r="G372" s="204"/>
      <c r="H372" s="50"/>
      <c r="I372" s="51"/>
      <c r="J372" s="52"/>
      <c r="K372" s="53"/>
      <c r="L372" s="54" t="str">
        <f t="shared" si="65"/>
        <v/>
      </c>
      <c r="M372" s="49" t="str">
        <f t="shared" si="66"/>
        <v/>
      </c>
      <c r="N372" s="55" t="str">
        <f t="shared" si="67"/>
        <v/>
      </c>
      <c r="O372" s="56">
        <f t="shared" si="68"/>
        <v>0</v>
      </c>
      <c r="P372" s="56">
        <f t="shared" si="69"/>
        <v>0</v>
      </c>
      <c r="Q372" s="55">
        <f t="shared" si="70"/>
        <v>0</v>
      </c>
      <c r="R372" s="48"/>
      <c r="T372" s="58"/>
      <c r="U372" s="46"/>
      <c r="V372" s="47">
        <f>IF(U372&lt;&gt;"",VLOOKUP(U372,'Tipo Projeto'!$A$3:$B$35,2,0),0)</f>
        <v>0</v>
      </c>
      <c r="W372" s="48"/>
      <c r="X372" s="50"/>
      <c r="Y372" s="51"/>
      <c r="Z372" s="52"/>
      <c r="AA372" s="53"/>
      <c r="AB372" s="54" t="str">
        <f t="shared" si="71"/>
        <v/>
      </c>
      <c r="AC372" s="49" t="str">
        <f t="shared" si="72"/>
        <v/>
      </c>
      <c r="AD372" s="55" t="str">
        <f t="shared" si="73"/>
        <v/>
      </c>
      <c r="AE372" s="56">
        <f t="shared" si="74"/>
        <v>0</v>
      </c>
      <c r="AF372" s="56">
        <f t="shared" si="75"/>
        <v>0</v>
      </c>
      <c r="AG372" s="59">
        <f t="shared" si="76"/>
        <v>0</v>
      </c>
      <c r="AH372" s="48"/>
      <c r="AJ372" s="48"/>
      <c r="AL372" s="48"/>
      <c r="AM372" s="48" t="str">
        <f t="shared" si="77"/>
        <v/>
      </c>
    </row>
    <row r="373" spans="1:39" s="57" customFormat="1" ht="14">
      <c r="A373" s="45"/>
      <c r="B373" s="46"/>
      <c r="C373" s="47">
        <f>IF(B373&lt;&gt;"",VLOOKUP(B373,'Tipo Projeto'!$A$3:$B$35,2,0),0)</f>
        <v>0</v>
      </c>
      <c r="D373" s="48"/>
      <c r="E373" s="48"/>
      <c r="F373" s="49"/>
      <c r="G373" s="204"/>
      <c r="H373" s="50"/>
      <c r="I373" s="51"/>
      <c r="J373" s="52"/>
      <c r="K373" s="53"/>
      <c r="L373" s="54" t="str">
        <f t="shared" si="65"/>
        <v/>
      </c>
      <c r="M373" s="49" t="str">
        <f t="shared" si="66"/>
        <v/>
      </c>
      <c r="N373" s="55" t="str">
        <f t="shared" si="67"/>
        <v/>
      </c>
      <c r="O373" s="56">
        <f t="shared" si="68"/>
        <v>0</v>
      </c>
      <c r="P373" s="56">
        <f t="shared" si="69"/>
        <v>0</v>
      </c>
      <c r="Q373" s="55">
        <f t="shared" si="70"/>
        <v>0</v>
      </c>
      <c r="R373" s="48"/>
      <c r="T373" s="58"/>
      <c r="U373" s="46"/>
      <c r="V373" s="47">
        <f>IF(U373&lt;&gt;"",VLOOKUP(U373,'Tipo Projeto'!$A$3:$B$35,2,0),0)</f>
        <v>0</v>
      </c>
      <c r="W373" s="48"/>
      <c r="X373" s="50"/>
      <c r="Y373" s="51"/>
      <c r="Z373" s="52"/>
      <c r="AA373" s="53"/>
      <c r="AB373" s="54" t="str">
        <f t="shared" si="71"/>
        <v/>
      </c>
      <c r="AC373" s="49" t="str">
        <f t="shared" si="72"/>
        <v/>
      </c>
      <c r="AD373" s="55" t="str">
        <f t="shared" si="73"/>
        <v/>
      </c>
      <c r="AE373" s="56">
        <f t="shared" si="74"/>
        <v>0</v>
      </c>
      <c r="AF373" s="56">
        <f t="shared" si="75"/>
        <v>0</v>
      </c>
      <c r="AG373" s="59">
        <f t="shared" si="76"/>
        <v>0</v>
      </c>
      <c r="AH373" s="48"/>
      <c r="AJ373" s="48"/>
      <c r="AL373" s="48"/>
      <c r="AM373" s="48" t="str">
        <f t="shared" si="77"/>
        <v/>
      </c>
    </row>
    <row r="374" spans="1:39" s="57" customFormat="1" ht="14">
      <c r="A374" s="45"/>
      <c r="B374" s="46"/>
      <c r="C374" s="47">
        <f>IF(B374&lt;&gt;"",VLOOKUP(B374,'Tipo Projeto'!$A$3:$B$35,2,0),0)</f>
        <v>0</v>
      </c>
      <c r="D374" s="48"/>
      <c r="E374" s="48"/>
      <c r="F374" s="49"/>
      <c r="G374" s="204"/>
      <c r="H374" s="50"/>
      <c r="I374" s="51"/>
      <c r="J374" s="52"/>
      <c r="K374" s="53"/>
      <c r="L374" s="54" t="str">
        <f t="shared" si="65"/>
        <v/>
      </c>
      <c r="M374" s="49" t="str">
        <f t="shared" si="66"/>
        <v/>
      </c>
      <c r="N374" s="55" t="str">
        <f t="shared" si="67"/>
        <v/>
      </c>
      <c r="O374" s="56">
        <f t="shared" si="68"/>
        <v>0</v>
      </c>
      <c r="P374" s="56">
        <f t="shared" si="69"/>
        <v>0</v>
      </c>
      <c r="Q374" s="55">
        <f t="shared" si="70"/>
        <v>0</v>
      </c>
      <c r="R374" s="48"/>
      <c r="T374" s="58"/>
      <c r="U374" s="46"/>
      <c r="V374" s="47">
        <f>IF(U374&lt;&gt;"",VLOOKUP(U374,'Tipo Projeto'!$A$3:$B$35,2,0),0)</f>
        <v>0</v>
      </c>
      <c r="W374" s="48"/>
      <c r="X374" s="50"/>
      <c r="Y374" s="51"/>
      <c r="Z374" s="52"/>
      <c r="AA374" s="53"/>
      <c r="AB374" s="54" t="str">
        <f t="shared" si="71"/>
        <v/>
      </c>
      <c r="AC374" s="49" t="str">
        <f t="shared" si="72"/>
        <v/>
      </c>
      <c r="AD374" s="55" t="str">
        <f t="shared" si="73"/>
        <v/>
      </c>
      <c r="AE374" s="56">
        <f t="shared" si="74"/>
        <v>0</v>
      </c>
      <c r="AF374" s="56">
        <f t="shared" si="75"/>
        <v>0</v>
      </c>
      <c r="AG374" s="59">
        <f t="shared" si="76"/>
        <v>0</v>
      </c>
      <c r="AH374" s="48"/>
      <c r="AJ374" s="48"/>
      <c r="AL374" s="48"/>
      <c r="AM374" s="48" t="str">
        <f t="shared" si="77"/>
        <v/>
      </c>
    </row>
    <row r="375" spans="1:39" s="57" customFormat="1" ht="14">
      <c r="A375" s="45"/>
      <c r="B375" s="46"/>
      <c r="C375" s="47">
        <f>IF(B375&lt;&gt;"",VLOOKUP(B375,'Tipo Projeto'!$A$3:$B$35,2,0),0)</f>
        <v>0</v>
      </c>
      <c r="D375" s="48"/>
      <c r="E375" s="48"/>
      <c r="F375" s="49"/>
      <c r="G375" s="204"/>
      <c r="H375" s="50"/>
      <c r="I375" s="51"/>
      <c r="J375" s="52"/>
      <c r="K375" s="53"/>
      <c r="L375" s="54" t="str">
        <f t="shared" si="65"/>
        <v/>
      </c>
      <c r="M375" s="49" t="str">
        <f t="shared" si="66"/>
        <v/>
      </c>
      <c r="N375" s="55" t="str">
        <f t="shared" si="67"/>
        <v/>
      </c>
      <c r="O375" s="56">
        <f t="shared" si="68"/>
        <v>0</v>
      </c>
      <c r="P375" s="56">
        <f t="shared" si="69"/>
        <v>0</v>
      </c>
      <c r="Q375" s="55">
        <f t="shared" si="70"/>
        <v>0</v>
      </c>
      <c r="R375" s="48"/>
      <c r="T375" s="58"/>
      <c r="U375" s="46"/>
      <c r="V375" s="47">
        <f>IF(U375&lt;&gt;"",VLOOKUP(U375,'Tipo Projeto'!$A$3:$B$35,2,0),0)</f>
        <v>0</v>
      </c>
      <c r="W375" s="48"/>
      <c r="X375" s="50"/>
      <c r="Y375" s="51"/>
      <c r="Z375" s="52"/>
      <c r="AA375" s="53"/>
      <c r="AB375" s="54" t="str">
        <f t="shared" si="71"/>
        <v/>
      </c>
      <c r="AC375" s="49" t="str">
        <f t="shared" si="72"/>
        <v/>
      </c>
      <c r="AD375" s="55" t="str">
        <f t="shared" si="73"/>
        <v/>
      </c>
      <c r="AE375" s="56">
        <f t="shared" si="74"/>
        <v>0</v>
      </c>
      <c r="AF375" s="56">
        <f t="shared" si="75"/>
        <v>0</v>
      </c>
      <c r="AG375" s="59">
        <f t="shared" si="76"/>
        <v>0</v>
      </c>
      <c r="AH375" s="48"/>
      <c r="AJ375" s="48"/>
      <c r="AL375" s="48"/>
      <c r="AM375" s="48" t="str">
        <f t="shared" si="77"/>
        <v/>
      </c>
    </row>
    <row r="376" spans="1:39" s="57" customFormat="1" ht="14">
      <c r="A376" s="45"/>
      <c r="B376" s="46"/>
      <c r="C376" s="47">
        <f>IF(B376&lt;&gt;"",VLOOKUP(B376,'Tipo Projeto'!$A$3:$B$35,2,0),0)</f>
        <v>0</v>
      </c>
      <c r="D376" s="48"/>
      <c r="E376" s="48"/>
      <c r="F376" s="49"/>
      <c r="G376" s="204"/>
      <c r="H376" s="50"/>
      <c r="I376" s="51"/>
      <c r="J376" s="52"/>
      <c r="K376" s="53"/>
      <c r="L376" s="54" t="str">
        <f t="shared" si="65"/>
        <v/>
      </c>
      <c r="M376" s="49" t="str">
        <f t="shared" si="66"/>
        <v/>
      </c>
      <c r="N376" s="55" t="str">
        <f t="shared" si="67"/>
        <v/>
      </c>
      <c r="O376" s="56">
        <f t="shared" si="68"/>
        <v>0</v>
      </c>
      <c r="P376" s="56">
        <f t="shared" si="69"/>
        <v>0</v>
      </c>
      <c r="Q376" s="55">
        <f t="shared" si="70"/>
        <v>0</v>
      </c>
      <c r="R376" s="48"/>
      <c r="T376" s="58"/>
      <c r="U376" s="46"/>
      <c r="V376" s="47">
        <f>IF(U376&lt;&gt;"",VLOOKUP(U376,'Tipo Projeto'!$A$3:$B$35,2,0),0)</f>
        <v>0</v>
      </c>
      <c r="W376" s="48"/>
      <c r="X376" s="50"/>
      <c r="Y376" s="51"/>
      <c r="Z376" s="52"/>
      <c r="AA376" s="53"/>
      <c r="AB376" s="54" t="str">
        <f t="shared" si="71"/>
        <v/>
      </c>
      <c r="AC376" s="49" t="str">
        <f t="shared" si="72"/>
        <v/>
      </c>
      <c r="AD376" s="55" t="str">
        <f t="shared" si="73"/>
        <v/>
      </c>
      <c r="AE376" s="56">
        <f t="shared" si="74"/>
        <v>0</v>
      </c>
      <c r="AF376" s="56">
        <f t="shared" si="75"/>
        <v>0</v>
      </c>
      <c r="AG376" s="59">
        <f t="shared" si="76"/>
        <v>0</v>
      </c>
      <c r="AH376" s="48"/>
      <c r="AJ376" s="48"/>
      <c r="AL376" s="48"/>
      <c r="AM376" s="48" t="str">
        <f t="shared" si="77"/>
        <v/>
      </c>
    </row>
    <row r="377" spans="1:39" s="57" customFormat="1" ht="14">
      <c r="A377" s="45"/>
      <c r="B377" s="46"/>
      <c r="C377" s="47">
        <f>IF(B377&lt;&gt;"",VLOOKUP(B377,'Tipo Projeto'!$A$3:$B$35,2,0),0)</f>
        <v>0</v>
      </c>
      <c r="D377" s="48"/>
      <c r="E377" s="48"/>
      <c r="F377" s="49"/>
      <c r="G377" s="204"/>
      <c r="H377" s="50"/>
      <c r="I377" s="51"/>
      <c r="J377" s="52"/>
      <c r="K377" s="53"/>
      <c r="L377" s="54" t="str">
        <f t="shared" si="65"/>
        <v/>
      </c>
      <c r="M377" s="49" t="str">
        <f t="shared" si="66"/>
        <v/>
      </c>
      <c r="N377" s="55" t="str">
        <f t="shared" si="67"/>
        <v/>
      </c>
      <c r="O377" s="56">
        <f t="shared" si="68"/>
        <v>0</v>
      </c>
      <c r="P377" s="56">
        <f t="shared" si="69"/>
        <v>0</v>
      </c>
      <c r="Q377" s="55">
        <f t="shared" si="70"/>
        <v>0</v>
      </c>
      <c r="R377" s="48"/>
      <c r="T377" s="58"/>
      <c r="U377" s="46"/>
      <c r="V377" s="47">
        <f>IF(U377&lt;&gt;"",VLOOKUP(U377,'Tipo Projeto'!$A$3:$B$35,2,0),0)</f>
        <v>0</v>
      </c>
      <c r="W377" s="48"/>
      <c r="X377" s="50"/>
      <c r="Y377" s="51"/>
      <c r="Z377" s="52"/>
      <c r="AA377" s="53"/>
      <c r="AB377" s="54" t="str">
        <f t="shared" si="71"/>
        <v/>
      </c>
      <c r="AC377" s="49" t="str">
        <f t="shared" si="72"/>
        <v/>
      </c>
      <c r="AD377" s="55" t="str">
        <f t="shared" si="73"/>
        <v/>
      </c>
      <c r="AE377" s="56">
        <f t="shared" si="74"/>
        <v>0</v>
      </c>
      <c r="AF377" s="56">
        <f t="shared" si="75"/>
        <v>0</v>
      </c>
      <c r="AG377" s="59">
        <f t="shared" si="76"/>
        <v>0</v>
      </c>
      <c r="AH377" s="48"/>
      <c r="AJ377" s="48"/>
      <c r="AL377" s="48"/>
      <c r="AM377" s="48" t="str">
        <f t="shared" si="77"/>
        <v/>
      </c>
    </row>
    <row r="378" spans="1:39" s="57" customFormat="1" ht="14">
      <c r="A378" s="45"/>
      <c r="B378" s="46"/>
      <c r="C378" s="47">
        <f>IF(B378&lt;&gt;"",VLOOKUP(B378,'Tipo Projeto'!$A$3:$B$35,2,0),0)</f>
        <v>0</v>
      </c>
      <c r="D378" s="48"/>
      <c r="E378" s="48"/>
      <c r="F378" s="49"/>
      <c r="G378" s="204"/>
      <c r="H378" s="50"/>
      <c r="I378" s="51"/>
      <c r="J378" s="52"/>
      <c r="K378" s="53"/>
      <c r="L378" s="54" t="str">
        <f t="shared" si="65"/>
        <v/>
      </c>
      <c r="M378" s="49" t="str">
        <f t="shared" si="66"/>
        <v/>
      </c>
      <c r="N378" s="55" t="str">
        <f t="shared" si="67"/>
        <v/>
      </c>
      <c r="O378" s="56">
        <f t="shared" si="68"/>
        <v>0</v>
      </c>
      <c r="P378" s="56">
        <f t="shared" si="69"/>
        <v>0</v>
      </c>
      <c r="Q378" s="55">
        <f t="shared" si="70"/>
        <v>0</v>
      </c>
      <c r="R378" s="48"/>
      <c r="T378" s="58"/>
      <c r="U378" s="46"/>
      <c r="V378" s="47">
        <f>IF(U378&lt;&gt;"",VLOOKUP(U378,'Tipo Projeto'!$A$3:$B$35,2,0),0)</f>
        <v>0</v>
      </c>
      <c r="W378" s="48"/>
      <c r="X378" s="50"/>
      <c r="Y378" s="51"/>
      <c r="Z378" s="52"/>
      <c r="AA378" s="53"/>
      <c r="AB378" s="54" t="str">
        <f t="shared" si="71"/>
        <v/>
      </c>
      <c r="AC378" s="49" t="str">
        <f t="shared" si="72"/>
        <v/>
      </c>
      <c r="AD378" s="55" t="str">
        <f t="shared" si="73"/>
        <v/>
      </c>
      <c r="AE378" s="56">
        <f t="shared" si="74"/>
        <v>0</v>
      </c>
      <c r="AF378" s="56">
        <f t="shared" si="75"/>
        <v>0</v>
      </c>
      <c r="AG378" s="59">
        <f t="shared" si="76"/>
        <v>0</v>
      </c>
      <c r="AH378" s="48"/>
      <c r="AJ378" s="48"/>
      <c r="AL378" s="48"/>
      <c r="AM378" s="48" t="str">
        <f t="shared" si="77"/>
        <v/>
      </c>
    </row>
    <row r="379" spans="1:39" s="57" customFormat="1" ht="14">
      <c r="A379" s="45"/>
      <c r="B379" s="46"/>
      <c r="C379" s="47">
        <f>IF(B379&lt;&gt;"",VLOOKUP(B379,'Tipo Projeto'!$A$3:$B$35,2,0),0)</f>
        <v>0</v>
      </c>
      <c r="D379" s="48"/>
      <c r="E379" s="48"/>
      <c r="F379" s="49"/>
      <c r="G379" s="204"/>
      <c r="H379" s="50"/>
      <c r="I379" s="51"/>
      <c r="J379" s="52"/>
      <c r="K379" s="53"/>
      <c r="L379" s="54" t="str">
        <f t="shared" si="65"/>
        <v/>
      </c>
      <c r="M379" s="49" t="str">
        <f t="shared" si="66"/>
        <v/>
      </c>
      <c r="N379" s="55" t="str">
        <f t="shared" si="67"/>
        <v/>
      </c>
      <c r="O379" s="56">
        <f t="shared" si="68"/>
        <v>0</v>
      </c>
      <c r="P379" s="56">
        <f t="shared" si="69"/>
        <v>0</v>
      </c>
      <c r="Q379" s="55">
        <f t="shared" si="70"/>
        <v>0</v>
      </c>
      <c r="R379" s="48"/>
      <c r="T379" s="58"/>
      <c r="U379" s="46"/>
      <c r="V379" s="47">
        <f>IF(U379&lt;&gt;"",VLOOKUP(U379,'Tipo Projeto'!$A$3:$B$35,2,0),0)</f>
        <v>0</v>
      </c>
      <c r="W379" s="48"/>
      <c r="X379" s="50"/>
      <c r="Y379" s="51"/>
      <c r="Z379" s="52"/>
      <c r="AA379" s="53"/>
      <c r="AB379" s="54" t="str">
        <f t="shared" si="71"/>
        <v/>
      </c>
      <c r="AC379" s="49" t="str">
        <f t="shared" si="72"/>
        <v/>
      </c>
      <c r="AD379" s="55" t="str">
        <f t="shared" si="73"/>
        <v/>
      </c>
      <c r="AE379" s="56">
        <f t="shared" si="74"/>
        <v>0</v>
      </c>
      <c r="AF379" s="56">
        <f t="shared" si="75"/>
        <v>0</v>
      </c>
      <c r="AG379" s="59">
        <f t="shared" si="76"/>
        <v>0</v>
      </c>
      <c r="AH379" s="48"/>
      <c r="AJ379" s="48"/>
      <c r="AL379" s="48"/>
      <c r="AM379" s="48" t="str">
        <f t="shared" si="77"/>
        <v/>
      </c>
    </row>
    <row r="380" spans="1:39" s="57" customFormat="1" ht="14">
      <c r="A380" s="45"/>
      <c r="B380" s="46"/>
      <c r="C380" s="47">
        <f>IF(B380&lt;&gt;"",VLOOKUP(B380,'Tipo Projeto'!$A$3:$B$35,2,0),0)</f>
        <v>0</v>
      </c>
      <c r="D380" s="48"/>
      <c r="E380" s="48"/>
      <c r="F380" s="49"/>
      <c r="G380" s="204"/>
      <c r="H380" s="50"/>
      <c r="I380" s="51"/>
      <c r="J380" s="52"/>
      <c r="K380" s="53"/>
      <c r="L380" s="54" t="str">
        <f t="shared" si="65"/>
        <v/>
      </c>
      <c r="M380" s="49" t="str">
        <f t="shared" si="66"/>
        <v/>
      </c>
      <c r="N380" s="55" t="str">
        <f t="shared" si="67"/>
        <v/>
      </c>
      <c r="O380" s="56">
        <f t="shared" si="68"/>
        <v>0</v>
      </c>
      <c r="P380" s="56">
        <f t="shared" si="69"/>
        <v>0</v>
      </c>
      <c r="Q380" s="55">
        <f t="shared" si="70"/>
        <v>0</v>
      </c>
      <c r="R380" s="48"/>
      <c r="T380" s="58"/>
      <c r="U380" s="46"/>
      <c r="V380" s="47">
        <f>IF(U380&lt;&gt;"",VLOOKUP(U380,'Tipo Projeto'!$A$3:$B$35,2,0),0)</f>
        <v>0</v>
      </c>
      <c r="W380" s="48"/>
      <c r="X380" s="50"/>
      <c r="Y380" s="51"/>
      <c r="Z380" s="52"/>
      <c r="AA380" s="53"/>
      <c r="AB380" s="54" t="str">
        <f t="shared" si="71"/>
        <v/>
      </c>
      <c r="AC380" s="49" t="str">
        <f t="shared" si="72"/>
        <v/>
      </c>
      <c r="AD380" s="55" t="str">
        <f t="shared" si="73"/>
        <v/>
      </c>
      <c r="AE380" s="56">
        <f t="shared" si="74"/>
        <v>0</v>
      </c>
      <c r="AF380" s="56">
        <f t="shared" si="75"/>
        <v>0</v>
      </c>
      <c r="AG380" s="59">
        <f t="shared" si="76"/>
        <v>0</v>
      </c>
      <c r="AH380" s="48"/>
      <c r="AJ380" s="48"/>
      <c r="AL380" s="48"/>
      <c r="AM380" s="48" t="str">
        <f t="shared" si="77"/>
        <v/>
      </c>
    </row>
    <row r="381" spans="1:39" s="57" customFormat="1" ht="14">
      <c r="A381" s="45"/>
      <c r="B381" s="46"/>
      <c r="C381" s="47">
        <f>IF(B381&lt;&gt;"",VLOOKUP(B381,'Tipo Projeto'!$A$3:$B$35,2,0),0)</f>
        <v>0</v>
      </c>
      <c r="D381" s="48"/>
      <c r="E381" s="48"/>
      <c r="F381" s="49"/>
      <c r="G381" s="204"/>
      <c r="H381" s="50"/>
      <c r="I381" s="51"/>
      <c r="J381" s="52"/>
      <c r="K381" s="53"/>
      <c r="L381" s="54" t="str">
        <f t="shared" si="65"/>
        <v/>
      </c>
      <c r="M381" s="49" t="str">
        <f t="shared" si="66"/>
        <v/>
      </c>
      <c r="N381" s="55" t="str">
        <f t="shared" si="67"/>
        <v/>
      </c>
      <c r="O381" s="56">
        <f t="shared" si="68"/>
        <v>0</v>
      </c>
      <c r="P381" s="56">
        <f t="shared" si="69"/>
        <v>0</v>
      </c>
      <c r="Q381" s="55">
        <f t="shared" si="70"/>
        <v>0</v>
      </c>
      <c r="R381" s="48"/>
      <c r="T381" s="58"/>
      <c r="U381" s="46"/>
      <c r="V381" s="47">
        <f>IF(U381&lt;&gt;"",VLOOKUP(U381,'Tipo Projeto'!$A$3:$B$35,2,0),0)</f>
        <v>0</v>
      </c>
      <c r="W381" s="48"/>
      <c r="X381" s="50"/>
      <c r="Y381" s="51"/>
      <c r="Z381" s="52"/>
      <c r="AA381" s="53"/>
      <c r="AB381" s="54" t="str">
        <f t="shared" si="71"/>
        <v/>
      </c>
      <c r="AC381" s="49" t="str">
        <f t="shared" si="72"/>
        <v/>
      </c>
      <c r="AD381" s="55" t="str">
        <f t="shared" si="73"/>
        <v/>
      </c>
      <c r="AE381" s="56">
        <f t="shared" si="74"/>
        <v>0</v>
      </c>
      <c r="AF381" s="56">
        <f t="shared" si="75"/>
        <v>0</v>
      </c>
      <c r="AG381" s="59">
        <f t="shared" si="76"/>
        <v>0</v>
      </c>
      <c r="AH381" s="48"/>
      <c r="AJ381" s="48"/>
      <c r="AL381" s="48"/>
      <c r="AM381" s="48" t="str">
        <f t="shared" si="77"/>
        <v/>
      </c>
    </row>
    <row r="382" spans="1:39" s="57" customFormat="1" ht="14">
      <c r="A382" s="45"/>
      <c r="B382" s="46"/>
      <c r="C382" s="47">
        <f>IF(B382&lt;&gt;"",VLOOKUP(B382,'Tipo Projeto'!$A$3:$B$35,2,0),0)</f>
        <v>0</v>
      </c>
      <c r="D382" s="48"/>
      <c r="E382" s="48"/>
      <c r="F382" s="49"/>
      <c r="G382" s="204"/>
      <c r="H382" s="50"/>
      <c r="I382" s="51"/>
      <c r="J382" s="60"/>
      <c r="K382" s="53"/>
      <c r="L382" s="54" t="str">
        <f t="shared" si="65"/>
        <v/>
      </c>
      <c r="M382" s="49" t="str">
        <f t="shared" si="66"/>
        <v/>
      </c>
      <c r="N382" s="55" t="str">
        <f t="shared" si="67"/>
        <v/>
      </c>
      <c r="O382" s="56">
        <f t="shared" si="68"/>
        <v>0</v>
      </c>
      <c r="P382" s="56">
        <f t="shared" si="69"/>
        <v>0</v>
      </c>
      <c r="Q382" s="55">
        <f t="shared" si="70"/>
        <v>0</v>
      </c>
      <c r="R382" s="48"/>
      <c r="T382" s="58"/>
      <c r="U382" s="46"/>
      <c r="V382" s="47">
        <f>IF(U382&lt;&gt;"",VLOOKUP(U382,'Tipo Projeto'!$A$3:$B$35,2,0),0)</f>
        <v>0</v>
      </c>
      <c r="W382" s="48"/>
      <c r="X382" s="50"/>
      <c r="Y382" s="51"/>
      <c r="Z382" s="52"/>
      <c r="AA382" s="53"/>
      <c r="AB382" s="54" t="str">
        <f t="shared" si="71"/>
        <v/>
      </c>
      <c r="AC382" s="49" t="str">
        <f t="shared" si="72"/>
        <v/>
      </c>
      <c r="AD382" s="55" t="str">
        <f t="shared" si="73"/>
        <v/>
      </c>
      <c r="AE382" s="56">
        <f t="shared" si="74"/>
        <v>0</v>
      </c>
      <c r="AF382" s="56">
        <f t="shared" si="75"/>
        <v>0</v>
      </c>
      <c r="AG382" s="59">
        <f t="shared" si="76"/>
        <v>0</v>
      </c>
      <c r="AH382" s="48"/>
      <c r="AJ382" s="48"/>
      <c r="AL382" s="48"/>
      <c r="AM382" s="48" t="str">
        <f t="shared" si="77"/>
        <v/>
      </c>
    </row>
    <row r="383" spans="1:39" s="57" customFormat="1" ht="14">
      <c r="A383" s="61" t="s">
        <v>67</v>
      </c>
      <c r="B383" s="62"/>
      <c r="C383" s="62"/>
      <c r="D383" s="62"/>
      <c r="E383" s="62"/>
      <c r="F383" s="62"/>
      <c r="G383" s="62"/>
      <c r="H383" s="62"/>
      <c r="I383" s="63"/>
      <c r="J383" s="64"/>
      <c r="K383" s="65"/>
      <c r="L383" s="62"/>
      <c r="M383" s="62"/>
      <c r="N383" s="62"/>
      <c r="O383" s="62"/>
      <c r="P383" s="62"/>
      <c r="Q383" s="62"/>
      <c r="R383" s="66"/>
      <c r="T383" s="61" t="s">
        <v>67</v>
      </c>
      <c r="U383" s="62"/>
      <c r="V383" s="62"/>
      <c r="W383" s="62"/>
      <c r="X383" s="62"/>
      <c r="Y383" s="62"/>
      <c r="Z383" s="62"/>
      <c r="AA383" s="62"/>
      <c r="AB383" s="62"/>
      <c r="AC383" s="62"/>
      <c r="AD383" s="62"/>
      <c r="AE383" s="62"/>
      <c r="AF383" s="62"/>
      <c r="AG383" s="62"/>
      <c r="AH383" s="62"/>
      <c r="AJ383" s="62"/>
      <c r="AL383" s="62"/>
      <c r="AM383" s="62"/>
    </row>
    <row r="384" spans="1:39" ht="26">
      <c r="A384" s="67"/>
      <c r="B384" s="68"/>
      <c r="C384" s="68"/>
      <c r="D384" s="69"/>
      <c r="E384" s="69"/>
      <c r="G384" s="67"/>
      <c r="H384" s="67"/>
      <c r="I384" s="70"/>
      <c r="J384" s="67"/>
      <c r="K384" s="70"/>
      <c r="L384" s="68"/>
      <c r="M384" s="68"/>
      <c r="N384" s="71" t="s">
        <v>68</v>
      </c>
      <c r="O384" s="68"/>
      <c r="P384" s="49">
        <f>IF(AND(G384="ALI",M384="Simples"),7, IF(AND(G384="ALI",M384="Médio"),10, IF(AND(G384="ALI",M384="Complexo"),15, IF(AND(G384="AIE",M384="Simples"),5, IF(AND(G384="AIE",M384="Médio"),7, IF(AND(G384="AIE",M384="Complexo"),10,0))))))</f>
        <v>0</v>
      </c>
      <c r="Q384" s="72">
        <f>SUM(Q10:Q383)</f>
        <v>0</v>
      </c>
      <c r="R384" s="73"/>
      <c r="AD384" s="71" t="s">
        <v>68</v>
      </c>
      <c r="AE384" s="68"/>
      <c r="AF384" s="49">
        <f>IF(AND(W384="ALI",AC384="Simples"),7, IF(AND(W384="ALI",AC384="Médio"),10, IF(AND(W384="ALI",AC384="Complexo"),15, IF(AND(W384="AIE",AC384="Simples"),5, IF(AND(W384="AIE",AC384="Médio"),7, IF(AND(W384="AIE",AC384="Complexo"),10,0))))))</f>
        <v>0</v>
      </c>
      <c r="AG384" s="72">
        <f>SUM(AG10:AG382)</f>
        <v>0</v>
      </c>
      <c r="AH384" s="73"/>
      <c r="AJ384" s="73"/>
      <c r="AL384" s="73"/>
      <c r="AM384" s="73"/>
    </row>
  </sheetData>
  <mergeCells count="45">
    <mergeCell ref="AH8:AH9"/>
    <mergeCell ref="AJ8:AJ9"/>
    <mergeCell ref="AL8:AL9"/>
    <mergeCell ref="AM8:AM9"/>
    <mergeCell ref="W8:W9"/>
    <mergeCell ref="X8:Y8"/>
    <mergeCell ref="Z8:AA8"/>
    <mergeCell ref="AD8:AD9"/>
    <mergeCell ref="AG8:AG9"/>
    <mergeCell ref="Q8:Q9"/>
    <mergeCell ref="R8:R9"/>
    <mergeCell ref="T8:T9"/>
    <mergeCell ref="U8:U9"/>
    <mergeCell ref="V8:V9"/>
    <mergeCell ref="F8:F9"/>
    <mergeCell ref="G8:G9"/>
    <mergeCell ref="H8:I8"/>
    <mergeCell ref="J8:K8"/>
    <mergeCell ref="N8:N9"/>
    <mergeCell ref="A8:A9"/>
    <mergeCell ref="B8:B9"/>
    <mergeCell ref="C8:C9"/>
    <mergeCell ref="D8:D9"/>
    <mergeCell ref="E8:E9"/>
    <mergeCell ref="AD5:AH5"/>
    <mergeCell ref="A6:C6"/>
    <mergeCell ref="G6:K6"/>
    <mergeCell ref="N6:R6"/>
    <mergeCell ref="W6:AA6"/>
    <mergeCell ref="AD6:AH6"/>
    <mergeCell ref="AD3:AH3"/>
    <mergeCell ref="G4:K4"/>
    <mergeCell ref="N4:R4"/>
    <mergeCell ref="W4:AA4"/>
    <mergeCell ref="AD4:AH4"/>
    <mergeCell ref="C1:R1"/>
    <mergeCell ref="G3:K3"/>
    <mergeCell ref="N3:R3"/>
    <mergeCell ref="T3:V6"/>
    <mergeCell ref="W3:AA3"/>
    <mergeCell ref="A5:C5"/>
    <mergeCell ref="E5:E6"/>
    <mergeCell ref="G5:K5"/>
    <mergeCell ref="N5:R5"/>
    <mergeCell ref="W5:AA5"/>
  </mergeCells>
  <conditionalFormatting sqref="G10">
    <cfRule type="cellIs" dxfId="15" priority="4" operator="between">
      <formula>"Desenvolvimento"</formula>
      <formula>"Manutenção"</formula>
    </cfRule>
  </conditionalFormatting>
  <conditionalFormatting sqref="W10:W15 W17:W382">
    <cfRule type="cellIs" dxfId="14" priority="5" operator="between">
      <formula>"Desenvolvimento"</formula>
      <formula>"Manutenção"</formula>
    </cfRule>
  </conditionalFormatting>
  <conditionalFormatting sqref="U10:AA15 U41:AD382 U16:V16 AA16 U17:AA33 AB10:AC33 U34:AC40 AD10:AD40">
    <cfRule type="expression" dxfId="13" priority="6">
      <formula>$T10="OK"</formula>
    </cfRule>
  </conditionalFormatting>
  <conditionalFormatting sqref="W16">
    <cfRule type="cellIs" dxfId="12" priority="7" operator="between">
      <formula>"Desenvolvimento"</formula>
      <formula>"Manutenção"</formula>
    </cfRule>
  </conditionalFormatting>
  <conditionalFormatting sqref="G11:G382">
    <cfRule type="cellIs" dxfId="0" priority="1" operator="between">
      <formula>"Desenvolvimento"</formula>
      <formula>"Manutenção"</formula>
    </cfRule>
  </conditionalFormatting>
  <dataValidations count="3">
    <dataValidation type="list" allowBlank="1" showInputMessage="1" showErrorMessage="1" errorTitle="Erro" error="Selecione uma das opções apresentada" sqref="W10:W382 G10:G382" xr:uid="{00000000-0002-0000-0200-000000000000}">
      <formula1>"-------,EE,SE,CE,ALI,AIE"</formula1>
      <formula2>0</formula2>
    </dataValidation>
    <dataValidation type="list" allowBlank="1" showInputMessage="1" showErrorMessage="1" sqref="U10:U382 B10:B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ignoredErrors>
    <ignoredError sqref="E5" unlockedFormula="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X13" sqref="X13"/>
    </sheetView>
  </sheetViews>
  <sheetFormatPr defaultRowHeight="12.5"/>
  <cols>
    <col min="1" max="1" width="5.54296875" style="15" customWidth="1"/>
    <col min="2" max="2" width="37.1796875" style="16" customWidth="1"/>
    <col min="3" max="3" width="8.36328125" style="16" customWidth="1"/>
    <col min="4" max="4" width="7.54296875" style="17" customWidth="1"/>
    <col min="5" max="5" width="9.6328125" style="17" customWidth="1"/>
    <col min="6" max="6" width="11.54296875" style="17"/>
    <col min="7" max="7" width="16.453125" style="17" customWidth="1"/>
    <col min="8" max="8" width="38.36328125" style="18" customWidth="1"/>
    <col min="9" max="9" width="6.36328125" style="15" hidden="1" customWidth="1"/>
    <col min="10" max="11" width="8.08984375" style="15" customWidth="1"/>
    <col min="12" max="12" width="7.90625" style="15" customWidth="1"/>
    <col min="13" max="13" width="12.36328125" style="15" customWidth="1"/>
    <col min="14" max="15" width="15.6328125" style="16" hidden="1" customWidth="1"/>
    <col min="16" max="16" width="15.08984375" style="15" customWidth="1"/>
    <col min="17" max="18" width="16.6328125" style="16" hidden="1" customWidth="1"/>
    <col min="19" max="20" width="8.36328125" style="16" customWidth="1"/>
    <col min="21" max="22" width="9.08984375" style="16" customWidth="1"/>
    <col min="23" max="23" width="9.6328125" style="16" customWidth="1"/>
    <col min="24" max="32" width="9.08984375" style="16" customWidth="1"/>
    <col min="33" max="1025" width="8.90625" style="16" customWidth="1"/>
  </cols>
  <sheetData>
    <row r="1" spans="1:20" ht="69" customHeight="1">
      <c r="A1" s="2" t="str">
        <f>Resumo!A1</f>
        <v>Template V.2.0</v>
      </c>
      <c r="B1" s="20"/>
      <c r="C1" s="218" t="s">
        <v>69</v>
      </c>
      <c r="D1" s="218"/>
      <c r="E1" s="218"/>
      <c r="F1" s="218"/>
      <c r="G1" s="218"/>
      <c r="H1" s="218"/>
      <c r="I1" s="218"/>
      <c r="J1" s="218"/>
      <c r="K1" s="218"/>
      <c r="L1" s="218"/>
      <c r="M1" s="218"/>
      <c r="N1" s="218"/>
      <c r="O1" s="218"/>
      <c r="P1" s="218"/>
      <c r="Q1" s="218"/>
      <c r="R1" s="218"/>
      <c r="S1" s="218"/>
      <c r="T1" s="218"/>
    </row>
    <row r="2" spans="1:20" ht="9" customHeight="1">
      <c r="A2" s="22"/>
      <c r="B2" s="22"/>
      <c r="C2" s="23"/>
      <c r="D2" s="23"/>
      <c r="E2" s="23"/>
      <c r="F2" s="23"/>
      <c r="G2" s="23"/>
      <c r="H2" s="23"/>
      <c r="I2" s="23"/>
      <c r="J2" s="23"/>
      <c r="K2" s="23"/>
      <c r="L2" s="23"/>
      <c r="M2" s="23"/>
      <c r="N2" s="23"/>
      <c r="O2" s="23"/>
      <c r="P2" s="23"/>
      <c r="Q2" s="23"/>
      <c r="R2" s="23"/>
      <c r="S2" s="23"/>
      <c r="T2" s="23"/>
    </row>
    <row r="3" spans="1:20" s="16" customFormat="1" ht="18.649999999999999" customHeight="1">
      <c r="B3" s="25"/>
      <c r="C3" s="23"/>
      <c r="D3" s="23"/>
      <c r="E3" s="23"/>
      <c r="F3" s="23"/>
      <c r="G3" s="23"/>
      <c r="H3" s="23"/>
      <c r="I3" s="23"/>
      <c r="J3" s="23"/>
      <c r="K3" s="219" t="s">
        <v>8</v>
      </c>
      <c r="L3" s="219"/>
      <c r="M3" s="219"/>
      <c r="N3" s="26"/>
      <c r="O3" s="26"/>
      <c r="P3" s="220"/>
      <c r="Q3" s="220"/>
      <c r="R3" s="220"/>
      <c r="S3" s="220"/>
      <c r="T3" s="220"/>
    </row>
    <row r="4" spans="1:20" s="16" customFormat="1" ht="18.649999999999999" customHeight="1">
      <c r="B4" s="25"/>
      <c r="C4" s="23"/>
      <c r="D4" s="23"/>
      <c r="E4" s="23"/>
      <c r="F4" s="23"/>
      <c r="G4" s="23"/>
      <c r="H4" s="23"/>
      <c r="I4" s="23"/>
      <c r="J4" s="23"/>
      <c r="K4" s="219" t="s">
        <v>9</v>
      </c>
      <c r="L4" s="219"/>
      <c r="M4" s="219"/>
      <c r="N4" s="26"/>
      <c r="O4" s="26"/>
      <c r="P4" s="224"/>
      <c r="Q4" s="224"/>
      <c r="R4" s="224"/>
      <c r="S4" s="224"/>
      <c r="T4" s="224"/>
    </row>
    <row r="5" spans="1:20" ht="18.649999999999999" customHeight="1">
      <c r="A5" s="219" t="s">
        <v>70</v>
      </c>
      <c r="B5" s="219"/>
      <c r="C5" s="219"/>
      <c r="D5" s="233" t="str">
        <f>TEXT(S385,"#.##0,0#")</f>
        <v>0,0</v>
      </c>
      <c r="E5" s="233"/>
      <c r="F5" s="23"/>
      <c r="G5" s="23"/>
      <c r="H5" s="23"/>
      <c r="I5" s="23"/>
      <c r="J5" s="23"/>
      <c r="K5" s="219" t="s">
        <v>10</v>
      </c>
      <c r="L5" s="219"/>
      <c r="M5" s="219"/>
      <c r="N5" s="26"/>
      <c r="O5" s="26"/>
      <c r="P5" s="220"/>
      <c r="Q5" s="220"/>
      <c r="R5" s="220"/>
      <c r="S5" s="220"/>
      <c r="T5" s="220"/>
    </row>
    <row r="6" spans="1:20" ht="18.649999999999999" customHeight="1">
      <c r="A6" s="219"/>
      <c r="B6" s="219"/>
      <c r="C6" s="219"/>
      <c r="D6" s="233"/>
      <c r="E6" s="233"/>
      <c r="F6" s="23"/>
      <c r="G6" s="23"/>
      <c r="H6" s="23"/>
      <c r="I6" s="23"/>
      <c r="J6" s="23"/>
      <c r="K6" s="219" t="s">
        <v>11</v>
      </c>
      <c r="L6" s="219"/>
      <c r="M6" s="219"/>
      <c r="N6" s="26"/>
      <c r="O6" s="26"/>
      <c r="P6" s="224"/>
      <c r="Q6" s="224"/>
      <c r="R6" s="224"/>
      <c r="S6" s="224"/>
      <c r="T6" s="224"/>
    </row>
    <row r="7" spans="1:20" ht="9" customHeight="1">
      <c r="A7" s="235"/>
      <c r="B7" s="235"/>
      <c r="C7" s="235"/>
      <c r="D7" s="235"/>
      <c r="E7" s="235"/>
      <c r="F7" s="235"/>
      <c r="G7" s="235"/>
      <c r="H7" s="235"/>
      <c r="I7" s="235"/>
      <c r="J7" s="235"/>
      <c r="K7" s="235"/>
      <c r="L7" s="235"/>
      <c r="M7" s="235"/>
      <c r="N7" s="235"/>
      <c r="O7" s="235"/>
      <c r="P7" s="235"/>
      <c r="Q7" s="235"/>
      <c r="R7" s="235"/>
      <c r="S7" s="235"/>
      <c r="T7" s="235"/>
    </row>
    <row r="8" spans="1:20" s="39" customFormat="1" ht="18.649999999999999" customHeight="1">
      <c r="A8" s="225" t="s">
        <v>44</v>
      </c>
      <c r="B8" s="226" t="s">
        <v>45</v>
      </c>
      <c r="C8" s="226" t="s">
        <v>46</v>
      </c>
      <c r="D8" s="226" t="s">
        <v>71</v>
      </c>
      <c r="E8" s="236" t="s">
        <v>72</v>
      </c>
      <c r="F8" s="226" t="s">
        <v>47</v>
      </c>
      <c r="G8" s="226" t="s">
        <v>48</v>
      </c>
      <c r="H8" s="227" t="s">
        <v>49</v>
      </c>
      <c r="I8" s="75"/>
      <c r="J8" s="228" t="s">
        <v>73</v>
      </c>
      <c r="K8" s="228"/>
      <c r="L8" s="228"/>
      <c r="M8" s="228"/>
      <c r="N8" s="228"/>
      <c r="O8" s="228"/>
      <c r="P8" s="228"/>
      <c r="Q8" s="228"/>
      <c r="R8" s="228"/>
      <c r="S8" s="228"/>
      <c r="T8" s="228" t="s">
        <v>74</v>
      </c>
    </row>
    <row r="9" spans="1:20" s="44" customFormat="1" ht="15.5">
      <c r="A9" s="225"/>
      <c r="B9" s="226"/>
      <c r="C9" s="226"/>
      <c r="D9" s="226"/>
      <c r="E9" s="226"/>
      <c r="F9" s="226"/>
      <c r="G9" s="226"/>
      <c r="H9" s="227"/>
      <c r="I9" s="74" t="s">
        <v>50</v>
      </c>
      <c r="J9" s="74" t="s">
        <v>75</v>
      </c>
      <c r="K9" s="74" t="s">
        <v>76</v>
      </c>
      <c r="L9" s="74" t="s">
        <v>77</v>
      </c>
      <c r="M9" s="36" t="s">
        <v>50</v>
      </c>
      <c r="N9" s="36" t="s">
        <v>63</v>
      </c>
      <c r="O9" s="36" t="s">
        <v>64</v>
      </c>
      <c r="P9" s="36" t="s">
        <v>53</v>
      </c>
      <c r="Q9" s="36" t="s">
        <v>65</v>
      </c>
      <c r="R9" s="36" t="s">
        <v>66</v>
      </c>
      <c r="S9" s="36" t="s">
        <v>54</v>
      </c>
      <c r="T9" s="228"/>
    </row>
    <row r="10" spans="1:20" s="57" customFormat="1" ht="14">
      <c r="A10" s="234" t="s">
        <v>78</v>
      </c>
      <c r="B10" s="234"/>
      <c r="C10" s="234"/>
      <c r="D10" s="234"/>
      <c r="E10" s="234"/>
      <c r="F10" s="234"/>
      <c r="G10" s="234"/>
      <c r="H10" s="234"/>
      <c r="I10" s="234"/>
      <c r="J10" s="234"/>
      <c r="K10" s="234"/>
      <c r="L10" s="234"/>
      <c r="M10" s="234"/>
      <c r="N10" s="234"/>
      <c r="O10" s="234"/>
      <c r="P10" s="234"/>
      <c r="Q10" s="234"/>
      <c r="R10" s="234"/>
      <c r="S10" s="234"/>
      <c r="T10" s="234"/>
    </row>
    <row r="11" spans="1:20" s="57" customFormat="1" ht="14">
      <c r="A11" s="45"/>
      <c r="B11" s="46"/>
      <c r="C11" s="47">
        <f t="shared" ref="C11:C74" si="0">IF($B11&lt;&gt;"",VLOOKUP($B11,Matriz_INM,2,0),0)</f>
        <v>0</v>
      </c>
      <c r="D11" s="48"/>
      <c r="E11" s="48"/>
      <c r="F11" s="48"/>
      <c r="G11" s="48"/>
      <c r="H11" s="49"/>
      <c r="I11" s="76" t="str">
        <f t="shared" ref="I11:I74" si="1">IFERROR(VLOOKUP($B11,Matriz_INM,3,0),"")</f>
        <v/>
      </c>
      <c r="J11" s="50"/>
      <c r="K11" s="50"/>
      <c r="L11" s="50"/>
      <c r="M11" s="48"/>
      <c r="N11" s="49"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9"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7" t="str">
        <f t="shared" ref="P11:P74" si="4">IF(N11="",O11,IF(O11="",N11,""))</f>
        <v/>
      </c>
      <c r="Q11" s="78">
        <f t="shared" ref="Q11:Q74" si="5">IF(AND(OR(M11="EE",M11="CE"),P11="Simples"),3, IF(AND(OR(M11="EE",M11="CE"),P11="Médio"),4, IF(AND(OR(M11="EE",M11="CE"),P11="Complexo"),6, IF(AND(M11="SE",P11="Simples"),4, IF(AND(M11="SE",P11="Médio"),5, IF(AND(M11="SE",P11="Complexo"),7,0))))))</f>
        <v>0</v>
      </c>
      <c r="R11" s="78">
        <f t="shared" ref="R11:R74" si="6">IF(AND(M11="ALI",O11="Simples"),7, IF(AND(M11="ALI",O11="Médio"),10, IF(AND(M11="ALI",O11="Complexo"),15, IF(AND(M11="AIE",O11="Simples"),5, IF(AND(M11="AIE",O11="Médio"),7, IF(AND(M11="AIE",O11="Complexo"),10,0))))))</f>
        <v>0</v>
      </c>
      <c r="S11" s="77">
        <f>IF($I11="%",($Q11+$R11)*$C11,$C11*J11)</f>
        <v>0</v>
      </c>
      <c r="T11" s="48"/>
    </row>
    <row r="12" spans="1:20" s="57" customFormat="1" ht="14">
      <c r="A12" s="45"/>
      <c r="B12" s="46"/>
      <c r="C12" s="47">
        <f t="shared" si="0"/>
        <v>0</v>
      </c>
      <c r="D12" s="48"/>
      <c r="E12" s="48"/>
      <c r="F12" s="48"/>
      <c r="G12" s="48"/>
      <c r="H12" s="49"/>
      <c r="I12" s="76" t="str">
        <f t="shared" si="1"/>
        <v/>
      </c>
      <c r="J12" s="50"/>
      <c r="K12" s="50"/>
      <c r="L12" s="50"/>
      <c r="M12" s="48"/>
      <c r="N12" s="49" t="str">
        <f t="shared" si="2"/>
        <v/>
      </c>
      <c r="O12" s="49" t="str">
        <f t="shared" si="3"/>
        <v/>
      </c>
      <c r="P12" s="77" t="str">
        <f t="shared" si="4"/>
        <v/>
      </c>
      <c r="Q12" s="78">
        <f t="shared" si="5"/>
        <v>0</v>
      </c>
      <c r="R12" s="78">
        <f t="shared" si="6"/>
        <v>0</v>
      </c>
      <c r="S12" s="77">
        <f t="shared" ref="S12:S75" si="7">IF($I12="%",($Q12+$R12)*$C12,$C12)</f>
        <v>0</v>
      </c>
      <c r="T12" s="48"/>
    </row>
    <row r="13" spans="1:20" s="57" customFormat="1" ht="14">
      <c r="A13" s="45"/>
      <c r="B13" s="46"/>
      <c r="C13" s="47">
        <f t="shared" si="0"/>
        <v>0</v>
      </c>
      <c r="D13" s="48"/>
      <c r="E13" s="48"/>
      <c r="F13" s="48"/>
      <c r="G13" s="48"/>
      <c r="H13" s="49"/>
      <c r="I13" s="76" t="str">
        <f t="shared" si="1"/>
        <v/>
      </c>
      <c r="J13" s="50"/>
      <c r="K13" s="50"/>
      <c r="L13" s="50"/>
      <c r="M13" s="48"/>
      <c r="N13" s="49" t="str">
        <f t="shared" si="2"/>
        <v/>
      </c>
      <c r="O13" s="49" t="str">
        <f t="shared" si="3"/>
        <v/>
      </c>
      <c r="P13" s="77" t="str">
        <f t="shared" si="4"/>
        <v/>
      </c>
      <c r="Q13" s="78">
        <f t="shared" si="5"/>
        <v>0</v>
      </c>
      <c r="R13" s="78">
        <f t="shared" si="6"/>
        <v>0</v>
      </c>
      <c r="S13" s="77">
        <f t="shared" si="7"/>
        <v>0</v>
      </c>
      <c r="T13" s="48"/>
    </row>
    <row r="14" spans="1:20" s="57" customFormat="1" ht="14">
      <c r="A14" s="45"/>
      <c r="B14" s="46"/>
      <c r="C14" s="47">
        <f t="shared" si="0"/>
        <v>0</v>
      </c>
      <c r="D14" s="48"/>
      <c r="E14" s="48"/>
      <c r="F14" s="48"/>
      <c r="G14" s="48"/>
      <c r="H14" s="49"/>
      <c r="I14" s="76" t="str">
        <f t="shared" si="1"/>
        <v/>
      </c>
      <c r="J14" s="50"/>
      <c r="K14" s="50"/>
      <c r="L14" s="50"/>
      <c r="M14" s="48"/>
      <c r="N14" s="49" t="str">
        <f t="shared" si="2"/>
        <v/>
      </c>
      <c r="O14" s="49" t="str">
        <f t="shared" si="3"/>
        <v/>
      </c>
      <c r="P14" s="77" t="str">
        <f t="shared" si="4"/>
        <v/>
      </c>
      <c r="Q14" s="78">
        <f t="shared" si="5"/>
        <v>0</v>
      </c>
      <c r="R14" s="78">
        <f t="shared" si="6"/>
        <v>0</v>
      </c>
      <c r="S14" s="77">
        <f t="shared" si="7"/>
        <v>0</v>
      </c>
      <c r="T14" s="48"/>
    </row>
    <row r="15" spans="1:20" s="57" customFormat="1" ht="14">
      <c r="A15" s="45"/>
      <c r="B15" s="46"/>
      <c r="C15" s="47">
        <f t="shared" si="0"/>
        <v>0</v>
      </c>
      <c r="D15" s="48"/>
      <c r="E15" s="48"/>
      <c r="F15" s="48"/>
      <c r="G15" s="48"/>
      <c r="H15" s="49"/>
      <c r="I15" s="76" t="str">
        <f t="shared" si="1"/>
        <v/>
      </c>
      <c r="J15" s="50"/>
      <c r="K15" s="50"/>
      <c r="L15" s="50"/>
      <c r="M15" s="48"/>
      <c r="N15" s="49" t="str">
        <f t="shared" si="2"/>
        <v/>
      </c>
      <c r="O15" s="49" t="str">
        <f t="shared" si="3"/>
        <v/>
      </c>
      <c r="P15" s="77" t="str">
        <f t="shared" si="4"/>
        <v/>
      </c>
      <c r="Q15" s="78">
        <f t="shared" si="5"/>
        <v>0</v>
      </c>
      <c r="R15" s="78">
        <f t="shared" si="6"/>
        <v>0</v>
      </c>
      <c r="S15" s="77">
        <f t="shared" si="7"/>
        <v>0</v>
      </c>
      <c r="T15" s="48"/>
    </row>
    <row r="16" spans="1:20" s="57" customFormat="1" ht="14">
      <c r="A16" s="45"/>
      <c r="B16" s="46"/>
      <c r="C16" s="47">
        <f t="shared" si="0"/>
        <v>0</v>
      </c>
      <c r="D16" s="48"/>
      <c r="E16" s="48"/>
      <c r="F16" s="48"/>
      <c r="G16" s="48"/>
      <c r="H16" s="49"/>
      <c r="I16" s="76" t="str">
        <f t="shared" si="1"/>
        <v/>
      </c>
      <c r="J16" s="50"/>
      <c r="K16" s="50"/>
      <c r="L16" s="50"/>
      <c r="M16" s="48"/>
      <c r="N16" s="49" t="str">
        <f t="shared" si="2"/>
        <v/>
      </c>
      <c r="O16" s="49" t="str">
        <f t="shared" si="3"/>
        <v/>
      </c>
      <c r="P16" s="77" t="str">
        <f t="shared" si="4"/>
        <v/>
      </c>
      <c r="Q16" s="78">
        <f t="shared" si="5"/>
        <v>0</v>
      </c>
      <c r="R16" s="78">
        <f t="shared" si="6"/>
        <v>0</v>
      </c>
      <c r="S16" s="77">
        <f t="shared" si="7"/>
        <v>0</v>
      </c>
      <c r="T16" s="48"/>
    </row>
    <row r="17" spans="1:20" s="57" customFormat="1" ht="14">
      <c r="A17" s="45"/>
      <c r="B17" s="46"/>
      <c r="C17" s="47">
        <f t="shared" si="0"/>
        <v>0</v>
      </c>
      <c r="D17" s="48"/>
      <c r="E17" s="48"/>
      <c r="F17" s="48"/>
      <c r="G17" s="48"/>
      <c r="H17" s="49"/>
      <c r="I17" s="76" t="str">
        <f t="shared" si="1"/>
        <v/>
      </c>
      <c r="J17" s="50"/>
      <c r="K17" s="50"/>
      <c r="L17" s="50"/>
      <c r="M17" s="48"/>
      <c r="N17" s="49" t="str">
        <f t="shared" si="2"/>
        <v/>
      </c>
      <c r="O17" s="49" t="str">
        <f t="shared" si="3"/>
        <v/>
      </c>
      <c r="P17" s="77" t="str">
        <f t="shared" si="4"/>
        <v/>
      </c>
      <c r="Q17" s="78">
        <f t="shared" si="5"/>
        <v>0</v>
      </c>
      <c r="R17" s="78">
        <f t="shared" si="6"/>
        <v>0</v>
      </c>
      <c r="S17" s="77">
        <f t="shared" si="7"/>
        <v>0</v>
      </c>
      <c r="T17" s="48"/>
    </row>
    <row r="18" spans="1:20" s="57" customFormat="1" ht="14">
      <c r="A18" s="45"/>
      <c r="B18" s="46"/>
      <c r="C18" s="47">
        <f t="shared" si="0"/>
        <v>0</v>
      </c>
      <c r="D18" s="48"/>
      <c r="E18" s="48"/>
      <c r="F18" s="48"/>
      <c r="G18" s="48"/>
      <c r="H18" s="49"/>
      <c r="I18" s="76" t="str">
        <f t="shared" si="1"/>
        <v/>
      </c>
      <c r="J18" s="50"/>
      <c r="K18" s="50"/>
      <c r="L18" s="50"/>
      <c r="M18" s="48"/>
      <c r="N18" s="49" t="str">
        <f t="shared" si="2"/>
        <v/>
      </c>
      <c r="O18" s="49" t="str">
        <f t="shared" si="3"/>
        <v/>
      </c>
      <c r="P18" s="77" t="str">
        <f t="shared" si="4"/>
        <v/>
      </c>
      <c r="Q18" s="78">
        <f t="shared" si="5"/>
        <v>0</v>
      </c>
      <c r="R18" s="78">
        <f t="shared" si="6"/>
        <v>0</v>
      </c>
      <c r="S18" s="77">
        <f t="shared" si="7"/>
        <v>0</v>
      </c>
      <c r="T18" s="48"/>
    </row>
    <row r="19" spans="1:20" s="57" customFormat="1" ht="14">
      <c r="A19" s="45"/>
      <c r="B19" s="46"/>
      <c r="C19" s="47">
        <f t="shared" si="0"/>
        <v>0</v>
      </c>
      <c r="D19" s="48"/>
      <c r="E19" s="48"/>
      <c r="F19" s="48"/>
      <c r="G19" s="48"/>
      <c r="H19" s="49"/>
      <c r="I19" s="76" t="str">
        <f t="shared" si="1"/>
        <v/>
      </c>
      <c r="J19" s="50"/>
      <c r="K19" s="50"/>
      <c r="L19" s="50"/>
      <c r="M19" s="48"/>
      <c r="N19" s="49" t="str">
        <f t="shared" si="2"/>
        <v/>
      </c>
      <c r="O19" s="49" t="str">
        <f t="shared" si="3"/>
        <v/>
      </c>
      <c r="P19" s="77" t="str">
        <f t="shared" si="4"/>
        <v/>
      </c>
      <c r="Q19" s="78">
        <f t="shared" si="5"/>
        <v>0</v>
      </c>
      <c r="R19" s="78">
        <f t="shared" si="6"/>
        <v>0</v>
      </c>
      <c r="S19" s="77">
        <f t="shared" si="7"/>
        <v>0</v>
      </c>
      <c r="T19" s="48"/>
    </row>
    <row r="20" spans="1:20" s="57" customFormat="1" ht="14">
      <c r="A20" s="45"/>
      <c r="B20" s="46"/>
      <c r="C20" s="47">
        <f t="shared" si="0"/>
        <v>0</v>
      </c>
      <c r="D20" s="48"/>
      <c r="E20" s="48"/>
      <c r="F20" s="48"/>
      <c r="G20" s="48"/>
      <c r="H20" s="49"/>
      <c r="I20" s="76" t="str">
        <f t="shared" si="1"/>
        <v/>
      </c>
      <c r="J20" s="50"/>
      <c r="K20" s="50"/>
      <c r="L20" s="50"/>
      <c r="M20" s="48"/>
      <c r="N20" s="49" t="str">
        <f t="shared" si="2"/>
        <v/>
      </c>
      <c r="O20" s="49" t="str">
        <f t="shared" si="3"/>
        <v/>
      </c>
      <c r="P20" s="77" t="str">
        <f t="shared" si="4"/>
        <v/>
      </c>
      <c r="Q20" s="78">
        <f t="shared" si="5"/>
        <v>0</v>
      </c>
      <c r="R20" s="78">
        <f t="shared" si="6"/>
        <v>0</v>
      </c>
      <c r="S20" s="77">
        <f t="shared" si="7"/>
        <v>0</v>
      </c>
      <c r="T20" s="48"/>
    </row>
    <row r="21" spans="1:20" s="57" customFormat="1" ht="14">
      <c r="A21" s="45"/>
      <c r="B21" s="46"/>
      <c r="C21" s="47">
        <f t="shared" si="0"/>
        <v>0</v>
      </c>
      <c r="D21" s="48"/>
      <c r="E21" s="48"/>
      <c r="F21" s="48"/>
      <c r="G21" s="48"/>
      <c r="H21" s="49"/>
      <c r="I21" s="76" t="str">
        <f t="shared" si="1"/>
        <v/>
      </c>
      <c r="J21" s="50"/>
      <c r="K21" s="50"/>
      <c r="L21" s="50"/>
      <c r="M21" s="48"/>
      <c r="N21" s="49" t="str">
        <f t="shared" si="2"/>
        <v/>
      </c>
      <c r="O21" s="49" t="str">
        <f t="shared" si="3"/>
        <v/>
      </c>
      <c r="P21" s="77" t="str">
        <f t="shared" si="4"/>
        <v/>
      </c>
      <c r="Q21" s="78">
        <f t="shared" si="5"/>
        <v>0</v>
      </c>
      <c r="R21" s="78">
        <f t="shared" si="6"/>
        <v>0</v>
      </c>
      <c r="S21" s="77">
        <f t="shared" si="7"/>
        <v>0</v>
      </c>
      <c r="T21" s="48"/>
    </row>
    <row r="22" spans="1:20" s="57" customFormat="1" ht="14">
      <c r="A22" s="45"/>
      <c r="B22" s="46"/>
      <c r="C22" s="47">
        <f t="shared" si="0"/>
        <v>0</v>
      </c>
      <c r="D22" s="48"/>
      <c r="E22" s="48"/>
      <c r="F22" s="48"/>
      <c r="G22" s="48"/>
      <c r="H22" s="49"/>
      <c r="I22" s="76" t="str">
        <f t="shared" si="1"/>
        <v/>
      </c>
      <c r="J22" s="50"/>
      <c r="K22" s="50"/>
      <c r="L22" s="50"/>
      <c r="M22" s="48"/>
      <c r="N22" s="49" t="str">
        <f t="shared" si="2"/>
        <v/>
      </c>
      <c r="O22" s="49" t="str">
        <f t="shared" si="3"/>
        <v/>
      </c>
      <c r="P22" s="77" t="str">
        <f t="shared" si="4"/>
        <v/>
      </c>
      <c r="Q22" s="78">
        <f t="shared" si="5"/>
        <v>0</v>
      </c>
      <c r="R22" s="78">
        <f t="shared" si="6"/>
        <v>0</v>
      </c>
      <c r="S22" s="77">
        <f t="shared" si="7"/>
        <v>0</v>
      </c>
      <c r="T22" s="48"/>
    </row>
    <row r="23" spans="1:20" s="57" customFormat="1" ht="14">
      <c r="A23" s="45"/>
      <c r="B23" s="46"/>
      <c r="C23" s="47">
        <f t="shared" si="0"/>
        <v>0</v>
      </c>
      <c r="D23" s="48"/>
      <c r="E23" s="48"/>
      <c r="F23" s="48"/>
      <c r="G23" s="48"/>
      <c r="H23" s="49"/>
      <c r="I23" s="76" t="str">
        <f t="shared" si="1"/>
        <v/>
      </c>
      <c r="J23" s="50"/>
      <c r="K23" s="50"/>
      <c r="L23" s="50"/>
      <c r="M23" s="48"/>
      <c r="N23" s="49" t="str">
        <f t="shared" si="2"/>
        <v/>
      </c>
      <c r="O23" s="49" t="str">
        <f t="shared" si="3"/>
        <v/>
      </c>
      <c r="P23" s="77" t="str">
        <f t="shared" si="4"/>
        <v/>
      </c>
      <c r="Q23" s="78">
        <f t="shared" si="5"/>
        <v>0</v>
      </c>
      <c r="R23" s="78">
        <f t="shared" si="6"/>
        <v>0</v>
      </c>
      <c r="S23" s="77">
        <f t="shared" si="7"/>
        <v>0</v>
      </c>
      <c r="T23" s="48"/>
    </row>
    <row r="24" spans="1:20" s="57" customFormat="1" ht="14">
      <c r="A24" s="45"/>
      <c r="B24" s="46"/>
      <c r="C24" s="47">
        <f t="shared" si="0"/>
        <v>0</v>
      </c>
      <c r="D24" s="48"/>
      <c r="E24" s="48"/>
      <c r="F24" s="48"/>
      <c r="G24" s="48"/>
      <c r="H24" s="49"/>
      <c r="I24" s="76" t="str">
        <f t="shared" si="1"/>
        <v/>
      </c>
      <c r="J24" s="50"/>
      <c r="K24" s="50"/>
      <c r="L24" s="50"/>
      <c r="M24" s="48"/>
      <c r="N24" s="49" t="str">
        <f t="shared" si="2"/>
        <v/>
      </c>
      <c r="O24" s="49" t="str">
        <f t="shared" si="3"/>
        <v/>
      </c>
      <c r="P24" s="77" t="str">
        <f t="shared" si="4"/>
        <v/>
      </c>
      <c r="Q24" s="78">
        <f t="shared" si="5"/>
        <v>0</v>
      </c>
      <c r="R24" s="78">
        <f t="shared" si="6"/>
        <v>0</v>
      </c>
      <c r="S24" s="77">
        <f t="shared" si="7"/>
        <v>0</v>
      </c>
      <c r="T24" s="48"/>
    </row>
    <row r="25" spans="1:20" s="57" customFormat="1" ht="14">
      <c r="A25" s="45"/>
      <c r="B25" s="46"/>
      <c r="C25" s="47">
        <f t="shared" si="0"/>
        <v>0</v>
      </c>
      <c r="D25" s="48"/>
      <c r="E25" s="48"/>
      <c r="F25" s="48"/>
      <c r="G25" s="48"/>
      <c r="H25" s="49"/>
      <c r="I25" s="76" t="str">
        <f t="shared" si="1"/>
        <v/>
      </c>
      <c r="J25" s="50"/>
      <c r="K25" s="50"/>
      <c r="L25" s="50"/>
      <c r="M25" s="48"/>
      <c r="N25" s="49" t="str">
        <f t="shared" si="2"/>
        <v/>
      </c>
      <c r="O25" s="49" t="str">
        <f t="shared" si="3"/>
        <v/>
      </c>
      <c r="P25" s="77" t="str">
        <f t="shared" si="4"/>
        <v/>
      </c>
      <c r="Q25" s="78">
        <f t="shared" si="5"/>
        <v>0</v>
      </c>
      <c r="R25" s="78">
        <f t="shared" si="6"/>
        <v>0</v>
      </c>
      <c r="S25" s="77">
        <f t="shared" si="7"/>
        <v>0</v>
      </c>
      <c r="T25" s="48"/>
    </row>
    <row r="26" spans="1:20" s="57" customFormat="1" ht="14">
      <c r="A26" s="45"/>
      <c r="B26" s="46"/>
      <c r="C26" s="47">
        <f t="shared" si="0"/>
        <v>0</v>
      </c>
      <c r="D26" s="48"/>
      <c r="E26" s="48"/>
      <c r="F26" s="48"/>
      <c r="G26" s="48"/>
      <c r="H26" s="49"/>
      <c r="I26" s="76" t="str">
        <f t="shared" si="1"/>
        <v/>
      </c>
      <c r="J26" s="50"/>
      <c r="K26" s="50"/>
      <c r="L26" s="50"/>
      <c r="M26" s="48"/>
      <c r="N26" s="49" t="str">
        <f t="shared" si="2"/>
        <v/>
      </c>
      <c r="O26" s="49" t="str">
        <f t="shared" si="3"/>
        <v/>
      </c>
      <c r="P26" s="77" t="str">
        <f t="shared" si="4"/>
        <v/>
      </c>
      <c r="Q26" s="78">
        <f t="shared" si="5"/>
        <v>0</v>
      </c>
      <c r="R26" s="78">
        <f t="shared" si="6"/>
        <v>0</v>
      </c>
      <c r="S26" s="77">
        <f t="shared" si="7"/>
        <v>0</v>
      </c>
      <c r="T26" s="48"/>
    </row>
    <row r="27" spans="1:20" s="57" customFormat="1" ht="14">
      <c r="A27" s="45"/>
      <c r="B27" s="46"/>
      <c r="C27" s="47">
        <f t="shared" si="0"/>
        <v>0</v>
      </c>
      <c r="D27" s="48"/>
      <c r="E27" s="48"/>
      <c r="F27" s="48"/>
      <c r="G27" s="48"/>
      <c r="H27" s="49"/>
      <c r="I27" s="76" t="str">
        <f t="shared" si="1"/>
        <v/>
      </c>
      <c r="J27" s="50"/>
      <c r="K27" s="50"/>
      <c r="L27" s="50"/>
      <c r="M27" s="48"/>
      <c r="N27" s="49" t="str">
        <f t="shared" si="2"/>
        <v/>
      </c>
      <c r="O27" s="49" t="str">
        <f t="shared" si="3"/>
        <v/>
      </c>
      <c r="P27" s="77" t="str">
        <f t="shared" si="4"/>
        <v/>
      </c>
      <c r="Q27" s="78">
        <f t="shared" si="5"/>
        <v>0</v>
      </c>
      <c r="R27" s="78">
        <f t="shared" si="6"/>
        <v>0</v>
      </c>
      <c r="S27" s="77">
        <f t="shared" si="7"/>
        <v>0</v>
      </c>
      <c r="T27" s="48"/>
    </row>
    <row r="28" spans="1:20" s="57" customFormat="1" ht="14">
      <c r="A28" s="45"/>
      <c r="B28" s="46"/>
      <c r="C28" s="47">
        <f t="shared" si="0"/>
        <v>0</v>
      </c>
      <c r="D28" s="48"/>
      <c r="E28" s="48"/>
      <c r="F28" s="48"/>
      <c r="G28" s="48"/>
      <c r="H28" s="49"/>
      <c r="I28" s="76" t="str">
        <f t="shared" si="1"/>
        <v/>
      </c>
      <c r="J28" s="50"/>
      <c r="K28" s="50"/>
      <c r="L28" s="50"/>
      <c r="M28" s="48"/>
      <c r="N28" s="49" t="str">
        <f t="shared" si="2"/>
        <v/>
      </c>
      <c r="O28" s="49" t="str">
        <f t="shared" si="3"/>
        <v/>
      </c>
      <c r="P28" s="77" t="str">
        <f t="shared" si="4"/>
        <v/>
      </c>
      <c r="Q28" s="78">
        <f t="shared" si="5"/>
        <v>0</v>
      </c>
      <c r="R28" s="78">
        <f t="shared" si="6"/>
        <v>0</v>
      </c>
      <c r="S28" s="77">
        <f t="shared" si="7"/>
        <v>0</v>
      </c>
      <c r="T28" s="48"/>
    </row>
    <row r="29" spans="1:20" s="57" customFormat="1" ht="14">
      <c r="A29" s="45"/>
      <c r="B29" s="46"/>
      <c r="C29" s="47">
        <f t="shared" si="0"/>
        <v>0</v>
      </c>
      <c r="D29" s="48"/>
      <c r="E29" s="48"/>
      <c r="F29" s="48"/>
      <c r="G29" s="48"/>
      <c r="H29" s="49"/>
      <c r="I29" s="76" t="str">
        <f t="shared" si="1"/>
        <v/>
      </c>
      <c r="J29" s="50"/>
      <c r="K29" s="50"/>
      <c r="L29" s="50"/>
      <c r="M29" s="48"/>
      <c r="N29" s="49" t="str">
        <f t="shared" si="2"/>
        <v/>
      </c>
      <c r="O29" s="49" t="str">
        <f t="shared" si="3"/>
        <v/>
      </c>
      <c r="P29" s="77" t="str">
        <f t="shared" si="4"/>
        <v/>
      </c>
      <c r="Q29" s="78">
        <f t="shared" si="5"/>
        <v>0</v>
      </c>
      <c r="R29" s="78">
        <f t="shared" si="6"/>
        <v>0</v>
      </c>
      <c r="S29" s="77">
        <f t="shared" si="7"/>
        <v>0</v>
      </c>
      <c r="T29" s="48"/>
    </row>
    <row r="30" spans="1:20" s="57" customFormat="1" ht="14">
      <c r="A30" s="45"/>
      <c r="B30" s="46"/>
      <c r="C30" s="47">
        <f t="shared" si="0"/>
        <v>0</v>
      </c>
      <c r="D30" s="48"/>
      <c r="E30" s="48"/>
      <c r="F30" s="48"/>
      <c r="G30" s="48"/>
      <c r="H30" s="49"/>
      <c r="I30" s="76" t="str">
        <f t="shared" si="1"/>
        <v/>
      </c>
      <c r="J30" s="50"/>
      <c r="K30" s="50"/>
      <c r="L30" s="50"/>
      <c r="M30" s="48"/>
      <c r="N30" s="49" t="str">
        <f t="shared" si="2"/>
        <v/>
      </c>
      <c r="O30" s="49" t="str">
        <f t="shared" si="3"/>
        <v/>
      </c>
      <c r="P30" s="77" t="str">
        <f t="shared" si="4"/>
        <v/>
      </c>
      <c r="Q30" s="78">
        <f t="shared" si="5"/>
        <v>0</v>
      </c>
      <c r="R30" s="78">
        <f t="shared" si="6"/>
        <v>0</v>
      </c>
      <c r="S30" s="77">
        <f t="shared" si="7"/>
        <v>0</v>
      </c>
      <c r="T30" s="48"/>
    </row>
    <row r="31" spans="1:20" s="57" customFormat="1" ht="14">
      <c r="A31" s="45"/>
      <c r="B31" s="46"/>
      <c r="C31" s="47">
        <f t="shared" si="0"/>
        <v>0</v>
      </c>
      <c r="D31" s="48"/>
      <c r="E31" s="48"/>
      <c r="F31" s="48"/>
      <c r="G31" s="48"/>
      <c r="H31" s="49"/>
      <c r="I31" s="76" t="str">
        <f t="shared" si="1"/>
        <v/>
      </c>
      <c r="J31" s="50"/>
      <c r="K31" s="50"/>
      <c r="L31" s="50"/>
      <c r="M31" s="48"/>
      <c r="N31" s="49" t="str">
        <f t="shared" si="2"/>
        <v/>
      </c>
      <c r="O31" s="49" t="str">
        <f t="shared" si="3"/>
        <v/>
      </c>
      <c r="P31" s="77" t="str">
        <f t="shared" si="4"/>
        <v/>
      </c>
      <c r="Q31" s="78">
        <f t="shared" si="5"/>
        <v>0</v>
      </c>
      <c r="R31" s="78">
        <f t="shared" si="6"/>
        <v>0</v>
      </c>
      <c r="S31" s="77">
        <f t="shared" si="7"/>
        <v>0</v>
      </c>
      <c r="T31" s="48"/>
    </row>
    <row r="32" spans="1:20" s="57" customFormat="1" ht="14">
      <c r="A32" s="45"/>
      <c r="B32" s="46"/>
      <c r="C32" s="47">
        <f t="shared" si="0"/>
        <v>0</v>
      </c>
      <c r="D32" s="48"/>
      <c r="E32" s="48"/>
      <c r="F32" s="48"/>
      <c r="G32" s="48"/>
      <c r="H32" s="49"/>
      <c r="I32" s="76" t="str">
        <f t="shared" si="1"/>
        <v/>
      </c>
      <c r="J32" s="50"/>
      <c r="K32" s="50"/>
      <c r="L32" s="50"/>
      <c r="M32" s="48"/>
      <c r="N32" s="49" t="str">
        <f t="shared" si="2"/>
        <v/>
      </c>
      <c r="O32" s="49" t="str">
        <f t="shared" si="3"/>
        <v/>
      </c>
      <c r="P32" s="77" t="str">
        <f t="shared" si="4"/>
        <v/>
      </c>
      <c r="Q32" s="78">
        <f t="shared" si="5"/>
        <v>0</v>
      </c>
      <c r="R32" s="78">
        <f t="shared" si="6"/>
        <v>0</v>
      </c>
      <c r="S32" s="77">
        <f t="shared" si="7"/>
        <v>0</v>
      </c>
      <c r="T32" s="48"/>
    </row>
    <row r="33" spans="1:20" s="57" customFormat="1" ht="14">
      <c r="A33" s="45"/>
      <c r="B33" s="46"/>
      <c r="C33" s="47">
        <f t="shared" si="0"/>
        <v>0</v>
      </c>
      <c r="D33" s="48"/>
      <c r="E33" s="48"/>
      <c r="F33" s="48"/>
      <c r="G33" s="48"/>
      <c r="H33" s="49"/>
      <c r="I33" s="76" t="str">
        <f t="shared" si="1"/>
        <v/>
      </c>
      <c r="J33" s="50"/>
      <c r="K33" s="50"/>
      <c r="L33" s="50"/>
      <c r="M33" s="48"/>
      <c r="N33" s="49" t="str">
        <f t="shared" si="2"/>
        <v/>
      </c>
      <c r="O33" s="49" t="str">
        <f t="shared" si="3"/>
        <v/>
      </c>
      <c r="P33" s="77" t="str">
        <f t="shared" si="4"/>
        <v/>
      </c>
      <c r="Q33" s="78">
        <f t="shared" si="5"/>
        <v>0</v>
      </c>
      <c r="R33" s="78">
        <f t="shared" si="6"/>
        <v>0</v>
      </c>
      <c r="S33" s="77">
        <f t="shared" si="7"/>
        <v>0</v>
      </c>
      <c r="T33" s="48"/>
    </row>
    <row r="34" spans="1:20" s="57" customFormat="1" ht="14">
      <c r="A34" s="45"/>
      <c r="B34" s="46"/>
      <c r="C34" s="47">
        <f t="shared" si="0"/>
        <v>0</v>
      </c>
      <c r="D34" s="48"/>
      <c r="E34" s="48"/>
      <c r="F34" s="48"/>
      <c r="G34" s="48"/>
      <c r="H34" s="49"/>
      <c r="I34" s="76" t="str">
        <f t="shared" si="1"/>
        <v/>
      </c>
      <c r="J34" s="50"/>
      <c r="K34" s="50"/>
      <c r="L34" s="50"/>
      <c r="M34" s="48"/>
      <c r="N34" s="49" t="str">
        <f t="shared" si="2"/>
        <v/>
      </c>
      <c r="O34" s="49" t="str">
        <f t="shared" si="3"/>
        <v/>
      </c>
      <c r="P34" s="77" t="str">
        <f t="shared" si="4"/>
        <v/>
      </c>
      <c r="Q34" s="78">
        <f t="shared" si="5"/>
        <v>0</v>
      </c>
      <c r="R34" s="78">
        <f t="shared" si="6"/>
        <v>0</v>
      </c>
      <c r="S34" s="77">
        <f t="shared" si="7"/>
        <v>0</v>
      </c>
      <c r="T34" s="48"/>
    </row>
    <row r="35" spans="1:20" s="57" customFormat="1" ht="14">
      <c r="A35" s="45"/>
      <c r="B35" s="46"/>
      <c r="C35" s="47">
        <f t="shared" si="0"/>
        <v>0</v>
      </c>
      <c r="D35" s="48"/>
      <c r="E35" s="48"/>
      <c r="F35" s="48"/>
      <c r="G35" s="48"/>
      <c r="H35" s="49"/>
      <c r="I35" s="76" t="str">
        <f t="shared" si="1"/>
        <v/>
      </c>
      <c r="J35" s="50"/>
      <c r="K35" s="50"/>
      <c r="L35" s="50"/>
      <c r="M35" s="48"/>
      <c r="N35" s="49" t="str">
        <f t="shared" si="2"/>
        <v/>
      </c>
      <c r="O35" s="49" t="str">
        <f t="shared" si="3"/>
        <v/>
      </c>
      <c r="P35" s="77" t="str">
        <f t="shared" si="4"/>
        <v/>
      </c>
      <c r="Q35" s="78">
        <f t="shared" si="5"/>
        <v>0</v>
      </c>
      <c r="R35" s="78">
        <f t="shared" si="6"/>
        <v>0</v>
      </c>
      <c r="S35" s="77">
        <f t="shared" si="7"/>
        <v>0</v>
      </c>
      <c r="T35" s="48"/>
    </row>
    <row r="36" spans="1:20" s="57" customFormat="1" ht="14">
      <c r="A36" s="45"/>
      <c r="B36" s="46"/>
      <c r="C36" s="47">
        <f t="shared" si="0"/>
        <v>0</v>
      </c>
      <c r="D36" s="48"/>
      <c r="E36" s="48"/>
      <c r="F36" s="48"/>
      <c r="G36" s="48"/>
      <c r="H36" s="49"/>
      <c r="I36" s="76" t="str">
        <f t="shared" si="1"/>
        <v/>
      </c>
      <c r="J36" s="50"/>
      <c r="K36" s="50"/>
      <c r="L36" s="50"/>
      <c r="M36" s="48"/>
      <c r="N36" s="49" t="str">
        <f t="shared" si="2"/>
        <v/>
      </c>
      <c r="O36" s="49" t="str">
        <f t="shared" si="3"/>
        <v/>
      </c>
      <c r="P36" s="77" t="str">
        <f t="shared" si="4"/>
        <v/>
      </c>
      <c r="Q36" s="78">
        <f t="shared" si="5"/>
        <v>0</v>
      </c>
      <c r="R36" s="78">
        <f t="shared" si="6"/>
        <v>0</v>
      </c>
      <c r="S36" s="77">
        <f t="shared" si="7"/>
        <v>0</v>
      </c>
      <c r="T36" s="48"/>
    </row>
    <row r="37" spans="1:20" s="57" customFormat="1" ht="14">
      <c r="A37" s="45"/>
      <c r="B37" s="46"/>
      <c r="C37" s="47">
        <f t="shared" si="0"/>
        <v>0</v>
      </c>
      <c r="D37" s="48"/>
      <c r="E37" s="48"/>
      <c r="F37" s="48"/>
      <c r="G37" s="48"/>
      <c r="H37" s="49"/>
      <c r="I37" s="76" t="str">
        <f t="shared" si="1"/>
        <v/>
      </c>
      <c r="J37" s="50"/>
      <c r="K37" s="50"/>
      <c r="L37" s="50"/>
      <c r="M37" s="48"/>
      <c r="N37" s="49" t="str">
        <f t="shared" si="2"/>
        <v/>
      </c>
      <c r="O37" s="49" t="str">
        <f t="shared" si="3"/>
        <v/>
      </c>
      <c r="P37" s="77" t="str">
        <f t="shared" si="4"/>
        <v/>
      </c>
      <c r="Q37" s="78">
        <f t="shared" si="5"/>
        <v>0</v>
      </c>
      <c r="R37" s="78">
        <f t="shared" si="6"/>
        <v>0</v>
      </c>
      <c r="S37" s="77">
        <f t="shared" si="7"/>
        <v>0</v>
      </c>
      <c r="T37" s="48"/>
    </row>
    <row r="38" spans="1:20" s="57" customFormat="1" ht="14">
      <c r="A38" s="45"/>
      <c r="B38" s="46"/>
      <c r="C38" s="47">
        <f t="shared" si="0"/>
        <v>0</v>
      </c>
      <c r="D38" s="48"/>
      <c r="E38" s="48"/>
      <c r="F38" s="48"/>
      <c r="G38" s="48"/>
      <c r="H38" s="49"/>
      <c r="I38" s="76" t="str">
        <f t="shared" si="1"/>
        <v/>
      </c>
      <c r="J38" s="50"/>
      <c r="K38" s="50"/>
      <c r="L38" s="50"/>
      <c r="M38" s="48"/>
      <c r="N38" s="49" t="str">
        <f t="shared" si="2"/>
        <v/>
      </c>
      <c r="O38" s="49" t="str">
        <f t="shared" si="3"/>
        <v/>
      </c>
      <c r="P38" s="77" t="str">
        <f t="shared" si="4"/>
        <v/>
      </c>
      <c r="Q38" s="78">
        <f t="shared" si="5"/>
        <v>0</v>
      </c>
      <c r="R38" s="78">
        <f t="shared" si="6"/>
        <v>0</v>
      </c>
      <c r="S38" s="77">
        <f t="shared" si="7"/>
        <v>0</v>
      </c>
      <c r="T38" s="48"/>
    </row>
    <row r="39" spans="1:20" s="57" customFormat="1" ht="14">
      <c r="A39" s="45"/>
      <c r="B39" s="46"/>
      <c r="C39" s="47">
        <f t="shared" si="0"/>
        <v>0</v>
      </c>
      <c r="D39" s="48"/>
      <c r="E39" s="48"/>
      <c r="F39" s="48"/>
      <c r="G39" s="48"/>
      <c r="H39" s="49"/>
      <c r="I39" s="76" t="str">
        <f t="shared" si="1"/>
        <v/>
      </c>
      <c r="J39" s="50"/>
      <c r="K39" s="50"/>
      <c r="L39" s="50"/>
      <c r="M39" s="48"/>
      <c r="N39" s="49" t="str">
        <f t="shared" si="2"/>
        <v/>
      </c>
      <c r="O39" s="49" t="str">
        <f t="shared" si="3"/>
        <v/>
      </c>
      <c r="P39" s="77" t="str">
        <f t="shared" si="4"/>
        <v/>
      </c>
      <c r="Q39" s="78">
        <f t="shared" si="5"/>
        <v>0</v>
      </c>
      <c r="R39" s="78">
        <f t="shared" si="6"/>
        <v>0</v>
      </c>
      <c r="S39" s="77">
        <f t="shared" si="7"/>
        <v>0</v>
      </c>
      <c r="T39" s="48"/>
    </row>
    <row r="40" spans="1:20" s="57" customFormat="1" ht="14">
      <c r="A40" s="45"/>
      <c r="B40" s="46"/>
      <c r="C40" s="47">
        <f t="shared" si="0"/>
        <v>0</v>
      </c>
      <c r="D40" s="48"/>
      <c r="E40" s="48"/>
      <c r="F40" s="48"/>
      <c r="G40" s="48"/>
      <c r="H40" s="49"/>
      <c r="I40" s="76" t="str">
        <f t="shared" si="1"/>
        <v/>
      </c>
      <c r="J40" s="50"/>
      <c r="K40" s="50"/>
      <c r="L40" s="50"/>
      <c r="M40" s="48"/>
      <c r="N40" s="49" t="str">
        <f t="shared" si="2"/>
        <v/>
      </c>
      <c r="O40" s="49" t="str">
        <f t="shared" si="3"/>
        <v/>
      </c>
      <c r="P40" s="77" t="str">
        <f t="shared" si="4"/>
        <v/>
      </c>
      <c r="Q40" s="78">
        <f t="shared" si="5"/>
        <v>0</v>
      </c>
      <c r="R40" s="78">
        <f t="shared" si="6"/>
        <v>0</v>
      </c>
      <c r="S40" s="77">
        <f t="shared" si="7"/>
        <v>0</v>
      </c>
      <c r="T40" s="48"/>
    </row>
    <row r="41" spans="1:20" s="57" customFormat="1" ht="14">
      <c r="A41" s="45"/>
      <c r="B41" s="46"/>
      <c r="C41" s="47">
        <f t="shared" si="0"/>
        <v>0</v>
      </c>
      <c r="D41" s="48"/>
      <c r="E41" s="48"/>
      <c r="F41" s="48"/>
      <c r="G41" s="48"/>
      <c r="H41" s="49"/>
      <c r="I41" s="76" t="str">
        <f t="shared" si="1"/>
        <v/>
      </c>
      <c r="J41" s="50"/>
      <c r="K41" s="50"/>
      <c r="L41" s="50"/>
      <c r="M41" s="48"/>
      <c r="N41" s="49" t="str">
        <f t="shared" si="2"/>
        <v/>
      </c>
      <c r="O41" s="49" t="str">
        <f t="shared" si="3"/>
        <v/>
      </c>
      <c r="P41" s="77" t="str">
        <f t="shared" si="4"/>
        <v/>
      </c>
      <c r="Q41" s="78">
        <f t="shared" si="5"/>
        <v>0</v>
      </c>
      <c r="R41" s="78">
        <f t="shared" si="6"/>
        <v>0</v>
      </c>
      <c r="S41" s="77">
        <f t="shared" si="7"/>
        <v>0</v>
      </c>
      <c r="T41" s="48"/>
    </row>
    <row r="42" spans="1:20" s="57" customFormat="1" ht="14">
      <c r="A42" s="45"/>
      <c r="B42" s="46"/>
      <c r="C42" s="47">
        <f t="shared" si="0"/>
        <v>0</v>
      </c>
      <c r="D42" s="48"/>
      <c r="E42" s="48"/>
      <c r="F42" s="48"/>
      <c r="G42" s="48"/>
      <c r="H42" s="49"/>
      <c r="I42" s="76" t="str">
        <f t="shared" si="1"/>
        <v/>
      </c>
      <c r="J42" s="50"/>
      <c r="K42" s="50"/>
      <c r="L42" s="50"/>
      <c r="M42" s="48"/>
      <c r="N42" s="49" t="str">
        <f t="shared" si="2"/>
        <v/>
      </c>
      <c r="O42" s="49" t="str">
        <f t="shared" si="3"/>
        <v/>
      </c>
      <c r="P42" s="77" t="str">
        <f t="shared" si="4"/>
        <v/>
      </c>
      <c r="Q42" s="78">
        <f t="shared" si="5"/>
        <v>0</v>
      </c>
      <c r="R42" s="78">
        <f t="shared" si="6"/>
        <v>0</v>
      </c>
      <c r="S42" s="77">
        <f t="shared" si="7"/>
        <v>0</v>
      </c>
      <c r="T42" s="48"/>
    </row>
    <row r="43" spans="1:20" s="57" customFormat="1" ht="14">
      <c r="A43" s="45"/>
      <c r="B43" s="46"/>
      <c r="C43" s="47">
        <f t="shared" si="0"/>
        <v>0</v>
      </c>
      <c r="D43" s="48"/>
      <c r="E43" s="48"/>
      <c r="F43" s="48"/>
      <c r="G43" s="48"/>
      <c r="H43" s="49"/>
      <c r="I43" s="76" t="str">
        <f t="shared" si="1"/>
        <v/>
      </c>
      <c r="J43" s="50"/>
      <c r="K43" s="50"/>
      <c r="L43" s="50"/>
      <c r="M43" s="48"/>
      <c r="N43" s="49" t="str">
        <f t="shared" si="2"/>
        <v/>
      </c>
      <c r="O43" s="49" t="str">
        <f t="shared" si="3"/>
        <v/>
      </c>
      <c r="P43" s="77" t="str">
        <f t="shared" si="4"/>
        <v/>
      </c>
      <c r="Q43" s="78">
        <f t="shared" si="5"/>
        <v>0</v>
      </c>
      <c r="R43" s="78">
        <f t="shared" si="6"/>
        <v>0</v>
      </c>
      <c r="S43" s="77">
        <f t="shared" si="7"/>
        <v>0</v>
      </c>
      <c r="T43" s="48"/>
    </row>
    <row r="44" spans="1:20" s="57" customFormat="1" ht="14">
      <c r="A44" s="45"/>
      <c r="B44" s="46"/>
      <c r="C44" s="47">
        <f t="shared" si="0"/>
        <v>0</v>
      </c>
      <c r="D44" s="48"/>
      <c r="E44" s="48"/>
      <c r="F44" s="48"/>
      <c r="G44" s="48"/>
      <c r="H44" s="49"/>
      <c r="I44" s="76" t="str">
        <f t="shared" si="1"/>
        <v/>
      </c>
      <c r="J44" s="50"/>
      <c r="K44" s="50"/>
      <c r="L44" s="50"/>
      <c r="M44" s="48"/>
      <c r="N44" s="49" t="str">
        <f t="shared" si="2"/>
        <v/>
      </c>
      <c r="O44" s="49" t="str">
        <f t="shared" si="3"/>
        <v/>
      </c>
      <c r="P44" s="77" t="str">
        <f t="shared" si="4"/>
        <v/>
      </c>
      <c r="Q44" s="78">
        <f t="shared" si="5"/>
        <v>0</v>
      </c>
      <c r="R44" s="78">
        <f t="shared" si="6"/>
        <v>0</v>
      </c>
      <c r="S44" s="77">
        <f t="shared" si="7"/>
        <v>0</v>
      </c>
      <c r="T44" s="48"/>
    </row>
    <row r="45" spans="1:20" s="57" customFormat="1" ht="14">
      <c r="A45" s="45"/>
      <c r="B45" s="46"/>
      <c r="C45" s="47">
        <f t="shared" si="0"/>
        <v>0</v>
      </c>
      <c r="D45" s="48"/>
      <c r="E45" s="48"/>
      <c r="F45" s="48"/>
      <c r="G45" s="48"/>
      <c r="H45" s="49"/>
      <c r="I45" s="76" t="str">
        <f t="shared" si="1"/>
        <v/>
      </c>
      <c r="J45" s="50"/>
      <c r="K45" s="50"/>
      <c r="L45" s="50"/>
      <c r="M45" s="48"/>
      <c r="N45" s="49" t="str">
        <f t="shared" si="2"/>
        <v/>
      </c>
      <c r="O45" s="49" t="str">
        <f t="shared" si="3"/>
        <v/>
      </c>
      <c r="P45" s="77" t="str">
        <f t="shared" si="4"/>
        <v/>
      </c>
      <c r="Q45" s="78">
        <f t="shared" si="5"/>
        <v>0</v>
      </c>
      <c r="R45" s="78">
        <f t="shared" si="6"/>
        <v>0</v>
      </c>
      <c r="S45" s="77">
        <f t="shared" si="7"/>
        <v>0</v>
      </c>
      <c r="T45" s="48"/>
    </row>
    <row r="46" spans="1:20" s="57" customFormat="1" ht="14">
      <c r="A46" s="45"/>
      <c r="B46" s="46"/>
      <c r="C46" s="47">
        <f t="shared" si="0"/>
        <v>0</v>
      </c>
      <c r="D46" s="48"/>
      <c r="E46" s="48"/>
      <c r="F46" s="48"/>
      <c r="G46" s="48"/>
      <c r="H46" s="49"/>
      <c r="I46" s="76" t="str">
        <f t="shared" si="1"/>
        <v/>
      </c>
      <c r="J46" s="50"/>
      <c r="K46" s="50"/>
      <c r="L46" s="50"/>
      <c r="M46" s="48"/>
      <c r="N46" s="49" t="str">
        <f t="shared" si="2"/>
        <v/>
      </c>
      <c r="O46" s="49" t="str">
        <f t="shared" si="3"/>
        <v/>
      </c>
      <c r="P46" s="77" t="str">
        <f t="shared" si="4"/>
        <v/>
      </c>
      <c r="Q46" s="78">
        <f t="shared" si="5"/>
        <v>0</v>
      </c>
      <c r="R46" s="78">
        <f t="shared" si="6"/>
        <v>0</v>
      </c>
      <c r="S46" s="77">
        <f t="shared" si="7"/>
        <v>0</v>
      </c>
      <c r="T46" s="48"/>
    </row>
    <row r="47" spans="1:20" s="57" customFormat="1" ht="14">
      <c r="A47" s="45"/>
      <c r="B47" s="46"/>
      <c r="C47" s="47">
        <f t="shared" si="0"/>
        <v>0</v>
      </c>
      <c r="D47" s="48"/>
      <c r="E47" s="48"/>
      <c r="F47" s="48"/>
      <c r="G47" s="48"/>
      <c r="H47" s="49"/>
      <c r="I47" s="76" t="str">
        <f t="shared" si="1"/>
        <v/>
      </c>
      <c r="J47" s="50"/>
      <c r="K47" s="50"/>
      <c r="L47" s="50"/>
      <c r="M47" s="48"/>
      <c r="N47" s="49" t="str">
        <f t="shared" si="2"/>
        <v/>
      </c>
      <c r="O47" s="49" t="str">
        <f t="shared" si="3"/>
        <v/>
      </c>
      <c r="P47" s="77" t="str">
        <f t="shared" si="4"/>
        <v/>
      </c>
      <c r="Q47" s="78">
        <f t="shared" si="5"/>
        <v>0</v>
      </c>
      <c r="R47" s="78">
        <f t="shared" si="6"/>
        <v>0</v>
      </c>
      <c r="S47" s="77">
        <f t="shared" si="7"/>
        <v>0</v>
      </c>
      <c r="T47" s="48"/>
    </row>
    <row r="48" spans="1:20" s="57" customFormat="1" ht="14">
      <c r="A48" s="45"/>
      <c r="B48" s="46"/>
      <c r="C48" s="47">
        <f t="shared" si="0"/>
        <v>0</v>
      </c>
      <c r="D48" s="48"/>
      <c r="E48" s="48"/>
      <c r="F48" s="48"/>
      <c r="G48" s="48"/>
      <c r="H48" s="49"/>
      <c r="I48" s="76" t="str">
        <f t="shared" si="1"/>
        <v/>
      </c>
      <c r="J48" s="50"/>
      <c r="K48" s="50"/>
      <c r="L48" s="50"/>
      <c r="M48" s="48"/>
      <c r="N48" s="49" t="str">
        <f t="shared" si="2"/>
        <v/>
      </c>
      <c r="O48" s="49" t="str">
        <f t="shared" si="3"/>
        <v/>
      </c>
      <c r="P48" s="77" t="str">
        <f t="shared" si="4"/>
        <v/>
      </c>
      <c r="Q48" s="78">
        <f t="shared" si="5"/>
        <v>0</v>
      </c>
      <c r="R48" s="78">
        <f t="shared" si="6"/>
        <v>0</v>
      </c>
      <c r="S48" s="77">
        <f t="shared" si="7"/>
        <v>0</v>
      </c>
      <c r="T48" s="48"/>
    </row>
    <row r="49" spans="1:20" s="57" customFormat="1" ht="14">
      <c r="A49" s="45"/>
      <c r="B49" s="46"/>
      <c r="C49" s="47">
        <f t="shared" si="0"/>
        <v>0</v>
      </c>
      <c r="D49" s="48"/>
      <c r="E49" s="48"/>
      <c r="F49" s="48"/>
      <c r="G49" s="48"/>
      <c r="H49" s="49"/>
      <c r="I49" s="76" t="str">
        <f t="shared" si="1"/>
        <v/>
      </c>
      <c r="J49" s="50"/>
      <c r="K49" s="50"/>
      <c r="L49" s="50"/>
      <c r="M49" s="48"/>
      <c r="N49" s="49" t="str">
        <f t="shared" si="2"/>
        <v/>
      </c>
      <c r="O49" s="49" t="str">
        <f t="shared" si="3"/>
        <v/>
      </c>
      <c r="P49" s="77" t="str">
        <f t="shared" si="4"/>
        <v/>
      </c>
      <c r="Q49" s="78">
        <f t="shared" si="5"/>
        <v>0</v>
      </c>
      <c r="R49" s="78">
        <f t="shared" si="6"/>
        <v>0</v>
      </c>
      <c r="S49" s="77">
        <f t="shared" si="7"/>
        <v>0</v>
      </c>
      <c r="T49" s="48"/>
    </row>
    <row r="50" spans="1:20" s="57" customFormat="1" ht="14">
      <c r="A50" s="45"/>
      <c r="B50" s="46"/>
      <c r="C50" s="47">
        <f t="shared" si="0"/>
        <v>0</v>
      </c>
      <c r="D50" s="48"/>
      <c r="E50" s="48"/>
      <c r="F50" s="48"/>
      <c r="G50" s="48"/>
      <c r="H50" s="49"/>
      <c r="I50" s="76" t="str">
        <f t="shared" si="1"/>
        <v/>
      </c>
      <c r="J50" s="50"/>
      <c r="K50" s="50"/>
      <c r="L50" s="50"/>
      <c r="M50" s="48"/>
      <c r="N50" s="49" t="str">
        <f t="shared" si="2"/>
        <v/>
      </c>
      <c r="O50" s="49" t="str">
        <f t="shared" si="3"/>
        <v/>
      </c>
      <c r="P50" s="77" t="str">
        <f t="shared" si="4"/>
        <v/>
      </c>
      <c r="Q50" s="78">
        <f t="shared" si="5"/>
        <v>0</v>
      </c>
      <c r="R50" s="78">
        <f t="shared" si="6"/>
        <v>0</v>
      </c>
      <c r="S50" s="77">
        <f t="shared" si="7"/>
        <v>0</v>
      </c>
      <c r="T50" s="48"/>
    </row>
    <row r="51" spans="1:20" s="57" customFormat="1" ht="14">
      <c r="A51" s="45"/>
      <c r="B51" s="46"/>
      <c r="C51" s="47">
        <f t="shared" si="0"/>
        <v>0</v>
      </c>
      <c r="D51" s="48"/>
      <c r="E51" s="48"/>
      <c r="F51" s="48"/>
      <c r="G51" s="48"/>
      <c r="H51" s="49"/>
      <c r="I51" s="76" t="str">
        <f t="shared" si="1"/>
        <v/>
      </c>
      <c r="J51" s="50"/>
      <c r="K51" s="50"/>
      <c r="L51" s="50"/>
      <c r="M51" s="48"/>
      <c r="N51" s="49" t="str">
        <f t="shared" si="2"/>
        <v/>
      </c>
      <c r="O51" s="49" t="str">
        <f t="shared" si="3"/>
        <v/>
      </c>
      <c r="P51" s="77" t="str">
        <f t="shared" si="4"/>
        <v/>
      </c>
      <c r="Q51" s="78">
        <f t="shared" si="5"/>
        <v>0</v>
      </c>
      <c r="R51" s="78">
        <f t="shared" si="6"/>
        <v>0</v>
      </c>
      <c r="S51" s="77">
        <f t="shared" si="7"/>
        <v>0</v>
      </c>
      <c r="T51" s="48"/>
    </row>
    <row r="52" spans="1:20" s="57" customFormat="1" ht="14">
      <c r="A52" s="45"/>
      <c r="B52" s="46"/>
      <c r="C52" s="47">
        <f t="shared" si="0"/>
        <v>0</v>
      </c>
      <c r="D52" s="48"/>
      <c r="E52" s="48"/>
      <c r="F52" s="48"/>
      <c r="G52" s="48"/>
      <c r="H52" s="49"/>
      <c r="I52" s="76" t="str">
        <f t="shared" si="1"/>
        <v/>
      </c>
      <c r="J52" s="50"/>
      <c r="K52" s="50"/>
      <c r="L52" s="50"/>
      <c r="M52" s="48"/>
      <c r="N52" s="49" t="str">
        <f t="shared" si="2"/>
        <v/>
      </c>
      <c r="O52" s="49" t="str">
        <f t="shared" si="3"/>
        <v/>
      </c>
      <c r="P52" s="77" t="str">
        <f t="shared" si="4"/>
        <v/>
      </c>
      <c r="Q52" s="78">
        <f t="shared" si="5"/>
        <v>0</v>
      </c>
      <c r="R52" s="78">
        <f t="shared" si="6"/>
        <v>0</v>
      </c>
      <c r="S52" s="77">
        <f t="shared" si="7"/>
        <v>0</v>
      </c>
      <c r="T52" s="48"/>
    </row>
    <row r="53" spans="1:20" s="57" customFormat="1" ht="14">
      <c r="A53" s="45"/>
      <c r="B53" s="46"/>
      <c r="C53" s="47">
        <f t="shared" si="0"/>
        <v>0</v>
      </c>
      <c r="D53" s="48"/>
      <c r="E53" s="48"/>
      <c r="F53" s="48"/>
      <c r="G53" s="48"/>
      <c r="H53" s="49"/>
      <c r="I53" s="76" t="str">
        <f t="shared" si="1"/>
        <v/>
      </c>
      <c r="J53" s="50"/>
      <c r="K53" s="50"/>
      <c r="L53" s="50"/>
      <c r="M53" s="48"/>
      <c r="N53" s="49" t="str">
        <f t="shared" si="2"/>
        <v/>
      </c>
      <c r="O53" s="49" t="str">
        <f t="shared" si="3"/>
        <v/>
      </c>
      <c r="P53" s="77" t="str">
        <f t="shared" si="4"/>
        <v/>
      </c>
      <c r="Q53" s="78">
        <f t="shared" si="5"/>
        <v>0</v>
      </c>
      <c r="R53" s="78">
        <f t="shared" si="6"/>
        <v>0</v>
      </c>
      <c r="S53" s="77">
        <f t="shared" si="7"/>
        <v>0</v>
      </c>
      <c r="T53" s="48"/>
    </row>
    <row r="54" spans="1:20" s="57" customFormat="1" ht="14">
      <c r="A54" s="45"/>
      <c r="B54" s="46"/>
      <c r="C54" s="47">
        <f t="shared" si="0"/>
        <v>0</v>
      </c>
      <c r="D54" s="48"/>
      <c r="E54" s="48"/>
      <c r="F54" s="48"/>
      <c r="G54" s="48"/>
      <c r="H54" s="49"/>
      <c r="I54" s="76" t="str">
        <f t="shared" si="1"/>
        <v/>
      </c>
      <c r="J54" s="50"/>
      <c r="K54" s="50"/>
      <c r="L54" s="50"/>
      <c r="M54" s="48"/>
      <c r="N54" s="49" t="str">
        <f t="shared" si="2"/>
        <v/>
      </c>
      <c r="O54" s="49" t="str">
        <f t="shared" si="3"/>
        <v/>
      </c>
      <c r="P54" s="77" t="str">
        <f t="shared" si="4"/>
        <v/>
      </c>
      <c r="Q54" s="78">
        <f t="shared" si="5"/>
        <v>0</v>
      </c>
      <c r="R54" s="78">
        <f t="shared" si="6"/>
        <v>0</v>
      </c>
      <c r="S54" s="77">
        <f t="shared" si="7"/>
        <v>0</v>
      </c>
      <c r="T54" s="48"/>
    </row>
    <row r="55" spans="1:20" s="57" customFormat="1" ht="14">
      <c r="A55" s="45"/>
      <c r="B55" s="46"/>
      <c r="C55" s="47">
        <f t="shared" si="0"/>
        <v>0</v>
      </c>
      <c r="D55" s="48"/>
      <c r="E55" s="48"/>
      <c r="F55" s="48"/>
      <c r="G55" s="48"/>
      <c r="H55" s="49"/>
      <c r="I55" s="76" t="str">
        <f t="shared" si="1"/>
        <v/>
      </c>
      <c r="J55" s="50"/>
      <c r="K55" s="50"/>
      <c r="L55" s="50"/>
      <c r="M55" s="48"/>
      <c r="N55" s="49" t="str">
        <f t="shared" si="2"/>
        <v/>
      </c>
      <c r="O55" s="49" t="str">
        <f t="shared" si="3"/>
        <v/>
      </c>
      <c r="P55" s="77" t="str">
        <f t="shared" si="4"/>
        <v/>
      </c>
      <c r="Q55" s="78">
        <f t="shared" si="5"/>
        <v>0</v>
      </c>
      <c r="R55" s="78">
        <f t="shared" si="6"/>
        <v>0</v>
      </c>
      <c r="S55" s="77">
        <f t="shared" si="7"/>
        <v>0</v>
      </c>
      <c r="T55" s="48"/>
    </row>
    <row r="56" spans="1:20" s="57" customFormat="1" ht="14">
      <c r="A56" s="45"/>
      <c r="B56" s="46"/>
      <c r="C56" s="47">
        <f t="shared" si="0"/>
        <v>0</v>
      </c>
      <c r="D56" s="48"/>
      <c r="E56" s="48"/>
      <c r="F56" s="48"/>
      <c r="G56" s="48"/>
      <c r="H56" s="49"/>
      <c r="I56" s="76" t="str">
        <f t="shared" si="1"/>
        <v/>
      </c>
      <c r="J56" s="50"/>
      <c r="K56" s="50"/>
      <c r="L56" s="50"/>
      <c r="M56" s="48"/>
      <c r="N56" s="49" t="str">
        <f t="shared" si="2"/>
        <v/>
      </c>
      <c r="O56" s="49" t="str">
        <f t="shared" si="3"/>
        <v/>
      </c>
      <c r="P56" s="77" t="str">
        <f t="shared" si="4"/>
        <v/>
      </c>
      <c r="Q56" s="78">
        <f t="shared" si="5"/>
        <v>0</v>
      </c>
      <c r="R56" s="78">
        <f t="shared" si="6"/>
        <v>0</v>
      </c>
      <c r="S56" s="77">
        <f t="shared" si="7"/>
        <v>0</v>
      </c>
      <c r="T56" s="48"/>
    </row>
    <row r="57" spans="1:20" s="57" customFormat="1" ht="14">
      <c r="A57" s="45"/>
      <c r="B57" s="46"/>
      <c r="C57" s="47">
        <f t="shared" si="0"/>
        <v>0</v>
      </c>
      <c r="D57" s="48"/>
      <c r="E57" s="48"/>
      <c r="F57" s="48"/>
      <c r="G57" s="48"/>
      <c r="H57" s="49"/>
      <c r="I57" s="76" t="str">
        <f t="shared" si="1"/>
        <v/>
      </c>
      <c r="J57" s="50"/>
      <c r="K57" s="50"/>
      <c r="L57" s="50"/>
      <c r="M57" s="48"/>
      <c r="N57" s="49" t="str">
        <f t="shared" si="2"/>
        <v/>
      </c>
      <c r="O57" s="49" t="str">
        <f t="shared" si="3"/>
        <v/>
      </c>
      <c r="P57" s="77" t="str">
        <f t="shared" si="4"/>
        <v/>
      </c>
      <c r="Q57" s="78">
        <f t="shared" si="5"/>
        <v>0</v>
      </c>
      <c r="R57" s="78">
        <f t="shared" si="6"/>
        <v>0</v>
      </c>
      <c r="S57" s="77">
        <f t="shared" si="7"/>
        <v>0</v>
      </c>
      <c r="T57" s="48"/>
    </row>
    <row r="58" spans="1:20" s="57" customFormat="1" ht="14">
      <c r="A58" s="45"/>
      <c r="B58" s="46"/>
      <c r="C58" s="47">
        <f t="shared" si="0"/>
        <v>0</v>
      </c>
      <c r="D58" s="48"/>
      <c r="E58" s="48"/>
      <c r="F58" s="48"/>
      <c r="G58" s="48"/>
      <c r="H58" s="49"/>
      <c r="I58" s="76" t="str">
        <f t="shared" si="1"/>
        <v/>
      </c>
      <c r="J58" s="50"/>
      <c r="K58" s="50"/>
      <c r="L58" s="50"/>
      <c r="M58" s="48"/>
      <c r="N58" s="49" t="str">
        <f t="shared" si="2"/>
        <v/>
      </c>
      <c r="O58" s="49" t="str">
        <f t="shared" si="3"/>
        <v/>
      </c>
      <c r="P58" s="77" t="str">
        <f t="shared" si="4"/>
        <v/>
      </c>
      <c r="Q58" s="78">
        <f t="shared" si="5"/>
        <v>0</v>
      </c>
      <c r="R58" s="78">
        <f t="shared" si="6"/>
        <v>0</v>
      </c>
      <c r="S58" s="77">
        <f t="shared" si="7"/>
        <v>0</v>
      </c>
      <c r="T58" s="48"/>
    </row>
    <row r="59" spans="1:20" s="57" customFormat="1" ht="14">
      <c r="A59" s="45"/>
      <c r="B59" s="46"/>
      <c r="C59" s="47">
        <f t="shared" si="0"/>
        <v>0</v>
      </c>
      <c r="D59" s="48"/>
      <c r="E59" s="48"/>
      <c r="F59" s="48"/>
      <c r="G59" s="48"/>
      <c r="H59" s="49"/>
      <c r="I59" s="76" t="str">
        <f t="shared" si="1"/>
        <v/>
      </c>
      <c r="J59" s="50"/>
      <c r="K59" s="50"/>
      <c r="L59" s="50"/>
      <c r="M59" s="48"/>
      <c r="N59" s="49" t="str">
        <f t="shared" si="2"/>
        <v/>
      </c>
      <c r="O59" s="49" t="str">
        <f t="shared" si="3"/>
        <v/>
      </c>
      <c r="P59" s="77" t="str">
        <f t="shared" si="4"/>
        <v/>
      </c>
      <c r="Q59" s="78">
        <f t="shared" si="5"/>
        <v>0</v>
      </c>
      <c r="R59" s="78">
        <f t="shared" si="6"/>
        <v>0</v>
      </c>
      <c r="S59" s="77">
        <f t="shared" si="7"/>
        <v>0</v>
      </c>
      <c r="T59" s="48"/>
    </row>
    <row r="60" spans="1:20" s="57" customFormat="1" ht="14">
      <c r="A60" s="45"/>
      <c r="B60" s="46"/>
      <c r="C60" s="47">
        <f t="shared" si="0"/>
        <v>0</v>
      </c>
      <c r="D60" s="48"/>
      <c r="E60" s="48"/>
      <c r="F60" s="48"/>
      <c r="G60" s="48"/>
      <c r="H60" s="49"/>
      <c r="I60" s="76" t="str">
        <f t="shared" si="1"/>
        <v/>
      </c>
      <c r="J60" s="50"/>
      <c r="K60" s="50"/>
      <c r="L60" s="50"/>
      <c r="M60" s="48"/>
      <c r="N60" s="49" t="str">
        <f t="shared" si="2"/>
        <v/>
      </c>
      <c r="O60" s="49" t="str">
        <f t="shared" si="3"/>
        <v/>
      </c>
      <c r="P60" s="77" t="str">
        <f t="shared" si="4"/>
        <v/>
      </c>
      <c r="Q60" s="78">
        <f t="shared" si="5"/>
        <v>0</v>
      </c>
      <c r="R60" s="78">
        <f t="shared" si="6"/>
        <v>0</v>
      </c>
      <c r="S60" s="77">
        <f t="shared" si="7"/>
        <v>0</v>
      </c>
      <c r="T60" s="48"/>
    </row>
    <row r="61" spans="1:20" s="57" customFormat="1" ht="14">
      <c r="A61" s="45"/>
      <c r="B61" s="46"/>
      <c r="C61" s="47">
        <f t="shared" si="0"/>
        <v>0</v>
      </c>
      <c r="D61" s="48"/>
      <c r="E61" s="48"/>
      <c r="F61" s="48"/>
      <c r="G61" s="48"/>
      <c r="H61" s="49"/>
      <c r="I61" s="76" t="str">
        <f t="shared" si="1"/>
        <v/>
      </c>
      <c r="J61" s="50"/>
      <c r="K61" s="50"/>
      <c r="L61" s="50"/>
      <c r="M61" s="48"/>
      <c r="N61" s="49" t="str">
        <f t="shared" si="2"/>
        <v/>
      </c>
      <c r="O61" s="49" t="str">
        <f t="shared" si="3"/>
        <v/>
      </c>
      <c r="P61" s="77" t="str">
        <f t="shared" si="4"/>
        <v/>
      </c>
      <c r="Q61" s="78">
        <f t="shared" si="5"/>
        <v>0</v>
      </c>
      <c r="R61" s="78">
        <f t="shared" si="6"/>
        <v>0</v>
      </c>
      <c r="S61" s="77">
        <f t="shared" si="7"/>
        <v>0</v>
      </c>
      <c r="T61" s="48"/>
    </row>
    <row r="62" spans="1:20" s="57" customFormat="1" ht="14">
      <c r="A62" s="45"/>
      <c r="B62" s="46"/>
      <c r="C62" s="47">
        <f t="shared" si="0"/>
        <v>0</v>
      </c>
      <c r="D62" s="48"/>
      <c r="E62" s="48"/>
      <c r="F62" s="48"/>
      <c r="G62" s="48"/>
      <c r="H62" s="49"/>
      <c r="I62" s="76" t="str">
        <f t="shared" si="1"/>
        <v/>
      </c>
      <c r="J62" s="50"/>
      <c r="K62" s="50"/>
      <c r="L62" s="50"/>
      <c r="M62" s="48"/>
      <c r="N62" s="49" t="str">
        <f t="shared" si="2"/>
        <v/>
      </c>
      <c r="O62" s="49" t="str">
        <f t="shared" si="3"/>
        <v/>
      </c>
      <c r="P62" s="77" t="str">
        <f t="shared" si="4"/>
        <v/>
      </c>
      <c r="Q62" s="78">
        <f t="shared" si="5"/>
        <v>0</v>
      </c>
      <c r="R62" s="78">
        <f t="shared" si="6"/>
        <v>0</v>
      </c>
      <c r="S62" s="77">
        <f t="shared" si="7"/>
        <v>0</v>
      </c>
      <c r="T62" s="48"/>
    </row>
    <row r="63" spans="1:20" s="57" customFormat="1" ht="14">
      <c r="A63" s="45"/>
      <c r="B63" s="46"/>
      <c r="C63" s="47">
        <f t="shared" si="0"/>
        <v>0</v>
      </c>
      <c r="D63" s="48"/>
      <c r="E63" s="48"/>
      <c r="F63" s="48"/>
      <c r="G63" s="48"/>
      <c r="H63" s="49"/>
      <c r="I63" s="76" t="str">
        <f t="shared" si="1"/>
        <v/>
      </c>
      <c r="J63" s="50"/>
      <c r="K63" s="50"/>
      <c r="L63" s="50"/>
      <c r="M63" s="48"/>
      <c r="N63" s="49" t="str">
        <f t="shared" si="2"/>
        <v/>
      </c>
      <c r="O63" s="49" t="str">
        <f t="shared" si="3"/>
        <v/>
      </c>
      <c r="P63" s="77" t="str">
        <f t="shared" si="4"/>
        <v/>
      </c>
      <c r="Q63" s="78">
        <f t="shared" si="5"/>
        <v>0</v>
      </c>
      <c r="R63" s="78">
        <f t="shared" si="6"/>
        <v>0</v>
      </c>
      <c r="S63" s="77">
        <f t="shared" si="7"/>
        <v>0</v>
      </c>
      <c r="T63" s="48"/>
    </row>
    <row r="64" spans="1:20" s="57" customFormat="1" ht="14">
      <c r="A64" s="45"/>
      <c r="B64" s="46"/>
      <c r="C64" s="47">
        <f t="shared" si="0"/>
        <v>0</v>
      </c>
      <c r="D64" s="48"/>
      <c r="E64" s="48"/>
      <c r="F64" s="48"/>
      <c r="G64" s="48"/>
      <c r="H64" s="49"/>
      <c r="I64" s="76" t="str">
        <f t="shared" si="1"/>
        <v/>
      </c>
      <c r="J64" s="50"/>
      <c r="K64" s="50"/>
      <c r="L64" s="50"/>
      <c r="M64" s="48"/>
      <c r="N64" s="49" t="str">
        <f t="shared" si="2"/>
        <v/>
      </c>
      <c r="O64" s="49" t="str">
        <f t="shared" si="3"/>
        <v/>
      </c>
      <c r="P64" s="77" t="str">
        <f t="shared" si="4"/>
        <v/>
      </c>
      <c r="Q64" s="78">
        <f t="shared" si="5"/>
        <v>0</v>
      </c>
      <c r="R64" s="78">
        <f t="shared" si="6"/>
        <v>0</v>
      </c>
      <c r="S64" s="77">
        <f t="shared" si="7"/>
        <v>0</v>
      </c>
      <c r="T64" s="48"/>
    </row>
    <row r="65" spans="1:20" s="57" customFormat="1" ht="14">
      <c r="A65" s="45"/>
      <c r="B65" s="46"/>
      <c r="C65" s="47">
        <f t="shared" si="0"/>
        <v>0</v>
      </c>
      <c r="D65" s="48"/>
      <c r="E65" s="48"/>
      <c r="F65" s="48"/>
      <c r="G65" s="48"/>
      <c r="H65" s="49"/>
      <c r="I65" s="76" t="str">
        <f t="shared" si="1"/>
        <v/>
      </c>
      <c r="J65" s="50"/>
      <c r="K65" s="50"/>
      <c r="L65" s="50"/>
      <c r="M65" s="48"/>
      <c r="N65" s="49" t="str">
        <f t="shared" si="2"/>
        <v/>
      </c>
      <c r="O65" s="49" t="str">
        <f t="shared" si="3"/>
        <v/>
      </c>
      <c r="P65" s="77" t="str">
        <f t="shared" si="4"/>
        <v/>
      </c>
      <c r="Q65" s="78">
        <f t="shared" si="5"/>
        <v>0</v>
      </c>
      <c r="R65" s="78">
        <f t="shared" si="6"/>
        <v>0</v>
      </c>
      <c r="S65" s="77">
        <f t="shared" si="7"/>
        <v>0</v>
      </c>
      <c r="T65" s="48"/>
    </row>
    <row r="66" spans="1:20" s="57" customFormat="1" ht="14">
      <c r="A66" s="45"/>
      <c r="B66" s="46"/>
      <c r="C66" s="47">
        <f t="shared" si="0"/>
        <v>0</v>
      </c>
      <c r="D66" s="48"/>
      <c r="E66" s="48"/>
      <c r="F66" s="48"/>
      <c r="G66" s="48"/>
      <c r="H66" s="49"/>
      <c r="I66" s="76" t="str">
        <f t="shared" si="1"/>
        <v/>
      </c>
      <c r="J66" s="50"/>
      <c r="K66" s="50"/>
      <c r="L66" s="50"/>
      <c r="M66" s="48"/>
      <c r="N66" s="49" t="str">
        <f t="shared" si="2"/>
        <v/>
      </c>
      <c r="O66" s="49" t="str">
        <f t="shared" si="3"/>
        <v/>
      </c>
      <c r="P66" s="77" t="str">
        <f t="shared" si="4"/>
        <v/>
      </c>
      <c r="Q66" s="78">
        <f t="shared" si="5"/>
        <v>0</v>
      </c>
      <c r="R66" s="78">
        <f t="shared" si="6"/>
        <v>0</v>
      </c>
      <c r="S66" s="77">
        <f t="shared" si="7"/>
        <v>0</v>
      </c>
      <c r="T66" s="48"/>
    </row>
    <row r="67" spans="1:20" s="57" customFormat="1" ht="14">
      <c r="A67" s="45"/>
      <c r="B67" s="46"/>
      <c r="C67" s="47">
        <f t="shared" si="0"/>
        <v>0</v>
      </c>
      <c r="D67" s="48"/>
      <c r="E67" s="48"/>
      <c r="F67" s="48"/>
      <c r="G67" s="48"/>
      <c r="H67" s="49"/>
      <c r="I67" s="76" t="str">
        <f t="shared" si="1"/>
        <v/>
      </c>
      <c r="J67" s="50"/>
      <c r="K67" s="50"/>
      <c r="L67" s="50"/>
      <c r="M67" s="48"/>
      <c r="N67" s="49" t="str">
        <f t="shared" si="2"/>
        <v/>
      </c>
      <c r="O67" s="49" t="str">
        <f t="shared" si="3"/>
        <v/>
      </c>
      <c r="P67" s="77" t="str">
        <f t="shared" si="4"/>
        <v/>
      </c>
      <c r="Q67" s="78">
        <f t="shared" si="5"/>
        <v>0</v>
      </c>
      <c r="R67" s="78">
        <f t="shared" si="6"/>
        <v>0</v>
      </c>
      <c r="S67" s="77">
        <f t="shared" si="7"/>
        <v>0</v>
      </c>
      <c r="T67" s="48"/>
    </row>
    <row r="68" spans="1:20" s="57" customFormat="1" ht="14">
      <c r="A68" s="45"/>
      <c r="B68" s="46"/>
      <c r="C68" s="47">
        <f t="shared" si="0"/>
        <v>0</v>
      </c>
      <c r="D68" s="48"/>
      <c r="E68" s="48"/>
      <c r="F68" s="48"/>
      <c r="G68" s="48"/>
      <c r="H68" s="49"/>
      <c r="I68" s="76" t="str">
        <f t="shared" si="1"/>
        <v/>
      </c>
      <c r="J68" s="50"/>
      <c r="K68" s="50"/>
      <c r="L68" s="50"/>
      <c r="M68" s="48"/>
      <c r="N68" s="49" t="str">
        <f t="shared" si="2"/>
        <v/>
      </c>
      <c r="O68" s="49" t="str">
        <f t="shared" si="3"/>
        <v/>
      </c>
      <c r="P68" s="77" t="str">
        <f t="shared" si="4"/>
        <v/>
      </c>
      <c r="Q68" s="78">
        <f t="shared" si="5"/>
        <v>0</v>
      </c>
      <c r="R68" s="78">
        <f t="shared" si="6"/>
        <v>0</v>
      </c>
      <c r="S68" s="77">
        <f t="shared" si="7"/>
        <v>0</v>
      </c>
      <c r="T68" s="48"/>
    </row>
    <row r="69" spans="1:20" s="57" customFormat="1" ht="14">
      <c r="A69" s="45"/>
      <c r="B69" s="46"/>
      <c r="C69" s="47">
        <f t="shared" si="0"/>
        <v>0</v>
      </c>
      <c r="D69" s="48"/>
      <c r="E69" s="48"/>
      <c r="F69" s="48"/>
      <c r="G69" s="48"/>
      <c r="H69" s="49"/>
      <c r="I69" s="76" t="str">
        <f t="shared" si="1"/>
        <v/>
      </c>
      <c r="J69" s="50"/>
      <c r="K69" s="50"/>
      <c r="L69" s="50"/>
      <c r="M69" s="48"/>
      <c r="N69" s="49" t="str">
        <f t="shared" si="2"/>
        <v/>
      </c>
      <c r="O69" s="49" t="str">
        <f t="shared" si="3"/>
        <v/>
      </c>
      <c r="P69" s="77" t="str">
        <f t="shared" si="4"/>
        <v/>
      </c>
      <c r="Q69" s="78">
        <f t="shared" si="5"/>
        <v>0</v>
      </c>
      <c r="R69" s="78">
        <f t="shared" si="6"/>
        <v>0</v>
      </c>
      <c r="S69" s="77">
        <f t="shared" si="7"/>
        <v>0</v>
      </c>
      <c r="T69" s="48"/>
    </row>
    <row r="70" spans="1:20" s="57" customFormat="1" ht="14">
      <c r="A70" s="45"/>
      <c r="B70" s="46"/>
      <c r="C70" s="47">
        <f t="shared" si="0"/>
        <v>0</v>
      </c>
      <c r="D70" s="48"/>
      <c r="E70" s="48"/>
      <c r="F70" s="48"/>
      <c r="G70" s="48"/>
      <c r="H70" s="49"/>
      <c r="I70" s="76" t="str">
        <f t="shared" si="1"/>
        <v/>
      </c>
      <c r="J70" s="50"/>
      <c r="K70" s="50"/>
      <c r="L70" s="50"/>
      <c r="M70" s="48"/>
      <c r="N70" s="49" t="str">
        <f t="shared" si="2"/>
        <v/>
      </c>
      <c r="O70" s="49" t="str">
        <f t="shared" si="3"/>
        <v/>
      </c>
      <c r="P70" s="77" t="str">
        <f t="shared" si="4"/>
        <v/>
      </c>
      <c r="Q70" s="78">
        <f t="shared" si="5"/>
        <v>0</v>
      </c>
      <c r="R70" s="78">
        <f t="shared" si="6"/>
        <v>0</v>
      </c>
      <c r="S70" s="77">
        <f t="shared" si="7"/>
        <v>0</v>
      </c>
      <c r="T70" s="48"/>
    </row>
    <row r="71" spans="1:20" s="57" customFormat="1" ht="14">
      <c r="A71" s="45"/>
      <c r="B71" s="46"/>
      <c r="C71" s="47">
        <f t="shared" si="0"/>
        <v>0</v>
      </c>
      <c r="D71" s="48"/>
      <c r="E71" s="48"/>
      <c r="F71" s="48"/>
      <c r="G71" s="48"/>
      <c r="H71" s="49"/>
      <c r="I71" s="76" t="str">
        <f t="shared" si="1"/>
        <v/>
      </c>
      <c r="J71" s="50"/>
      <c r="K71" s="50"/>
      <c r="L71" s="50"/>
      <c r="M71" s="48"/>
      <c r="N71" s="49" t="str">
        <f t="shared" si="2"/>
        <v/>
      </c>
      <c r="O71" s="49" t="str">
        <f t="shared" si="3"/>
        <v/>
      </c>
      <c r="P71" s="77" t="str">
        <f t="shared" si="4"/>
        <v/>
      </c>
      <c r="Q71" s="78">
        <f t="shared" si="5"/>
        <v>0</v>
      </c>
      <c r="R71" s="78">
        <f t="shared" si="6"/>
        <v>0</v>
      </c>
      <c r="S71" s="77">
        <f t="shared" si="7"/>
        <v>0</v>
      </c>
      <c r="T71" s="48"/>
    </row>
    <row r="72" spans="1:20" s="57" customFormat="1" ht="14">
      <c r="A72" s="45"/>
      <c r="B72" s="46"/>
      <c r="C72" s="47">
        <f t="shared" si="0"/>
        <v>0</v>
      </c>
      <c r="D72" s="48"/>
      <c r="E72" s="48"/>
      <c r="F72" s="48"/>
      <c r="G72" s="48"/>
      <c r="H72" s="49"/>
      <c r="I72" s="76" t="str">
        <f t="shared" si="1"/>
        <v/>
      </c>
      <c r="J72" s="50"/>
      <c r="K72" s="50"/>
      <c r="L72" s="50"/>
      <c r="M72" s="48"/>
      <c r="N72" s="49" t="str">
        <f t="shared" si="2"/>
        <v/>
      </c>
      <c r="O72" s="49" t="str">
        <f t="shared" si="3"/>
        <v/>
      </c>
      <c r="P72" s="77" t="str">
        <f t="shared" si="4"/>
        <v/>
      </c>
      <c r="Q72" s="78">
        <f t="shared" si="5"/>
        <v>0</v>
      </c>
      <c r="R72" s="78">
        <f t="shared" si="6"/>
        <v>0</v>
      </c>
      <c r="S72" s="77">
        <f t="shared" si="7"/>
        <v>0</v>
      </c>
      <c r="T72" s="48"/>
    </row>
    <row r="73" spans="1:20" s="57" customFormat="1" ht="14">
      <c r="A73" s="45"/>
      <c r="B73" s="46"/>
      <c r="C73" s="47">
        <f t="shared" si="0"/>
        <v>0</v>
      </c>
      <c r="D73" s="48"/>
      <c r="E73" s="48"/>
      <c r="F73" s="48"/>
      <c r="G73" s="48"/>
      <c r="H73" s="49"/>
      <c r="I73" s="76" t="str">
        <f t="shared" si="1"/>
        <v/>
      </c>
      <c r="J73" s="50"/>
      <c r="K73" s="50"/>
      <c r="L73" s="50"/>
      <c r="M73" s="48"/>
      <c r="N73" s="49" t="str">
        <f t="shared" si="2"/>
        <v/>
      </c>
      <c r="O73" s="49" t="str">
        <f t="shared" si="3"/>
        <v/>
      </c>
      <c r="P73" s="77" t="str">
        <f t="shared" si="4"/>
        <v/>
      </c>
      <c r="Q73" s="78">
        <f t="shared" si="5"/>
        <v>0</v>
      </c>
      <c r="R73" s="78">
        <f t="shared" si="6"/>
        <v>0</v>
      </c>
      <c r="S73" s="77">
        <f t="shared" si="7"/>
        <v>0</v>
      </c>
      <c r="T73" s="48"/>
    </row>
    <row r="74" spans="1:20" s="57" customFormat="1" ht="14">
      <c r="A74" s="45"/>
      <c r="B74" s="46"/>
      <c r="C74" s="47">
        <f t="shared" si="0"/>
        <v>0</v>
      </c>
      <c r="D74" s="48"/>
      <c r="E74" s="48"/>
      <c r="F74" s="48"/>
      <c r="G74" s="48"/>
      <c r="H74" s="49"/>
      <c r="I74" s="76" t="str">
        <f t="shared" si="1"/>
        <v/>
      </c>
      <c r="J74" s="50"/>
      <c r="K74" s="50"/>
      <c r="L74" s="50"/>
      <c r="M74" s="48"/>
      <c r="N74" s="49" t="str">
        <f t="shared" si="2"/>
        <v/>
      </c>
      <c r="O74" s="49" t="str">
        <f t="shared" si="3"/>
        <v/>
      </c>
      <c r="P74" s="77" t="str">
        <f t="shared" si="4"/>
        <v/>
      </c>
      <c r="Q74" s="78">
        <f t="shared" si="5"/>
        <v>0</v>
      </c>
      <c r="R74" s="78">
        <f t="shared" si="6"/>
        <v>0</v>
      </c>
      <c r="S74" s="77">
        <f t="shared" si="7"/>
        <v>0</v>
      </c>
      <c r="T74" s="48"/>
    </row>
    <row r="75" spans="1:20" s="57" customFormat="1" ht="14">
      <c r="A75" s="45"/>
      <c r="B75" s="46"/>
      <c r="C75" s="47">
        <f t="shared" ref="C75:C138" si="8">IF($B75&lt;&gt;"",VLOOKUP($B75,Matriz_INM,2,0),0)</f>
        <v>0</v>
      </c>
      <c r="D75" s="48"/>
      <c r="E75" s="48"/>
      <c r="F75" s="48"/>
      <c r="G75" s="48"/>
      <c r="H75" s="49"/>
      <c r="I75" s="76" t="str">
        <f t="shared" ref="I75:I138" si="9">IFERROR(VLOOKUP($B75,Matriz_INM,3,0),"")</f>
        <v/>
      </c>
      <c r="J75" s="50"/>
      <c r="K75" s="50"/>
      <c r="L75" s="50"/>
      <c r="M75" s="48"/>
      <c r="N75" s="49"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9"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7" t="str">
        <f t="shared" ref="P75:P138" si="12">IF(N75="",O75,IF(O75="",N75,""))</f>
        <v/>
      </c>
      <c r="Q75" s="78">
        <f t="shared" ref="Q75:Q138" si="13">IF(AND(OR(M75="EE",M75="CE"),P75="Simples"),3, IF(AND(OR(M75="EE",M75="CE"),P75="Médio"),4, IF(AND(OR(M75="EE",M75="CE"),P75="Complexo"),6, IF(AND(M75="SE",P75="Simples"),4, IF(AND(M75="SE",P75="Médio"),5, IF(AND(M75="SE",P75="Complexo"),7,0))))))</f>
        <v>0</v>
      </c>
      <c r="R75" s="78">
        <f t="shared" ref="R75:R138" si="14">IF(AND(M75="ALI",O75="Simples"),7, IF(AND(M75="ALI",O75="Médio"),10, IF(AND(M75="ALI",O75="Complexo"),15, IF(AND(M75="AIE",O75="Simples"),5, IF(AND(M75="AIE",O75="Médio"),7, IF(AND(M75="AIE",O75="Complexo"),10,0))))))</f>
        <v>0</v>
      </c>
      <c r="S75" s="77">
        <f t="shared" si="7"/>
        <v>0</v>
      </c>
      <c r="T75" s="48"/>
    </row>
    <row r="76" spans="1:20" s="57" customFormat="1" ht="14">
      <c r="A76" s="45"/>
      <c r="B76" s="46"/>
      <c r="C76" s="47">
        <f t="shared" si="8"/>
        <v>0</v>
      </c>
      <c r="D76" s="48"/>
      <c r="E76" s="48"/>
      <c r="F76" s="48"/>
      <c r="G76" s="48"/>
      <c r="H76" s="49"/>
      <c r="I76" s="76" t="str">
        <f t="shared" si="9"/>
        <v/>
      </c>
      <c r="J76" s="50"/>
      <c r="K76" s="50"/>
      <c r="L76" s="50"/>
      <c r="M76" s="48"/>
      <c r="N76" s="49" t="str">
        <f t="shared" si="10"/>
        <v/>
      </c>
      <c r="O76" s="49" t="str">
        <f t="shared" si="11"/>
        <v/>
      </c>
      <c r="P76" s="77" t="str">
        <f t="shared" si="12"/>
        <v/>
      </c>
      <c r="Q76" s="78">
        <f t="shared" si="13"/>
        <v>0</v>
      </c>
      <c r="R76" s="78">
        <f t="shared" si="14"/>
        <v>0</v>
      </c>
      <c r="S76" s="77">
        <f t="shared" ref="S76:S139" si="15">IF($I76="%",($Q76+$R76)*$C76,$C76)</f>
        <v>0</v>
      </c>
      <c r="T76" s="48"/>
    </row>
    <row r="77" spans="1:20" s="57" customFormat="1" ht="14">
      <c r="A77" s="45"/>
      <c r="B77" s="46"/>
      <c r="C77" s="47">
        <f t="shared" si="8"/>
        <v>0</v>
      </c>
      <c r="D77" s="48"/>
      <c r="E77" s="48"/>
      <c r="F77" s="48"/>
      <c r="G77" s="48"/>
      <c r="H77" s="49"/>
      <c r="I77" s="76" t="str">
        <f t="shared" si="9"/>
        <v/>
      </c>
      <c r="J77" s="50"/>
      <c r="K77" s="50"/>
      <c r="L77" s="50"/>
      <c r="M77" s="48"/>
      <c r="N77" s="49" t="str">
        <f t="shared" si="10"/>
        <v/>
      </c>
      <c r="O77" s="49" t="str">
        <f t="shared" si="11"/>
        <v/>
      </c>
      <c r="P77" s="77" t="str">
        <f t="shared" si="12"/>
        <v/>
      </c>
      <c r="Q77" s="78">
        <f t="shared" si="13"/>
        <v>0</v>
      </c>
      <c r="R77" s="78">
        <f t="shared" si="14"/>
        <v>0</v>
      </c>
      <c r="S77" s="77">
        <f t="shared" si="15"/>
        <v>0</v>
      </c>
      <c r="T77" s="48"/>
    </row>
    <row r="78" spans="1:20" s="57" customFormat="1" ht="14">
      <c r="A78" s="45"/>
      <c r="B78" s="46"/>
      <c r="C78" s="47">
        <f t="shared" si="8"/>
        <v>0</v>
      </c>
      <c r="D78" s="48"/>
      <c r="E78" s="48"/>
      <c r="F78" s="48"/>
      <c r="G78" s="48"/>
      <c r="H78" s="49"/>
      <c r="I78" s="76" t="str">
        <f t="shared" si="9"/>
        <v/>
      </c>
      <c r="J78" s="50"/>
      <c r="K78" s="50"/>
      <c r="L78" s="50"/>
      <c r="M78" s="48"/>
      <c r="N78" s="49" t="str">
        <f t="shared" si="10"/>
        <v/>
      </c>
      <c r="O78" s="49" t="str">
        <f t="shared" si="11"/>
        <v/>
      </c>
      <c r="P78" s="77" t="str">
        <f t="shared" si="12"/>
        <v/>
      </c>
      <c r="Q78" s="78">
        <f t="shared" si="13"/>
        <v>0</v>
      </c>
      <c r="R78" s="78">
        <f t="shared" si="14"/>
        <v>0</v>
      </c>
      <c r="S78" s="77">
        <f t="shared" si="15"/>
        <v>0</v>
      </c>
      <c r="T78" s="48"/>
    </row>
    <row r="79" spans="1:20" s="57" customFormat="1" ht="14">
      <c r="A79" s="45"/>
      <c r="B79" s="46"/>
      <c r="C79" s="47">
        <f t="shared" si="8"/>
        <v>0</v>
      </c>
      <c r="D79" s="48"/>
      <c r="E79" s="48"/>
      <c r="F79" s="48"/>
      <c r="G79" s="48"/>
      <c r="H79" s="49"/>
      <c r="I79" s="76" t="str">
        <f t="shared" si="9"/>
        <v/>
      </c>
      <c r="J79" s="50"/>
      <c r="K79" s="50"/>
      <c r="L79" s="50"/>
      <c r="M79" s="48"/>
      <c r="N79" s="49" t="str">
        <f t="shared" si="10"/>
        <v/>
      </c>
      <c r="O79" s="49" t="str">
        <f t="shared" si="11"/>
        <v/>
      </c>
      <c r="P79" s="77" t="str">
        <f t="shared" si="12"/>
        <v/>
      </c>
      <c r="Q79" s="78">
        <f t="shared" si="13"/>
        <v>0</v>
      </c>
      <c r="R79" s="78">
        <f t="shared" si="14"/>
        <v>0</v>
      </c>
      <c r="S79" s="77">
        <f t="shared" si="15"/>
        <v>0</v>
      </c>
      <c r="T79" s="48"/>
    </row>
    <row r="80" spans="1:20" s="57" customFormat="1" ht="14">
      <c r="A80" s="45"/>
      <c r="B80" s="46"/>
      <c r="C80" s="47">
        <f t="shared" si="8"/>
        <v>0</v>
      </c>
      <c r="D80" s="48"/>
      <c r="E80" s="48"/>
      <c r="F80" s="48"/>
      <c r="G80" s="48"/>
      <c r="H80" s="49"/>
      <c r="I80" s="76" t="str">
        <f t="shared" si="9"/>
        <v/>
      </c>
      <c r="J80" s="50"/>
      <c r="K80" s="50"/>
      <c r="L80" s="50"/>
      <c r="M80" s="48"/>
      <c r="N80" s="49" t="str">
        <f t="shared" si="10"/>
        <v/>
      </c>
      <c r="O80" s="49" t="str">
        <f t="shared" si="11"/>
        <v/>
      </c>
      <c r="P80" s="77" t="str">
        <f t="shared" si="12"/>
        <v/>
      </c>
      <c r="Q80" s="78">
        <f t="shared" si="13"/>
        <v>0</v>
      </c>
      <c r="R80" s="78">
        <f t="shared" si="14"/>
        <v>0</v>
      </c>
      <c r="S80" s="77">
        <f t="shared" si="15"/>
        <v>0</v>
      </c>
      <c r="T80" s="48"/>
    </row>
    <row r="81" spans="1:20" s="57" customFormat="1" ht="14">
      <c r="A81" s="45"/>
      <c r="B81" s="46"/>
      <c r="C81" s="47">
        <f t="shared" si="8"/>
        <v>0</v>
      </c>
      <c r="D81" s="48"/>
      <c r="E81" s="48"/>
      <c r="F81" s="48"/>
      <c r="G81" s="48"/>
      <c r="H81" s="49"/>
      <c r="I81" s="76" t="str">
        <f t="shared" si="9"/>
        <v/>
      </c>
      <c r="J81" s="50"/>
      <c r="K81" s="50"/>
      <c r="L81" s="50"/>
      <c r="M81" s="48"/>
      <c r="N81" s="49" t="str">
        <f t="shared" si="10"/>
        <v/>
      </c>
      <c r="O81" s="49" t="str">
        <f t="shared" si="11"/>
        <v/>
      </c>
      <c r="P81" s="77" t="str">
        <f t="shared" si="12"/>
        <v/>
      </c>
      <c r="Q81" s="78">
        <f t="shared" si="13"/>
        <v>0</v>
      </c>
      <c r="R81" s="78">
        <f t="shared" si="14"/>
        <v>0</v>
      </c>
      <c r="S81" s="77">
        <f t="shared" si="15"/>
        <v>0</v>
      </c>
      <c r="T81" s="48"/>
    </row>
    <row r="82" spans="1:20" s="57" customFormat="1" ht="14">
      <c r="A82" s="45"/>
      <c r="B82" s="46"/>
      <c r="C82" s="47">
        <f t="shared" si="8"/>
        <v>0</v>
      </c>
      <c r="D82" s="48"/>
      <c r="E82" s="48"/>
      <c r="F82" s="48"/>
      <c r="G82" s="48"/>
      <c r="H82" s="49"/>
      <c r="I82" s="76" t="str">
        <f t="shared" si="9"/>
        <v/>
      </c>
      <c r="J82" s="50"/>
      <c r="K82" s="50"/>
      <c r="L82" s="50"/>
      <c r="M82" s="48"/>
      <c r="N82" s="49" t="str">
        <f t="shared" si="10"/>
        <v/>
      </c>
      <c r="O82" s="49" t="str">
        <f t="shared" si="11"/>
        <v/>
      </c>
      <c r="P82" s="77" t="str">
        <f t="shared" si="12"/>
        <v/>
      </c>
      <c r="Q82" s="78">
        <f t="shared" si="13"/>
        <v>0</v>
      </c>
      <c r="R82" s="78">
        <f t="shared" si="14"/>
        <v>0</v>
      </c>
      <c r="S82" s="77">
        <f t="shared" si="15"/>
        <v>0</v>
      </c>
      <c r="T82" s="48"/>
    </row>
    <row r="83" spans="1:20" s="57" customFormat="1" ht="14">
      <c r="A83" s="45"/>
      <c r="B83" s="46"/>
      <c r="C83" s="47">
        <f t="shared" si="8"/>
        <v>0</v>
      </c>
      <c r="D83" s="48"/>
      <c r="E83" s="48"/>
      <c r="F83" s="48"/>
      <c r="G83" s="48"/>
      <c r="H83" s="49"/>
      <c r="I83" s="76" t="str">
        <f t="shared" si="9"/>
        <v/>
      </c>
      <c r="J83" s="50"/>
      <c r="K83" s="50"/>
      <c r="L83" s="50"/>
      <c r="M83" s="48"/>
      <c r="N83" s="49" t="str">
        <f t="shared" si="10"/>
        <v/>
      </c>
      <c r="O83" s="49" t="str">
        <f t="shared" si="11"/>
        <v/>
      </c>
      <c r="P83" s="77" t="str">
        <f t="shared" si="12"/>
        <v/>
      </c>
      <c r="Q83" s="78">
        <f t="shared" si="13"/>
        <v>0</v>
      </c>
      <c r="R83" s="78">
        <f t="shared" si="14"/>
        <v>0</v>
      </c>
      <c r="S83" s="77">
        <f t="shared" si="15"/>
        <v>0</v>
      </c>
      <c r="T83" s="48"/>
    </row>
    <row r="84" spans="1:20" s="57" customFormat="1" ht="14">
      <c r="A84" s="45"/>
      <c r="B84" s="46"/>
      <c r="C84" s="47">
        <f t="shared" si="8"/>
        <v>0</v>
      </c>
      <c r="D84" s="48"/>
      <c r="E84" s="48"/>
      <c r="F84" s="48"/>
      <c r="G84" s="48"/>
      <c r="H84" s="49"/>
      <c r="I84" s="76" t="str">
        <f t="shared" si="9"/>
        <v/>
      </c>
      <c r="J84" s="50"/>
      <c r="K84" s="50"/>
      <c r="L84" s="50"/>
      <c r="M84" s="48"/>
      <c r="N84" s="49" t="str">
        <f t="shared" si="10"/>
        <v/>
      </c>
      <c r="O84" s="49" t="str">
        <f t="shared" si="11"/>
        <v/>
      </c>
      <c r="P84" s="77" t="str">
        <f t="shared" si="12"/>
        <v/>
      </c>
      <c r="Q84" s="78">
        <f t="shared" si="13"/>
        <v>0</v>
      </c>
      <c r="R84" s="78">
        <f t="shared" si="14"/>
        <v>0</v>
      </c>
      <c r="S84" s="77">
        <f t="shared" si="15"/>
        <v>0</v>
      </c>
      <c r="T84" s="48"/>
    </row>
    <row r="85" spans="1:20" s="57" customFormat="1" ht="14">
      <c r="A85" s="45"/>
      <c r="B85" s="46"/>
      <c r="C85" s="47">
        <f t="shared" si="8"/>
        <v>0</v>
      </c>
      <c r="D85" s="48"/>
      <c r="E85" s="48"/>
      <c r="F85" s="48"/>
      <c r="G85" s="48"/>
      <c r="H85" s="49"/>
      <c r="I85" s="76" t="str">
        <f t="shared" si="9"/>
        <v/>
      </c>
      <c r="J85" s="50"/>
      <c r="K85" s="50"/>
      <c r="L85" s="50"/>
      <c r="M85" s="48"/>
      <c r="N85" s="49" t="str">
        <f t="shared" si="10"/>
        <v/>
      </c>
      <c r="O85" s="49" t="str">
        <f t="shared" si="11"/>
        <v/>
      </c>
      <c r="P85" s="77" t="str">
        <f t="shared" si="12"/>
        <v/>
      </c>
      <c r="Q85" s="78">
        <f t="shared" si="13"/>
        <v>0</v>
      </c>
      <c r="R85" s="78">
        <f t="shared" si="14"/>
        <v>0</v>
      </c>
      <c r="S85" s="77">
        <f t="shared" si="15"/>
        <v>0</v>
      </c>
      <c r="T85" s="48"/>
    </row>
    <row r="86" spans="1:20" s="57" customFormat="1" ht="14">
      <c r="A86" s="45"/>
      <c r="B86" s="46"/>
      <c r="C86" s="47">
        <f t="shared" si="8"/>
        <v>0</v>
      </c>
      <c r="D86" s="48"/>
      <c r="E86" s="48"/>
      <c r="F86" s="48"/>
      <c r="G86" s="48"/>
      <c r="H86" s="49"/>
      <c r="I86" s="76" t="str">
        <f t="shared" si="9"/>
        <v/>
      </c>
      <c r="J86" s="50"/>
      <c r="K86" s="50"/>
      <c r="L86" s="50"/>
      <c r="M86" s="48"/>
      <c r="N86" s="49" t="str">
        <f t="shared" si="10"/>
        <v/>
      </c>
      <c r="O86" s="49" t="str">
        <f t="shared" si="11"/>
        <v/>
      </c>
      <c r="P86" s="77" t="str">
        <f t="shared" si="12"/>
        <v/>
      </c>
      <c r="Q86" s="78">
        <f t="shared" si="13"/>
        <v>0</v>
      </c>
      <c r="R86" s="78">
        <f t="shared" si="14"/>
        <v>0</v>
      </c>
      <c r="S86" s="77">
        <f t="shared" si="15"/>
        <v>0</v>
      </c>
      <c r="T86" s="48"/>
    </row>
    <row r="87" spans="1:20" s="57" customFormat="1" ht="14">
      <c r="A87" s="45"/>
      <c r="B87" s="46"/>
      <c r="C87" s="47">
        <f t="shared" si="8"/>
        <v>0</v>
      </c>
      <c r="D87" s="48"/>
      <c r="E87" s="48"/>
      <c r="F87" s="48"/>
      <c r="G87" s="48"/>
      <c r="H87" s="49"/>
      <c r="I87" s="76" t="str">
        <f t="shared" si="9"/>
        <v/>
      </c>
      <c r="J87" s="50"/>
      <c r="K87" s="50"/>
      <c r="L87" s="50"/>
      <c r="M87" s="48"/>
      <c r="N87" s="49" t="str">
        <f t="shared" si="10"/>
        <v/>
      </c>
      <c r="O87" s="49" t="str">
        <f t="shared" si="11"/>
        <v/>
      </c>
      <c r="P87" s="77" t="str">
        <f t="shared" si="12"/>
        <v/>
      </c>
      <c r="Q87" s="78">
        <f t="shared" si="13"/>
        <v>0</v>
      </c>
      <c r="R87" s="78">
        <f t="shared" si="14"/>
        <v>0</v>
      </c>
      <c r="S87" s="77">
        <f t="shared" si="15"/>
        <v>0</v>
      </c>
      <c r="T87" s="48"/>
    </row>
    <row r="88" spans="1:20" s="57" customFormat="1" ht="14">
      <c r="A88" s="45"/>
      <c r="B88" s="46"/>
      <c r="C88" s="47">
        <f t="shared" si="8"/>
        <v>0</v>
      </c>
      <c r="D88" s="48"/>
      <c r="E88" s="48"/>
      <c r="F88" s="48"/>
      <c r="G88" s="48"/>
      <c r="H88" s="49"/>
      <c r="I88" s="76" t="str">
        <f t="shared" si="9"/>
        <v/>
      </c>
      <c r="J88" s="50"/>
      <c r="K88" s="50"/>
      <c r="L88" s="50"/>
      <c r="M88" s="48"/>
      <c r="N88" s="49" t="str">
        <f t="shared" si="10"/>
        <v/>
      </c>
      <c r="O88" s="49" t="str">
        <f t="shared" si="11"/>
        <v/>
      </c>
      <c r="P88" s="77" t="str">
        <f t="shared" si="12"/>
        <v/>
      </c>
      <c r="Q88" s="78">
        <f t="shared" si="13"/>
        <v>0</v>
      </c>
      <c r="R88" s="78">
        <f t="shared" si="14"/>
        <v>0</v>
      </c>
      <c r="S88" s="77">
        <f t="shared" si="15"/>
        <v>0</v>
      </c>
      <c r="T88" s="48"/>
    </row>
    <row r="89" spans="1:20" s="57" customFormat="1" ht="14">
      <c r="A89" s="45"/>
      <c r="B89" s="46"/>
      <c r="C89" s="47">
        <f t="shared" si="8"/>
        <v>0</v>
      </c>
      <c r="D89" s="48"/>
      <c r="E89" s="48"/>
      <c r="F89" s="48"/>
      <c r="G89" s="48"/>
      <c r="H89" s="49"/>
      <c r="I89" s="76" t="str">
        <f t="shared" si="9"/>
        <v/>
      </c>
      <c r="J89" s="50"/>
      <c r="K89" s="50"/>
      <c r="L89" s="50"/>
      <c r="M89" s="48"/>
      <c r="N89" s="49" t="str">
        <f t="shared" si="10"/>
        <v/>
      </c>
      <c r="O89" s="49" t="str">
        <f t="shared" si="11"/>
        <v/>
      </c>
      <c r="P89" s="77" t="str">
        <f t="shared" si="12"/>
        <v/>
      </c>
      <c r="Q89" s="78">
        <f t="shared" si="13"/>
        <v>0</v>
      </c>
      <c r="R89" s="78">
        <f t="shared" si="14"/>
        <v>0</v>
      </c>
      <c r="S89" s="77">
        <f t="shared" si="15"/>
        <v>0</v>
      </c>
      <c r="T89" s="48"/>
    </row>
    <row r="90" spans="1:20" s="57" customFormat="1" ht="14">
      <c r="A90" s="45"/>
      <c r="B90" s="46"/>
      <c r="C90" s="47">
        <f t="shared" si="8"/>
        <v>0</v>
      </c>
      <c r="D90" s="48"/>
      <c r="E90" s="48"/>
      <c r="F90" s="48"/>
      <c r="G90" s="48"/>
      <c r="H90" s="49"/>
      <c r="I90" s="76" t="str">
        <f t="shared" si="9"/>
        <v/>
      </c>
      <c r="J90" s="50"/>
      <c r="K90" s="50"/>
      <c r="L90" s="50"/>
      <c r="M90" s="48"/>
      <c r="N90" s="49" t="str">
        <f t="shared" si="10"/>
        <v/>
      </c>
      <c r="O90" s="49" t="str">
        <f t="shared" si="11"/>
        <v/>
      </c>
      <c r="P90" s="77" t="str">
        <f t="shared" si="12"/>
        <v/>
      </c>
      <c r="Q90" s="78">
        <f t="shared" si="13"/>
        <v>0</v>
      </c>
      <c r="R90" s="78">
        <f t="shared" si="14"/>
        <v>0</v>
      </c>
      <c r="S90" s="77">
        <f t="shared" si="15"/>
        <v>0</v>
      </c>
      <c r="T90" s="48"/>
    </row>
    <row r="91" spans="1:20" s="57" customFormat="1" ht="14">
      <c r="A91" s="45"/>
      <c r="B91" s="46"/>
      <c r="C91" s="47">
        <f t="shared" si="8"/>
        <v>0</v>
      </c>
      <c r="D91" s="48"/>
      <c r="E91" s="48"/>
      <c r="F91" s="48"/>
      <c r="G91" s="48"/>
      <c r="H91" s="49"/>
      <c r="I91" s="76" t="str">
        <f t="shared" si="9"/>
        <v/>
      </c>
      <c r="J91" s="50"/>
      <c r="K91" s="50"/>
      <c r="L91" s="50"/>
      <c r="M91" s="48"/>
      <c r="N91" s="49" t="str">
        <f t="shared" si="10"/>
        <v/>
      </c>
      <c r="O91" s="49" t="str">
        <f t="shared" si="11"/>
        <v/>
      </c>
      <c r="P91" s="77" t="str">
        <f t="shared" si="12"/>
        <v/>
      </c>
      <c r="Q91" s="78">
        <f t="shared" si="13"/>
        <v>0</v>
      </c>
      <c r="R91" s="78">
        <f t="shared" si="14"/>
        <v>0</v>
      </c>
      <c r="S91" s="77">
        <f t="shared" si="15"/>
        <v>0</v>
      </c>
      <c r="T91" s="48"/>
    </row>
    <row r="92" spans="1:20" s="57" customFormat="1" ht="14">
      <c r="A92" s="45"/>
      <c r="B92" s="46"/>
      <c r="C92" s="47">
        <f t="shared" si="8"/>
        <v>0</v>
      </c>
      <c r="D92" s="48"/>
      <c r="E92" s="48"/>
      <c r="F92" s="48"/>
      <c r="G92" s="48"/>
      <c r="H92" s="49"/>
      <c r="I92" s="76" t="str">
        <f t="shared" si="9"/>
        <v/>
      </c>
      <c r="J92" s="50"/>
      <c r="K92" s="50"/>
      <c r="L92" s="50"/>
      <c r="M92" s="48"/>
      <c r="N92" s="49" t="str">
        <f t="shared" si="10"/>
        <v/>
      </c>
      <c r="O92" s="49" t="str">
        <f t="shared" si="11"/>
        <v/>
      </c>
      <c r="P92" s="77" t="str">
        <f t="shared" si="12"/>
        <v/>
      </c>
      <c r="Q92" s="78">
        <f t="shared" si="13"/>
        <v>0</v>
      </c>
      <c r="R92" s="78">
        <f t="shared" si="14"/>
        <v>0</v>
      </c>
      <c r="S92" s="77">
        <f t="shared" si="15"/>
        <v>0</v>
      </c>
      <c r="T92" s="48"/>
    </row>
    <row r="93" spans="1:20" s="57" customFormat="1" ht="14">
      <c r="A93" s="45"/>
      <c r="B93" s="46"/>
      <c r="C93" s="47">
        <f t="shared" si="8"/>
        <v>0</v>
      </c>
      <c r="D93" s="48"/>
      <c r="E93" s="48"/>
      <c r="F93" s="48"/>
      <c r="G93" s="48"/>
      <c r="H93" s="49"/>
      <c r="I93" s="76" t="str">
        <f t="shared" si="9"/>
        <v/>
      </c>
      <c r="J93" s="50"/>
      <c r="K93" s="50"/>
      <c r="L93" s="50"/>
      <c r="M93" s="48"/>
      <c r="N93" s="49" t="str">
        <f t="shared" si="10"/>
        <v/>
      </c>
      <c r="O93" s="49" t="str">
        <f t="shared" si="11"/>
        <v/>
      </c>
      <c r="P93" s="77" t="str">
        <f t="shared" si="12"/>
        <v/>
      </c>
      <c r="Q93" s="78">
        <f t="shared" si="13"/>
        <v>0</v>
      </c>
      <c r="R93" s="78">
        <f t="shared" si="14"/>
        <v>0</v>
      </c>
      <c r="S93" s="77">
        <f t="shared" si="15"/>
        <v>0</v>
      </c>
      <c r="T93" s="48"/>
    </row>
    <row r="94" spans="1:20" s="57" customFormat="1" ht="14">
      <c r="A94" s="45"/>
      <c r="B94" s="46"/>
      <c r="C94" s="47">
        <f t="shared" si="8"/>
        <v>0</v>
      </c>
      <c r="D94" s="48"/>
      <c r="E94" s="48"/>
      <c r="F94" s="48"/>
      <c r="G94" s="48"/>
      <c r="H94" s="49"/>
      <c r="I94" s="76" t="str">
        <f t="shared" si="9"/>
        <v/>
      </c>
      <c r="J94" s="50"/>
      <c r="K94" s="50"/>
      <c r="L94" s="50"/>
      <c r="M94" s="48"/>
      <c r="N94" s="49" t="str">
        <f t="shared" si="10"/>
        <v/>
      </c>
      <c r="O94" s="49" t="str">
        <f t="shared" si="11"/>
        <v/>
      </c>
      <c r="P94" s="77" t="str">
        <f t="shared" si="12"/>
        <v/>
      </c>
      <c r="Q94" s="78">
        <f t="shared" si="13"/>
        <v>0</v>
      </c>
      <c r="R94" s="78">
        <f t="shared" si="14"/>
        <v>0</v>
      </c>
      <c r="S94" s="77">
        <f t="shared" si="15"/>
        <v>0</v>
      </c>
      <c r="T94" s="48"/>
    </row>
    <row r="95" spans="1:20" s="57" customFormat="1" ht="14">
      <c r="A95" s="45"/>
      <c r="B95" s="46"/>
      <c r="C95" s="47">
        <f t="shared" si="8"/>
        <v>0</v>
      </c>
      <c r="D95" s="48"/>
      <c r="E95" s="48"/>
      <c r="F95" s="48"/>
      <c r="G95" s="48"/>
      <c r="H95" s="49"/>
      <c r="I95" s="76" t="str">
        <f t="shared" si="9"/>
        <v/>
      </c>
      <c r="J95" s="50"/>
      <c r="K95" s="50"/>
      <c r="L95" s="50"/>
      <c r="M95" s="48"/>
      <c r="N95" s="49" t="str">
        <f t="shared" si="10"/>
        <v/>
      </c>
      <c r="O95" s="49" t="str">
        <f t="shared" si="11"/>
        <v/>
      </c>
      <c r="P95" s="77" t="str">
        <f t="shared" si="12"/>
        <v/>
      </c>
      <c r="Q95" s="78">
        <f t="shared" si="13"/>
        <v>0</v>
      </c>
      <c r="R95" s="78">
        <f t="shared" si="14"/>
        <v>0</v>
      </c>
      <c r="S95" s="77">
        <f t="shared" si="15"/>
        <v>0</v>
      </c>
      <c r="T95" s="48"/>
    </row>
    <row r="96" spans="1:20" s="57" customFormat="1" ht="14">
      <c r="A96" s="45"/>
      <c r="B96" s="46"/>
      <c r="C96" s="47">
        <f t="shared" si="8"/>
        <v>0</v>
      </c>
      <c r="D96" s="48"/>
      <c r="E96" s="48"/>
      <c r="F96" s="48"/>
      <c r="G96" s="48"/>
      <c r="H96" s="49"/>
      <c r="I96" s="76" t="str">
        <f t="shared" si="9"/>
        <v/>
      </c>
      <c r="J96" s="50"/>
      <c r="K96" s="50"/>
      <c r="L96" s="50"/>
      <c r="M96" s="48"/>
      <c r="N96" s="49" t="str">
        <f t="shared" si="10"/>
        <v/>
      </c>
      <c r="O96" s="49" t="str">
        <f t="shared" si="11"/>
        <v/>
      </c>
      <c r="P96" s="77" t="str">
        <f t="shared" si="12"/>
        <v/>
      </c>
      <c r="Q96" s="78">
        <f t="shared" si="13"/>
        <v>0</v>
      </c>
      <c r="R96" s="78">
        <f t="shared" si="14"/>
        <v>0</v>
      </c>
      <c r="S96" s="77">
        <f t="shared" si="15"/>
        <v>0</v>
      </c>
      <c r="T96" s="48"/>
    </row>
    <row r="97" spans="1:20" s="57" customFormat="1" ht="14">
      <c r="A97" s="45"/>
      <c r="B97" s="46"/>
      <c r="C97" s="47">
        <f t="shared" si="8"/>
        <v>0</v>
      </c>
      <c r="D97" s="48"/>
      <c r="E97" s="48"/>
      <c r="F97" s="48"/>
      <c r="G97" s="48"/>
      <c r="H97" s="49"/>
      <c r="I97" s="76" t="str">
        <f t="shared" si="9"/>
        <v/>
      </c>
      <c r="J97" s="50"/>
      <c r="K97" s="50"/>
      <c r="L97" s="50"/>
      <c r="M97" s="48"/>
      <c r="N97" s="49" t="str">
        <f t="shared" si="10"/>
        <v/>
      </c>
      <c r="O97" s="49" t="str">
        <f t="shared" si="11"/>
        <v/>
      </c>
      <c r="P97" s="77" t="str">
        <f t="shared" si="12"/>
        <v/>
      </c>
      <c r="Q97" s="78">
        <f t="shared" si="13"/>
        <v>0</v>
      </c>
      <c r="R97" s="78">
        <f t="shared" si="14"/>
        <v>0</v>
      </c>
      <c r="S97" s="77">
        <f t="shared" si="15"/>
        <v>0</v>
      </c>
      <c r="T97" s="48"/>
    </row>
    <row r="98" spans="1:20" s="57" customFormat="1" ht="14">
      <c r="A98" s="45"/>
      <c r="B98" s="46"/>
      <c r="C98" s="47">
        <f t="shared" si="8"/>
        <v>0</v>
      </c>
      <c r="D98" s="48"/>
      <c r="E98" s="48"/>
      <c r="F98" s="48"/>
      <c r="G98" s="48"/>
      <c r="H98" s="49"/>
      <c r="I98" s="76" t="str">
        <f t="shared" si="9"/>
        <v/>
      </c>
      <c r="J98" s="50"/>
      <c r="K98" s="50"/>
      <c r="L98" s="50"/>
      <c r="M98" s="48"/>
      <c r="N98" s="49" t="str">
        <f t="shared" si="10"/>
        <v/>
      </c>
      <c r="O98" s="49" t="str">
        <f t="shared" si="11"/>
        <v/>
      </c>
      <c r="P98" s="77" t="str">
        <f t="shared" si="12"/>
        <v/>
      </c>
      <c r="Q98" s="78">
        <f t="shared" si="13"/>
        <v>0</v>
      </c>
      <c r="R98" s="78">
        <f t="shared" si="14"/>
        <v>0</v>
      </c>
      <c r="S98" s="77">
        <f t="shared" si="15"/>
        <v>0</v>
      </c>
      <c r="T98" s="48"/>
    </row>
    <row r="99" spans="1:20" s="57" customFormat="1" ht="14">
      <c r="A99" s="45"/>
      <c r="B99" s="46"/>
      <c r="C99" s="47">
        <f t="shared" si="8"/>
        <v>0</v>
      </c>
      <c r="D99" s="48"/>
      <c r="E99" s="48"/>
      <c r="F99" s="48"/>
      <c r="G99" s="48"/>
      <c r="H99" s="49"/>
      <c r="I99" s="76" t="str">
        <f t="shared" si="9"/>
        <v/>
      </c>
      <c r="J99" s="50"/>
      <c r="K99" s="50"/>
      <c r="L99" s="50"/>
      <c r="M99" s="48"/>
      <c r="N99" s="49" t="str">
        <f t="shared" si="10"/>
        <v/>
      </c>
      <c r="O99" s="49" t="str">
        <f t="shared" si="11"/>
        <v/>
      </c>
      <c r="P99" s="77" t="str">
        <f t="shared" si="12"/>
        <v/>
      </c>
      <c r="Q99" s="78">
        <f t="shared" si="13"/>
        <v>0</v>
      </c>
      <c r="R99" s="78">
        <f t="shared" si="14"/>
        <v>0</v>
      </c>
      <c r="S99" s="77">
        <f t="shared" si="15"/>
        <v>0</v>
      </c>
      <c r="T99" s="48"/>
    </row>
    <row r="100" spans="1:20" s="57" customFormat="1" ht="14">
      <c r="A100" s="45"/>
      <c r="B100" s="46"/>
      <c r="C100" s="47">
        <f t="shared" si="8"/>
        <v>0</v>
      </c>
      <c r="D100" s="48"/>
      <c r="E100" s="48"/>
      <c r="F100" s="48"/>
      <c r="G100" s="48"/>
      <c r="H100" s="49"/>
      <c r="I100" s="76" t="str">
        <f t="shared" si="9"/>
        <v/>
      </c>
      <c r="J100" s="50"/>
      <c r="K100" s="50"/>
      <c r="L100" s="50"/>
      <c r="M100" s="48"/>
      <c r="N100" s="49" t="str">
        <f t="shared" si="10"/>
        <v/>
      </c>
      <c r="O100" s="49" t="str">
        <f t="shared" si="11"/>
        <v/>
      </c>
      <c r="P100" s="77" t="str">
        <f t="shared" si="12"/>
        <v/>
      </c>
      <c r="Q100" s="78">
        <f t="shared" si="13"/>
        <v>0</v>
      </c>
      <c r="R100" s="78">
        <f t="shared" si="14"/>
        <v>0</v>
      </c>
      <c r="S100" s="77">
        <f t="shared" si="15"/>
        <v>0</v>
      </c>
      <c r="T100" s="48"/>
    </row>
    <row r="101" spans="1:20" s="57" customFormat="1" ht="14">
      <c r="A101" s="45"/>
      <c r="B101" s="46"/>
      <c r="C101" s="47">
        <f t="shared" si="8"/>
        <v>0</v>
      </c>
      <c r="D101" s="48"/>
      <c r="E101" s="48"/>
      <c r="F101" s="48"/>
      <c r="G101" s="48"/>
      <c r="H101" s="49"/>
      <c r="I101" s="76" t="str">
        <f t="shared" si="9"/>
        <v/>
      </c>
      <c r="J101" s="50"/>
      <c r="K101" s="50"/>
      <c r="L101" s="50"/>
      <c r="M101" s="48"/>
      <c r="N101" s="49" t="str">
        <f t="shared" si="10"/>
        <v/>
      </c>
      <c r="O101" s="49" t="str">
        <f t="shared" si="11"/>
        <v/>
      </c>
      <c r="P101" s="77" t="str">
        <f t="shared" si="12"/>
        <v/>
      </c>
      <c r="Q101" s="78">
        <f t="shared" si="13"/>
        <v>0</v>
      </c>
      <c r="R101" s="78">
        <f t="shared" si="14"/>
        <v>0</v>
      </c>
      <c r="S101" s="77">
        <f t="shared" si="15"/>
        <v>0</v>
      </c>
      <c r="T101" s="48"/>
    </row>
    <row r="102" spans="1:20" s="57" customFormat="1" ht="14">
      <c r="A102" s="45"/>
      <c r="B102" s="46"/>
      <c r="C102" s="47">
        <f t="shared" si="8"/>
        <v>0</v>
      </c>
      <c r="D102" s="48"/>
      <c r="E102" s="48"/>
      <c r="F102" s="48"/>
      <c r="G102" s="48"/>
      <c r="H102" s="49"/>
      <c r="I102" s="76" t="str">
        <f t="shared" si="9"/>
        <v/>
      </c>
      <c r="J102" s="50"/>
      <c r="K102" s="50"/>
      <c r="L102" s="50"/>
      <c r="M102" s="48"/>
      <c r="N102" s="49" t="str">
        <f t="shared" si="10"/>
        <v/>
      </c>
      <c r="O102" s="49" t="str">
        <f t="shared" si="11"/>
        <v/>
      </c>
      <c r="P102" s="77" t="str">
        <f t="shared" si="12"/>
        <v/>
      </c>
      <c r="Q102" s="78">
        <f t="shared" si="13"/>
        <v>0</v>
      </c>
      <c r="R102" s="78">
        <f t="shared" si="14"/>
        <v>0</v>
      </c>
      <c r="S102" s="77">
        <f t="shared" si="15"/>
        <v>0</v>
      </c>
      <c r="T102" s="48"/>
    </row>
    <row r="103" spans="1:20" s="57" customFormat="1" ht="14">
      <c r="A103" s="45"/>
      <c r="B103" s="46"/>
      <c r="C103" s="47">
        <f t="shared" si="8"/>
        <v>0</v>
      </c>
      <c r="D103" s="48"/>
      <c r="E103" s="48"/>
      <c r="F103" s="48"/>
      <c r="G103" s="48"/>
      <c r="H103" s="49"/>
      <c r="I103" s="76" t="str">
        <f t="shared" si="9"/>
        <v/>
      </c>
      <c r="J103" s="50"/>
      <c r="K103" s="50"/>
      <c r="L103" s="50"/>
      <c r="M103" s="48"/>
      <c r="N103" s="49" t="str">
        <f t="shared" si="10"/>
        <v/>
      </c>
      <c r="O103" s="49" t="str">
        <f t="shared" si="11"/>
        <v/>
      </c>
      <c r="P103" s="77" t="str">
        <f t="shared" si="12"/>
        <v/>
      </c>
      <c r="Q103" s="78">
        <f t="shared" si="13"/>
        <v>0</v>
      </c>
      <c r="R103" s="78">
        <f t="shared" si="14"/>
        <v>0</v>
      </c>
      <c r="S103" s="77">
        <f t="shared" si="15"/>
        <v>0</v>
      </c>
      <c r="T103" s="48"/>
    </row>
    <row r="104" spans="1:20" s="57" customFormat="1" ht="14">
      <c r="A104" s="45"/>
      <c r="B104" s="46"/>
      <c r="C104" s="47">
        <f t="shared" si="8"/>
        <v>0</v>
      </c>
      <c r="D104" s="48"/>
      <c r="E104" s="48"/>
      <c r="F104" s="48"/>
      <c r="G104" s="48"/>
      <c r="H104" s="49"/>
      <c r="I104" s="76" t="str">
        <f t="shared" si="9"/>
        <v/>
      </c>
      <c r="J104" s="50"/>
      <c r="K104" s="50"/>
      <c r="L104" s="50"/>
      <c r="M104" s="48"/>
      <c r="N104" s="49" t="str">
        <f t="shared" si="10"/>
        <v/>
      </c>
      <c r="O104" s="49" t="str">
        <f t="shared" si="11"/>
        <v/>
      </c>
      <c r="P104" s="77" t="str">
        <f t="shared" si="12"/>
        <v/>
      </c>
      <c r="Q104" s="78">
        <f t="shared" si="13"/>
        <v>0</v>
      </c>
      <c r="R104" s="78">
        <f t="shared" si="14"/>
        <v>0</v>
      </c>
      <c r="S104" s="77">
        <f t="shared" si="15"/>
        <v>0</v>
      </c>
      <c r="T104" s="48"/>
    </row>
    <row r="105" spans="1:20" s="57" customFormat="1" ht="14">
      <c r="A105" s="45"/>
      <c r="B105" s="46"/>
      <c r="C105" s="47">
        <f t="shared" si="8"/>
        <v>0</v>
      </c>
      <c r="D105" s="48"/>
      <c r="E105" s="48"/>
      <c r="F105" s="48"/>
      <c r="G105" s="48"/>
      <c r="H105" s="49"/>
      <c r="I105" s="76" t="str">
        <f t="shared" si="9"/>
        <v/>
      </c>
      <c r="J105" s="50"/>
      <c r="K105" s="50"/>
      <c r="L105" s="50"/>
      <c r="M105" s="48"/>
      <c r="N105" s="49" t="str">
        <f t="shared" si="10"/>
        <v/>
      </c>
      <c r="O105" s="49" t="str">
        <f t="shared" si="11"/>
        <v/>
      </c>
      <c r="P105" s="77" t="str">
        <f t="shared" si="12"/>
        <v/>
      </c>
      <c r="Q105" s="78">
        <f t="shared" si="13"/>
        <v>0</v>
      </c>
      <c r="R105" s="78">
        <f t="shared" si="14"/>
        <v>0</v>
      </c>
      <c r="S105" s="77">
        <f t="shared" si="15"/>
        <v>0</v>
      </c>
      <c r="T105" s="48"/>
    </row>
    <row r="106" spans="1:20" s="57" customFormat="1" ht="14">
      <c r="A106" s="45"/>
      <c r="B106" s="46"/>
      <c r="C106" s="47">
        <f t="shared" si="8"/>
        <v>0</v>
      </c>
      <c r="D106" s="48"/>
      <c r="E106" s="48"/>
      <c r="F106" s="48"/>
      <c r="G106" s="48"/>
      <c r="H106" s="49"/>
      <c r="I106" s="76" t="str">
        <f t="shared" si="9"/>
        <v/>
      </c>
      <c r="J106" s="50"/>
      <c r="K106" s="50"/>
      <c r="L106" s="50"/>
      <c r="M106" s="48"/>
      <c r="N106" s="49" t="str">
        <f t="shared" si="10"/>
        <v/>
      </c>
      <c r="O106" s="49" t="str">
        <f t="shared" si="11"/>
        <v/>
      </c>
      <c r="P106" s="77" t="str">
        <f t="shared" si="12"/>
        <v/>
      </c>
      <c r="Q106" s="78">
        <f t="shared" si="13"/>
        <v>0</v>
      </c>
      <c r="R106" s="78">
        <f t="shared" si="14"/>
        <v>0</v>
      </c>
      <c r="S106" s="77">
        <f t="shared" si="15"/>
        <v>0</v>
      </c>
      <c r="T106" s="48"/>
    </row>
    <row r="107" spans="1:20" s="57" customFormat="1" ht="14">
      <c r="A107" s="45"/>
      <c r="B107" s="46"/>
      <c r="C107" s="47">
        <f t="shared" si="8"/>
        <v>0</v>
      </c>
      <c r="D107" s="48"/>
      <c r="E107" s="48"/>
      <c r="F107" s="48"/>
      <c r="G107" s="48"/>
      <c r="H107" s="49"/>
      <c r="I107" s="76" t="str">
        <f t="shared" si="9"/>
        <v/>
      </c>
      <c r="J107" s="50"/>
      <c r="K107" s="50"/>
      <c r="L107" s="50"/>
      <c r="M107" s="48"/>
      <c r="N107" s="49" t="str">
        <f t="shared" si="10"/>
        <v/>
      </c>
      <c r="O107" s="49" t="str">
        <f t="shared" si="11"/>
        <v/>
      </c>
      <c r="P107" s="77" t="str">
        <f t="shared" si="12"/>
        <v/>
      </c>
      <c r="Q107" s="78">
        <f t="shared" si="13"/>
        <v>0</v>
      </c>
      <c r="R107" s="78">
        <f t="shared" si="14"/>
        <v>0</v>
      </c>
      <c r="S107" s="77">
        <f t="shared" si="15"/>
        <v>0</v>
      </c>
      <c r="T107" s="48"/>
    </row>
    <row r="108" spans="1:20" s="57" customFormat="1" ht="14">
      <c r="A108" s="45"/>
      <c r="B108" s="46"/>
      <c r="C108" s="47">
        <f t="shared" si="8"/>
        <v>0</v>
      </c>
      <c r="D108" s="48"/>
      <c r="E108" s="48"/>
      <c r="F108" s="48"/>
      <c r="G108" s="48"/>
      <c r="H108" s="49"/>
      <c r="I108" s="76" t="str">
        <f t="shared" si="9"/>
        <v/>
      </c>
      <c r="J108" s="50"/>
      <c r="K108" s="50"/>
      <c r="L108" s="50"/>
      <c r="M108" s="48"/>
      <c r="N108" s="49" t="str">
        <f t="shared" si="10"/>
        <v/>
      </c>
      <c r="O108" s="49" t="str">
        <f t="shared" si="11"/>
        <v/>
      </c>
      <c r="P108" s="77" t="str">
        <f t="shared" si="12"/>
        <v/>
      </c>
      <c r="Q108" s="78">
        <f t="shared" si="13"/>
        <v>0</v>
      </c>
      <c r="R108" s="78">
        <f t="shared" si="14"/>
        <v>0</v>
      </c>
      <c r="S108" s="77">
        <f t="shared" si="15"/>
        <v>0</v>
      </c>
      <c r="T108" s="48"/>
    </row>
    <row r="109" spans="1:20" s="57" customFormat="1" ht="14">
      <c r="A109" s="45"/>
      <c r="B109" s="46"/>
      <c r="C109" s="47">
        <f t="shared" si="8"/>
        <v>0</v>
      </c>
      <c r="D109" s="48"/>
      <c r="E109" s="48"/>
      <c r="F109" s="48"/>
      <c r="G109" s="48"/>
      <c r="H109" s="49"/>
      <c r="I109" s="76" t="str">
        <f t="shared" si="9"/>
        <v/>
      </c>
      <c r="J109" s="50"/>
      <c r="K109" s="50"/>
      <c r="L109" s="50"/>
      <c r="M109" s="48"/>
      <c r="N109" s="49" t="str">
        <f t="shared" si="10"/>
        <v/>
      </c>
      <c r="O109" s="49" t="str">
        <f t="shared" si="11"/>
        <v/>
      </c>
      <c r="P109" s="77" t="str">
        <f t="shared" si="12"/>
        <v/>
      </c>
      <c r="Q109" s="78">
        <f t="shared" si="13"/>
        <v>0</v>
      </c>
      <c r="R109" s="78">
        <f t="shared" si="14"/>
        <v>0</v>
      </c>
      <c r="S109" s="77">
        <f t="shared" si="15"/>
        <v>0</v>
      </c>
      <c r="T109" s="48"/>
    </row>
    <row r="110" spans="1:20" s="57" customFormat="1" ht="14">
      <c r="A110" s="45"/>
      <c r="B110" s="46"/>
      <c r="C110" s="47">
        <f t="shared" si="8"/>
        <v>0</v>
      </c>
      <c r="D110" s="48"/>
      <c r="E110" s="48"/>
      <c r="F110" s="48"/>
      <c r="G110" s="48"/>
      <c r="H110" s="49"/>
      <c r="I110" s="76" t="str">
        <f t="shared" si="9"/>
        <v/>
      </c>
      <c r="J110" s="50"/>
      <c r="K110" s="50"/>
      <c r="L110" s="50"/>
      <c r="M110" s="48"/>
      <c r="N110" s="49" t="str">
        <f t="shared" si="10"/>
        <v/>
      </c>
      <c r="O110" s="49" t="str">
        <f t="shared" si="11"/>
        <v/>
      </c>
      <c r="P110" s="77" t="str">
        <f t="shared" si="12"/>
        <v/>
      </c>
      <c r="Q110" s="78">
        <f t="shared" si="13"/>
        <v>0</v>
      </c>
      <c r="R110" s="78">
        <f t="shared" si="14"/>
        <v>0</v>
      </c>
      <c r="S110" s="77">
        <f t="shared" si="15"/>
        <v>0</v>
      </c>
      <c r="T110" s="48"/>
    </row>
    <row r="111" spans="1:20" s="57" customFormat="1" ht="14">
      <c r="A111" s="45"/>
      <c r="B111" s="46"/>
      <c r="C111" s="47">
        <f t="shared" si="8"/>
        <v>0</v>
      </c>
      <c r="D111" s="48"/>
      <c r="E111" s="48"/>
      <c r="F111" s="48"/>
      <c r="G111" s="48"/>
      <c r="H111" s="49"/>
      <c r="I111" s="76" t="str">
        <f t="shared" si="9"/>
        <v/>
      </c>
      <c r="J111" s="50"/>
      <c r="K111" s="50"/>
      <c r="L111" s="50"/>
      <c r="M111" s="48"/>
      <c r="N111" s="49" t="str">
        <f t="shared" si="10"/>
        <v/>
      </c>
      <c r="O111" s="49" t="str">
        <f t="shared" si="11"/>
        <v/>
      </c>
      <c r="P111" s="77" t="str">
        <f t="shared" si="12"/>
        <v/>
      </c>
      <c r="Q111" s="78">
        <f t="shared" si="13"/>
        <v>0</v>
      </c>
      <c r="R111" s="78">
        <f t="shared" si="14"/>
        <v>0</v>
      </c>
      <c r="S111" s="77">
        <f t="shared" si="15"/>
        <v>0</v>
      </c>
      <c r="T111" s="48"/>
    </row>
    <row r="112" spans="1:20" s="57" customFormat="1" ht="14">
      <c r="A112" s="45"/>
      <c r="B112" s="46"/>
      <c r="C112" s="47">
        <f t="shared" si="8"/>
        <v>0</v>
      </c>
      <c r="D112" s="48"/>
      <c r="E112" s="48"/>
      <c r="F112" s="48"/>
      <c r="G112" s="48"/>
      <c r="H112" s="49"/>
      <c r="I112" s="76" t="str">
        <f t="shared" si="9"/>
        <v/>
      </c>
      <c r="J112" s="50"/>
      <c r="K112" s="50"/>
      <c r="L112" s="50"/>
      <c r="M112" s="48"/>
      <c r="N112" s="49" t="str">
        <f t="shared" si="10"/>
        <v/>
      </c>
      <c r="O112" s="49" t="str">
        <f t="shared" si="11"/>
        <v/>
      </c>
      <c r="P112" s="77" t="str">
        <f t="shared" si="12"/>
        <v/>
      </c>
      <c r="Q112" s="78">
        <f t="shared" si="13"/>
        <v>0</v>
      </c>
      <c r="R112" s="78">
        <f t="shared" si="14"/>
        <v>0</v>
      </c>
      <c r="S112" s="77">
        <f t="shared" si="15"/>
        <v>0</v>
      </c>
      <c r="T112" s="48"/>
    </row>
    <row r="113" spans="1:20" s="57" customFormat="1" ht="14">
      <c r="A113" s="45"/>
      <c r="B113" s="46"/>
      <c r="C113" s="47">
        <f t="shared" si="8"/>
        <v>0</v>
      </c>
      <c r="D113" s="48"/>
      <c r="E113" s="48"/>
      <c r="F113" s="48"/>
      <c r="G113" s="48"/>
      <c r="H113" s="49"/>
      <c r="I113" s="76" t="str">
        <f t="shared" si="9"/>
        <v/>
      </c>
      <c r="J113" s="50"/>
      <c r="K113" s="50"/>
      <c r="L113" s="50"/>
      <c r="M113" s="48"/>
      <c r="N113" s="49" t="str">
        <f t="shared" si="10"/>
        <v/>
      </c>
      <c r="O113" s="49" t="str">
        <f t="shared" si="11"/>
        <v/>
      </c>
      <c r="P113" s="77" t="str">
        <f t="shared" si="12"/>
        <v/>
      </c>
      <c r="Q113" s="78">
        <f t="shared" si="13"/>
        <v>0</v>
      </c>
      <c r="R113" s="78">
        <f t="shared" si="14"/>
        <v>0</v>
      </c>
      <c r="S113" s="77">
        <f t="shared" si="15"/>
        <v>0</v>
      </c>
      <c r="T113" s="48"/>
    </row>
    <row r="114" spans="1:20" s="57" customFormat="1" ht="14">
      <c r="A114" s="45"/>
      <c r="B114" s="46"/>
      <c r="C114" s="47">
        <f t="shared" si="8"/>
        <v>0</v>
      </c>
      <c r="D114" s="48"/>
      <c r="E114" s="48"/>
      <c r="F114" s="48"/>
      <c r="G114" s="48"/>
      <c r="H114" s="49"/>
      <c r="I114" s="76" t="str">
        <f t="shared" si="9"/>
        <v/>
      </c>
      <c r="J114" s="50"/>
      <c r="K114" s="50"/>
      <c r="L114" s="50"/>
      <c r="M114" s="48"/>
      <c r="N114" s="49" t="str">
        <f t="shared" si="10"/>
        <v/>
      </c>
      <c r="O114" s="49" t="str">
        <f t="shared" si="11"/>
        <v/>
      </c>
      <c r="P114" s="77" t="str">
        <f t="shared" si="12"/>
        <v/>
      </c>
      <c r="Q114" s="78">
        <f t="shared" si="13"/>
        <v>0</v>
      </c>
      <c r="R114" s="78">
        <f t="shared" si="14"/>
        <v>0</v>
      </c>
      <c r="S114" s="77">
        <f t="shared" si="15"/>
        <v>0</v>
      </c>
      <c r="T114" s="48"/>
    </row>
    <row r="115" spans="1:20" s="57" customFormat="1" ht="14">
      <c r="A115" s="45"/>
      <c r="B115" s="46"/>
      <c r="C115" s="47">
        <f t="shared" si="8"/>
        <v>0</v>
      </c>
      <c r="D115" s="48"/>
      <c r="E115" s="48"/>
      <c r="F115" s="48"/>
      <c r="G115" s="48"/>
      <c r="H115" s="49"/>
      <c r="I115" s="76" t="str">
        <f t="shared" si="9"/>
        <v/>
      </c>
      <c r="J115" s="50"/>
      <c r="K115" s="50"/>
      <c r="L115" s="50"/>
      <c r="M115" s="48"/>
      <c r="N115" s="49" t="str">
        <f t="shared" si="10"/>
        <v/>
      </c>
      <c r="O115" s="49" t="str">
        <f t="shared" si="11"/>
        <v/>
      </c>
      <c r="P115" s="77" t="str">
        <f t="shared" si="12"/>
        <v/>
      </c>
      <c r="Q115" s="78">
        <f t="shared" si="13"/>
        <v>0</v>
      </c>
      <c r="R115" s="78">
        <f t="shared" si="14"/>
        <v>0</v>
      </c>
      <c r="S115" s="77">
        <f t="shared" si="15"/>
        <v>0</v>
      </c>
      <c r="T115" s="48"/>
    </row>
    <row r="116" spans="1:20" s="57" customFormat="1" ht="14">
      <c r="A116" s="45"/>
      <c r="B116" s="46"/>
      <c r="C116" s="47">
        <f t="shared" si="8"/>
        <v>0</v>
      </c>
      <c r="D116" s="48"/>
      <c r="E116" s="48"/>
      <c r="F116" s="48"/>
      <c r="G116" s="48"/>
      <c r="H116" s="49"/>
      <c r="I116" s="76" t="str">
        <f t="shared" si="9"/>
        <v/>
      </c>
      <c r="J116" s="50"/>
      <c r="K116" s="50"/>
      <c r="L116" s="50"/>
      <c r="M116" s="48"/>
      <c r="N116" s="49" t="str">
        <f t="shared" si="10"/>
        <v/>
      </c>
      <c r="O116" s="49" t="str">
        <f t="shared" si="11"/>
        <v/>
      </c>
      <c r="P116" s="77" t="str">
        <f t="shared" si="12"/>
        <v/>
      </c>
      <c r="Q116" s="78">
        <f t="shared" si="13"/>
        <v>0</v>
      </c>
      <c r="R116" s="78">
        <f t="shared" si="14"/>
        <v>0</v>
      </c>
      <c r="S116" s="77">
        <f t="shared" si="15"/>
        <v>0</v>
      </c>
      <c r="T116" s="48"/>
    </row>
    <row r="117" spans="1:20" s="57" customFormat="1" ht="14">
      <c r="A117" s="45"/>
      <c r="B117" s="46"/>
      <c r="C117" s="47">
        <f t="shared" si="8"/>
        <v>0</v>
      </c>
      <c r="D117" s="48"/>
      <c r="E117" s="48"/>
      <c r="F117" s="48"/>
      <c r="G117" s="48"/>
      <c r="H117" s="49"/>
      <c r="I117" s="76" t="str">
        <f t="shared" si="9"/>
        <v/>
      </c>
      <c r="J117" s="50"/>
      <c r="K117" s="50"/>
      <c r="L117" s="50"/>
      <c r="M117" s="48"/>
      <c r="N117" s="49" t="str">
        <f t="shared" si="10"/>
        <v/>
      </c>
      <c r="O117" s="49" t="str">
        <f t="shared" si="11"/>
        <v/>
      </c>
      <c r="P117" s="77" t="str">
        <f t="shared" si="12"/>
        <v/>
      </c>
      <c r="Q117" s="78">
        <f t="shared" si="13"/>
        <v>0</v>
      </c>
      <c r="R117" s="78">
        <f t="shared" si="14"/>
        <v>0</v>
      </c>
      <c r="S117" s="77">
        <f t="shared" si="15"/>
        <v>0</v>
      </c>
      <c r="T117" s="48"/>
    </row>
    <row r="118" spans="1:20" s="57" customFormat="1" ht="14">
      <c r="A118" s="45"/>
      <c r="B118" s="46"/>
      <c r="C118" s="47">
        <f t="shared" si="8"/>
        <v>0</v>
      </c>
      <c r="D118" s="48"/>
      <c r="E118" s="48"/>
      <c r="F118" s="48"/>
      <c r="G118" s="48"/>
      <c r="H118" s="49"/>
      <c r="I118" s="76" t="str">
        <f t="shared" si="9"/>
        <v/>
      </c>
      <c r="J118" s="50"/>
      <c r="K118" s="50"/>
      <c r="L118" s="50"/>
      <c r="M118" s="48"/>
      <c r="N118" s="49" t="str">
        <f t="shared" si="10"/>
        <v/>
      </c>
      <c r="O118" s="49" t="str">
        <f t="shared" si="11"/>
        <v/>
      </c>
      <c r="P118" s="77" t="str">
        <f t="shared" si="12"/>
        <v/>
      </c>
      <c r="Q118" s="78">
        <f t="shared" si="13"/>
        <v>0</v>
      </c>
      <c r="R118" s="78">
        <f t="shared" si="14"/>
        <v>0</v>
      </c>
      <c r="S118" s="77">
        <f t="shared" si="15"/>
        <v>0</v>
      </c>
      <c r="T118" s="48"/>
    </row>
    <row r="119" spans="1:20" s="57" customFormat="1" ht="14">
      <c r="A119" s="45"/>
      <c r="B119" s="46"/>
      <c r="C119" s="47">
        <f t="shared" si="8"/>
        <v>0</v>
      </c>
      <c r="D119" s="48"/>
      <c r="E119" s="48"/>
      <c r="F119" s="48"/>
      <c r="G119" s="48"/>
      <c r="H119" s="49"/>
      <c r="I119" s="76" t="str">
        <f t="shared" si="9"/>
        <v/>
      </c>
      <c r="J119" s="50"/>
      <c r="K119" s="50"/>
      <c r="L119" s="50"/>
      <c r="M119" s="48"/>
      <c r="N119" s="49" t="str">
        <f t="shared" si="10"/>
        <v/>
      </c>
      <c r="O119" s="49" t="str">
        <f t="shared" si="11"/>
        <v/>
      </c>
      <c r="P119" s="77" t="str">
        <f t="shared" si="12"/>
        <v/>
      </c>
      <c r="Q119" s="78">
        <f t="shared" si="13"/>
        <v>0</v>
      </c>
      <c r="R119" s="78">
        <f t="shared" si="14"/>
        <v>0</v>
      </c>
      <c r="S119" s="77">
        <f t="shared" si="15"/>
        <v>0</v>
      </c>
      <c r="T119" s="48"/>
    </row>
    <row r="120" spans="1:20" s="57" customFormat="1" ht="14">
      <c r="A120" s="45"/>
      <c r="B120" s="46"/>
      <c r="C120" s="47">
        <f t="shared" si="8"/>
        <v>0</v>
      </c>
      <c r="D120" s="48"/>
      <c r="E120" s="48"/>
      <c r="F120" s="48"/>
      <c r="G120" s="48"/>
      <c r="H120" s="49"/>
      <c r="I120" s="76" t="str">
        <f t="shared" si="9"/>
        <v/>
      </c>
      <c r="J120" s="50"/>
      <c r="K120" s="50"/>
      <c r="L120" s="50"/>
      <c r="M120" s="48"/>
      <c r="N120" s="49" t="str">
        <f t="shared" si="10"/>
        <v/>
      </c>
      <c r="O120" s="49" t="str">
        <f t="shared" si="11"/>
        <v/>
      </c>
      <c r="P120" s="77" t="str">
        <f t="shared" si="12"/>
        <v/>
      </c>
      <c r="Q120" s="78">
        <f t="shared" si="13"/>
        <v>0</v>
      </c>
      <c r="R120" s="78">
        <f t="shared" si="14"/>
        <v>0</v>
      </c>
      <c r="S120" s="77">
        <f t="shared" si="15"/>
        <v>0</v>
      </c>
      <c r="T120" s="48"/>
    </row>
    <row r="121" spans="1:20" s="57" customFormat="1" ht="14">
      <c r="A121" s="45"/>
      <c r="B121" s="46"/>
      <c r="C121" s="47">
        <f t="shared" si="8"/>
        <v>0</v>
      </c>
      <c r="D121" s="48"/>
      <c r="E121" s="48"/>
      <c r="F121" s="48"/>
      <c r="G121" s="48"/>
      <c r="H121" s="49"/>
      <c r="I121" s="76" t="str">
        <f t="shared" si="9"/>
        <v/>
      </c>
      <c r="J121" s="50"/>
      <c r="K121" s="50"/>
      <c r="L121" s="50"/>
      <c r="M121" s="48"/>
      <c r="N121" s="49" t="str">
        <f t="shared" si="10"/>
        <v/>
      </c>
      <c r="O121" s="49" t="str">
        <f t="shared" si="11"/>
        <v/>
      </c>
      <c r="P121" s="77" t="str">
        <f t="shared" si="12"/>
        <v/>
      </c>
      <c r="Q121" s="78">
        <f t="shared" si="13"/>
        <v>0</v>
      </c>
      <c r="R121" s="78">
        <f t="shared" si="14"/>
        <v>0</v>
      </c>
      <c r="S121" s="77">
        <f t="shared" si="15"/>
        <v>0</v>
      </c>
      <c r="T121" s="48"/>
    </row>
    <row r="122" spans="1:20" s="57" customFormat="1" ht="14">
      <c r="A122" s="45"/>
      <c r="B122" s="46"/>
      <c r="C122" s="47">
        <f t="shared" si="8"/>
        <v>0</v>
      </c>
      <c r="D122" s="48"/>
      <c r="E122" s="48"/>
      <c r="F122" s="48"/>
      <c r="G122" s="48"/>
      <c r="H122" s="49"/>
      <c r="I122" s="76" t="str">
        <f t="shared" si="9"/>
        <v/>
      </c>
      <c r="J122" s="50"/>
      <c r="K122" s="50"/>
      <c r="L122" s="50"/>
      <c r="M122" s="48"/>
      <c r="N122" s="49" t="str">
        <f t="shared" si="10"/>
        <v/>
      </c>
      <c r="O122" s="49" t="str">
        <f t="shared" si="11"/>
        <v/>
      </c>
      <c r="P122" s="77" t="str">
        <f t="shared" si="12"/>
        <v/>
      </c>
      <c r="Q122" s="78">
        <f t="shared" si="13"/>
        <v>0</v>
      </c>
      <c r="R122" s="78">
        <f t="shared" si="14"/>
        <v>0</v>
      </c>
      <c r="S122" s="77">
        <f t="shared" si="15"/>
        <v>0</v>
      </c>
      <c r="T122" s="48"/>
    </row>
    <row r="123" spans="1:20" s="57" customFormat="1" ht="14">
      <c r="A123" s="45"/>
      <c r="B123" s="46"/>
      <c r="C123" s="47">
        <f t="shared" si="8"/>
        <v>0</v>
      </c>
      <c r="D123" s="48"/>
      <c r="E123" s="48"/>
      <c r="F123" s="48"/>
      <c r="G123" s="48"/>
      <c r="H123" s="49"/>
      <c r="I123" s="76" t="str">
        <f t="shared" si="9"/>
        <v/>
      </c>
      <c r="J123" s="50"/>
      <c r="K123" s="50"/>
      <c r="L123" s="50"/>
      <c r="M123" s="48"/>
      <c r="N123" s="49" t="str">
        <f t="shared" si="10"/>
        <v/>
      </c>
      <c r="O123" s="49" t="str">
        <f t="shared" si="11"/>
        <v/>
      </c>
      <c r="P123" s="77" t="str">
        <f t="shared" si="12"/>
        <v/>
      </c>
      <c r="Q123" s="78">
        <f t="shared" si="13"/>
        <v>0</v>
      </c>
      <c r="R123" s="78">
        <f t="shared" si="14"/>
        <v>0</v>
      </c>
      <c r="S123" s="77">
        <f t="shared" si="15"/>
        <v>0</v>
      </c>
      <c r="T123" s="48"/>
    </row>
    <row r="124" spans="1:20" s="57" customFormat="1" ht="14">
      <c r="A124" s="45"/>
      <c r="B124" s="46"/>
      <c r="C124" s="47">
        <f t="shared" si="8"/>
        <v>0</v>
      </c>
      <c r="D124" s="48"/>
      <c r="E124" s="48"/>
      <c r="F124" s="48"/>
      <c r="G124" s="48"/>
      <c r="H124" s="49"/>
      <c r="I124" s="76" t="str">
        <f t="shared" si="9"/>
        <v/>
      </c>
      <c r="J124" s="50"/>
      <c r="K124" s="50"/>
      <c r="L124" s="50"/>
      <c r="M124" s="48"/>
      <c r="N124" s="49" t="str">
        <f t="shared" si="10"/>
        <v/>
      </c>
      <c r="O124" s="49" t="str">
        <f t="shared" si="11"/>
        <v/>
      </c>
      <c r="P124" s="77" t="str">
        <f t="shared" si="12"/>
        <v/>
      </c>
      <c r="Q124" s="78">
        <f t="shared" si="13"/>
        <v>0</v>
      </c>
      <c r="R124" s="78">
        <f t="shared" si="14"/>
        <v>0</v>
      </c>
      <c r="S124" s="77">
        <f t="shared" si="15"/>
        <v>0</v>
      </c>
      <c r="T124" s="48"/>
    </row>
    <row r="125" spans="1:20" s="57" customFormat="1" ht="14">
      <c r="A125" s="45"/>
      <c r="B125" s="46"/>
      <c r="C125" s="47">
        <f t="shared" si="8"/>
        <v>0</v>
      </c>
      <c r="D125" s="48"/>
      <c r="E125" s="48"/>
      <c r="F125" s="48"/>
      <c r="G125" s="48"/>
      <c r="H125" s="49"/>
      <c r="I125" s="76" t="str">
        <f t="shared" si="9"/>
        <v/>
      </c>
      <c r="J125" s="50"/>
      <c r="K125" s="50"/>
      <c r="L125" s="50"/>
      <c r="M125" s="48"/>
      <c r="N125" s="49" t="str">
        <f t="shared" si="10"/>
        <v/>
      </c>
      <c r="O125" s="49" t="str">
        <f t="shared" si="11"/>
        <v/>
      </c>
      <c r="P125" s="77" t="str">
        <f t="shared" si="12"/>
        <v/>
      </c>
      <c r="Q125" s="78">
        <f t="shared" si="13"/>
        <v>0</v>
      </c>
      <c r="R125" s="78">
        <f t="shared" si="14"/>
        <v>0</v>
      </c>
      <c r="S125" s="77">
        <f t="shared" si="15"/>
        <v>0</v>
      </c>
      <c r="T125" s="48"/>
    </row>
    <row r="126" spans="1:20" s="57" customFormat="1" ht="14">
      <c r="A126" s="45"/>
      <c r="B126" s="46"/>
      <c r="C126" s="47">
        <f t="shared" si="8"/>
        <v>0</v>
      </c>
      <c r="D126" s="48"/>
      <c r="E126" s="48"/>
      <c r="F126" s="48"/>
      <c r="G126" s="48"/>
      <c r="H126" s="49"/>
      <c r="I126" s="76" t="str">
        <f t="shared" si="9"/>
        <v/>
      </c>
      <c r="J126" s="50"/>
      <c r="K126" s="50"/>
      <c r="L126" s="50"/>
      <c r="M126" s="48"/>
      <c r="N126" s="49" t="str">
        <f t="shared" si="10"/>
        <v/>
      </c>
      <c r="O126" s="49" t="str">
        <f t="shared" si="11"/>
        <v/>
      </c>
      <c r="P126" s="77" t="str">
        <f t="shared" si="12"/>
        <v/>
      </c>
      <c r="Q126" s="78">
        <f t="shared" si="13"/>
        <v>0</v>
      </c>
      <c r="R126" s="78">
        <f t="shared" si="14"/>
        <v>0</v>
      </c>
      <c r="S126" s="77">
        <f t="shared" si="15"/>
        <v>0</v>
      </c>
      <c r="T126" s="48"/>
    </row>
    <row r="127" spans="1:20" s="57" customFormat="1" ht="14">
      <c r="A127" s="45"/>
      <c r="B127" s="46"/>
      <c r="C127" s="47">
        <f t="shared" si="8"/>
        <v>0</v>
      </c>
      <c r="D127" s="48"/>
      <c r="E127" s="48"/>
      <c r="F127" s="48"/>
      <c r="G127" s="48"/>
      <c r="H127" s="49"/>
      <c r="I127" s="76" t="str">
        <f t="shared" si="9"/>
        <v/>
      </c>
      <c r="J127" s="50"/>
      <c r="K127" s="50"/>
      <c r="L127" s="50"/>
      <c r="M127" s="48"/>
      <c r="N127" s="49" t="str">
        <f t="shared" si="10"/>
        <v/>
      </c>
      <c r="O127" s="49" t="str">
        <f t="shared" si="11"/>
        <v/>
      </c>
      <c r="P127" s="77" t="str">
        <f t="shared" si="12"/>
        <v/>
      </c>
      <c r="Q127" s="78">
        <f t="shared" si="13"/>
        <v>0</v>
      </c>
      <c r="R127" s="78">
        <f t="shared" si="14"/>
        <v>0</v>
      </c>
      <c r="S127" s="77">
        <f t="shared" si="15"/>
        <v>0</v>
      </c>
      <c r="T127" s="48"/>
    </row>
    <row r="128" spans="1:20" s="57" customFormat="1" ht="14">
      <c r="A128" s="45"/>
      <c r="B128" s="46"/>
      <c r="C128" s="47">
        <f t="shared" si="8"/>
        <v>0</v>
      </c>
      <c r="D128" s="48"/>
      <c r="E128" s="48"/>
      <c r="F128" s="48"/>
      <c r="G128" s="48"/>
      <c r="H128" s="49"/>
      <c r="I128" s="76" t="str">
        <f t="shared" si="9"/>
        <v/>
      </c>
      <c r="J128" s="50"/>
      <c r="K128" s="50"/>
      <c r="L128" s="50"/>
      <c r="M128" s="48"/>
      <c r="N128" s="49" t="str">
        <f t="shared" si="10"/>
        <v/>
      </c>
      <c r="O128" s="49" t="str">
        <f t="shared" si="11"/>
        <v/>
      </c>
      <c r="P128" s="77" t="str">
        <f t="shared" si="12"/>
        <v/>
      </c>
      <c r="Q128" s="78">
        <f t="shared" si="13"/>
        <v>0</v>
      </c>
      <c r="R128" s="78">
        <f t="shared" si="14"/>
        <v>0</v>
      </c>
      <c r="S128" s="77">
        <f t="shared" si="15"/>
        <v>0</v>
      </c>
      <c r="T128" s="48"/>
    </row>
    <row r="129" spans="1:20" s="57" customFormat="1" ht="14">
      <c r="A129" s="45"/>
      <c r="B129" s="46"/>
      <c r="C129" s="47">
        <f t="shared" si="8"/>
        <v>0</v>
      </c>
      <c r="D129" s="48"/>
      <c r="E129" s="48"/>
      <c r="F129" s="48"/>
      <c r="G129" s="48"/>
      <c r="H129" s="49"/>
      <c r="I129" s="76" t="str">
        <f t="shared" si="9"/>
        <v/>
      </c>
      <c r="J129" s="50"/>
      <c r="K129" s="50"/>
      <c r="L129" s="50"/>
      <c r="M129" s="48"/>
      <c r="N129" s="49" t="str">
        <f t="shared" si="10"/>
        <v/>
      </c>
      <c r="O129" s="49" t="str">
        <f t="shared" si="11"/>
        <v/>
      </c>
      <c r="P129" s="77" t="str">
        <f t="shared" si="12"/>
        <v/>
      </c>
      <c r="Q129" s="78">
        <f t="shared" si="13"/>
        <v>0</v>
      </c>
      <c r="R129" s="78">
        <f t="shared" si="14"/>
        <v>0</v>
      </c>
      <c r="S129" s="77">
        <f t="shared" si="15"/>
        <v>0</v>
      </c>
      <c r="T129" s="48"/>
    </row>
    <row r="130" spans="1:20" s="57" customFormat="1" ht="14">
      <c r="A130" s="45"/>
      <c r="B130" s="46"/>
      <c r="C130" s="47">
        <f t="shared" si="8"/>
        <v>0</v>
      </c>
      <c r="D130" s="48"/>
      <c r="E130" s="48"/>
      <c r="F130" s="48"/>
      <c r="G130" s="48"/>
      <c r="H130" s="49"/>
      <c r="I130" s="76" t="str">
        <f t="shared" si="9"/>
        <v/>
      </c>
      <c r="J130" s="50"/>
      <c r="K130" s="50"/>
      <c r="L130" s="50"/>
      <c r="M130" s="48"/>
      <c r="N130" s="49" t="str">
        <f t="shared" si="10"/>
        <v/>
      </c>
      <c r="O130" s="49" t="str">
        <f t="shared" si="11"/>
        <v/>
      </c>
      <c r="P130" s="77" t="str">
        <f t="shared" si="12"/>
        <v/>
      </c>
      <c r="Q130" s="78">
        <f t="shared" si="13"/>
        <v>0</v>
      </c>
      <c r="R130" s="78">
        <f t="shared" si="14"/>
        <v>0</v>
      </c>
      <c r="S130" s="77">
        <f t="shared" si="15"/>
        <v>0</v>
      </c>
      <c r="T130" s="48"/>
    </row>
    <row r="131" spans="1:20" s="57" customFormat="1" ht="14">
      <c r="A131" s="45"/>
      <c r="B131" s="46"/>
      <c r="C131" s="47">
        <f t="shared" si="8"/>
        <v>0</v>
      </c>
      <c r="D131" s="48"/>
      <c r="E131" s="48"/>
      <c r="F131" s="48"/>
      <c r="G131" s="48"/>
      <c r="H131" s="49"/>
      <c r="I131" s="76" t="str">
        <f t="shared" si="9"/>
        <v/>
      </c>
      <c r="J131" s="50"/>
      <c r="K131" s="50"/>
      <c r="L131" s="50"/>
      <c r="M131" s="48"/>
      <c r="N131" s="49" t="str">
        <f t="shared" si="10"/>
        <v/>
      </c>
      <c r="O131" s="49" t="str">
        <f t="shared" si="11"/>
        <v/>
      </c>
      <c r="P131" s="77" t="str">
        <f t="shared" si="12"/>
        <v/>
      </c>
      <c r="Q131" s="78">
        <f t="shared" si="13"/>
        <v>0</v>
      </c>
      <c r="R131" s="78">
        <f t="shared" si="14"/>
        <v>0</v>
      </c>
      <c r="S131" s="77">
        <f t="shared" si="15"/>
        <v>0</v>
      </c>
      <c r="T131" s="48"/>
    </row>
    <row r="132" spans="1:20" s="57" customFormat="1" ht="14">
      <c r="A132" s="45"/>
      <c r="B132" s="46"/>
      <c r="C132" s="47">
        <f t="shared" si="8"/>
        <v>0</v>
      </c>
      <c r="D132" s="48"/>
      <c r="E132" s="48"/>
      <c r="F132" s="48"/>
      <c r="G132" s="48"/>
      <c r="H132" s="49"/>
      <c r="I132" s="76" t="str">
        <f t="shared" si="9"/>
        <v/>
      </c>
      <c r="J132" s="50"/>
      <c r="K132" s="50"/>
      <c r="L132" s="50"/>
      <c r="M132" s="48"/>
      <c r="N132" s="49" t="str">
        <f t="shared" si="10"/>
        <v/>
      </c>
      <c r="O132" s="49" t="str">
        <f t="shared" si="11"/>
        <v/>
      </c>
      <c r="P132" s="77" t="str">
        <f t="shared" si="12"/>
        <v/>
      </c>
      <c r="Q132" s="78">
        <f t="shared" si="13"/>
        <v>0</v>
      </c>
      <c r="R132" s="78">
        <f t="shared" si="14"/>
        <v>0</v>
      </c>
      <c r="S132" s="77">
        <f t="shared" si="15"/>
        <v>0</v>
      </c>
      <c r="T132" s="48"/>
    </row>
    <row r="133" spans="1:20" s="57" customFormat="1" ht="14">
      <c r="A133" s="45"/>
      <c r="B133" s="46"/>
      <c r="C133" s="47">
        <f t="shared" si="8"/>
        <v>0</v>
      </c>
      <c r="D133" s="48"/>
      <c r="E133" s="48"/>
      <c r="F133" s="48"/>
      <c r="G133" s="48"/>
      <c r="H133" s="49"/>
      <c r="I133" s="76" t="str">
        <f t="shared" si="9"/>
        <v/>
      </c>
      <c r="J133" s="50"/>
      <c r="K133" s="50"/>
      <c r="L133" s="50"/>
      <c r="M133" s="48"/>
      <c r="N133" s="49" t="str">
        <f t="shared" si="10"/>
        <v/>
      </c>
      <c r="O133" s="49" t="str">
        <f t="shared" si="11"/>
        <v/>
      </c>
      <c r="P133" s="77" t="str">
        <f t="shared" si="12"/>
        <v/>
      </c>
      <c r="Q133" s="78">
        <f t="shared" si="13"/>
        <v>0</v>
      </c>
      <c r="R133" s="78">
        <f t="shared" si="14"/>
        <v>0</v>
      </c>
      <c r="S133" s="77">
        <f t="shared" si="15"/>
        <v>0</v>
      </c>
      <c r="T133" s="48"/>
    </row>
    <row r="134" spans="1:20" s="57" customFormat="1" ht="14">
      <c r="A134" s="45"/>
      <c r="B134" s="46"/>
      <c r="C134" s="47">
        <f t="shared" si="8"/>
        <v>0</v>
      </c>
      <c r="D134" s="48"/>
      <c r="E134" s="48"/>
      <c r="F134" s="48"/>
      <c r="G134" s="48"/>
      <c r="H134" s="49"/>
      <c r="I134" s="76" t="str">
        <f t="shared" si="9"/>
        <v/>
      </c>
      <c r="J134" s="50"/>
      <c r="K134" s="50"/>
      <c r="L134" s="50"/>
      <c r="M134" s="48"/>
      <c r="N134" s="49" t="str">
        <f t="shared" si="10"/>
        <v/>
      </c>
      <c r="O134" s="49" t="str">
        <f t="shared" si="11"/>
        <v/>
      </c>
      <c r="P134" s="77" t="str">
        <f t="shared" si="12"/>
        <v/>
      </c>
      <c r="Q134" s="78">
        <f t="shared" si="13"/>
        <v>0</v>
      </c>
      <c r="R134" s="78">
        <f t="shared" si="14"/>
        <v>0</v>
      </c>
      <c r="S134" s="77">
        <f t="shared" si="15"/>
        <v>0</v>
      </c>
      <c r="T134" s="48"/>
    </row>
    <row r="135" spans="1:20" s="57" customFormat="1" ht="14">
      <c r="A135" s="45"/>
      <c r="B135" s="46"/>
      <c r="C135" s="47">
        <f t="shared" si="8"/>
        <v>0</v>
      </c>
      <c r="D135" s="48"/>
      <c r="E135" s="48"/>
      <c r="F135" s="48"/>
      <c r="G135" s="48"/>
      <c r="H135" s="49"/>
      <c r="I135" s="76" t="str">
        <f t="shared" si="9"/>
        <v/>
      </c>
      <c r="J135" s="50"/>
      <c r="K135" s="50"/>
      <c r="L135" s="50"/>
      <c r="M135" s="48"/>
      <c r="N135" s="49" t="str">
        <f t="shared" si="10"/>
        <v/>
      </c>
      <c r="O135" s="49" t="str">
        <f t="shared" si="11"/>
        <v/>
      </c>
      <c r="P135" s="77" t="str">
        <f t="shared" si="12"/>
        <v/>
      </c>
      <c r="Q135" s="78">
        <f t="shared" si="13"/>
        <v>0</v>
      </c>
      <c r="R135" s="78">
        <f t="shared" si="14"/>
        <v>0</v>
      </c>
      <c r="S135" s="77">
        <f t="shared" si="15"/>
        <v>0</v>
      </c>
      <c r="T135" s="48"/>
    </row>
    <row r="136" spans="1:20" s="57" customFormat="1" ht="14">
      <c r="A136" s="45"/>
      <c r="B136" s="46"/>
      <c r="C136" s="47">
        <f t="shared" si="8"/>
        <v>0</v>
      </c>
      <c r="D136" s="48"/>
      <c r="E136" s="48"/>
      <c r="F136" s="48"/>
      <c r="G136" s="48"/>
      <c r="H136" s="49"/>
      <c r="I136" s="76" t="str">
        <f t="shared" si="9"/>
        <v/>
      </c>
      <c r="J136" s="50"/>
      <c r="K136" s="50"/>
      <c r="L136" s="50"/>
      <c r="M136" s="48"/>
      <c r="N136" s="49" t="str">
        <f t="shared" si="10"/>
        <v/>
      </c>
      <c r="O136" s="49" t="str">
        <f t="shared" si="11"/>
        <v/>
      </c>
      <c r="P136" s="77" t="str">
        <f t="shared" si="12"/>
        <v/>
      </c>
      <c r="Q136" s="78">
        <f t="shared" si="13"/>
        <v>0</v>
      </c>
      <c r="R136" s="78">
        <f t="shared" si="14"/>
        <v>0</v>
      </c>
      <c r="S136" s="77">
        <f t="shared" si="15"/>
        <v>0</v>
      </c>
      <c r="T136" s="48"/>
    </row>
    <row r="137" spans="1:20" s="57" customFormat="1" ht="14">
      <c r="A137" s="45"/>
      <c r="B137" s="46"/>
      <c r="C137" s="47">
        <f t="shared" si="8"/>
        <v>0</v>
      </c>
      <c r="D137" s="48"/>
      <c r="E137" s="48"/>
      <c r="F137" s="48"/>
      <c r="G137" s="48"/>
      <c r="H137" s="49"/>
      <c r="I137" s="76" t="str">
        <f t="shared" si="9"/>
        <v/>
      </c>
      <c r="J137" s="50"/>
      <c r="K137" s="50"/>
      <c r="L137" s="50"/>
      <c r="M137" s="48"/>
      <c r="N137" s="49" t="str">
        <f t="shared" si="10"/>
        <v/>
      </c>
      <c r="O137" s="49" t="str">
        <f t="shared" si="11"/>
        <v/>
      </c>
      <c r="P137" s="77" t="str">
        <f t="shared" si="12"/>
        <v/>
      </c>
      <c r="Q137" s="78">
        <f t="shared" si="13"/>
        <v>0</v>
      </c>
      <c r="R137" s="78">
        <f t="shared" si="14"/>
        <v>0</v>
      </c>
      <c r="S137" s="77">
        <f t="shared" si="15"/>
        <v>0</v>
      </c>
      <c r="T137" s="48"/>
    </row>
    <row r="138" spans="1:20" s="57" customFormat="1" ht="14">
      <c r="A138" s="45"/>
      <c r="B138" s="46"/>
      <c r="C138" s="47">
        <f t="shared" si="8"/>
        <v>0</v>
      </c>
      <c r="D138" s="48"/>
      <c r="E138" s="48"/>
      <c r="F138" s="48"/>
      <c r="G138" s="48"/>
      <c r="H138" s="49"/>
      <c r="I138" s="76" t="str">
        <f t="shared" si="9"/>
        <v/>
      </c>
      <c r="J138" s="50"/>
      <c r="K138" s="50"/>
      <c r="L138" s="50"/>
      <c r="M138" s="48"/>
      <c r="N138" s="49" t="str">
        <f t="shared" si="10"/>
        <v/>
      </c>
      <c r="O138" s="49" t="str">
        <f t="shared" si="11"/>
        <v/>
      </c>
      <c r="P138" s="77" t="str">
        <f t="shared" si="12"/>
        <v/>
      </c>
      <c r="Q138" s="78">
        <f t="shared" si="13"/>
        <v>0</v>
      </c>
      <c r="R138" s="78">
        <f t="shared" si="14"/>
        <v>0</v>
      </c>
      <c r="S138" s="77">
        <f t="shared" si="15"/>
        <v>0</v>
      </c>
      <c r="T138" s="48"/>
    </row>
    <row r="139" spans="1:20" s="57" customFormat="1" ht="14">
      <c r="A139" s="45"/>
      <c r="B139" s="46"/>
      <c r="C139" s="47">
        <f t="shared" ref="C139:C202" si="16">IF($B139&lt;&gt;"",VLOOKUP($B139,Matriz_INM,2,0),0)</f>
        <v>0</v>
      </c>
      <c r="D139" s="48"/>
      <c r="E139" s="48"/>
      <c r="F139" s="48"/>
      <c r="G139" s="48"/>
      <c r="H139" s="49"/>
      <c r="I139" s="76" t="str">
        <f t="shared" ref="I139:I202" si="17">IFERROR(VLOOKUP($B139,Matriz_INM,3,0),"")</f>
        <v/>
      </c>
      <c r="J139" s="50"/>
      <c r="K139" s="50"/>
      <c r="L139" s="50"/>
      <c r="M139" s="48"/>
      <c r="N139" s="49"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9"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7" t="str">
        <f t="shared" ref="P139:P202" si="20">IF(N139="",O139,IF(O139="",N139,""))</f>
        <v/>
      </c>
      <c r="Q139" s="78">
        <f t="shared" ref="Q139:Q202" si="21">IF(AND(OR(M139="EE",M139="CE"),P139="Simples"),3, IF(AND(OR(M139="EE",M139="CE"),P139="Médio"),4, IF(AND(OR(M139="EE",M139="CE"),P139="Complexo"),6, IF(AND(M139="SE",P139="Simples"),4, IF(AND(M139="SE",P139="Médio"),5, IF(AND(M139="SE",P139="Complexo"),7,0))))))</f>
        <v>0</v>
      </c>
      <c r="R139" s="78">
        <f t="shared" ref="R139:R202" si="22">IF(AND(M139="ALI",O139="Simples"),7, IF(AND(M139="ALI",O139="Médio"),10, IF(AND(M139="ALI",O139="Complexo"),15, IF(AND(M139="AIE",O139="Simples"),5, IF(AND(M139="AIE",O139="Médio"),7, IF(AND(M139="AIE",O139="Complexo"),10,0))))))</f>
        <v>0</v>
      </c>
      <c r="S139" s="77">
        <f t="shared" si="15"/>
        <v>0</v>
      </c>
      <c r="T139" s="48"/>
    </row>
    <row r="140" spans="1:20" s="57" customFormat="1" ht="14">
      <c r="A140" s="45"/>
      <c r="B140" s="46"/>
      <c r="C140" s="47">
        <f t="shared" si="16"/>
        <v>0</v>
      </c>
      <c r="D140" s="48"/>
      <c r="E140" s="48"/>
      <c r="F140" s="48"/>
      <c r="G140" s="48"/>
      <c r="H140" s="49"/>
      <c r="I140" s="76" t="str">
        <f t="shared" si="17"/>
        <v/>
      </c>
      <c r="J140" s="50"/>
      <c r="K140" s="50"/>
      <c r="L140" s="50"/>
      <c r="M140" s="48"/>
      <c r="N140" s="49" t="str">
        <f t="shared" si="18"/>
        <v/>
      </c>
      <c r="O140" s="49" t="str">
        <f t="shared" si="19"/>
        <v/>
      </c>
      <c r="P140" s="77" t="str">
        <f t="shared" si="20"/>
        <v/>
      </c>
      <c r="Q140" s="78">
        <f t="shared" si="21"/>
        <v>0</v>
      </c>
      <c r="R140" s="78">
        <f t="shared" si="22"/>
        <v>0</v>
      </c>
      <c r="S140" s="77">
        <f t="shared" ref="S140:S203" si="23">IF($I140="%",($Q140+$R140)*$C140,$C140)</f>
        <v>0</v>
      </c>
      <c r="T140" s="48"/>
    </row>
    <row r="141" spans="1:20" s="57" customFormat="1" ht="14">
      <c r="A141" s="45"/>
      <c r="B141" s="46"/>
      <c r="C141" s="47">
        <f t="shared" si="16"/>
        <v>0</v>
      </c>
      <c r="D141" s="48"/>
      <c r="E141" s="48"/>
      <c r="F141" s="48"/>
      <c r="G141" s="48"/>
      <c r="H141" s="49"/>
      <c r="I141" s="76" t="str">
        <f t="shared" si="17"/>
        <v/>
      </c>
      <c r="J141" s="50"/>
      <c r="K141" s="50"/>
      <c r="L141" s="50"/>
      <c r="M141" s="48"/>
      <c r="N141" s="49" t="str">
        <f t="shared" si="18"/>
        <v/>
      </c>
      <c r="O141" s="49" t="str">
        <f t="shared" si="19"/>
        <v/>
      </c>
      <c r="P141" s="77" t="str">
        <f t="shared" si="20"/>
        <v/>
      </c>
      <c r="Q141" s="78">
        <f t="shared" si="21"/>
        <v>0</v>
      </c>
      <c r="R141" s="78">
        <f t="shared" si="22"/>
        <v>0</v>
      </c>
      <c r="S141" s="77">
        <f t="shared" si="23"/>
        <v>0</v>
      </c>
      <c r="T141" s="48"/>
    </row>
    <row r="142" spans="1:20" s="57" customFormat="1" ht="14">
      <c r="A142" s="45"/>
      <c r="B142" s="46"/>
      <c r="C142" s="47">
        <f t="shared" si="16"/>
        <v>0</v>
      </c>
      <c r="D142" s="48"/>
      <c r="E142" s="48"/>
      <c r="F142" s="48"/>
      <c r="G142" s="48"/>
      <c r="H142" s="49"/>
      <c r="I142" s="76" t="str">
        <f t="shared" si="17"/>
        <v/>
      </c>
      <c r="J142" s="50"/>
      <c r="K142" s="50"/>
      <c r="L142" s="50"/>
      <c r="M142" s="48"/>
      <c r="N142" s="49" t="str">
        <f t="shared" si="18"/>
        <v/>
      </c>
      <c r="O142" s="49" t="str">
        <f t="shared" si="19"/>
        <v/>
      </c>
      <c r="P142" s="77" t="str">
        <f t="shared" si="20"/>
        <v/>
      </c>
      <c r="Q142" s="78">
        <f t="shared" si="21"/>
        <v>0</v>
      </c>
      <c r="R142" s="78">
        <f t="shared" si="22"/>
        <v>0</v>
      </c>
      <c r="S142" s="77">
        <f t="shared" si="23"/>
        <v>0</v>
      </c>
      <c r="T142" s="48"/>
    </row>
    <row r="143" spans="1:20" s="57" customFormat="1" ht="14">
      <c r="A143" s="45"/>
      <c r="B143" s="46"/>
      <c r="C143" s="47">
        <f t="shared" si="16"/>
        <v>0</v>
      </c>
      <c r="D143" s="48"/>
      <c r="E143" s="48"/>
      <c r="F143" s="48"/>
      <c r="G143" s="48"/>
      <c r="H143" s="49"/>
      <c r="I143" s="76" t="str">
        <f t="shared" si="17"/>
        <v/>
      </c>
      <c r="J143" s="50"/>
      <c r="K143" s="50"/>
      <c r="L143" s="50"/>
      <c r="M143" s="48"/>
      <c r="N143" s="49" t="str">
        <f t="shared" si="18"/>
        <v/>
      </c>
      <c r="O143" s="49" t="str">
        <f t="shared" si="19"/>
        <v/>
      </c>
      <c r="P143" s="77" t="str">
        <f t="shared" si="20"/>
        <v/>
      </c>
      <c r="Q143" s="78">
        <f t="shared" si="21"/>
        <v>0</v>
      </c>
      <c r="R143" s="78">
        <f t="shared" si="22"/>
        <v>0</v>
      </c>
      <c r="S143" s="77">
        <f t="shared" si="23"/>
        <v>0</v>
      </c>
      <c r="T143" s="48"/>
    </row>
    <row r="144" spans="1:20" s="57" customFormat="1" ht="14">
      <c r="A144" s="45"/>
      <c r="B144" s="46"/>
      <c r="C144" s="47">
        <f t="shared" si="16"/>
        <v>0</v>
      </c>
      <c r="D144" s="48"/>
      <c r="E144" s="48"/>
      <c r="F144" s="48"/>
      <c r="G144" s="48"/>
      <c r="H144" s="49"/>
      <c r="I144" s="76" t="str">
        <f t="shared" si="17"/>
        <v/>
      </c>
      <c r="J144" s="50"/>
      <c r="K144" s="50"/>
      <c r="L144" s="50"/>
      <c r="M144" s="48"/>
      <c r="N144" s="49" t="str">
        <f t="shared" si="18"/>
        <v/>
      </c>
      <c r="O144" s="49" t="str">
        <f t="shared" si="19"/>
        <v/>
      </c>
      <c r="P144" s="77" t="str">
        <f t="shared" si="20"/>
        <v/>
      </c>
      <c r="Q144" s="78">
        <f t="shared" si="21"/>
        <v>0</v>
      </c>
      <c r="R144" s="78">
        <f t="shared" si="22"/>
        <v>0</v>
      </c>
      <c r="S144" s="77">
        <f t="shared" si="23"/>
        <v>0</v>
      </c>
      <c r="T144" s="48"/>
    </row>
    <row r="145" spans="1:23" s="57" customFormat="1" ht="14">
      <c r="A145" s="45"/>
      <c r="B145" s="46"/>
      <c r="C145" s="47">
        <f t="shared" si="16"/>
        <v>0</v>
      </c>
      <c r="D145" s="48"/>
      <c r="E145" s="48"/>
      <c r="F145" s="48"/>
      <c r="G145" s="48"/>
      <c r="H145" s="49"/>
      <c r="I145" s="76" t="str">
        <f t="shared" si="17"/>
        <v/>
      </c>
      <c r="J145" s="50"/>
      <c r="K145" s="50"/>
      <c r="L145" s="50"/>
      <c r="M145" s="48"/>
      <c r="N145" s="49" t="str">
        <f t="shared" si="18"/>
        <v/>
      </c>
      <c r="O145" s="49" t="str">
        <f t="shared" si="19"/>
        <v/>
      </c>
      <c r="P145" s="77" t="str">
        <f t="shared" si="20"/>
        <v/>
      </c>
      <c r="Q145" s="78">
        <f t="shared" si="21"/>
        <v>0</v>
      </c>
      <c r="R145" s="78">
        <f t="shared" si="22"/>
        <v>0</v>
      </c>
      <c r="S145" s="77">
        <f t="shared" si="23"/>
        <v>0</v>
      </c>
      <c r="T145" s="48"/>
    </row>
    <row r="146" spans="1:23" s="57" customFormat="1" ht="14">
      <c r="A146" s="45"/>
      <c r="B146" s="46"/>
      <c r="C146" s="47">
        <f t="shared" si="16"/>
        <v>0</v>
      </c>
      <c r="D146" s="48"/>
      <c r="E146" s="48"/>
      <c r="F146" s="48"/>
      <c r="G146" s="48"/>
      <c r="H146" s="49"/>
      <c r="I146" s="76" t="str">
        <f t="shared" si="17"/>
        <v/>
      </c>
      <c r="J146" s="50"/>
      <c r="K146" s="50"/>
      <c r="L146" s="50"/>
      <c r="M146" s="48"/>
      <c r="N146" s="49" t="str">
        <f t="shared" si="18"/>
        <v/>
      </c>
      <c r="O146" s="49" t="str">
        <f t="shared" si="19"/>
        <v/>
      </c>
      <c r="P146" s="77" t="str">
        <f t="shared" si="20"/>
        <v/>
      </c>
      <c r="Q146" s="78">
        <f t="shared" si="21"/>
        <v>0</v>
      </c>
      <c r="R146" s="78">
        <f t="shared" si="22"/>
        <v>0</v>
      </c>
      <c r="S146" s="77">
        <f t="shared" si="23"/>
        <v>0</v>
      </c>
      <c r="T146" s="48"/>
    </row>
    <row r="147" spans="1:23" s="57" customFormat="1" ht="14">
      <c r="A147" s="45"/>
      <c r="B147" s="46"/>
      <c r="C147" s="47">
        <f t="shared" si="16"/>
        <v>0</v>
      </c>
      <c r="D147" s="48"/>
      <c r="E147" s="48"/>
      <c r="F147" s="48"/>
      <c r="G147" s="48"/>
      <c r="H147" s="49"/>
      <c r="I147" s="76" t="str">
        <f t="shared" si="17"/>
        <v/>
      </c>
      <c r="J147" s="50"/>
      <c r="K147" s="50"/>
      <c r="L147" s="50"/>
      <c r="M147" s="48"/>
      <c r="N147" s="49" t="str">
        <f t="shared" si="18"/>
        <v/>
      </c>
      <c r="O147" s="49" t="str">
        <f t="shared" si="19"/>
        <v/>
      </c>
      <c r="P147" s="77" t="str">
        <f t="shared" si="20"/>
        <v/>
      </c>
      <c r="Q147" s="78">
        <f t="shared" si="21"/>
        <v>0</v>
      </c>
      <c r="R147" s="78">
        <f t="shared" si="22"/>
        <v>0</v>
      </c>
      <c r="S147" s="77">
        <f t="shared" si="23"/>
        <v>0</v>
      </c>
      <c r="T147" s="48"/>
    </row>
    <row r="148" spans="1:23" s="57" customFormat="1" ht="14">
      <c r="A148" s="45"/>
      <c r="B148" s="46"/>
      <c r="C148" s="47">
        <f t="shared" si="16"/>
        <v>0</v>
      </c>
      <c r="D148" s="48"/>
      <c r="E148" s="48"/>
      <c r="F148" s="48"/>
      <c r="G148" s="48"/>
      <c r="H148" s="49"/>
      <c r="I148" s="76" t="str">
        <f t="shared" si="17"/>
        <v/>
      </c>
      <c r="J148" s="50"/>
      <c r="K148" s="50"/>
      <c r="L148" s="50"/>
      <c r="M148" s="48"/>
      <c r="N148" s="49" t="str">
        <f t="shared" si="18"/>
        <v/>
      </c>
      <c r="O148" s="49" t="str">
        <f t="shared" si="19"/>
        <v/>
      </c>
      <c r="P148" s="77" t="str">
        <f t="shared" si="20"/>
        <v/>
      </c>
      <c r="Q148" s="78">
        <f t="shared" si="21"/>
        <v>0</v>
      </c>
      <c r="R148" s="78">
        <f t="shared" si="22"/>
        <v>0</v>
      </c>
      <c r="S148" s="77">
        <f t="shared" si="23"/>
        <v>0</v>
      </c>
      <c r="T148" s="48"/>
    </row>
    <row r="149" spans="1:23" s="57" customFormat="1" ht="14">
      <c r="A149" s="45"/>
      <c r="B149" s="46"/>
      <c r="C149" s="47">
        <f t="shared" si="16"/>
        <v>0</v>
      </c>
      <c r="D149" s="48"/>
      <c r="E149" s="48"/>
      <c r="F149" s="48"/>
      <c r="G149" s="48"/>
      <c r="H149" s="49"/>
      <c r="I149" s="76" t="str">
        <f t="shared" si="17"/>
        <v/>
      </c>
      <c r="J149" s="50"/>
      <c r="K149" s="50"/>
      <c r="L149" s="50"/>
      <c r="M149" s="48"/>
      <c r="N149" s="49" t="str">
        <f t="shared" si="18"/>
        <v/>
      </c>
      <c r="O149" s="49" t="str">
        <f t="shared" si="19"/>
        <v/>
      </c>
      <c r="P149" s="77" t="str">
        <f t="shared" si="20"/>
        <v/>
      </c>
      <c r="Q149" s="78">
        <f t="shared" si="21"/>
        <v>0</v>
      </c>
      <c r="R149" s="78">
        <f t="shared" si="22"/>
        <v>0</v>
      </c>
      <c r="S149" s="77">
        <f t="shared" si="23"/>
        <v>0</v>
      </c>
      <c r="T149" s="48"/>
    </row>
    <row r="150" spans="1:23" s="57" customFormat="1" ht="14">
      <c r="A150" s="45"/>
      <c r="B150" s="46"/>
      <c r="C150" s="47">
        <f t="shared" si="16"/>
        <v>0</v>
      </c>
      <c r="D150" s="48"/>
      <c r="E150" s="48"/>
      <c r="F150" s="48"/>
      <c r="G150" s="48"/>
      <c r="H150" s="49"/>
      <c r="I150" s="76" t="str">
        <f t="shared" si="17"/>
        <v/>
      </c>
      <c r="J150" s="50"/>
      <c r="K150" s="50"/>
      <c r="L150" s="50"/>
      <c r="M150" s="48"/>
      <c r="N150" s="49" t="str">
        <f t="shared" si="18"/>
        <v/>
      </c>
      <c r="O150" s="49" t="str">
        <f t="shared" si="19"/>
        <v/>
      </c>
      <c r="P150" s="77" t="str">
        <f t="shared" si="20"/>
        <v/>
      </c>
      <c r="Q150" s="78">
        <f t="shared" si="21"/>
        <v>0</v>
      </c>
      <c r="R150" s="78">
        <f t="shared" si="22"/>
        <v>0</v>
      </c>
      <c r="S150" s="77">
        <f t="shared" si="23"/>
        <v>0</v>
      </c>
      <c r="T150" s="48"/>
    </row>
    <row r="151" spans="1:23" s="57" customFormat="1" ht="14">
      <c r="A151" s="45"/>
      <c r="B151" s="46"/>
      <c r="C151" s="47">
        <f t="shared" si="16"/>
        <v>0</v>
      </c>
      <c r="D151" s="48"/>
      <c r="E151" s="48"/>
      <c r="F151" s="48"/>
      <c r="G151" s="48"/>
      <c r="H151" s="49"/>
      <c r="I151" s="76" t="str">
        <f t="shared" si="17"/>
        <v/>
      </c>
      <c r="J151" s="50"/>
      <c r="K151" s="50"/>
      <c r="L151" s="50"/>
      <c r="M151" s="48"/>
      <c r="N151" s="49" t="str">
        <f t="shared" si="18"/>
        <v/>
      </c>
      <c r="O151" s="49" t="str">
        <f t="shared" si="19"/>
        <v/>
      </c>
      <c r="P151" s="77" t="str">
        <f t="shared" si="20"/>
        <v/>
      </c>
      <c r="Q151" s="78">
        <f t="shared" si="21"/>
        <v>0</v>
      </c>
      <c r="R151" s="78">
        <f t="shared" si="22"/>
        <v>0</v>
      </c>
      <c r="S151" s="77">
        <f t="shared" si="23"/>
        <v>0</v>
      </c>
      <c r="T151" s="48"/>
    </row>
    <row r="152" spans="1:23" s="57" customFormat="1" ht="14">
      <c r="A152" s="45"/>
      <c r="B152" s="46"/>
      <c r="C152" s="47">
        <f t="shared" si="16"/>
        <v>0</v>
      </c>
      <c r="D152" s="48"/>
      <c r="E152" s="48"/>
      <c r="F152" s="48"/>
      <c r="G152" s="48"/>
      <c r="H152" s="49"/>
      <c r="I152" s="76" t="str">
        <f t="shared" si="17"/>
        <v/>
      </c>
      <c r="J152" s="50"/>
      <c r="K152" s="50"/>
      <c r="L152" s="50"/>
      <c r="M152" s="48"/>
      <c r="N152" s="49" t="str">
        <f t="shared" si="18"/>
        <v/>
      </c>
      <c r="O152" s="49" t="str">
        <f t="shared" si="19"/>
        <v/>
      </c>
      <c r="P152" s="77" t="str">
        <f t="shared" si="20"/>
        <v/>
      </c>
      <c r="Q152" s="78">
        <f t="shared" si="21"/>
        <v>0</v>
      </c>
      <c r="R152" s="78">
        <f t="shared" si="22"/>
        <v>0</v>
      </c>
      <c r="S152" s="77">
        <f t="shared" si="23"/>
        <v>0</v>
      </c>
      <c r="T152" s="48"/>
      <c r="W152" s="79"/>
    </row>
    <row r="153" spans="1:23" s="57" customFormat="1" ht="14">
      <c r="A153" s="45"/>
      <c r="B153" s="46"/>
      <c r="C153" s="47">
        <f t="shared" si="16"/>
        <v>0</v>
      </c>
      <c r="D153" s="48"/>
      <c r="E153" s="48"/>
      <c r="F153" s="48"/>
      <c r="G153" s="48"/>
      <c r="H153" s="49"/>
      <c r="I153" s="76" t="str">
        <f t="shared" si="17"/>
        <v/>
      </c>
      <c r="J153" s="50"/>
      <c r="K153" s="50"/>
      <c r="L153" s="50"/>
      <c r="M153" s="48"/>
      <c r="N153" s="49" t="str">
        <f t="shared" si="18"/>
        <v/>
      </c>
      <c r="O153" s="49" t="str">
        <f t="shared" si="19"/>
        <v/>
      </c>
      <c r="P153" s="77" t="str">
        <f t="shared" si="20"/>
        <v/>
      </c>
      <c r="Q153" s="78">
        <f t="shared" si="21"/>
        <v>0</v>
      </c>
      <c r="R153" s="78">
        <f t="shared" si="22"/>
        <v>0</v>
      </c>
      <c r="S153" s="77">
        <f t="shared" si="23"/>
        <v>0</v>
      </c>
      <c r="T153" s="48"/>
    </row>
    <row r="154" spans="1:23" s="57" customFormat="1" ht="14">
      <c r="A154" s="45"/>
      <c r="B154" s="46"/>
      <c r="C154" s="47">
        <f t="shared" si="16"/>
        <v>0</v>
      </c>
      <c r="D154" s="48"/>
      <c r="E154" s="48"/>
      <c r="F154" s="48"/>
      <c r="G154" s="48"/>
      <c r="H154" s="49"/>
      <c r="I154" s="76" t="str">
        <f t="shared" si="17"/>
        <v/>
      </c>
      <c r="J154" s="50"/>
      <c r="K154" s="50"/>
      <c r="L154" s="50"/>
      <c r="M154" s="48"/>
      <c r="N154" s="49" t="str">
        <f t="shared" si="18"/>
        <v/>
      </c>
      <c r="O154" s="49" t="str">
        <f t="shared" si="19"/>
        <v/>
      </c>
      <c r="P154" s="77" t="str">
        <f t="shared" si="20"/>
        <v/>
      </c>
      <c r="Q154" s="78">
        <f t="shared" si="21"/>
        <v>0</v>
      </c>
      <c r="R154" s="78">
        <f t="shared" si="22"/>
        <v>0</v>
      </c>
      <c r="S154" s="77">
        <f t="shared" si="23"/>
        <v>0</v>
      </c>
      <c r="T154" s="48"/>
    </row>
    <row r="155" spans="1:23" s="57" customFormat="1" ht="14">
      <c r="A155" s="45"/>
      <c r="B155" s="46"/>
      <c r="C155" s="47">
        <f t="shared" si="16"/>
        <v>0</v>
      </c>
      <c r="D155" s="48"/>
      <c r="E155" s="48"/>
      <c r="F155" s="48"/>
      <c r="G155" s="48"/>
      <c r="H155" s="49"/>
      <c r="I155" s="76" t="str">
        <f t="shared" si="17"/>
        <v/>
      </c>
      <c r="J155" s="50"/>
      <c r="K155" s="50"/>
      <c r="L155" s="50"/>
      <c r="M155" s="48"/>
      <c r="N155" s="49" t="str">
        <f t="shared" si="18"/>
        <v/>
      </c>
      <c r="O155" s="49" t="str">
        <f t="shared" si="19"/>
        <v/>
      </c>
      <c r="P155" s="77" t="str">
        <f t="shared" si="20"/>
        <v/>
      </c>
      <c r="Q155" s="78">
        <f t="shared" si="21"/>
        <v>0</v>
      </c>
      <c r="R155" s="78">
        <f t="shared" si="22"/>
        <v>0</v>
      </c>
      <c r="S155" s="77">
        <f t="shared" si="23"/>
        <v>0</v>
      </c>
      <c r="T155" s="48"/>
    </row>
    <row r="156" spans="1:23" s="57" customFormat="1" ht="14">
      <c r="A156" s="45"/>
      <c r="B156" s="46"/>
      <c r="C156" s="47">
        <f t="shared" si="16"/>
        <v>0</v>
      </c>
      <c r="D156" s="48"/>
      <c r="E156" s="48"/>
      <c r="F156" s="48"/>
      <c r="G156" s="48"/>
      <c r="H156" s="49"/>
      <c r="I156" s="76" t="str">
        <f t="shared" si="17"/>
        <v/>
      </c>
      <c r="J156" s="50"/>
      <c r="K156" s="50"/>
      <c r="L156" s="50"/>
      <c r="M156" s="48"/>
      <c r="N156" s="49" t="str">
        <f t="shared" si="18"/>
        <v/>
      </c>
      <c r="O156" s="49" t="str">
        <f t="shared" si="19"/>
        <v/>
      </c>
      <c r="P156" s="77" t="str">
        <f t="shared" si="20"/>
        <v/>
      </c>
      <c r="Q156" s="78">
        <f t="shared" si="21"/>
        <v>0</v>
      </c>
      <c r="R156" s="78">
        <f t="shared" si="22"/>
        <v>0</v>
      </c>
      <c r="S156" s="77">
        <f t="shared" si="23"/>
        <v>0</v>
      </c>
      <c r="T156" s="48"/>
    </row>
    <row r="157" spans="1:23" s="57" customFormat="1" ht="14">
      <c r="A157" s="45"/>
      <c r="B157" s="46"/>
      <c r="C157" s="47">
        <f t="shared" si="16"/>
        <v>0</v>
      </c>
      <c r="D157" s="48"/>
      <c r="E157" s="48"/>
      <c r="F157" s="48"/>
      <c r="G157" s="48"/>
      <c r="H157" s="49"/>
      <c r="I157" s="76" t="str">
        <f t="shared" si="17"/>
        <v/>
      </c>
      <c r="J157" s="50"/>
      <c r="K157" s="50"/>
      <c r="L157" s="50"/>
      <c r="M157" s="48"/>
      <c r="N157" s="49" t="str">
        <f t="shared" si="18"/>
        <v/>
      </c>
      <c r="O157" s="49" t="str">
        <f t="shared" si="19"/>
        <v/>
      </c>
      <c r="P157" s="77" t="str">
        <f t="shared" si="20"/>
        <v/>
      </c>
      <c r="Q157" s="78">
        <f t="shared" si="21"/>
        <v>0</v>
      </c>
      <c r="R157" s="78">
        <f t="shared" si="22"/>
        <v>0</v>
      </c>
      <c r="S157" s="77">
        <f t="shared" si="23"/>
        <v>0</v>
      </c>
      <c r="T157" s="48"/>
    </row>
    <row r="158" spans="1:23" s="57" customFormat="1" ht="14">
      <c r="A158" s="45"/>
      <c r="B158" s="46"/>
      <c r="C158" s="47">
        <f t="shared" si="16"/>
        <v>0</v>
      </c>
      <c r="D158" s="48"/>
      <c r="E158" s="48"/>
      <c r="F158" s="48"/>
      <c r="G158" s="48"/>
      <c r="H158" s="49"/>
      <c r="I158" s="76" t="str">
        <f t="shared" si="17"/>
        <v/>
      </c>
      <c r="J158" s="50"/>
      <c r="K158" s="50"/>
      <c r="L158" s="50"/>
      <c r="M158" s="48"/>
      <c r="N158" s="49" t="str">
        <f t="shared" si="18"/>
        <v/>
      </c>
      <c r="O158" s="49" t="str">
        <f t="shared" si="19"/>
        <v/>
      </c>
      <c r="P158" s="77" t="str">
        <f t="shared" si="20"/>
        <v/>
      </c>
      <c r="Q158" s="78">
        <f t="shared" si="21"/>
        <v>0</v>
      </c>
      <c r="R158" s="78">
        <f t="shared" si="22"/>
        <v>0</v>
      </c>
      <c r="S158" s="77">
        <f t="shared" si="23"/>
        <v>0</v>
      </c>
      <c r="T158" s="48"/>
    </row>
    <row r="159" spans="1:23" s="57" customFormat="1" ht="14">
      <c r="A159" s="45"/>
      <c r="B159" s="46"/>
      <c r="C159" s="47">
        <f t="shared" si="16"/>
        <v>0</v>
      </c>
      <c r="D159" s="48"/>
      <c r="E159" s="48"/>
      <c r="F159" s="48"/>
      <c r="G159" s="48"/>
      <c r="H159" s="49"/>
      <c r="I159" s="76" t="str">
        <f t="shared" si="17"/>
        <v/>
      </c>
      <c r="J159" s="50"/>
      <c r="K159" s="50"/>
      <c r="L159" s="50"/>
      <c r="M159" s="48"/>
      <c r="N159" s="49" t="str">
        <f t="shared" si="18"/>
        <v/>
      </c>
      <c r="O159" s="49" t="str">
        <f t="shared" si="19"/>
        <v/>
      </c>
      <c r="P159" s="77" t="str">
        <f t="shared" si="20"/>
        <v/>
      </c>
      <c r="Q159" s="78">
        <f t="shared" si="21"/>
        <v>0</v>
      </c>
      <c r="R159" s="78">
        <f t="shared" si="22"/>
        <v>0</v>
      </c>
      <c r="S159" s="77">
        <f t="shared" si="23"/>
        <v>0</v>
      </c>
      <c r="T159" s="48"/>
    </row>
    <row r="160" spans="1:23" s="57" customFormat="1" ht="14">
      <c r="A160" s="45"/>
      <c r="B160" s="46"/>
      <c r="C160" s="47">
        <f t="shared" si="16"/>
        <v>0</v>
      </c>
      <c r="D160" s="48"/>
      <c r="E160" s="48"/>
      <c r="F160" s="48"/>
      <c r="G160" s="48"/>
      <c r="H160" s="49"/>
      <c r="I160" s="76" t="str">
        <f t="shared" si="17"/>
        <v/>
      </c>
      <c r="J160" s="50"/>
      <c r="K160" s="50"/>
      <c r="L160" s="50"/>
      <c r="M160" s="48"/>
      <c r="N160" s="49" t="str">
        <f t="shared" si="18"/>
        <v/>
      </c>
      <c r="O160" s="49" t="str">
        <f t="shared" si="19"/>
        <v/>
      </c>
      <c r="P160" s="77" t="str">
        <f t="shared" si="20"/>
        <v/>
      </c>
      <c r="Q160" s="78">
        <f t="shared" si="21"/>
        <v>0</v>
      </c>
      <c r="R160" s="78">
        <f t="shared" si="22"/>
        <v>0</v>
      </c>
      <c r="S160" s="77">
        <f t="shared" si="23"/>
        <v>0</v>
      </c>
      <c r="T160" s="48"/>
    </row>
    <row r="161" spans="1:20" s="57" customFormat="1" ht="14">
      <c r="A161" s="45"/>
      <c r="B161" s="46"/>
      <c r="C161" s="47">
        <f t="shared" si="16"/>
        <v>0</v>
      </c>
      <c r="D161" s="48"/>
      <c r="E161" s="48"/>
      <c r="F161" s="48"/>
      <c r="G161" s="48"/>
      <c r="H161" s="49"/>
      <c r="I161" s="76" t="str">
        <f t="shared" si="17"/>
        <v/>
      </c>
      <c r="J161" s="50"/>
      <c r="K161" s="50"/>
      <c r="L161" s="50"/>
      <c r="M161" s="48"/>
      <c r="N161" s="49" t="str">
        <f t="shared" si="18"/>
        <v/>
      </c>
      <c r="O161" s="49" t="str">
        <f t="shared" si="19"/>
        <v/>
      </c>
      <c r="P161" s="77" t="str">
        <f t="shared" si="20"/>
        <v/>
      </c>
      <c r="Q161" s="78">
        <f t="shared" si="21"/>
        <v>0</v>
      </c>
      <c r="R161" s="78">
        <f t="shared" si="22"/>
        <v>0</v>
      </c>
      <c r="S161" s="77">
        <f t="shared" si="23"/>
        <v>0</v>
      </c>
      <c r="T161" s="48"/>
    </row>
    <row r="162" spans="1:20" s="57" customFormat="1" ht="14">
      <c r="A162" s="45"/>
      <c r="B162" s="46"/>
      <c r="C162" s="47">
        <f t="shared" si="16"/>
        <v>0</v>
      </c>
      <c r="D162" s="48"/>
      <c r="E162" s="48"/>
      <c r="F162" s="48"/>
      <c r="G162" s="48"/>
      <c r="H162" s="49"/>
      <c r="I162" s="76" t="str">
        <f t="shared" si="17"/>
        <v/>
      </c>
      <c r="J162" s="50"/>
      <c r="K162" s="50"/>
      <c r="L162" s="50"/>
      <c r="M162" s="48"/>
      <c r="N162" s="49" t="str">
        <f t="shared" si="18"/>
        <v/>
      </c>
      <c r="O162" s="49" t="str">
        <f t="shared" si="19"/>
        <v/>
      </c>
      <c r="P162" s="77" t="str">
        <f t="shared" si="20"/>
        <v/>
      </c>
      <c r="Q162" s="78">
        <f t="shared" si="21"/>
        <v>0</v>
      </c>
      <c r="R162" s="78">
        <f t="shared" si="22"/>
        <v>0</v>
      </c>
      <c r="S162" s="77">
        <f t="shared" si="23"/>
        <v>0</v>
      </c>
      <c r="T162" s="48"/>
    </row>
    <row r="163" spans="1:20" s="57" customFormat="1" ht="14">
      <c r="A163" s="45"/>
      <c r="B163" s="46"/>
      <c r="C163" s="47">
        <f t="shared" si="16"/>
        <v>0</v>
      </c>
      <c r="D163" s="48"/>
      <c r="E163" s="48"/>
      <c r="F163" s="48"/>
      <c r="G163" s="48"/>
      <c r="H163" s="49"/>
      <c r="I163" s="76" t="str">
        <f t="shared" si="17"/>
        <v/>
      </c>
      <c r="J163" s="50"/>
      <c r="K163" s="50"/>
      <c r="L163" s="50"/>
      <c r="M163" s="48"/>
      <c r="N163" s="49" t="str">
        <f t="shared" si="18"/>
        <v/>
      </c>
      <c r="O163" s="49" t="str">
        <f t="shared" si="19"/>
        <v/>
      </c>
      <c r="P163" s="77" t="str">
        <f t="shared" si="20"/>
        <v/>
      </c>
      <c r="Q163" s="78">
        <f t="shared" si="21"/>
        <v>0</v>
      </c>
      <c r="R163" s="78">
        <f t="shared" si="22"/>
        <v>0</v>
      </c>
      <c r="S163" s="77">
        <f t="shared" si="23"/>
        <v>0</v>
      </c>
      <c r="T163" s="48"/>
    </row>
    <row r="164" spans="1:20" s="57" customFormat="1" ht="14">
      <c r="A164" s="45"/>
      <c r="B164" s="46"/>
      <c r="C164" s="47">
        <f t="shared" si="16"/>
        <v>0</v>
      </c>
      <c r="D164" s="48"/>
      <c r="E164" s="48"/>
      <c r="F164" s="48"/>
      <c r="G164" s="48"/>
      <c r="H164" s="49"/>
      <c r="I164" s="76" t="str">
        <f t="shared" si="17"/>
        <v/>
      </c>
      <c r="J164" s="50"/>
      <c r="K164" s="50"/>
      <c r="L164" s="50"/>
      <c r="M164" s="48"/>
      <c r="N164" s="49" t="str">
        <f t="shared" si="18"/>
        <v/>
      </c>
      <c r="O164" s="49" t="str">
        <f t="shared" si="19"/>
        <v/>
      </c>
      <c r="P164" s="77" t="str">
        <f t="shared" si="20"/>
        <v/>
      </c>
      <c r="Q164" s="78">
        <f t="shared" si="21"/>
        <v>0</v>
      </c>
      <c r="R164" s="78">
        <f t="shared" si="22"/>
        <v>0</v>
      </c>
      <c r="S164" s="77">
        <f t="shared" si="23"/>
        <v>0</v>
      </c>
      <c r="T164" s="48"/>
    </row>
    <row r="165" spans="1:20" s="57" customFormat="1" ht="14">
      <c r="A165" s="45"/>
      <c r="B165" s="46"/>
      <c r="C165" s="47">
        <f t="shared" si="16"/>
        <v>0</v>
      </c>
      <c r="D165" s="48"/>
      <c r="E165" s="48"/>
      <c r="F165" s="48"/>
      <c r="G165" s="48"/>
      <c r="H165" s="49"/>
      <c r="I165" s="76" t="str">
        <f t="shared" si="17"/>
        <v/>
      </c>
      <c r="J165" s="50"/>
      <c r="K165" s="50"/>
      <c r="L165" s="50"/>
      <c r="M165" s="48"/>
      <c r="N165" s="49" t="str">
        <f t="shared" si="18"/>
        <v/>
      </c>
      <c r="O165" s="49" t="str">
        <f t="shared" si="19"/>
        <v/>
      </c>
      <c r="P165" s="77" t="str">
        <f t="shared" si="20"/>
        <v/>
      </c>
      <c r="Q165" s="78">
        <f t="shared" si="21"/>
        <v>0</v>
      </c>
      <c r="R165" s="78">
        <f t="shared" si="22"/>
        <v>0</v>
      </c>
      <c r="S165" s="77">
        <f t="shared" si="23"/>
        <v>0</v>
      </c>
      <c r="T165" s="48"/>
    </row>
    <row r="166" spans="1:20" s="57" customFormat="1" ht="14">
      <c r="A166" s="45"/>
      <c r="B166" s="46"/>
      <c r="C166" s="47">
        <f t="shared" si="16"/>
        <v>0</v>
      </c>
      <c r="D166" s="48"/>
      <c r="E166" s="48"/>
      <c r="F166" s="48"/>
      <c r="G166" s="48"/>
      <c r="H166" s="49"/>
      <c r="I166" s="76" t="str">
        <f t="shared" si="17"/>
        <v/>
      </c>
      <c r="J166" s="50"/>
      <c r="K166" s="50"/>
      <c r="L166" s="50"/>
      <c r="M166" s="48"/>
      <c r="N166" s="49" t="str">
        <f t="shared" si="18"/>
        <v/>
      </c>
      <c r="O166" s="49" t="str">
        <f t="shared" si="19"/>
        <v/>
      </c>
      <c r="P166" s="77" t="str">
        <f t="shared" si="20"/>
        <v/>
      </c>
      <c r="Q166" s="78">
        <f t="shared" si="21"/>
        <v>0</v>
      </c>
      <c r="R166" s="78">
        <f t="shared" si="22"/>
        <v>0</v>
      </c>
      <c r="S166" s="77">
        <f t="shared" si="23"/>
        <v>0</v>
      </c>
      <c r="T166" s="48"/>
    </row>
    <row r="167" spans="1:20" s="57" customFormat="1" ht="14">
      <c r="A167" s="45"/>
      <c r="B167" s="46"/>
      <c r="C167" s="47">
        <f t="shared" si="16"/>
        <v>0</v>
      </c>
      <c r="D167" s="48"/>
      <c r="E167" s="48"/>
      <c r="F167" s="48"/>
      <c r="G167" s="48"/>
      <c r="H167" s="49"/>
      <c r="I167" s="76" t="str">
        <f t="shared" si="17"/>
        <v/>
      </c>
      <c r="J167" s="50"/>
      <c r="K167" s="50"/>
      <c r="L167" s="50"/>
      <c r="M167" s="48"/>
      <c r="N167" s="49" t="str">
        <f t="shared" si="18"/>
        <v/>
      </c>
      <c r="O167" s="49" t="str">
        <f t="shared" si="19"/>
        <v/>
      </c>
      <c r="P167" s="77" t="str">
        <f t="shared" si="20"/>
        <v/>
      </c>
      <c r="Q167" s="78">
        <f t="shared" si="21"/>
        <v>0</v>
      </c>
      <c r="R167" s="78">
        <f t="shared" si="22"/>
        <v>0</v>
      </c>
      <c r="S167" s="77">
        <f t="shared" si="23"/>
        <v>0</v>
      </c>
      <c r="T167" s="48"/>
    </row>
    <row r="168" spans="1:20" s="57" customFormat="1" ht="14">
      <c r="A168" s="45"/>
      <c r="B168" s="46"/>
      <c r="C168" s="47">
        <f t="shared" si="16"/>
        <v>0</v>
      </c>
      <c r="D168" s="48"/>
      <c r="E168" s="48"/>
      <c r="F168" s="48"/>
      <c r="G168" s="48"/>
      <c r="H168" s="49"/>
      <c r="I168" s="76" t="str">
        <f t="shared" si="17"/>
        <v/>
      </c>
      <c r="J168" s="50"/>
      <c r="K168" s="50"/>
      <c r="L168" s="50"/>
      <c r="M168" s="48"/>
      <c r="N168" s="49" t="str">
        <f t="shared" si="18"/>
        <v/>
      </c>
      <c r="O168" s="49" t="str">
        <f t="shared" si="19"/>
        <v/>
      </c>
      <c r="P168" s="77" t="str">
        <f t="shared" si="20"/>
        <v/>
      </c>
      <c r="Q168" s="78">
        <f t="shared" si="21"/>
        <v>0</v>
      </c>
      <c r="R168" s="78">
        <f t="shared" si="22"/>
        <v>0</v>
      </c>
      <c r="S168" s="77">
        <f t="shared" si="23"/>
        <v>0</v>
      </c>
      <c r="T168" s="48"/>
    </row>
    <row r="169" spans="1:20" s="57" customFormat="1" ht="14">
      <c r="A169" s="45"/>
      <c r="B169" s="46"/>
      <c r="C169" s="47">
        <f t="shared" si="16"/>
        <v>0</v>
      </c>
      <c r="D169" s="48"/>
      <c r="E169" s="48"/>
      <c r="F169" s="48"/>
      <c r="G169" s="48"/>
      <c r="H169" s="49"/>
      <c r="I169" s="76" t="str">
        <f t="shared" si="17"/>
        <v/>
      </c>
      <c r="J169" s="50"/>
      <c r="K169" s="50"/>
      <c r="L169" s="50"/>
      <c r="M169" s="48"/>
      <c r="N169" s="49" t="str">
        <f t="shared" si="18"/>
        <v/>
      </c>
      <c r="O169" s="49" t="str">
        <f t="shared" si="19"/>
        <v/>
      </c>
      <c r="P169" s="77" t="str">
        <f t="shared" si="20"/>
        <v/>
      </c>
      <c r="Q169" s="78">
        <f t="shared" si="21"/>
        <v>0</v>
      </c>
      <c r="R169" s="78">
        <f t="shared" si="22"/>
        <v>0</v>
      </c>
      <c r="S169" s="77">
        <f t="shared" si="23"/>
        <v>0</v>
      </c>
      <c r="T169" s="48"/>
    </row>
    <row r="170" spans="1:20" s="57" customFormat="1" ht="14">
      <c r="A170" s="45"/>
      <c r="B170" s="46"/>
      <c r="C170" s="47">
        <f t="shared" si="16"/>
        <v>0</v>
      </c>
      <c r="D170" s="48"/>
      <c r="E170" s="48"/>
      <c r="F170" s="48"/>
      <c r="G170" s="48"/>
      <c r="H170" s="49"/>
      <c r="I170" s="76" t="str">
        <f t="shared" si="17"/>
        <v/>
      </c>
      <c r="J170" s="50"/>
      <c r="K170" s="50"/>
      <c r="L170" s="50"/>
      <c r="M170" s="48"/>
      <c r="N170" s="49" t="str">
        <f t="shared" si="18"/>
        <v/>
      </c>
      <c r="O170" s="49" t="str">
        <f t="shared" si="19"/>
        <v/>
      </c>
      <c r="P170" s="77" t="str">
        <f t="shared" si="20"/>
        <v/>
      </c>
      <c r="Q170" s="78">
        <f t="shared" si="21"/>
        <v>0</v>
      </c>
      <c r="R170" s="78">
        <f t="shared" si="22"/>
        <v>0</v>
      </c>
      <c r="S170" s="77">
        <f t="shared" si="23"/>
        <v>0</v>
      </c>
      <c r="T170" s="48"/>
    </row>
    <row r="171" spans="1:20" s="57" customFormat="1" ht="14">
      <c r="A171" s="45"/>
      <c r="B171" s="46"/>
      <c r="C171" s="47">
        <f t="shared" si="16"/>
        <v>0</v>
      </c>
      <c r="D171" s="48"/>
      <c r="E171" s="48"/>
      <c r="F171" s="48"/>
      <c r="G171" s="48"/>
      <c r="H171" s="49"/>
      <c r="I171" s="76" t="str">
        <f t="shared" si="17"/>
        <v/>
      </c>
      <c r="J171" s="50"/>
      <c r="K171" s="50"/>
      <c r="L171" s="50"/>
      <c r="M171" s="48"/>
      <c r="N171" s="49" t="str">
        <f t="shared" si="18"/>
        <v/>
      </c>
      <c r="O171" s="49" t="str">
        <f t="shared" si="19"/>
        <v/>
      </c>
      <c r="P171" s="77" t="str">
        <f t="shared" si="20"/>
        <v/>
      </c>
      <c r="Q171" s="78">
        <f t="shared" si="21"/>
        <v>0</v>
      </c>
      <c r="R171" s="78">
        <f t="shared" si="22"/>
        <v>0</v>
      </c>
      <c r="S171" s="77">
        <f t="shared" si="23"/>
        <v>0</v>
      </c>
      <c r="T171" s="48"/>
    </row>
    <row r="172" spans="1:20" s="57" customFormat="1" ht="14">
      <c r="A172" s="45"/>
      <c r="B172" s="46"/>
      <c r="C172" s="47">
        <f t="shared" si="16"/>
        <v>0</v>
      </c>
      <c r="D172" s="48"/>
      <c r="E172" s="48"/>
      <c r="F172" s="48"/>
      <c r="G172" s="48"/>
      <c r="H172" s="49"/>
      <c r="I172" s="76" t="str">
        <f t="shared" si="17"/>
        <v/>
      </c>
      <c r="J172" s="50"/>
      <c r="K172" s="50"/>
      <c r="L172" s="50"/>
      <c r="M172" s="48"/>
      <c r="N172" s="49" t="str">
        <f t="shared" si="18"/>
        <v/>
      </c>
      <c r="O172" s="49" t="str">
        <f t="shared" si="19"/>
        <v/>
      </c>
      <c r="P172" s="77" t="str">
        <f t="shared" si="20"/>
        <v/>
      </c>
      <c r="Q172" s="78">
        <f t="shared" si="21"/>
        <v>0</v>
      </c>
      <c r="R172" s="78">
        <f t="shared" si="22"/>
        <v>0</v>
      </c>
      <c r="S172" s="77">
        <f t="shared" si="23"/>
        <v>0</v>
      </c>
      <c r="T172" s="48"/>
    </row>
    <row r="173" spans="1:20" s="57" customFormat="1" ht="14">
      <c r="A173" s="45"/>
      <c r="B173" s="46"/>
      <c r="C173" s="47">
        <f t="shared" si="16"/>
        <v>0</v>
      </c>
      <c r="D173" s="48"/>
      <c r="E173" s="48"/>
      <c r="F173" s="48"/>
      <c r="G173" s="48"/>
      <c r="H173" s="49"/>
      <c r="I173" s="76" t="str">
        <f t="shared" si="17"/>
        <v/>
      </c>
      <c r="J173" s="50"/>
      <c r="K173" s="50"/>
      <c r="L173" s="50"/>
      <c r="M173" s="48"/>
      <c r="N173" s="49" t="str">
        <f t="shared" si="18"/>
        <v/>
      </c>
      <c r="O173" s="49" t="str">
        <f t="shared" si="19"/>
        <v/>
      </c>
      <c r="P173" s="77" t="str">
        <f t="shared" si="20"/>
        <v/>
      </c>
      <c r="Q173" s="78">
        <f t="shared" si="21"/>
        <v>0</v>
      </c>
      <c r="R173" s="78">
        <f t="shared" si="22"/>
        <v>0</v>
      </c>
      <c r="S173" s="77">
        <f t="shared" si="23"/>
        <v>0</v>
      </c>
      <c r="T173" s="48"/>
    </row>
    <row r="174" spans="1:20" s="57" customFormat="1" ht="14">
      <c r="A174" s="45"/>
      <c r="B174" s="46"/>
      <c r="C174" s="47">
        <f t="shared" si="16"/>
        <v>0</v>
      </c>
      <c r="D174" s="48"/>
      <c r="E174" s="48"/>
      <c r="F174" s="48"/>
      <c r="G174" s="48"/>
      <c r="H174" s="49"/>
      <c r="I174" s="76" t="str">
        <f t="shared" si="17"/>
        <v/>
      </c>
      <c r="J174" s="50"/>
      <c r="K174" s="50"/>
      <c r="L174" s="50"/>
      <c r="M174" s="48"/>
      <c r="N174" s="49" t="str">
        <f t="shared" si="18"/>
        <v/>
      </c>
      <c r="O174" s="49" t="str">
        <f t="shared" si="19"/>
        <v/>
      </c>
      <c r="P174" s="77" t="str">
        <f t="shared" si="20"/>
        <v/>
      </c>
      <c r="Q174" s="78">
        <f t="shared" si="21"/>
        <v>0</v>
      </c>
      <c r="R174" s="78">
        <f t="shared" si="22"/>
        <v>0</v>
      </c>
      <c r="S174" s="77">
        <f t="shared" si="23"/>
        <v>0</v>
      </c>
      <c r="T174" s="48"/>
    </row>
    <row r="175" spans="1:20" s="57" customFormat="1" ht="14">
      <c r="A175" s="45"/>
      <c r="B175" s="46"/>
      <c r="C175" s="47">
        <f t="shared" si="16"/>
        <v>0</v>
      </c>
      <c r="D175" s="48"/>
      <c r="E175" s="48"/>
      <c r="F175" s="48"/>
      <c r="G175" s="48"/>
      <c r="H175" s="49"/>
      <c r="I175" s="76" t="str">
        <f t="shared" si="17"/>
        <v/>
      </c>
      <c r="J175" s="50"/>
      <c r="K175" s="50"/>
      <c r="L175" s="50"/>
      <c r="M175" s="48"/>
      <c r="N175" s="49" t="str">
        <f t="shared" si="18"/>
        <v/>
      </c>
      <c r="O175" s="49" t="str">
        <f t="shared" si="19"/>
        <v/>
      </c>
      <c r="P175" s="77" t="str">
        <f t="shared" si="20"/>
        <v/>
      </c>
      <c r="Q175" s="78">
        <f t="shared" si="21"/>
        <v>0</v>
      </c>
      <c r="R175" s="78">
        <f t="shared" si="22"/>
        <v>0</v>
      </c>
      <c r="S175" s="77">
        <f t="shared" si="23"/>
        <v>0</v>
      </c>
      <c r="T175" s="48"/>
    </row>
    <row r="176" spans="1:20" s="57" customFormat="1" ht="14">
      <c r="A176" s="45"/>
      <c r="B176" s="46"/>
      <c r="C176" s="47">
        <f t="shared" si="16"/>
        <v>0</v>
      </c>
      <c r="D176" s="48"/>
      <c r="E176" s="48"/>
      <c r="F176" s="48"/>
      <c r="G176" s="48"/>
      <c r="H176" s="49"/>
      <c r="I176" s="76" t="str">
        <f t="shared" si="17"/>
        <v/>
      </c>
      <c r="J176" s="50"/>
      <c r="K176" s="50"/>
      <c r="L176" s="50"/>
      <c r="M176" s="48"/>
      <c r="N176" s="49" t="str">
        <f t="shared" si="18"/>
        <v/>
      </c>
      <c r="O176" s="49" t="str">
        <f t="shared" si="19"/>
        <v/>
      </c>
      <c r="P176" s="77" t="str">
        <f t="shared" si="20"/>
        <v/>
      </c>
      <c r="Q176" s="78">
        <f t="shared" si="21"/>
        <v>0</v>
      </c>
      <c r="R176" s="78">
        <f t="shared" si="22"/>
        <v>0</v>
      </c>
      <c r="S176" s="77">
        <f t="shared" si="23"/>
        <v>0</v>
      </c>
      <c r="T176" s="48"/>
    </row>
    <row r="177" spans="1:20" s="57" customFormat="1" ht="14">
      <c r="A177" s="45"/>
      <c r="B177" s="46"/>
      <c r="C177" s="47">
        <f t="shared" si="16"/>
        <v>0</v>
      </c>
      <c r="D177" s="48"/>
      <c r="E177" s="48"/>
      <c r="F177" s="48"/>
      <c r="G177" s="48"/>
      <c r="H177" s="49"/>
      <c r="I177" s="76" t="str">
        <f t="shared" si="17"/>
        <v/>
      </c>
      <c r="J177" s="50"/>
      <c r="K177" s="50"/>
      <c r="L177" s="50"/>
      <c r="M177" s="48"/>
      <c r="N177" s="49" t="str">
        <f t="shared" si="18"/>
        <v/>
      </c>
      <c r="O177" s="49" t="str">
        <f t="shared" si="19"/>
        <v/>
      </c>
      <c r="P177" s="77" t="str">
        <f t="shared" si="20"/>
        <v/>
      </c>
      <c r="Q177" s="78">
        <f t="shared" si="21"/>
        <v>0</v>
      </c>
      <c r="R177" s="78">
        <f t="shared" si="22"/>
        <v>0</v>
      </c>
      <c r="S177" s="77">
        <f t="shared" si="23"/>
        <v>0</v>
      </c>
      <c r="T177" s="48"/>
    </row>
    <row r="178" spans="1:20" s="57" customFormat="1" ht="14">
      <c r="A178" s="45"/>
      <c r="B178" s="46"/>
      <c r="C178" s="47">
        <f t="shared" si="16"/>
        <v>0</v>
      </c>
      <c r="D178" s="48"/>
      <c r="E178" s="48"/>
      <c r="F178" s="48"/>
      <c r="G178" s="48"/>
      <c r="H178" s="49"/>
      <c r="I178" s="76" t="str">
        <f t="shared" si="17"/>
        <v/>
      </c>
      <c r="J178" s="50"/>
      <c r="K178" s="50"/>
      <c r="L178" s="50"/>
      <c r="M178" s="48"/>
      <c r="N178" s="49" t="str">
        <f t="shared" si="18"/>
        <v/>
      </c>
      <c r="O178" s="49" t="str">
        <f t="shared" si="19"/>
        <v/>
      </c>
      <c r="P178" s="77" t="str">
        <f t="shared" si="20"/>
        <v/>
      </c>
      <c r="Q178" s="78">
        <f t="shared" si="21"/>
        <v>0</v>
      </c>
      <c r="R178" s="78">
        <f t="shared" si="22"/>
        <v>0</v>
      </c>
      <c r="S178" s="77">
        <f t="shared" si="23"/>
        <v>0</v>
      </c>
      <c r="T178" s="48"/>
    </row>
    <row r="179" spans="1:20" s="57" customFormat="1" ht="14">
      <c r="A179" s="45"/>
      <c r="B179" s="46"/>
      <c r="C179" s="47">
        <f t="shared" si="16"/>
        <v>0</v>
      </c>
      <c r="D179" s="48"/>
      <c r="E179" s="48"/>
      <c r="F179" s="48"/>
      <c r="G179" s="48"/>
      <c r="H179" s="49"/>
      <c r="I179" s="76" t="str">
        <f t="shared" si="17"/>
        <v/>
      </c>
      <c r="J179" s="50"/>
      <c r="K179" s="50"/>
      <c r="L179" s="50"/>
      <c r="M179" s="48"/>
      <c r="N179" s="49" t="str">
        <f t="shared" si="18"/>
        <v/>
      </c>
      <c r="O179" s="49" t="str">
        <f t="shared" si="19"/>
        <v/>
      </c>
      <c r="P179" s="77" t="str">
        <f t="shared" si="20"/>
        <v/>
      </c>
      <c r="Q179" s="78">
        <f t="shared" si="21"/>
        <v>0</v>
      </c>
      <c r="R179" s="78">
        <f t="shared" si="22"/>
        <v>0</v>
      </c>
      <c r="S179" s="77">
        <f t="shared" si="23"/>
        <v>0</v>
      </c>
      <c r="T179" s="48"/>
    </row>
    <row r="180" spans="1:20" s="57" customFormat="1" ht="14">
      <c r="A180" s="45"/>
      <c r="B180" s="46"/>
      <c r="C180" s="47">
        <f t="shared" si="16"/>
        <v>0</v>
      </c>
      <c r="D180" s="48"/>
      <c r="E180" s="48"/>
      <c r="F180" s="48"/>
      <c r="G180" s="48"/>
      <c r="H180" s="49"/>
      <c r="I180" s="76" t="str">
        <f t="shared" si="17"/>
        <v/>
      </c>
      <c r="J180" s="50"/>
      <c r="K180" s="50"/>
      <c r="L180" s="50"/>
      <c r="M180" s="48"/>
      <c r="N180" s="49" t="str">
        <f t="shared" si="18"/>
        <v/>
      </c>
      <c r="O180" s="49" t="str">
        <f t="shared" si="19"/>
        <v/>
      </c>
      <c r="P180" s="77" t="str">
        <f t="shared" si="20"/>
        <v/>
      </c>
      <c r="Q180" s="78">
        <f t="shared" si="21"/>
        <v>0</v>
      </c>
      <c r="R180" s="78">
        <f t="shared" si="22"/>
        <v>0</v>
      </c>
      <c r="S180" s="77">
        <f t="shared" si="23"/>
        <v>0</v>
      </c>
      <c r="T180" s="48"/>
    </row>
    <row r="181" spans="1:20" s="57" customFormat="1" ht="14">
      <c r="A181" s="45"/>
      <c r="B181" s="46"/>
      <c r="C181" s="47">
        <f t="shared" si="16"/>
        <v>0</v>
      </c>
      <c r="D181" s="48"/>
      <c r="E181" s="48"/>
      <c r="F181" s="48"/>
      <c r="G181" s="48"/>
      <c r="H181" s="49"/>
      <c r="I181" s="76" t="str">
        <f t="shared" si="17"/>
        <v/>
      </c>
      <c r="J181" s="50"/>
      <c r="K181" s="50"/>
      <c r="L181" s="50"/>
      <c r="M181" s="48"/>
      <c r="N181" s="49" t="str">
        <f t="shared" si="18"/>
        <v/>
      </c>
      <c r="O181" s="49" t="str">
        <f t="shared" si="19"/>
        <v/>
      </c>
      <c r="P181" s="77" t="str">
        <f t="shared" si="20"/>
        <v/>
      </c>
      <c r="Q181" s="78">
        <f t="shared" si="21"/>
        <v>0</v>
      </c>
      <c r="R181" s="78">
        <f t="shared" si="22"/>
        <v>0</v>
      </c>
      <c r="S181" s="77">
        <f t="shared" si="23"/>
        <v>0</v>
      </c>
      <c r="T181" s="48"/>
    </row>
    <row r="182" spans="1:20" s="57" customFormat="1" ht="14">
      <c r="A182" s="45"/>
      <c r="B182" s="46"/>
      <c r="C182" s="47">
        <f t="shared" si="16"/>
        <v>0</v>
      </c>
      <c r="D182" s="48"/>
      <c r="E182" s="48"/>
      <c r="F182" s="48"/>
      <c r="G182" s="48"/>
      <c r="H182" s="49"/>
      <c r="I182" s="76" t="str">
        <f t="shared" si="17"/>
        <v/>
      </c>
      <c r="J182" s="50"/>
      <c r="K182" s="50"/>
      <c r="L182" s="50"/>
      <c r="M182" s="48"/>
      <c r="N182" s="49" t="str">
        <f t="shared" si="18"/>
        <v/>
      </c>
      <c r="O182" s="49" t="str">
        <f t="shared" si="19"/>
        <v/>
      </c>
      <c r="P182" s="77" t="str">
        <f t="shared" si="20"/>
        <v/>
      </c>
      <c r="Q182" s="78">
        <f t="shared" si="21"/>
        <v>0</v>
      </c>
      <c r="R182" s="78">
        <f t="shared" si="22"/>
        <v>0</v>
      </c>
      <c r="S182" s="77">
        <f t="shared" si="23"/>
        <v>0</v>
      </c>
      <c r="T182" s="48"/>
    </row>
    <row r="183" spans="1:20" s="57" customFormat="1" ht="14">
      <c r="A183" s="45"/>
      <c r="B183" s="46"/>
      <c r="C183" s="47">
        <f t="shared" si="16"/>
        <v>0</v>
      </c>
      <c r="D183" s="48"/>
      <c r="E183" s="48"/>
      <c r="F183" s="48"/>
      <c r="G183" s="48"/>
      <c r="H183" s="49"/>
      <c r="I183" s="76" t="str">
        <f t="shared" si="17"/>
        <v/>
      </c>
      <c r="J183" s="50"/>
      <c r="K183" s="50"/>
      <c r="L183" s="50"/>
      <c r="M183" s="48"/>
      <c r="N183" s="49" t="str">
        <f t="shared" si="18"/>
        <v/>
      </c>
      <c r="O183" s="49" t="str">
        <f t="shared" si="19"/>
        <v/>
      </c>
      <c r="P183" s="77" t="str">
        <f t="shared" si="20"/>
        <v/>
      </c>
      <c r="Q183" s="78">
        <f t="shared" si="21"/>
        <v>0</v>
      </c>
      <c r="R183" s="78">
        <f t="shared" si="22"/>
        <v>0</v>
      </c>
      <c r="S183" s="77">
        <f t="shared" si="23"/>
        <v>0</v>
      </c>
      <c r="T183" s="48"/>
    </row>
    <row r="184" spans="1:20" s="57" customFormat="1" ht="14">
      <c r="A184" s="45"/>
      <c r="B184" s="46"/>
      <c r="C184" s="47">
        <f t="shared" si="16"/>
        <v>0</v>
      </c>
      <c r="D184" s="48"/>
      <c r="E184" s="48"/>
      <c r="F184" s="48"/>
      <c r="G184" s="48"/>
      <c r="H184" s="49"/>
      <c r="I184" s="76" t="str">
        <f t="shared" si="17"/>
        <v/>
      </c>
      <c r="J184" s="50"/>
      <c r="K184" s="50"/>
      <c r="L184" s="50"/>
      <c r="M184" s="48"/>
      <c r="N184" s="49" t="str">
        <f t="shared" si="18"/>
        <v/>
      </c>
      <c r="O184" s="49" t="str">
        <f t="shared" si="19"/>
        <v/>
      </c>
      <c r="P184" s="77" t="str">
        <f t="shared" si="20"/>
        <v/>
      </c>
      <c r="Q184" s="78">
        <f t="shared" si="21"/>
        <v>0</v>
      </c>
      <c r="R184" s="78">
        <f t="shared" si="22"/>
        <v>0</v>
      </c>
      <c r="S184" s="77">
        <f t="shared" si="23"/>
        <v>0</v>
      </c>
      <c r="T184" s="48"/>
    </row>
    <row r="185" spans="1:20" s="57" customFormat="1" ht="14">
      <c r="A185" s="45"/>
      <c r="B185" s="46"/>
      <c r="C185" s="47">
        <f t="shared" si="16"/>
        <v>0</v>
      </c>
      <c r="D185" s="48"/>
      <c r="E185" s="48"/>
      <c r="F185" s="48"/>
      <c r="G185" s="48"/>
      <c r="H185" s="49"/>
      <c r="I185" s="76" t="str">
        <f t="shared" si="17"/>
        <v/>
      </c>
      <c r="J185" s="50"/>
      <c r="K185" s="50"/>
      <c r="L185" s="50"/>
      <c r="M185" s="48"/>
      <c r="N185" s="49" t="str">
        <f t="shared" si="18"/>
        <v/>
      </c>
      <c r="O185" s="49" t="str">
        <f t="shared" si="19"/>
        <v/>
      </c>
      <c r="P185" s="77" t="str">
        <f t="shared" si="20"/>
        <v/>
      </c>
      <c r="Q185" s="78">
        <f t="shared" si="21"/>
        <v>0</v>
      </c>
      <c r="R185" s="78">
        <f t="shared" si="22"/>
        <v>0</v>
      </c>
      <c r="S185" s="77">
        <f t="shared" si="23"/>
        <v>0</v>
      </c>
      <c r="T185" s="48"/>
    </row>
    <row r="186" spans="1:20" s="57" customFormat="1" ht="14">
      <c r="A186" s="45"/>
      <c r="B186" s="46"/>
      <c r="C186" s="47">
        <f t="shared" si="16"/>
        <v>0</v>
      </c>
      <c r="D186" s="48"/>
      <c r="E186" s="48"/>
      <c r="F186" s="48"/>
      <c r="G186" s="48"/>
      <c r="H186" s="49"/>
      <c r="I186" s="76" t="str">
        <f t="shared" si="17"/>
        <v/>
      </c>
      <c r="J186" s="50"/>
      <c r="K186" s="50"/>
      <c r="L186" s="50"/>
      <c r="M186" s="48"/>
      <c r="N186" s="49" t="str">
        <f t="shared" si="18"/>
        <v/>
      </c>
      <c r="O186" s="49" t="str">
        <f t="shared" si="19"/>
        <v/>
      </c>
      <c r="P186" s="77" t="str">
        <f t="shared" si="20"/>
        <v/>
      </c>
      <c r="Q186" s="78">
        <f t="shared" si="21"/>
        <v>0</v>
      </c>
      <c r="R186" s="78">
        <f t="shared" si="22"/>
        <v>0</v>
      </c>
      <c r="S186" s="77">
        <f t="shared" si="23"/>
        <v>0</v>
      </c>
      <c r="T186" s="48"/>
    </row>
    <row r="187" spans="1:20" s="57" customFormat="1" ht="14">
      <c r="A187" s="45"/>
      <c r="B187" s="46"/>
      <c r="C187" s="47">
        <f t="shared" si="16"/>
        <v>0</v>
      </c>
      <c r="D187" s="48"/>
      <c r="E187" s="48"/>
      <c r="F187" s="48"/>
      <c r="G187" s="48"/>
      <c r="H187" s="49"/>
      <c r="I187" s="76" t="str">
        <f t="shared" si="17"/>
        <v/>
      </c>
      <c r="J187" s="50"/>
      <c r="K187" s="50"/>
      <c r="L187" s="50"/>
      <c r="M187" s="48"/>
      <c r="N187" s="49" t="str">
        <f t="shared" si="18"/>
        <v/>
      </c>
      <c r="O187" s="49" t="str">
        <f t="shared" si="19"/>
        <v/>
      </c>
      <c r="P187" s="77" t="str">
        <f t="shared" si="20"/>
        <v/>
      </c>
      <c r="Q187" s="78">
        <f t="shared" si="21"/>
        <v>0</v>
      </c>
      <c r="R187" s="78">
        <f t="shared" si="22"/>
        <v>0</v>
      </c>
      <c r="S187" s="77">
        <f t="shared" si="23"/>
        <v>0</v>
      </c>
      <c r="T187" s="48"/>
    </row>
    <row r="188" spans="1:20" s="57" customFormat="1" ht="14">
      <c r="A188" s="45"/>
      <c r="B188" s="46"/>
      <c r="C188" s="47">
        <f t="shared" si="16"/>
        <v>0</v>
      </c>
      <c r="D188" s="48"/>
      <c r="E188" s="48"/>
      <c r="F188" s="48"/>
      <c r="G188" s="48"/>
      <c r="H188" s="49"/>
      <c r="I188" s="76" t="str">
        <f t="shared" si="17"/>
        <v/>
      </c>
      <c r="J188" s="50"/>
      <c r="K188" s="50"/>
      <c r="L188" s="50"/>
      <c r="M188" s="48"/>
      <c r="N188" s="49" t="str">
        <f t="shared" si="18"/>
        <v/>
      </c>
      <c r="O188" s="49" t="str">
        <f t="shared" si="19"/>
        <v/>
      </c>
      <c r="P188" s="77" t="str">
        <f t="shared" si="20"/>
        <v/>
      </c>
      <c r="Q188" s="78">
        <f t="shared" si="21"/>
        <v>0</v>
      </c>
      <c r="R188" s="78">
        <f t="shared" si="22"/>
        <v>0</v>
      </c>
      <c r="S188" s="77">
        <f t="shared" si="23"/>
        <v>0</v>
      </c>
      <c r="T188" s="48"/>
    </row>
    <row r="189" spans="1:20" s="57" customFormat="1" ht="14">
      <c r="A189" s="45"/>
      <c r="B189" s="46"/>
      <c r="C189" s="47">
        <f t="shared" si="16"/>
        <v>0</v>
      </c>
      <c r="D189" s="48"/>
      <c r="E189" s="48"/>
      <c r="F189" s="48"/>
      <c r="G189" s="48"/>
      <c r="H189" s="49"/>
      <c r="I189" s="76" t="str">
        <f t="shared" si="17"/>
        <v/>
      </c>
      <c r="J189" s="50"/>
      <c r="K189" s="50"/>
      <c r="L189" s="50"/>
      <c r="M189" s="48"/>
      <c r="N189" s="49" t="str">
        <f t="shared" si="18"/>
        <v/>
      </c>
      <c r="O189" s="49" t="str">
        <f t="shared" si="19"/>
        <v/>
      </c>
      <c r="P189" s="77" t="str">
        <f t="shared" si="20"/>
        <v/>
      </c>
      <c r="Q189" s="78">
        <f t="shared" si="21"/>
        <v>0</v>
      </c>
      <c r="R189" s="78">
        <f t="shared" si="22"/>
        <v>0</v>
      </c>
      <c r="S189" s="77">
        <f t="shared" si="23"/>
        <v>0</v>
      </c>
      <c r="T189" s="48"/>
    </row>
    <row r="190" spans="1:20" s="57" customFormat="1" ht="14">
      <c r="A190" s="45"/>
      <c r="B190" s="46"/>
      <c r="C190" s="47">
        <f t="shared" si="16"/>
        <v>0</v>
      </c>
      <c r="D190" s="48"/>
      <c r="E190" s="48"/>
      <c r="F190" s="48"/>
      <c r="G190" s="48"/>
      <c r="H190" s="49"/>
      <c r="I190" s="76" t="str">
        <f t="shared" si="17"/>
        <v/>
      </c>
      <c r="J190" s="50"/>
      <c r="K190" s="50"/>
      <c r="L190" s="50"/>
      <c r="M190" s="48"/>
      <c r="N190" s="49" t="str">
        <f t="shared" si="18"/>
        <v/>
      </c>
      <c r="O190" s="49" t="str">
        <f t="shared" si="19"/>
        <v/>
      </c>
      <c r="P190" s="77" t="str">
        <f t="shared" si="20"/>
        <v/>
      </c>
      <c r="Q190" s="78">
        <f t="shared" si="21"/>
        <v>0</v>
      </c>
      <c r="R190" s="78">
        <f t="shared" si="22"/>
        <v>0</v>
      </c>
      <c r="S190" s="77">
        <f t="shared" si="23"/>
        <v>0</v>
      </c>
      <c r="T190" s="48"/>
    </row>
    <row r="191" spans="1:20" s="57" customFormat="1" ht="14">
      <c r="A191" s="45"/>
      <c r="B191" s="46"/>
      <c r="C191" s="47">
        <f t="shared" si="16"/>
        <v>0</v>
      </c>
      <c r="D191" s="48"/>
      <c r="E191" s="48"/>
      <c r="F191" s="48"/>
      <c r="G191" s="48"/>
      <c r="H191" s="49"/>
      <c r="I191" s="76" t="str">
        <f t="shared" si="17"/>
        <v/>
      </c>
      <c r="J191" s="50"/>
      <c r="K191" s="50"/>
      <c r="L191" s="50"/>
      <c r="M191" s="48"/>
      <c r="N191" s="49" t="str">
        <f t="shared" si="18"/>
        <v/>
      </c>
      <c r="O191" s="49" t="str">
        <f t="shared" si="19"/>
        <v/>
      </c>
      <c r="P191" s="77" t="str">
        <f t="shared" si="20"/>
        <v/>
      </c>
      <c r="Q191" s="78">
        <f t="shared" si="21"/>
        <v>0</v>
      </c>
      <c r="R191" s="78">
        <f t="shared" si="22"/>
        <v>0</v>
      </c>
      <c r="S191" s="77">
        <f t="shared" si="23"/>
        <v>0</v>
      </c>
      <c r="T191" s="48"/>
    </row>
    <row r="192" spans="1:20" s="57" customFormat="1" ht="14">
      <c r="A192" s="45"/>
      <c r="B192" s="46"/>
      <c r="C192" s="47">
        <f t="shared" si="16"/>
        <v>0</v>
      </c>
      <c r="D192" s="48"/>
      <c r="E192" s="48"/>
      <c r="F192" s="48"/>
      <c r="G192" s="48"/>
      <c r="H192" s="49"/>
      <c r="I192" s="76" t="str">
        <f t="shared" si="17"/>
        <v/>
      </c>
      <c r="J192" s="50"/>
      <c r="K192" s="50"/>
      <c r="L192" s="50"/>
      <c r="M192" s="48"/>
      <c r="N192" s="49" t="str">
        <f t="shared" si="18"/>
        <v/>
      </c>
      <c r="O192" s="49" t="str">
        <f t="shared" si="19"/>
        <v/>
      </c>
      <c r="P192" s="77" t="str">
        <f t="shared" si="20"/>
        <v/>
      </c>
      <c r="Q192" s="78">
        <f t="shared" si="21"/>
        <v>0</v>
      </c>
      <c r="R192" s="78">
        <f t="shared" si="22"/>
        <v>0</v>
      </c>
      <c r="S192" s="77">
        <f t="shared" si="23"/>
        <v>0</v>
      </c>
      <c r="T192" s="48"/>
    </row>
    <row r="193" spans="1:20" s="57" customFormat="1" ht="14">
      <c r="A193" s="45"/>
      <c r="B193" s="46"/>
      <c r="C193" s="47">
        <f t="shared" si="16"/>
        <v>0</v>
      </c>
      <c r="D193" s="48"/>
      <c r="E193" s="48"/>
      <c r="F193" s="48"/>
      <c r="G193" s="48"/>
      <c r="H193" s="49"/>
      <c r="I193" s="76" t="str">
        <f t="shared" si="17"/>
        <v/>
      </c>
      <c r="J193" s="50"/>
      <c r="K193" s="50"/>
      <c r="L193" s="50"/>
      <c r="M193" s="48"/>
      <c r="N193" s="49" t="str">
        <f t="shared" si="18"/>
        <v/>
      </c>
      <c r="O193" s="49" t="str">
        <f t="shared" si="19"/>
        <v/>
      </c>
      <c r="P193" s="77" t="str">
        <f t="shared" si="20"/>
        <v/>
      </c>
      <c r="Q193" s="78">
        <f t="shared" si="21"/>
        <v>0</v>
      </c>
      <c r="R193" s="78">
        <f t="shared" si="22"/>
        <v>0</v>
      </c>
      <c r="S193" s="77">
        <f t="shared" si="23"/>
        <v>0</v>
      </c>
      <c r="T193" s="48"/>
    </row>
    <row r="194" spans="1:20" s="57" customFormat="1" ht="14">
      <c r="A194" s="45"/>
      <c r="B194" s="46"/>
      <c r="C194" s="47">
        <f t="shared" si="16"/>
        <v>0</v>
      </c>
      <c r="D194" s="48"/>
      <c r="E194" s="48"/>
      <c r="F194" s="48"/>
      <c r="G194" s="48"/>
      <c r="H194" s="49"/>
      <c r="I194" s="76" t="str">
        <f t="shared" si="17"/>
        <v/>
      </c>
      <c r="J194" s="50"/>
      <c r="K194" s="50"/>
      <c r="L194" s="50"/>
      <c r="M194" s="48"/>
      <c r="N194" s="49" t="str">
        <f t="shared" si="18"/>
        <v/>
      </c>
      <c r="O194" s="49" t="str">
        <f t="shared" si="19"/>
        <v/>
      </c>
      <c r="P194" s="77" t="str">
        <f t="shared" si="20"/>
        <v/>
      </c>
      <c r="Q194" s="78">
        <f t="shared" si="21"/>
        <v>0</v>
      </c>
      <c r="R194" s="78">
        <f t="shared" si="22"/>
        <v>0</v>
      </c>
      <c r="S194" s="77">
        <f t="shared" si="23"/>
        <v>0</v>
      </c>
      <c r="T194" s="48"/>
    </row>
    <row r="195" spans="1:20" s="57" customFormat="1" ht="14">
      <c r="A195" s="45"/>
      <c r="B195" s="46"/>
      <c r="C195" s="47">
        <f t="shared" si="16"/>
        <v>0</v>
      </c>
      <c r="D195" s="48"/>
      <c r="E195" s="48"/>
      <c r="F195" s="48"/>
      <c r="G195" s="48"/>
      <c r="H195" s="49"/>
      <c r="I195" s="76" t="str">
        <f t="shared" si="17"/>
        <v/>
      </c>
      <c r="J195" s="50"/>
      <c r="K195" s="50"/>
      <c r="L195" s="50"/>
      <c r="M195" s="48"/>
      <c r="N195" s="49" t="str">
        <f t="shared" si="18"/>
        <v/>
      </c>
      <c r="O195" s="49" t="str">
        <f t="shared" si="19"/>
        <v/>
      </c>
      <c r="P195" s="77" t="str">
        <f t="shared" si="20"/>
        <v/>
      </c>
      <c r="Q195" s="78">
        <f t="shared" si="21"/>
        <v>0</v>
      </c>
      <c r="R195" s="78">
        <f t="shared" si="22"/>
        <v>0</v>
      </c>
      <c r="S195" s="77">
        <f t="shared" si="23"/>
        <v>0</v>
      </c>
      <c r="T195" s="48"/>
    </row>
    <row r="196" spans="1:20" s="57" customFormat="1" ht="14">
      <c r="A196" s="45"/>
      <c r="B196" s="46"/>
      <c r="C196" s="47">
        <f t="shared" si="16"/>
        <v>0</v>
      </c>
      <c r="D196" s="48"/>
      <c r="E196" s="48"/>
      <c r="F196" s="48"/>
      <c r="G196" s="48"/>
      <c r="H196" s="49"/>
      <c r="I196" s="76" t="str">
        <f t="shared" si="17"/>
        <v/>
      </c>
      <c r="J196" s="50"/>
      <c r="K196" s="50"/>
      <c r="L196" s="50"/>
      <c r="M196" s="48"/>
      <c r="N196" s="49" t="str">
        <f t="shared" si="18"/>
        <v/>
      </c>
      <c r="O196" s="49" t="str">
        <f t="shared" si="19"/>
        <v/>
      </c>
      <c r="P196" s="77" t="str">
        <f t="shared" si="20"/>
        <v/>
      </c>
      <c r="Q196" s="78">
        <f t="shared" si="21"/>
        <v>0</v>
      </c>
      <c r="R196" s="78">
        <f t="shared" si="22"/>
        <v>0</v>
      </c>
      <c r="S196" s="77">
        <f t="shared" si="23"/>
        <v>0</v>
      </c>
      <c r="T196" s="48"/>
    </row>
    <row r="197" spans="1:20" s="57" customFormat="1" ht="14">
      <c r="A197" s="45"/>
      <c r="B197" s="46"/>
      <c r="C197" s="47">
        <f t="shared" si="16"/>
        <v>0</v>
      </c>
      <c r="D197" s="48"/>
      <c r="E197" s="48"/>
      <c r="F197" s="48"/>
      <c r="G197" s="48"/>
      <c r="H197" s="49"/>
      <c r="I197" s="76" t="str">
        <f t="shared" si="17"/>
        <v/>
      </c>
      <c r="J197" s="50"/>
      <c r="K197" s="50"/>
      <c r="L197" s="50"/>
      <c r="M197" s="48"/>
      <c r="N197" s="49" t="str">
        <f t="shared" si="18"/>
        <v/>
      </c>
      <c r="O197" s="49" t="str">
        <f t="shared" si="19"/>
        <v/>
      </c>
      <c r="P197" s="77" t="str">
        <f t="shared" si="20"/>
        <v/>
      </c>
      <c r="Q197" s="78">
        <f t="shared" si="21"/>
        <v>0</v>
      </c>
      <c r="R197" s="78">
        <f t="shared" si="22"/>
        <v>0</v>
      </c>
      <c r="S197" s="77">
        <f t="shared" si="23"/>
        <v>0</v>
      </c>
      <c r="T197" s="48"/>
    </row>
    <row r="198" spans="1:20" s="57" customFormat="1" ht="14">
      <c r="A198" s="45"/>
      <c r="B198" s="46"/>
      <c r="C198" s="47">
        <f t="shared" si="16"/>
        <v>0</v>
      </c>
      <c r="D198" s="48"/>
      <c r="E198" s="48"/>
      <c r="F198" s="48"/>
      <c r="G198" s="48"/>
      <c r="H198" s="49"/>
      <c r="I198" s="76" t="str">
        <f t="shared" si="17"/>
        <v/>
      </c>
      <c r="J198" s="50"/>
      <c r="K198" s="50"/>
      <c r="L198" s="50"/>
      <c r="M198" s="48"/>
      <c r="N198" s="49" t="str">
        <f t="shared" si="18"/>
        <v/>
      </c>
      <c r="O198" s="49" t="str">
        <f t="shared" si="19"/>
        <v/>
      </c>
      <c r="P198" s="77" t="str">
        <f t="shared" si="20"/>
        <v/>
      </c>
      <c r="Q198" s="78">
        <f t="shared" si="21"/>
        <v>0</v>
      </c>
      <c r="R198" s="78">
        <f t="shared" si="22"/>
        <v>0</v>
      </c>
      <c r="S198" s="77">
        <f t="shared" si="23"/>
        <v>0</v>
      </c>
      <c r="T198" s="48"/>
    </row>
    <row r="199" spans="1:20" s="57" customFormat="1" ht="14">
      <c r="A199" s="45"/>
      <c r="B199" s="46"/>
      <c r="C199" s="47">
        <f t="shared" si="16"/>
        <v>0</v>
      </c>
      <c r="D199" s="48"/>
      <c r="E199" s="48"/>
      <c r="F199" s="48"/>
      <c r="G199" s="48"/>
      <c r="H199" s="49"/>
      <c r="I199" s="76" t="str">
        <f t="shared" si="17"/>
        <v/>
      </c>
      <c r="J199" s="50"/>
      <c r="K199" s="50"/>
      <c r="L199" s="50"/>
      <c r="M199" s="48"/>
      <c r="N199" s="49" t="str">
        <f t="shared" si="18"/>
        <v/>
      </c>
      <c r="O199" s="49" t="str">
        <f t="shared" si="19"/>
        <v/>
      </c>
      <c r="P199" s="77" t="str">
        <f t="shared" si="20"/>
        <v/>
      </c>
      <c r="Q199" s="78">
        <f t="shared" si="21"/>
        <v>0</v>
      </c>
      <c r="R199" s="78">
        <f t="shared" si="22"/>
        <v>0</v>
      </c>
      <c r="S199" s="77">
        <f t="shared" si="23"/>
        <v>0</v>
      </c>
      <c r="T199" s="48"/>
    </row>
    <row r="200" spans="1:20" s="57" customFormat="1" ht="14">
      <c r="A200" s="45"/>
      <c r="B200" s="46"/>
      <c r="C200" s="47">
        <f t="shared" si="16"/>
        <v>0</v>
      </c>
      <c r="D200" s="48"/>
      <c r="E200" s="48"/>
      <c r="F200" s="48"/>
      <c r="G200" s="48"/>
      <c r="H200" s="49"/>
      <c r="I200" s="76" t="str">
        <f t="shared" si="17"/>
        <v/>
      </c>
      <c r="J200" s="50"/>
      <c r="K200" s="50"/>
      <c r="L200" s="50"/>
      <c r="M200" s="48"/>
      <c r="N200" s="49" t="str">
        <f t="shared" si="18"/>
        <v/>
      </c>
      <c r="O200" s="49" t="str">
        <f t="shared" si="19"/>
        <v/>
      </c>
      <c r="P200" s="77" t="str">
        <f t="shared" si="20"/>
        <v/>
      </c>
      <c r="Q200" s="78">
        <f t="shared" si="21"/>
        <v>0</v>
      </c>
      <c r="R200" s="78">
        <f t="shared" si="22"/>
        <v>0</v>
      </c>
      <c r="S200" s="77">
        <f t="shared" si="23"/>
        <v>0</v>
      </c>
      <c r="T200" s="48"/>
    </row>
    <row r="201" spans="1:20" s="57" customFormat="1" ht="14">
      <c r="A201" s="45"/>
      <c r="B201" s="46"/>
      <c r="C201" s="47">
        <f t="shared" si="16"/>
        <v>0</v>
      </c>
      <c r="D201" s="48"/>
      <c r="E201" s="48"/>
      <c r="F201" s="48"/>
      <c r="G201" s="48"/>
      <c r="H201" s="49"/>
      <c r="I201" s="76" t="str">
        <f t="shared" si="17"/>
        <v/>
      </c>
      <c r="J201" s="50"/>
      <c r="K201" s="50"/>
      <c r="L201" s="50"/>
      <c r="M201" s="48"/>
      <c r="N201" s="49" t="str">
        <f t="shared" si="18"/>
        <v/>
      </c>
      <c r="O201" s="49" t="str">
        <f t="shared" si="19"/>
        <v/>
      </c>
      <c r="P201" s="77" t="str">
        <f t="shared" si="20"/>
        <v/>
      </c>
      <c r="Q201" s="78">
        <f t="shared" si="21"/>
        <v>0</v>
      </c>
      <c r="R201" s="78">
        <f t="shared" si="22"/>
        <v>0</v>
      </c>
      <c r="S201" s="77">
        <f t="shared" si="23"/>
        <v>0</v>
      </c>
      <c r="T201" s="48"/>
    </row>
    <row r="202" spans="1:20" s="57" customFormat="1" ht="14">
      <c r="A202" s="45"/>
      <c r="B202" s="46"/>
      <c r="C202" s="47">
        <f t="shared" si="16"/>
        <v>0</v>
      </c>
      <c r="D202" s="48"/>
      <c r="E202" s="48"/>
      <c r="F202" s="48"/>
      <c r="G202" s="48"/>
      <c r="H202" s="49"/>
      <c r="I202" s="76" t="str">
        <f t="shared" si="17"/>
        <v/>
      </c>
      <c r="J202" s="50"/>
      <c r="K202" s="50"/>
      <c r="L202" s="50"/>
      <c r="M202" s="48"/>
      <c r="N202" s="49" t="str">
        <f t="shared" si="18"/>
        <v/>
      </c>
      <c r="O202" s="49" t="str">
        <f t="shared" si="19"/>
        <v/>
      </c>
      <c r="P202" s="77" t="str">
        <f t="shared" si="20"/>
        <v/>
      </c>
      <c r="Q202" s="78">
        <f t="shared" si="21"/>
        <v>0</v>
      </c>
      <c r="R202" s="78">
        <f t="shared" si="22"/>
        <v>0</v>
      </c>
      <c r="S202" s="77">
        <f t="shared" si="23"/>
        <v>0</v>
      </c>
      <c r="T202" s="48"/>
    </row>
    <row r="203" spans="1:20" s="57" customFormat="1" ht="14">
      <c r="A203" s="45"/>
      <c r="B203" s="46"/>
      <c r="C203" s="47">
        <f t="shared" ref="C203:C266" si="24">IF($B203&lt;&gt;"",VLOOKUP($B203,Matriz_INM,2,0),0)</f>
        <v>0</v>
      </c>
      <c r="D203" s="48"/>
      <c r="E203" s="48"/>
      <c r="F203" s="48"/>
      <c r="G203" s="48"/>
      <c r="H203" s="49"/>
      <c r="I203" s="76" t="str">
        <f t="shared" ref="I203:I266" si="25">IFERROR(VLOOKUP($B203,Matriz_INM,3,0),"")</f>
        <v/>
      </c>
      <c r="J203" s="50"/>
      <c r="K203" s="50"/>
      <c r="L203" s="50"/>
      <c r="M203" s="48"/>
      <c r="N203" s="49"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9"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7" t="str">
        <f t="shared" ref="P203:P266" si="28">IF(N203="",O203,IF(O203="",N203,""))</f>
        <v/>
      </c>
      <c r="Q203" s="78">
        <f t="shared" ref="Q203:Q266" si="29">IF(AND(OR(M203="EE",M203="CE"),P203="Simples"),3, IF(AND(OR(M203="EE",M203="CE"),P203="Médio"),4, IF(AND(OR(M203="EE",M203="CE"),P203="Complexo"),6, IF(AND(M203="SE",P203="Simples"),4, IF(AND(M203="SE",P203="Médio"),5, IF(AND(M203="SE",P203="Complexo"),7,0))))))</f>
        <v>0</v>
      </c>
      <c r="R203" s="78">
        <f t="shared" ref="R203:R266" si="30">IF(AND(M203="ALI",O203="Simples"),7, IF(AND(M203="ALI",O203="Médio"),10, IF(AND(M203="ALI",O203="Complexo"),15, IF(AND(M203="AIE",O203="Simples"),5, IF(AND(M203="AIE",O203="Médio"),7, IF(AND(M203="AIE",O203="Complexo"),10,0))))))</f>
        <v>0</v>
      </c>
      <c r="S203" s="77">
        <f t="shared" si="23"/>
        <v>0</v>
      </c>
      <c r="T203" s="48"/>
    </row>
    <row r="204" spans="1:20" s="57" customFormat="1" ht="14">
      <c r="A204" s="45"/>
      <c r="B204" s="46"/>
      <c r="C204" s="47">
        <f t="shared" si="24"/>
        <v>0</v>
      </c>
      <c r="D204" s="48"/>
      <c r="E204" s="48"/>
      <c r="F204" s="48"/>
      <c r="G204" s="48"/>
      <c r="H204" s="49"/>
      <c r="I204" s="76" t="str">
        <f t="shared" si="25"/>
        <v/>
      </c>
      <c r="J204" s="50"/>
      <c r="K204" s="50"/>
      <c r="L204" s="50"/>
      <c r="M204" s="48"/>
      <c r="N204" s="49" t="str">
        <f t="shared" si="26"/>
        <v/>
      </c>
      <c r="O204" s="49" t="str">
        <f t="shared" si="27"/>
        <v/>
      </c>
      <c r="P204" s="77" t="str">
        <f t="shared" si="28"/>
        <v/>
      </c>
      <c r="Q204" s="78">
        <f t="shared" si="29"/>
        <v>0</v>
      </c>
      <c r="R204" s="78">
        <f t="shared" si="30"/>
        <v>0</v>
      </c>
      <c r="S204" s="77">
        <f t="shared" ref="S204:S267" si="31">IF($I204="%",($Q204+$R204)*$C204,$C204)</f>
        <v>0</v>
      </c>
      <c r="T204" s="48"/>
    </row>
    <row r="205" spans="1:20" s="57" customFormat="1" ht="14">
      <c r="A205" s="45"/>
      <c r="B205" s="46"/>
      <c r="C205" s="47">
        <f t="shared" si="24"/>
        <v>0</v>
      </c>
      <c r="D205" s="48"/>
      <c r="E205" s="48"/>
      <c r="F205" s="48"/>
      <c r="G205" s="48"/>
      <c r="H205" s="49"/>
      <c r="I205" s="76" t="str">
        <f t="shared" si="25"/>
        <v/>
      </c>
      <c r="J205" s="50"/>
      <c r="K205" s="50"/>
      <c r="L205" s="50"/>
      <c r="M205" s="48"/>
      <c r="N205" s="49" t="str">
        <f t="shared" si="26"/>
        <v/>
      </c>
      <c r="O205" s="49" t="str">
        <f t="shared" si="27"/>
        <v/>
      </c>
      <c r="P205" s="77" t="str">
        <f t="shared" si="28"/>
        <v/>
      </c>
      <c r="Q205" s="78">
        <f t="shared" si="29"/>
        <v>0</v>
      </c>
      <c r="R205" s="78">
        <f t="shared" si="30"/>
        <v>0</v>
      </c>
      <c r="S205" s="77">
        <f t="shared" si="31"/>
        <v>0</v>
      </c>
      <c r="T205" s="48"/>
    </row>
    <row r="206" spans="1:20" s="57" customFormat="1" ht="14">
      <c r="A206" s="45"/>
      <c r="B206" s="46"/>
      <c r="C206" s="47">
        <f t="shared" si="24"/>
        <v>0</v>
      </c>
      <c r="D206" s="48"/>
      <c r="E206" s="48"/>
      <c r="F206" s="48"/>
      <c r="G206" s="48"/>
      <c r="H206" s="49"/>
      <c r="I206" s="76" t="str">
        <f t="shared" si="25"/>
        <v/>
      </c>
      <c r="J206" s="50"/>
      <c r="K206" s="50"/>
      <c r="L206" s="50"/>
      <c r="M206" s="48"/>
      <c r="N206" s="49" t="str">
        <f t="shared" si="26"/>
        <v/>
      </c>
      <c r="O206" s="49" t="str">
        <f t="shared" si="27"/>
        <v/>
      </c>
      <c r="P206" s="77" t="str">
        <f t="shared" si="28"/>
        <v/>
      </c>
      <c r="Q206" s="78">
        <f t="shared" si="29"/>
        <v>0</v>
      </c>
      <c r="R206" s="78">
        <f t="shared" si="30"/>
        <v>0</v>
      </c>
      <c r="S206" s="77">
        <f t="shared" si="31"/>
        <v>0</v>
      </c>
      <c r="T206" s="48"/>
    </row>
    <row r="207" spans="1:20" s="57" customFormat="1" ht="14">
      <c r="A207" s="45"/>
      <c r="B207" s="46"/>
      <c r="C207" s="47">
        <f t="shared" si="24"/>
        <v>0</v>
      </c>
      <c r="D207" s="48"/>
      <c r="E207" s="48"/>
      <c r="F207" s="48"/>
      <c r="G207" s="48"/>
      <c r="H207" s="49"/>
      <c r="I207" s="76" t="str">
        <f t="shared" si="25"/>
        <v/>
      </c>
      <c r="J207" s="50"/>
      <c r="K207" s="50"/>
      <c r="L207" s="50"/>
      <c r="M207" s="48"/>
      <c r="N207" s="49" t="str">
        <f t="shared" si="26"/>
        <v/>
      </c>
      <c r="O207" s="49" t="str">
        <f t="shared" si="27"/>
        <v/>
      </c>
      <c r="P207" s="77" t="str">
        <f t="shared" si="28"/>
        <v/>
      </c>
      <c r="Q207" s="78">
        <f t="shared" si="29"/>
        <v>0</v>
      </c>
      <c r="R207" s="78">
        <f t="shared" si="30"/>
        <v>0</v>
      </c>
      <c r="S207" s="77">
        <f t="shared" si="31"/>
        <v>0</v>
      </c>
      <c r="T207" s="48"/>
    </row>
    <row r="208" spans="1:20" s="57" customFormat="1" ht="14">
      <c r="A208" s="45"/>
      <c r="B208" s="46"/>
      <c r="C208" s="47">
        <f t="shared" si="24"/>
        <v>0</v>
      </c>
      <c r="D208" s="48"/>
      <c r="E208" s="48"/>
      <c r="F208" s="48"/>
      <c r="G208" s="48"/>
      <c r="H208" s="49"/>
      <c r="I208" s="76" t="str">
        <f t="shared" si="25"/>
        <v/>
      </c>
      <c r="J208" s="50"/>
      <c r="K208" s="50"/>
      <c r="L208" s="50"/>
      <c r="M208" s="48"/>
      <c r="N208" s="49" t="str">
        <f t="shared" si="26"/>
        <v/>
      </c>
      <c r="O208" s="49" t="str">
        <f t="shared" si="27"/>
        <v/>
      </c>
      <c r="P208" s="77" t="str">
        <f t="shared" si="28"/>
        <v/>
      </c>
      <c r="Q208" s="78">
        <f t="shared" si="29"/>
        <v>0</v>
      </c>
      <c r="R208" s="78">
        <f t="shared" si="30"/>
        <v>0</v>
      </c>
      <c r="S208" s="77">
        <f t="shared" si="31"/>
        <v>0</v>
      </c>
      <c r="T208" s="48"/>
    </row>
    <row r="209" spans="1:20" s="57" customFormat="1" ht="14">
      <c r="A209" s="45"/>
      <c r="B209" s="46"/>
      <c r="C209" s="47">
        <f t="shared" si="24"/>
        <v>0</v>
      </c>
      <c r="D209" s="48"/>
      <c r="E209" s="48"/>
      <c r="F209" s="48"/>
      <c r="G209" s="48"/>
      <c r="H209" s="49"/>
      <c r="I209" s="76" t="str">
        <f t="shared" si="25"/>
        <v/>
      </c>
      <c r="J209" s="50"/>
      <c r="K209" s="50"/>
      <c r="L209" s="50"/>
      <c r="M209" s="48"/>
      <c r="N209" s="49" t="str">
        <f t="shared" si="26"/>
        <v/>
      </c>
      <c r="O209" s="49" t="str">
        <f t="shared" si="27"/>
        <v/>
      </c>
      <c r="P209" s="77" t="str">
        <f t="shared" si="28"/>
        <v/>
      </c>
      <c r="Q209" s="78">
        <f t="shared" si="29"/>
        <v>0</v>
      </c>
      <c r="R209" s="78">
        <f t="shared" si="30"/>
        <v>0</v>
      </c>
      <c r="S209" s="77">
        <f t="shared" si="31"/>
        <v>0</v>
      </c>
      <c r="T209" s="48"/>
    </row>
    <row r="210" spans="1:20" s="57" customFormat="1" ht="14">
      <c r="A210" s="45"/>
      <c r="B210" s="46"/>
      <c r="C210" s="47">
        <f t="shared" si="24"/>
        <v>0</v>
      </c>
      <c r="D210" s="48"/>
      <c r="E210" s="48"/>
      <c r="F210" s="48"/>
      <c r="G210" s="48"/>
      <c r="H210" s="49"/>
      <c r="I210" s="76" t="str">
        <f t="shared" si="25"/>
        <v/>
      </c>
      <c r="J210" s="50"/>
      <c r="K210" s="50"/>
      <c r="L210" s="50"/>
      <c r="M210" s="48"/>
      <c r="N210" s="49" t="str">
        <f t="shared" si="26"/>
        <v/>
      </c>
      <c r="O210" s="49" t="str">
        <f t="shared" si="27"/>
        <v/>
      </c>
      <c r="P210" s="77" t="str">
        <f t="shared" si="28"/>
        <v/>
      </c>
      <c r="Q210" s="78">
        <f t="shared" si="29"/>
        <v>0</v>
      </c>
      <c r="R210" s="78">
        <f t="shared" si="30"/>
        <v>0</v>
      </c>
      <c r="S210" s="77">
        <f t="shared" si="31"/>
        <v>0</v>
      </c>
      <c r="T210" s="48"/>
    </row>
    <row r="211" spans="1:20" s="57" customFormat="1" ht="14">
      <c r="A211" s="45"/>
      <c r="B211" s="46"/>
      <c r="C211" s="47">
        <f t="shared" si="24"/>
        <v>0</v>
      </c>
      <c r="D211" s="48"/>
      <c r="E211" s="48"/>
      <c r="F211" s="48"/>
      <c r="G211" s="48"/>
      <c r="H211" s="49"/>
      <c r="I211" s="76" t="str">
        <f t="shared" si="25"/>
        <v/>
      </c>
      <c r="J211" s="50"/>
      <c r="K211" s="50"/>
      <c r="L211" s="50"/>
      <c r="M211" s="48"/>
      <c r="N211" s="49" t="str">
        <f t="shared" si="26"/>
        <v/>
      </c>
      <c r="O211" s="49" t="str">
        <f t="shared" si="27"/>
        <v/>
      </c>
      <c r="P211" s="77" t="str">
        <f t="shared" si="28"/>
        <v/>
      </c>
      <c r="Q211" s="78">
        <f t="shared" si="29"/>
        <v>0</v>
      </c>
      <c r="R211" s="78">
        <f t="shared" si="30"/>
        <v>0</v>
      </c>
      <c r="S211" s="77">
        <f t="shared" si="31"/>
        <v>0</v>
      </c>
      <c r="T211" s="48"/>
    </row>
    <row r="212" spans="1:20" s="57" customFormat="1" ht="14">
      <c r="A212" s="45"/>
      <c r="B212" s="46"/>
      <c r="C212" s="47">
        <f t="shared" si="24"/>
        <v>0</v>
      </c>
      <c r="D212" s="48"/>
      <c r="E212" s="48"/>
      <c r="F212" s="48"/>
      <c r="G212" s="48"/>
      <c r="H212" s="49"/>
      <c r="I212" s="76" t="str">
        <f t="shared" si="25"/>
        <v/>
      </c>
      <c r="J212" s="50"/>
      <c r="K212" s="50"/>
      <c r="L212" s="50"/>
      <c r="M212" s="48"/>
      <c r="N212" s="49" t="str">
        <f t="shared" si="26"/>
        <v/>
      </c>
      <c r="O212" s="49" t="str">
        <f t="shared" si="27"/>
        <v/>
      </c>
      <c r="P212" s="77" t="str">
        <f t="shared" si="28"/>
        <v/>
      </c>
      <c r="Q212" s="78">
        <f t="shared" si="29"/>
        <v>0</v>
      </c>
      <c r="R212" s="78">
        <f t="shared" si="30"/>
        <v>0</v>
      </c>
      <c r="S212" s="77">
        <f t="shared" si="31"/>
        <v>0</v>
      </c>
      <c r="T212" s="48"/>
    </row>
    <row r="213" spans="1:20" s="57" customFormat="1" ht="14">
      <c r="A213" s="45"/>
      <c r="B213" s="46"/>
      <c r="C213" s="47">
        <f t="shared" si="24"/>
        <v>0</v>
      </c>
      <c r="D213" s="48"/>
      <c r="E213" s="48"/>
      <c r="F213" s="48"/>
      <c r="G213" s="48"/>
      <c r="H213" s="49"/>
      <c r="I213" s="76" t="str">
        <f t="shared" si="25"/>
        <v/>
      </c>
      <c r="J213" s="50"/>
      <c r="K213" s="50"/>
      <c r="L213" s="50"/>
      <c r="M213" s="48"/>
      <c r="N213" s="49" t="str">
        <f t="shared" si="26"/>
        <v/>
      </c>
      <c r="O213" s="49" t="str">
        <f t="shared" si="27"/>
        <v/>
      </c>
      <c r="P213" s="77" t="str">
        <f t="shared" si="28"/>
        <v/>
      </c>
      <c r="Q213" s="78">
        <f t="shared" si="29"/>
        <v>0</v>
      </c>
      <c r="R213" s="78">
        <f t="shared" si="30"/>
        <v>0</v>
      </c>
      <c r="S213" s="77">
        <f t="shared" si="31"/>
        <v>0</v>
      </c>
      <c r="T213" s="48"/>
    </row>
    <row r="214" spans="1:20" s="57" customFormat="1" ht="14">
      <c r="A214" s="45"/>
      <c r="B214" s="46"/>
      <c r="C214" s="47">
        <f t="shared" si="24"/>
        <v>0</v>
      </c>
      <c r="D214" s="48"/>
      <c r="E214" s="48"/>
      <c r="F214" s="48"/>
      <c r="G214" s="48"/>
      <c r="H214" s="49"/>
      <c r="I214" s="76" t="str">
        <f t="shared" si="25"/>
        <v/>
      </c>
      <c r="J214" s="50"/>
      <c r="K214" s="50"/>
      <c r="L214" s="50"/>
      <c r="M214" s="48"/>
      <c r="N214" s="49" t="str">
        <f t="shared" si="26"/>
        <v/>
      </c>
      <c r="O214" s="49" t="str">
        <f t="shared" si="27"/>
        <v/>
      </c>
      <c r="P214" s="77" t="str">
        <f t="shared" si="28"/>
        <v/>
      </c>
      <c r="Q214" s="78">
        <f t="shared" si="29"/>
        <v>0</v>
      </c>
      <c r="R214" s="78">
        <f t="shared" si="30"/>
        <v>0</v>
      </c>
      <c r="S214" s="77">
        <f t="shared" si="31"/>
        <v>0</v>
      </c>
      <c r="T214" s="48"/>
    </row>
    <row r="215" spans="1:20" s="57" customFormat="1" ht="14">
      <c r="A215" s="45"/>
      <c r="B215" s="46"/>
      <c r="C215" s="47">
        <f t="shared" si="24"/>
        <v>0</v>
      </c>
      <c r="D215" s="48"/>
      <c r="E215" s="48"/>
      <c r="F215" s="48"/>
      <c r="G215" s="48"/>
      <c r="H215" s="49"/>
      <c r="I215" s="76" t="str">
        <f t="shared" si="25"/>
        <v/>
      </c>
      <c r="J215" s="50"/>
      <c r="K215" s="50"/>
      <c r="L215" s="50"/>
      <c r="M215" s="48"/>
      <c r="N215" s="49" t="str">
        <f t="shared" si="26"/>
        <v/>
      </c>
      <c r="O215" s="49" t="str">
        <f t="shared" si="27"/>
        <v/>
      </c>
      <c r="P215" s="77" t="str">
        <f t="shared" si="28"/>
        <v/>
      </c>
      <c r="Q215" s="78">
        <f t="shared" si="29"/>
        <v>0</v>
      </c>
      <c r="R215" s="78">
        <f t="shared" si="30"/>
        <v>0</v>
      </c>
      <c r="S215" s="77">
        <f t="shared" si="31"/>
        <v>0</v>
      </c>
      <c r="T215" s="48"/>
    </row>
    <row r="216" spans="1:20" s="57" customFormat="1" ht="14">
      <c r="A216" s="45"/>
      <c r="B216" s="46"/>
      <c r="C216" s="47">
        <f t="shared" si="24"/>
        <v>0</v>
      </c>
      <c r="D216" s="48"/>
      <c r="E216" s="48"/>
      <c r="F216" s="48"/>
      <c r="G216" s="48"/>
      <c r="H216" s="49"/>
      <c r="I216" s="76" t="str">
        <f t="shared" si="25"/>
        <v/>
      </c>
      <c r="J216" s="50"/>
      <c r="K216" s="50"/>
      <c r="L216" s="50"/>
      <c r="M216" s="48"/>
      <c r="N216" s="49" t="str">
        <f t="shared" si="26"/>
        <v/>
      </c>
      <c r="O216" s="49" t="str">
        <f t="shared" si="27"/>
        <v/>
      </c>
      <c r="P216" s="77" t="str">
        <f t="shared" si="28"/>
        <v/>
      </c>
      <c r="Q216" s="78">
        <f t="shared" si="29"/>
        <v>0</v>
      </c>
      <c r="R216" s="78">
        <f t="shared" si="30"/>
        <v>0</v>
      </c>
      <c r="S216" s="77">
        <f t="shared" si="31"/>
        <v>0</v>
      </c>
      <c r="T216" s="48"/>
    </row>
    <row r="217" spans="1:20" s="57" customFormat="1" ht="14">
      <c r="A217" s="45"/>
      <c r="B217" s="46"/>
      <c r="C217" s="47">
        <f t="shared" si="24"/>
        <v>0</v>
      </c>
      <c r="D217" s="48"/>
      <c r="E217" s="48"/>
      <c r="F217" s="48"/>
      <c r="G217" s="48"/>
      <c r="H217" s="49"/>
      <c r="I217" s="76" t="str">
        <f t="shared" si="25"/>
        <v/>
      </c>
      <c r="J217" s="50"/>
      <c r="K217" s="50"/>
      <c r="L217" s="50"/>
      <c r="M217" s="48"/>
      <c r="N217" s="49" t="str">
        <f t="shared" si="26"/>
        <v/>
      </c>
      <c r="O217" s="49" t="str">
        <f t="shared" si="27"/>
        <v/>
      </c>
      <c r="P217" s="77" t="str">
        <f t="shared" si="28"/>
        <v/>
      </c>
      <c r="Q217" s="78">
        <f t="shared" si="29"/>
        <v>0</v>
      </c>
      <c r="R217" s="78">
        <f t="shared" si="30"/>
        <v>0</v>
      </c>
      <c r="S217" s="77">
        <f t="shared" si="31"/>
        <v>0</v>
      </c>
      <c r="T217" s="48"/>
    </row>
    <row r="218" spans="1:20" s="57" customFormat="1" ht="14">
      <c r="A218" s="45"/>
      <c r="B218" s="46"/>
      <c r="C218" s="47">
        <f t="shared" si="24"/>
        <v>0</v>
      </c>
      <c r="D218" s="48"/>
      <c r="E218" s="48"/>
      <c r="F218" s="48"/>
      <c r="G218" s="48"/>
      <c r="H218" s="49"/>
      <c r="I218" s="76" t="str">
        <f t="shared" si="25"/>
        <v/>
      </c>
      <c r="J218" s="50"/>
      <c r="K218" s="50"/>
      <c r="L218" s="50"/>
      <c r="M218" s="48"/>
      <c r="N218" s="49" t="str">
        <f t="shared" si="26"/>
        <v/>
      </c>
      <c r="O218" s="49" t="str">
        <f t="shared" si="27"/>
        <v/>
      </c>
      <c r="P218" s="77" t="str">
        <f t="shared" si="28"/>
        <v/>
      </c>
      <c r="Q218" s="78">
        <f t="shared" si="29"/>
        <v>0</v>
      </c>
      <c r="R218" s="78">
        <f t="shared" si="30"/>
        <v>0</v>
      </c>
      <c r="S218" s="77">
        <f t="shared" si="31"/>
        <v>0</v>
      </c>
      <c r="T218" s="48"/>
    </row>
    <row r="219" spans="1:20" s="57" customFormat="1" ht="14">
      <c r="A219" s="45"/>
      <c r="B219" s="46"/>
      <c r="C219" s="47">
        <f t="shared" si="24"/>
        <v>0</v>
      </c>
      <c r="D219" s="48"/>
      <c r="E219" s="48"/>
      <c r="F219" s="48"/>
      <c r="G219" s="48"/>
      <c r="H219" s="49"/>
      <c r="I219" s="76" t="str">
        <f t="shared" si="25"/>
        <v/>
      </c>
      <c r="J219" s="50"/>
      <c r="K219" s="50"/>
      <c r="L219" s="50"/>
      <c r="M219" s="48"/>
      <c r="N219" s="49" t="str">
        <f t="shared" si="26"/>
        <v/>
      </c>
      <c r="O219" s="49" t="str">
        <f t="shared" si="27"/>
        <v/>
      </c>
      <c r="P219" s="77" t="str">
        <f t="shared" si="28"/>
        <v/>
      </c>
      <c r="Q219" s="78">
        <f t="shared" si="29"/>
        <v>0</v>
      </c>
      <c r="R219" s="78">
        <f t="shared" si="30"/>
        <v>0</v>
      </c>
      <c r="S219" s="77">
        <f t="shared" si="31"/>
        <v>0</v>
      </c>
      <c r="T219" s="48"/>
    </row>
    <row r="220" spans="1:20" s="57" customFormat="1" ht="14">
      <c r="A220" s="45"/>
      <c r="B220" s="46"/>
      <c r="C220" s="47">
        <f t="shared" si="24"/>
        <v>0</v>
      </c>
      <c r="D220" s="48"/>
      <c r="E220" s="48"/>
      <c r="F220" s="48"/>
      <c r="G220" s="48"/>
      <c r="H220" s="49"/>
      <c r="I220" s="76" t="str">
        <f t="shared" si="25"/>
        <v/>
      </c>
      <c r="J220" s="50"/>
      <c r="K220" s="50"/>
      <c r="L220" s="50"/>
      <c r="M220" s="48"/>
      <c r="N220" s="49" t="str">
        <f t="shared" si="26"/>
        <v/>
      </c>
      <c r="O220" s="49" t="str">
        <f t="shared" si="27"/>
        <v/>
      </c>
      <c r="P220" s="77" t="str">
        <f t="shared" si="28"/>
        <v/>
      </c>
      <c r="Q220" s="78">
        <f t="shared" si="29"/>
        <v>0</v>
      </c>
      <c r="R220" s="78">
        <f t="shared" si="30"/>
        <v>0</v>
      </c>
      <c r="S220" s="77">
        <f t="shared" si="31"/>
        <v>0</v>
      </c>
      <c r="T220" s="48"/>
    </row>
    <row r="221" spans="1:20" s="57" customFormat="1" ht="14">
      <c r="A221" s="45"/>
      <c r="B221" s="46"/>
      <c r="C221" s="47">
        <f t="shared" si="24"/>
        <v>0</v>
      </c>
      <c r="D221" s="48"/>
      <c r="E221" s="48"/>
      <c r="F221" s="48"/>
      <c r="G221" s="48"/>
      <c r="H221" s="49"/>
      <c r="I221" s="76" t="str">
        <f t="shared" si="25"/>
        <v/>
      </c>
      <c r="J221" s="50"/>
      <c r="K221" s="50"/>
      <c r="L221" s="50"/>
      <c r="M221" s="48"/>
      <c r="N221" s="49" t="str">
        <f t="shared" si="26"/>
        <v/>
      </c>
      <c r="O221" s="49" t="str">
        <f t="shared" si="27"/>
        <v/>
      </c>
      <c r="P221" s="77" t="str">
        <f t="shared" si="28"/>
        <v/>
      </c>
      <c r="Q221" s="78">
        <f t="shared" si="29"/>
        <v>0</v>
      </c>
      <c r="R221" s="78">
        <f t="shared" si="30"/>
        <v>0</v>
      </c>
      <c r="S221" s="77">
        <f t="shared" si="31"/>
        <v>0</v>
      </c>
      <c r="T221" s="48"/>
    </row>
    <row r="222" spans="1:20" s="57" customFormat="1" ht="14">
      <c r="A222" s="45"/>
      <c r="B222" s="46"/>
      <c r="C222" s="47">
        <f t="shared" si="24"/>
        <v>0</v>
      </c>
      <c r="D222" s="48"/>
      <c r="E222" s="48"/>
      <c r="F222" s="48"/>
      <c r="G222" s="48"/>
      <c r="H222" s="49"/>
      <c r="I222" s="76" t="str">
        <f t="shared" si="25"/>
        <v/>
      </c>
      <c r="J222" s="50"/>
      <c r="K222" s="50"/>
      <c r="L222" s="50"/>
      <c r="M222" s="48"/>
      <c r="N222" s="49" t="str">
        <f t="shared" si="26"/>
        <v/>
      </c>
      <c r="O222" s="49" t="str">
        <f t="shared" si="27"/>
        <v/>
      </c>
      <c r="P222" s="77" t="str">
        <f t="shared" si="28"/>
        <v/>
      </c>
      <c r="Q222" s="78">
        <f t="shared" si="29"/>
        <v>0</v>
      </c>
      <c r="R222" s="78">
        <f t="shared" si="30"/>
        <v>0</v>
      </c>
      <c r="S222" s="77">
        <f t="shared" si="31"/>
        <v>0</v>
      </c>
      <c r="T222" s="48"/>
    </row>
    <row r="223" spans="1:20" s="57" customFormat="1" ht="14">
      <c r="A223" s="45"/>
      <c r="B223" s="46"/>
      <c r="C223" s="47">
        <f t="shared" si="24"/>
        <v>0</v>
      </c>
      <c r="D223" s="48"/>
      <c r="E223" s="48"/>
      <c r="F223" s="48"/>
      <c r="G223" s="48"/>
      <c r="H223" s="49"/>
      <c r="I223" s="76" t="str">
        <f t="shared" si="25"/>
        <v/>
      </c>
      <c r="J223" s="50"/>
      <c r="K223" s="50"/>
      <c r="L223" s="50"/>
      <c r="M223" s="48"/>
      <c r="N223" s="49" t="str">
        <f t="shared" si="26"/>
        <v/>
      </c>
      <c r="O223" s="49" t="str">
        <f t="shared" si="27"/>
        <v/>
      </c>
      <c r="P223" s="77" t="str">
        <f t="shared" si="28"/>
        <v/>
      </c>
      <c r="Q223" s="78">
        <f t="shared" si="29"/>
        <v>0</v>
      </c>
      <c r="R223" s="78">
        <f t="shared" si="30"/>
        <v>0</v>
      </c>
      <c r="S223" s="77">
        <f t="shared" si="31"/>
        <v>0</v>
      </c>
      <c r="T223" s="48"/>
    </row>
    <row r="224" spans="1:20" s="57" customFormat="1" ht="14">
      <c r="A224" s="45"/>
      <c r="B224" s="46"/>
      <c r="C224" s="47">
        <f t="shared" si="24"/>
        <v>0</v>
      </c>
      <c r="D224" s="48"/>
      <c r="E224" s="48"/>
      <c r="F224" s="48"/>
      <c r="G224" s="48"/>
      <c r="H224" s="49"/>
      <c r="I224" s="76" t="str">
        <f t="shared" si="25"/>
        <v/>
      </c>
      <c r="J224" s="50"/>
      <c r="K224" s="50"/>
      <c r="L224" s="50"/>
      <c r="M224" s="48"/>
      <c r="N224" s="49" t="str">
        <f t="shared" si="26"/>
        <v/>
      </c>
      <c r="O224" s="49" t="str">
        <f t="shared" si="27"/>
        <v/>
      </c>
      <c r="P224" s="77" t="str">
        <f t="shared" si="28"/>
        <v/>
      </c>
      <c r="Q224" s="78">
        <f t="shared" si="29"/>
        <v>0</v>
      </c>
      <c r="R224" s="78">
        <f t="shared" si="30"/>
        <v>0</v>
      </c>
      <c r="S224" s="77">
        <f t="shared" si="31"/>
        <v>0</v>
      </c>
      <c r="T224" s="48"/>
    </row>
    <row r="225" spans="1:20" s="57" customFormat="1" ht="14">
      <c r="A225" s="45"/>
      <c r="B225" s="46"/>
      <c r="C225" s="47">
        <f t="shared" si="24"/>
        <v>0</v>
      </c>
      <c r="D225" s="48"/>
      <c r="E225" s="48"/>
      <c r="F225" s="48"/>
      <c r="G225" s="48"/>
      <c r="H225" s="49"/>
      <c r="I225" s="76" t="str">
        <f t="shared" si="25"/>
        <v/>
      </c>
      <c r="J225" s="50"/>
      <c r="K225" s="50"/>
      <c r="L225" s="50"/>
      <c r="M225" s="48"/>
      <c r="N225" s="49" t="str">
        <f t="shared" si="26"/>
        <v/>
      </c>
      <c r="O225" s="49" t="str">
        <f t="shared" si="27"/>
        <v/>
      </c>
      <c r="P225" s="77" t="str">
        <f t="shared" si="28"/>
        <v/>
      </c>
      <c r="Q225" s="78">
        <f t="shared" si="29"/>
        <v>0</v>
      </c>
      <c r="R225" s="78">
        <f t="shared" si="30"/>
        <v>0</v>
      </c>
      <c r="S225" s="77">
        <f t="shared" si="31"/>
        <v>0</v>
      </c>
      <c r="T225" s="48"/>
    </row>
    <row r="226" spans="1:20" s="57" customFormat="1" ht="14">
      <c r="A226" s="45"/>
      <c r="B226" s="46"/>
      <c r="C226" s="47">
        <f t="shared" si="24"/>
        <v>0</v>
      </c>
      <c r="D226" s="48"/>
      <c r="E226" s="48"/>
      <c r="F226" s="48"/>
      <c r="G226" s="48"/>
      <c r="H226" s="49"/>
      <c r="I226" s="76" t="str">
        <f t="shared" si="25"/>
        <v/>
      </c>
      <c r="J226" s="50"/>
      <c r="K226" s="50"/>
      <c r="L226" s="50"/>
      <c r="M226" s="48"/>
      <c r="N226" s="49" t="str">
        <f t="shared" si="26"/>
        <v/>
      </c>
      <c r="O226" s="49" t="str">
        <f t="shared" si="27"/>
        <v/>
      </c>
      <c r="P226" s="77" t="str">
        <f t="shared" si="28"/>
        <v/>
      </c>
      <c r="Q226" s="78">
        <f t="shared" si="29"/>
        <v>0</v>
      </c>
      <c r="R226" s="78">
        <f t="shared" si="30"/>
        <v>0</v>
      </c>
      <c r="S226" s="77">
        <f t="shared" si="31"/>
        <v>0</v>
      </c>
      <c r="T226" s="48"/>
    </row>
    <row r="227" spans="1:20" s="57" customFormat="1" ht="14">
      <c r="A227" s="45"/>
      <c r="B227" s="46"/>
      <c r="C227" s="47">
        <f t="shared" si="24"/>
        <v>0</v>
      </c>
      <c r="D227" s="48"/>
      <c r="E227" s="48"/>
      <c r="F227" s="48"/>
      <c r="G227" s="48"/>
      <c r="H227" s="49"/>
      <c r="I227" s="76" t="str">
        <f t="shared" si="25"/>
        <v/>
      </c>
      <c r="J227" s="50"/>
      <c r="K227" s="50"/>
      <c r="L227" s="50"/>
      <c r="M227" s="48"/>
      <c r="N227" s="49" t="str">
        <f t="shared" si="26"/>
        <v/>
      </c>
      <c r="O227" s="49" t="str">
        <f t="shared" si="27"/>
        <v/>
      </c>
      <c r="P227" s="77" t="str">
        <f t="shared" si="28"/>
        <v/>
      </c>
      <c r="Q227" s="78">
        <f t="shared" si="29"/>
        <v>0</v>
      </c>
      <c r="R227" s="78">
        <f t="shared" si="30"/>
        <v>0</v>
      </c>
      <c r="S227" s="77">
        <f t="shared" si="31"/>
        <v>0</v>
      </c>
      <c r="T227" s="48"/>
    </row>
    <row r="228" spans="1:20" s="57" customFormat="1" ht="14">
      <c r="A228" s="45"/>
      <c r="B228" s="46"/>
      <c r="C228" s="47">
        <f t="shared" si="24"/>
        <v>0</v>
      </c>
      <c r="D228" s="48"/>
      <c r="E228" s="48"/>
      <c r="F228" s="48"/>
      <c r="G228" s="48"/>
      <c r="H228" s="49"/>
      <c r="I228" s="76" t="str">
        <f t="shared" si="25"/>
        <v/>
      </c>
      <c r="J228" s="50"/>
      <c r="K228" s="50"/>
      <c r="L228" s="50"/>
      <c r="M228" s="48"/>
      <c r="N228" s="49" t="str">
        <f t="shared" si="26"/>
        <v/>
      </c>
      <c r="O228" s="49" t="str">
        <f t="shared" si="27"/>
        <v/>
      </c>
      <c r="P228" s="77" t="str">
        <f t="shared" si="28"/>
        <v/>
      </c>
      <c r="Q228" s="78">
        <f t="shared" si="29"/>
        <v>0</v>
      </c>
      <c r="R228" s="78">
        <f t="shared" si="30"/>
        <v>0</v>
      </c>
      <c r="S228" s="77">
        <f t="shared" si="31"/>
        <v>0</v>
      </c>
      <c r="T228" s="48"/>
    </row>
    <row r="229" spans="1:20" s="57" customFormat="1" ht="14">
      <c r="A229" s="45"/>
      <c r="B229" s="46"/>
      <c r="C229" s="47">
        <f t="shared" si="24"/>
        <v>0</v>
      </c>
      <c r="D229" s="48"/>
      <c r="E229" s="48"/>
      <c r="F229" s="48"/>
      <c r="G229" s="48"/>
      <c r="H229" s="49"/>
      <c r="I229" s="76" t="str">
        <f t="shared" si="25"/>
        <v/>
      </c>
      <c r="J229" s="50"/>
      <c r="K229" s="50"/>
      <c r="L229" s="50"/>
      <c r="M229" s="48"/>
      <c r="N229" s="49" t="str">
        <f t="shared" si="26"/>
        <v/>
      </c>
      <c r="O229" s="49" t="str">
        <f t="shared" si="27"/>
        <v/>
      </c>
      <c r="P229" s="77" t="str">
        <f t="shared" si="28"/>
        <v/>
      </c>
      <c r="Q229" s="78">
        <f t="shared" si="29"/>
        <v>0</v>
      </c>
      <c r="R229" s="78">
        <f t="shared" si="30"/>
        <v>0</v>
      </c>
      <c r="S229" s="77">
        <f t="shared" si="31"/>
        <v>0</v>
      </c>
      <c r="T229" s="48"/>
    </row>
    <row r="230" spans="1:20" s="57" customFormat="1" ht="14">
      <c r="A230" s="45"/>
      <c r="B230" s="46"/>
      <c r="C230" s="47">
        <f t="shared" si="24"/>
        <v>0</v>
      </c>
      <c r="D230" s="48"/>
      <c r="E230" s="48"/>
      <c r="F230" s="48"/>
      <c r="G230" s="48"/>
      <c r="H230" s="49"/>
      <c r="I230" s="76" t="str">
        <f t="shared" si="25"/>
        <v/>
      </c>
      <c r="J230" s="50"/>
      <c r="K230" s="50"/>
      <c r="L230" s="50"/>
      <c r="M230" s="48"/>
      <c r="N230" s="49" t="str">
        <f t="shared" si="26"/>
        <v/>
      </c>
      <c r="O230" s="49" t="str">
        <f t="shared" si="27"/>
        <v/>
      </c>
      <c r="P230" s="77" t="str">
        <f t="shared" si="28"/>
        <v/>
      </c>
      <c r="Q230" s="78">
        <f t="shared" si="29"/>
        <v>0</v>
      </c>
      <c r="R230" s="78">
        <f t="shared" si="30"/>
        <v>0</v>
      </c>
      <c r="S230" s="77">
        <f t="shared" si="31"/>
        <v>0</v>
      </c>
      <c r="T230" s="48"/>
    </row>
    <row r="231" spans="1:20" s="57" customFormat="1" ht="14">
      <c r="A231" s="45"/>
      <c r="B231" s="46"/>
      <c r="C231" s="47">
        <f t="shared" si="24"/>
        <v>0</v>
      </c>
      <c r="D231" s="48"/>
      <c r="E231" s="48"/>
      <c r="F231" s="48"/>
      <c r="G231" s="48"/>
      <c r="H231" s="49"/>
      <c r="I231" s="76" t="str">
        <f t="shared" si="25"/>
        <v/>
      </c>
      <c r="J231" s="50"/>
      <c r="K231" s="50"/>
      <c r="L231" s="50"/>
      <c r="M231" s="48"/>
      <c r="N231" s="49" t="str">
        <f t="shared" si="26"/>
        <v/>
      </c>
      <c r="O231" s="49" t="str">
        <f t="shared" si="27"/>
        <v/>
      </c>
      <c r="P231" s="77" t="str">
        <f t="shared" si="28"/>
        <v/>
      </c>
      <c r="Q231" s="78">
        <f t="shared" si="29"/>
        <v>0</v>
      </c>
      <c r="R231" s="78">
        <f t="shared" si="30"/>
        <v>0</v>
      </c>
      <c r="S231" s="77">
        <f t="shared" si="31"/>
        <v>0</v>
      </c>
      <c r="T231" s="48"/>
    </row>
    <row r="232" spans="1:20" s="57" customFormat="1" ht="14">
      <c r="A232" s="45"/>
      <c r="B232" s="46"/>
      <c r="C232" s="47">
        <f t="shared" si="24"/>
        <v>0</v>
      </c>
      <c r="D232" s="48"/>
      <c r="E232" s="48"/>
      <c r="F232" s="48"/>
      <c r="G232" s="48"/>
      <c r="H232" s="49"/>
      <c r="I232" s="76" t="str">
        <f t="shared" si="25"/>
        <v/>
      </c>
      <c r="J232" s="50"/>
      <c r="K232" s="50"/>
      <c r="L232" s="50"/>
      <c r="M232" s="48"/>
      <c r="N232" s="49" t="str">
        <f t="shared" si="26"/>
        <v/>
      </c>
      <c r="O232" s="49" t="str">
        <f t="shared" si="27"/>
        <v/>
      </c>
      <c r="P232" s="77" t="str">
        <f t="shared" si="28"/>
        <v/>
      </c>
      <c r="Q232" s="78">
        <f t="shared" si="29"/>
        <v>0</v>
      </c>
      <c r="R232" s="78">
        <f t="shared" si="30"/>
        <v>0</v>
      </c>
      <c r="S232" s="77">
        <f t="shared" si="31"/>
        <v>0</v>
      </c>
      <c r="T232" s="48"/>
    </row>
    <row r="233" spans="1:20" s="57" customFormat="1" ht="14">
      <c r="A233" s="45"/>
      <c r="B233" s="46"/>
      <c r="C233" s="47">
        <f t="shared" si="24"/>
        <v>0</v>
      </c>
      <c r="D233" s="48"/>
      <c r="E233" s="48"/>
      <c r="F233" s="48"/>
      <c r="G233" s="48"/>
      <c r="H233" s="49"/>
      <c r="I233" s="76" t="str">
        <f t="shared" si="25"/>
        <v/>
      </c>
      <c r="J233" s="50"/>
      <c r="K233" s="50"/>
      <c r="L233" s="50"/>
      <c r="M233" s="48"/>
      <c r="N233" s="49" t="str">
        <f t="shared" si="26"/>
        <v/>
      </c>
      <c r="O233" s="49" t="str">
        <f t="shared" si="27"/>
        <v/>
      </c>
      <c r="P233" s="77" t="str">
        <f t="shared" si="28"/>
        <v/>
      </c>
      <c r="Q233" s="78">
        <f t="shared" si="29"/>
        <v>0</v>
      </c>
      <c r="R233" s="78">
        <f t="shared" si="30"/>
        <v>0</v>
      </c>
      <c r="S233" s="77">
        <f t="shared" si="31"/>
        <v>0</v>
      </c>
      <c r="T233" s="48"/>
    </row>
    <row r="234" spans="1:20" s="57" customFormat="1" ht="14">
      <c r="A234" s="45"/>
      <c r="B234" s="46"/>
      <c r="C234" s="47">
        <f t="shared" si="24"/>
        <v>0</v>
      </c>
      <c r="D234" s="48"/>
      <c r="E234" s="48"/>
      <c r="F234" s="48"/>
      <c r="G234" s="48"/>
      <c r="H234" s="49"/>
      <c r="I234" s="76" t="str">
        <f t="shared" si="25"/>
        <v/>
      </c>
      <c r="J234" s="50"/>
      <c r="K234" s="50"/>
      <c r="L234" s="50"/>
      <c r="M234" s="48"/>
      <c r="N234" s="49" t="str">
        <f t="shared" si="26"/>
        <v/>
      </c>
      <c r="O234" s="49" t="str">
        <f t="shared" si="27"/>
        <v/>
      </c>
      <c r="P234" s="77" t="str">
        <f t="shared" si="28"/>
        <v/>
      </c>
      <c r="Q234" s="78">
        <f t="shared" si="29"/>
        <v>0</v>
      </c>
      <c r="R234" s="78">
        <f t="shared" si="30"/>
        <v>0</v>
      </c>
      <c r="S234" s="77">
        <f t="shared" si="31"/>
        <v>0</v>
      </c>
      <c r="T234" s="48"/>
    </row>
    <row r="235" spans="1:20" s="57" customFormat="1" ht="14">
      <c r="A235" s="45"/>
      <c r="B235" s="46"/>
      <c r="C235" s="47">
        <f t="shared" si="24"/>
        <v>0</v>
      </c>
      <c r="D235" s="48"/>
      <c r="E235" s="48"/>
      <c r="F235" s="48"/>
      <c r="G235" s="48"/>
      <c r="H235" s="49"/>
      <c r="I235" s="76" t="str">
        <f t="shared" si="25"/>
        <v/>
      </c>
      <c r="J235" s="50"/>
      <c r="K235" s="50"/>
      <c r="L235" s="50"/>
      <c r="M235" s="48"/>
      <c r="N235" s="49" t="str">
        <f t="shared" si="26"/>
        <v/>
      </c>
      <c r="O235" s="49" t="str">
        <f t="shared" si="27"/>
        <v/>
      </c>
      <c r="P235" s="77" t="str">
        <f t="shared" si="28"/>
        <v/>
      </c>
      <c r="Q235" s="78">
        <f t="shared" si="29"/>
        <v>0</v>
      </c>
      <c r="R235" s="78">
        <f t="shared" si="30"/>
        <v>0</v>
      </c>
      <c r="S235" s="77">
        <f t="shared" si="31"/>
        <v>0</v>
      </c>
      <c r="T235" s="48"/>
    </row>
    <row r="236" spans="1:20" s="57" customFormat="1" ht="14">
      <c r="A236" s="45"/>
      <c r="B236" s="46"/>
      <c r="C236" s="47">
        <f t="shared" si="24"/>
        <v>0</v>
      </c>
      <c r="D236" s="48"/>
      <c r="E236" s="48"/>
      <c r="F236" s="48"/>
      <c r="G236" s="48"/>
      <c r="H236" s="49"/>
      <c r="I236" s="76" t="str">
        <f t="shared" si="25"/>
        <v/>
      </c>
      <c r="J236" s="50"/>
      <c r="K236" s="50"/>
      <c r="L236" s="50"/>
      <c r="M236" s="48"/>
      <c r="N236" s="49" t="str">
        <f t="shared" si="26"/>
        <v/>
      </c>
      <c r="O236" s="49" t="str">
        <f t="shared" si="27"/>
        <v/>
      </c>
      <c r="P236" s="77" t="str">
        <f t="shared" si="28"/>
        <v/>
      </c>
      <c r="Q236" s="78">
        <f t="shared" si="29"/>
        <v>0</v>
      </c>
      <c r="R236" s="78">
        <f t="shared" si="30"/>
        <v>0</v>
      </c>
      <c r="S236" s="77">
        <f t="shared" si="31"/>
        <v>0</v>
      </c>
      <c r="T236" s="48"/>
    </row>
    <row r="237" spans="1:20" s="57" customFormat="1" ht="14">
      <c r="A237" s="45"/>
      <c r="B237" s="46"/>
      <c r="C237" s="47">
        <f t="shared" si="24"/>
        <v>0</v>
      </c>
      <c r="D237" s="48"/>
      <c r="E237" s="48"/>
      <c r="F237" s="48"/>
      <c r="G237" s="48"/>
      <c r="H237" s="49"/>
      <c r="I237" s="76" t="str">
        <f t="shared" si="25"/>
        <v/>
      </c>
      <c r="J237" s="50"/>
      <c r="K237" s="50"/>
      <c r="L237" s="50"/>
      <c r="M237" s="48"/>
      <c r="N237" s="49" t="str">
        <f t="shared" si="26"/>
        <v/>
      </c>
      <c r="O237" s="49" t="str">
        <f t="shared" si="27"/>
        <v/>
      </c>
      <c r="P237" s="77" t="str">
        <f t="shared" si="28"/>
        <v/>
      </c>
      <c r="Q237" s="78">
        <f t="shared" si="29"/>
        <v>0</v>
      </c>
      <c r="R237" s="78">
        <f t="shared" si="30"/>
        <v>0</v>
      </c>
      <c r="S237" s="77">
        <f t="shared" si="31"/>
        <v>0</v>
      </c>
      <c r="T237" s="48"/>
    </row>
    <row r="238" spans="1:20" s="57" customFormat="1" ht="14">
      <c r="A238" s="45"/>
      <c r="B238" s="46"/>
      <c r="C238" s="47">
        <f t="shared" si="24"/>
        <v>0</v>
      </c>
      <c r="D238" s="48"/>
      <c r="E238" s="48"/>
      <c r="F238" s="48"/>
      <c r="G238" s="48"/>
      <c r="H238" s="49"/>
      <c r="I238" s="76" t="str">
        <f t="shared" si="25"/>
        <v/>
      </c>
      <c r="J238" s="50"/>
      <c r="K238" s="50"/>
      <c r="L238" s="50"/>
      <c r="M238" s="48"/>
      <c r="N238" s="49" t="str">
        <f t="shared" si="26"/>
        <v/>
      </c>
      <c r="O238" s="49" t="str">
        <f t="shared" si="27"/>
        <v/>
      </c>
      <c r="P238" s="77" t="str">
        <f t="shared" si="28"/>
        <v/>
      </c>
      <c r="Q238" s="78">
        <f t="shared" si="29"/>
        <v>0</v>
      </c>
      <c r="R238" s="78">
        <f t="shared" si="30"/>
        <v>0</v>
      </c>
      <c r="S238" s="77">
        <f t="shared" si="31"/>
        <v>0</v>
      </c>
      <c r="T238" s="48"/>
    </row>
    <row r="239" spans="1:20" s="57" customFormat="1" ht="14">
      <c r="A239" s="45"/>
      <c r="B239" s="46"/>
      <c r="C239" s="47">
        <f t="shared" si="24"/>
        <v>0</v>
      </c>
      <c r="D239" s="48"/>
      <c r="E239" s="48"/>
      <c r="F239" s="48"/>
      <c r="G239" s="48"/>
      <c r="H239" s="49"/>
      <c r="I239" s="76" t="str">
        <f t="shared" si="25"/>
        <v/>
      </c>
      <c r="J239" s="50"/>
      <c r="K239" s="50"/>
      <c r="L239" s="50"/>
      <c r="M239" s="48"/>
      <c r="N239" s="49" t="str">
        <f t="shared" si="26"/>
        <v/>
      </c>
      <c r="O239" s="49" t="str">
        <f t="shared" si="27"/>
        <v/>
      </c>
      <c r="P239" s="77" t="str">
        <f t="shared" si="28"/>
        <v/>
      </c>
      <c r="Q239" s="78">
        <f t="shared" si="29"/>
        <v>0</v>
      </c>
      <c r="R239" s="78">
        <f t="shared" si="30"/>
        <v>0</v>
      </c>
      <c r="S239" s="77">
        <f t="shared" si="31"/>
        <v>0</v>
      </c>
      <c r="T239" s="48"/>
    </row>
    <row r="240" spans="1:20" s="57" customFormat="1" ht="14">
      <c r="A240" s="45"/>
      <c r="B240" s="46"/>
      <c r="C240" s="47">
        <f t="shared" si="24"/>
        <v>0</v>
      </c>
      <c r="D240" s="48"/>
      <c r="E240" s="48"/>
      <c r="F240" s="48"/>
      <c r="G240" s="48"/>
      <c r="H240" s="49"/>
      <c r="I240" s="76" t="str">
        <f t="shared" si="25"/>
        <v/>
      </c>
      <c r="J240" s="50"/>
      <c r="K240" s="50"/>
      <c r="L240" s="50"/>
      <c r="M240" s="48"/>
      <c r="N240" s="49" t="str">
        <f t="shared" si="26"/>
        <v/>
      </c>
      <c r="O240" s="49" t="str">
        <f t="shared" si="27"/>
        <v/>
      </c>
      <c r="P240" s="77" t="str">
        <f t="shared" si="28"/>
        <v/>
      </c>
      <c r="Q240" s="78">
        <f t="shared" si="29"/>
        <v>0</v>
      </c>
      <c r="R240" s="78">
        <f t="shared" si="30"/>
        <v>0</v>
      </c>
      <c r="S240" s="77">
        <f t="shared" si="31"/>
        <v>0</v>
      </c>
      <c r="T240" s="48"/>
    </row>
    <row r="241" spans="1:20" s="57" customFormat="1" ht="14">
      <c r="A241" s="45"/>
      <c r="B241" s="46"/>
      <c r="C241" s="47">
        <f t="shared" si="24"/>
        <v>0</v>
      </c>
      <c r="D241" s="48"/>
      <c r="E241" s="48"/>
      <c r="F241" s="48"/>
      <c r="G241" s="48"/>
      <c r="H241" s="49"/>
      <c r="I241" s="76" t="str">
        <f t="shared" si="25"/>
        <v/>
      </c>
      <c r="J241" s="50"/>
      <c r="K241" s="50"/>
      <c r="L241" s="50"/>
      <c r="M241" s="48"/>
      <c r="N241" s="49" t="str">
        <f t="shared" si="26"/>
        <v/>
      </c>
      <c r="O241" s="49" t="str">
        <f t="shared" si="27"/>
        <v/>
      </c>
      <c r="P241" s="77" t="str">
        <f t="shared" si="28"/>
        <v/>
      </c>
      <c r="Q241" s="78">
        <f t="shared" si="29"/>
        <v>0</v>
      </c>
      <c r="R241" s="78">
        <f t="shared" si="30"/>
        <v>0</v>
      </c>
      <c r="S241" s="77">
        <f t="shared" si="31"/>
        <v>0</v>
      </c>
      <c r="T241" s="48"/>
    </row>
    <row r="242" spans="1:20" s="57" customFormat="1" ht="14">
      <c r="A242" s="45"/>
      <c r="B242" s="46"/>
      <c r="C242" s="47">
        <f t="shared" si="24"/>
        <v>0</v>
      </c>
      <c r="D242" s="48"/>
      <c r="E242" s="48"/>
      <c r="F242" s="48"/>
      <c r="G242" s="48"/>
      <c r="H242" s="49"/>
      <c r="I242" s="76" t="str">
        <f t="shared" si="25"/>
        <v/>
      </c>
      <c r="J242" s="50"/>
      <c r="K242" s="50"/>
      <c r="L242" s="50"/>
      <c r="M242" s="48"/>
      <c r="N242" s="49" t="str">
        <f t="shared" si="26"/>
        <v/>
      </c>
      <c r="O242" s="49" t="str">
        <f t="shared" si="27"/>
        <v/>
      </c>
      <c r="P242" s="77" t="str">
        <f t="shared" si="28"/>
        <v/>
      </c>
      <c r="Q242" s="78">
        <f t="shared" si="29"/>
        <v>0</v>
      </c>
      <c r="R242" s="78">
        <f t="shared" si="30"/>
        <v>0</v>
      </c>
      <c r="S242" s="77">
        <f t="shared" si="31"/>
        <v>0</v>
      </c>
      <c r="T242" s="48"/>
    </row>
    <row r="243" spans="1:20" s="57" customFormat="1" ht="14">
      <c r="A243" s="45"/>
      <c r="B243" s="46"/>
      <c r="C243" s="47">
        <f t="shared" si="24"/>
        <v>0</v>
      </c>
      <c r="D243" s="48"/>
      <c r="E243" s="48"/>
      <c r="F243" s="48"/>
      <c r="G243" s="48"/>
      <c r="H243" s="49"/>
      <c r="I243" s="76" t="str">
        <f t="shared" si="25"/>
        <v/>
      </c>
      <c r="J243" s="50"/>
      <c r="K243" s="50"/>
      <c r="L243" s="50"/>
      <c r="M243" s="48"/>
      <c r="N243" s="49" t="str">
        <f t="shared" si="26"/>
        <v/>
      </c>
      <c r="O243" s="49" t="str">
        <f t="shared" si="27"/>
        <v/>
      </c>
      <c r="P243" s="77" t="str">
        <f t="shared" si="28"/>
        <v/>
      </c>
      <c r="Q243" s="78">
        <f t="shared" si="29"/>
        <v>0</v>
      </c>
      <c r="R243" s="78">
        <f t="shared" si="30"/>
        <v>0</v>
      </c>
      <c r="S243" s="77">
        <f t="shared" si="31"/>
        <v>0</v>
      </c>
      <c r="T243" s="48"/>
    </row>
    <row r="244" spans="1:20" s="57" customFormat="1" ht="14">
      <c r="A244" s="45"/>
      <c r="B244" s="46"/>
      <c r="C244" s="47">
        <f t="shared" si="24"/>
        <v>0</v>
      </c>
      <c r="D244" s="48"/>
      <c r="E244" s="48"/>
      <c r="F244" s="48"/>
      <c r="G244" s="48"/>
      <c r="H244" s="49"/>
      <c r="I244" s="76" t="str">
        <f t="shared" si="25"/>
        <v/>
      </c>
      <c r="J244" s="50"/>
      <c r="K244" s="50"/>
      <c r="L244" s="50"/>
      <c r="M244" s="48"/>
      <c r="N244" s="49" t="str">
        <f t="shared" si="26"/>
        <v/>
      </c>
      <c r="O244" s="49" t="str">
        <f t="shared" si="27"/>
        <v/>
      </c>
      <c r="P244" s="77" t="str">
        <f t="shared" si="28"/>
        <v/>
      </c>
      <c r="Q244" s="78">
        <f t="shared" si="29"/>
        <v>0</v>
      </c>
      <c r="R244" s="78">
        <f t="shared" si="30"/>
        <v>0</v>
      </c>
      <c r="S244" s="77">
        <f t="shared" si="31"/>
        <v>0</v>
      </c>
      <c r="T244" s="48"/>
    </row>
    <row r="245" spans="1:20" s="57" customFormat="1" ht="14">
      <c r="A245" s="45"/>
      <c r="B245" s="46"/>
      <c r="C245" s="47">
        <f t="shared" si="24"/>
        <v>0</v>
      </c>
      <c r="D245" s="48"/>
      <c r="E245" s="48"/>
      <c r="F245" s="48"/>
      <c r="G245" s="48"/>
      <c r="H245" s="49"/>
      <c r="I245" s="76" t="str">
        <f t="shared" si="25"/>
        <v/>
      </c>
      <c r="J245" s="50"/>
      <c r="K245" s="50"/>
      <c r="L245" s="50"/>
      <c r="M245" s="48"/>
      <c r="N245" s="49" t="str">
        <f t="shared" si="26"/>
        <v/>
      </c>
      <c r="O245" s="49" t="str">
        <f t="shared" si="27"/>
        <v/>
      </c>
      <c r="P245" s="77" t="str">
        <f t="shared" si="28"/>
        <v/>
      </c>
      <c r="Q245" s="78">
        <f t="shared" si="29"/>
        <v>0</v>
      </c>
      <c r="R245" s="78">
        <f t="shared" si="30"/>
        <v>0</v>
      </c>
      <c r="S245" s="77">
        <f t="shared" si="31"/>
        <v>0</v>
      </c>
      <c r="T245" s="48"/>
    </row>
    <row r="246" spans="1:20" s="57" customFormat="1" ht="14">
      <c r="A246" s="45"/>
      <c r="B246" s="46"/>
      <c r="C246" s="47">
        <f t="shared" si="24"/>
        <v>0</v>
      </c>
      <c r="D246" s="48"/>
      <c r="E246" s="48"/>
      <c r="F246" s="48"/>
      <c r="G246" s="48"/>
      <c r="H246" s="49"/>
      <c r="I246" s="76" t="str">
        <f t="shared" si="25"/>
        <v/>
      </c>
      <c r="J246" s="50"/>
      <c r="K246" s="50"/>
      <c r="L246" s="50"/>
      <c r="M246" s="48"/>
      <c r="N246" s="49" t="str">
        <f t="shared" si="26"/>
        <v/>
      </c>
      <c r="O246" s="49" t="str">
        <f t="shared" si="27"/>
        <v/>
      </c>
      <c r="P246" s="77" t="str">
        <f t="shared" si="28"/>
        <v/>
      </c>
      <c r="Q246" s="78">
        <f t="shared" si="29"/>
        <v>0</v>
      </c>
      <c r="R246" s="78">
        <f t="shared" si="30"/>
        <v>0</v>
      </c>
      <c r="S246" s="77">
        <f t="shared" si="31"/>
        <v>0</v>
      </c>
      <c r="T246" s="48"/>
    </row>
    <row r="247" spans="1:20" s="57" customFormat="1" ht="14">
      <c r="A247" s="45"/>
      <c r="B247" s="46"/>
      <c r="C247" s="47">
        <f t="shared" si="24"/>
        <v>0</v>
      </c>
      <c r="D247" s="48"/>
      <c r="E247" s="48"/>
      <c r="F247" s="48"/>
      <c r="G247" s="48"/>
      <c r="H247" s="49"/>
      <c r="I247" s="76" t="str">
        <f t="shared" si="25"/>
        <v/>
      </c>
      <c r="J247" s="50"/>
      <c r="K247" s="50"/>
      <c r="L247" s="50"/>
      <c r="M247" s="48"/>
      <c r="N247" s="49" t="str">
        <f t="shared" si="26"/>
        <v/>
      </c>
      <c r="O247" s="49" t="str">
        <f t="shared" si="27"/>
        <v/>
      </c>
      <c r="P247" s="77" t="str">
        <f t="shared" si="28"/>
        <v/>
      </c>
      <c r="Q247" s="78">
        <f t="shared" si="29"/>
        <v>0</v>
      </c>
      <c r="R247" s="78">
        <f t="shared" si="30"/>
        <v>0</v>
      </c>
      <c r="S247" s="77">
        <f t="shared" si="31"/>
        <v>0</v>
      </c>
      <c r="T247" s="48"/>
    </row>
    <row r="248" spans="1:20" s="57" customFormat="1" ht="14">
      <c r="A248" s="45"/>
      <c r="B248" s="46"/>
      <c r="C248" s="47">
        <f t="shared" si="24"/>
        <v>0</v>
      </c>
      <c r="D248" s="48"/>
      <c r="E248" s="48"/>
      <c r="F248" s="48"/>
      <c r="G248" s="48"/>
      <c r="H248" s="49"/>
      <c r="I248" s="76" t="str">
        <f t="shared" si="25"/>
        <v/>
      </c>
      <c r="J248" s="50"/>
      <c r="K248" s="50"/>
      <c r="L248" s="50"/>
      <c r="M248" s="48"/>
      <c r="N248" s="49" t="str">
        <f t="shared" si="26"/>
        <v/>
      </c>
      <c r="O248" s="49" t="str">
        <f t="shared" si="27"/>
        <v/>
      </c>
      <c r="P248" s="77" t="str">
        <f t="shared" si="28"/>
        <v/>
      </c>
      <c r="Q248" s="78">
        <f t="shared" si="29"/>
        <v>0</v>
      </c>
      <c r="R248" s="78">
        <f t="shared" si="30"/>
        <v>0</v>
      </c>
      <c r="S248" s="77">
        <f t="shared" si="31"/>
        <v>0</v>
      </c>
      <c r="T248" s="48"/>
    </row>
    <row r="249" spans="1:20" s="57" customFormat="1" ht="14">
      <c r="A249" s="45"/>
      <c r="B249" s="46"/>
      <c r="C249" s="47">
        <f t="shared" si="24"/>
        <v>0</v>
      </c>
      <c r="D249" s="48"/>
      <c r="E249" s="48"/>
      <c r="F249" s="48"/>
      <c r="G249" s="48"/>
      <c r="H249" s="49"/>
      <c r="I249" s="76" t="str">
        <f t="shared" si="25"/>
        <v/>
      </c>
      <c r="J249" s="50"/>
      <c r="K249" s="50"/>
      <c r="L249" s="50"/>
      <c r="M249" s="48"/>
      <c r="N249" s="49" t="str">
        <f t="shared" si="26"/>
        <v/>
      </c>
      <c r="O249" s="49" t="str">
        <f t="shared" si="27"/>
        <v/>
      </c>
      <c r="P249" s="77" t="str">
        <f t="shared" si="28"/>
        <v/>
      </c>
      <c r="Q249" s="78">
        <f t="shared" si="29"/>
        <v>0</v>
      </c>
      <c r="R249" s="78">
        <f t="shared" si="30"/>
        <v>0</v>
      </c>
      <c r="S249" s="77">
        <f t="shared" si="31"/>
        <v>0</v>
      </c>
      <c r="T249" s="48"/>
    </row>
    <row r="250" spans="1:20" s="57" customFormat="1" ht="14">
      <c r="A250" s="45"/>
      <c r="B250" s="46"/>
      <c r="C250" s="47">
        <f t="shared" si="24"/>
        <v>0</v>
      </c>
      <c r="D250" s="48"/>
      <c r="E250" s="48"/>
      <c r="F250" s="48"/>
      <c r="G250" s="48"/>
      <c r="H250" s="49"/>
      <c r="I250" s="76" t="str">
        <f t="shared" si="25"/>
        <v/>
      </c>
      <c r="J250" s="50"/>
      <c r="K250" s="50"/>
      <c r="L250" s="50"/>
      <c r="M250" s="48"/>
      <c r="N250" s="49" t="str">
        <f t="shared" si="26"/>
        <v/>
      </c>
      <c r="O250" s="49" t="str">
        <f t="shared" si="27"/>
        <v/>
      </c>
      <c r="P250" s="77" t="str">
        <f t="shared" si="28"/>
        <v/>
      </c>
      <c r="Q250" s="78">
        <f t="shared" si="29"/>
        <v>0</v>
      </c>
      <c r="R250" s="78">
        <f t="shared" si="30"/>
        <v>0</v>
      </c>
      <c r="S250" s="77">
        <f t="shared" si="31"/>
        <v>0</v>
      </c>
      <c r="T250" s="48"/>
    </row>
    <row r="251" spans="1:20" s="57" customFormat="1" ht="14">
      <c r="A251" s="45"/>
      <c r="B251" s="46"/>
      <c r="C251" s="47">
        <f t="shared" si="24"/>
        <v>0</v>
      </c>
      <c r="D251" s="48"/>
      <c r="E251" s="48"/>
      <c r="F251" s="48"/>
      <c r="G251" s="48"/>
      <c r="H251" s="49"/>
      <c r="I251" s="76" t="str">
        <f t="shared" si="25"/>
        <v/>
      </c>
      <c r="J251" s="50"/>
      <c r="K251" s="50"/>
      <c r="L251" s="50"/>
      <c r="M251" s="48"/>
      <c r="N251" s="49" t="str">
        <f t="shared" si="26"/>
        <v/>
      </c>
      <c r="O251" s="49" t="str">
        <f t="shared" si="27"/>
        <v/>
      </c>
      <c r="P251" s="77" t="str">
        <f t="shared" si="28"/>
        <v/>
      </c>
      <c r="Q251" s="78">
        <f t="shared" si="29"/>
        <v>0</v>
      </c>
      <c r="R251" s="78">
        <f t="shared" si="30"/>
        <v>0</v>
      </c>
      <c r="S251" s="77">
        <f t="shared" si="31"/>
        <v>0</v>
      </c>
      <c r="T251" s="48"/>
    </row>
    <row r="252" spans="1:20" s="57" customFormat="1" ht="14">
      <c r="A252" s="45"/>
      <c r="B252" s="46"/>
      <c r="C252" s="47">
        <f t="shared" si="24"/>
        <v>0</v>
      </c>
      <c r="D252" s="48"/>
      <c r="E252" s="48"/>
      <c r="F252" s="48"/>
      <c r="G252" s="48"/>
      <c r="H252" s="49"/>
      <c r="I252" s="76" t="str">
        <f t="shared" si="25"/>
        <v/>
      </c>
      <c r="J252" s="50"/>
      <c r="K252" s="50"/>
      <c r="L252" s="50"/>
      <c r="M252" s="48"/>
      <c r="N252" s="49" t="str">
        <f t="shared" si="26"/>
        <v/>
      </c>
      <c r="O252" s="49" t="str">
        <f t="shared" si="27"/>
        <v/>
      </c>
      <c r="P252" s="77" t="str">
        <f t="shared" si="28"/>
        <v/>
      </c>
      <c r="Q252" s="78">
        <f t="shared" si="29"/>
        <v>0</v>
      </c>
      <c r="R252" s="78">
        <f t="shared" si="30"/>
        <v>0</v>
      </c>
      <c r="S252" s="77">
        <f t="shared" si="31"/>
        <v>0</v>
      </c>
      <c r="T252" s="48"/>
    </row>
    <row r="253" spans="1:20" s="57" customFormat="1" ht="14">
      <c r="A253" s="45"/>
      <c r="B253" s="46"/>
      <c r="C253" s="47">
        <f t="shared" si="24"/>
        <v>0</v>
      </c>
      <c r="D253" s="48"/>
      <c r="E253" s="48"/>
      <c r="F253" s="48"/>
      <c r="G253" s="48"/>
      <c r="H253" s="49"/>
      <c r="I253" s="76" t="str">
        <f t="shared" si="25"/>
        <v/>
      </c>
      <c r="J253" s="50"/>
      <c r="K253" s="50"/>
      <c r="L253" s="50"/>
      <c r="M253" s="48"/>
      <c r="N253" s="49" t="str">
        <f t="shared" si="26"/>
        <v/>
      </c>
      <c r="O253" s="49" t="str">
        <f t="shared" si="27"/>
        <v/>
      </c>
      <c r="P253" s="77" t="str">
        <f t="shared" si="28"/>
        <v/>
      </c>
      <c r="Q253" s="78">
        <f t="shared" si="29"/>
        <v>0</v>
      </c>
      <c r="R253" s="78">
        <f t="shared" si="30"/>
        <v>0</v>
      </c>
      <c r="S253" s="77">
        <f t="shared" si="31"/>
        <v>0</v>
      </c>
      <c r="T253" s="48"/>
    </row>
    <row r="254" spans="1:20" s="57" customFormat="1" ht="14">
      <c r="A254" s="45"/>
      <c r="B254" s="46"/>
      <c r="C254" s="47">
        <f t="shared" si="24"/>
        <v>0</v>
      </c>
      <c r="D254" s="48"/>
      <c r="E254" s="48"/>
      <c r="F254" s="48"/>
      <c r="G254" s="48"/>
      <c r="H254" s="49"/>
      <c r="I254" s="76" t="str">
        <f t="shared" si="25"/>
        <v/>
      </c>
      <c r="J254" s="50"/>
      <c r="K254" s="50"/>
      <c r="L254" s="50"/>
      <c r="M254" s="48"/>
      <c r="N254" s="49" t="str">
        <f t="shared" si="26"/>
        <v/>
      </c>
      <c r="O254" s="49" t="str">
        <f t="shared" si="27"/>
        <v/>
      </c>
      <c r="P254" s="77" t="str">
        <f t="shared" si="28"/>
        <v/>
      </c>
      <c r="Q254" s="78">
        <f t="shared" si="29"/>
        <v>0</v>
      </c>
      <c r="R254" s="78">
        <f t="shared" si="30"/>
        <v>0</v>
      </c>
      <c r="S254" s="77">
        <f t="shared" si="31"/>
        <v>0</v>
      </c>
      <c r="T254" s="48"/>
    </row>
    <row r="255" spans="1:20" s="57" customFormat="1" ht="14">
      <c r="A255" s="45"/>
      <c r="B255" s="46"/>
      <c r="C255" s="47">
        <f t="shared" si="24"/>
        <v>0</v>
      </c>
      <c r="D255" s="48"/>
      <c r="E255" s="48"/>
      <c r="F255" s="48"/>
      <c r="G255" s="48"/>
      <c r="H255" s="49"/>
      <c r="I255" s="76" t="str">
        <f t="shared" si="25"/>
        <v/>
      </c>
      <c r="J255" s="50"/>
      <c r="K255" s="50"/>
      <c r="L255" s="50"/>
      <c r="M255" s="48"/>
      <c r="N255" s="49" t="str">
        <f t="shared" si="26"/>
        <v/>
      </c>
      <c r="O255" s="49" t="str">
        <f t="shared" si="27"/>
        <v/>
      </c>
      <c r="P255" s="77" t="str">
        <f t="shared" si="28"/>
        <v/>
      </c>
      <c r="Q255" s="78">
        <f t="shared" si="29"/>
        <v>0</v>
      </c>
      <c r="R255" s="78">
        <f t="shared" si="30"/>
        <v>0</v>
      </c>
      <c r="S255" s="77">
        <f t="shared" si="31"/>
        <v>0</v>
      </c>
      <c r="T255" s="48"/>
    </row>
    <row r="256" spans="1:20" s="57" customFormat="1" ht="14">
      <c r="A256" s="45"/>
      <c r="B256" s="46"/>
      <c r="C256" s="47">
        <f t="shared" si="24"/>
        <v>0</v>
      </c>
      <c r="D256" s="48"/>
      <c r="E256" s="48"/>
      <c r="F256" s="48"/>
      <c r="G256" s="48"/>
      <c r="H256" s="49"/>
      <c r="I256" s="76" t="str">
        <f t="shared" si="25"/>
        <v/>
      </c>
      <c r="J256" s="50"/>
      <c r="K256" s="50"/>
      <c r="L256" s="50"/>
      <c r="M256" s="48"/>
      <c r="N256" s="49" t="str">
        <f t="shared" si="26"/>
        <v/>
      </c>
      <c r="O256" s="49" t="str">
        <f t="shared" si="27"/>
        <v/>
      </c>
      <c r="P256" s="77" t="str">
        <f t="shared" si="28"/>
        <v/>
      </c>
      <c r="Q256" s="78">
        <f t="shared" si="29"/>
        <v>0</v>
      </c>
      <c r="R256" s="78">
        <f t="shared" si="30"/>
        <v>0</v>
      </c>
      <c r="S256" s="77">
        <f t="shared" si="31"/>
        <v>0</v>
      </c>
      <c r="T256" s="48"/>
    </row>
    <row r="257" spans="1:20" s="57" customFormat="1" ht="14">
      <c r="A257" s="45"/>
      <c r="B257" s="46"/>
      <c r="C257" s="47">
        <f t="shared" si="24"/>
        <v>0</v>
      </c>
      <c r="D257" s="48"/>
      <c r="E257" s="48"/>
      <c r="F257" s="48"/>
      <c r="G257" s="48"/>
      <c r="H257" s="49"/>
      <c r="I257" s="76" t="str">
        <f t="shared" si="25"/>
        <v/>
      </c>
      <c r="J257" s="50"/>
      <c r="K257" s="50"/>
      <c r="L257" s="50"/>
      <c r="M257" s="48"/>
      <c r="N257" s="49" t="str">
        <f t="shared" si="26"/>
        <v/>
      </c>
      <c r="O257" s="49" t="str">
        <f t="shared" si="27"/>
        <v/>
      </c>
      <c r="P257" s="77" t="str">
        <f t="shared" si="28"/>
        <v/>
      </c>
      <c r="Q257" s="78">
        <f t="shared" si="29"/>
        <v>0</v>
      </c>
      <c r="R257" s="78">
        <f t="shared" si="30"/>
        <v>0</v>
      </c>
      <c r="S257" s="77">
        <f t="shared" si="31"/>
        <v>0</v>
      </c>
      <c r="T257" s="48"/>
    </row>
    <row r="258" spans="1:20" s="57" customFormat="1" ht="14">
      <c r="A258" s="45"/>
      <c r="B258" s="46"/>
      <c r="C258" s="47">
        <f t="shared" si="24"/>
        <v>0</v>
      </c>
      <c r="D258" s="48"/>
      <c r="E258" s="48"/>
      <c r="F258" s="48"/>
      <c r="G258" s="48"/>
      <c r="H258" s="49"/>
      <c r="I258" s="76" t="str">
        <f t="shared" si="25"/>
        <v/>
      </c>
      <c r="J258" s="50"/>
      <c r="K258" s="50"/>
      <c r="L258" s="50"/>
      <c r="M258" s="48"/>
      <c r="N258" s="49" t="str">
        <f t="shared" si="26"/>
        <v/>
      </c>
      <c r="O258" s="49" t="str">
        <f t="shared" si="27"/>
        <v/>
      </c>
      <c r="P258" s="77" t="str">
        <f t="shared" si="28"/>
        <v/>
      </c>
      <c r="Q258" s="78">
        <f t="shared" si="29"/>
        <v>0</v>
      </c>
      <c r="R258" s="78">
        <f t="shared" si="30"/>
        <v>0</v>
      </c>
      <c r="S258" s="77">
        <f t="shared" si="31"/>
        <v>0</v>
      </c>
      <c r="T258" s="48"/>
    </row>
    <row r="259" spans="1:20" s="57" customFormat="1" ht="14">
      <c r="A259" s="45"/>
      <c r="B259" s="46"/>
      <c r="C259" s="47">
        <f t="shared" si="24"/>
        <v>0</v>
      </c>
      <c r="D259" s="48"/>
      <c r="E259" s="48"/>
      <c r="F259" s="48"/>
      <c r="G259" s="48"/>
      <c r="H259" s="49"/>
      <c r="I259" s="76" t="str">
        <f t="shared" si="25"/>
        <v/>
      </c>
      <c r="J259" s="50"/>
      <c r="K259" s="50"/>
      <c r="L259" s="50"/>
      <c r="M259" s="48"/>
      <c r="N259" s="49" t="str">
        <f t="shared" si="26"/>
        <v/>
      </c>
      <c r="O259" s="49" t="str">
        <f t="shared" si="27"/>
        <v/>
      </c>
      <c r="P259" s="77" t="str">
        <f t="shared" si="28"/>
        <v/>
      </c>
      <c r="Q259" s="78">
        <f t="shared" si="29"/>
        <v>0</v>
      </c>
      <c r="R259" s="78">
        <f t="shared" si="30"/>
        <v>0</v>
      </c>
      <c r="S259" s="77">
        <f t="shared" si="31"/>
        <v>0</v>
      </c>
      <c r="T259" s="48"/>
    </row>
    <row r="260" spans="1:20" s="57" customFormat="1" ht="14">
      <c r="A260" s="45"/>
      <c r="B260" s="46"/>
      <c r="C260" s="47">
        <f t="shared" si="24"/>
        <v>0</v>
      </c>
      <c r="D260" s="48"/>
      <c r="E260" s="48"/>
      <c r="F260" s="48"/>
      <c r="G260" s="48"/>
      <c r="H260" s="49"/>
      <c r="I260" s="76" t="str">
        <f t="shared" si="25"/>
        <v/>
      </c>
      <c r="J260" s="50"/>
      <c r="K260" s="50"/>
      <c r="L260" s="50"/>
      <c r="M260" s="48"/>
      <c r="N260" s="49" t="str">
        <f t="shared" si="26"/>
        <v/>
      </c>
      <c r="O260" s="49" t="str">
        <f t="shared" si="27"/>
        <v/>
      </c>
      <c r="P260" s="77" t="str">
        <f t="shared" si="28"/>
        <v/>
      </c>
      <c r="Q260" s="78">
        <f t="shared" si="29"/>
        <v>0</v>
      </c>
      <c r="R260" s="78">
        <f t="shared" si="30"/>
        <v>0</v>
      </c>
      <c r="S260" s="77">
        <f t="shared" si="31"/>
        <v>0</v>
      </c>
      <c r="T260" s="48"/>
    </row>
    <row r="261" spans="1:20" s="57" customFormat="1" ht="14">
      <c r="A261" s="45"/>
      <c r="B261" s="46"/>
      <c r="C261" s="47">
        <f t="shared" si="24"/>
        <v>0</v>
      </c>
      <c r="D261" s="48"/>
      <c r="E261" s="48"/>
      <c r="F261" s="48"/>
      <c r="G261" s="48"/>
      <c r="H261" s="49"/>
      <c r="I261" s="76" t="str">
        <f t="shared" si="25"/>
        <v/>
      </c>
      <c r="J261" s="50"/>
      <c r="K261" s="50"/>
      <c r="L261" s="50"/>
      <c r="M261" s="48"/>
      <c r="N261" s="49" t="str">
        <f t="shared" si="26"/>
        <v/>
      </c>
      <c r="O261" s="49" t="str">
        <f t="shared" si="27"/>
        <v/>
      </c>
      <c r="P261" s="77" t="str">
        <f t="shared" si="28"/>
        <v/>
      </c>
      <c r="Q261" s="78">
        <f t="shared" si="29"/>
        <v>0</v>
      </c>
      <c r="R261" s="78">
        <f t="shared" si="30"/>
        <v>0</v>
      </c>
      <c r="S261" s="77">
        <f t="shared" si="31"/>
        <v>0</v>
      </c>
      <c r="T261" s="48"/>
    </row>
    <row r="262" spans="1:20" s="57" customFormat="1" ht="14">
      <c r="A262" s="45"/>
      <c r="B262" s="46"/>
      <c r="C262" s="47">
        <f t="shared" si="24"/>
        <v>0</v>
      </c>
      <c r="D262" s="48"/>
      <c r="E262" s="48"/>
      <c r="F262" s="48"/>
      <c r="G262" s="48"/>
      <c r="H262" s="49"/>
      <c r="I262" s="76" t="str">
        <f t="shared" si="25"/>
        <v/>
      </c>
      <c r="J262" s="50"/>
      <c r="K262" s="50"/>
      <c r="L262" s="50"/>
      <c r="M262" s="48"/>
      <c r="N262" s="49" t="str">
        <f t="shared" si="26"/>
        <v/>
      </c>
      <c r="O262" s="49" t="str">
        <f t="shared" si="27"/>
        <v/>
      </c>
      <c r="P262" s="77" t="str">
        <f t="shared" si="28"/>
        <v/>
      </c>
      <c r="Q262" s="78">
        <f t="shared" si="29"/>
        <v>0</v>
      </c>
      <c r="R262" s="78">
        <f t="shared" si="30"/>
        <v>0</v>
      </c>
      <c r="S262" s="77">
        <f t="shared" si="31"/>
        <v>0</v>
      </c>
      <c r="T262" s="48"/>
    </row>
    <row r="263" spans="1:20" s="57" customFormat="1" ht="14">
      <c r="A263" s="45"/>
      <c r="B263" s="46"/>
      <c r="C263" s="47">
        <f t="shared" si="24"/>
        <v>0</v>
      </c>
      <c r="D263" s="48"/>
      <c r="E263" s="48"/>
      <c r="F263" s="48"/>
      <c r="G263" s="48"/>
      <c r="H263" s="49"/>
      <c r="I263" s="76" t="str">
        <f t="shared" si="25"/>
        <v/>
      </c>
      <c r="J263" s="50"/>
      <c r="K263" s="50"/>
      <c r="L263" s="50"/>
      <c r="M263" s="48"/>
      <c r="N263" s="49" t="str">
        <f t="shared" si="26"/>
        <v/>
      </c>
      <c r="O263" s="49" t="str">
        <f t="shared" si="27"/>
        <v/>
      </c>
      <c r="P263" s="77" t="str">
        <f t="shared" si="28"/>
        <v/>
      </c>
      <c r="Q263" s="78">
        <f t="shared" si="29"/>
        <v>0</v>
      </c>
      <c r="R263" s="78">
        <f t="shared" si="30"/>
        <v>0</v>
      </c>
      <c r="S263" s="77">
        <f t="shared" si="31"/>
        <v>0</v>
      </c>
      <c r="T263" s="48"/>
    </row>
    <row r="264" spans="1:20" s="57" customFormat="1" ht="14">
      <c r="A264" s="45"/>
      <c r="B264" s="46"/>
      <c r="C264" s="47">
        <f t="shared" si="24"/>
        <v>0</v>
      </c>
      <c r="D264" s="48"/>
      <c r="E264" s="48"/>
      <c r="F264" s="48"/>
      <c r="G264" s="48"/>
      <c r="H264" s="49"/>
      <c r="I264" s="76" t="str">
        <f t="shared" si="25"/>
        <v/>
      </c>
      <c r="J264" s="50"/>
      <c r="K264" s="50"/>
      <c r="L264" s="50"/>
      <c r="M264" s="48"/>
      <c r="N264" s="49" t="str">
        <f t="shared" si="26"/>
        <v/>
      </c>
      <c r="O264" s="49" t="str">
        <f t="shared" si="27"/>
        <v/>
      </c>
      <c r="P264" s="77" t="str">
        <f t="shared" si="28"/>
        <v/>
      </c>
      <c r="Q264" s="78">
        <f t="shared" si="29"/>
        <v>0</v>
      </c>
      <c r="R264" s="78">
        <f t="shared" si="30"/>
        <v>0</v>
      </c>
      <c r="S264" s="77">
        <f t="shared" si="31"/>
        <v>0</v>
      </c>
      <c r="T264" s="48"/>
    </row>
    <row r="265" spans="1:20" s="57" customFormat="1" ht="14">
      <c r="A265" s="45"/>
      <c r="B265" s="46"/>
      <c r="C265" s="47">
        <f t="shared" si="24"/>
        <v>0</v>
      </c>
      <c r="D265" s="48"/>
      <c r="E265" s="48"/>
      <c r="F265" s="48"/>
      <c r="G265" s="48"/>
      <c r="H265" s="49"/>
      <c r="I265" s="76" t="str">
        <f t="shared" si="25"/>
        <v/>
      </c>
      <c r="J265" s="50"/>
      <c r="K265" s="50"/>
      <c r="L265" s="50"/>
      <c r="M265" s="48"/>
      <c r="N265" s="49" t="str">
        <f t="shared" si="26"/>
        <v/>
      </c>
      <c r="O265" s="49" t="str">
        <f t="shared" si="27"/>
        <v/>
      </c>
      <c r="P265" s="77" t="str">
        <f t="shared" si="28"/>
        <v/>
      </c>
      <c r="Q265" s="78">
        <f t="shared" si="29"/>
        <v>0</v>
      </c>
      <c r="R265" s="78">
        <f t="shared" si="30"/>
        <v>0</v>
      </c>
      <c r="S265" s="77">
        <f t="shared" si="31"/>
        <v>0</v>
      </c>
      <c r="T265" s="48"/>
    </row>
    <row r="266" spans="1:20" s="57" customFormat="1" ht="14">
      <c r="A266" s="45"/>
      <c r="B266" s="46"/>
      <c r="C266" s="47">
        <f t="shared" si="24"/>
        <v>0</v>
      </c>
      <c r="D266" s="48"/>
      <c r="E266" s="48"/>
      <c r="F266" s="48"/>
      <c r="G266" s="48"/>
      <c r="H266" s="49"/>
      <c r="I266" s="76" t="str">
        <f t="shared" si="25"/>
        <v/>
      </c>
      <c r="J266" s="50"/>
      <c r="K266" s="50"/>
      <c r="L266" s="50"/>
      <c r="M266" s="48"/>
      <c r="N266" s="49" t="str">
        <f t="shared" si="26"/>
        <v/>
      </c>
      <c r="O266" s="49" t="str">
        <f t="shared" si="27"/>
        <v/>
      </c>
      <c r="P266" s="77" t="str">
        <f t="shared" si="28"/>
        <v/>
      </c>
      <c r="Q266" s="78">
        <f t="shared" si="29"/>
        <v>0</v>
      </c>
      <c r="R266" s="78">
        <f t="shared" si="30"/>
        <v>0</v>
      </c>
      <c r="S266" s="77">
        <f t="shared" si="31"/>
        <v>0</v>
      </c>
      <c r="T266" s="48"/>
    </row>
    <row r="267" spans="1:20" s="57" customFormat="1" ht="14">
      <c r="A267" s="45"/>
      <c r="B267" s="46"/>
      <c r="C267" s="47">
        <f t="shared" ref="C267:C330" si="32">IF($B267&lt;&gt;"",VLOOKUP($B267,Matriz_INM,2,0),0)</f>
        <v>0</v>
      </c>
      <c r="D267" s="48"/>
      <c r="E267" s="48"/>
      <c r="F267" s="48"/>
      <c r="G267" s="48"/>
      <c r="H267" s="49"/>
      <c r="I267" s="76" t="str">
        <f t="shared" ref="I267:I330" si="33">IFERROR(VLOOKUP($B267,Matriz_INM,3,0),"")</f>
        <v/>
      </c>
      <c r="J267" s="50"/>
      <c r="K267" s="50"/>
      <c r="L267" s="50"/>
      <c r="M267" s="48"/>
      <c r="N267" s="49"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9"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7" t="str">
        <f t="shared" ref="P267:P330" si="36">IF(N267="",O267,IF(O267="",N267,""))</f>
        <v/>
      </c>
      <c r="Q267" s="78">
        <f t="shared" ref="Q267:Q330" si="37">IF(AND(OR(M267="EE",M267="CE"),P267="Simples"),3, IF(AND(OR(M267="EE",M267="CE"),P267="Médio"),4, IF(AND(OR(M267="EE",M267="CE"),P267="Complexo"),6, IF(AND(M267="SE",P267="Simples"),4, IF(AND(M267="SE",P267="Médio"),5, IF(AND(M267="SE",P267="Complexo"),7,0))))))</f>
        <v>0</v>
      </c>
      <c r="R267" s="78">
        <f t="shared" ref="R267:R330" si="38">IF(AND(M267="ALI",O267="Simples"),7, IF(AND(M267="ALI",O267="Médio"),10, IF(AND(M267="ALI",O267="Complexo"),15, IF(AND(M267="AIE",O267="Simples"),5, IF(AND(M267="AIE",O267="Médio"),7, IF(AND(M267="AIE",O267="Complexo"),10,0))))))</f>
        <v>0</v>
      </c>
      <c r="S267" s="77">
        <f t="shared" si="31"/>
        <v>0</v>
      </c>
      <c r="T267" s="48"/>
    </row>
    <row r="268" spans="1:20" s="57" customFormat="1" ht="14">
      <c r="A268" s="45"/>
      <c r="B268" s="46"/>
      <c r="C268" s="47">
        <f t="shared" si="32"/>
        <v>0</v>
      </c>
      <c r="D268" s="48"/>
      <c r="E268" s="48"/>
      <c r="F268" s="48"/>
      <c r="G268" s="48"/>
      <c r="H268" s="49"/>
      <c r="I268" s="76" t="str">
        <f t="shared" si="33"/>
        <v/>
      </c>
      <c r="J268" s="50"/>
      <c r="K268" s="50"/>
      <c r="L268" s="50"/>
      <c r="M268" s="48"/>
      <c r="N268" s="49" t="str">
        <f t="shared" si="34"/>
        <v/>
      </c>
      <c r="O268" s="49" t="str">
        <f t="shared" si="35"/>
        <v/>
      </c>
      <c r="P268" s="77" t="str">
        <f t="shared" si="36"/>
        <v/>
      </c>
      <c r="Q268" s="78">
        <f t="shared" si="37"/>
        <v>0</v>
      </c>
      <c r="R268" s="78">
        <f t="shared" si="38"/>
        <v>0</v>
      </c>
      <c r="S268" s="77">
        <f t="shared" ref="S268:S331" si="39">IF($I268="%",($Q268+$R268)*$C268,$C268)</f>
        <v>0</v>
      </c>
      <c r="T268" s="48"/>
    </row>
    <row r="269" spans="1:20" s="57" customFormat="1" ht="14">
      <c r="A269" s="45"/>
      <c r="B269" s="46"/>
      <c r="C269" s="47">
        <f t="shared" si="32"/>
        <v>0</v>
      </c>
      <c r="D269" s="48"/>
      <c r="E269" s="48"/>
      <c r="F269" s="48"/>
      <c r="G269" s="48"/>
      <c r="H269" s="49"/>
      <c r="I269" s="76" t="str">
        <f t="shared" si="33"/>
        <v/>
      </c>
      <c r="J269" s="50"/>
      <c r="K269" s="50"/>
      <c r="L269" s="50"/>
      <c r="M269" s="48"/>
      <c r="N269" s="49" t="str">
        <f t="shared" si="34"/>
        <v/>
      </c>
      <c r="O269" s="49" t="str">
        <f t="shared" si="35"/>
        <v/>
      </c>
      <c r="P269" s="77" t="str">
        <f t="shared" si="36"/>
        <v/>
      </c>
      <c r="Q269" s="78">
        <f t="shared" si="37"/>
        <v>0</v>
      </c>
      <c r="R269" s="78">
        <f t="shared" si="38"/>
        <v>0</v>
      </c>
      <c r="S269" s="77">
        <f t="shared" si="39"/>
        <v>0</v>
      </c>
      <c r="T269" s="48"/>
    </row>
    <row r="270" spans="1:20" s="57" customFormat="1" ht="14">
      <c r="A270" s="45"/>
      <c r="B270" s="46"/>
      <c r="C270" s="47">
        <f t="shared" si="32"/>
        <v>0</v>
      </c>
      <c r="D270" s="48"/>
      <c r="E270" s="48"/>
      <c r="F270" s="48"/>
      <c r="G270" s="48"/>
      <c r="H270" s="49"/>
      <c r="I270" s="76" t="str">
        <f t="shared" si="33"/>
        <v/>
      </c>
      <c r="J270" s="50"/>
      <c r="K270" s="50"/>
      <c r="L270" s="50"/>
      <c r="M270" s="48"/>
      <c r="N270" s="49" t="str">
        <f t="shared" si="34"/>
        <v/>
      </c>
      <c r="O270" s="49" t="str">
        <f t="shared" si="35"/>
        <v/>
      </c>
      <c r="P270" s="77" t="str">
        <f t="shared" si="36"/>
        <v/>
      </c>
      <c r="Q270" s="78">
        <f t="shared" si="37"/>
        <v>0</v>
      </c>
      <c r="R270" s="78">
        <f t="shared" si="38"/>
        <v>0</v>
      </c>
      <c r="S270" s="77">
        <f t="shared" si="39"/>
        <v>0</v>
      </c>
      <c r="T270" s="48"/>
    </row>
    <row r="271" spans="1:20" s="57" customFormat="1" ht="14">
      <c r="A271" s="45"/>
      <c r="B271" s="46"/>
      <c r="C271" s="47">
        <f t="shared" si="32"/>
        <v>0</v>
      </c>
      <c r="D271" s="48"/>
      <c r="E271" s="48"/>
      <c r="F271" s="48"/>
      <c r="G271" s="48"/>
      <c r="H271" s="49"/>
      <c r="I271" s="76" t="str">
        <f t="shared" si="33"/>
        <v/>
      </c>
      <c r="J271" s="50"/>
      <c r="K271" s="50"/>
      <c r="L271" s="50"/>
      <c r="M271" s="48"/>
      <c r="N271" s="49" t="str">
        <f t="shared" si="34"/>
        <v/>
      </c>
      <c r="O271" s="49" t="str">
        <f t="shared" si="35"/>
        <v/>
      </c>
      <c r="P271" s="77" t="str">
        <f t="shared" si="36"/>
        <v/>
      </c>
      <c r="Q271" s="78">
        <f t="shared" si="37"/>
        <v>0</v>
      </c>
      <c r="R271" s="78">
        <f t="shared" si="38"/>
        <v>0</v>
      </c>
      <c r="S271" s="77">
        <f t="shared" si="39"/>
        <v>0</v>
      </c>
      <c r="T271" s="48"/>
    </row>
    <row r="272" spans="1:20" s="57" customFormat="1" ht="14">
      <c r="A272" s="45"/>
      <c r="B272" s="46"/>
      <c r="C272" s="47">
        <f t="shared" si="32"/>
        <v>0</v>
      </c>
      <c r="D272" s="48"/>
      <c r="E272" s="48"/>
      <c r="F272" s="48"/>
      <c r="G272" s="48"/>
      <c r="H272" s="49"/>
      <c r="I272" s="76" t="str">
        <f t="shared" si="33"/>
        <v/>
      </c>
      <c r="J272" s="50"/>
      <c r="K272" s="50"/>
      <c r="L272" s="50"/>
      <c r="M272" s="48"/>
      <c r="N272" s="49" t="str">
        <f t="shared" si="34"/>
        <v/>
      </c>
      <c r="O272" s="49" t="str">
        <f t="shared" si="35"/>
        <v/>
      </c>
      <c r="P272" s="77" t="str">
        <f t="shared" si="36"/>
        <v/>
      </c>
      <c r="Q272" s="78">
        <f t="shared" si="37"/>
        <v>0</v>
      </c>
      <c r="R272" s="78">
        <f t="shared" si="38"/>
        <v>0</v>
      </c>
      <c r="S272" s="77">
        <f t="shared" si="39"/>
        <v>0</v>
      </c>
      <c r="T272" s="48"/>
    </row>
    <row r="273" spans="1:20" s="57" customFormat="1" ht="14">
      <c r="A273" s="45"/>
      <c r="B273" s="46"/>
      <c r="C273" s="47">
        <f t="shared" si="32"/>
        <v>0</v>
      </c>
      <c r="D273" s="48"/>
      <c r="E273" s="48"/>
      <c r="F273" s="48"/>
      <c r="G273" s="48"/>
      <c r="H273" s="49"/>
      <c r="I273" s="76" t="str">
        <f t="shared" si="33"/>
        <v/>
      </c>
      <c r="J273" s="50"/>
      <c r="K273" s="50"/>
      <c r="L273" s="50"/>
      <c r="M273" s="48"/>
      <c r="N273" s="49" t="str">
        <f t="shared" si="34"/>
        <v/>
      </c>
      <c r="O273" s="49" t="str">
        <f t="shared" si="35"/>
        <v/>
      </c>
      <c r="P273" s="77" t="str">
        <f t="shared" si="36"/>
        <v/>
      </c>
      <c r="Q273" s="78">
        <f t="shared" si="37"/>
        <v>0</v>
      </c>
      <c r="R273" s="78">
        <f t="shared" si="38"/>
        <v>0</v>
      </c>
      <c r="S273" s="77">
        <f t="shared" si="39"/>
        <v>0</v>
      </c>
      <c r="T273" s="48"/>
    </row>
    <row r="274" spans="1:20" s="57" customFormat="1" ht="14">
      <c r="A274" s="45"/>
      <c r="B274" s="46"/>
      <c r="C274" s="47">
        <f t="shared" si="32"/>
        <v>0</v>
      </c>
      <c r="D274" s="48"/>
      <c r="E274" s="48"/>
      <c r="F274" s="48"/>
      <c r="G274" s="48"/>
      <c r="H274" s="49"/>
      <c r="I274" s="76" t="str">
        <f t="shared" si="33"/>
        <v/>
      </c>
      <c r="J274" s="50"/>
      <c r="K274" s="50"/>
      <c r="L274" s="50"/>
      <c r="M274" s="48"/>
      <c r="N274" s="49" t="str">
        <f t="shared" si="34"/>
        <v/>
      </c>
      <c r="O274" s="49" t="str">
        <f t="shared" si="35"/>
        <v/>
      </c>
      <c r="P274" s="77" t="str">
        <f t="shared" si="36"/>
        <v/>
      </c>
      <c r="Q274" s="78">
        <f t="shared" si="37"/>
        <v>0</v>
      </c>
      <c r="R274" s="78">
        <f t="shared" si="38"/>
        <v>0</v>
      </c>
      <c r="S274" s="77">
        <f t="shared" si="39"/>
        <v>0</v>
      </c>
      <c r="T274" s="48"/>
    </row>
    <row r="275" spans="1:20" s="57" customFormat="1" ht="14">
      <c r="A275" s="45"/>
      <c r="B275" s="46"/>
      <c r="C275" s="47">
        <f t="shared" si="32"/>
        <v>0</v>
      </c>
      <c r="D275" s="48"/>
      <c r="E275" s="48"/>
      <c r="F275" s="48"/>
      <c r="G275" s="48"/>
      <c r="H275" s="49"/>
      <c r="I275" s="76" t="str">
        <f t="shared" si="33"/>
        <v/>
      </c>
      <c r="J275" s="50"/>
      <c r="K275" s="50"/>
      <c r="L275" s="50"/>
      <c r="M275" s="48"/>
      <c r="N275" s="49" t="str">
        <f t="shared" si="34"/>
        <v/>
      </c>
      <c r="O275" s="49" t="str">
        <f t="shared" si="35"/>
        <v/>
      </c>
      <c r="P275" s="77" t="str">
        <f t="shared" si="36"/>
        <v/>
      </c>
      <c r="Q275" s="78">
        <f t="shared" si="37"/>
        <v>0</v>
      </c>
      <c r="R275" s="78">
        <f t="shared" si="38"/>
        <v>0</v>
      </c>
      <c r="S275" s="77">
        <f t="shared" si="39"/>
        <v>0</v>
      </c>
      <c r="T275" s="48"/>
    </row>
    <row r="276" spans="1:20" s="57" customFormat="1" ht="14">
      <c r="A276" s="45"/>
      <c r="B276" s="46"/>
      <c r="C276" s="47">
        <f t="shared" si="32"/>
        <v>0</v>
      </c>
      <c r="D276" s="48"/>
      <c r="E276" s="48"/>
      <c r="F276" s="48"/>
      <c r="G276" s="48"/>
      <c r="H276" s="49"/>
      <c r="I276" s="76" t="str">
        <f t="shared" si="33"/>
        <v/>
      </c>
      <c r="J276" s="50"/>
      <c r="K276" s="50"/>
      <c r="L276" s="50"/>
      <c r="M276" s="48"/>
      <c r="N276" s="49" t="str">
        <f t="shared" si="34"/>
        <v/>
      </c>
      <c r="O276" s="49" t="str">
        <f t="shared" si="35"/>
        <v/>
      </c>
      <c r="P276" s="77" t="str">
        <f t="shared" si="36"/>
        <v/>
      </c>
      <c r="Q276" s="78">
        <f t="shared" si="37"/>
        <v>0</v>
      </c>
      <c r="R276" s="78">
        <f t="shared" si="38"/>
        <v>0</v>
      </c>
      <c r="S276" s="77">
        <f t="shared" si="39"/>
        <v>0</v>
      </c>
      <c r="T276" s="48"/>
    </row>
    <row r="277" spans="1:20" s="57" customFormat="1" ht="14">
      <c r="A277" s="45"/>
      <c r="B277" s="46"/>
      <c r="C277" s="47">
        <f t="shared" si="32"/>
        <v>0</v>
      </c>
      <c r="D277" s="48"/>
      <c r="E277" s="48"/>
      <c r="F277" s="48"/>
      <c r="G277" s="48"/>
      <c r="H277" s="49"/>
      <c r="I277" s="76" t="str">
        <f t="shared" si="33"/>
        <v/>
      </c>
      <c r="J277" s="50"/>
      <c r="K277" s="50"/>
      <c r="L277" s="50"/>
      <c r="M277" s="48"/>
      <c r="N277" s="49" t="str">
        <f t="shared" si="34"/>
        <v/>
      </c>
      <c r="O277" s="49" t="str">
        <f t="shared" si="35"/>
        <v/>
      </c>
      <c r="P277" s="77" t="str">
        <f t="shared" si="36"/>
        <v/>
      </c>
      <c r="Q277" s="78">
        <f t="shared" si="37"/>
        <v>0</v>
      </c>
      <c r="R277" s="78">
        <f t="shared" si="38"/>
        <v>0</v>
      </c>
      <c r="S277" s="77">
        <f t="shared" si="39"/>
        <v>0</v>
      </c>
      <c r="T277" s="48"/>
    </row>
    <row r="278" spans="1:20" s="57" customFormat="1" ht="14">
      <c r="A278" s="45"/>
      <c r="B278" s="46"/>
      <c r="C278" s="47">
        <f t="shared" si="32"/>
        <v>0</v>
      </c>
      <c r="D278" s="48"/>
      <c r="E278" s="48"/>
      <c r="F278" s="48"/>
      <c r="G278" s="48"/>
      <c r="H278" s="49"/>
      <c r="I278" s="76" t="str">
        <f t="shared" si="33"/>
        <v/>
      </c>
      <c r="J278" s="50"/>
      <c r="K278" s="50"/>
      <c r="L278" s="50"/>
      <c r="M278" s="48"/>
      <c r="N278" s="49" t="str">
        <f t="shared" si="34"/>
        <v/>
      </c>
      <c r="O278" s="49" t="str">
        <f t="shared" si="35"/>
        <v/>
      </c>
      <c r="P278" s="77" t="str">
        <f t="shared" si="36"/>
        <v/>
      </c>
      <c r="Q278" s="78">
        <f t="shared" si="37"/>
        <v>0</v>
      </c>
      <c r="R278" s="78">
        <f t="shared" si="38"/>
        <v>0</v>
      </c>
      <c r="S278" s="77">
        <f t="shared" si="39"/>
        <v>0</v>
      </c>
      <c r="T278" s="48"/>
    </row>
    <row r="279" spans="1:20" s="57" customFormat="1" ht="14">
      <c r="A279" s="45"/>
      <c r="B279" s="46"/>
      <c r="C279" s="47">
        <f t="shared" si="32"/>
        <v>0</v>
      </c>
      <c r="D279" s="48"/>
      <c r="E279" s="48"/>
      <c r="F279" s="48"/>
      <c r="G279" s="48"/>
      <c r="H279" s="49"/>
      <c r="I279" s="76" t="str">
        <f t="shared" si="33"/>
        <v/>
      </c>
      <c r="J279" s="50"/>
      <c r="K279" s="50"/>
      <c r="L279" s="50"/>
      <c r="M279" s="48"/>
      <c r="N279" s="49" t="str">
        <f t="shared" si="34"/>
        <v/>
      </c>
      <c r="O279" s="49" t="str">
        <f t="shared" si="35"/>
        <v/>
      </c>
      <c r="P279" s="77" t="str">
        <f t="shared" si="36"/>
        <v/>
      </c>
      <c r="Q279" s="78">
        <f t="shared" si="37"/>
        <v>0</v>
      </c>
      <c r="R279" s="78">
        <f t="shared" si="38"/>
        <v>0</v>
      </c>
      <c r="S279" s="77">
        <f t="shared" si="39"/>
        <v>0</v>
      </c>
      <c r="T279" s="48"/>
    </row>
    <row r="280" spans="1:20" s="57" customFormat="1" ht="14">
      <c r="A280" s="45"/>
      <c r="B280" s="46"/>
      <c r="C280" s="47">
        <f t="shared" si="32"/>
        <v>0</v>
      </c>
      <c r="D280" s="48"/>
      <c r="E280" s="48"/>
      <c r="F280" s="48"/>
      <c r="G280" s="48"/>
      <c r="H280" s="49"/>
      <c r="I280" s="76" t="str">
        <f t="shared" si="33"/>
        <v/>
      </c>
      <c r="J280" s="50"/>
      <c r="K280" s="50"/>
      <c r="L280" s="50"/>
      <c r="M280" s="48"/>
      <c r="N280" s="49" t="str">
        <f t="shared" si="34"/>
        <v/>
      </c>
      <c r="O280" s="49" t="str">
        <f t="shared" si="35"/>
        <v/>
      </c>
      <c r="P280" s="77" t="str">
        <f t="shared" si="36"/>
        <v/>
      </c>
      <c r="Q280" s="78">
        <f t="shared" si="37"/>
        <v>0</v>
      </c>
      <c r="R280" s="78">
        <f t="shared" si="38"/>
        <v>0</v>
      </c>
      <c r="S280" s="77">
        <f t="shared" si="39"/>
        <v>0</v>
      </c>
      <c r="T280" s="48"/>
    </row>
    <row r="281" spans="1:20" s="57" customFormat="1" ht="14">
      <c r="A281" s="45"/>
      <c r="B281" s="46"/>
      <c r="C281" s="47">
        <f t="shared" si="32"/>
        <v>0</v>
      </c>
      <c r="D281" s="48"/>
      <c r="E281" s="48"/>
      <c r="F281" s="48"/>
      <c r="G281" s="48"/>
      <c r="H281" s="49"/>
      <c r="I281" s="76" t="str">
        <f t="shared" si="33"/>
        <v/>
      </c>
      <c r="J281" s="50"/>
      <c r="K281" s="50"/>
      <c r="L281" s="50"/>
      <c r="M281" s="48"/>
      <c r="N281" s="49" t="str">
        <f t="shared" si="34"/>
        <v/>
      </c>
      <c r="O281" s="49" t="str">
        <f t="shared" si="35"/>
        <v/>
      </c>
      <c r="P281" s="77" t="str">
        <f t="shared" si="36"/>
        <v/>
      </c>
      <c r="Q281" s="78">
        <f t="shared" si="37"/>
        <v>0</v>
      </c>
      <c r="R281" s="78">
        <f t="shared" si="38"/>
        <v>0</v>
      </c>
      <c r="S281" s="77">
        <f t="shared" si="39"/>
        <v>0</v>
      </c>
      <c r="T281" s="48"/>
    </row>
    <row r="282" spans="1:20" s="57" customFormat="1" ht="14">
      <c r="A282" s="45"/>
      <c r="B282" s="46"/>
      <c r="C282" s="47">
        <f t="shared" si="32"/>
        <v>0</v>
      </c>
      <c r="D282" s="48"/>
      <c r="E282" s="48"/>
      <c r="F282" s="48"/>
      <c r="G282" s="48"/>
      <c r="H282" s="49"/>
      <c r="I282" s="76" t="str">
        <f t="shared" si="33"/>
        <v/>
      </c>
      <c r="J282" s="50"/>
      <c r="K282" s="50"/>
      <c r="L282" s="50"/>
      <c r="M282" s="48"/>
      <c r="N282" s="49" t="str">
        <f t="shared" si="34"/>
        <v/>
      </c>
      <c r="O282" s="49" t="str">
        <f t="shared" si="35"/>
        <v/>
      </c>
      <c r="P282" s="77" t="str">
        <f t="shared" si="36"/>
        <v/>
      </c>
      <c r="Q282" s="78">
        <f t="shared" si="37"/>
        <v>0</v>
      </c>
      <c r="R282" s="78">
        <f t="shared" si="38"/>
        <v>0</v>
      </c>
      <c r="S282" s="77">
        <f t="shared" si="39"/>
        <v>0</v>
      </c>
      <c r="T282" s="48"/>
    </row>
    <row r="283" spans="1:20" s="57" customFormat="1" ht="14">
      <c r="A283" s="45"/>
      <c r="B283" s="46"/>
      <c r="C283" s="47">
        <f t="shared" si="32"/>
        <v>0</v>
      </c>
      <c r="D283" s="48"/>
      <c r="E283" s="48"/>
      <c r="F283" s="48"/>
      <c r="G283" s="48"/>
      <c r="H283" s="49"/>
      <c r="I283" s="76" t="str">
        <f t="shared" si="33"/>
        <v/>
      </c>
      <c r="J283" s="50"/>
      <c r="K283" s="50"/>
      <c r="L283" s="50"/>
      <c r="M283" s="48"/>
      <c r="N283" s="49" t="str">
        <f t="shared" si="34"/>
        <v/>
      </c>
      <c r="O283" s="49" t="str">
        <f t="shared" si="35"/>
        <v/>
      </c>
      <c r="P283" s="77" t="str">
        <f t="shared" si="36"/>
        <v/>
      </c>
      <c r="Q283" s="78">
        <f t="shared" si="37"/>
        <v>0</v>
      </c>
      <c r="R283" s="78">
        <f t="shared" si="38"/>
        <v>0</v>
      </c>
      <c r="S283" s="77">
        <f t="shared" si="39"/>
        <v>0</v>
      </c>
      <c r="T283" s="48"/>
    </row>
    <row r="284" spans="1:20" s="57" customFormat="1" ht="14">
      <c r="A284" s="45"/>
      <c r="B284" s="46"/>
      <c r="C284" s="47">
        <f t="shared" si="32"/>
        <v>0</v>
      </c>
      <c r="D284" s="48"/>
      <c r="E284" s="48"/>
      <c r="F284" s="48"/>
      <c r="G284" s="48"/>
      <c r="H284" s="49"/>
      <c r="I284" s="76" t="str">
        <f t="shared" si="33"/>
        <v/>
      </c>
      <c r="J284" s="50"/>
      <c r="K284" s="50"/>
      <c r="L284" s="50"/>
      <c r="M284" s="48"/>
      <c r="N284" s="49" t="str">
        <f t="shared" si="34"/>
        <v/>
      </c>
      <c r="O284" s="49" t="str">
        <f t="shared" si="35"/>
        <v/>
      </c>
      <c r="P284" s="77" t="str">
        <f t="shared" si="36"/>
        <v/>
      </c>
      <c r="Q284" s="78">
        <f t="shared" si="37"/>
        <v>0</v>
      </c>
      <c r="R284" s="78">
        <f t="shared" si="38"/>
        <v>0</v>
      </c>
      <c r="S284" s="77">
        <f t="shared" si="39"/>
        <v>0</v>
      </c>
      <c r="T284" s="48"/>
    </row>
    <row r="285" spans="1:20" s="57" customFormat="1" ht="14">
      <c r="A285" s="45"/>
      <c r="B285" s="46"/>
      <c r="C285" s="47">
        <f t="shared" si="32"/>
        <v>0</v>
      </c>
      <c r="D285" s="48"/>
      <c r="E285" s="48"/>
      <c r="F285" s="48"/>
      <c r="G285" s="48"/>
      <c r="H285" s="49"/>
      <c r="I285" s="76" t="str">
        <f t="shared" si="33"/>
        <v/>
      </c>
      <c r="J285" s="50"/>
      <c r="K285" s="50"/>
      <c r="L285" s="50"/>
      <c r="M285" s="48"/>
      <c r="N285" s="49" t="str">
        <f t="shared" si="34"/>
        <v/>
      </c>
      <c r="O285" s="49" t="str">
        <f t="shared" si="35"/>
        <v/>
      </c>
      <c r="P285" s="77" t="str">
        <f t="shared" si="36"/>
        <v/>
      </c>
      <c r="Q285" s="78">
        <f t="shared" si="37"/>
        <v>0</v>
      </c>
      <c r="R285" s="78">
        <f t="shared" si="38"/>
        <v>0</v>
      </c>
      <c r="S285" s="77">
        <f t="shared" si="39"/>
        <v>0</v>
      </c>
      <c r="T285" s="48"/>
    </row>
    <row r="286" spans="1:20" s="57" customFormat="1" ht="14">
      <c r="A286" s="45"/>
      <c r="B286" s="46"/>
      <c r="C286" s="47">
        <f t="shared" si="32"/>
        <v>0</v>
      </c>
      <c r="D286" s="48"/>
      <c r="E286" s="48"/>
      <c r="F286" s="48"/>
      <c r="G286" s="48"/>
      <c r="H286" s="49"/>
      <c r="I286" s="76" t="str">
        <f t="shared" si="33"/>
        <v/>
      </c>
      <c r="J286" s="50"/>
      <c r="K286" s="50"/>
      <c r="L286" s="50"/>
      <c r="M286" s="48"/>
      <c r="N286" s="49" t="str">
        <f t="shared" si="34"/>
        <v/>
      </c>
      <c r="O286" s="49" t="str">
        <f t="shared" si="35"/>
        <v/>
      </c>
      <c r="P286" s="77" t="str">
        <f t="shared" si="36"/>
        <v/>
      </c>
      <c r="Q286" s="78">
        <f t="shared" si="37"/>
        <v>0</v>
      </c>
      <c r="R286" s="78">
        <f t="shared" si="38"/>
        <v>0</v>
      </c>
      <c r="S286" s="77">
        <f t="shared" si="39"/>
        <v>0</v>
      </c>
      <c r="T286" s="48"/>
    </row>
    <row r="287" spans="1:20" s="57" customFormat="1" ht="14">
      <c r="A287" s="45"/>
      <c r="B287" s="46"/>
      <c r="C287" s="47">
        <f t="shared" si="32"/>
        <v>0</v>
      </c>
      <c r="D287" s="48"/>
      <c r="E287" s="48"/>
      <c r="F287" s="48"/>
      <c r="G287" s="48"/>
      <c r="H287" s="49"/>
      <c r="I287" s="76" t="str">
        <f t="shared" si="33"/>
        <v/>
      </c>
      <c r="J287" s="50"/>
      <c r="K287" s="50"/>
      <c r="L287" s="50"/>
      <c r="M287" s="48"/>
      <c r="N287" s="49" t="str">
        <f t="shared" si="34"/>
        <v/>
      </c>
      <c r="O287" s="49" t="str">
        <f t="shared" si="35"/>
        <v/>
      </c>
      <c r="P287" s="77" t="str">
        <f t="shared" si="36"/>
        <v/>
      </c>
      <c r="Q287" s="78">
        <f t="shared" si="37"/>
        <v>0</v>
      </c>
      <c r="R287" s="78">
        <f t="shared" si="38"/>
        <v>0</v>
      </c>
      <c r="S287" s="77">
        <f t="shared" si="39"/>
        <v>0</v>
      </c>
      <c r="T287" s="48"/>
    </row>
    <row r="288" spans="1:20" s="57" customFormat="1" ht="14">
      <c r="A288" s="45"/>
      <c r="B288" s="46"/>
      <c r="C288" s="47">
        <f t="shared" si="32"/>
        <v>0</v>
      </c>
      <c r="D288" s="48"/>
      <c r="E288" s="48"/>
      <c r="F288" s="48"/>
      <c r="G288" s="48"/>
      <c r="H288" s="49"/>
      <c r="I288" s="76" t="str">
        <f t="shared" si="33"/>
        <v/>
      </c>
      <c r="J288" s="50"/>
      <c r="K288" s="50"/>
      <c r="L288" s="50"/>
      <c r="M288" s="48"/>
      <c r="N288" s="49" t="str">
        <f t="shared" si="34"/>
        <v/>
      </c>
      <c r="O288" s="49" t="str">
        <f t="shared" si="35"/>
        <v/>
      </c>
      <c r="P288" s="77" t="str">
        <f t="shared" si="36"/>
        <v/>
      </c>
      <c r="Q288" s="78">
        <f t="shared" si="37"/>
        <v>0</v>
      </c>
      <c r="R288" s="78">
        <f t="shared" si="38"/>
        <v>0</v>
      </c>
      <c r="S288" s="77">
        <f t="shared" si="39"/>
        <v>0</v>
      </c>
      <c r="T288" s="48"/>
    </row>
    <row r="289" spans="1:20" s="57" customFormat="1" ht="14">
      <c r="A289" s="45"/>
      <c r="B289" s="46"/>
      <c r="C289" s="47">
        <f t="shared" si="32"/>
        <v>0</v>
      </c>
      <c r="D289" s="48"/>
      <c r="E289" s="48"/>
      <c r="F289" s="48"/>
      <c r="G289" s="48"/>
      <c r="H289" s="49"/>
      <c r="I289" s="76" t="str">
        <f t="shared" si="33"/>
        <v/>
      </c>
      <c r="J289" s="50"/>
      <c r="K289" s="50"/>
      <c r="L289" s="50"/>
      <c r="M289" s="48"/>
      <c r="N289" s="49" t="str">
        <f t="shared" si="34"/>
        <v/>
      </c>
      <c r="O289" s="49" t="str">
        <f t="shared" si="35"/>
        <v/>
      </c>
      <c r="P289" s="77" t="str">
        <f t="shared" si="36"/>
        <v/>
      </c>
      <c r="Q289" s="78">
        <f t="shared" si="37"/>
        <v>0</v>
      </c>
      <c r="R289" s="78">
        <f t="shared" si="38"/>
        <v>0</v>
      </c>
      <c r="S289" s="77">
        <f t="shared" si="39"/>
        <v>0</v>
      </c>
      <c r="T289" s="48"/>
    </row>
    <row r="290" spans="1:20" s="57" customFormat="1" ht="14">
      <c r="A290" s="45"/>
      <c r="B290" s="46"/>
      <c r="C290" s="47">
        <f t="shared" si="32"/>
        <v>0</v>
      </c>
      <c r="D290" s="48"/>
      <c r="E290" s="48"/>
      <c r="F290" s="48"/>
      <c r="G290" s="48"/>
      <c r="H290" s="49"/>
      <c r="I290" s="76" t="str">
        <f t="shared" si="33"/>
        <v/>
      </c>
      <c r="J290" s="50"/>
      <c r="K290" s="50"/>
      <c r="L290" s="50"/>
      <c r="M290" s="48"/>
      <c r="N290" s="49" t="str">
        <f t="shared" si="34"/>
        <v/>
      </c>
      <c r="O290" s="49" t="str">
        <f t="shared" si="35"/>
        <v/>
      </c>
      <c r="P290" s="77" t="str">
        <f t="shared" si="36"/>
        <v/>
      </c>
      <c r="Q290" s="78">
        <f t="shared" si="37"/>
        <v>0</v>
      </c>
      <c r="R290" s="78">
        <f t="shared" si="38"/>
        <v>0</v>
      </c>
      <c r="S290" s="77">
        <f t="shared" si="39"/>
        <v>0</v>
      </c>
      <c r="T290" s="48"/>
    </row>
    <row r="291" spans="1:20" s="57" customFormat="1" ht="14">
      <c r="A291" s="45"/>
      <c r="B291" s="46"/>
      <c r="C291" s="47">
        <f t="shared" si="32"/>
        <v>0</v>
      </c>
      <c r="D291" s="48"/>
      <c r="E291" s="48"/>
      <c r="F291" s="48"/>
      <c r="G291" s="48"/>
      <c r="H291" s="49"/>
      <c r="I291" s="76" t="str">
        <f t="shared" si="33"/>
        <v/>
      </c>
      <c r="J291" s="50"/>
      <c r="K291" s="50"/>
      <c r="L291" s="50"/>
      <c r="M291" s="48"/>
      <c r="N291" s="49" t="str">
        <f t="shared" si="34"/>
        <v/>
      </c>
      <c r="O291" s="49" t="str">
        <f t="shared" si="35"/>
        <v/>
      </c>
      <c r="P291" s="77" t="str">
        <f t="shared" si="36"/>
        <v/>
      </c>
      <c r="Q291" s="78">
        <f t="shared" si="37"/>
        <v>0</v>
      </c>
      <c r="R291" s="78">
        <f t="shared" si="38"/>
        <v>0</v>
      </c>
      <c r="S291" s="77">
        <f t="shared" si="39"/>
        <v>0</v>
      </c>
      <c r="T291" s="48"/>
    </row>
    <row r="292" spans="1:20" s="57" customFormat="1" ht="14">
      <c r="A292" s="45"/>
      <c r="B292" s="46"/>
      <c r="C292" s="47">
        <f t="shared" si="32"/>
        <v>0</v>
      </c>
      <c r="D292" s="48"/>
      <c r="E292" s="48"/>
      <c r="F292" s="48"/>
      <c r="G292" s="48"/>
      <c r="H292" s="49"/>
      <c r="I292" s="76" t="str">
        <f t="shared" si="33"/>
        <v/>
      </c>
      <c r="J292" s="50"/>
      <c r="K292" s="50"/>
      <c r="L292" s="50"/>
      <c r="M292" s="48"/>
      <c r="N292" s="49" t="str">
        <f t="shared" si="34"/>
        <v/>
      </c>
      <c r="O292" s="49" t="str">
        <f t="shared" si="35"/>
        <v/>
      </c>
      <c r="P292" s="77" t="str">
        <f t="shared" si="36"/>
        <v/>
      </c>
      <c r="Q292" s="78">
        <f t="shared" si="37"/>
        <v>0</v>
      </c>
      <c r="R292" s="78">
        <f t="shared" si="38"/>
        <v>0</v>
      </c>
      <c r="S292" s="77">
        <f t="shared" si="39"/>
        <v>0</v>
      </c>
      <c r="T292" s="48"/>
    </row>
    <row r="293" spans="1:20" s="57" customFormat="1" ht="14">
      <c r="A293" s="45"/>
      <c r="B293" s="46"/>
      <c r="C293" s="47">
        <f t="shared" si="32"/>
        <v>0</v>
      </c>
      <c r="D293" s="48"/>
      <c r="E293" s="48"/>
      <c r="F293" s="48"/>
      <c r="G293" s="48"/>
      <c r="H293" s="49"/>
      <c r="I293" s="76" t="str">
        <f t="shared" si="33"/>
        <v/>
      </c>
      <c r="J293" s="50"/>
      <c r="K293" s="50"/>
      <c r="L293" s="50"/>
      <c r="M293" s="48"/>
      <c r="N293" s="49" t="str">
        <f t="shared" si="34"/>
        <v/>
      </c>
      <c r="O293" s="49" t="str">
        <f t="shared" si="35"/>
        <v/>
      </c>
      <c r="P293" s="77" t="str">
        <f t="shared" si="36"/>
        <v/>
      </c>
      <c r="Q293" s="78">
        <f t="shared" si="37"/>
        <v>0</v>
      </c>
      <c r="R293" s="78">
        <f t="shared" si="38"/>
        <v>0</v>
      </c>
      <c r="S293" s="77">
        <f t="shared" si="39"/>
        <v>0</v>
      </c>
      <c r="T293" s="48"/>
    </row>
    <row r="294" spans="1:20" s="57" customFormat="1" ht="14">
      <c r="A294" s="45"/>
      <c r="B294" s="46"/>
      <c r="C294" s="47">
        <f t="shared" si="32"/>
        <v>0</v>
      </c>
      <c r="D294" s="48"/>
      <c r="E294" s="48"/>
      <c r="F294" s="48"/>
      <c r="G294" s="48"/>
      <c r="H294" s="49"/>
      <c r="I294" s="76" t="str">
        <f t="shared" si="33"/>
        <v/>
      </c>
      <c r="J294" s="50"/>
      <c r="K294" s="50"/>
      <c r="L294" s="50"/>
      <c r="M294" s="48"/>
      <c r="N294" s="49" t="str">
        <f t="shared" si="34"/>
        <v/>
      </c>
      <c r="O294" s="49" t="str">
        <f t="shared" si="35"/>
        <v/>
      </c>
      <c r="P294" s="77" t="str">
        <f t="shared" si="36"/>
        <v/>
      </c>
      <c r="Q294" s="78">
        <f t="shared" si="37"/>
        <v>0</v>
      </c>
      <c r="R294" s="78">
        <f t="shared" si="38"/>
        <v>0</v>
      </c>
      <c r="S294" s="77">
        <f t="shared" si="39"/>
        <v>0</v>
      </c>
      <c r="T294" s="48"/>
    </row>
    <row r="295" spans="1:20" s="57" customFormat="1" ht="14">
      <c r="A295" s="45"/>
      <c r="B295" s="46"/>
      <c r="C295" s="47">
        <f t="shared" si="32"/>
        <v>0</v>
      </c>
      <c r="D295" s="48"/>
      <c r="E295" s="48"/>
      <c r="F295" s="48"/>
      <c r="G295" s="48"/>
      <c r="H295" s="49"/>
      <c r="I295" s="76" t="str">
        <f t="shared" si="33"/>
        <v/>
      </c>
      <c r="J295" s="50"/>
      <c r="K295" s="50"/>
      <c r="L295" s="50"/>
      <c r="M295" s="48"/>
      <c r="N295" s="49" t="str">
        <f t="shared" si="34"/>
        <v/>
      </c>
      <c r="O295" s="49" t="str">
        <f t="shared" si="35"/>
        <v/>
      </c>
      <c r="P295" s="77" t="str">
        <f t="shared" si="36"/>
        <v/>
      </c>
      <c r="Q295" s="78">
        <f t="shared" si="37"/>
        <v>0</v>
      </c>
      <c r="R295" s="78">
        <f t="shared" si="38"/>
        <v>0</v>
      </c>
      <c r="S295" s="77">
        <f t="shared" si="39"/>
        <v>0</v>
      </c>
      <c r="T295" s="48"/>
    </row>
    <row r="296" spans="1:20" s="57" customFormat="1" ht="14">
      <c r="A296" s="45"/>
      <c r="B296" s="46"/>
      <c r="C296" s="47">
        <f t="shared" si="32"/>
        <v>0</v>
      </c>
      <c r="D296" s="48"/>
      <c r="E296" s="48"/>
      <c r="F296" s="48"/>
      <c r="G296" s="48"/>
      <c r="H296" s="49"/>
      <c r="I296" s="76" t="str">
        <f t="shared" si="33"/>
        <v/>
      </c>
      <c r="J296" s="50"/>
      <c r="K296" s="50"/>
      <c r="L296" s="50"/>
      <c r="M296" s="48"/>
      <c r="N296" s="49" t="str">
        <f t="shared" si="34"/>
        <v/>
      </c>
      <c r="O296" s="49" t="str">
        <f t="shared" si="35"/>
        <v/>
      </c>
      <c r="P296" s="77" t="str">
        <f t="shared" si="36"/>
        <v/>
      </c>
      <c r="Q296" s="78">
        <f t="shared" si="37"/>
        <v>0</v>
      </c>
      <c r="R296" s="78">
        <f t="shared" si="38"/>
        <v>0</v>
      </c>
      <c r="S296" s="77">
        <f t="shared" si="39"/>
        <v>0</v>
      </c>
      <c r="T296" s="48"/>
    </row>
    <row r="297" spans="1:20" s="57" customFormat="1" ht="14">
      <c r="A297" s="45"/>
      <c r="B297" s="46"/>
      <c r="C297" s="47">
        <f t="shared" si="32"/>
        <v>0</v>
      </c>
      <c r="D297" s="48"/>
      <c r="E297" s="48"/>
      <c r="F297" s="48"/>
      <c r="G297" s="48"/>
      <c r="H297" s="49"/>
      <c r="I297" s="76" t="str">
        <f t="shared" si="33"/>
        <v/>
      </c>
      <c r="J297" s="50"/>
      <c r="K297" s="50"/>
      <c r="L297" s="50"/>
      <c r="M297" s="48"/>
      <c r="N297" s="49" t="str">
        <f t="shared" si="34"/>
        <v/>
      </c>
      <c r="O297" s="49" t="str">
        <f t="shared" si="35"/>
        <v/>
      </c>
      <c r="P297" s="77" t="str">
        <f t="shared" si="36"/>
        <v/>
      </c>
      <c r="Q297" s="78">
        <f t="shared" si="37"/>
        <v>0</v>
      </c>
      <c r="R297" s="78">
        <f t="shared" si="38"/>
        <v>0</v>
      </c>
      <c r="S297" s="77">
        <f t="shared" si="39"/>
        <v>0</v>
      </c>
      <c r="T297" s="48"/>
    </row>
    <row r="298" spans="1:20" s="57" customFormat="1" ht="14">
      <c r="A298" s="45"/>
      <c r="B298" s="46"/>
      <c r="C298" s="47">
        <f t="shared" si="32"/>
        <v>0</v>
      </c>
      <c r="D298" s="48"/>
      <c r="E298" s="48"/>
      <c r="F298" s="48"/>
      <c r="G298" s="48"/>
      <c r="H298" s="49"/>
      <c r="I298" s="76" t="str">
        <f t="shared" si="33"/>
        <v/>
      </c>
      <c r="J298" s="50"/>
      <c r="K298" s="50"/>
      <c r="L298" s="50"/>
      <c r="M298" s="48"/>
      <c r="N298" s="49" t="str">
        <f t="shared" si="34"/>
        <v/>
      </c>
      <c r="O298" s="49" t="str">
        <f t="shared" si="35"/>
        <v/>
      </c>
      <c r="P298" s="77" t="str">
        <f t="shared" si="36"/>
        <v/>
      </c>
      <c r="Q298" s="78">
        <f t="shared" si="37"/>
        <v>0</v>
      </c>
      <c r="R298" s="78">
        <f t="shared" si="38"/>
        <v>0</v>
      </c>
      <c r="S298" s="77">
        <f t="shared" si="39"/>
        <v>0</v>
      </c>
      <c r="T298" s="48"/>
    </row>
    <row r="299" spans="1:20" s="57" customFormat="1" ht="14">
      <c r="A299" s="45"/>
      <c r="B299" s="46"/>
      <c r="C299" s="47">
        <f t="shared" si="32"/>
        <v>0</v>
      </c>
      <c r="D299" s="48"/>
      <c r="E299" s="48"/>
      <c r="F299" s="48"/>
      <c r="G299" s="48"/>
      <c r="H299" s="49"/>
      <c r="I299" s="76" t="str">
        <f t="shared" si="33"/>
        <v/>
      </c>
      <c r="J299" s="50"/>
      <c r="K299" s="50"/>
      <c r="L299" s="50"/>
      <c r="M299" s="48"/>
      <c r="N299" s="49" t="str">
        <f t="shared" si="34"/>
        <v/>
      </c>
      <c r="O299" s="49" t="str">
        <f t="shared" si="35"/>
        <v/>
      </c>
      <c r="P299" s="77" t="str">
        <f t="shared" si="36"/>
        <v/>
      </c>
      <c r="Q299" s="78">
        <f t="shared" si="37"/>
        <v>0</v>
      </c>
      <c r="R299" s="78">
        <f t="shared" si="38"/>
        <v>0</v>
      </c>
      <c r="S299" s="77">
        <f t="shared" si="39"/>
        <v>0</v>
      </c>
      <c r="T299" s="48"/>
    </row>
    <row r="300" spans="1:20" s="57" customFormat="1" ht="14">
      <c r="A300" s="45"/>
      <c r="B300" s="46"/>
      <c r="C300" s="47">
        <f t="shared" si="32"/>
        <v>0</v>
      </c>
      <c r="D300" s="48"/>
      <c r="E300" s="48"/>
      <c r="F300" s="48"/>
      <c r="G300" s="48"/>
      <c r="H300" s="49"/>
      <c r="I300" s="76" t="str">
        <f t="shared" si="33"/>
        <v/>
      </c>
      <c r="J300" s="50"/>
      <c r="K300" s="50"/>
      <c r="L300" s="50"/>
      <c r="M300" s="48"/>
      <c r="N300" s="49" t="str">
        <f t="shared" si="34"/>
        <v/>
      </c>
      <c r="O300" s="49" t="str">
        <f t="shared" si="35"/>
        <v/>
      </c>
      <c r="P300" s="77" t="str">
        <f t="shared" si="36"/>
        <v/>
      </c>
      <c r="Q300" s="78">
        <f t="shared" si="37"/>
        <v>0</v>
      </c>
      <c r="R300" s="78">
        <f t="shared" si="38"/>
        <v>0</v>
      </c>
      <c r="S300" s="77">
        <f t="shared" si="39"/>
        <v>0</v>
      </c>
      <c r="T300" s="48"/>
    </row>
    <row r="301" spans="1:20" s="57" customFormat="1" ht="14">
      <c r="A301" s="45"/>
      <c r="B301" s="46"/>
      <c r="C301" s="47">
        <f t="shared" si="32"/>
        <v>0</v>
      </c>
      <c r="D301" s="48"/>
      <c r="E301" s="48"/>
      <c r="F301" s="48"/>
      <c r="G301" s="48"/>
      <c r="H301" s="49"/>
      <c r="I301" s="76" t="str">
        <f t="shared" si="33"/>
        <v/>
      </c>
      <c r="J301" s="50"/>
      <c r="K301" s="50"/>
      <c r="L301" s="50"/>
      <c r="M301" s="48"/>
      <c r="N301" s="49" t="str">
        <f t="shared" si="34"/>
        <v/>
      </c>
      <c r="O301" s="49" t="str">
        <f t="shared" si="35"/>
        <v/>
      </c>
      <c r="P301" s="77" t="str">
        <f t="shared" si="36"/>
        <v/>
      </c>
      <c r="Q301" s="78">
        <f t="shared" si="37"/>
        <v>0</v>
      </c>
      <c r="R301" s="78">
        <f t="shared" si="38"/>
        <v>0</v>
      </c>
      <c r="S301" s="77">
        <f t="shared" si="39"/>
        <v>0</v>
      </c>
      <c r="T301" s="48"/>
    </row>
    <row r="302" spans="1:20" s="57" customFormat="1" ht="14">
      <c r="A302" s="45"/>
      <c r="B302" s="46"/>
      <c r="C302" s="47">
        <f t="shared" si="32"/>
        <v>0</v>
      </c>
      <c r="D302" s="48"/>
      <c r="E302" s="48"/>
      <c r="F302" s="48"/>
      <c r="G302" s="48"/>
      <c r="H302" s="49"/>
      <c r="I302" s="76" t="str">
        <f t="shared" si="33"/>
        <v/>
      </c>
      <c r="J302" s="50"/>
      <c r="K302" s="50"/>
      <c r="L302" s="50"/>
      <c r="M302" s="48"/>
      <c r="N302" s="49" t="str">
        <f t="shared" si="34"/>
        <v/>
      </c>
      <c r="O302" s="49" t="str">
        <f t="shared" si="35"/>
        <v/>
      </c>
      <c r="P302" s="77" t="str">
        <f t="shared" si="36"/>
        <v/>
      </c>
      <c r="Q302" s="78">
        <f t="shared" si="37"/>
        <v>0</v>
      </c>
      <c r="R302" s="78">
        <f t="shared" si="38"/>
        <v>0</v>
      </c>
      <c r="S302" s="77">
        <f t="shared" si="39"/>
        <v>0</v>
      </c>
      <c r="T302" s="48"/>
    </row>
    <row r="303" spans="1:20" s="57" customFormat="1" ht="14">
      <c r="A303" s="45"/>
      <c r="B303" s="46"/>
      <c r="C303" s="47">
        <f t="shared" si="32"/>
        <v>0</v>
      </c>
      <c r="D303" s="48"/>
      <c r="E303" s="48"/>
      <c r="F303" s="48"/>
      <c r="G303" s="48"/>
      <c r="H303" s="49"/>
      <c r="I303" s="76" t="str">
        <f t="shared" si="33"/>
        <v/>
      </c>
      <c r="J303" s="50"/>
      <c r="K303" s="50"/>
      <c r="L303" s="50"/>
      <c r="M303" s="48"/>
      <c r="N303" s="49" t="str">
        <f t="shared" si="34"/>
        <v/>
      </c>
      <c r="O303" s="49" t="str">
        <f t="shared" si="35"/>
        <v/>
      </c>
      <c r="P303" s="77" t="str">
        <f t="shared" si="36"/>
        <v/>
      </c>
      <c r="Q303" s="78">
        <f t="shared" si="37"/>
        <v>0</v>
      </c>
      <c r="R303" s="78">
        <f t="shared" si="38"/>
        <v>0</v>
      </c>
      <c r="S303" s="77">
        <f t="shared" si="39"/>
        <v>0</v>
      </c>
      <c r="T303" s="48"/>
    </row>
    <row r="304" spans="1:20" s="57" customFormat="1" ht="14">
      <c r="A304" s="45"/>
      <c r="B304" s="46"/>
      <c r="C304" s="47">
        <f t="shared" si="32"/>
        <v>0</v>
      </c>
      <c r="D304" s="48"/>
      <c r="E304" s="48"/>
      <c r="F304" s="48"/>
      <c r="G304" s="48"/>
      <c r="H304" s="49"/>
      <c r="I304" s="76" t="str">
        <f t="shared" si="33"/>
        <v/>
      </c>
      <c r="J304" s="50"/>
      <c r="K304" s="50"/>
      <c r="L304" s="50"/>
      <c r="M304" s="48"/>
      <c r="N304" s="49" t="str">
        <f t="shared" si="34"/>
        <v/>
      </c>
      <c r="O304" s="49" t="str">
        <f t="shared" si="35"/>
        <v/>
      </c>
      <c r="P304" s="77" t="str">
        <f t="shared" si="36"/>
        <v/>
      </c>
      <c r="Q304" s="78">
        <f t="shared" si="37"/>
        <v>0</v>
      </c>
      <c r="R304" s="78">
        <f t="shared" si="38"/>
        <v>0</v>
      </c>
      <c r="S304" s="77">
        <f t="shared" si="39"/>
        <v>0</v>
      </c>
      <c r="T304" s="48"/>
    </row>
    <row r="305" spans="1:20" s="57" customFormat="1" ht="14">
      <c r="A305" s="45"/>
      <c r="B305" s="46"/>
      <c r="C305" s="47">
        <f t="shared" si="32"/>
        <v>0</v>
      </c>
      <c r="D305" s="48"/>
      <c r="E305" s="48"/>
      <c r="F305" s="48"/>
      <c r="G305" s="48"/>
      <c r="H305" s="49"/>
      <c r="I305" s="76" t="str">
        <f t="shared" si="33"/>
        <v/>
      </c>
      <c r="J305" s="50"/>
      <c r="K305" s="50"/>
      <c r="L305" s="50"/>
      <c r="M305" s="48"/>
      <c r="N305" s="49" t="str">
        <f t="shared" si="34"/>
        <v/>
      </c>
      <c r="O305" s="49" t="str">
        <f t="shared" si="35"/>
        <v/>
      </c>
      <c r="P305" s="77" t="str">
        <f t="shared" si="36"/>
        <v/>
      </c>
      <c r="Q305" s="78">
        <f t="shared" si="37"/>
        <v>0</v>
      </c>
      <c r="R305" s="78">
        <f t="shared" si="38"/>
        <v>0</v>
      </c>
      <c r="S305" s="77">
        <f t="shared" si="39"/>
        <v>0</v>
      </c>
      <c r="T305" s="48"/>
    </row>
    <row r="306" spans="1:20" s="57" customFormat="1" ht="14">
      <c r="A306" s="45"/>
      <c r="B306" s="46"/>
      <c r="C306" s="47">
        <f t="shared" si="32"/>
        <v>0</v>
      </c>
      <c r="D306" s="48"/>
      <c r="E306" s="48"/>
      <c r="F306" s="48"/>
      <c r="G306" s="48"/>
      <c r="H306" s="49"/>
      <c r="I306" s="76" t="str">
        <f t="shared" si="33"/>
        <v/>
      </c>
      <c r="J306" s="50"/>
      <c r="K306" s="50"/>
      <c r="L306" s="50"/>
      <c r="M306" s="48"/>
      <c r="N306" s="49" t="str">
        <f t="shared" si="34"/>
        <v/>
      </c>
      <c r="O306" s="49" t="str">
        <f t="shared" si="35"/>
        <v/>
      </c>
      <c r="P306" s="77" t="str">
        <f t="shared" si="36"/>
        <v/>
      </c>
      <c r="Q306" s="78">
        <f t="shared" si="37"/>
        <v>0</v>
      </c>
      <c r="R306" s="78">
        <f t="shared" si="38"/>
        <v>0</v>
      </c>
      <c r="S306" s="77">
        <f t="shared" si="39"/>
        <v>0</v>
      </c>
      <c r="T306" s="48"/>
    </row>
    <row r="307" spans="1:20" s="57" customFormat="1" ht="14">
      <c r="A307" s="45"/>
      <c r="B307" s="46"/>
      <c r="C307" s="47">
        <f t="shared" si="32"/>
        <v>0</v>
      </c>
      <c r="D307" s="48"/>
      <c r="E307" s="48"/>
      <c r="F307" s="48"/>
      <c r="G307" s="48"/>
      <c r="H307" s="49"/>
      <c r="I307" s="76" t="str">
        <f t="shared" si="33"/>
        <v/>
      </c>
      <c r="J307" s="50"/>
      <c r="K307" s="50"/>
      <c r="L307" s="50"/>
      <c r="M307" s="48"/>
      <c r="N307" s="49" t="str">
        <f t="shared" si="34"/>
        <v/>
      </c>
      <c r="O307" s="49" t="str">
        <f t="shared" si="35"/>
        <v/>
      </c>
      <c r="P307" s="77" t="str">
        <f t="shared" si="36"/>
        <v/>
      </c>
      <c r="Q307" s="78">
        <f t="shared" si="37"/>
        <v>0</v>
      </c>
      <c r="R307" s="78">
        <f t="shared" si="38"/>
        <v>0</v>
      </c>
      <c r="S307" s="77">
        <f t="shared" si="39"/>
        <v>0</v>
      </c>
      <c r="T307" s="48"/>
    </row>
    <row r="308" spans="1:20" s="57" customFormat="1" ht="14">
      <c r="A308" s="45"/>
      <c r="B308" s="46"/>
      <c r="C308" s="47">
        <f t="shared" si="32"/>
        <v>0</v>
      </c>
      <c r="D308" s="48"/>
      <c r="E308" s="48"/>
      <c r="F308" s="48"/>
      <c r="G308" s="48"/>
      <c r="H308" s="49"/>
      <c r="I308" s="76" t="str">
        <f t="shared" si="33"/>
        <v/>
      </c>
      <c r="J308" s="50"/>
      <c r="K308" s="50"/>
      <c r="L308" s="50"/>
      <c r="M308" s="48"/>
      <c r="N308" s="49" t="str">
        <f t="shared" si="34"/>
        <v/>
      </c>
      <c r="O308" s="49" t="str">
        <f t="shared" si="35"/>
        <v/>
      </c>
      <c r="P308" s="77" t="str">
        <f t="shared" si="36"/>
        <v/>
      </c>
      <c r="Q308" s="78">
        <f t="shared" si="37"/>
        <v>0</v>
      </c>
      <c r="R308" s="78">
        <f t="shared" si="38"/>
        <v>0</v>
      </c>
      <c r="S308" s="77">
        <f t="shared" si="39"/>
        <v>0</v>
      </c>
      <c r="T308" s="48"/>
    </row>
    <row r="309" spans="1:20" s="57" customFormat="1" ht="14">
      <c r="A309" s="45"/>
      <c r="B309" s="46"/>
      <c r="C309" s="47">
        <f t="shared" si="32"/>
        <v>0</v>
      </c>
      <c r="D309" s="48"/>
      <c r="E309" s="48"/>
      <c r="F309" s="48"/>
      <c r="G309" s="48"/>
      <c r="H309" s="49"/>
      <c r="I309" s="76" t="str">
        <f t="shared" si="33"/>
        <v/>
      </c>
      <c r="J309" s="50"/>
      <c r="K309" s="50"/>
      <c r="L309" s="50"/>
      <c r="M309" s="48"/>
      <c r="N309" s="49" t="str">
        <f t="shared" si="34"/>
        <v/>
      </c>
      <c r="O309" s="49" t="str">
        <f t="shared" si="35"/>
        <v/>
      </c>
      <c r="P309" s="77" t="str">
        <f t="shared" si="36"/>
        <v/>
      </c>
      <c r="Q309" s="78">
        <f t="shared" si="37"/>
        <v>0</v>
      </c>
      <c r="R309" s="78">
        <f t="shared" si="38"/>
        <v>0</v>
      </c>
      <c r="S309" s="77">
        <f t="shared" si="39"/>
        <v>0</v>
      </c>
      <c r="T309" s="48"/>
    </row>
    <row r="310" spans="1:20" s="57" customFormat="1" ht="14">
      <c r="A310" s="45"/>
      <c r="B310" s="46"/>
      <c r="C310" s="47">
        <f t="shared" si="32"/>
        <v>0</v>
      </c>
      <c r="D310" s="48"/>
      <c r="E310" s="48"/>
      <c r="F310" s="48"/>
      <c r="G310" s="48"/>
      <c r="H310" s="49"/>
      <c r="I310" s="76" t="str">
        <f t="shared" si="33"/>
        <v/>
      </c>
      <c r="J310" s="50"/>
      <c r="K310" s="50"/>
      <c r="L310" s="50"/>
      <c r="M310" s="48"/>
      <c r="N310" s="49" t="str">
        <f t="shared" si="34"/>
        <v/>
      </c>
      <c r="O310" s="49" t="str">
        <f t="shared" si="35"/>
        <v/>
      </c>
      <c r="P310" s="77" t="str">
        <f t="shared" si="36"/>
        <v/>
      </c>
      <c r="Q310" s="78">
        <f t="shared" si="37"/>
        <v>0</v>
      </c>
      <c r="R310" s="78">
        <f t="shared" si="38"/>
        <v>0</v>
      </c>
      <c r="S310" s="77">
        <f t="shared" si="39"/>
        <v>0</v>
      </c>
      <c r="T310" s="48"/>
    </row>
    <row r="311" spans="1:20" s="57" customFormat="1" ht="14">
      <c r="A311" s="45"/>
      <c r="B311" s="46"/>
      <c r="C311" s="47">
        <f t="shared" si="32"/>
        <v>0</v>
      </c>
      <c r="D311" s="48"/>
      <c r="E311" s="48"/>
      <c r="F311" s="48"/>
      <c r="G311" s="48"/>
      <c r="H311" s="49"/>
      <c r="I311" s="76" t="str">
        <f t="shared" si="33"/>
        <v/>
      </c>
      <c r="J311" s="50"/>
      <c r="K311" s="50"/>
      <c r="L311" s="50"/>
      <c r="M311" s="48"/>
      <c r="N311" s="49" t="str">
        <f t="shared" si="34"/>
        <v/>
      </c>
      <c r="O311" s="49" t="str">
        <f t="shared" si="35"/>
        <v/>
      </c>
      <c r="P311" s="77" t="str">
        <f t="shared" si="36"/>
        <v/>
      </c>
      <c r="Q311" s="78">
        <f t="shared" si="37"/>
        <v>0</v>
      </c>
      <c r="R311" s="78">
        <f t="shared" si="38"/>
        <v>0</v>
      </c>
      <c r="S311" s="77">
        <f t="shared" si="39"/>
        <v>0</v>
      </c>
      <c r="T311" s="48"/>
    </row>
    <row r="312" spans="1:20" s="57" customFormat="1" ht="14">
      <c r="A312" s="45"/>
      <c r="B312" s="46"/>
      <c r="C312" s="47">
        <f t="shared" si="32"/>
        <v>0</v>
      </c>
      <c r="D312" s="48"/>
      <c r="E312" s="48"/>
      <c r="F312" s="48"/>
      <c r="G312" s="48"/>
      <c r="H312" s="49"/>
      <c r="I312" s="76" t="str">
        <f t="shared" si="33"/>
        <v/>
      </c>
      <c r="J312" s="50"/>
      <c r="K312" s="50"/>
      <c r="L312" s="50"/>
      <c r="M312" s="48"/>
      <c r="N312" s="49" t="str">
        <f t="shared" si="34"/>
        <v/>
      </c>
      <c r="O312" s="49" t="str">
        <f t="shared" si="35"/>
        <v/>
      </c>
      <c r="P312" s="77" t="str">
        <f t="shared" si="36"/>
        <v/>
      </c>
      <c r="Q312" s="78">
        <f t="shared" si="37"/>
        <v>0</v>
      </c>
      <c r="R312" s="78">
        <f t="shared" si="38"/>
        <v>0</v>
      </c>
      <c r="S312" s="77">
        <f t="shared" si="39"/>
        <v>0</v>
      </c>
      <c r="T312" s="48"/>
    </row>
    <row r="313" spans="1:20" s="57" customFormat="1" ht="14">
      <c r="A313" s="45"/>
      <c r="B313" s="46"/>
      <c r="C313" s="47">
        <f t="shared" si="32"/>
        <v>0</v>
      </c>
      <c r="D313" s="48"/>
      <c r="E313" s="48"/>
      <c r="F313" s="48"/>
      <c r="G313" s="48"/>
      <c r="H313" s="49"/>
      <c r="I313" s="76" t="str">
        <f t="shared" si="33"/>
        <v/>
      </c>
      <c r="J313" s="50"/>
      <c r="K313" s="50"/>
      <c r="L313" s="50"/>
      <c r="M313" s="48"/>
      <c r="N313" s="49" t="str">
        <f t="shared" si="34"/>
        <v/>
      </c>
      <c r="O313" s="49" t="str">
        <f t="shared" si="35"/>
        <v/>
      </c>
      <c r="P313" s="77" t="str">
        <f t="shared" si="36"/>
        <v/>
      </c>
      <c r="Q313" s="78">
        <f t="shared" si="37"/>
        <v>0</v>
      </c>
      <c r="R313" s="78">
        <f t="shared" si="38"/>
        <v>0</v>
      </c>
      <c r="S313" s="77">
        <f t="shared" si="39"/>
        <v>0</v>
      </c>
      <c r="T313" s="48"/>
    </row>
    <row r="314" spans="1:20" s="57" customFormat="1" ht="14">
      <c r="A314" s="45"/>
      <c r="B314" s="46"/>
      <c r="C314" s="47">
        <f t="shared" si="32"/>
        <v>0</v>
      </c>
      <c r="D314" s="48"/>
      <c r="E314" s="48"/>
      <c r="F314" s="48"/>
      <c r="G314" s="48"/>
      <c r="H314" s="49"/>
      <c r="I314" s="76" t="str">
        <f t="shared" si="33"/>
        <v/>
      </c>
      <c r="J314" s="50"/>
      <c r="K314" s="50"/>
      <c r="L314" s="50"/>
      <c r="M314" s="48"/>
      <c r="N314" s="49" t="str">
        <f t="shared" si="34"/>
        <v/>
      </c>
      <c r="O314" s="49" t="str">
        <f t="shared" si="35"/>
        <v/>
      </c>
      <c r="P314" s="77" t="str">
        <f t="shared" si="36"/>
        <v/>
      </c>
      <c r="Q314" s="78">
        <f t="shared" si="37"/>
        <v>0</v>
      </c>
      <c r="R314" s="78">
        <f t="shared" si="38"/>
        <v>0</v>
      </c>
      <c r="S314" s="77">
        <f t="shared" si="39"/>
        <v>0</v>
      </c>
      <c r="T314" s="48"/>
    </row>
    <row r="315" spans="1:20" s="57" customFormat="1" ht="14">
      <c r="A315" s="45"/>
      <c r="B315" s="46"/>
      <c r="C315" s="47">
        <f t="shared" si="32"/>
        <v>0</v>
      </c>
      <c r="D315" s="48"/>
      <c r="E315" s="48"/>
      <c r="F315" s="48"/>
      <c r="G315" s="48"/>
      <c r="H315" s="49"/>
      <c r="I315" s="76" t="str">
        <f t="shared" si="33"/>
        <v/>
      </c>
      <c r="J315" s="50"/>
      <c r="K315" s="50"/>
      <c r="L315" s="50"/>
      <c r="M315" s="48"/>
      <c r="N315" s="49" t="str">
        <f t="shared" si="34"/>
        <v/>
      </c>
      <c r="O315" s="49" t="str">
        <f t="shared" si="35"/>
        <v/>
      </c>
      <c r="P315" s="77" t="str">
        <f t="shared" si="36"/>
        <v/>
      </c>
      <c r="Q315" s="78">
        <f t="shared" si="37"/>
        <v>0</v>
      </c>
      <c r="R315" s="78">
        <f t="shared" si="38"/>
        <v>0</v>
      </c>
      <c r="S315" s="77">
        <f t="shared" si="39"/>
        <v>0</v>
      </c>
      <c r="T315" s="48"/>
    </row>
    <row r="316" spans="1:20" s="57" customFormat="1" ht="14">
      <c r="A316" s="45"/>
      <c r="B316" s="46"/>
      <c r="C316" s="47">
        <f t="shared" si="32"/>
        <v>0</v>
      </c>
      <c r="D316" s="48"/>
      <c r="E316" s="48"/>
      <c r="F316" s="48"/>
      <c r="G316" s="48"/>
      <c r="H316" s="49"/>
      <c r="I316" s="76" t="str">
        <f t="shared" si="33"/>
        <v/>
      </c>
      <c r="J316" s="50"/>
      <c r="K316" s="50"/>
      <c r="L316" s="50"/>
      <c r="M316" s="48"/>
      <c r="N316" s="49" t="str">
        <f t="shared" si="34"/>
        <v/>
      </c>
      <c r="O316" s="49" t="str">
        <f t="shared" si="35"/>
        <v/>
      </c>
      <c r="P316" s="77" t="str">
        <f t="shared" si="36"/>
        <v/>
      </c>
      <c r="Q316" s="78">
        <f t="shared" si="37"/>
        <v>0</v>
      </c>
      <c r="R316" s="78">
        <f t="shared" si="38"/>
        <v>0</v>
      </c>
      <c r="S316" s="77">
        <f t="shared" si="39"/>
        <v>0</v>
      </c>
      <c r="T316" s="48"/>
    </row>
    <row r="317" spans="1:20" s="57" customFormat="1" ht="14">
      <c r="A317" s="45"/>
      <c r="B317" s="46"/>
      <c r="C317" s="47">
        <f t="shared" si="32"/>
        <v>0</v>
      </c>
      <c r="D317" s="48"/>
      <c r="E317" s="48"/>
      <c r="F317" s="48"/>
      <c r="G317" s="48"/>
      <c r="H317" s="49"/>
      <c r="I317" s="76" t="str">
        <f t="shared" si="33"/>
        <v/>
      </c>
      <c r="J317" s="50"/>
      <c r="K317" s="50"/>
      <c r="L317" s="50"/>
      <c r="M317" s="48"/>
      <c r="N317" s="49" t="str">
        <f t="shared" si="34"/>
        <v/>
      </c>
      <c r="O317" s="49" t="str">
        <f t="shared" si="35"/>
        <v/>
      </c>
      <c r="P317" s="77" t="str">
        <f t="shared" si="36"/>
        <v/>
      </c>
      <c r="Q317" s="78">
        <f t="shared" si="37"/>
        <v>0</v>
      </c>
      <c r="R317" s="78">
        <f t="shared" si="38"/>
        <v>0</v>
      </c>
      <c r="S317" s="77">
        <f t="shared" si="39"/>
        <v>0</v>
      </c>
      <c r="T317" s="48"/>
    </row>
    <row r="318" spans="1:20" s="57" customFormat="1" ht="14">
      <c r="A318" s="45"/>
      <c r="B318" s="46"/>
      <c r="C318" s="47">
        <f t="shared" si="32"/>
        <v>0</v>
      </c>
      <c r="D318" s="48"/>
      <c r="E318" s="48"/>
      <c r="F318" s="48"/>
      <c r="G318" s="48"/>
      <c r="H318" s="49"/>
      <c r="I318" s="76" t="str">
        <f t="shared" si="33"/>
        <v/>
      </c>
      <c r="J318" s="50"/>
      <c r="K318" s="50"/>
      <c r="L318" s="50"/>
      <c r="M318" s="48"/>
      <c r="N318" s="49" t="str">
        <f t="shared" si="34"/>
        <v/>
      </c>
      <c r="O318" s="49" t="str">
        <f t="shared" si="35"/>
        <v/>
      </c>
      <c r="P318" s="77" t="str">
        <f t="shared" si="36"/>
        <v/>
      </c>
      <c r="Q318" s="78">
        <f t="shared" si="37"/>
        <v>0</v>
      </c>
      <c r="R318" s="78">
        <f t="shared" si="38"/>
        <v>0</v>
      </c>
      <c r="S318" s="77">
        <f t="shared" si="39"/>
        <v>0</v>
      </c>
      <c r="T318" s="48"/>
    </row>
    <row r="319" spans="1:20" s="57" customFormat="1" ht="14">
      <c r="A319" s="45"/>
      <c r="B319" s="46"/>
      <c r="C319" s="47">
        <f t="shared" si="32"/>
        <v>0</v>
      </c>
      <c r="D319" s="48"/>
      <c r="E319" s="48"/>
      <c r="F319" s="48"/>
      <c r="G319" s="48"/>
      <c r="H319" s="49"/>
      <c r="I319" s="76" t="str">
        <f t="shared" si="33"/>
        <v/>
      </c>
      <c r="J319" s="50"/>
      <c r="K319" s="50"/>
      <c r="L319" s="50"/>
      <c r="M319" s="48"/>
      <c r="N319" s="49" t="str">
        <f t="shared" si="34"/>
        <v/>
      </c>
      <c r="O319" s="49" t="str">
        <f t="shared" si="35"/>
        <v/>
      </c>
      <c r="P319" s="77" t="str">
        <f t="shared" si="36"/>
        <v/>
      </c>
      <c r="Q319" s="78">
        <f t="shared" si="37"/>
        <v>0</v>
      </c>
      <c r="R319" s="78">
        <f t="shared" si="38"/>
        <v>0</v>
      </c>
      <c r="S319" s="77">
        <f t="shared" si="39"/>
        <v>0</v>
      </c>
      <c r="T319" s="48"/>
    </row>
    <row r="320" spans="1:20" s="57" customFormat="1" ht="14">
      <c r="A320" s="45"/>
      <c r="B320" s="46"/>
      <c r="C320" s="47">
        <f t="shared" si="32"/>
        <v>0</v>
      </c>
      <c r="D320" s="48"/>
      <c r="E320" s="48"/>
      <c r="F320" s="48"/>
      <c r="G320" s="48"/>
      <c r="H320" s="49"/>
      <c r="I320" s="76" t="str">
        <f t="shared" si="33"/>
        <v/>
      </c>
      <c r="J320" s="50"/>
      <c r="K320" s="50"/>
      <c r="L320" s="50"/>
      <c r="M320" s="48"/>
      <c r="N320" s="49" t="str">
        <f t="shared" si="34"/>
        <v/>
      </c>
      <c r="O320" s="49" t="str">
        <f t="shared" si="35"/>
        <v/>
      </c>
      <c r="P320" s="77" t="str">
        <f t="shared" si="36"/>
        <v/>
      </c>
      <c r="Q320" s="78">
        <f t="shared" si="37"/>
        <v>0</v>
      </c>
      <c r="R320" s="78">
        <f t="shared" si="38"/>
        <v>0</v>
      </c>
      <c r="S320" s="77">
        <f t="shared" si="39"/>
        <v>0</v>
      </c>
      <c r="T320" s="48"/>
    </row>
    <row r="321" spans="1:20" s="57" customFormat="1" ht="14">
      <c r="A321" s="45"/>
      <c r="B321" s="46"/>
      <c r="C321" s="47">
        <f t="shared" si="32"/>
        <v>0</v>
      </c>
      <c r="D321" s="48"/>
      <c r="E321" s="48"/>
      <c r="F321" s="48"/>
      <c r="G321" s="48"/>
      <c r="H321" s="49"/>
      <c r="I321" s="76" t="str">
        <f t="shared" si="33"/>
        <v/>
      </c>
      <c r="J321" s="50"/>
      <c r="K321" s="50"/>
      <c r="L321" s="50"/>
      <c r="M321" s="48"/>
      <c r="N321" s="49" t="str">
        <f t="shared" si="34"/>
        <v/>
      </c>
      <c r="O321" s="49" t="str">
        <f t="shared" si="35"/>
        <v/>
      </c>
      <c r="P321" s="77" t="str">
        <f t="shared" si="36"/>
        <v/>
      </c>
      <c r="Q321" s="78">
        <f t="shared" si="37"/>
        <v>0</v>
      </c>
      <c r="R321" s="78">
        <f t="shared" si="38"/>
        <v>0</v>
      </c>
      <c r="S321" s="77">
        <f t="shared" si="39"/>
        <v>0</v>
      </c>
      <c r="T321" s="48"/>
    </row>
    <row r="322" spans="1:20" s="57" customFormat="1" ht="14">
      <c r="A322" s="45"/>
      <c r="B322" s="46"/>
      <c r="C322" s="47">
        <f t="shared" si="32"/>
        <v>0</v>
      </c>
      <c r="D322" s="48"/>
      <c r="E322" s="48"/>
      <c r="F322" s="48"/>
      <c r="G322" s="48"/>
      <c r="H322" s="49"/>
      <c r="I322" s="76" t="str">
        <f t="shared" si="33"/>
        <v/>
      </c>
      <c r="J322" s="50"/>
      <c r="K322" s="50"/>
      <c r="L322" s="50"/>
      <c r="M322" s="48"/>
      <c r="N322" s="49" t="str">
        <f t="shared" si="34"/>
        <v/>
      </c>
      <c r="O322" s="49" t="str">
        <f t="shared" si="35"/>
        <v/>
      </c>
      <c r="P322" s="77" t="str">
        <f t="shared" si="36"/>
        <v/>
      </c>
      <c r="Q322" s="78">
        <f t="shared" si="37"/>
        <v>0</v>
      </c>
      <c r="R322" s="78">
        <f t="shared" si="38"/>
        <v>0</v>
      </c>
      <c r="S322" s="77">
        <f t="shared" si="39"/>
        <v>0</v>
      </c>
      <c r="T322" s="48"/>
    </row>
    <row r="323" spans="1:20" s="57" customFormat="1" ht="14">
      <c r="A323" s="45"/>
      <c r="B323" s="46"/>
      <c r="C323" s="47">
        <f t="shared" si="32"/>
        <v>0</v>
      </c>
      <c r="D323" s="48"/>
      <c r="E323" s="48"/>
      <c r="F323" s="48"/>
      <c r="G323" s="48"/>
      <c r="H323" s="49"/>
      <c r="I323" s="76" t="str">
        <f t="shared" si="33"/>
        <v/>
      </c>
      <c r="J323" s="50"/>
      <c r="K323" s="50"/>
      <c r="L323" s="50"/>
      <c r="M323" s="48"/>
      <c r="N323" s="49" t="str">
        <f t="shared" si="34"/>
        <v/>
      </c>
      <c r="O323" s="49" t="str">
        <f t="shared" si="35"/>
        <v/>
      </c>
      <c r="P323" s="77" t="str">
        <f t="shared" si="36"/>
        <v/>
      </c>
      <c r="Q323" s="78">
        <f t="shared" si="37"/>
        <v>0</v>
      </c>
      <c r="R323" s="78">
        <f t="shared" si="38"/>
        <v>0</v>
      </c>
      <c r="S323" s="77">
        <f t="shared" si="39"/>
        <v>0</v>
      </c>
      <c r="T323" s="48"/>
    </row>
    <row r="324" spans="1:20" s="57" customFormat="1" ht="14">
      <c r="A324" s="45"/>
      <c r="B324" s="46"/>
      <c r="C324" s="47">
        <f t="shared" si="32"/>
        <v>0</v>
      </c>
      <c r="D324" s="48"/>
      <c r="E324" s="48"/>
      <c r="F324" s="48"/>
      <c r="G324" s="48"/>
      <c r="H324" s="49"/>
      <c r="I324" s="76" t="str">
        <f t="shared" si="33"/>
        <v/>
      </c>
      <c r="J324" s="50"/>
      <c r="K324" s="50"/>
      <c r="L324" s="50"/>
      <c r="M324" s="48"/>
      <c r="N324" s="49" t="str">
        <f t="shared" si="34"/>
        <v/>
      </c>
      <c r="O324" s="49" t="str">
        <f t="shared" si="35"/>
        <v/>
      </c>
      <c r="P324" s="77" t="str">
        <f t="shared" si="36"/>
        <v/>
      </c>
      <c r="Q324" s="78">
        <f t="shared" si="37"/>
        <v>0</v>
      </c>
      <c r="R324" s="78">
        <f t="shared" si="38"/>
        <v>0</v>
      </c>
      <c r="S324" s="77">
        <f t="shared" si="39"/>
        <v>0</v>
      </c>
      <c r="T324" s="48"/>
    </row>
    <row r="325" spans="1:20" s="57" customFormat="1" ht="14">
      <c r="A325" s="45"/>
      <c r="B325" s="46"/>
      <c r="C325" s="47">
        <f t="shared" si="32"/>
        <v>0</v>
      </c>
      <c r="D325" s="48"/>
      <c r="E325" s="48"/>
      <c r="F325" s="48"/>
      <c r="G325" s="48"/>
      <c r="H325" s="49"/>
      <c r="I325" s="76" t="str">
        <f t="shared" si="33"/>
        <v/>
      </c>
      <c r="J325" s="50"/>
      <c r="K325" s="50"/>
      <c r="L325" s="50"/>
      <c r="M325" s="48"/>
      <c r="N325" s="49" t="str">
        <f t="shared" si="34"/>
        <v/>
      </c>
      <c r="O325" s="49" t="str">
        <f t="shared" si="35"/>
        <v/>
      </c>
      <c r="P325" s="77" t="str">
        <f t="shared" si="36"/>
        <v/>
      </c>
      <c r="Q325" s="78">
        <f t="shared" si="37"/>
        <v>0</v>
      </c>
      <c r="R325" s="78">
        <f t="shared" si="38"/>
        <v>0</v>
      </c>
      <c r="S325" s="77">
        <f t="shared" si="39"/>
        <v>0</v>
      </c>
      <c r="T325" s="48"/>
    </row>
    <row r="326" spans="1:20" s="57" customFormat="1" ht="14">
      <c r="A326" s="45"/>
      <c r="B326" s="46"/>
      <c r="C326" s="47">
        <f t="shared" si="32"/>
        <v>0</v>
      </c>
      <c r="D326" s="48"/>
      <c r="E326" s="48"/>
      <c r="F326" s="48"/>
      <c r="G326" s="48"/>
      <c r="H326" s="49"/>
      <c r="I326" s="76" t="str">
        <f t="shared" si="33"/>
        <v/>
      </c>
      <c r="J326" s="50"/>
      <c r="K326" s="50"/>
      <c r="L326" s="50"/>
      <c r="M326" s="48"/>
      <c r="N326" s="49" t="str">
        <f t="shared" si="34"/>
        <v/>
      </c>
      <c r="O326" s="49" t="str">
        <f t="shared" si="35"/>
        <v/>
      </c>
      <c r="P326" s="77" t="str">
        <f t="shared" si="36"/>
        <v/>
      </c>
      <c r="Q326" s="78">
        <f t="shared" si="37"/>
        <v>0</v>
      </c>
      <c r="R326" s="78">
        <f t="shared" si="38"/>
        <v>0</v>
      </c>
      <c r="S326" s="77">
        <f t="shared" si="39"/>
        <v>0</v>
      </c>
      <c r="T326" s="48"/>
    </row>
    <row r="327" spans="1:20" s="57" customFormat="1" ht="14">
      <c r="A327" s="45"/>
      <c r="B327" s="46"/>
      <c r="C327" s="47">
        <f t="shared" si="32"/>
        <v>0</v>
      </c>
      <c r="D327" s="48"/>
      <c r="E327" s="48"/>
      <c r="F327" s="48"/>
      <c r="G327" s="48"/>
      <c r="H327" s="49"/>
      <c r="I327" s="76" t="str">
        <f t="shared" si="33"/>
        <v/>
      </c>
      <c r="J327" s="50"/>
      <c r="K327" s="50"/>
      <c r="L327" s="50"/>
      <c r="M327" s="48"/>
      <c r="N327" s="49" t="str">
        <f t="shared" si="34"/>
        <v/>
      </c>
      <c r="O327" s="49" t="str">
        <f t="shared" si="35"/>
        <v/>
      </c>
      <c r="P327" s="77" t="str">
        <f t="shared" si="36"/>
        <v/>
      </c>
      <c r="Q327" s="78">
        <f t="shared" si="37"/>
        <v>0</v>
      </c>
      <c r="R327" s="78">
        <f t="shared" si="38"/>
        <v>0</v>
      </c>
      <c r="S327" s="77">
        <f t="shared" si="39"/>
        <v>0</v>
      </c>
      <c r="T327" s="48"/>
    </row>
    <row r="328" spans="1:20" s="57" customFormat="1" ht="14">
      <c r="A328" s="45"/>
      <c r="B328" s="46"/>
      <c r="C328" s="47">
        <f t="shared" si="32"/>
        <v>0</v>
      </c>
      <c r="D328" s="48"/>
      <c r="E328" s="48"/>
      <c r="F328" s="48"/>
      <c r="G328" s="48"/>
      <c r="H328" s="49"/>
      <c r="I328" s="76" t="str">
        <f t="shared" si="33"/>
        <v/>
      </c>
      <c r="J328" s="50"/>
      <c r="K328" s="50"/>
      <c r="L328" s="50"/>
      <c r="M328" s="48"/>
      <c r="N328" s="49" t="str">
        <f t="shared" si="34"/>
        <v/>
      </c>
      <c r="O328" s="49" t="str">
        <f t="shared" si="35"/>
        <v/>
      </c>
      <c r="P328" s="77" t="str">
        <f t="shared" si="36"/>
        <v/>
      </c>
      <c r="Q328" s="78">
        <f t="shared" si="37"/>
        <v>0</v>
      </c>
      <c r="R328" s="78">
        <f t="shared" si="38"/>
        <v>0</v>
      </c>
      <c r="S328" s="77">
        <f t="shared" si="39"/>
        <v>0</v>
      </c>
      <c r="T328" s="48"/>
    </row>
    <row r="329" spans="1:20" s="57" customFormat="1" ht="14">
      <c r="A329" s="45"/>
      <c r="B329" s="46"/>
      <c r="C329" s="47">
        <f t="shared" si="32"/>
        <v>0</v>
      </c>
      <c r="D329" s="48"/>
      <c r="E329" s="48"/>
      <c r="F329" s="48"/>
      <c r="G329" s="48"/>
      <c r="H329" s="49"/>
      <c r="I329" s="76" t="str">
        <f t="shared" si="33"/>
        <v/>
      </c>
      <c r="J329" s="50"/>
      <c r="K329" s="50"/>
      <c r="L329" s="50"/>
      <c r="M329" s="48"/>
      <c r="N329" s="49" t="str">
        <f t="shared" si="34"/>
        <v/>
      </c>
      <c r="O329" s="49" t="str">
        <f t="shared" si="35"/>
        <v/>
      </c>
      <c r="P329" s="77" t="str">
        <f t="shared" si="36"/>
        <v/>
      </c>
      <c r="Q329" s="78">
        <f t="shared" si="37"/>
        <v>0</v>
      </c>
      <c r="R329" s="78">
        <f t="shared" si="38"/>
        <v>0</v>
      </c>
      <c r="S329" s="77">
        <f t="shared" si="39"/>
        <v>0</v>
      </c>
      <c r="T329" s="48"/>
    </row>
    <row r="330" spans="1:20" s="57" customFormat="1" ht="14">
      <c r="A330" s="45"/>
      <c r="B330" s="46"/>
      <c r="C330" s="47">
        <f t="shared" si="32"/>
        <v>0</v>
      </c>
      <c r="D330" s="48"/>
      <c r="E330" s="48"/>
      <c r="F330" s="48"/>
      <c r="G330" s="48"/>
      <c r="H330" s="49"/>
      <c r="I330" s="76" t="str">
        <f t="shared" si="33"/>
        <v/>
      </c>
      <c r="J330" s="50"/>
      <c r="K330" s="50"/>
      <c r="L330" s="50"/>
      <c r="M330" s="48"/>
      <c r="N330" s="49" t="str">
        <f t="shared" si="34"/>
        <v/>
      </c>
      <c r="O330" s="49" t="str">
        <f t="shared" si="35"/>
        <v/>
      </c>
      <c r="P330" s="77" t="str">
        <f t="shared" si="36"/>
        <v/>
      </c>
      <c r="Q330" s="78">
        <f t="shared" si="37"/>
        <v>0</v>
      </c>
      <c r="R330" s="78">
        <f t="shared" si="38"/>
        <v>0</v>
      </c>
      <c r="S330" s="77">
        <f t="shared" si="39"/>
        <v>0</v>
      </c>
      <c r="T330" s="48"/>
    </row>
    <row r="331" spans="1:20" s="57" customFormat="1" ht="14">
      <c r="A331" s="45"/>
      <c r="B331" s="46"/>
      <c r="C331" s="47">
        <f t="shared" ref="C331:C383" si="40">IF($B331&lt;&gt;"",VLOOKUP($B331,Matriz_INM,2,0),0)</f>
        <v>0</v>
      </c>
      <c r="D331" s="48"/>
      <c r="E331" s="48"/>
      <c r="F331" s="48"/>
      <c r="G331" s="48"/>
      <c r="H331" s="49"/>
      <c r="I331" s="76" t="str">
        <f t="shared" ref="I331:I383" si="41">IFERROR(VLOOKUP($B331,Matriz_INM,3,0),"")</f>
        <v/>
      </c>
      <c r="J331" s="50"/>
      <c r="K331" s="50"/>
      <c r="L331" s="50"/>
      <c r="M331" s="48"/>
      <c r="N331" s="49" t="str">
        <f t="shared" ref="N331:N383"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9"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7" t="str">
        <f t="shared" ref="P331:P383" si="44">IF(N331="",O331,IF(O331="",N331,""))</f>
        <v/>
      </c>
      <c r="Q331" s="78">
        <f t="shared" ref="Q331:Q383" si="45">IF(AND(OR(M331="EE",M331="CE"),P331="Simples"),3, IF(AND(OR(M331="EE",M331="CE"),P331="Médio"),4, IF(AND(OR(M331="EE",M331="CE"),P331="Complexo"),6, IF(AND(M331="SE",P331="Simples"),4, IF(AND(M331="SE",P331="Médio"),5, IF(AND(M331="SE",P331="Complexo"),7,0))))))</f>
        <v>0</v>
      </c>
      <c r="R331" s="78">
        <f t="shared" ref="R331:R383" si="46">IF(AND(M331="ALI",O331="Simples"),7, IF(AND(M331="ALI",O331="Médio"),10, IF(AND(M331="ALI",O331="Complexo"),15, IF(AND(M331="AIE",O331="Simples"),5, IF(AND(M331="AIE",O331="Médio"),7, IF(AND(M331="AIE",O331="Complexo"),10,0))))))</f>
        <v>0</v>
      </c>
      <c r="S331" s="77">
        <f t="shared" si="39"/>
        <v>0</v>
      </c>
      <c r="T331" s="48"/>
    </row>
    <row r="332" spans="1:20" s="57" customFormat="1" ht="14">
      <c r="A332" s="45"/>
      <c r="B332" s="46"/>
      <c r="C332" s="47">
        <f t="shared" si="40"/>
        <v>0</v>
      </c>
      <c r="D332" s="48"/>
      <c r="E332" s="48"/>
      <c r="F332" s="48"/>
      <c r="G332" s="48"/>
      <c r="H332" s="49"/>
      <c r="I332" s="76" t="str">
        <f t="shared" si="41"/>
        <v/>
      </c>
      <c r="J332" s="50"/>
      <c r="K332" s="50"/>
      <c r="L332" s="50"/>
      <c r="M332" s="48"/>
      <c r="N332" s="49" t="str">
        <f t="shared" si="42"/>
        <v/>
      </c>
      <c r="O332" s="49" t="str">
        <f t="shared" si="43"/>
        <v/>
      </c>
      <c r="P332" s="77" t="str">
        <f t="shared" si="44"/>
        <v/>
      </c>
      <c r="Q332" s="78">
        <f t="shared" si="45"/>
        <v>0</v>
      </c>
      <c r="R332" s="78">
        <f t="shared" si="46"/>
        <v>0</v>
      </c>
      <c r="S332" s="77">
        <f t="shared" ref="S332:S383" si="47">IF($I332="%",($Q332+$R332)*$C332,$C332)</f>
        <v>0</v>
      </c>
      <c r="T332" s="48"/>
    </row>
    <row r="333" spans="1:20" s="57" customFormat="1" ht="14">
      <c r="A333" s="45"/>
      <c r="B333" s="46"/>
      <c r="C333" s="47">
        <f t="shared" si="40"/>
        <v>0</v>
      </c>
      <c r="D333" s="48"/>
      <c r="E333" s="48"/>
      <c r="F333" s="48"/>
      <c r="G333" s="48"/>
      <c r="H333" s="49"/>
      <c r="I333" s="76" t="str">
        <f t="shared" si="41"/>
        <v/>
      </c>
      <c r="J333" s="50"/>
      <c r="K333" s="50"/>
      <c r="L333" s="50"/>
      <c r="M333" s="48"/>
      <c r="N333" s="49" t="str">
        <f t="shared" si="42"/>
        <v/>
      </c>
      <c r="O333" s="49" t="str">
        <f t="shared" si="43"/>
        <v/>
      </c>
      <c r="P333" s="77" t="str">
        <f t="shared" si="44"/>
        <v/>
      </c>
      <c r="Q333" s="78">
        <f t="shared" si="45"/>
        <v>0</v>
      </c>
      <c r="R333" s="78">
        <f t="shared" si="46"/>
        <v>0</v>
      </c>
      <c r="S333" s="77">
        <f t="shared" si="47"/>
        <v>0</v>
      </c>
      <c r="T333" s="48"/>
    </row>
    <row r="334" spans="1:20" s="57" customFormat="1" ht="14">
      <c r="A334" s="45"/>
      <c r="B334" s="46"/>
      <c r="C334" s="47">
        <f t="shared" si="40"/>
        <v>0</v>
      </c>
      <c r="D334" s="48"/>
      <c r="E334" s="48"/>
      <c r="F334" s="48"/>
      <c r="G334" s="48"/>
      <c r="H334" s="49"/>
      <c r="I334" s="76" t="str">
        <f t="shared" si="41"/>
        <v/>
      </c>
      <c r="J334" s="50"/>
      <c r="K334" s="50"/>
      <c r="L334" s="50"/>
      <c r="M334" s="48"/>
      <c r="N334" s="49" t="str">
        <f t="shared" si="42"/>
        <v/>
      </c>
      <c r="O334" s="49" t="str">
        <f t="shared" si="43"/>
        <v/>
      </c>
      <c r="P334" s="77" t="str">
        <f t="shared" si="44"/>
        <v/>
      </c>
      <c r="Q334" s="78">
        <f t="shared" si="45"/>
        <v>0</v>
      </c>
      <c r="R334" s="78">
        <f t="shared" si="46"/>
        <v>0</v>
      </c>
      <c r="S334" s="77">
        <f t="shared" si="47"/>
        <v>0</v>
      </c>
      <c r="T334" s="48"/>
    </row>
    <row r="335" spans="1:20" s="57" customFormat="1" ht="14">
      <c r="A335" s="45"/>
      <c r="B335" s="46"/>
      <c r="C335" s="47">
        <f t="shared" si="40"/>
        <v>0</v>
      </c>
      <c r="D335" s="48"/>
      <c r="E335" s="48"/>
      <c r="F335" s="48"/>
      <c r="G335" s="48"/>
      <c r="H335" s="49"/>
      <c r="I335" s="76" t="str">
        <f t="shared" si="41"/>
        <v/>
      </c>
      <c r="J335" s="50"/>
      <c r="K335" s="50"/>
      <c r="L335" s="50"/>
      <c r="M335" s="48"/>
      <c r="N335" s="49" t="str">
        <f t="shared" si="42"/>
        <v/>
      </c>
      <c r="O335" s="49" t="str">
        <f t="shared" si="43"/>
        <v/>
      </c>
      <c r="P335" s="77" t="str">
        <f t="shared" si="44"/>
        <v/>
      </c>
      <c r="Q335" s="78">
        <f t="shared" si="45"/>
        <v>0</v>
      </c>
      <c r="R335" s="78">
        <f t="shared" si="46"/>
        <v>0</v>
      </c>
      <c r="S335" s="77">
        <f t="shared" si="47"/>
        <v>0</v>
      </c>
      <c r="T335" s="48"/>
    </row>
    <row r="336" spans="1:20" s="57" customFormat="1" ht="14">
      <c r="A336" s="45"/>
      <c r="B336" s="46"/>
      <c r="C336" s="47">
        <f t="shared" si="40"/>
        <v>0</v>
      </c>
      <c r="D336" s="48"/>
      <c r="E336" s="48"/>
      <c r="F336" s="48"/>
      <c r="G336" s="48"/>
      <c r="H336" s="49"/>
      <c r="I336" s="76" t="str">
        <f t="shared" si="41"/>
        <v/>
      </c>
      <c r="J336" s="50"/>
      <c r="K336" s="50"/>
      <c r="L336" s="50"/>
      <c r="M336" s="48"/>
      <c r="N336" s="49" t="str">
        <f t="shared" si="42"/>
        <v/>
      </c>
      <c r="O336" s="49" t="str">
        <f t="shared" si="43"/>
        <v/>
      </c>
      <c r="P336" s="77" t="str">
        <f t="shared" si="44"/>
        <v/>
      </c>
      <c r="Q336" s="78">
        <f t="shared" si="45"/>
        <v>0</v>
      </c>
      <c r="R336" s="78">
        <f t="shared" si="46"/>
        <v>0</v>
      </c>
      <c r="S336" s="77">
        <f t="shared" si="47"/>
        <v>0</v>
      </c>
      <c r="T336" s="48"/>
    </row>
    <row r="337" spans="1:20" s="57" customFormat="1" ht="14">
      <c r="A337" s="45"/>
      <c r="B337" s="46"/>
      <c r="C337" s="47">
        <f t="shared" si="40"/>
        <v>0</v>
      </c>
      <c r="D337" s="48"/>
      <c r="E337" s="48"/>
      <c r="F337" s="48"/>
      <c r="G337" s="48"/>
      <c r="H337" s="49"/>
      <c r="I337" s="76" t="str">
        <f t="shared" si="41"/>
        <v/>
      </c>
      <c r="J337" s="50"/>
      <c r="K337" s="50"/>
      <c r="L337" s="50"/>
      <c r="M337" s="48"/>
      <c r="N337" s="49" t="str">
        <f t="shared" si="42"/>
        <v/>
      </c>
      <c r="O337" s="49" t="str">
        <f t="shared" si="43"/>
        <v/>
      </c>
      <c r="P337" s="77" t="str">
        <f t="shared" si="44"/>
        <v/>
      </c>
      <c r="Q337" s="78">
        <f t="shared" si="45"/>
        <v>0</v>
      </c>
      <c r="R337" s="78">
        <f t="shared" si="46"/>
        <v>0</v>
      </c>
      <c r="S337" s="77">
        <f t="shared" si="47"/>
        <v>0</v>
      </c>
      <c r="T337" s="48"/>
    </row>
    <row r="338" spans="1:20" s="57" customFormat="1" ht="14">
      <c r="A338" s="45"/>
      <c r="B338" s="46"/>
      <c r="C338" s="47">
        <f t="shared" si="40"/>
        <v>0</v>
      </c>
      <c r="D338" s="48"/>
      <c r="E338" s="48"/>
      <c r="F338" s="48"/>
      <c r="G338" s="48"/>
      <c r="H338" s="49"/>
      <c r="I338" s="76" t="str">
        <f t="shared" si="41"/>
        <v/>
      </c>
      <c r="J338" s="50"/>
      <c r="K338" s="50"/>
      <c r="L338" s="50"/>
      <c r="M338" s="48"/>
      <c r="N338" s="49" t="str">
        <f t="shared" si="42"/>
        <v/>
      </c>
      <c r="O338" s="49" t="str">
        <f t="shared" si="43"/>
        <v/>
      </c>
      <c r="P338" s="77" t="str">
        <f t="shared" si="44"/>
        <v/>
      </c>
      <c r="Q338" s="78">
        <f t="shared" si="45"/>
        <v>0</v>
      </c>
      <c r="R338" s="78">
        <f t="shared" si="46"/>
        <v>0</v>
      </c>
      <c r="S338" s="77">
        <f t="shared" si="47"/>
        <v>0</v>
      </c>
      <c r="T338" s="48"/>
    </row>
    <row r="339" spans="1:20" s="57" customFormat="1" ht="14">
      <c r="A339" s="45"/>
      <c r="B339" s="46"/>
      <c r="C339" s="47">
        <f t="shared" si="40"/>
        <v>0</v>
      </c>
      <c r="D339" s="48"/>
      <c r="E339" s="48"/>
      <c r="F339" s="48"/>
      <c r="G339" s="48"/>
      <c r="H339" s="49"/>
      <c r="I339" s="76" t="str">
        <f t="shared" si="41"/>
        <v/>
      </c>
      <c r="J339" s="50"/>
      <c r="K339" s="50"/>
      <c r="L339" s="50"/>
      <c r="M339" s="48"/>
      <c r="N339" s="49" t="str">
        <f t="shared" si="42"/>
        <v/>
      </c>
      <c r="O339" s="49" t="str">
        <f t="shared" si="43"/>
        <v/>
      </c>
      <c r="P339" s="77" t="str">
        <f t="shared" si="44"/>
        <v/>
      </c>
      <c r="Q339" s="78">
        <f t="shared" si="45"/>
        <v>0</v>
      </c>
      <c r="R339" s="78">
        <f t="shared" si="46"/>
        <v>0</v>
      </c>
      <c r="S339" s="77">
        <f t="shared" si="47"/>
        <v>0</v>
      </c>
      <c r="T339" s="48"/>
    </row>
    <row r="340" spans="1:20" s="57" customFormat="1" ht="14">
      <c r="A340" s="45"/>
      <c r="B340" s="46"/>
      <c r="C340" s="47">
        <f t="shared" si="40"/>
        <v>0</v>
      </c>
      <c r="D340" s="48"/>
      <c r="E340" s="48"/>
      <c r="F340" s="48"/>
      <c r="G340" s="48"/>
      <c r="H340" s="49"/>
      <c r="I340" s="76" t="str">
        <f t="shared" si="41"/>
        <v/>
      </c>
      <c r="J340" s="50"/>
      <c r="K340" s="50"/>
      <c r="L340" s="50"/>
      <c r="M340" s="48"/>
      <c r="N340" s="49" t="str">
        <f t="shared" si="42"/>
        <v/>
      </c>
      <c r="O340" s="49" t="str">
        <f t="shared" si="43"/>
        <v/>
      </c>
      <c r="P340" s="77" t="str">
        <f t="shared" si="44"/>
        <v/>
      </c>
      <c r="Q340" s="78">
        <f t="shared" si="45"/>
        <v>0</v>
      </c>
      <c r="R340" s="78">
        <f t="shared" si="46"/>
        <v>0</v>
      </c>
      <c r="S340" s="77">
        <f t="shared" si="47"/>
        <v>0</v>
      </c>
      <c r="T340" s="48"/>
    </row>
    <row r="341" spans="1:20" s="57" customFormat="1" ht="14">
      <c r="A341" s="45"/>
      <c r="B341" s="46"/>
      <c r="C341" s="47">
        <f t="shared" si="40"/>
        <v>0</v>
      </c>
      <c r="D341" s="48"/>
      <c r="E341" s="48"/>
      <c r="F341" s="48"/>
      <c r="G341" s="48"/>
      <c r="H341" s="49"/>
      <c r="I341" s="76" t="str">
        <f t="shared" si="41"/>
        <v/>
      </c>
      <c r="J341" s="50"/>
      <c r="K341" s="50"/>
      <c r="L341" s="50"/>
      <c r="M341" s="48"/>
      <c r="N341" s="49" t="str">
        <f t="shared" si="42"/>
        <v/>
      </c>
      <c r="O341" s="49" t="str">
        <f t="shared" si="43"/>
        <v/>
      </c>
      <c r="P341" s="77" t="str">
        <f t="shared" si="44"/>
        <v/>
      </c>
      <c r="Q341" s="78">
        <f t="shared" si="45"/>
        <v>0</v>
      </c>
      <c r="R341" s="78">
        <f t="shared" si="46"/>
        <v>0</v>
      </c>
      <c r="S341" s="77">
        <f t="shared" si="47"/>
        <v>0</v>
      </c>
      <c r="T341" s="48"/>
    </row>
    <row r="342" spans="1:20" s="57" customFormat="1" ht="14">
      <c r="A342" s="45"/>
      <c r="B342" s="46"/>
      <c r="C342" s="47">
        <f t="shared" si="40"/>
        <v>0</v>
      </c>
      <c r="D342" s="48"/>
      <c r="E342" s="48"/>
      <c r="F342" s="48"/>
      <c r="G342" s="48"/>
      <c r="H342" s="49"/>
      <c r="I342" s="76" t="str">
        <f t="shared" si="41"/>
        <v/>
      </c>
      <c r="J342" s="50"/>
      <c r="K342" s="50"/>
      <c r="L342" s="50"/>
      <c r="M342" s="48"/>
      <c r="N342" s="49" t="str">
        <f t="shared" si="42"/>
        <v/>
      </c>
      <c r="O342" s="49" t="str">
        <f t="shared" si="43"/>
        <v/>
      </c>
      <c r="P342" s="77" t="str">
        <f t="shared" si="44"/>
        <v/>
      </c>
      <c r="Q342" s="78">
        <f t="shared" si="45"/>
        <v>0</v>
      </c>
      <c r="R342" s="78">
        <f t="shared" si="46"/>
        <v>0</v>
      </c>
      <c r="S342" s="77">
        <f t="shared" si="47"/>
        <v>0</v>
      </c>
      <c r="T342" s="48"/>
    </row>
    <row r="343" spans="1:20" s="57" customFormat="1" ht="14">
      <c r="A343" s="45"/>
      <c r="B343" s="46"/>
      <c r="C343" s="47">
        <f t="shared" si="40"/>
        <v>0</v>
      </c>
      <c r="D343" s="48"/>
      <c r="E343" s="48"/>
      <c r="F343" s="48"/>
      <c r="G343" s="48"/>
      <c r="H343" s="49"/>
      <c r="I343" s="76" t="str">
        <f t="shared" si="41"/>
        <v/>
      </c>
      <c r="J343" s="50"/>
      <c r="K343" s="50"/>
      <c r="L343" s="50"/>
      <c r="M343" s="48"/>
      <c r="N343" s="49" t="str">
        <f t="shared" si="42"/>
        <v/>
      </c>
      <c r="O343" s="49" t="str">
        <f t="shared" si="43"/>
        <v/>
      </c>
      <c r="P343" s="77" t="str">
        <f t="shared" si="44"/>
        <v/>
      </c>
      <c r="Q343" s="78">
        <f t="shared" si="45"/>
        <v>0</v>
      </c>
      <c r="R343" s="78">
        <f t="shared" si="46"/>
        <v>0</v>
      </c>
      <c r="S343" s="77">
        <f t="shared" si="47"/>
        <v>0</v>
      </c>
      <c r="T343" s="48"/>
    </row>
    <row r="344" spans="1:20" s="57" customFormat="1" ht="14">
      <c r="A344" s="45"/>
      <c r="B344" s="46"/>
      <c r="C344" s="47">
        <f t="shared" si="40"/>
        <v>0</v>
      </c>
      <c r="D344" s="48"/>
      <c r="E344" s="48"/>
      <c r="F344" s="48"/>
      <c r="G344" s="48"/>
      <c r="H344" s="49"/>
      <c r="I344" s="76" t="str">
        <f t="shared" si="41"/>
        <v/>
      </c>
      <c r="J344" s="50"/>
      <c r="K344" s="50"/>
      <c r="L344" s="50"/>
      <c r="M344" s="48"/>
      <c r="N344" s="49" t="str">
        <f t="shared" si="42"/>
        <v/>
      </c>
      <c r="O344" s="49" t="str">
        <f t="shared" si="43"/>
        <v/>
      </c>
      <c r="P344" s="77" t="str">
        <f t="shared" si="44"/>
        <v/>
      </c>
      <c r="Q344" s="78">
        <f t="shared" si="45"/>
        <v>0</v>
      </c>
      <c r="R344" s="78">
        <f t="shared" si="46"/>
        <v>0</v>
      </c>
      <c r="S344" s="77">
        <f t="shared" si="47"/>
        <v>0</v>
      </c>
      <c r="T344" s="48"/>
    </row>
    <row r="345" spans="1:20" s="57" customFormat="1" ht="14">
      <c r="A345" s="45"/>
      <c r="B345" s="46"/>
      <c r="C345" s="47">
        <f t="shared" si="40"/>
        <v>0</v>
      </c>
      <c r="D345" s="48"/>
      <c r="E345" s="48"/>
      <c r="F345" s="48"/>
      <c r="G345" s="48"/>
      <c r="H345" s="49"/>
      <c r="I345" s="76" t="str">
        <f t="shared" si="41"/>
        <v/>
      </c>
      <c r="J345" s="50"/>
      <c r="K345" s="50"/>
      <c r="L345" s="50"/>
      <c r="M345" s="48"/>
      <c r="N345" s="49" t="str">
        <f t="shared" si="42"/>
        <v/>
      </c>
      <c r="O345" s="49" t="str">
        <f t="shared" si="43"/>
        <v/>
      </c>
      <c r="P345" s="77" t="str">
        <f t="shared" si="44"/>
        <v/>
      </c>
      <c r="Q345" s="78">
        <f t="shared" si="45"/>
        <v>0</v>
      </c>
      <c r="R345" s="78">
        <f t="shared" si="46"/>
        <v>0</v>
      </c>
      <c r="S345" s="77">
        <f t="shared" si="47"/>
        <v>0</v>
      </c>
      <c r="T345" s="48"/>
    </row>
    <row r="346" spans="1:20" s="57" customFormat="1" ht="14">
      <c r="A346" s="45"/>
      <c r="B346" s="46"/>
      <c r="C346" s="47">
        <f t="shared" si="40"/>
        <v>0</v>
      </c>
      <c r="D346" s="48"/>
      <c r="E346" s="48"/>
      <c r="F346" s="48"/>
      <c r="G346" s="48"/>
      <c r="H346" s="49"/>
      <c r="I346" s="76" t="str">
        <f t="shared" si="41"/>
        <v/>
      </c>
      <c r="J346" s="50"/>
      <c r="K346" s="50"/>
      <c r="L346" s="50"/>
      <c r="M346" s="48"/>
      <c r="N346" s="49" t="str">
        <f t="shared" si="42"/>
        <v/>
      </c>
      <c r="O346" s="49" t="str">
        <f t="shared" si="43"/>
        <v/>
      </c>
      <c r="P346" s="77" t="str">
        <f t="shared" si="44"/>
        <v/>
      </c>
      <c r="Q346" s="78">
        <f t="shared" si="45"/>
        <v>0</v>
      </c>
      <c r="R346" s="78">
        <f t="shared" si="46"/>
        <v>0</v>
      </c>
      <c r="S346" s="77">
        <f t="shared" si="47"/>
        <v>0</v>
      </c>
      <c r="T346" s="48"/>
    </row>
    <row r="347" spans="1:20" s="57" customFormat="1" ht="14">
      <c r="A347" s="45"/>
      <c r="B347" s="46"/>
      <c r="C347" s="47">
        <f t="shared" si="40"/>
        <v>0</v>
      </c>
      <c r="D347" s="48"/>
      <c r="E347" s="48"/>
      <c r="F347" s="48"/>
      <c r="G347" s="48"/>
      <c r="H347" s="49"/>
      <c r="I347" s="76" t="str">
        <f t="shared" si="41"/>
        <v/>
      </c>
      <c r="J347" s="50"/>
      <c r="K347" s="50"/>
      <c r="L347" s="50"/>
      <c r="M347" s="48"/>
      <c r="N347" s="49" t="str">
        <f t="shared" si="42"/>
        <v/>
      </c>
      <c r="O347" s="49" t="str">
        <f t="shared" si="43"/>
        <v/>
      </c>
      <c r="P347" s="77" t="str">
        <f t="shared" si="44"/>
        <v/>
      </c>
      <c r="Q347" s="78">
        <f t="shared" si="45"/>
        <v>0</v>
      </c>
      <c r="R347" s="78">
        <f t="shared" si="46"/>
        <v>0</v>
      </c>
      <c r="S347" s="77">
        <f t="shared" si="47"/>
        <v>0</v>
      </c>
      <c r="T347" s="48"/>
    </row>
    <row r="348" spans="1:20" s="57" customFormat="1" ht="14">
      <c r="A348" s="45"/>
      <c r="B348" s="46"/>
      <c r="C348" s="47">
        <f t="shared" si="40"/>
        <v>0</v>
      </c>
      <c r="D348" s="48"/>
      <c r="E348" s="48"/>
      <c r="F348" s="48"/>
      <c r="G348" s="48"/>
      <c r="H348" s="49"/>
      <c r="I348" s="76" t="str">
        <f t="shared" si="41"/>
        <v/>
      </c>
      <c r="J348" s="50"/>
      <c r="K348" s="50"/>
      <c r="L348" s="50"/>
      <c r="M348" s="48"/>
      <c r="N348" s="49" t="str">
        <f t="shared" si="42"/>
        <v/>
      </c>
      <c r="O348" s="49" t="str">
        <f t="shared" si="43"/>
        <v/>
      </c>
      <c r="P348" s="77" t="str">
        <f t="shared" si="44"/>
        <v/>
      </c>
      <c r="Q348" s="78">
        <f t="shared" si="45"/>
        <v>0</v>
      </c>
      <c r="R348" s="78">
        <f t="shared" si="46"/>
        <v>0</v>
      </c>
      <c r="S348" s="77">
        <f t="shared" si="47"/>
        <v>0</v>
      </c>
      <c r="T348" s="48"/>
    </row>
    <row r="349" spans="1:20" s="57" customFormat="1" ht="14">
      <c r="A349" s="45"/>
      <c r="B349" s="46"/>
      <c r="C349" s="47">
        <f t="shared" si="40"/>
        <v>0</v>
      </c>
      <c r="D349" s="48"/>
      <c r="E349" s="48"/>
      <c r="F349" s="48"/>
      <c r="G349" s="48"/>
      <c r="H349" s="49"/>
      <c r="I349" s="76" t="str">
        <f t="shared" si="41"/>
        <v/>
      </c>
      <c r="J349" s="50"/>
      <c r="K349" s="50"/>
      <c r="L349" s="50"/>
      <c r="M349" s="48"/>
      <c r="N349" s="49" t="str">
        <f t="shared" si="42"/>
        <v/>
      </c>
      <c r="O349" s="49" t="str">
        <f t="shared" si="43"/>
        <v/>
      </c>
      <c r="P349" s="77" t="str">
        <f t="shared" si="44"/>
        <v/>
      </c>
      <c r="Q349" s="78">
        <f t="shared" si="45"/>
        <v>0</v>
      </c>
      <c r="R349" s="78">
        <f t="shared" si="46"/>
        <v>0</v>
      </c>
      <c r="S349" s="77">
        <f t="shared" si="47"/>
        <v>0</v>
      </c>
      <c r="T349" s="48"/>
    </row>
    <row r="350" spans="1:20" s="57" customFormat="1" ht="14">
      <c r="A350" s="45"/>
      <c r="B350" s="46"/>
      <c r="C350" s="47">
        <f t="shared" si="40"/>
        <v>0</v>
      </c>
      <c r="D350" s="48"/>
      <c r="E350" s="48"/>
      <c r="F350" s="48"/>
      <c r="G350" s="48"/>
      <c r="H350" s="49"/>
      <c r="I350" s="76" t="str">
        <f t="shared" si="41"/>
        <v/>
      </c>
      <c r="J350" s="50"/>
      <c r="K350" s="50"/>
      <c r="L350" s="50"/>
      <c r="M350" s="48"/>
      <c r="N350" s="49" t="str">
        <f t="shared" si="42"/>
        <v/>
      </c>
      <c r="O350" s="49" t="str">
        <f t="shared" si="43"/>
        <v/>
      </c>
      <c r="P350" s="77" t="str">
        <f t="shared" si="44"/>
        <v/>
      </c>
      <c r="Q350" s="78">
        <f t="shared" si="45"/>
        <v>0</v>
      </c>
      <c r="R350" s="78">
        <f t="shared" si="46"/>
        <v>0</v>
      </c>
      <c r="S350" s="77">
        <f t="shared" si="47"/>
        <v>0</v>
      </c>
      <c r="T350" s="48"/>
    </row>
    <row r="351" spans="1:20" s="57" customFormat="1" ht="14">
      <c r="A351" s="45"/>
      <c r="B351" s="46"/>
      <c r="C351" s="47">
        <f t="shared" si="40"/>
        <v>0</v>
      </c>
      <c r="D351" s="48"/>
      <c r="E351" s="48"/>
      <c r="F351" s="48"/>
      <c r="G351" s="48"/>
      <c r="H351" s="49"/>
      <c r="I351" s="76" t="str">
        <f t="shared" si="41"/>
        <v/>
      </c>
      <c r="J351" s="50"/>
      <c r="K351" s="50"/>
      <c r="L351" s="50"/>
      <c r="M351" s="48"/>
      <c r="N351" s="49" t="str">
        <f t="shared" si="42"/>
        <v/>
      </c>
      <c r="O351" s="49" t="str">
        <f t="shared" si="43"/>
        <v/>
      </c>
      <c r="P351" s="77" t="str">
        <f t="shared" si="44"/>
        <v/>
      </c>
      <c r="Q351" s="78">
        <f t="shared" si="45"/>
        <v>0</v>
      </c>
      <c r="R351" s="78">
        <f t="shared" si="46"/>
        <v>0</v>
      </c>
      <c r="S351" s="77">
        <f t="shared" si="47"/>
        <v>0</v>
      </c>
      <c r="T351" s="48"/>
    </row>
    <row r="352" spans="1:20" s="57" customFormat="1" ht="14">
      <c r="A352" s="45"/>
      <c r="B352" s="46"/>
      <c r="C352" s="47">
        <f t="shared" si="40"/>
        <v>0</v>
      </c>
      <c r="D352" s="48"/>
      <c r="E352" s="48"/>
      <c r="F352" s="48"/>
      <c r="G352" s="48"/>
      <c r="H352" s="49"/>
      <c r="I352" s="76" t="str">
        <f t="shared" si="41"/>
        <v/>
      </c>
      <c r="J352" s="50"/>
      <c r="K352" s="50"/>
      <c r="L352" s="50"/>
      <c r="M352" s="48"/>
      <c r="N352" s="49" t="str">
        <f t="shared" si="42"/>
        <v/>
      </c>
      <c r="O352" s="49" t="str">
        <f t="shared" si="43"/>
        <v/>
      </c>
      <c r="P352" s="77" t="str">
        <f t="shared" si="44"/>
        <v/>
      </c>
      <c r="Q352" s="78">
        <f t="shared" si="45"/>
        <v>0</v>
      </c>
      <c r="R352" s="78">
        <f t="shared" si="46"/>
        <v>0</v>
      </c>
      <c r="S352" s="77">
        <f t="shared" si="47"/>
        <v>0</v>
      </c>
      <c r="T352" s="48"/>
    </row>
    <row r="353" spans="1:20" s="57" customFormat="1" ht="14">
      <c r="A353" s="45"/>
      <c r="B353" s="46"/>
      <c r="C353" s="47">
        <f t="shared" si="40"/>
        <v>0</v>
      </c>
      <c r="D353" s="48"/>
      <c r="E353" s="48"/>
      <c r="F353" s="48"/>
      <c r="G353" s="48"/>
      <c r="H353" s="49"/>
      <c r="I353" s="76" t="str">
        <f t="shared" si="41"/>
        <v/>
      </c>
      <c r="J353" s="50"/>
      <c r="K353" s="50"/>
      <c r="L353" s="50"/>
      <c r="M353" s="48"/>
      <c r="N353" s="49" t="str">
        <f t="shared" si="42"/>
        <v/>
      </c>
      <c r="O353" s="49" t="str">
        <f t="shared" si="43"/>
        <v/>
      </c>
      <c r="P353" s="77" t="str">
        <f t="shared" si="44"/>
        <v/>
      </c>
      <c r="Q353" s="78">
        <f t="shared" si="45"/>
        <v>0</v>
      </c>
      <c r="R353" s="78">
        <f t="shared" si="46"/>
        <v>0</v>
      </c>
      <c r="S353" s="77">
        <f t="shared" si="47"/>
        <v>0</v>
      </c>
      <c r="T353" s="48"/>
    </row>
    <row r="354" spans="1:20" s="57" customFormat="1" ht="14">
      <c r="A354" s="45"/>
      <c r="B354" s="46"/>
      <c r="C354" s="47">
        <f t="shared" si="40"/>
        <v>0</v>
      </c>
      <c r="D354" s="48"/>
      <c r="E354" s="48"/>
      <c r="F354" s="48"/>
      <c r="G354" s="48"/>
      <c r="H354" s="49"/>
      <c r="I354" s="76" t="str">
        <f t="shared" si="41"/>
        <v/>
      </c>
      <c r="J354" s="50"/>
      <c r="K354" s="50"/>
      <c r="L354" s="50"/>
      <c r="M354" s="48"/>
      <c r="N354" s="49" t="str">
        <f t="shared" si="42"/>
        <v/>
      </c>
      <c r="O354" s="49" t="str">
        <f t="shared" si="43"/>
        <v/>
      </c>
      <c r="P354" s="77" t="str">
        <f t="shared" si="44"/>
        <v/>
      </c>
      <c r="Q354" s="78">
        <f t="shared" si="45"/>
        <v>0</v>
      </c>
      <c r="R354" s="78">
        <f t="shared" si="46"/>
        <v>0</v>
      </c>
      <c r="S354" s="77">
        <f t="shared" si="47"/>
        <v>0</v>
      </c>
      <c r="T354" s="48"/>
    </row>
    <row r="355" spans="1:20" s="57" customFormat="1" ht="14">
      <c r="A355" s="45"/>
      <c r="B355" s="46"/>
      <c r="C355" s="47">
        <f t="shared" si="40"/>
        <v>0</v>
      </c>
      <c r="D355" s="48"/>
      <c r="E355" s="48"/>
      <c r="F355" s="48"/>
      <c r="G355" s="48"/>
      <c r="H355" s="49"/>
      <c r="I355" s="76" t="str">
        <f t="shared" si="41"/>
        <v/>
      </c>
      <c r="J355" s="50"/>
      <c r="K355" s="50"/>
      <c r="L355" s="50"/>
      <c r="M355" s="48"/>
      <c r="N355" s="49" t="str">
        <f t="shared" si="42"/>
        <v/>
      </c>
      <c r="O355" s="49" t="str">
        <f t="shared" si="43"/>
        <v/>
      </c>
      <c r="P355" s="77" t="str">
        <f t="shared" si="44"/>
        <v/>
      </c>
      <c r="Q355" s="78">
        <f t="shared" si="45"/>
        <v>0</v>
      </c>
      <c r="R355" s="78">
        <f t="shared" si="46"/>
        <v>0</v>
      </c>
      <c r="S355" s="77">
        <f t="shared" si="47"/>
        <v>0</v>
      </c>
      <c r="T355" s="48"/>
    </row>
    <row r="356" spans="1:20" s="57" customFormat="1" ht="14">
      <c r="A356" s="45"/>
      <c r="B356" s="46"/>
      <c r="C356" s="47">
        <f t="shared" si="40"/>
        <v>0</v>
      </c>
      <c r="D356" s="48"/>
      <c r="E356" s="48"/>
      <c r="F356" s="48"/>
      <c r="G356" s="48"/>
      <c r="H356" s="49"/>
      <c r="I356" s="76" t="str">
        <f t="shared" si="41"/>
        <v/>
      </c>
      <c r="J356" s="50"/>
      <c r="K356" s="50"/>
      <c r="L356" s="50"/>
      <c r="M356" s="48"/>
      <c r="N356" s="49" t="str">
        <f t="shared" si="42"/>
        <v/>
      </c>
      <c r="O356" s="49" t="str">
        <f t="shared" si="43"/>
        <v/>
      </c>
      <c r="P356" s="77" t="str">
        <f t="shared" si="44"/>
        <v/>
      </c>
      <c r="Q356" s="78">
        <f t="shared" si="45"/>
        <v>0</v>
      </c>
      <c r="R356" s="78">
        <f t="shared" si="46"/>
        <v>0</v>
      </c>
      <c r="S356" s="77">
        <f t="shared" si="47"/>
        <v>0</v>
      </c>
      <c r="T356" s="48"/>
    </row>
    <row r="357" spans="1:20" s="57" customFormat="1" ht="14">
      <c r="A357" s="45"/>
      <c r="B357" s="46"/>
      <c r="C357" s="47">
        <f t="shared" si="40"/>
        <v>0</v>
      </c>
      <c r="D357" s="48"/>
      <c r="E357" s="48"/>
      <c r="F357" s="48"/>
      <c r="G357" s="48"/>
      <c r="H357" s="49"/>
      <c r="I357" s="76" t="str">
        <f t="shared" si="41"/>
        <v/>
      </c>
      <c r="J357" s="50"/>
      <c r="K357" s="50"/>
      <c r="L357" s="50"/>
      <c r="M357" s="48"/>
      <c r="N357" s="49" t="str">
        <f t="shared" si="42"/>
        <v/>
      </c>
      <c r="O357" s="49" t="str">
        <f t="shared" si="43"/>
        <v/>
      </c>
      <c r="P357" s="77" t="str">
        <f t="shared" si="44"/>
        <v/>
      </c>
      <c r="Q357" s="78">
        <f t="shared" si="45"/>
        <v>0</v>
      </c>
      <c r="R357" s="78">
        <f t="shared" si="46"/>
        <v>0</v>
      </c>
      <c r="S357" s="77">
        <f t="shared" si="47"/>
        <v>0</v>
      </c>
      <c r="T357" s="48"/>
    </row>
    <row r="358" spans="1:20" s="57" customFormat="1" ht="14">
      <c r="A358" s="45"/>
      <c r="B358" s="46"/>
      <c r="C358" s="47">
        <f t="shared" si="40"/>
        <v>0</v>
      </c>
      <c r="D358" s="48"/>
      <c r="E358" s="48"/>
      <c r="F358" s="48"/>
      <c r="G358" s="48"/>
      <c r="H358" s="49"/>
      <c r="I358" s="76" t="str">
        <f t="shared" si="41"/>
        <v/>
      </c>
      <c r="J358" s="50"/>
      <c r="K358" s="50"/>
      <c r="L358" s="50"/>
      <c r="M358" s="48"/>
      <c r="N358" s="49" t="str">
        <f t="shared" si="42"/>
        <v/>
      </c>
      <c r="O358" s="49" t="str">
        <f t="shared" si="43"/>
        <v/>
      </c>
      <c r="P358" s="77" t="str">
        <f t="shared" si="44"/>
        <v/>
      </c>
      <c r="Q358" s="78">
        <f t="shared" si="45"/>
        <v>0</v>
      </c>
      <c r="R358" s="78">
        <f t="shared" si="46"/>
        <v>0</v>
      </c>
      <c r="S358" s="77">
        <f t="shared" si="47"/>
        <v>0</v>
      </c>
      <c r="T358" s="48"/>
    </row>
    <row r="359" spans="1:20" s="57" customFormat="1" ht="14">
      <c r="A359" s="45"/>
      <c r="B359" s="46"/>
      <c r="C359" s="47">
        <f t="shared" si="40"/>
        <v>0</v>
      </c>
      <c r="D359" s="48"/>
      <c r="E359" s="48"/>
      <c r="F359" s="48"/>
      <c r="G359" s="48"/>
      <c r="H359" s="49"/>
      <c r="I359" s="76" t="str">
        <f t="shared" si="41"/>
        <v/>
      </c>
      <c r="J359" s="50"/>
      <c r="K359" s="50"/>
      <c r="L359" s="50"/>
      <c r="M359" s="48"/>
      <c r="N359" s="49" t="str">
        <f t="shared" si="42"/>
        <v/>
      </c>
      <c r="O359" s="49" t="str">
        <f t="shared" si="43"/>
        <v/>
      </c>
      <c r="P359" s="77" t="str">
        <f t="shared" si="44"/>
        <v/>
      </c>
      <c r="Q359" s="78">
        <f t="shared" si="45"/>
        <v>0</v>
      </c>
      <c r="R359" s="78">
        <f t="shared" si="46"/>
        <v>0</v>
      </c>
      <c r="S359" s="77">
        <f t="shared" si="47"/>
        <v>0</v>
      </c>
      <c r="T359" s="48"/>
    </row>
    <row r="360" spans="1:20" s="57" customFormat="1" ht="14">
      <c r="A360" s="45"/>
      <c r="B360" s="46"/>
      <c r="C360" s="47">
        <f t="shared" si="40"/>
        <v>0</v>
      </c>
      <c r="D360" s="48"/>
      <c r="E360" s="48"/>
      <c r="F360" s="48"/>
      <c r="G360" s="48"/>
      <c r="H360" s="49"/>
      <c r="I360" s="76" t="str">
        <f t="shared" si="41"/>
        <v/>
      </c>
      <c r="J360" s="50"/>
      <c r="K360" s="50"/>
      <c r="L360" s="50"/>
      <c r="M360" s="48"/>
      <c r="N360" s="49" t="str">
        <f t="shared" si="42"/>
        <v/>
      </c>
      <c r="O360" s="49" t="str">
        <f t="shared" si="43"/>
        <v/>
      </c>
      <c r="P360" s="77" t="str">
        <f t="shared" si="44"/>
        <v/>
      </c>
      <c r="Q360" s="78">
        <f t="shared" si="45"/>
        <v>0</v>
      </c>
      <c r="R360" s="78">
        <f t="shared" si="46"/>
        <v>0</v>
      </c>
      <c r="S360" s="77">
        <f t="shared" si="47"/>
        <v>0</v>
      </c>
      <c r="T360" s="48"/>
    </row>
    <row r="361" spans="1:20" s="57" customFormat="1" ht="14">
      <c r="A361" s="45"/>
      <c r="B361" s="46"/>
      <c r="C361" s="47">
        <f t="shared" si="40"/>
        <v>0</v>
      </c>
      <c r="D361" s="48"/>
      <c r="E361" s="48"/>
      <c r="F361" s="48"/>
      <c r="G361" s="48"/>
      <c r="H361" s="49"/>
      <c r="I361" s="76" t="str">
        <f t="shared" si="41"/>
        <v/>
      </c>
      <c r="J361" s="50"/>
      <c r="K361" s="50"/>
      <c r="L361" s="50"/>
      <c r="M361" s="48"/>
      <c r="N361" s="49" t="str">
        <f t="shared" si="42"/>
        <v/>
      </c>
      <c r="O361" s="49" t="str">
        <f t="shared" si="43"/>
        <v/>
      </c>
      <c r="P361" s="77" t="str">
        <f t="shared" si="44"/>
        <v/>
      </c>
      <c r="Q361" s="78">
        <f t="shared" si="45"/>
        <v>0</v>
      </c>
      <c r="R361" s="78">
        <f t="shared" si="46"/>
        <v>0</v>
      </c>
      <c r="S361" s="77">
        <f t="shared" si="47"/>
        <v>0</v>
      </c>
      <c r="T361" s="48"/>
    </row>
    <row r="362" spans="1:20" s="57" customFormat="1" ht="14">
      <c r="A362" s="45"/>
      <c r="B362" s="46"/>
      <c r="C362" s="47">
        <f t="shared" si="40"/>
        <v>0</v>
      </c>
      <c r="D362" s="48"/>
      <c r="E362" s="48"/>
      <c r="F362" s="48"/>
      <c r="G362" s="48"/>
      <c r="H362" s="49"/>
      <c r="I362" s="76" t="str">
        <f t="shared" si="41"/>
        <v/>
      </c>
      <c r="J362" s="50"/>
      <c r="K362" s="50"/>
      <c r="L362" s="50"/>
      <c r="M362" s="48"/>
      <c r="N362" s="49" t="str">
        <f t="shared" si="42"/>
        <v/>
      </c>
      <c r="O362" s="49" t="str">
        <f t="shared" si="43"/>
        <v/>
      </c>
      <c r="P362" s="77" t="str">
        <f t="shared" si="44"/>
        <v/>
      </c>
      <c r="Q362" s="78">
        <f t="shared" si="45"/>
        <v>0</v>
      </c>
      <c r="R362" s="78">
        <f t="shared" si="46"/>
        <v>0</v>
      </c>
      <c r="S362" s="77">
        <f t="shared" si="47"/>
        <v>0</v>
      </c>
      <c r="T362" s="48"/>
    </row>
    <row r="363" spans="1:20" s="57" customFormat="1" ht="14">
      <c r="A363" s="45"/>
      <c r="B363" s="46"/>
      <c r="C363" s="47">
        <f t="shared" si="40"/>
        <v>0</v>
      </c>
      <c r="D363" s="48"/>
      <c r="E363" s="48"/>
      <c r="F363" s="48"/>
      <c r="G363" s="48"/>
      <c r="H363" s="49"/>
      <c r="I363" s="76" t="str">
        <f t="shared" si="41"/>
        <v/>
      </c>
      <c r="J363" s="50"/>
      <c r="K363" s="50"/>
      <c r="L363" s="50"/>
      <c r="M363" s="48"/>
      <c r="N363" s="49" t="str">
        <f t="shared" si="42"/>
        <v/>
      </c>
      <c r="O363" s="49" t="str">
        <f t="shared" si="43"/>
        <v/>
      </c>
      <c r="P363" s="77" t="str">
        <f t="shared" si="44"/>
        <v/>
      </c>
      <c r="Q363" s="78">
        <f t="shared" si="45"/>
        <v>0</v>
      </c>
      <c r="R363" s="78">
        <f t="shared" si="46"/>
        <v>0</v>
      </c>
      <c r="S363" s="77">
        <f t="shared" si="47"/>
        <v>0</v>
      </c>
      <c r="T363" s="48"/>
    </row>
    <row r="364" spans="1:20" s="57" customFormat="1" ht="14">
      <c r="A364" s="45"/>
      <c r="B364" s="46"/>
      <c r="C364" s="47">
        <f t="shared" si="40"/>
        <v>0</v>
      </c>
      <c r="D364" s="48"/>
      <c r="E364" s="48"/>
      <c r="F364" s="48"/>
      <c r="G364" s="48"/>
      <c r="H364" s="49"/>
      <c r="I364" s="76" t="str">
        <f t="shared" si="41"/>
        <v/>
      </c>
      <c r="J364" s="50"/>
      <c r="K364" s="50"/>
      <c r="L364" s="50"/>
      <c r="M364" s="48"/>
      <c r="N364" s="49" t="str">
        <f t="shared" si="42"/>
        <v/>
      </c>
      <c r="O364" s="49" t="str">
        <f t="shared" si="43"/>
        <v/>
      </c>
      <c r="P364" s="77" t="str">
        <f t="shared" si="44"/>
        <v/>
      </c>
      <c r="Q364" s="78">
        <f t="shared" si="45"/>
        <v>0</v>
      </c>
      <c r="R364" s="78">
        <f t="shared" si="46"/>
        <v>0</v>
      </c>
      <c r="S364" s="77">
        <f t="shared" si="47"/>
        <v>0</v>
      </c>
      <c r="T364" s="48"/>
    </row>
    <row r="365" spans="1:20" s="57" customFormat="1" ht="14">
      <c r="A365" s="45"/>
      <c r="B365" s="46"/>
      <c r="C365" s="47">
        <f t="shared" si="40"/>
        <v>0</v>
      </c>
      <c r="D365" s="48"/>
      <c r="E365" s="48"/>
      <c r="F365" s="48"/>
      <c r="G365" s="48"/>
      <c r="H365" s="49"/>
      <c r="I365" s="76" t="str">
        <f t="shared" si="41"/>
        <v/>
      </c>
      <c r="J365" s="50"/>
      <c r="K365" s="50"/>
      <c r="L365" s="50"/>
      <c r="M365" s="48"/>
      <c r="N365" s="49" t="str">
        <f t="shared" si="42"/>
        <v/>
      </c>
      <c r="O365" s="49" t="str">
        <f t="shared" si="43"/>
        <v/>
      </c>
      <c r="P365" s="77" t="str">
        <f t="shared" si="44"/>
        <v/>
      </c>
      <c r="Q365" s="78">
        <f t="shared" si="45"/>
        <v>0</v>
      </c>
      <c r="R365" s="78">
        <f t="shared" si="46"/>
        <v>0</v>
      </c>
      <c r="S365" s="77">
        <f t="shared" si="47"/>
        <v>0</v>
      </c>
      <c r="T365" s="48"/>
    </row>
    <row r="366" spans="1:20" s="57" customFormat="1" ht="14">
      <c r="A366" s="45"/>
      <c r="B366" s="46"/>
      <c r="C366" s="47">
        <f t="shared" si="40"/>
        <v>0</v>
      </c>
      <c r="D366" s="48"/>
      <c r="E366" s="48"/>
      <c r="F366" s="48"/>
      <c r="G366" s="48"/>
      <c r="H366" s="49"/>
      <c r="I366" s="76" t="str">
        <f t="shared" si="41"/>
        <v/>
      </c>
      <c r="J366" s="50"/>
      <c r="K366" s="50"/>
      <c r="L366" s="50"/>
      <c r="M366" s="48"/>
      <c r="N366" s="49" t="str">
        <f t="shared" si="42"/>
        <v/>
      </c>
      <c r="O366" s="49" t="str">
        <f t="shared" si="43"/>
        <v/>
      </c>
      <c r="P366" s="77" t="str">
        <f t="shared" si="44"/>
        <v/>
      </c>
      <c r="Q366" s="78">
        <f t="shared" si="45"/>
        <v>0</v>
      </c>
      <c r="R366" s="78">
        <f t="shared" si="46"/>
        <v>0</v>
      </c>
      <c r="S366" s="77">
        <f t="shared" si="47"/>
        <v>0</v>
      </c>
      <c r="T366" s="48"/>
    </row>
    <row r="367" spans="1:20" s="57" customFormat="1" ht="14">
      <c r="A367" s="45"/>
      <c r="B367" s="46"/>
      <c r="C367" s="47">
        <f t="shared" si="40"/>
        <v>0</v>
      </c>
      <c r="D367" s="48"/>
      <c r="E367" s="48"/>
      <c r="F367" s="48"/>
      <c r="G367" s="48"/>
      <c r="H367" s="49"/>
      <c r="I367" s="76" t="str">
        <f t="shared" si="41"/>
        <v/>
      </c>
      <c r="J367" s="50"/>
      <c r="K367" s="50"/>
      <c r="L367" s="50"/>
      <c r="M367" s="48"/>
      <c r="N367" s="49" t="str">
        <f t="shared" si="42"/>
        <v/>
      </c>
      <c r="O367" s="49" t="str">
        <f t="shared" si="43"/>
        <v/>
      </c>
      <c r="P367" s="77" t="str">
        <f t="shared" si="44"/>
        <v/>
      </c>
      <c r="Q367" s="78">
        <f t="shared" si="45"/>
        <v>0</v>
      </c>
      <c r="R367" s="78">
        <f t="shared" si="46"/>
        <v>0</v>
      </c>
      <c r="S367" s="77">
        <f t="shared" si="47"/>
        <v>0</v>
      </c>
      <c r="T367" s="48"/>
    </row>
    <row r="368" spans="1:20" s="57" customFormat="1" ht="14">
      <c r="A368" s="45"/>
      <c r="B368" s="46"/>
      <c r="C368" s="47">
        <f t="shared" si="40"/>
        <v>0</v>
      </c>
      <c r="D368" s="48"/>
      <c r="E368" s="48"/>
      <c r="F368" s="48"/>
      <c r="G368" s="48"/>
      <c r="H368" s="49"/>
      <c r="I368" s="76" t="str">
        <f t="shared" si="41"/>
        <v/>
      </c>
      <c r="J368" s="50"/>
      <c r="K368" s="50"/>
      <c r="L368" s="50"/>
      <c r="M368" s="48"/>
      <c r="N368" s="49" t="str">
        <f t="shared" si="42"/>
        <v/>
      </c>
      <c r="O368" s="49" t="str">
        <f t="shared" si="43"/>
        <v/>
      </c>
      <c r="P368" s="77" t="str">
        <f t="shared" si="44"/>
        <v/>
      </c>
      <c r="Q368" s="78">
        <f t="shared" si="45"/>
        <v>0</v>
      </c>
      <c r="R368" s="78">
        <f t="shared" si="46"/>
        <v>0</v>
      </c>
      <c r="S368" s="77">
        <f t="shared" si="47"/>
        <v>0</v>
      </c>
      <c r="T368" s="48"/>
    </row>
    <row r="369" spans="1:20" s="57" customFormat="1" ht="14">
      <c r="A369" s="45"/>
      <c r="B369" s="46"/>
      <c r="C369" s="47">
        <f t="shared" si="40"/>
        <v>0</v>
      </c>
      <c r="D369" s="48"/>
      <c r="E369" s="48"/>
      <c r="F369" s="48"/>
      <c r="G369" s="48"/>
      <c r="H369" s="49"/>
      <c r="I369" s="76" t="str">
        <f t="shared" si="41"/>
        <v/>
      </c>
      <c r="J369" s="50"/>
      <c r="K369" s="50"/>
      <c r="L369" s="50"/>
      <c r="M369" s="48"/>
      <c r="N369" s="49" t="str">
        <f t="shared" si="42"/>
        <v/>
      </c>
      <c r="O369" s="49" t="str">
        <f t="shared" si="43"/>
        <v/>
      </c>
      <c r="P369" s="77" t="str">
        <f t="shared" si="44"/>
        <v/>
      </c>
      <c r="Q369" s="78">
        <f t="shared" si="45"/>
        <v>0</v>
      </c>
      <c r="R369" s="78">
        <f t="shared" si="46"/>
        <v>0</v>
      </c>
      <c r="S369" s="77">
        <f t="shared" si="47"/>
        <v>0</v>
      </c>
      <c r="T369" s="48"/>
    </row>
    <row r="370" spans="1:20" s="57" customFormat="1" ht="14">
      <c r="A370" s="45"/>
      <c r="B370" s="46"/>
      <c r="C370" s="47">
        <f t="shared" si="40"/>
        <v>0</v>
      </c>
      <c r="D370" s="48"/>
      <c r="E370" s="48"/>
      <c r="F370" s="48"/>
      <c r="G370" s="48"/>
      <c r="H370" s="49"/>
      <c r="I370" s="76" t="str">
        <f t="shared" si="41"/>
        <v/>
      </c>
      <c r="J370" s="50"/>
      <c r="K370" s="50"/>
      <c r="L370" s="50"/>
      <c r="M370" s="48"/>
      <c r="N370" s="49" t="str">
        <f t="shared" si="42"/>
        <v/>
      </c>
      <c r="O370" s="49" t="str">
        <f t="shared" si="43"/>
        <v/>
      </c>
      <c r="P370" s="77" t="str">
        <f t="shared" si="44"/>
        <v/>
      </c>
      <c r="Q370" s="78">
        <f t="shared" si="45"/>
        <v>0</v>
      </c>
      <c r="R370" s="78">
        <f t="shared" si="46"/>
        <v>0</v>
      </c>
      <c r="S370" s="77">
        <f t="shared" si="47"/>
        <v>0</v>
      </c>
      <c r="T370" s="48"/>
    </row>
    <row r="371" spans="1:20" s="57" customFormat="1" ht="14">
      <c r="A371" s="45"/>
      <c r="B371" s="46"/>
      <c r="C371" s="47">
        <f t="shared" si="40"/>
        <v>0</v>
      </c>
      <c r="D371" s="48"/>
      <c r="E371" s="48"/>
      <c r="F371" s="48"/>
      <c r="G371" s="48"/>
      <c r="H371" s="49"/>
      <c r="I371" s="76" t="str">
        <f t="shared" si="41"/>
        <v/>
      </c>
      <c r="J371" s="50"/>
      <c r="K371" s="50"/>
      <c r="L371" s="50"/>
      <c r="M371" s="48"/>
      <c r="N371" s="49" t="str">
        <f t="shared" si="42"/>
        <v/>
      </c>
      <c r="O371" s="49" t="str">
        <f t="shared" si="43"/>
        <v/>
      </c>
      <c r="P371" s="77" t="str">
        <f t="shared" si="44"/>
        <v/>
      </c>
      <c r="Q371" s="78">
        <f t="shared" si="45"/>
        <v>0</v>
      </c>
      <c r="R371" s="78">
        <f t="shared" si="46"/>
        <v>0</v>
      </c>
      <c r="S371" s="77">
        <f t="shared" si="47"/>
        <v>0</v>
      </c>
      <c r="T371" s="48"/>
    </row>
    <row r="372" spans="1:20" s="57" customFormat="1" ht="14">
      <c r="A372" s="45"/>
      <c r="B372" s="46"/>
      <c r="C372" s="47">
        <f t="shared" si="40"/>
        <v>0</v>
      </c>
      <c r="D372" s="48"/>
      <c r="E372" s="48"/>
      <c r="F372" s="48"/>
      <c r="G372" s="48"/>
      <c r="H372" s="49"/>
      <c r="I372" s="76" t="str">
        <f t="shared" si="41"/>
        <v/>
      </c>
      <c r="J372" s="50"/>
      <c r="K372" s="50"/>
      <c r="L372" s="50"/>
      <c r="M372" s="48"/>
      <c r="N372" s="49" t="str">
        <f t="shared" si="42"/>
        <v/>
      </c>
      <c r="O372" s="49" t="str">
        <f t="shared" si="43"/>
        <v/>
      </c>
      <c r="P372" s="77" t="str">
        <f t="shared" si="44"/>
        <v/>
      </c>
      <c r="Q372" s="78">
        <f t="shared" si="45"/>
        <v>0</v>
      </c>
      <c r="R372" s="78">
        <f t="shared" si="46"/>
        <v>0</v>
      </c>
      <c r="S372" s="77">
        <f t="shared" si="47"/>
        <v>0</v>
      </c>
      <c r="T372" s="48"/>
    </row>
    <row r="373" spans="1:20" s="57" customFormat="1" ht="14">
      <c r="A373" s="45"/>
      <c r="B373" s="46"/>
      <c r="C373" s="47">
        <f t="shared" si="40"/>
        <v>0</v>
      </c>
      <c r="D373" s="48"/>
      <c r="E373" s="48"/>
      <c r="F373" s="48"/>
      <c r="G373" s="48"/>
      <c r="H373" s="49"/>
      <c r="I373" s="76" t="str">
        <f t="shared" si="41"/>
        <v/>
      </c>
      <c r="J373" s="50"/>
      <c r="K373" s="50"/>
      <c r="L373" s="50"/>
      <c r="M373" s="48"/>
      <c r="N373" s="49" t="str">
        <f t="shared" si="42"/>
        <v/>
      </c>
      <c r="O373" s="49" t="str">
        <f t="shared" si="43"/>
        <v/>
      </c>
      <c r="P373" s="77" t="str">
        <f t="shared" si="44"/>
        <v/>
      </c>
      <c r="Q373" s="78">
        <f t="shared" si="45"/>
        <v>0</v>
      </c>
      <c r="R373" s="78">
        <f t="shared" si="46"/>
        <v>0</v>
      </c>
      <c r="S373" s="77">
        <f t="shared" si="47"/>
        <v>0</v>
      </c>
      <c r="T373" s="48"/>
    </row>
    <row r="374" spans="1:20" s="57" customFormat="1" ht="14">
      <c r="A374" s="45"/>
      <c r="B374" s="46"/>
      <c r="C374" s="47">
        <f t="shared" si="40"/>
        <v>0</v>
      </c>
      <c r="D374" s="48"/>
      <c r="E374" s="48"/>
      <c r="F374" s="48"/>
      <c r="G374" s="48"/>
      <c r="H374" s="49"/>
      <c r="I374" s="76" t="str">
        <f t="shared" si="41"/>
        <v/>
      </c>
      <c r="J374" s="50"/>
      <c r="K374" s="50"/>
      <c r="L374" s="50"/>
      <c r="M374" s="48"/>
      <c r="N374" s="49" t="str">
        <f t="shared" si="42"/>
        <v/>
      </c>
      <c r="O374" s="49" t="str">
        <f t="shared" si="43"/>
        <v/>
      </c>
      <c r="P374" s="77" t="str">
        <f t="shared" si="44"/>
        <v/>
      </c>
      <c r="Q374" s="78">
        <f t="shared" si="45"/>
        <v>0</v>
      </c>
      <c r="R374" s="78">
        <f t="shared" si="46"/>
        <v>0</v>
      </c>
      <c r="S374" s="77">
        <f t="shared" si="47"/>
        <v>0</v>
      </c>
      <c r="T374" s="48"/>
    </row>
    <row r="375" spans="1:20" s="57" customFormat="1" ht="14">
      <c r="A375" s="45"/>
      <c r="B375" s="46"/>
      <c r="C375" s="47">
        <f t="shared" si="40"/>
        <v>0</v>
      </c>
      <c r="D375" s="48"/>
      <c r="E375" s="48"/>
      <c r="F375" s="48"/>
      <c r="G375" s="48"/>
      <c r="H375" s="49"/>
      <c r="I375" s="76" t="str">
        <f t="shared" si="41"/>
        <v/>
      </c>
      <c r="J375" s="50"/>
      <c r="K375" s="50"/>
      <c r="L375" s="50"/>
      <c r="M375" s="48"/>
      <c r="N375" s="49" t="str">
        <f t="shared" si="42"/>
        <v/>
      </c>
      <c r="O375" s="49" t="str">
        <f t="shared" si="43"/>
        <v/>
      </c>
      <c r="P375" s="77" t="str">
        <f t="shared" si="44"/>
        <v/>
      </c>
      <c r="Q375" s="78">
        <f t="shared" si="45"/>
        <v>0</v>
      </c>
      <c r="R375" s="78">
        <f t="shared" si="46"/>
        <v>0</v>
      </c>
      <c r="S375" s="77">
        <f t="shared" si="47"/>
        <v>0</v>
      </c>
      <c r="T375" s="48"/>
    </row>
    <row r="376" spans="1:20" s="57" customFormat="1" ht="14">
      <c r="A376" s="45"/>
      <c r="B376" s="46"/>
      <c r="C376" s="47">
        <f t="shared" si="40"/>
        <v>0</v>
      </c>
      <c r="D376" s="48"/>
      <c r="E376" s="48"/>
      <c r="F376" s="48"/>
      <c r="G376" s="48"/>
      <c r="H376" s="49"/>
      <c r="I376" s="76" t="str">
        <f t="shared" si="41"/>
        <v/>
      </c>
      <c r="J376" s="50"/>
      <c r="K376" s="50"/>
      <c r="L376" s="50"/>
      <c r="M376" s="48"/>
      <c r="N376" s="49" t="str">
        <f t="shared" si="42"/>
        <v/>
      </c>
      <c r="O376" s="49" t="str">
        <f t="shared" si="43"/>
        <v/>
      </c>
      <c r="P376" s="77" t="str">
        <f t="shared" si="44"/>
        <v/>
      </c>
      <c r="Q376" s="78">
        <f t="shared" si="45"/>
        <v>0</v>
      </c>
      <c r="R376" s="78">
        <f t="shared" si="46"/>
        <v>0</v>
      </c>
      <c r="S376" s="77">
        <f t="shared" si="47"/>
        <v>0</v>
      </c>
      <c r="T376" s="48"/>
    </row>
    <row r="377" spans="1:20" s="57" customFormat="1" ht="14">
      <c r="A377" s="45"/>
      <c r="B377" s="46"/>
      <c r="C377" s="47">
        <f t="shared" si="40"/>
        <v>0</v>
      </c>
      <c r="D377" s="48"/>
      <c r="E377" s="48"/>
      <c r="F377" s="48"/>
      <c r="G377" s="48"/>
      <c r="H377" s="49"/>
      <c r="I377" s="76" t="str">
        <f t="shared" si="41"/>
        <v/>
      </c>
      <c r="J377" s="50"/>
      <c r="K377" s="50"/>
      <c r="L377" s="50"/>
      <c r="M377" s="48"/>
      <c r="N377" s="49" t="str">
        <f t="shared" si="42"/>
        <v/>
      </c>
      <c r="O377" s="49" t="str">
        <f t="shared" si="43"/>
        <v/>
      </c>
      <c r="P377" s="77" t="str">
        <f t="shared" si="44"/>
        <v/>
      </c>
      <c r="Q377" s="78">
        <f t="shared" si="45"/>
        <v>0</v>
      </c>
      <c r="R377" s="78">
        <f t="shared" si="46"/>
        <v>0</v>
      </c>
      <c r="S377" s="77">
        <f t="shared" si="47"/>
        <v>0</v>
      </c>
      <c r="T377" s="48"/>
    </row>
    <row r="378" spans="1:20" s="57" customFormat="1" ht="14">
      <c r="A378" s="45"/>
      <c r="B378" s="46"/>
      <c r="C378" s="47">
        <f t="shared" si="40"/>
        <v>0</v>
      </c>
      <c r="D378" s="48"/>
      <c r="E378" s="48"/>
      <c r="F378" s="48"/>
      <c r="G378" s="48"/>
      <c r="H378" s="49"/>
      <c r="I378" s="76" t="str">
        <f t="shared" si="41"/>
        <v/>
      </c>
      <c r="J378" s="50"/>
      <c r="K378" s="50"/>
      <c r="L378" s="50"/>
      <c r="M378" s="48"/>
      <c r="N378" s="49" t="str">
        <f t="shared" si="42"/>
        <v/>
      </c>
      <c r="O378" s="49" t="str">
        <f t="shared" si="43"/>
        <v/>
      </c>
      <c r="P378" s="77" t="str">
        <f t="shared" si="44"/>
        <v/>
      </c>
      <c r="Q378" s="78">
        <f t="shared" si="45"/>
        <v>0</v>
      </c>
      <c r="R378" s="78">
        <f t="shared" si="46"/>
        <v>0</v>
      </c>
      <c r="S378" s="77">
        <f t="shared" si="47"/>
        <v>0</v>
      </c>
      <c r="T378" s="48"/>
    </row>
    <row r="379" spans="1:20" s="57" customFormat="1" ht="14">
      <c r="A379" s="45"/>
      <c r="B379" s="46"/>
      <c r="C379" s="47">
        <f t="shared" si="40"/>
        <v>0</v>
      </c>
      <c r="D379" s="48"/>
      <c r="E379" s="48"/>
      <c r="F379" s="48"/>
      <c r="G379" s="48"/>
      <c r="H379" s="49"/>
      <c r="I379" s="76" t="str">
        <f t="shared" si="41"/>
        <v/>
      </c>
      <c r="J379" s="50"/>
      <c r="K379" s="50"/>
      <c r="L379" s="50"/>
      <c r="M379" s="48"/>
      <c r="N379" s="49" t="str">
        <f t="shared" si="42"/>
        <v/>
      </c>
      <c r="O379" s="49" t="str">
        <f t="shared" si="43"/>
        <v/>
      </c>
      <c r="P379" s="77" t="str">
        <f t="shared" si="44"/>
        <v/>
      </c>
      <c r="Q379" s="78">
        <f t="shared" si="45"/>
        <v>0</v>
      </c>
      <c r="R379" s="78">
        <f t="shared" si="46"/>
        <v>0</v>
      </c>
      <c r="S379" s="77">
        <f t="shared" si="47"/>
        <v>0</v>
      </c>
      <c r="T379" s="48"/>
    </row>
    <row r="380" spans="1:20" s="57" customFormat="1" ht="14">
      <c r="A380" s="45"/>
      <c r="B380" s="46"/>
      <c r="C380" s="47">
        <f t="shared" si="40"/>
        <v>0</v>
      </c>
      <c r="D380" s="48"/>
      <c r="E380" s="48"/>
      <c r="F380" s="48"/>
      <c r="G380" s="48"/>
      <c r="H380" s="49"/>
      <c r="I380" s="76" t="str">
        <f t="shared" si="41"/>
        <v/>
      </c>
      <c r="J380" s="50"/>
      <c r="K380" s="50"/>
      <c r="L380" s="50"/>
      <c r="M380" s="48"/>
      <c r="N380" s="49" t="str">
        <f t="shared" si="42"/>
        <v/>
      </c>
      <c r="O380" s="49" t="str">
        <f t="shared" si="43"/>
        <v/>
      </c>
      <c r="P380" s="77" t="str">
        <f t="shared" si="44"/>
        <v/>
      </c>
      <c r="Q380" s="78">
        <f t="shared" si="45"/>
        <v>0</v>
      </c>
      <c r="R380" s="78">
        <f t="shared" si="46"/>
        <v>0</v>
      </c>
      <c r="S380" s="77">
        <f t="shared" si="47"/>
        <v>0</v>
      </c>
      <c r="T380" s="48"/>
    </row>
    <row r="381" spans="1:20" s="57" customFormat="1" ht="14">
      <c r="A381" s="45"/>
      <c r="B381" s="46"/>
      <c r="C381" s="47">
        <f t="shared" si="40"/>
        <v>0</v>
      </c>
      <c r="D381" s="48"/>
      <c r="E381" s="48"/>
      <c r="F381" s="48"/>
      <c r="G381" s="48"/>
      <c r="H381" s="49"/>
      <c r="I381" s="76" t="str">
        <f t="shared" si="41"/>
        <v/>
      </c>
      <c r="J381" s="50"/>
      <c r="K381" s="50"/>
      <c r="L381" s="50"/>
      <c r="M381" s="48"/>
      <c r="N381" s="49" t="str">
        <f t="shared" si="42"/>
        <v/>
      </c>
      <c r="O381" s="49" t="str">
        <f t="shared" si="43"/>
        <v/>
      </c>
      <c r="P381" s="77" t="str">
        <f t="shared" si="44"/>
        <v/>
      </c>
      <c r="Q381" s="78">
        <f t="shared" si="45"/>
        <v>0</v>
      </c>
      <c r="R381" s="78">
        <f t="shared" si="46"/>
        <v>0</v>
      </c>
      <c r="S381" s="77">
        <f t="shared" si="47"/>
        <v>0</v>
      </c>
      <c r="T381" s="48"/>
    </row>
    <row r="382" spans="1:20" s="57" customFormat="1" ht="14">
      <c r="A382" s="45"/>
      <c r="B382" s="46"/>
      <c r="C382" s="47">
        <f t="shared" si="40"/>
        <v>0</v>
      </c>
      <c r="D382" s="48"/>
      <c r="E382" s="48"/>
      <c r="F382" s="48"/>
      <c r="G382" s="48"/>
      <c r="H382" s="49"/>
      <c r="I382" s="76" t="str">
        <f t="shared" si="41"/>
        <v/>
      </c>
      <c r="J382" s="50"/>
      <c r="K382" s="50"/>
      <c r="L382" s="50"/>
      <c r="M382" s="48"/>
      <c r="N382" s="49" t="str">
        <f t="shared" si="42"/>
        <v/>
      </c>
      <c r="O382" s="49" t="str">
        <f t="shared" si="43"/>
        <v/>
      </c>
      <c r="P382" s="77" t="str">
        <f t="shared" si="44"/>
        <v/>
      </c>
      <c r="Q382" s="78">
        <f t="shared" si="45"/>
        <v>0</v>
      </c>
      <c r="R382" s="78">
        <f t="shared" si="46"/>
        <v>0</v>
      </c>
      <c r="S382" s="77">
        <f t="shared" si="47"/>
        <v>0</v>
      </c>
      <c r="T382" s="48"/>
    </row>
    <row r="383" spans="1:20" s="57" customFormat="1" ht="14">
      <c r="A383" s="45"/>
      <c r="B383" s="46"/>
      <c r="C383" s="47">
        <f t="shared" si="40"/>
        <v>0</v>
      </c>
      <c r="D383" s="48"/>
      <c r="E383" s="48"/>
      <c r="F383" s="48"/>
      <c r="G383" s="48"/>
      <c r="H383" s="49"/>
      <c r="I383" s="76" t="str">
        <f t="shared" si="41"/>
        <v/>
      </c>
      <c r="J383" s="50"/>
      <c r="K383" s="50"/>
      <c r="L383" s="50"/>
      <c r="M383" s="48"/>
      <c r="N383" s="49" t="str">
        <f t="shared" si="42"/>
        <v/>
      </c>
      <c r="O383" s="49" t="str">
        <f t="shared" si="43"/>
        <v/>
      </c>
      <c r="P383" s="77" t="str">
        <f t="shared" si="44"/>
        <v/>
      </c>
      <c r="Q383" s="78">
        <f t="shared" si="45"/>
        <v>0</v>
      </c>
      <c r="R383" s="78">
        <f t="shared" si="46"/>
        <v>0</v>
      </c>
      <c r="S383" s="77">
        <f t="shared" si="47"/>
        <v>0</v>
      </c>
      <c r="T383" s="48"/>
    </row>
    <row r="384" spans="1:20" s="57" customFormat="1" ht="14">
      <c r="A384" s="234" t="s">
        <v>67</v>
      </c>
      <c r="B384" s="234"/>
      <c r="C384" s="234"/>
      <c r="D384" s="234"/>
      <c r="E384" s="234"/>
      <c r="F384" s="234"/>
      <c r="G384" s="234"/>
      <c r="H384" s="234"/>
      <c r="I384" s="234"/>
      <c r="J384" s="234"/>
      <c r="K384" s="234"/>
      <c r="L384" s="234"/>
      <c r="M384" s="234"/>
      <c r="N384" s="234"/>
      <c r="O384" s="234"/>
      <c r="P384" s="234"/>
      <c r="Q384" s="234"/>
      <c r="R384" s="234"/>
      <c r="S384" s="234"/>
      <c r="T384" s="234"/>
    </row>
    <row r="385" spans="1:20" ht="26">
      <c r="A385" s="67"/>
      <c r="B385" s="68"/>
      <c r="C385" s="68"/>
      <c r="D385" s="69"/>
      <c r="E385" s="69"/>
      <c r="F385" s="69"/>
      <c r="G385" s="69"/>
      <c r="I385" s="67"/>
      <c r="J385" s="67"/>
      <c r="K385" s="67"/>
      <c r="L385" s="67"/>
      <c r="M385" s="67"/>
      <c r="N385" s="68"/>
      <c r="O385" s="68"/>
      <c r="P385" s="71" t="s">
        <v>68</v>
      </c>
      <c r="Q385" s="68"/>
      <c r="R385" s="49">
        <f>IF(AND(M385="ALI",O385="Simples"),7, IF(AND(M385="ALI",O385="Médio"),10, IF(AND(M385="ALI",O385="Complexo"),15, IF(AND(M385="AIE",O385="Simples"),5, IF(AND(M385="AIE",O385="Médio"),7, IF(AND(M385="AIE",O385="Complexo"),10,0))))))</f>
        <v>0</v>
      </c>
      <c r="S385" s="72">
        <f>SUM(S10:S384)</f>
        <v>0</v>
      </c>
      <c r="T385" s="73"/>
    </row>
  </sheetData>
  <mergeCells count="24">
    <mergeCell ref="A10:T10"/>
    <mergeCell ref="A384:T384"/>
    <mergeCell ref="A7:T7"/>
    <mergeCell ref="A8:A9"/>
    <mergeCell ref="B8:B9"/>
    <mergeCell ref="C8:C9"/>
    <mergeCell ref="D8:D9"/>
    <mergeCell ref="E8:E9"/>
    <mergeCell ref="F8:F9"/>
    <mergeCell ref="G8:G9"/>
    <mergeCell ref="H8:H9"/>
    <mergeCell ref="J8:S8"/>
    <mergeCell ref="T8:T9"/>
    <mergeCell ref="A5:C6"/>
    <mergeCell ref="D5:E6"/>
    <mergeCell ref="K5:M5"/>
    <mergeCell ref="P5:T5"/>
    <mergeCell ref="K6:M6"/>
    <mergeCell ref="P6:T6"/>
    <mergeCell ref="C1:T1"/>
    <mergeCell ref="K3:M3"/>
    <mergeCell ref="P3:T3"/>
    <mergeCell ref="K4:M4"/>
    <mergeCell ref="P4:T4"/>
  </mergeCells>
  <conditionalFormatting sqref="K11:P383">
    <cfRule type="expression" dxfId="9" priority="2">
      <formula>$I11&lt;&gt;"%"</formula>
    </cfRule>
  </conditionalFormatting>
  <conditionalFormatting sqref="J11:J383">
    <cfRule type="expression" dxfId="8"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zoomScale="85" zoomScaleNormal="85" workbookViewId="0">
      <selection activeCell="H3" sqref="H3:J3"/>
    </sheetView>
  </sheetViews>
  <sheetFormatPr defaultRowHeight="12.5"/>
  <cols>
    <col min="1" max="1" width="5.54296875" style="15" customWidth="1"/>
    <col min="2" max="2" width="38.36328125" style="16" customWidth="1"/>
    <col min="3" max="3" width="8.90625" style="16" customWidth="1"/>
    <col min="4" max="4" width="7.6328125" style="17" customWidth="1"/>
    <col min="5" max="5" width="18.08984375" style="17" customWidth="1"/>
    <col min="6" max="6" width="24.453125" style="17" customWidth="1"/>
    <col min="7" max="7" width="44" style="18" customWidth="1"/>
    <col min="8" max="8" width="12.36328125" style="15" customWidth="1"/>
    <col min="9" max="9" width="8.36328125" style="16" customWidth="1"/>
    <col min="10" max="10" width="21.36328125" style="16" customWidth="1"/>
    <col min="11" max="16" width="9.08984375" style="16" customWidth="1"/>
    <col min="17" max="1025" width="8.90625" style="16" customWidth="1"/>
  </cols>
  <sheetData>
    <row r="1" spans="1:18" ht="69" customHeight="1">
      <c r="A1" s="2" t="str">
        <f>Resumo!A1</f>
        <v>Template V.2.0</v>
      </c>
      <c r="B1" s="20"/>
      <c r="C1" s="218" t="s">
        <v>79</v>
      </c>
      <c r="D1" s="218"/>
      <c r="E1" s="218"/>
      <c r="F1" s="218"/>
      <c r="G1" s="218"/>
      <c r="H1" s="218"/>
      <c r="I1" s="218"/>
      <c r="J1" s="218"/>
      <c r="K1" s="80"/>
      <c r="L1" s="80"/>
      <c r="M1" s="80"/>
      <c r="N1" s="80"/>
      <c r="O1" s="80"/>
      <c r="P1" s="80"/>
      <c r="Q1" s="80"/>
      <c r="R1" s="81"/>
    </row>
    <row r="2" spans="1:18" ht="9" customHeight="1">
      <c r="A2" s="237"/>
      <c r="B2" s="237"/>
      <c r="C2" s="33"/>
      <c r="D2" s="33"/>
      <c r="E2" s="33"/>
      <c r="F2" s="33"/>
      <c r="G2" s="33"/>
      <c r="H2" s="33"/>
      <c r="I2" s="33"/>
      <c r="J2" s="33"/>
    </row>
    <row r="3" spans="1:18" s="16" customFormat="1" ht="18.649999999999999" customHeight="1">
      <c r="B3" s="23"/>
      <c r="C3" s="23"/>
      <c r="D3" s="23"/>
      <c r="E3" s="23"/>
      <c r="F3" s="23"/>
      <c r="G3" s="28" t="s">
        <v>8</v>
      </c>
      <c r="H3" s="220"/>
      <c r="I3" s="220"/>
      <c r="J3" s="220"/>
    </row>
    <row r="4" spans="1:18" s="16" customFormat="1" ht="18.649999999999999" customHeight="1">
      <c r="B4" s="23"/>
      <c r="C4" s="23"/>
      <c r="D4" s="23"/>
      <c r="E4" s="23"/>
      <c r="F4" s="23"/>
      <c r="G4" s="28" t="s">
        <v>9</v>
      </c>
      <c r="H4" s="224"/>
      <c r="I4" s="224"/>
      <c r="J4" s="224"/>
    </row>
    <row r="5" spans="1:18" ht="18.649999999999999" customHeight="1">
      <c r="A5" s="238" t="s">
        <v>70</v>
      </c>
      <c r="B5" s="238"/>
      <c r="C5" s="233" t="str">
        <f>TEXT(I384,"#.##0,0#")</f>
        <v>0,0</v>
      </c>
      <c r="D5" s="233"/>
      <c r="E5" s="23"/>
      <c r="F5" s="23"/>
      <c r="G5" s="28" t="s">
        <v>10</v>
      </c>
      <c r="H5" s="220"/>
      <c r="I5" s="220"/>
      <c r="J5" s="220"/>
    </row>
    <row r="6" spans="1:18" ht="18.649999999999999" customHeight="1">
      <c r="A6" s="238"/>
      <c r="B6" s="238"/>
      <c r="C6" s="233"/>
      <c r="D6" s="233"/>
      <c r="E6" s="23"/>
      <c r="F6" s="23"/>
      <c r="G6" s="28" t="s">
        <v>11</v>
      </c>
      <c r="H6" s="224"/>
      <c r="I6" s="224"/>
      <c r="J6" s="224"/>
    </row>
    <row r="7" spans="1:18" s="16" customFormat="1" ht="9" customHeight="1">
      <c r="D7" s="17"/>
      <c r="E7" s="27"/>
      <c r="F7" s="27"/>
      <c r="G7" s="27"/>
    </row>
    <row r="8" spans="1:18" s="39" customFormat="1" ht="23.5" customHeight="1">
      <c r="A8" s="228" t="s">
        <v>44</v>
      </c>
      <c r="B8" s="236" t="s">
        <v>45</v>
      </c>
      <c r="C8" s="236" t="s">
        <v>46</v>
      </c>
      <c r="D8" s="236" t="s">
        <v>71</v>
      </c>
      <c r="E8" s="236" t="s">
        <v>47</v>
      </c>
      <c r="F8" s="236" t="s">
        <v>48</v>
      </c>
      <c r="G8" s="236" t="s">
        <v>49</v>
      </c>
      <c r="H8" s="236" t="s">
        <v>80</v>
      </c>
      <c r="I8" s="236"/>
      <c r="J8" s="228" t="s">
        <v>81</v>
      </c>
    </row>
    <row r="9" spans="1:18" s="44" customFormat="1" ht="15.5">
      <c r="A9" s="228"/>
      <c r="B9" s="236"/>
      <c r="C9" s="236"/>
      <c r="D9" s="236"/>
      <c r="E9" s="236"/>
      <c r="F9" s="236"/>
      <c r="G9" s="236"/>
      <c r="H9" s="36" t="s">
        <v>50</v>
      </c>
      <c r="I9" s="36" t="s">
        <v>54</v>
      </c>
      <c r="J9" s="228"/>
    </row>
    <row r="10" spans="1:18" s="57" customFormat="1" ht="14">
      <c r="A10" s="234" t="s">
        <v>78</v>
      </c>
      <c r="B10" s="234"/>
      <c r="C10" s="234"/>
      <c r="D10" s="234"/>
      <c r="E10" s="234"/>
      <c r="F10" s="234"/>
      <c r="G10" s="234"/>
      <c r="H10" s="234"/>
      <c r="I10" s="234"/>
      <c r="J10" s="234"/>
    </row>
    <row r="11" spans="1:18" s="57" customFormat="1" ht="14">
      <c r="A11" s="45"/>
      <c r="B11" s="46"/>
      <c r="C11" s="47">
        <f>IF(B11&lt;&gt;"",VLOOKUP(B11,'Tipo Projeto'!$A$3:$B$35,2,0),0)</f>
        <v>0</v>
      </c>
      <c r="D11" s="48"/>
      <c r="E11" s="48"/>
      <c r="F11" s="48"/>
      <c r="G11" s="49"/>
      <c r="H11" s="48"/>
      <c r="I11" s="77">
        <f t="shared" ref="I11:I74" si="0">IF(B11&lt;&gt;"Manutenção em interface",IF(B11&lt;&gt;"Desenv., Manutenção e Publicação de Páginas Estáticas",IF(H11="EE",4,IF(H11="CE",4,IF(H11="SE",5,IF(H11="ALI",7,IF(H11="AIE",5,0)))))*C11,C11),C11)</f>
        <v>0</v>
      </c>
      <c r="J11" s="48"/>
    </row>
    <row r="12" spans="1:18" s="57" customFormat="1" ht="14">
      <c r="A12" s="45"/>
      <c r="B12" s="46"/>
      <c r="C12" s="47">
        <f>IF(B12&lt;&gt;"",VLOOKUP(B12,'Tipo Projeto'!$A$3:$B$35,2,0),0)</f>
        <v>0</v>
      </c>
      <c r="D12" s="48"/>
      <c r="E12" s="48"/>
      <c r="F12" s="48"/>
      <c r="G12" s="49"/>
      <c r="H12" s="48"/>
      <c r="I12" s="77">
        <f t="shared" si="0"/>
        <v>0</v>
      </c>
      <c r="J12" s="48"/>
    </row>
    <row r="13" spans="1:18" s="57" customFormat="1" ht="14">
      <c r="A13" s="45"/>
      <c r="B13" s="46"/>
      <c r="C13" s="47">
        <f>IF(B13&lt;&gt;"",VLOOKUP(B13,'Tipo Projeto'!$A$3:$B$35,2,0),0)</f>
        <v>0</v>
      </c>
      <c r="D13" s="48"/>
      <c r="E13" s="48"/>
      <c r="F13" s="48"/>
      <c r="G13" s="49"/>
      <c r="H13" s="48"/>
      <c r="I13" s="77">
        <f t="shared" si="0"/>
        <v>0</v>
      </c>
      <c r="J13" s="48"/>
    </row>
    <row r="14" spans="1:18" s="57" customFormat="1" ht="14">
      <c r="A14" s="45"/>
      <c r="B14" s="46"/>
      <c r="C14" s="47">
        <f>IF(B14&lt;&gt;"",VLOOKUP(B14,'Tipo Projeto'!$A$3:$B$35,2,0),0)</f>
        <v>0</v>
      </c>
      <c r="D14" s="48"/>
      <c r="E14" s="48"/>
      <c r="F14" s="48"/>
      <c r="G14" s="49"/>
      <c r="H14" s="48"/>
      <c r="I14" s="77">
        <f t="shared" si="0"/>
        <v>0</v>
      </c>
      <c r="J14" s="48"/>
    </row>
    <row r="15" spans="1:18" s="57" customFormat="1" ht="14">
      <c r="A15" s="45"/>
      <c r="B15" s="46"/>
      <c r="C15" s="47">
        <f>IF(B15&lt;&gt;"",VLOOKUP(B15,'Tipo Projeto'!$A$3:$B$35,2,0),0)</f>
        <v>0</v>
      </c>
      <c r="D15" s="48"/>
      <c r="E15" s="48"/>
      <c r="F15" s="48"/>
      <c r="G15" s="49"/>
      <c r="H15" s="48"/>
      <c r="I15" s="77">
        <f t="shared" si="0"/>
        <v>0</v>
      </c>
      <c r="J15" s="48"/>
    </row>
    <row r="16" spans="1:18" s="57" customFormat="1" ht="14">
      <c r="A16" s="45"/>
      <c r="B16" s="46"/>
      <c r="C16" s="47">
        <f>IF(B16&lt;&gt;"",VLOOKUP(B16,'Tipo Projeto'!$A$3:$B$35,2,0),0)</f>
        <v>0</v>
      </c>
      <c r="D16" s="48"/>
      <c r="E16" s="48"/>
      <c r="F16" s="48"/>
      <c r="G16" s="49"/>
      <c r="H16" s="48"/>
      <c r="I16" s="77">
        <f t="shared" si="0"/>
        <v>0</v>
      </c>
      <c r="J16" s="48"/>
    </row>
    <row r="17" spans="1:10" s="57" customFormat="1" ht="14">
      <c r="A17" s="45"/>
      <c r="B17" s="46"/>
      <c r="C17" s="47">
        <f>IF(B17&lt;&gt;"",VLOOKUP(B17,'Tipo Projeto'!$A$3:$B$35,2,0),0)</f>
        <v>0</v>
      </c>
      <c r="D17" s="48"/>
      <c r="E17" s="48"/>
      <c r="F17" s="48"/>
      <c r="G17" s="49"/>
      <c r="H17" s="48"/>
      <c r="I17" s="77">
        <f t="shared" si="0"/>
        <v>0</v>
      </c>
      <c r="J17" s="48"/>
    </row>
    <row r="18" spans="1:10" s="57" customFormat="1" ht="14">
      <c r="A18" s="45"/>
      <c r="B18" s="46"/>
      <c r="C18" s="47">
        <f>IF(B18&lt;&gt;"",VLOOKUP(B18,'Tipo Projeto'!$A$3:$B$35,2,0),0)</f>
        <v>0</v>
      </c>
      <c r="D18" s="48"/>
      <c r="E18" s="48"/>
      <c r="F18" s="48"/>
      <c r="G18" s="49"/>
      <c r="H18" s="48"/>
      <c r="I18" s="77">
        <f t="shared" si="0"/>
        <v>0</v>
      </c>
      <c r="J18" s="48"/>
    </row>
    <row r="19" spans="1:10" s="57" customFormat="1" ht="14">
      <c r="A19" s="45"/>
      <c r="B19" s="46"/>
      <c r="C19" s="47">
        <f>IF(B19&lt;&gt;"",VLOOKUP(B19,'Tipo Projeto'!$A$3:$B$35,2,0),0)</f>
        <v>0</v>
      </c>
      <c r="D19" s="48"/>
      <c r="E19" s="48"/>
      <c r="F19" s="48"/>
      <c r="G19" s="49"/>
      <c r="H19" s="48"/>
      <c r="I19" s="77">
        <f t="shared" si="0"/>
        <v>0</v>
      </c>
      <c r="J19" s="48"/>
    </row>
    <row r="20" spans="1:10" s="57" customFormat="1" ht="14">
      <c r="A20" s="45"/>
      <c r="B20" s="46"/>
      <c r="C20" s="47">
        <f>IF(B20&lt;&gt;"",VLOOKUP(B20,'Tipo Projeto'!$A$3:$B$35,2,0),0)</f>
        <v>0</v>
      </c>
      <c r="D20" s="48"/>
      <c r="E20" s="48"/>
      <c r="F20" s="48"/>
      <c r="G20" s="49"/>
      <c r="H20" s="48"/>
      <c r="I20" s="77">
        <f t="shared" si="0"/>
        <v>0</v>
      </c>
      <c r="J20" s="48"/>
    </row>
    <row r="21" spans="1:10" s="57" customFormat="1" ht="14">
      <c r="A21" s="45"/>
      <c r="B21" s="46"/>
      <c r="C21" s="47">
        <f>IF(B21&lt;&gt;"",VLOOKUP(B21,'Tipo Projeto'!$A$3:$B$35,2,0),0)</f>
        <v>0</v>
      </c>
      <c r="D21" s="48"/>
      <c r="E21" s="48"/>
      <c r="F21" s="48"/>
      <c r="G21" s="49"/>
      <c r="H21" s="48"/>
      <c r="I21" s="77">
        <f t="shared" si="0"/>
        <v>0</v>
      </c>
      <c r="J21" s="48"/>
    </row>
    <row r="22" spans="1:10" s="57" customFormat="1" ht="14">
      <c r="A22" s="45"/>
      <c r="B22" s="46"/>
      <c r="C22" s="47">
        <f>IF(B22&lt;&gt;"",VLOOKUP(B22,'Tipo Projeto'!$A$3:$B$35,2,0),0)</f>
        <v>0</v>
      </c>
      <c r="D22" s="48"/>
      <c r="E22" s="48"/>
      <c r="F22" s="48"/>
      <c r="G22" s="49"/>
      <c r="H22" s="48"/>
      <c r="I22" s="77">
        <f t="shared" si="0"/>
        <v>0</v>
      </c>
      <c r="J22" s="48"/>
    </row>
    <row r="23" spans="1:10" s="57" customFormat="1" ht="14">
      <c r="A23" s="45"/>
      <c r="B23" s="46"/>
      <c r="C23" s="47">
        <f>IF(B23&lt;&gt;"",VLOOKUP(B23,'Tipo Projeto'!$A$3:$B$35,2,0),0)</f>
        <v>0</v>
      </c>
      <c r="D23" s="48"/>
      <c r="E23" s="48"/>
      <c r="F23" s="48"/>
      <c r="G23" s="49"/>
      <c r="H23" s="48"/>
      <c r="I23" s="77">
        <f t="shared" si="0"/>
        <v>0</v>
      </c>
      <c r="J23" s="48"/>
    </row>
    <row r="24" spans="1:10" s="57" customFormat="1" ht="14">
      <c r="A24" s="45"/>
      <c r="B24" s="46"/>
      <c r="C24" s="47">
        <f>IF(B24&lt;&gt;"",VLOOKUP(B24,'Tipo Projeto'!$A$3:$B$35,2,0),0)</f>
        <v>0</v>
      </c>
      <c r="D24" s="48"/>
      <c r="E24" s="48"/>
      <c r="F24" s="48"/>
      <c r="G24" s="49"/>
      <c r="H24" s="48"/>
      <c r="I24" s="77">
        <f t="shared" si="0"/>
        <v>0</v>
      </c>
      <c r="J24" s="48"/>
    </row>
    <row r="25" spans="1:10" s="57" customFormat="1" ht="14">
      <c r="A25" s="45"/>
      <c r="B25" s="46"/>
      <c r="C25" s="47">
        <f>IF(B25&lt;&gt;"",VLOOKUP(B25,'Tipo Projeto'!$A$3:$B$35,2,0),0)</f>
        <v>0</v>
      </c>
      <c r="D25" s="48"/>
      <c r="E25" s="48"/>
      <c r="F25" s="48"/>
      <c r="G25" s="49"/>
      <c r="H25" s="48"/>
      <c r="I25" s="77">
        <f t="shared" si="0"/>
        <v>0</v>
      </c>
      <c r="J25" s="48"/>
    </row>
    <row r="26" spans="1:10" s="57" customFormat="1" ht="14">
      <c r="A26" s="45"/>
      <c r="B26" s="46"/>
      <c r="C26" s="47">
        <f>IF(B26&lt;&gt;"",VLOOKUP(B26,'Tipo Projeto'!$A$3:$B$35,2,0),0)</f>
        <v>0</v>
      </c>
      <c r="D26" s="48"/>
      <c r="E26" s="48"/>
      <c r="F26" s="48"/>
      <c r="G26" s="49"/>
      <c r="H26" s="48"/>
      <c r="I26" s="77">
        <f t="shared" si="0"/>
        <v>0</v>
      </c>
      <c r="J26" s="48"/>
    </row>
    <row r="27" spans="1:10" s="57" customFormat="1" ht="14">
      <c r="A27" s="45"/>
      <c r="B27" s="46"/>
      <c r="C27" s="47">
        <f>IF(B27&lt;&gt;"",VLOOKUP(B27,'Tipo Projeto'!$A$3:$B$35,2,0),0)</f>
        <v>0</v>
      </c>
      <c r="D27" s="48"/>
      <c r="E27" s="48"/>
      <c r="F27" s="48"/>
      <c r="G27" s="49"/>
      <c r="H27" s="48"/>
      <c r="I27" s="77">
        <f t="shared" si="0"/>
        <v>0</v>
      </c>
      <c r="J27" s="48"/>
    </row>
    <row r="28" spans="1:10" s="57" customFormat="1" ht="14">
      <c r="A28" s="45"/>
      <c r="B28" s="46"/>
      <c r="C28" s="47">
        <f>IF(B28&lt;&gt;"",VLOOKUP(B28,'Tipo Projeto'!$A$3:$B$35,2,0),0)</f>
        <v>0</v>
      </c>
      <c r="D28" s="48"/>
      <c r="E28" s="48"/>
      <c r="F28" s="48"/>
      <c r="G28" s="49"/>
      <c r="H28" s="48"/>
      <c r="I28" s="77">
        <f t="shared" si="0"/>
        <v>0</v>
      </c>
      <c r="J28" s="48"/>
    </row>
    <row r="29" spans="1:10" s="57" customFormat="1" ht="14">
      <c r="A29" s="45"/>
      <c r="B29" s="46"/>
      <c r="C29" s="47">
        <f>IF(B29&lt;&gt;"",VLOOKUP(B29,'Tipo Projeto'!$A$3:$B$35,2,0),0)</f>
        <v>0</v>
      </c>
      <c r="D29" s="48"/>
      <c r="E29" s="48"/>
      <c r="F29" s="48"/>
      <c r="G29" s="49"/>
      <c r="H29" s="48"/>
      <c r="I29" s="77">
        <f t="shared" si="0"/>
        <v>0</v>
      </c>
      <c r="J29" s="48"/>
    </row>
    <row r="30" spans="1:10" s="57" customFormat="1" ht="14">
      <c r="A30" s="45"/>
      <c r="B30" s="46"/>
      <c r="C30" s="47">
        <f>IF(B30&lt;&gt;"",VLOOKUP(B30,'Tipo Projeto'!$A$3:$B$35,2,0),0)</f>
        <v>0</v>
      </c>
      <c r="D30" s="48"/>
      <c r="E30" s="48"/>
      <c r="F30" s="48"/>
      <c r="G30" s="49"/>
      <c r="H30" s="48"/>
      <c r="I30" s="77">
        <f t="shared" si="0"/>
        <v>0</v>
      </c>
      <c r="J30" s="48"/>
    </row>
    <row r="31" spans="1:10" s="57" customFormat="1" ht="14">
      <c r="A31" s="45"/>
      <c r="B31" s="46"/>
      <c r="C31" s="47">
        <f>IF(B31&lt;&gt;"",VLOOKUP(B31,'Tipo Projeto'!$A$3:$B$35,2,0),0)</f>
        <v>0</v>
      </c>
      <c r="D31" s="48"/>
      <c r="E31" s="48"/>
      <c r="F31" s="48"/>
      <c r="G31" s="49"/>
      <c r="H31" s="48"/>
      <c r="I31" s="77">
        <f t="shared" si="0"/>
        <v>0</v>
      </c>
      <c r="J31" s="48"/>
    </row>
    <row r="32" spans="1:10" s="57" customFormat="1" ht="14">
      <c r="A32" s="45"/>
      <c r="B32" s="46"/>
      <c r="C32" s="47">
        <f>IF(B32&lt;&gt;"",VLOOKUP(B32,'Tipo Projeto'!$A$3:$B$35,2,0),0)</f>
        <v>0</v>
      </c>
      <c r="D32" s="48"/>
      <c r="E32" s="48"/>
      <c r="F32" s="48"/>
      <c r="G32" s="49"/>
      <c r="H32" s="48"/>
      <c r="I32" s="77">
        <f t="shared" si="0"/>
        <v>0</v>
      </c>
      <c r="J32" s="48"/>
    </row>
    <row r="33" spans="1:10" s="57" customFormat="1" ht="14">
      <c r="A33" s="45"/>
      <c r="B33" s="46"/>
      <c r="C33" s="47">
        <f>IF(B33&lt;&gt;"",VLOOKUP(B33,'Tipo Projeto'!$A$3:$B$35,2,0),0)</f>
        <v>0</v>
      </c>
      <c r="D33" s="48"/>
      <c r="E33" s="48"/>
      <c r="F33" s="48"/>
      <c r="G33" s="49"/>
      <c r="H33" s="48"/>
      <c r="I33" s="77">
        <f t="shared" si="0"/>
        <v>0</v>
      </c>
      <c r="J33" s="48"/>
    </row>
    <row r="34" spans="1:10" s="57" customFormat="1" ht="14">
      <c r="A34" s="45"/>
      <c r="B34" s="46"/>
      <c r="C34" s="47">
        <f>IF(B34&lt;&gt;"",VLOOKUP(B34,'Tipo Projeto'!$A$3:$B$35,2,0),0)</f>
        <v>0</v>
      </c>
      <c r="D34" s="48"/>
      <c r="E34" s="48"/>
      <c r="F34" s="48"/>
      <c r="G34" s="49"/>
      <c r="H34" s="48"/>
      <c r="I34" s="77">
        <f t="shared" si="0"/>
        <v>0</v>
      </c>
      <c r="J34" s="48"/>
    </row>
    <row r="35" spans="1:10" s="57" customFormat="1" ht="14">
      <c r="A35" s="45"/>
      <c r="B35" s="46"/>
      <c r="C35" s="47">
        <f>IF(B35&lt;&gt;"",VLOOKUP(B35,'Tipo Projeto'!$A$3:$B$35,2,0),0)</f>
        <v>0</v>
      </c>
      <c r="D35" s="48"/>
      <c r="E35" s="48"/>
      <c r="F35" s="48"/>
      <c r="G35" s="49"/>
      <c r="H35" s="48"/>
      <c r="I35" s="77">
        <f t="shared" si="0"/>
        <v>0</v>
      </c>
      <c r="J35" s="48"/>
    </row>
    <row r="36" spans="1:10" s="57" customFormat="1" ht="14">
      <c r="A36" s="45"/>
      <c r="B36" s="46"/>
      <c r="C36" s="47">
        <f>IF(B36&lt;&gt;"",VLOOKUP(B36,'Tipo Projeto'!$A$3:$B$35,2,0),0)</f>
        <v>0</v>
      </c>
      <c r="D36" s="48"/>
      <c r="E36" s="48"/>
      <c r="F36" s="48"/>
      <c r="G36" s="49"/>
      <c r="H36" s="48"/>
      <c r="I36" s="77">
        <f t="shared" si="0"/>
        <v>0</v>
      </c>
      <c r="J36" s="48"/>
    </row>
    <row r="37" spans="1:10" s="57" customFormat="1" ht="14">
      <c r="A37" s="45"/>
      <c r="B37" s="46"/>
      <c r="C37" s="47">
        <f>IF(B37&lt;&gt;"",VLOOKUP(B37,'Tipo Projeto'!$A$3:$B$35,2,0),0)</f>
        <v>0</v>
      </c>
      <c r="D37" s="48"/>
      <c r="E37" s="48"/>
      <c r="F37" s="48"/>
      <c r="G37" s="49"/>
      <c r="H37" s="48"/>
      <c r="I37" s="77">
        <f t="shared" si="0"/>
        <v>0</v>
      </c>
      <c r="J37" s="48"/>
    </row>
    <row r="38" spans="1:10" s="57" customFormat="1" ht="14">
      <c r="A38" s="45"/>
      <c r="B38" s="46"/>
      <c r="C38" s="47">
        <f>IF(B38&lt;&gt;"",VLOOKUP(B38,'Tipo Projeto'!$A$3:$B$35,2,0),0)</f>
        <v>0</v>
      </c>
      <c r="D38" s="48"/>
      <c r="E38" s="48"/>
      <c r="F38" s="48"/>
      <c r="G38" s="49"/>
      <c r="H38" s="48"/>
      <c r="I38" s="77">
        <f t="shared" si="0"/>
        <v>0</v>
      </c>
      <c r="J38" s="48"/>
    </row>
    <row r="39" spans="1:10" s="57" customFormat="1" ht="14">
      <c r="A39" s="45"/>
      <c r="B39" s="46"/>
      <c r="C39" s="47">
        <f>IF(B39&lt;&gt;"",VLOOKUP(B39,'Tipo Projeto'!$A$3:$B$35,2,0),0)</f>
        <v>0</v>
      </c>
      <c r="D39" s="48"/>
      <c r="E39" s="48"/>
      <c r="F39" s="48"/>
      <c r="G39" s="49"/>
      <c r="H39" s="48"/>
      <c r="I39" s="77">
        <f t="shared" si="0"/>
        <v>0</v>
      </c>
      <c r="J39" s="48"/>
    </row>
    <row r="40" spans="1:10" s="57" customFormat="1" ht="14">
      <c r="A40" s="45"/>
      <c r="B40" s="46"/>
      <c r="C40" s="47">
        <f>IF(B40&lt;&gt;"",VLOOKUP(B40,'Tipo Projeto'!$A$3:$B$35,2,0),0)</f>
        <v>0</v>
      </c>
      <c r="D40" s="48"/>
      <c r="E40" s="48"/>
      <c r="F40" s="48"/>
      <c r="G40" s="49"/>
      <c r="H40" s="48"/>
      <c r="I40" s="77">
        <f t="shared" si="0"/>
        <v>0</v>
      </c>
      <c r="J40" s="48"/>
    </row>
    <row r="41" spans="1:10" s="57" customFormat="1" ht="14">
      <c r="A41" s="45"/>
      <c r="B41" s="46"/>
      <c r="C41" s="47">
        <f>IF(B41&lt;&gt;"",VLOOKUP(B41,'Tipo Projeto'!$A$3:$B$35,2,0),0)</f>
        <v>0</v>
      </c>
      <c r="D41" s="48"/>
      <c r="E41" s="48"/>
      <c r="F41" s="48"/>
      <c r="G41" s="49"/>
      <c r="H41" s="48"/>
      <c r="I41" s="77">
        <f t="shared" si="0"/>
        <v>0</v>
      </c>
      <c r="J41" s="48"/>
    </row>
    <row r="42" spans="1:10" s="57" customFormat="1" ht="14">
      <c r="A42" s="45"/>
      <c r="B42" s="46"/>
      <c r="C42" s="47">
        <f>IF(B42&lt;&gt;"",VLOOKUP(B42,'Tipo Projeto'!$A$3:$B$35,2,0),0)</f>
        <v>0</v>
      </c>
      <c r="D42" s="48"/>
      <c r="E42" s="48"/>
      <c r="F42" s="48"/>
      <c r="G42" s="49"/>
      <c r="H42" s="48"/>
      <c r="I42" s="77">
        <f t="shared" si="0"/>
        <v>0</v>
      </c>
      <c r="J42" s="48"/>
    </row>
    <row r="43" spans="1:10" s="57" customFormat="1" ht="14">
      <c r="A43" s="45"/>
      <c r="B43" s="46"/>
      <c r="C43" s="47">
        <f>IF(B43&lt;&gt;"",VLOOKUP(B43,'Tipo Projeto'!$A$3:$B$35,2,0),0)</f>
        <v>0</v>
      </c>
      <c r="D43" s="48"/>
      <c r="E43" s="48"/>
      <c r="F43" s="48"/>
      <c r="G43" s="49"/>
      <c r="H43" s="48"/>
      <c r="I43" s="77">
        <f t="shared" si="0"/>
        <v>0</v>
      </c>
      <c r="J43" s="48"/>
    </row>
    <row r="44" spans="1:10" s="57" customFormat="1" ht="14">
      <c r="A44" s="45"/>
      <c r="B44" s="46"/>
      <c r="C44" s="47">
        <f>IF(B44&lt;&gt;"",VLOOKUP(B44,'Tipo Projeto'!$A$3:$B$35,2,0),0)</f>
        <v>0</v>
      </c>
      <c r="D44" s="48"/>
      <c r="E44" s="48"/>
      <c r="F44" s="48"/>
      <c r="G44" s="49"/>
      <c r="H44" s="48"/>
      <c r="I44" s="77">
        <f t="shared" si="0"/>
        <v>0</v>
      </c>
      <c r="J44" s="48"/>
    </row>
    <row r="45" spans="1:10" s="57" customFormat="1" ht="14">
      <c r="A45" s="45"/>
      <c r="B45" s="46"/>
      <c r="C45" s="47">
        <f>IF(B45&lt;&gt;"",VLOOKUP(B45,'Tipo Projeto'!$A$3:$B$35,2,0),0)</f>
        <v>0</v>
      </c>
      <c r="D45" s="48"/>
      <c r="E45" s="48"/>
      <c r="F45" s="48"/>
      <c r="G45" s="49"/>
      <c r="H45" s="48"/>
      <c r="I45" s="77">
        <f t="shared" si="0"/>
        <v>0</v>
      </c>
      <c r="J45" s="48"/>
    </row>
    <row r="46" spans="1:10" s="57" customFormat="1" ht="14">
      <c r="A46" s="45"/>
      <c r="B46" s="46"/>
      <c r="C46" s="47">
        <f>IF(B46&lt;&gt;"",VLOOKUP(B46,'Tipo Projeto'!$A$3:$B$35,2,0),0)</f>
        <v>0</v>
      </c>
      <c r="D46" s="48"/>
      <c r="E46" s="48"/>
      <c r="F46" s="48"/>
      <c r="G46" s="49"/>
      <c r="H46" s="48"/>
      <c r="I46" s="77">
        <f t="shared" si="0"/>
        <v>0</v>
      </c>
      <c r="J46" s="48"/>
    </row>
    <row r="47" spans="1:10" s="57" customFormat="1" ht="14">
      <c r="A47" s="45"/>
      <c r="B47" s="46"/>
      <c r="C47" s="47">
        <f>IF(B47&lt;&gt;"",VLOOKUP(B47,'Tipo Projeto'!$A$3:$B$35,2,0),0)</f>
        <v>0</v>
      </c>
      <c r="D47" s="48"/>
      <c r="E47" s="48"/>
      <c r="F47" s="48"/>
      <c r="G47" s="49"/>
      <c r="H47" s="48"/>
      <c r="I47" s="77">
        <f t="shared" si="0"/>
        <v>0</v>
      </c>
      <c r="J47" s="48"/>
    </row>
    <row r="48" spans="1:10" s="57" customFormat="1" ht="14">
      <c r="A48" s="45"/>
      <c r="B48" s="46"/>
      <c r="C48" s="47">
        <f>IF(B48&lt;&gt;"",VLOOKUP(B48,'Tipo Projeto'!$A$3:$B$35,2,0),0)</f>
        <v>0</v>
      </c>
      <c r="D48" s="48"/>
      <c r="E48" s="48"/>
      <c r="F48" s="48"/>
      <c r="G48" s="49"/>
      <c r="H48" s="48"/>
      <c r="I48" s="77">
        <f t="shared" si="0"/>
        <v>0</v>
      </c>
      <c r="J48" s="48"/>
    </row>
    <row r="49" spans="1:10" s="57" customFormat="1" ht="14">
      <c r="A49" s="45"/>
      <c r="B49" s="46"/>
      <c r="C49" s="47">
        <f>IF(B49&lt;&gt;"",VLOOKUP(B49,'Tipo Projeto'!$A$3:$B$35,2,0),0)</f>
        <v>0</v>
      </c>
      <c r="D49" s="48"/>
      <c r="E49" s="48"/>
      <c r="F49" s="48"/>
      <c r="G49" s="49"/>
      <c r="H49" s="48"/>
      <c r="I49" s="77">
        <f t="shared" si="0"/>
        <v>0</v>
      </c>
      <c r="J49" s="48"/>
    </row>
    <row r="50" spans="1:10" s="57" customFormat="1" ht="14">
      <c r="A50" s="45"/>
      <c r="B50" s="46"/>
      <c r="C50" s="47">
        <f>IF(B50&lt;&gt;"",VLOOKUP(B50,'Tipo Projeto'!$A$3:$B$35,2,0),0)</f>
        <v>0</v>
      </c>
      <c r="D50" s="48"/>
      <c r="E50" s="48"/>
      <c r="F50" s="48"/>
      <c r="G50" s="49"/>
      <c r="H50" s="48"/>
      <c r="I50" s="77">
        <f t="shared" si="0"/>
        <v>0</v>
      </c>
      <c r="J50" s="48"/>
    </row>
    <row r="51" spans="1:10" s="57" customFormat="1" ht="14">
      <c r="A51" s="45"/>
      <c r="B51" s="46"/>
      <c r="C51" s="47">
        <f>IF(B51&lt;&gt;"",VLOOKUP(B51,'Tipo Projeto'!$A$3:$B$35,2,0),0)</f>
        <v>0</v>
      </c>
      <c r="D51" s="48"/>
      <c r="E51" s="48"/>
      <c r="F51" s="48"/>
      <c r="G51" s="49"/>
      <c r="H51" s="48"/>
      <c r="I51" s="77">
        <f t="shared" si="0"/>
        <v>0</v>
      </c>
      <c r="J51" s="48"/>
    </row>
    <row r="52" spans="1:10" s="57" customFormat="1" ht="14">
      <c r="A52" s="45"/>
      <c r="B52" s="46"/>
      <c r="C52" s="47">
        <f>IF(B52&lt;&gt;"",VLOOKUP(B52,'Tipo Projeto'!$A$3:$B$35,2,0),0)</f>
        <v>0</v>
      </c>
      <c r="D52" s="48"/>
      <c r="E52" s="48"/>
      <c r="F52" s="48"/>
      <c r="G52" s="49"/>
      <c r="H52" s="48"/>
      <c r="I52" s="77">
        <f t="shared" si="0"/>
        <v>0</v>
      </c>
      <c r="J52" s="48"/>
    </row>
    <row r="53" spans="1:10" s="57" customFormat="1" ht="14">
      <c r="A53" s="45"/>
      <c r="B53" s="46"/>
      <c r="C53" s="47">
        <f>IF(B53&lt;&gt;"",VLOOKUP(B53,'Tipo Projeto'!$A$3:$B$35,2,0),0)</f>
        <v>0</v>
      </c>
      <c r="D53" s="48"/>
      <c r="E53" s="48"/>
      <c r="F53" s="48"/>
      <c r="G53" s="49"/>
      <c r="H53" s="48"/>
      <c r="I53" s="77">
        <f t="shared" si="0"/>
        <v>0</v>
      </c>
      <c r="J53" s="48"/>
    </row>
    <row r="54" spans="1:10" s="57" customFormat="1" ht="14">
      <c r="A54" s="45"/>
      <c r="B54" s="46"/>
      <c r="C54" s="47">
        <f>IF(B54&lt;&gt;"",VLOOKUP(B54,'Tipo Projeto'!$A$3:$B$35,2,0),0)</f>
        <v>0</v>
      </c>
      <c r="D54" s="48"/>
      <c r="E54" s="48"/>
      <c r="F54" s="48"/>
      <c r="G54" s="49"/>
      <c r="H54" s="48"/>
      <c r="I54" s="77">
        <f t="shared" si="0"/>
        <v>0</v>
      </c>
      <c r="J54" s="48"/>
    </row>
    <row r="55" spans="1:10" s="57" customFormat="1" ht="14">
      <c r="A55" s="45"/>
      <c r="B55" s="46"/>
      <c r="C55" s="47">
        <f>IF(B55&lt;&gt;"",VLOOKUP(B55,'Tipo Projeto'!$A$3:$B$35,2,0),0)</f>
        <v>0</v>
      </c>
      <c r="D55" s="48"/>
      <c r="E55" s="48"/>
      <c r="F55" s="48"/>
      <c r="G55" s="49"/>
      <c r="H55" s="48"/>
      <c r="I55" s="77">
        <f t="shared" si="0"/>
        <v>0</v>
      </c>
      <c r="J55" s="48"/>
    </row>
    <row r="56" spans="1:10" s="57" customFormat="1" ht="14">
      <c r="A56" s="45"/>
      <c r="B56" s="46"/>
      <c r="C56" s="47">
        <f>IF(B56&lt;&gt;"",VLOOKUP(B56,'Tipo Projeto'!$A$3:$B$35,2,0),0)</f>
        <v>0</v>
      </c>
      <c r="D56" s="48"/>
      <c r="E56" s="48"/>
      <c r="F56" s="48"/>
      <c r="G56" s="49"/>
      <c r="H56" s="48"/>
      <c r="I56" s="77">
        <f t="shared" si="0"/>
        <v>0</v>
      </c>
      <c r="J56" s="48"/>
    </row>
    <row r="57" spans="1:10" s="57" customFormat="1" ht="14">
      <c r="A57" s="45"/>
      <c r="B57" s="46"/>
      <c r="C57" s="47">
        <f>IF(B57&lt;&gt;"",VLOOKUP(B57,'Tipo Projeto'!$A$3:$B$35,2,0),0)</f>
        <v>0</v>
      </c>
      <c r="D57" s="48"/>
      <c r="E57" s="48"/>
      <c r="F57" s="48"/>
      <c r="G57" s="49"/>
      <c r="H57" s="48"/>
      <c r="I57" s="77">
        <f t="shared" si="0"/>
        <v>0</v>
      </c>
      <c r="J57" s="48"/>
    </row>
    <row r="58" spans="1:10" s="57" customFormat="1" ht="14">
      <c r="A58" s="45"/>
      <c r="B58" s="46"/>
      <c r="C58" s="47">
        <f>IF(B58&lt;&gt;"",VLOOKUP(B58,'Tipo Projeto'!$A$3:$B$35,2,0),0)</f>
        <v>0</v>
      </c>
      <c r="D58" s="48"/>
      <c r="E58" s="48"/>
      <c r="F58" s="48"/>
      <c r="G58" s="49"/>
      <c r="H58" s="48"/>
      <c r="I58" s="77">
        <f t="shared" si="0"/>
        <v>0</v>
      </c>
      <c r="J58" s="48"/>
    </row>
    <row r="59" spans="1:10" s="57" customFormat="1" ht="14">
      <c r="A59" s="45"/>
      <c r="B59" s="46"/>
      <c r="C59" s="47">
        <f>IF(B59&lt;&gt;"",VLOOKUP(B59,'Tipo Projeto'!$A$3:$B$35,2,0),0)</f>
        <v>0</v>
      </c>
      <c r="D59" s="48"/>
      <c r="E59" s="48"/>
      <c r="F59" s="48"/>
      <c r="G59" s="49"/>
      <c r="H59" s="48"/>
      <c r="I59" s="77">
        <f t="shared" si="0"/>
        <v>0</v>
      </c>
      <c r="J59" s="48"/>
    </row>
    <row r="60" spans="1:10" s="57" customFormat="1" ht="14">
      <c r="A60" s="45"/>
      <c r="B60" s="46"/>
      <c r="C60" s="47">
        <f>IF(B60&lt;&gt;"",VLOOKUP(B60,'Tipo Projeto'!$A$3:$B$35,2,0),0)</f>
        <v>0</v>
      </c>
      <c r="D60" s="48"/>
      <c r="E60" s="48"/>
      <c r="F60" s="48"/>
      <c r="G60" s="49"/>
      <c r="H60" s="48"/>
      <c r="I60" s="77">
        <f t="shared" si="0"/>
        <v>0</v>
      </c>
      <c r="J60" s="48"/>
    </row>
    <row r="61" spans="1:10" s="57" customFormat="1" ht="14">
      <c r="A61" s="45"/>
      <c r="B61" s="46"/>
      <c r="C61" s="47">
        <f>IF(B61&lt;&gt;"",VLOOKUP(B61,'Tipo Projeto'!$A$3:$B$35,2,0),0)</f>
        <v>0</v>
      </c>
      <c r="D61" s="48"/>
      <c r="E61" s="48"/>
      <c r="F61" s="48"/>
      <c r="G61" s="49"/>
      <c r="H61" s="48"/>
      <c r="I61" s="77">
        <f t="shared" si="0"/>
        <v>0</v>
      </c>
      <c r="J61" s="48"/>
    </row>
    <row r="62" spans="1:10" s="57" customFormat="1" ht="14">
      <c r="A62" s="45"/>
      <c r="B62" s="46"/>
      <c r="C62" s="47">
        <f>IF(B62&lt;&gt;"",VLOOKUP(B62,'Tipo Projeto'!$A$3:$B$35,2,0),0)</f>
        <v>0</v>
      </c>
      <c r="D62" s="48"/>
      <c r="E62" s="48"/>
      <c r="F62" s="48"/>
      <c r="G62" s="49"/>
      <c r="H62" s="48"/>
      <c r="I62" s="77">
        <f t="shared" si="0"/>
        <v>0</v>
      </c>
      <c r="J62" s="48"/>
    </row>
    <row r="63" spans="1:10" s="57" customFormat="1" ht="14">
      <c r="A63" s="45"/>
      <c r="B63" s="46"/>
      <c r="C63" s="47">
        <f>IF(B63&lt;&gt;"",VLOOKUP(B63,'Tipo Projeto'!$A$3:$B$35,2,0),0)</f>
        <v>0</v>
      </c>
      <c r="D63" s="48"/>
      <c r="E63" s="48"/>
      <c r="F63" s="48"/>
      <c r="G63" s="49"/>
      <c r="H63" s="48"/>
      <c r="I63" s="77">
        <f t="shared" si="0"/>
        <v>0</v>
      </c>
      <c r="J63" s="48"/>
    </row>
    <row r="64" spans="1:10" s="57" customFormat="1" ht="14">
      <c r="A64" s="45"/>
      <c r="B64" s="46"/>
      <c r="C64" s="47">
        <f>IF(B64&lt;&gt;"",VLOOKUP(B64,'Tipo Projeto'!$A$3:$B$35,2,0),0)</f>
        <v>0</v>
      </c>
      <c r="D64" s="48"/>
      <c r="E64" s="48"/>
      <c r="F64" s="48"/>
      <c r="G64" s="49"/>
      <c r="H64" s="48"/>
      <c r="I64" s="77">
        <f t="shared" si="0"/>
        <v>0</v>
      </c>
      <c r="J64" s="48"/>
    </row>
    <row r="65" spans="1:10" s="57" customFormat="1" ht="14">
      <c r="A65" s="45"/>
      <c r="B65" s="46"/>
      <c r="C65" s="47">
        <f>IF(B65&lt;&gt;"",VLOOKUP(B65,'Tipo Projeto'!$A$3:$B$35,2,0),0)</f>
        <v>0</v>
      </c>
      <c r="D65" s="48"/>
      <c r="E65" s="48"/>
      <c r="F65" s="48"/>
      <c r="G65" s="49"/>
      <c r="H65" s="48"/>
      <c r="I65" s="77">
        <f t="shared" si="0"/>
        <v>0</v>
      </c>
      <c r="J65" s="48"/>
    </row>
    <row r="66" spans="1:10" s="57" customFormat="1" ht="14">
      <c r="A66" s="45"/>
      <c r="B66" s="46"/>
      <c r="C66" s="47">
        <f>IF(B66&lt;&gt;"",VLOOKUP(B66,'Tipo Projeto'!$A$3:$B$35,2,0),0)</f>
        <v>0</v>
      </c>
      <c r="D66" s="48"/>
      <c r="E66" s="48"/>
      <c r="F66" s="48"/>
      <c r="G66" s="49"/>
      <c r="H66" s="48"/>
      <c r="I66" s="77">
        <f t="shared" si="0"/>
        <v>0</v>
      </c>
      <c r="J66" s="48"/>
    </row>
    <row r="67" spans="1:10" s="57" customFormat="1" ht="14">
      <c r="A67" s="45"/>
      <c r="B67" s="46"/>
      <c r="C67" s="47">
        <f>IF(B67&lt;&gt;"",VLOOKUP(B67,'Tipo Projeto'!$A$3:$B$35,2,0),0)</f>
        <v>0</v>
      </c>
      <c r="D67" s="48"/>
      <c r="E67" s="48"/>
      <c r="F67" s="48"/>
      <c r="G67" s="49"/>
      <c r="H67" s="48"/>
      <c r="I67" s="77">
        <f t="shared" si="0"/>
        <v>0</v>
      </c>
      <c r="J67" s="48"/>
    </row>
    <row r="68" spans="1:10" s="57" customFormat="1" ht="14">
      <c r="A68" s="45"/>
      <c r="B68" s="46"/>
      <c r="C68" s="47">
        <f>IF(B68&lt;&gt;"",VLOOKUP(B68,'Tipo Projeto'!$A$3:$B$35,2,0),0)</f>
        <v>0</v>
      </c>
      <c r="D68" s="48"/>
      <c r="E68" s="48"/>
      <c r="F68" s="48"/>
      <c r="G68" s="49"/>
      <c r="H68" s="48"/>
      <c r="I68" s="77">
        <f t="shared" si="0"/>
        <v>0</v>
      </c>
      <c r="J68" s="48"/>
    </row>
    <row r="69" spans="1:10" s="57" customFormat="1" ht="14">
      <c r="A69" s="45"/>
      <c r="B69" s="46"/>
      <c r="C69" s="47">
        <f>IF(B69&lt;&gt;"",VLOOKUP(B69,'Tipo Projeto'!$A$3:$B$35,2,0),0)</f>
        <v>0</v>
      </c>
      <c r="D69" s="48"/>
      <c r="E69" s="48"/>
      <c r="F69" s="48"/>
      <c r="G69" s="49"/>
      <c r="H69" s="48"/>
      <c r="I69" s="77">
        <f t="shared" si="0"/>
        <v>0</v>
      </c>
      <c r="J69" s="48"/>
    </row>
    <row r="70" spans="1:10" s="57" customFormat="1" ht="14">
      <c r="A70" s="45"/>
      <c r="B70" s="46"/>
      <c r="C70" s="47">
        <f>IF(B70&lt;&gt;"",VLOOKUP(B70,'Tipo Projeto'!$A$3:$B$35,2,0),0)</f>
        <v>0</v>
      </c>
      <c r="D70" s="48"/>
      <c r="E70" s="48"/>
      <c r="F70" s="48"/>
      <c r="G70" s="49"/>
      <c r="H70" s="48"/>
      <c r="I70" s="77">
        <f t="shared" si="0"/>
        <v>0</v>
      </c>
      <c r="J70" s="48"/>
    </row>
    <row r="71" spans="1:10" s="57" customFormat="1" ht="14">
      <c r="A71" s="45"/>
      <c r="B71" s="46"/>
      <c r="C71" s="47">
        <f>IF(B71&lt;&gt;"",VLOOKUP(B71,'Tipo Projeto'!$A$3:$B$35,2,0),0)</f>
        <v>0</v>
      </c>
      <c r="D71" s="48"/>
      <c r="E71" s="48"/>
      <c r="F71" s="48"/>
      <c r="G71" s="49"/>
      <c r="H71" s="48"/>
      <c r="I71" s="77">
        <f t="shared" si="0"/>
        <v>0</v>
      </c>
      <c r="J71" s="48"/>
    </row>
    <row r="72" spans="1:10" s="57" customFormat="1" ht="14">
      <c r="A72" s="45"/>
      <c r="B72" s="46"/>
      <c r="C72" s="47">
        <f>IF(B72&lt;&gt;"",VLOOKUP(B72,'Tipo Projeto'!$A$3:$B$35,2,0),0)</f>
        <v>0</v>
      </c>
      <c r="D72" s="48"/>
      <c r="E72" s="48"/>
      <c r="F72" s="48"/>
      <c r="G72" s="49"/>
      <c r="H72" s="48"/>
      <c r="I72" s="77">
        <f t="shared" si="0"/>
        <v>0</v>
      </c>
      <c r="J72" s="48"/>
    </row>
    <row r="73" spans="1:10" s="57" customFormat="1" ht="14">
      <c r="A73" s="45"/>
      <c r="B73" s="46"/>
      <c r="C73" s="47">
        <f>IF(B73&lt;&gt;"",VLOOKUP(B73,'Tipo Projeto'!$A$3:$B$35,2,0),0)</f>
        <v>0</v>
      </c>
      <c r="D73" s="48"/>
      <c r="E73" s="48"/>
      <c r="F73" s="48"/>
      <c r="G73" s="49"/>
      <c r="H73" s="48"/>
      <c r="I73" s="77">
        <f t="shared" si="0"/>
        <v>0</v>
      </c>
      <c r="J73" s="48"/>
    </row>
    <row r="74" spans="1:10" s="57" customFormat="1" ht="14">
      <c r="A74" s="45"/>
      <c r="B74" s="46"/>
      <c r="C74" s="47">
        <f>IF(B74&lt;&gt;"",VLOOKUP(B74,'Tipo Projeto'!$A$3:$B$35,2,0),0)</f>
        <v>0</v>
      </c>
      <c r="D74" s="48"/>
      <c r="E74" s="48"/>
      <c r="F74" s="48"/>
      <c r="G74" s="49"/>
      <c r="H74" s="48"/>
      <c r="I74" s="77">
        <f t="shared" si="0"/>
        <v>0</v>
      </c>
      <c r="J74" s="48"/>
    </row>
    <row r="75" spans="1:10" s="57" customFormat="1" ht="14">
      <c r="A75" s="45"/>
      <c r="B75" s="46"/>
      <c r="C75" s="47">
        <f>IF(B75&lt;&gt;"",VLOOKUP(B75,'Tipo Projeto'!$A$3:$B$35,2,0),0)</f>
        <v>0</v>
      </c>
      <c r="D75" s="48"/>
      <c r="E75" s="48"/>
      <c r="F75" s="48"/>
      <c r="G75" s="49"/>
      <c r="H75" s="48"/>
      <c r="I75" s="77">
        <f t="shared" ref="I75:I138" si="1">IF(B75&lt;&gt;"Manutenção em interface",IF(B75&lt;&gt;"Desenv., Manutenção e Publicação de Páginas Estáticas",IF(H75="EE",4,IF(H75="CE",4,IF(H75="SE",5,IF(H75="ALI",7,IF(H75="AIE",5,0)))))*C75,C75),C75)</f>
        <v>0</v>
      </c>
      <c r="J75" s="48"/>
    </row>
    <row r="76" spans="1:10" s="57" customFormat="1" ht="14">
      <c r="A76" s="45"/>
      <c r="B76" s="46"/>
      <c r="C76" s="47">
        <f>IF(B76&lt;&gt;"",VLOOKUP(B76,'Tipo Projeto'!$A$3:$B$35,2,0),0)</f>
        <v>0</v>
      </c>
      <c r="D76" s="48"/>
      <c r="E76" s="48"/>
      <c r="F76" s="48"/>
      <c r="G76" s="49"/>
      <c r="H76" s="48"/>
      <c r="I76" s="77">
        <f t="shared" si="1"/>
        <v>0</v>
      </c>
      <c r="J76" s="48"/>
    </row>
    <row r="77" spans="1:10" s="57" customFormat="1" ht="14">
      <c r="A77" s="45"/>
      <c r="B77" s="46"/>
      <c r="C77" s="47">
        <f>IF(B77&lt;&gt;"",VLOOKUP(B77,'Tipo Projeto'!$A$3:$B$35,2,0),0)</f>
        <v>0</v>
      </c>
      <c r="D77" s="48"/>
      <c r="E77" s="48"/>
      <c r="F77" s="48"/>
      <c r="G77" s="49"/>
      <c r="H77" s="48"/>
      <c r="I77" s="77">
        <f t="shared" si="1"/>
        <v>0</v>
      </c>
      <c r="J77" s="48"/>
    </row>
    <row r="78" spans="1:10" s="57" customFormat="1" ht="14">
      <c r="A78" s="45"/>
      <c r="B78" s="46"/>
      <c r="C78" s="47">
        <f>IF(B78&lt;&gt;"",VLOOKUP(B78,'Tipo Projeto'!$A$3:$B$35,2,0),0)</f>
        <v>0</v>
      </c>
      <c r="D78" s="48"/>
      <c r="E78" s="48"/>
      <c r="F78" s="48"/>
      <c r="G78" s="49"/>
      <c r="H78" s="48"/>
      <c r="I78" s="77">
        <f t="shared" si="1"/>
        <v>0</v>
      </c>
      <c r="J78" s="48"/>
    </row>
    <row r="79" spans="1:10" s="57" customFormat="1" ht="14">
      <c r="A79" s="45"/>
      <c r="B79" s="46"/>
      <c r="C79" s="47">
        <f>IF(B79&lt;&gt;"",VLOOKUP(B79,'Tipo Projeto'!$A$3:$B$35,2,0),0)</f>
        <v>0</v>
      </c>
      <c r="D79" s="48"/>
      <c r="E79" s="48"/>
      <c r="F79" s="48"/>
      <c r="G79" s="49"/>
      <c r="H79" s="48"/>
      <c r="I79" s="77">
        <f t="shared" si="1"/>
        <v>0</v>
      </c>
      <c r="J79" s="48"/>
    </row>
    <row r="80" spans="1:10" s="57" customFormat="1" ht="14">
      <c r="A80" s="45"/>
      <c r="B80" s="46"/>
      <c r="C80" s="47">
        <f>IF(B80&lt;&gt;"",VLOOKUP(B80,'Tipo Projeto'!$A$3:$B$35,2,0),0)</f>
        <v>0</v>
      </c>
      <c r="D80" s="48"/>
      <c r="E80" s="48"/>
      <c r="F80" s="48"/>
      <c r="G80" s="49"/>
      <c r="H80" s="48"/>
      <c r="I80" s="77">
        <f t="shared" si="1"/>
        <v>0</v>
      </c>
      <c r="J80" s="48"/>
    </row>
    <row r="81" spans="1:10" s="57" customFormat="1" ht="14">
      <c r="A81" s="45"/>
      <c r="B81" s="46"/>
      <c r="C81" s="47">
        <f>IF(B81&lt;&gt;"",VLOOKUP(B81,'Tipo Projeto'!$A$3:$B$35,2,0),0)</f>
        <v>0</v>
      </c>
      <c r="D81" s="48"/>
      <c r="E81" s="48"/>
      <c r="F81" s="48"/>
      <c r="G81" s="49"/>
      <c r="H81" s="48"/>
      <c r="I81" s="77">
        <f t="shared" si="1"/>
        <v>0</v>
      </c>
      <c r="J81" s="48"/>
    </row>
    <row r="82" spans="1:10" s="57" customFormat="1" ht="14">
      <c r="A82" s="45"/>
      <c r="B82" s="46"/>
      <c r="C82" s="47">
        <f>IF(B82&lt;&gt;"",VLOOKUP(B82,'Tipo Projeto'!$A$3:$B$35,2,0),0)</f>
        <v>0</v>
      </c>
      <c r="D82" s="48"/>
      <c r="E82" s="48"/>
      <c r="F82" s="48"/>
      <c r="G82" s="49"/>
      <c r="H82" s="48"/>
      <c r="I82" s="77">
        <f t="shared" si="1"/>
        <v>0</v>
      </c>
      <c r="J82" s="48"/>
    </row>
    <row r="83" spans="1:10" s="57" customFormat="1" ht="14">
      <c r="A83" s="45"/>
      <c r="B83" s="46"/>
      <c r="C83" s="47">
        <f>IF(B83&lt;&gt;"",VLOOKUP(B83,'Tipo Projeto'!$A$3:$B$35,2,0),0)</f>
        <v>0</v>
      </c>
      <c r="D83" s="48"/>
      <c r="E83" s="48"/>
      <c r="F83" s="48"/>
      <c r="G83" s="49"/>
      <c r="H83" s="48"/>
      <c r="I83" s="77">
        <f t="shared" si="1"/>
        <v>0</v>
      </c>
      <c r="J83" s="48"/>
    </row>
    <row r="84" spans="1:10" s="57" customFormat="1" ht="14">
      <c r="A84" s="45"/>
      <c r="B84" s="46"/>
      <c r="C84" s="47">
        <f>IF(B84&lt;&gt;"",VLOOKUP(B84,'Tipo Projeto'!$A$3:$B$35,2,0),0)</f>
        <v>0</v>
      </c>
      <c r="D84" s="48"/>
      <c r="E84" s="48"/>
      <c r="F84" s="48"/>
      <c r="G84" s="49"/>
      <c r="H84" s="48"/>
      <c r="I84" s="77">
        <f t="shared" si="1"/>
        <v>0</v>
      </c>
      <c r="J84" s="48"/>
    </row>
    <row r="85" spans="1:10" s="57" customFormat="1" ht="14">
      <c r="A85" s="45"/>
      <c r="B85" s="46"/>
      <c r="C85" s="47">
        <f>IF(B85&lt;&gt;"",VLOOKUP(B85,'Tipo Projeto'!$A$3:$B$35,2,0),0)</f>
        <v>0</v>
      </c>
      <c r="D85" s="48"/>
      <c r="E85" s="48"/>
      <c r="F85" s="48"/>
      <c r="G85" s="49"/>
      <c r="H85" s="48"/>
      <c r="I85" s="77">
        <f t="shared" si="1"/>
        <v>0</v>
      </c>
      <c r="J85" s="48"/>
    </row>
    <row r="86" spans="1:10" s="57" customFormat="1" ht="14">
      <c r="A86" s="45"/>
      <c r="B86" s="46"/>
      <c r="C86" s="47">
        <f>IF(B86&lt;&gt;"",VLOOKUP(B86,'Tipo Projeto'!$A$3:$B$35,2,0),0)</f>
        <v>0</v>
      </c>
      <c r="D86" s="48"/>
      <c r="E86" s="48"/>
      <c r="F86" s="48"/>
      <c r="G86" s="49"/>
      <c r="H86" s="48"/>
      <c r="I86" s="77">
        <f t="shared" si="1"/>
        <v>0</v>
      </c>
      <c r="J86" s="48"/>
    </row>
    <row r="87" spans="1:10" s="57" customFormat="1" ht="14">
      <c r="A87" s="45"/>
      <c r="B87" s="46"/>
      <c r="C87" s="47">
        <f>IF(B87&lt;&gt;"",VLOOKUP(B87,'Tipo Projeto'!$A$3:$B$35,2,0),0)</f>
        <v>0</v>
      </c>
      <c r="D87" s="48"/>
      <c r="E87" s="48"/>
      <c r="F87" s="48"/>
      <c r="G87" s="49"/>
      <c r="H87" s="48"/>
      <c r="I87" s="77">
        <f t="shared" si="1"/>
        <v>0</v>
      </c>
      <c r="J87" s="48"/>
    </row>
    <row r="88" spans="1:10" s="57" customFormat="1" ht="14">
      <c r="A88" s="45"/>
      <c r="B88" s="46"/>
      <c r="C88" s="47">
        <f>IF(B88&lt;&gt;"",VLOOKUP(B88,'Tipo Projeto'!$A$3:$B$35,2,0),0)</f>
        <v>0</v>
      </c>
      <c r="D88" s="48"/>
      <c r="E88" s="48"/>
      <c r="F88" s="48"/>
      <c r="G88" s="49"/>
      <c r="H88" s="48"/>
      <c r="I88" s="77">
        <f t="shared" si="1"/>
        <v>0</v>
      </c>
      <c r="J88" s="48"/>
    </row>
    <row r="89" spans="1:10" s="57" customFormat="1" ht="14">
      <c r="A89" s="45"/>
      <c r="B89" s="46"/>
      <c r="C89" s="47">
        <f>IF(B89&lt;&gt;"",VLOOKUP(B89,'Tipo Projeto'!$A$3:$B$35,2,0),0)</f>
        <v>0</v>
      </c>
      <c r="D89" s="48"/>
      <c r="E89" s="48"/>
      <c r="F89" s="48"/>
      <c r="G89" s="49"/>
      <c r="H89" s="48"/>
      <c r="I89" s="77">
        <f t="shared" si="1"/>
        <v>0</v>
      </c>
      <c r="J89" s="48"/>
    </row>
    <row r="90" spans="1:10" s="57" customFormat="1" ht="14">
      <c r="A90" s="45"/>
      <c r="B90" s="46"/>
      <c r="C90" s="47">
        <f>IF(B90&lt;&gt;"",VLOOKUP(B90,'Tipo Projeto'!$A$3:$B$35,2,0),0)</f>
        <v>0</v>
      </c>
      <c r="D90" s="48"/>
      <c r="E90" s="48"/>
      <c r="F90" s="48"/>
      <c r="G90" s="49"/>
      <c r="H90" s="48"/>
      <c r="I90" s="77">
        <f t="shared" si="1"/>
        <v>0</v>
      </c>
      <c r="J90" s="48"/>
    </row>
    <row r="91" spans="1:10" s="57" customFormat="1" ht="14">
      <c r="A91" s="45"/>
      <c r="B91" s="46"/>
      <c r="C91" s="47">
        <f>IF(B91&lt;&gt;"",VLOOKUP(B91,'Tipo Projeto'!$A$3:$B$35,2,0),0)</f>
        <v>0</v>
      </c>
      <c r="D91" s="48"/>
      <c r="E91" s="48"/>
      <c r="F91" s="48"/>
      <c r="G91" s="49"/>
      <c r="H91" s="48"/>
      <c r="I91" s="77">
        <f t="shared" si="1"/>
        <v>0</v>
      </c>
      <c r="J91" s="48"/>
    </row>
    <row r="92" spans="1:10" s="57" customFormat="1" ht="14">
      <c r="A92" s="45"/>
      <c r="B92" s="46"/>
      <c r="C92" s="47">
        <f>IF(B92&lt;&gt;"",VLOOKUP(B92,'Tipo Projeto'!$A$3:$B$35,2,0),0)</f>
        <v>0</v>
      </c>
      <c r="D92" s="48"/>
      <c r="E92" s="48"/>
      <c r="F92" s="48"/>
      <c r="G92" s="49"/>
      <c r="H92" s="48"/>
      <c r="I92" s="77">
        <f t="shared" si="1"/>
        <v>0</v>
      </c>
      <c r="J92" s="48"/>
    </row>
    <row r="93" spans="1:10" s="57" customFormat="1" ht="14">
      <c r="A93" s="45"/>
      <c r="B93" s="46"/>
      <c r="C93" s="47">
        <f>IF(B93&lt;&gt;"",VLOOKUP(B93,'Tipo Projeto'!$A$3:$B$35,2,0),0)</f>
        <v>0</v>
      </c>
      <c r="D93" s="48"/>
      <c r="E93" s="48"/>
      <c r="F93" s="48"/>
      <c r="G93" s="49"/>
      <c r="H93" s="48"/>
      <c r="I93" s="77">
        <f t="shared" si="1"/>
        <v>0</v>
      </c>
      <c r="J93" s="48"/>
    </row>
    <row r="94" spans="1:10" s="57" customFormat="1" ht="14">
      <c r="A94" s="45"/>
      <c r="B94" s="46"/>
      <c r="C94" s="47">
        <f>IF(B94&lt;&gt;"",VLOOKUP(B94,'Tipo Projeto'!$A$3:$B$35,2,0),0)</f>
        <v>0</v>
      </c>
      <c r="D94" s="48"/>
      <c r="E94" s="48"/>
      <c r="F94" s="48"/>
      <c r="G94" s="49"/>
      <c r="H94" s="48"/>
      <c r="I94" s="77">
        <f t="shared" si="1"/>
        <v>0</v>
      </c>
      <c r="J94" s="48"/>
    </row>
    <row r="95" spans="1:10" s="57" customFormat="1" ht="14">
      <c r="A95" s="45"/>
      <c r="B95" s="46"/>
      <c r="C95" s="47">
        <f>IF(B95&lt;&gt;"",VLOOKUP(B95,'Tipo Projeto'!$A$3:$B$35,2,0),0)</f>
        <v>0</v>
      </c>
      <c r="D95" s="48"/>
      <c r="E95" s="48"/>
      <c r="F95" s="48"/>
      <c r="G95" s="49"/>
      <c r="H95" s="48"/>
      <c r="I95" s="77">
        <f t="shared" si="1"/>
        <v>0</v>
      </c>
      <c r="J95" s="48"/>
    </row>
    <row r="96" spans="1:10" s="57" customFormat="1" ht="14">
      <c r="A96" s="45"/>
      <c r="B96" s="46"/>
      <c r="C96" s="47">
        <f>IF(B96&lt;&gt;"",VLOOKUP(B96,'Tipo Projeto'!$A$3:$B$35,2,0),0)</f>
        <v>0</v>
      </c>
      <c r="D96" s="48"/>
      <c r="E96" s="48"/>
      <c r="F96" s="48"/>
      <c r="G96" s="49"/>
      <c r="H96" s="48"/>
      <c r="I96" s="77">
        <f t="shared" si="1"/>
        <v>0</v>
      </c>
      <c r="J96" s="48"/>
    </row>
    <row r="97" spans="1:10" s="57" customFormat="1" ht="14">
      <c r="A97" s="45"/>
      <c r="B97" s="46"/>
      <c r="C97" s="47">
        <f>IF(B97&lt;&gt;"",VLOOKUP(B97,'Tipo Projeto'!$A$3:$B$35,2,0),0)</f>
        <v>0</v>
      </c>
      <c r="D97" s="48"/>
      <c r="E97" s="48"/>
      <c r="F97" s="48"/>
      <c r="G97" s="49"/>
      <c r="H97" s="48"/>
      <c r="I97" s="77">
        <f t="shared" si="1"/>
        <v>0</v>
      </c>
      <c r="J97" s="48"/>
    </row>
    <row r="98" spans="1:10" s="57" customFormat="1" ht="14">
      <c r="A98" s="45"/>
      <c r="B98" s="46"/>
      <c r="C98" s="47">
        <f>IF(B98&lt;&gt;"",VLOOKUP(B98,'Tipo Projeto'!$A$3:$B$35,2,0),0)</f>
        <v>0</v>
      </c>
      <c r="D98" s="48"/>
      <c r="E98" s="48"/>
      <c r="F98" s="48"/>
      <c r="G98" s="49"/>
      <c r="H98" s="48"/>
      <c r="I98" s="77">
        <f t="shared" si="1"/>
        <v>0</v>
      </c>
      <c r="J98" s="48"/>
    </row>
    <row r="99" spans="1:10" s="57" customFormat="1" ht="14">
      <c r="A99" s="45"/>
      <c r="B99" s="46"/>
      <c r="C99" s="47">
        <f>IF(B99&lt;&gt;"",VLOOKUP(B99,'Tipo Projeto'!$A$3:$B$35,2,0),0)</f>
        <v>0</v>
      </c>
      <c r="D99" s="48"/>
      <c r="E99" s="48"/>
      <c r="F99" s="48"/>
      <c r="G99" s="49"/>
      <c r="H99" s="48"/>
      <c r="I99" s="77">
        <f t="shared" si="1"/>
        <v>0</v>
      </c>
      <c r="J99" s="48"/>
    </row>
    <row r="100" spans="1:10" s="57" customFormat="1" ht="14">
      <c r="A100" s="45"/>
      <c r="B100" s="46"/>
      <c r="C100" s="47">
        <f>IF(B100&lt;&gt;"",VLOOKUP(B100,'Tipo Projeto'!$A$3:$B$35,2,0),0)</f>
        <v>0</v>
      </c>
      <c r="D100" s="48"/>
      <c r="E100" s="48"/>
      <c r="F100" s="48"/>
      <c r="G100" s="49"/>
      <c r="H100" s="48"/>
      <c r="I100" s="77">
        <f t="shared" si="1"/>
        <v>0</v>
      </c>
      <c r="J100" s="48"/>
    </row>
    <row r="101" spans="1:10" s="57" customFormat="1" ht="14">
      <c r="A101" s="45"/>
      <c r="B101" s="46"/>
      <c r="C101" s="47">
        <f>IF(B101&lt;&gt;"",VLOOKUP(B101,'Tipo Projeto'!$A$3:$B$35,2,0),0)</f>
        <v>0</v>
      </c>
      <c r="D101" s="48"/>
      <c r="E101" s="48"/>
      <c r="F101" s="48"/>
      <c r="G101" s="49"/>
      <c r="H101" s="48"/>
      <c r="I101" s="77">
        <f t="shared" si="1"/>
        <v>0</v>
      </c>
      <c r="J101" s="48"/>
    </row>
    <row r="102" spans="1:10" s="57" customFormat="1" ht="14">
      <c r="A102" s="45"/>
      <c r="B102" s="46"/>
      <c r="C102" s="47">
        <f>IF(B102&lt;&gt;"",VLOOKUP(B102,'Tipo Projeto'!$A$3:$B$35,2,0),0)</f>
        <v>0</v>
      </c>
      <c r="D102" s="48"/>
      <c r="E102" s="48"/>
      <c r="F102" s="48"/>
      <c r="G102" s="49"/>
      <c r="H102" s="48"/>
      <c r="I102" s="77">
        <f t="shared" si="1"/>
        <v>0</v>
      </c>
      <c r="J102" s="48"/>
    </row>
    <row r="103" spans="1:10" s="57" customFormat="1" ht="14">
      <c r="A103" s="45"/>
      <c r="B103" s="46"/>
      <c r="C103" s="47">
        <f>IF(B103&lt;&gt;"",VLOOKUP(B103,'Tipo Projeto'!$A$3:$B$35,2,0),0)</f>
        <v>0</v>
      </c>
      <c r="D103" s="48"/>
      <c r="E103" s="48"/>
      <c r="F103" s="48"/>
      <c r="G103" s="49"/>
      <c r="H103" s="48"/>
      <c r="I103" s="77">
        <f t="shared" si="1"/>
        <v>0</v>
      </c>
      <c r="J103" s="48"/>
    </row>
    <row r="104" spans="1:10" s="57" customFormat="1" ht="14">
      <c r="A104" s="45"/>
      <c r="B104" s="46"/>
      <c r="C104" s="47">
        <f>IF(B104&lt;&gt;"",VLOOKUP(B104,'Tipo Projeto'!$A$3:$B$35,2,0),0)</f>
        <v>0</v>
      </c>
      <c r="D104" s="48"/>
      <c r="E104" s="48"/>
      <c r="F104" s="48"/>
      <c r="G104" s="49"/>
      <c r="H104" s="48"/>
      <c r="I104" s="77">
        <f t="shared" si="1"/>
        <v>0</v>
      </c>
      <c r="J104" s="48"/>
    </row>
    <row r="105" spans="1:10" s="57" customFormat="1" ht="14">
      <c r="A105" s="45"/>
      <c r="B105" s="46"/>
      <c r="C105" s="47">
        <f>IF(B105&lt;&gt;"",VLOOKUP(B105,'Tipo Projeto'!$A$3:$B$35,2,0),0)</f>
        <v>0</v>
      </c>
      <c r="D105" s="48"/>
      <c r="E105" s="48"/>
      <c r="F105" s="48"/>
      <c r="G105" s="49"/>
      <c r="H105" s="48"/>
      <c r="I105" s="77">
        <f t="shared" si="1"/>
        <v>0</v>
      </c>
      <c r="J105" s="48"/>
    </row>
    <row r="106" spans="1:10" s="57" customFormat="1" ht="14">
      <c r="A106" s="45"/>
      <c r="B106" s="46"/>
      <c r="C106" s="47">
        <f>IF(B106&lt;&gt;"",VLOOKUP(B106,'Tipo Projeto'!$A$3:$B$35,2,0),0)</f>
        <v>0</v>
      </c>
      <c r="D106" s="48"/>
      <c r="E106" s="48"/>
      <c r="F106" s="48"/>
      <c r="G106" s="49"/>
      <c r="H106" s="48"/>
      <c r="I106" s="77">
        <f t="shared" si="1"/>
        <v>0</v>
      </c>
      <c r="J106" s="48"/>
    </row>
    <row r="107" spans="1:10" s="57" customFormat="1" ht="14">
      <c r="A107" s="45"/>
      <c r="B107" s="46"/>
      <c r="C107" s="47">
        <f>IF(B107&lt;&gt;"",VLOOKUP(B107,'Tipo Projeto'!$A$3:$B$35,2,0),0)</f>
        <v>0</v>
      </c>
      <c r="D107" s="48"/>
      <c r="E107" s="48"/>
      <c r="F107" s="48"/>
      <c r="G107" s="49"/>
      <c r="H107" s="48"/>
      <c r="I107" s="77">
        <f t="shared" si="1"/>
        <v>0</v>
      </c>
      <c r="J107" s="48"/>
    </row>
    <row r="108" spans="1:10" s="57" customFormat="1" ht="14">
      <c r="A108" s="45"/>
      <c r="B108" s="46"/>
      <c r="C108" s="47">
        <f>IF(B108&lt;&gt;"",VLOOKUP(B108,'Tipo Projeto'!$A$3:$B$35,2,0),0)</f>
        <v>0</v>
      </c>
      <c r="D108" s="48"/>
      <c r="E108" s="48"/>
      <c r="F108" s="48"/>
      <c r="G108" s="49"/>
      <c r="H108" s="48"/>
      <c r="I108" s="77">
        <f t="shared" si="1"/>
        <v>0</v>
      </c>
      <c r="J108" s="48"/>
    </row>
    <row r="109" spans="1:10" s="57" customFormat="1" ht="14">
      <c r="A109" s="45"/>
      <c r="B109" s="46"/>
      <c r="C109" s="47">
        <f>IF(B109&lt;&gt;"",VLOOKUP(B109,'Tipo Projeto'!$A$3:$B$35,2,0),0)</f>
        <v>0</v>
      </c>
      <c r="D109" s="48"/>
      <c r="E109" s="48"/>
      <c r="F109" s="48"/>
      <c r="G109" s="49"/>
      <c r="H109" s="48"/>
      <c r="I109" s="77">
        <f t="shared" si="1"/>
        <v>0</v>
      </c>
      <c r="J109" s="48"/>
    </row>
    <row r="110" spans="1:10" s="57" customFormat="1" ht="14">
      <c r="A110" s="45"/>
      <c r="B110" s="46"/>
      <c r="C110" s="47">
        <f>IF(B110&lt;&gt;"",VLOOKUP(B110,'Tipo Projeto'!$A$3:$B$35,2,0),0)</f>
        <v>0</v>
      </c>
      <c r="D110" s="48"/>
      <c r="E110" s="48"/>
      <c r="F110" s="48"/>
      <c r="G110" s="49"/>
      <c r="H110" s="48"/>
      <c r="I110" s="77">
        <f t="shared" si="1"/>
        <v>0</v>
      </c>
      <c r="J110" s="48"/>
    </row>
    <row r="111" spans="1:10" s="57" customFormat="1" ht="14">
      <c r="A111" s="45"/>
      <c r="B111" s="46"/>
      <c r="C111" s="47">
        <f>IF(B111&lt;&gt;"",VLOOKUP(B111,'Tipo Projeto'!$A$3:$B$35,2,0),0)</f>
        <v>0</v>
      </c>
      <c r="D111" s="48"/>
      <c r="E111" s="48"/>
      <c r="F111" s="48"/>
      <c r="G111" s="49"/>
      <c r="H111" s="48"/>
      <c r="I111" s="77">
        <f t="shared" si="1"/>
        <v>0</v>
      </c>
      <c r="J111" s="48"/>
    </row>
    <row r="112" spans="1:10" s="57" customFormat="1" ht="14">
      <c r="A112" s="45"/>
      <c r="B112" s="46"/>
      <c r="C112" s="47">
        <f>IF(B112&lt;&gt;"",VLOOKUP(B112,'Tipo Projeto'!$A$3:$B$35,2,0),0)</f>
        <v>0</v>
      </c>
      <c r="D112" s="48"/>
      <c r="E112" s="48"/>
      <c r="F112" s="48"/>
      <c r="G112" s="49"/>
      <c r="H112" s="48"/>
      <c r="I112" s="77">
        <f t="shared" si="1"/>
        <v>0</v>
      </c>
      <c r="J112" s="48"/>
    </row>
    <row r="113" spans="1:10" s="57" customFormat="1" ht="14">
      <c r="A113" s="45"/>
      <c r="B113" s="46"/>
      <c r="C113" s="47">
        <f>IF(B113&lt;&gt;"",VLOOKUP(B113,'Tipo Projeto'!$A$3:$B$35,2,0),0)</f>
        <v>0</v>
      </c>
      <c r="D113" s="48"/>
      <c r="E113" s="48"/>
      <c r="F113" s="48"/>
      <c r="G113" s="49"/>
      <c r="H113" s="48"/>
      <c r="I113" s="77">
        <f t="shared" si="1"/>
        <v>0</v>
      </c>
      <c r="J113" s="48"/>
    </row>
    <row r="114" spans="1:10" s="57" customFormat="1" ht="14">
      <c r="A114" s="45"/>
      <c r="B114" s="46"/>
      <c r="C114" s="47">
        <f>IF(B114&lt;&gt;"",VLOOKUP(B114,'Tipo Projeto'!$A$3:$B$35,2,0),0)</f>
        <v>0</v>
      </c>
      <c r="D114" s="48"/>
      <c r="E114" s="48"/>
      <c r="F114" s="48"/>
      <c r="G114" s="49"/>
      <c r="H114" s="48"/>
      <c r="I114" s="77">
        <f t="shared" si="1"/>
        <v>0</v>
      </c>
      <c r="J114" s="48"/>
    </row>
    <row r="115" spans="1:10" s="57" customFormat="1" ht="14">
      <c r="A115" s="45"/>
      <c r="B115" s="46"/>
      <c r="C115" s="47">
        <f>IF(B115&lt;&gt;"",VLOOKUP(B115,'Tipo Projeto'!$A$3:$B$35,2,0),0)</f>
        <v>0</v>
      </c>
      <c r="D115" s="48"/>
      <c r="E115" s="48"/>
      <c r="F115" s="48"/>
      <c r="G115" s="49"/>
      <c r="H115" s="48"/>
      <c r="I115" s="77">
        <f t="shared" si="1"/>
        <v>0</v>
      </c>
      <c r="J115" s="48"/>
    </row>
    <row r="116" spans="1:10" s="57" customFormat="1" ht="14">
      <c r="A116" s="45"/>
      <c r="B116" s="46"/>
      <c r="C116" s="47">
        <f>IF(B116&lt;&gt;"",VLOOKUP(B116,'Tipo Projeto'!$A$3:$B$35,2,0),0)</f>
        <v>0</v>
      </c>
      <c r="D116" s="48"/>
      <c r="E116" s="48"/>
      <c r="F116" s="48"/>
      <c r="G116" s="49"/>
      <c r="H116" s="48"/>
      <c r="I116" s="77">
        <f t="shared" si="1"/>
        <v>0</v>
      </c>
      <c r="J116" s="48"/>
    </row>
    <row r="117" spans="1:10" s="57" customFormat="1" ht="14">
      <c r="A117" s="45"/>
      <c r="B117" s="46"/>
      <c r="C117" s="47">
        <f>IF(B117&lt;&gt;"",VLOOKUP(B117,'Tipo Projeto'!$A$3:$B$35,2,0),0)</f>
        <v>0</v>
      </c>
      <c r="D117" s="48"/>
      <c r="E117" s="48"/>
      <c r="F117" s="48"/>
      <c r="G117" s="49"/>
      <c r="H117" s="48"/>
      <c r="I117" s="77">
        <f t="shared" si="1"/>
        <v>0</v>
      </c>
      <c r="J117" s="48"/>
    </row>
    <row r="118" spans="1:10" s="57" customFormat="1" ht="14">
      <c r="A118" s="45"/>
      <c r="B118" s="46"/>
      <c r="C118" s="47">
        <f>IF(B118&lt;&gt;"",VLOOKUP(B118,'Tipo Projeto'!$A$3:$B$35,2,0),0)</f>
        <v>0</v>
      </c>
      <c r="D118" s="48"/>
      <c r="E118" s="48"/>
      <c r="F118" s="48"/>
      <c r="G118" s="49"/>
      <c r="H118" s="48"/>
      <c r="I118" s="77">
        <f t="shared" si="1"/>
        <v>0</v>
      </c>
      <c r="J118" s="48"/>
    </row>
    <row r="119" spans="1:10" s="57" customFormat="1" ht="14">
      <c r="A119" s="45"/>
      <c r="B119" s="46"/>
      <c r="C119" s="47">
        <f>IF(B119&lt;&gt;"",VLOOKUP(B119,'Tipo Projeto'!$A$3:$B$35,2,0),0)</f>
        <v>0</v>
      </c>
      <c r="D119" s="48"/>
      <c r="E119" s="48"/>
      <c r="F119" s="48"/>
      <c r="G119" s="49"/>
      <c r="H119" s="48"/>
      <c r="I119" s="77">
        <f t="shared" si="1"/>
        <v>0</v>
      </c>
      <c r="J119" s="48"/>
    </row>
    <row r="120" spans="1:10" s="57" customFormat="1" ht="14">
      <c r="A120" s="45"/>
      <c r="B120" s="46"/>
      <c r="C120" s="47">
        <f>IF(B120&lt;&gt;"",VLOOKUP(B120,'Tipo Projeto'!$A$3:$B$35,2,0),0)</f>
        <v>0</v>
      </c>
      <c r="D120" s="48"/>
      <c r="E120" s="48"/>
      <c r="F120" s="48"/>
      <c r="G120" s="49"/>
      <c r="H120" s="48"/>
      <c r="I120" s="77">
        <f t="shared" si="1"/>
        <v>0</v>
      </c>
      <c r="J120" s="48"/>
    </row>
    <row r="121" spans="1:10" s="57" customFormat="1" ht="14">
      <c r="A121" s="45"/>
      <c r="B121" s="46"/>
      <c r="C121" s="47">
        <f>IF(B121&lt;&gt;"",VLOOKUP(B121,'Tipo Projeto'!$A$3:$B$35,2,0),0)</f>
        <v>0</v>
      </c>
      <c r="D121" s="48"/>
      <c r="E121" s="48"/>
      <c r="F121" s="48"/>
      <c r="G121" s="49"/>
      <c r="H121" s="48"/>
      <c r="I121" s="77">
        <f t="shared" si="1"/>
        <v>0</v>
      </c>
      <c r="J121" s="48"/>
    </row>
    <row r="122" spans="1:10" s="57" customFormat="1" ht="14">
      <c r="A122" s="45"/>
      <c r="B122" s="46"/>
      <c r="C122" s="47">
        <f>IF(B122&lt;&gt;"",VLOOKUP(B122,'Tipo Projeto'!$A$3:$B$35,2,0),0)</f>
        <v>0</v>
      </c>
      <c r="D122" s="48"/>
      <c r="E122" s="48"/>
      <c r="F122" s="48"/>
      <c r="G122" s="49"/>
      <c r="H122" s="48"/>
      <c r="I122" s="77">
        <f t="shared" si="1"/>
        <v>0</v>
      </c>
      <c r="J122" s="48"/>
    </row>
    <row r="123" spans="1:10" s="57" customFormat="1" ht="14">
      <c r="A123" s="45"/>
      <c r="B123" s="46"/>
      <c r="C123" s="47">
        <f>IF(B123&lt;&gt;"",VLOOKUP(B123,'Tipo Projeto'!$A$3:$B$35,2,0),0)</f>
        <v>0</v>
      </c>
      <c r="D123" s="48"/>
      <c r="E123" s="48"/>
      <c r="F123" s="48"/>
      <c r="G123" s="49"/>
      <c r="H123" s="48"/>
      <c r="I123" s="77">
        <f t="shared" si="1"/>
        <v>0</v>
      </c>
      <c r="J123" s="48"/>
    </row>
    <row r="124" spans="1:10" s="57" customFormat="1" ht="14">
      <c r="A124" s="45"/>
      <c r="B124" s="46"/>
      <c r="C124" s="47">
        <f>IF(B124&lt;&gt;"",VLOOKUP(B124,'Tipo Projeto'!$A$3:$B$35,2,0),0)</f>
        <v>0</v>
      </c>
      <c r="D124" s="48"/>
      <c r="E124" s="48"/>
      <c r="F124" s="48"/>
      <c r="G124" s="49"/>
      <c r="H124" s="48"/>
      <c r="I124" s="77">
        <f t="shared" si="1"/>
        <v>0</v>
      </c>
      <c r="J124" s="48"/>
    </row>
    <row r="125" spans="1:10" s="57" customFormat="1" ht="14">
      <c r="A125" s="45"/>
      <c r="B125" s="46"/>
      <c r="C125" s="47">
        <f>IF(B125&lt;&gt;"",VLOOKUP(B125,'Tipo Projeto'!$A$3:$B$35,2,0),0)</f>
        <v>0</v>
      </c>
      <c r="D125" s="48"/>
      <c r="E125" s="48"/>
      <c r="F125" s="48"/>
      <c r="G125" s="49"/>
      <c r="H125" s="48"/>
      <c r="I125" s="77">
        <f t="shared" si="1"/>
        <v>0</v>
      </c>
      <c r="J125" s="48"/>
    </row>
    <row r="126" spans="1:10" s="57" customFormat="1" ht="14">
      <c r="A126" s="45"/>
      <c r="B126" s="46"/>
      <c r="C126" s="47">
        <f>IF(B126&lt;&gt;"",VLOOKUP(B126,'Tipo Projeto'!$A$3:$B$35,2,0),0)</f>
        <v>0</v>
      </c>
      <c r="D126" s="48"/>
      <c r="E126" s="48"/>
      <c r="F126" s="48"/>
      <c r="G126" s="49"/>
      <c r="H126" s="48"/>
      <c r="I126" s="77">
        <f t="shared" si="1"/>
        <v>0</v>
      </c>
      <c r="J126" s="48"/>
    </row>
    <row r="127" spans="1:10" s="57" customFormat="1" ht="14">
      <c r="A127" s="45"/>
      <c r="B127" s="46"/>
      <c r="C127" s="47">
        <f>IF(B127&lt;&gt;"",VLOOKUP(B127,'Tipo Projeto'!$A$3:$B$35,2,0),0)</f>
        <v>0</v>
      </c>
      <c r="D127" s="48"/>
      <c r="E127" s="48"/>
      <c r="F127" s="48"/>
      <c r="G127" s="49"/>
      <c r="H127" s="48"/>
      <c r="I127" s="77">
        <f t="shared" si="1"/>
        <v>0</v>
      </c>
      <c r="J127" s="48"/>
    </row>
    <row r="128" spans="1:10" s="57" customFormat="1" ht="14">
      <c r="A128" s="45"/>
      <c r="B128" s="46"/>
      <c r="C128" s="47">
        <f>IF(B128&lt;&gt;"",VLOOKUP(B128,'Tipo Projeto'!$A$3:$B$35,2,0),0)</f>
        <v>0</v>
      </c>
      <c r="D128" s="48"/>
      <c r="E128" s="48"/>
      <c r="F128" s="48"/>
      <c r="G128" s="49"/>
      <c r="H128" s="48"/>
      <c r="I128" s="77">
        <f t="shared" si="1"/>
        <v>0</v>
      </c>
      <c r="J128" s="48"/>
    </row>
    <row r="129" spans="1:10" s="57" customFormat="1" ht="14">
      <c r="A129" s="45"/>
      <c r="B129" s="46"/>
      <c r="C129" s="47">
        <f>IF(B129&lt;&gt;"",VLOOKUP(B129,'Tipo Projeto'!$A$3:$B$35,2,0),0)</f>
        <v>0</v>
      </c>
      <c r="D129" s="48"/>
      <c r="E129" s="48"/>
      <c r="F129" s="48"/>
      <c r="G129" s="49"/>
      <c r="H129" s="48"/>
      <c r="I129" s="77">
        <f t="shared" si="1"/>
        <v>0</v>
      </c>
      <c r="J129" s="48"/>
    </row>
    <row r="130" spans="1:10" s="57" customFormat="1" ht="14">
      <c r="A130" s="45"/>
      <c r="B130" s="46"/>
      <c r="C130" s="47">
        <f>IF(B130&lt;&gt;"",VLOOKUP(B130,'Tipo Projeto'!$A$3:$B$35,2,0),0)</f>
        <v>0</v>
      </c>
      <c r="D130" s="48"/>
      <c r="E130" s="48"/>
      <c r="F130" s="48"/>
      <c r="G130" s="49"/>
      <c r="H130" s="48"/>
      <c r="I130" s="77">
        <f t="shared" si="1"/>
        <v>0</v>
      </c>
      <c r="J130" s="48"/>
    </row>
    <row r="131" spans="1:10" s="57" customFormat="1" ht="14">
      <c r="A131" s="45"/>
      <c r="B131" s="46"/>
      <c r="C131" s="47">
        <f>IF(B131&lt;&gt;"",VLOOKUP(B131,'Tipo Projeto'!$A$3:$B$35,2,0),0)</f>
        <v>0</v>
      </c>
      <c r="D131" s="48"/>
      <c r="E131" s="48"/>
      <c r="F131" s="48"/>
      <c r="G131" s="49"/>
      <c r="H131" s="48"/>
      <c r="I131" s="77">
        <f t="shared" si="1"/>
        <v>0</v>
      </c>
      <c r="J131" s="48"/>
    </row>
    <row r="132" spans="1:10" s="57" customFormat="1" ht="14">
      <c r="A132" s="45"/>
      <c r="B132" s="46"/>
      <c r="C132" s="47">
        <f>IF(B132&lt;&gt;"",VLOOKUP(B132,'Tipo Projeto'!$A$3:$B$35,2,0),0)</f>
        <v>0</v>
      </c>
      <c r="D132" s="48"/>
      <c r="E132" s="48"/>
      <c r="F132" s="48"/>
      <c r="G132" s="49"/>
      <c r="H132" s="48"/>
      <c r="I132" s="77">
        <f t="shared" si="1"/>
        <v>0</v>
      </c>
      <c r="J132" s="48"/>
    </row>
    <row r="133" spans="1:10" s="57" customFormat="1" ht="14">
      <c r="A133" s="45"/>
      <c r="B133" s="46"/>
      <c r="C133" s="47">
        <f>IF(B133&lt;&gt;"",VLOOKUP(B133,'Tipo Projeto'!$A$3:$B$35,2,0),0)</f>
        <v>0</v>
      </c>
      <c r="D133" s="48"/>
      <c r="E133" s="48"/>
      <c r="F133" s="48"/>
      <c r="G133" s="49"/>
      <c r="H133" s="48"/>
      <c r="I133" s="77">
        <f t="shared" si="1"/>
        <v>0</v>
      </c>
      <c r="J133" s="48"/>
    </row>
    <row r="134" spans="1:10" s="57" customFormat="1" ht="14">
      <c r="A134" s="45"/>
      <c r="B134" s="46"/>
      <c r="C134" s="47">
        <f>IF(B134&lt;&gt;"",VLOOKUP(B134,'Tipo Projeto'!$A$3:$B$35,2,0),0)</f>
        <v>0</v>
      </c>
      <c r="D134" s="48"/>
      <c r="E134" s="48"/>
      <c r="F134" s="48"/>
      <c r="G134" s="49"/>
      <c r="H134" s="48"/>
      <c r="I134" s="77">
        <f t="shared" si="1"/>
        <v>0</v>
      </c>
      <c r="J134" s="48"/>
    </row>
    <row r="135" spans="1:10" s="57" customFormat="1" ht="14">
      <c r="A135" s="45"/>
      <c r="B135" s="46"/>
      <c r="C135" s="47">
        <f>IF(B135&lt;&gt;"",VLOOKUP(B135,'Tipo Projeto'!$A$3:$B$35,2,0),0)</f>
        <v>0</v>
      </c>
      <c r="D135" s="48"/>
      <c r="E135" s="48"/>
      <c r="F135" s="48"/>
      <c r="G135" s="49"/>
      <c r="H135" s="48"/>
      <c r="I135" s="77">
        <f t="shared" si="1"/>
        <v>0</v>
      </c>
      <c r="J135" s="48"/>
    </row>
    <row r="136" spans="1:10" s="57" customFormat="1" ht="14">
      <c r="A136" s="45"/>
      <c r="B136" s="46"/>
      <c r="C136" s="47">
        <f>IF(B136&lt;&gt;"",VLOOKUP(B136,'Tipo Projeto'!$A$3:$B$35,2,0),0)</f>
        <v>0</v>
      </c>
      <c r="D136" s="48"/>
      <c r="E136" s="48"/>
      <c r="F136" s="48"/>
      <c r="G136" s="49"/>
      <c r="H136" s="48"/>
      <c r="I136" s="77">
        <f t="shared" si="1"/>
        <v>0</v>
      </c>
      <c r="J136" s="48"/>
    </row>
    <row r="137" spans="1:10" s="57" customFormat="1" ht="14">
      <c r="A137" s="45"/>
      <c r="B137" s="46"/>
      <c r="C137" s="47">
        <f>IF(B137&lt;&gt;"",VLOOKUP(B137,'Tipo Projeto'!$A$3:$B$35,2,0),0)</f>
        <v>0</v>
      </c>
      <c r="D137" s="48"/>
      <c r="E137" s="48"/>
      <c r="F137" s="48"/>
      <c r="G137" s="49"/>
      <c r="H137" s="48"/>
      <c r="I137" s="77">
        <f t="shared" si="1"/>
        <v>0</v>
      </c>
      <c r="J137" s="48"/>
    </row>
    <row r="138" spans="1:10" s="57" customFormat="1" ht="14">
      <c r="A138" s="45"/>
      <c r="B138" s="46"/>
      <c r="C138" s="47">
        <f>IF(B138&lt;&gt;"",VLOOKUP(B138,'Tipo Projeto'!$A$3:$B$35,2,0),0)</f>
        <v>0</v>
      </c>
      <c r="D138" s="48"/>
      <c r="E138" s="48"/>
      <c r="F138" s="48"/>
      <c r="G138" s="49"/>
      <c r="H138" s="48"/>
      <c r="I138" s="77">
        <f t="shared" si="1"/>
        <v>0</v>
      </c>
      <c r="J138" s="48"/>
    </row>
    <row r="139" spans="1:10" s="57" customFormat="1" ht="14">
      <c r="A139" s="45"/>
      <c r="B139" s="46"/>
      <c r="C139" s="47">
        <f>IF(B139&lt;&gt;"",VLOOKUP(B139,'Tipo Projeto'!$A$3:$B$35,2,0),0)</f>
        <v>0</v>
      </c>
      <c r="D139" s="48"/>
      <c r="E139" s="48"/>
      <c r="F139" s="48"/>
      <c r="G139" s="49"/>
      <c r="H139" s="48"/>
      <c r="I139" s="77">
        <f t="shared" ref="I139:I202" si="2">IF(B139&lt;&gt;"Manutenção em interface",IF(B139&lt;&gt;"Desenv., Manutenção e Publicação de Páginas Estáticas",IF(H139="EE",4,IF(H139="CE",4,IF(H139="SE",5,IF(H139="ALI",7,IF(H139="AIE",5,0)))))*C139,C139),C139)</f>
        <v>0</v>
      </c>
      <c r="J139" s="48"/>
    </row>
    <row r="140" spans="1:10" s="57" customFormat="1" ht="14">
      <c r="A140" s="45"/>
      <c r="B140" s="46"/>
      <c r="C140" s="47">
        <f>IF(B140&lt;&gt;"",VLOOKUP(B140,'Tipo Projeto'!$A$3:$B$35,2,0),0)</f>
        <v>0</v>
      </c>
      <c r="D140" s="48"/>
      <c r="E140" s="48"/>
      <c r="F140" s="48"/>
      <c r="G140" s="49"/>
      <c r="H140" s="48"/>
      <c r="I140" s="77">
        <f t="shared" si="2"/>
        <v>0</v>
      </c>
      <c r="J140" s="48"/>
    </row>
    <row r="141" spans="1:10" s="57" customFormat="1" ht="14">
      <c r="A141" s="45"/>
      <c r="B141" s="46"/>
      <c r="C141" s="47">
        <f>IF(B141&lt;&gt;"",VLOOKUP(B141,'Tipo Projeto'!$A$3:$B$35,2,0),0)</f>
        <v>0</v>
      </c>
      <c r="D141" s="48"/>
      <c r="E141" s="48"/>
      <c r="F141" s="48"/>
      <c r="G141" s="49"/>
      <c r="H141" s="48"/>
      <c r="I141" s="77">
        <f t="shared" si="2"/>
        <v>0</v>
      </c>
      <c r="J141" s="48"/>
    </row>
    <row r="142" spans="1:10" s="57" customFormat="1" ht="14">
      <c r="A142" s="45"/>
      <c r="B142" s="46"/>
      <c r="C142" s="47">
        <f>IF(B142&lt;&gt;"",VLOOKUP(B142,'Tipo Projeto'!$A$3:$B$35,2,0),0)</f>
        <v>0</v>
      </c>
      <c r="D142" s="48"/>
      <c r="E142" s="48"/>
      <c r="F142" s="48"/>
      <c r="G142" s="49"/>
      <c r="H142" s="48"/>
      <c r="I142" s="77">
        <f t="shared" si="2"/>
        <v>0</v>
      </c>
      <c r="J142" s="48"/>
    </row>
    <row r="143" spans="1:10" s="57" customFormat="1" ht="14">
      <c r="A143" s="45"/>
      <c r="B143" s="46"/>
      <c r="C143" s="47">
        <f>IF(B143&lt;&gt;"",VLOOKUP(B143,'Tipo Projeto'!$A$3:$B$35,2,0),0)</f>
        <v>0</v>
      </c>
      <c r="D143" s="48"/>
      <c r="E143" s="48"/>
      <c r="F143" s="48"/>
      <c r="G143" s="49"/>
      <c r="H143" s="48"/>
      <c r="I143" s="77">
        <f t="shared" si="2"/>
        <v>0</v>
      </c>
      <c r="J143" s="48"/>
    </row>
    <row r="144" spans="1:10" s="57" customFormat="1" ht="14">
      <c r="A144" s="45"/>
      <c r="B144" s="46"/>
      <c r="C144" s="47">
        <f>IF(B144&lt;&gt;"",VLOOKUP(B144,'Tipo Projeto'!$A$3:$B$35,2,0),0)</f>
        <v>0</v>
      </c>
      <c r="D144" s="48"/>
      <c r="E144" s="48"/>
      <c r="F144" s="48"/>
      <c r="G144" s="49"/>
      <c r="H144" s="48"/>
      <c r="I144" s="77">
        <f t="shared" si="2"/>
        <v>0</v>
      </c>
      <c r="J144" s="48"/>
    </row>
    <row r="145" spans="1:10" s="57" customFormat="1" ht="14">
      <c r="A145" s="45"/>
      <c r="B145" s="46"/>
      <c r="C145" s="47">
        <f>IF(B145&lt;&gt;"",VLOOKUP(B145,'Tipo Projeto'!$A$3:$B$35,2,0),0)</f>
        <v>0</v>
      </c>
      <c r="D145" s="48"/>
      <c r="E145" s="48"/>
      <c r="F145" s="48"/>
      <c r="G145" s="49"/>
      <c r="H145" s="48"/>
      <c r="I145" s="77">
        <f t="shared" si="2"/>
        <v>0</v>
      </c>
      <c r="J145" s="48"/>
    </row>
    <row r="146" spans="1:10" s="57" customFormat="1" ht="14">
      <c r="A146" s="45"/>
      <c r="B146" s="46"/>
      <c r="C146" s="47">
        <f>IF(B146&lt;&gt;"",VLOOKUP(B146,'Tipo Projeto'!$A$3:$B$35,2,0),0)</f>
        <v>0</v>
      </c>
      <c r="D146" s="48"/>
      <c r="E146" s="48"/>
      <c r="F146" s="48"/>
      <c r="G146" s="49"/>
      <c r="H146" s="48"/>
      <c r="I146" s="77">
        <f t="shared" si="2"/>
        <v>0</v>
      </c>
      <c r="J146" s="48"/>
    </row>
    <row r="147" spans="1:10" s="57" customFormat="1" ht="14">
      <c r="A147" s="45"/>
      <c r="B147" s="46"/>
      <c r="C147" s="47">
        <f>IF(B147&lt;&gt;"",VLOOKUP(B147,'Tipo Projeto'!$A$3:$B$35,2,0),0)</f>
        <v>0</v>
      </c>
      <c r="D147" s="48"/>
      <c r="E147" s="48"/>
      <c r="F147" s="48"/>
      <c r="G147" s="49"/>
      <c r="H147" s="48"/>
      <c r="I147" s="77">
        <f t="shared" si="2"/>
        <v>0</v>
      </c>
      <c r="J147" s="48"/>
    </row>
    <row r="148" spans="1:10" s="57" customFormat="1" ht="14">
      <c r="A148" s="45"/>
      <c r="B148" s="46"/>
      <c r="C148" s="47">
        <f>IF(B148&lt;&gt;"",VLOOKUP(B148,'Tipo Projeto'!$A$3:$B$35,2,0),0)</f>
        <v>0</v>
      </c>
      <c r="D148" s="48"/>
      <c r="E148" s="48"/>
      <c r="F148" s="48"/>
      <c r="G148" s="49"/>
      <c r="H148" s="48"/>
      <c r="I148" s="77">
        <f t="shared" si="2"/>
        <v>0</v>
      </c>
      <c r="J148" s="48"/>
    </row>
    <row r="149" spans="1:10" s="57" customFormat="1" ht="14">
      <c r="A149" s="45"/>
      <c r="B149" s="46"/>
      <c r="C149" s="47">
        <f>IF(B149&lt;&gt;"",VLOOKUP(B149,'Tipo Projeto'!$A$3:$B$35,2,0),0)</f>
        <v>0</v>
      </c>
      <c r="D149" s="48"/>
      <c r="E149" s="48"/>
      <c r="F149" s="48"/>
      <c r="G149" s="49"/>
      <c r="H149" s="48"/>
      <c r="I149" s="77">
        <f t="shared" si="2"/>
        <v>0</v>
      </c>
      <c r="J149" s="48"/>
    </row>
    <row r="150" spans="1:10" s="57" customFormat="1" ht="14">
      <c r="A150" s="45"/>
      <c r="B150" s="46"/>
      <c r="C150" s="47">
        <f>IF(B150&lt;&gt;"",VLOOKUP(B150,'Tipo Projeto'!$A$3:$B$35,2,0),0)</f>
        <v>0</v>
      </c>
      <c r="D150" s="48"/>
      <c r="E150" s="48"/>
      <c r="F150" s="48"/>
      <c r="G150" s="49"/>
      <c r="H150" s="48"/>
      <c r="I150" s="77">
        <f t="shared" si="2"/>
        <v>0</v>
      </c>
      <c r="J150" s="48"/>
    </row>
    <row r="151" spans="1:10" s="57" customFormat="1" ht="14">
      <c r="A151" s="45"/>
      <c r="B151" s="46"/>
      <c r="C151" s="47">
        <f>IF(B151&lt;&gt;"",VLOOKUP(B151,'Tipo Projeto'!$A$3:$B$35,2,0),0)</f>
        <v>0</v>
      </c>
      <c r="D151" s="48"/>
      <c r="E151" s="48"/>
      <c r="F151" s="48"/>
      <c r="G151" s="49"/>
      <c r="H151" s="48"/>
      <c r="I151" s="77">
        <f t="shared" si="2"/>
        <v>0</v>
      </c>
      <c r="J151" s="48"/>
    </row>
    <row r="152" spans="1:10" s="57" customFormat="1" ht="14">
      <c r="A152" s="45"/>
      <c r="B152" s="46"/>
      <c r="C152" s="47">
        <f>IF(B152&lt;&gt;"",VLOOKUP(B152,'Tipo Projeto'!$A$3:$B$35,2,0),0)</f>
        <v>0</v>
      </c>
      <c r="D152" s="48"/>
      <c r="E152" s="48"/>
      <c r="F152" s="48"/>
      <c r="G152" s="49"/>
      <c r="H152" s="48"/>
      <c r="I152" s="77">
        <f t="shared" si="2"/>
        <v>0</v>
      </c>
      <c r="J152" s="48"/>
    </row>
    <row r="153" spans="1:10" s="57" customFormat="1" ht="14">
      <c r="A153" s="45"/>
      <c r="B153" s="46"/>
      <c r="C153" s="47">
        <f>IF(B153&lt;&gt;"",VLOOKUP(B153,'Tipo Projeto'!$A$3:$B$35,2,0),0)</f>
        <v>0</v>
      </c>
      <c r="D153" s="48"/>
      <c r="E153" s="48"/>
      <c r="F153" s="48"/>
      <c r="G153" s="49"/>
      <c r="H153" s="48"/>
      <c r="I153" s="77">
        <f t="shared" si="2"/>
        <v>0</v>
      </c>
      <c r="J153" s="48"/>
    </row>
    <row r="154" spans="1:10" s="57" customFormat="1" ht="14">
      <c r="A154" s="45"/>
      <c r="B154" s="46"/>
      <c r="C154" s="47">
        <f>IF(B154&lt;&gt;"",VLOOKUP(B154,'Tipo Projeto'!$A$3:$B$35,2,0),0)</f>
        <v>0</v>
      </c>
      <c r="D154" s="48"/>
      <c r="E154" s="48"/>
      <c r="F154" s="48"/>
      <c r="G154" s="49"/>
      <c r="H154" s="48"/>
      <c r="I154" s="77">
        <f t="shared" si="2"/>
        <v>0</v>
      </c>
      <c r="J154" s="48"/>
    </row>
    <row r="155" spans="1:10" s="57" customFormat="1" ht="14">
      <c r="A155" s="45"/>
      <c r="B155" s="46"/>
      <c r="C155" s="47">
        <f>IF(B155&lt;&gt;"",VLOOKUP(B155,'Tipo Projeto'!$A$3:$B$35,2,0),0)</f>
        <v>0</v>
      </c>
      <c r="D155" s="48"/>
      <c r="E155" s="48"/>
      <c r="F155" s="48"/>
      <c r="G155" s="49"/>
      <c r="H155" s="48"/>
      <c r="I155" s="77">
        <f t="shared" si="2"/>
        <v>0</v>
      </c>
      <c r="J155" s="48"/>
    </row>
    <row r="156" spans="1:10" s="57" customFormat="1" ht="14">
      <c r="A156" s="45"/>
      <c r="B156" s="46"/>
      <c r="C156" s="47">
        <f>IF(B156&lt;&gt;"",VLOOKUP(B156,'Tipo Projeto'!$A$3:$B$35,2,0),0)</f>
        <v>0</v>
      </c>
      <c r="D156" s="48"/>
      <c r="E156" s="48"/>
      <c r="F156" s="48"/>
      <c r="G156" s="49"/>
      <c r="H156" s="48"/>
      <c r="I156" s="77">
        <f t="shared" si="2"/>
        <v>0</v>
      </c>
      <c r="J156" s="48"/>
    </row>
    <row r="157" spans="1:10" s="57" customFormat="1" ht="14">
      <c r="A157" s="45"/>
      <c r="B157" s="46"/>
      <c r="C157" s="47">
        <f>IF(B157&lt;&gt;"",VLOOKUP(B157,'Tipo Projeto'!$A$3:$B$35,2,0),0)</f>
        <v>0</v>
      </c>
      <c r="D157" s="48"/>
      <c r="E157" s="48"/>
      <c r="F157" s="48"/>
      <c r="G157" s="49"/>
      <c r="H157" s="48"/>
      <c r="I157" s="77">
        <f t="shared" si="2"/>
        <v>0</v>
      </c>
      <c r="J157" s="48"/>
    </row>
    <row r="158" spans="1:10" s="57" customFormat="1" ht="14">
      <c r="A158" s="45"/>
      <c r="B158" s="46"/>
      <c r="C158" s="47">
        <f>IF(B158&lt;&gt;"",VLOOKUP(B158,'Tipo Projeto'!$A$3:$B$35,2,0),0)</f>
        <v>0</v>
      </c>
      <c r="D158" s="48"/>
      <c r="E158" s="48"/>
      <c r="F158" s="48"/>
      <c r="G158" s="49"/>
      <c r="H158" s="48"/>
      <c r="I158" s="77">
        <f t="shared" si="2"/>
        <v>0</v>
      </c>
      <c r="J158" s="48"/>
    </row>
    <row r="159" spans="1:10" s="57" customFormat="1" ht="14">
      <c r="A159" s="45"/>
      <c r="B159" s="46"/>
      <c r="C159" s="47">
        <f>IF(B159&lt;&gt;"",VLOOKUP(B159,'Tipo Projeto'!$A$3:$B$35,2,0),0)</f>
        <v>0</v>
      </c>
      <c r="D159" s="48"/>
      <c r="E159" s="48"/>
      <c r="F159" s="48"/>
      <c r="G159" s="49"/>
      <c r="H159" s="48"/>
      <c r="I159" s="77">
        <f t="shared" si="2"/>
        <v>0</v>
      </c>
      <c r="J159" s="48"/>
    </row>
    <row r="160" spans="1:10" s="57" customFormat="1" ht="14">
      <c r="A160" s="45"/>
      <c r="B160" s="46"/>
      <c r="C160" s="47">
        <f>IF(B160&lt;&gt;"",VLOOKUP(B160,'Tipo Projeto'!$A$3:$B$35,2,0),0)</f>
        <v>0</v>
      </c>
      <c r="D160" s="48"/>
      <c r="E160" s="48"/>
      <c r="F160" s="48"/>
      <c r="G160" s="49"/>
      <c r="H160" s="48"/>
      <c r="I160" s="77">
        <f t="shared" si="2"/>
        <v>0</v>
      </c>
      <c r="J160" s="48"/>
    </row>
    <row r="161" spans="1:10" s="57" customFormat="1" ht="14">
      <c r="A161" s="45"/>
      <c r="B161" s="46"/>
      <c r="C161" s="47">
        <f>IF(B161&lt;&gt;"",VLOOKUP(B161,'Tipo Projeto'!$A$3:$B$35,2,0),0)</f>
        <v>0</v>
      </c>
      <c r="D161" s="48"/>
      <c r="E161" s="48"/>
      <c r="F161" s="48"/>
      <c r="G161" s="49"/>
      <c r="H161" s="48"/>
      <c r="I161" s="77">
        <f t="shared" si="2"/>
        <v>0</v>
      </c>
      <c r="J161" s="48"/>
    </row>
    <row r="162" spans="1:10" s="57" customFormat="1" ht="14">
      <c r="A162" s="45"/>
      <c r="B162" s="46"/>
      <c r="C162" s="47">
        <f>IF(B162&lt;&gt;"",VLOOKUP(B162,'Tipo Projeto'!$A$3:$B$35,2,0),0)</f>
        <v>0</v>
      </c>
      <c r="D162" s="48"/>
      <c r="E162" s="48"/>
      <c r="F162" s="48"/>
      <c r="G162" s="49"/>
      <c r="H162" s="48"/>
      <c r="I162" s="77">
        <f t="shared" si="2"/>
        <v>0</v>
      </c>
      <c r="J162" s="48"/>
    </row>
    <row r="163" spans="1:10" s="57" customFormat="1" ht="14">
      <c r="A163" s="45"/>
      <c r="B163" s="46"/>
      <c r="C163" s="47">
        <f>IF(B163&lt;&gt;"",VLOOKUP(B163,'Tipo Projeto'!$A$3:$B$35,2,0),0)</f>
        <v>0</v>
      </c>
      <c r="D163" s="48"/>
      <c r="E163" s="48"/>
      <c r="F163" s="48"/>
      <c r="G163" s="49"/>
      <c r="H163" s="48"/>
      <c r="I163" s="77">
        <f t="shared" si="2"/>
        <v>0</v>
      </c>
      <c r="J163" s="48"/>
    </row>
    <row r="164" spans="1:10" s="57" customFormat="1" ht="14">
      <c r="A164" s="45"/>
      <c r="B164" s="46"/>
      <c r="C164" s="47">
        <f>IF(B164&lt;&gt;"",VLOOKUP(B164,'Tipo Projeto'!$A$3:$B$35,2,0),0)</f>
        <v>0</v>
      </c>
      <c r="D164" s="48"/>
      <c r="E164" s="48"/>
      <c r="F164" s="48"/>
      <c r="G164" s="49"/>
      <c r="H164" s="48"/>
      <c r="I164" s="77">
        <f t="shared" si="2"/>
        <v>0</v>
      </c>
      <c r="J164" s="48"/>
    </row>
    <row r="165" spans="1:10" s="57" customFormat="1" ht="14">
      <c r="A165" s="45"/>
      <c r="B165" s="46"/>
      <c r="C165" s="47">
        <f>IF(B165&lt;&gt;"",VLOOKUP(B165,'Tipo Projeto'!$A$3:$B$35,2,0),0)</f>
        <v>0</v>
      </c>
      <c r="D165" s="48"/>
      <c r="E165" s="48"/>
      <c r="F165" s="48"/>
      <c r="G165" s="49"/>
      <c r="H165" s="48"/>
      <c r="I165" s="77">
        <f t="shared" si="2"/>
        <v>0</v>
      </c>
      <c r="J165" s="48"/>
    </row>
    <row r="166" spans="1:10" s="57" customFormat="1" ht="14">
      <c r="A166" s="45"/>
      <c r="B166" s="46"/>
      <c r="C166" s="47">
        <f>IF(B166&lt;&gt;"",VLOOKUP(B166,'Tipo Projeto'!$A$3:$B$35,2,0),0)</f>
        <v>0</v>
      </c>
      <c r="D166" s="48"/>
      <c r="E166" s="48"/>
      <c r="F166" s="48"/>
      <c r="G166" s="49"/>
      <c r="H166" s="48"/>
      <c r="I166" s="77">
        <f t="shared" si="2"/>
        <v>0</v>
      </c>
      <c r="J166" s="48"/>
    </row>
    <row r="167" spans="1:10" s="57" customFormat="1" ht="14">
      <c r="A167" s="45"/>
      <c r="B167" s="46"/>
      <c r="C167" s="47">
        <f>IF(B167&lt;&gt;"",VLOOKUP(B167,'Tipo Projeto'!$A$3:$B$35,2,0),0)</f>
        <v>0</v>
      </c>
      <c r="D167" s="48"/>
      <c r="E167" s="48"/>
      <c r="F167" s="48"/>
      <c r="G167" s="49"/>
      <c r="H167" s="48"/>
      <c r="I167" s="77">
        <f t="shared" si="2"/>
        <v>0</v>
      </c>
      <c r="J167" s="48"/>
    </row>
    <row r="168" spans="1:10" s="57" customFormat="1" ht="14">
      <c r="A168" s="45"/>
      <c r="B168" s="46"/>
      <c r="C168" s="47">
        <f>IF(B168&lt;&gt;"",VLOOKUP(B168,'Tipo Projeto'!$A$3:$B$35,2,0),0)</f>
        <v>0</v>
      </c>
      <c r="D168" s="48"/>
      <c r="E168" s="48"/>
      <c r="F168" s="48"/>
      <c r="G168" s="49"/>
      <c r="H168" s="48"/>
      <c r="I168" s="77">
        <f t="shared" si="2"/>
        <v>0</v>
      </c>
      <c r="J168" s="48"/>
    </row>
    <row r="169" spans="1:10" s="57" customFormat="1" ht="14">
      <c r="A169" s="45"/>
      <c r="B169" s="46"/>
      <c r="C169" s="47">
        <f>IF(B169&lt;&gt;"",VLOOKUP(B169,'Tipo Projeto'!$A$3:$B$35,2,0),0)</f>
        <v>0</v>
      </c>
      <c r="D169" s="48"/>
      <c r="E169" s="48"/>
      <c r="F169" s="48"/>
      <c r="G169" s="49"/>
      <c r="H169" s="48"/>
      <c r="I169" s="77">
        <f t="shared" si="2"/>
        <v>0</v>
      </c>
      <c r="J169" s="48"/>
    </row>
    <row r="170" spans="1:10" s="57" customFormat="1" ht="14">
      <c r="A170" s="45"/>
      <c r="B170" s="46"/>
      <c r="C170" s="47">
        <f>IF(B170&lt;&gt;"",VLOOKUP(B170,'Tipo Projeto'!$A$3:$B$35,2,0),0)</f>
        <v>0</v>
      </c>
      <c r="D170" s="48"/>
      <c r="E170" s="48"/>
      <c r="F170" s="48"/>
      <c r="G170" s="49"/>
      <c r="H170" s="48"/>
      <c r="I170" s="77">
        <f t="shared" si="2"/>
        <v>0</v>
      </c>
      <c r="J170" s="48"/>
    </row>
    <row r="171" spans="1:10" s="57" customFormat="1" ht="14">
      <c r="A171" s="45"/>
      <c r="B171" s="46"/>
      <c r="C171" s="47">
        <f>IF(B171&lt;&gt;"",VLOOKUP(B171,'Tipo Projeto'!$A$3:$B$35,2,0),0)</f>
        <v>0</v>
      </c>
      <c r="D171" s="48"/>
      <c r="E171" s="48"/>
      <c r="F171" s="48"/>
      <c r="G171" s="49"/>
      <c r="H171" s="48"/>
      <c r="I171" s="77">
        <f t="shared" si="2"/>
        <v>0</v>
      </c>
      <c r="J171" s="48"/>
    </row>
    <row r="172" spans="1:10" s="57" customFormat="1" ht="14">
      <c r="A172" s="45"/>
      <c r="B172" s="46"/>
      <c r="C172" s="47">
        <f>IF(B172&lt;&gt;"",VLOOKUP(B172,'Tipo Projeto'!$A$3:$B$35,2,0),0)</f>
        <v>0</v>
      </c>
      <c r="D172" s="48"/>
      <c r="E172" s="48"/>
      <c r="F172" s="48"/>
      <c r="G172" s="49"/>
      <c r="H172" s="48"/>
      <c r="I172" s="77">
        <f t="shared" si="2"/>
        <v>0</v>
      </c>
      <c r="J172" s="48"/>
    </row>
    <row r="173" spans="1:10" s="57" customFormat="1" ht="14">
      <c r="A173" s="45"/>
      <c r="B173" s="46"/>
      <c r="C173" s="47">
        <f>IF(B173&lt;&gt;"",VLOOKUP(B173,'Tipo Projeto'!$A$3:$B$35,2,0),0)</f>
        <v>0</v>
      </c>
      <c r="D173" s="48"/>
      <c r="E173" s="48"/>
      <c r="F173" s="48"/>
      <c r="G173" s="49"/>
      <c r="H173" s="48"/>
      <c r="I173" s="77">
        <f t="shared" si="2"/>
        <v>0</v>
      </c>
      <c r="J173" s="48"/>
    </row>
    <row r="174" spans="1:10" s="57" customFormat="1" ht="14">
      <c r="A174" s="45"/>
      <c r="B174" s="46"/>
      <c r="C174" s="47">
        <f>IF(B174&lt;&gt;"",VLOOKUP(B174,'Tipo Projeto'!$A$3:$B$35,2,0),0)</f>
        <v>0</v>
      </c>
      <c r="D174" s="48"/>
      <c r="E174" s="48"/>
      <c r="F174" s="48"/>
      <c r="G174" s="49"/>
      <c r="H174" s="48"/>
      <c r="I174" s="77">
        <f t="shared" si="2"/>
        <v>0</v>
      </c>
      <c r="J174" s="48"/>
    </row>
    <row r="175" spans="1:10" s="57" customFormat="1" ht="14">
      <c r="A175" s="45"/>
      <c r="B175" s="46"/>
      <c r="C175" s="47">
        <f>IF(B175&lt;&gt;"",VLOOKUP(B175,'Tipo Projeto'!$A$3:$B$35,2,0),0)</f>
        <v>0</v>
      </c>
      <c r="D175" s="48"/>
      <c r="E175" s="48"/>
      <c r="F175" s="48"/>
      <c r="G175" s="49"/>
      <c r="H175" s="48"/>
      <c r="I175" s="77">
        <f t="shared" si="2"/>
        <v>0</v>
      </c>
      <c r="J175" s="48"/>
    </row>
    <row r="176" spans="1:10" s="57" customFormat="1" ht="14">
      <c r="A176" s="45"/>
      <c r="B176" s="46"/>
      <c r="C176" s="47">
        <f>IF(B176&lt;&gt;"",VLOOKUP(B176,'Tipo Projeto'!$A$3:$B$35,2,0),0)</f>
        <v>0</v>
      </c>
      <c r="D176" s="48"/>
      <c r="E176" s="48"/>
      <c r="F176" s="48"/>
      <c r="G176" s="49"/>
      <c r="H176" s="48"/>
      <c r="I176" s="77">
        <f t="shared" si="2"/>
        <v>0</v>
      </c>
      <c r="J176" s="48"/>
    </row>
    <row r="177" spans="1:10" s="57" customFormat="1" ht="14">
      <c r="A177" s="45"/>
      <c r="B177" s="46"/>
      <c r="C177" s="47">
        <f>IF(B177&lt;&gt;"",VLOOKUP(B177,'Tipo Projeto'!$A$3:$B$35,2,0),0)</f>
        <v>0</v>
      </c>
      <c r="D177" s="48"/>
      <c r="E177" s="48"/>
      <c r="F177" s="48"/>
      <c r="G177" s="49"/>
      <c r="H177" s="48"/>
      <c r="I177" s="77">
        <f t="shared" si="2"/>
        <v>0</v>
      </c>
      <c r="J177" s="48"/>
    </row>
    <row r="178" spans="1:10" s="57" customFormat="1" ht="14">
      <c r="A178" s="45"/>
      <c r="B178" s="46"/>
      <c r="C178" s="47">
        <f>IF(B178&lt;&gt;"",VLOOKUP(B178,'Tipo Projeto'!$A$3:$B$35,2,0),0)</f>
        <v>0</v>
      </c>
      <c r="D178" s="48"/>
      <c r="E178" s="48"/>
      <c r="F178" s="48"/>
      <c r="G178" s="49"/>
      <c r="H178" s="48"/>
      <c r="I178" s="77">
        <f t="shared" si="2"/>
        <v>0</v>
      </c>
      <c r="J178" s="48"/>
    </row>
    <row r="179" spans="1:10" s="57" customFormat="1" ht="14">
      <c r="A179" s="45"/>
      <c r="B179" s="46"/>
      <c r="C179" s="47">
        <f>IF(B179&lt;&gt;"",VLOOKUP(B179,'Tipo Projeto'!$A$3:$B$35,2,0),0)</f>
        <v>0</v>
      </c>
      <c r="D179" s="48"/>
      <c r="E179" s="48"/>
      <c r="F179" s="48"/>
      <c r="G179" s="49"/>
      <c r="H179" s="48"/>
      <c r="I179" s="77">
        <f t="shared" si="2"/>
        <v>0</v>
      </c>
      <c r="J179" s="48"/>
    </row>
    <row r="180" spans="1:10" s="57" customFormat="1" ht="14">
      <c r="A180" s="45"/>
      <c r="B180" s="46"/>
      <c r="C180" s="47">
        <f>IF(B180&lt;&gt;"",VLOOKUP(B180,'Tipo Projeto'!$A$3:$B$35,2,0),0)</f>
        <v>0</v>
      </c>
      <c r="D180" s="48"/>
      <c r="E180" s="48"/>
      <c r="F180" s="48"/>
      <c r="G180" s="49"/>
      <c r="H180" s="48"/>
      <c r="I180" s="77">
        <f t="shared" si="2"/>
        <v>0</v>
      </c>
      <c r="J180" s="48"/>
    </row>
    <row r="181" spans="1:10" s="57" customFormat="1" ht="14">
      <c r="A181" s="45"/>
      <c r="B181" s="46"/>
      <c r="C181" s="47">
        <f>IF(B181&lt;&gt;"",VLOOKUP(B181,'Tipo Projeto'!$A$3:$B$35,2,0),0)</f>
        <v>0</v>
      </c>
      <c r="D181" s="48"/>
      <c r="E181" s="48"/>
      <c r="F181" s="48"/>
      <c r="G181" s="49"/>
      <c r="H181" s="48"/>
      <c r="I181" s="77">
        <f t="shared" si="2"/>
        <v>0</v>
      </c>
      <c r="J181" s="48"/>
    </row>
    <row r="182" spans="1:10" s="57" customFormat="1" ht="14">
      <c r="A182" s="45"/>
      <c r="B182" s="46"/>
      <c r="C182" s="47">
        <f>IF(B182&lt;&gt;"",VLOOKUP(B182,'Tipo Projeto'!$A$3:$B$35,2,0),0)</f>
        <v>0</v>
      </c>
      <c r="D182" s="48"/>
      <c r="E182" s="48"/>
      <c r="F182" s="48"/>
      <c r="G182" s="49"/>
      <c r="H182" s="48"/>
      <c r="I182" s="77">
        <f t="shared" si="2"/>
        <v>0</v>
      </c>
      <c r="J182" s="48"/>
    </row>
    <row r="183" spans="1:10" s="57" customFormat="1" ht="14">
      <c r="A183" s="45"/>
      <c r="B183" s="46"/>
      <c r="C183" s="47">
        <f>IF(B183&lt;&gt;"",VLOOKUP(B183,'Tipo Projeto'!$A$3:$B$35,2,0),0)</f>
        <v>0</v>
      </c>
      <c r="D183" s="48"/>
      <c r="E183" s="48"/>
      <c r="F183" s="48"/>
      <c r="G183" s="49"/>
      <c r="H183" s="48"/>
      <c r="I183" s="77">
        <f t="shared" si="2"/>
        <v>0</v>
      </c>
      <c r="J183" s="48"/>
    </row>
    <row r="184" spans="1:10" s="57" customFormat="1" ht="14">
      <c r="A184" s="45"/>
      <c r="B184" s="46"/>
      <c r="C184" s="47">
        <f>IF(B184&lt;&gt;"",VLOOKUP(B184,'Tipo Projeto'!$A$3:$B$35,2,0),0)</f>
        <v>0</v>
      </c>
      <c r="D184" s="48"/>
      <c r="E184" s="48"/>
      <c r="F184" s="48"/>
      <c r="G184" s="49"/>
      <c r="H184" s="48"/>
      <c r="I184" s="77">
        <f t="shared" si="2"/>
        <v>0</v>
      </c>
      <c r="J184" s="48"/>
    </row>
    <row r="185" spans="1:10" s="57" customFormat="1" ht="14">
      <c r="A185" s="45"/>
      <c r="B185" s="46"/>
      <c r="C185" s="47">
        <f>IF(B185&lt;&gt;"",VLOOKUP(B185,'Tipo Projeto'!$A$3:$B$35,2,0),0)</f>
        <v>0</v>
      </c>
      <c r="D185" s="48"/>
      <c r="E185" s="48"/>
      <c r="F185" s="48"/>
      <c r="G185" s="49"/>
      <c r="H185" s="48"/>
      <c r="I185" s="77">
        <f t="shared" si="2"/>
        <v>0</v>
      </c>
      <c r="J185" s="48"/>
    </row>
    <row r="186" spans="1:10" s="57" customFormat="1" ht="14">
      <c r="A186" s="45"/>
      <c r="B186" s="46"/>
      <c r="C186" s="47">
        <f>IF(B186&lt;&gt;"",VLOOKUP(B186,'Tipo Projeto'!$A$3:$B$35,2,0),0)</f>
        <v>0</v>
      </c>
      <c r="D186" s="48"/>
      <c r="E186" s="48"/>
      <c r="F186" s="48"/>
      <c r="G186" s="49"/>
      <c r="H186" s="48"/>
      <c r="I186" s="77">
        <f t="shared" si="2"/>
        <v>0</v>
      </c>
      <c r="J186" s="48"/>
    </row>
    <row r="187" spans="1:10" s="57" customFormat="1" ht="14">
      <c r="A187" s="45"/>
      <c r="B187" s="46"/>
      <c r="C187" s="47">
        <f>IF(B187&lt;&gt;"",VLOOKUP(B187,'Tipo Projeto'!$A$3:$B$35,2,0),0)</f>
        <v>0</v>
      </c>
      <c r="D187" s="48"/>
      <c r="E187" s="48"/>
      <c r="F187" s="48"/>
      <c r="G187" s="49"/>
      <c r="H187" s="48"/>
      <c r="I187" s="77">
        <f t="shared" si="2"/>
        <v>0</v>
      </c>
      <c r="J187" s="48"/>
    </row>
    <row r="188" spans="1:10" s="57" customFormat="1" ht="14">
      <c r="A188" s="45"/>
      <c r="B188" s="46"/>
      <c r="C188" s="47">
        <f>IF(B188&lt;&gt;"",VLOOKUP(B188,'Tipo Projeto'!$A$3:$B$35,2,0),0)</f>
        <v>0</v>
      </c>
      <c r="D188" s="48"/>
      <c r="E188" s="48"/>
      <c r="F188" s="48"/>
      <c r="G188" s="49"/>
      <c r="H188" s="48"/>
      <c r="I188" s="77">
        <f t="shared" si="2"/>
        <v>0</v>
      </c>
      <c r="J188" s="48"/>
    </row>
    <row r="189" spans="1:10" s="57" customFormat="1" ht="14">
      <c r="A189" s="45"/>
      <c r="B189" s="46"/>
      <c r="C189" s="47">
        <f>IF(B189&lt;&gt;"",VLOOKUP(B189,'Tipo Projeto'!$A$3:$B$35,2,0),0)</f>
        <v>0</v>
      </c>
      <c r="D189" s="48"/>
      <c r="E189" s="48"/>
      <c r="F189" s="48"/>
      <c r="G189" s="49"/>
      <c r="H189" s="48"/>
      <c r="I189" s="77">
        <f t="shared" si="2"/>
        <v>0</v>
      </c>
      <c r="J189" s="48"/>
    </row>
    <row r="190" spans="1:10" s="57" customFormat="1" ht="14">
      <c r="A190" s="45"/>
      <c r="B190" s="46"/>
      <c r="C190" s="47">
        <f>IF(B190&lt;&gt;"",VLOOKUP(B190,'Tipo Projeto'!$A$3:$B$35,2,0),0)</f>
        <v>0</v>
      </c>
      <c r="D190" s="48"/>
      <c r="E190" s="48"/>
      <c r="F190" s="48"/>
      <c r="G190" s="49"/>
      <c r="H190" s="48"/>
      <c r="I190" s="77">
        <f t="shared" si="2"/>
        <v>0</v>
      </c>
      <c r="J190" s="48"/>
    </row>
    <row r="191" spans="1:10" s="57" customFormat="1" ht="14">
      <c r="A191" s="45"/>
      <c r="B191" s="46"/>
      <c r="C191" s="47">
        <f>IF(B191&lt;&gt;"",VLOOKUP(B191,'Tipo Projeto'!$A$3:$B$35,2,0),0)</f>
        <v>0</v>
      </c>
      <c r="D191" s="48"/>
      <c r="E191" s="48"/>
      <c r="F191" s="48"/>
      <c r="G191" s="49"/>
      <c r="H191" s="48"/>
      <c r="I191" s="77">
        <f t="shared" si="2"/>
        <v>0</v>
      </c>
      <c r="J191" s="48"/>
    </row>
    <row r="192" spans="1:10" s="57" customFormat="1" ht="14">
      <c r="A192" s="45"/>
      <c r="B192" s="46"/>
      <c r="C192" s="47">
        <f>IF(B192&lt;&gt;"",VLOOKUP(B192,'Tipo Projeto'!$A$3:$B$35,2,0),0)</f>
        <v>0</v>
      </c>
      <c r="D192" s="48"/>
      <c r="E192" s="48"/>
      <c r="F192" s="48"/>
      <c r="G192" s="49"/>
      <c r="H192" s="48"/>
      <c r="I192" s="77">
        <f t="shared" si="2"/>
        <v>0</v>
      </c>
      <c r="J192" s="48"/>
    </row>
    <row r="193" spans="1:10" s="57" customFormat="1" ht="14">
      <c r="A193" s="45"/>
      <c r="B193" s="46"/>
      <c r="C193" s="47">
        <f>IF(B193&lt;&gt;"",VLOOKUP(B193,'Tipo Projeto'!$A$3:$B$35,2,0),0)</f>
        <v>0</v>
      </c>
      <c r="D193" s="48"/>
      <c r="E193" s="48"/>
      <c r="F193" s="48"/>
      <c r="G193" s="49"/>
      <c r="H193" s="48"/>
      <c r="I193" s="77">
        <f t="shared" si="2"/>
        <v>0</v>
      </c>
      <c r="J193" s="48"/>
    </row>
    <row r="194" spans="1:10" s="57" customFormat="1" ht="14">
      <c r="A194" s="45"/>
      <c r="B194" s="46"/>
      <c r="C194" s="47">
        <f>IF(B194&lt;&gt;"",VLOOKUP(B194,'Tipo Projeto'!$A$3:$B$35,2,0),0)</f>
        <v>0</v>
      </c>
      <c r="D194" s="48"/>
      <c r="E194" s="48"/>
      <c r="F194" s="48"/>
      <c r="G194" s="49"/>
      <c r="H194" s="48"/>
      <c r="I194" s="77">
        <f t="shared" si="2"/>
        <v>0</v>
      </c>
      <c r="J194" s="48"/>
    </row>
    <row r="195" spans="1:10" s="57" customFormat="1" ht="14">
      <c r="A195" s="45"/>
      <c r="B195" s="46"/>
      <c r="C195" s="47">
        <f>IF(B195&lt;&gt;"",VLOOKUP(B195,'Tipo Projeto'!$A$3:$B$35,2,0),0)</f>
        <v>0</v>
      </c>
      <c r="D195" s="48"/>
      <c r="E195" s="48"/>
      <c r="F195" s="48"/>
      <c r="G195" s="49"/>
      <c r="H195" s="48"/>
      <c r="I195" s="77">
        <f t="shared" si="2"/>
        <v>0</v>
      </c>
      <c r="J195" s="48"/>
    </row>
    <row r="196" spans="1:10" s="57" customFormat="1" ht="14">
      <c r="A196" s="45"/>
      <c r="B196" s="46"/>
      <c r="C196" s="47">
        <f>IF(B196&lt;&gt;"",VLOOKUP(B196,'Tipo Projeto'!$A$3:$B$35,2,0),0)</f>
        <v>0</v>
      </c>
      <c r="D196" s="48"/>
      <c r="E196" s="48"/>
      <c r="F196" s="48"/>
      <c r="G196" s="49"/>
      <c r="H196" s="48"/>
      <c r="I196" s="77">
        <f t="shared" si="2"/>
        <v>0</v>
      </c>
      <c r="J196" s="48"/>
    </row>
    <row r="197" spans="1:10" s="57" customFormat="1" ht="14">
      <c r="A197" s="45"/>
      <c r="B197" s="46"/>
      <c r="C197" s="47">
        <f>IF(B197&lt;&gt;"",VLOOKUP(B197,'Tipo Projeto'!$A$3:$B$35,2,0),0)</f>
        <v>0</v>
      </c>
      <c r="D197" s="48"/>
      <c r="E197" s="48"/>
      <c r="F197" s="48"/>
      <c r="G197" s="49"/>
      <c r="H197" s="48"/>
      <c r="I197" s="77">
        <f t="shared" si="2"/>
        <v>0</v>
      </c>
      <c r="J197" s="48"/>
    </row>
    <row r="198" spans="1:10" s="57" customFormat="1" ht="14">
      <c r="A198" s="45"/>
      <c r="B198" s="46"/>
      <c r="C198" s="47">
        <f>IF(B198&lt;&gt;"",VLOOKUP(B198,'Tipo Projeto'!$A$3:$B$35,2,0),0)</f>
        <v>0</v>
      </c>
      <c r="D198" s="48"/>
      <c r="E198" s="48"/>
      <c r="F198" s="48"/>
      <c r="G198" s="49"/>
      <c r="H198" s="48"/>
      <c r="I198" s="77">
        <f t="shared" si="2"/>
        <v>0</v>
      </c>
      <c r="J198" s="48"/>
    </row>
    <row r="199" spans="1:10" s="57" customFormat="1" ht="14">
      <c r="A199" s="45"/>
      <c r="B199" s="46"/>
      <c r="C199" s="47">
        <f>IF(B199&lt;&gt;"",VLOOKUP(B199,'Tipo Projeto'!$A$3:$B$35,2,0),0)</f>
        <v>0</v>
      </c>
      <c r="D199" s="48"/>
      <c r="E199" s="48"/>
      <c r="F199" s="48"/>
      <c r="G199" s="49"/>
      <c r="H199" s="48"/>
      <c r="I199" s="77">
        <f t="shared" si="2"/>
        <v>0</v>
      </c>
      <c r="J199" s="48"/>
    </row>
    <row r="200" spans="1:10" s="57" customFormat="1" ht="14">
      <c r="A200" s="45"/>
      <c r="B200" s="46"/>
      <c r="C200" s="47">
        <f>IF(B200&lt;&gt;"",VLOOKUP(B200,'Tipo Projeto'!$A$3:$B$35,2,0),0)</f>
        <v>0</v>
      </c>
      <c r="D200" s="48"/>
      <c r="E200" s="48"/>
      <c r="F200" s="48"/>
      <c r="G200" s="49"/>
      <c r="H200" s="48"/>
      <c r="I200" s="77">
        <f t="shared" si="2"/>
        <v>0</v>
      </c>
      <c r="J200" s="48"/>
    </row>
    <row r="201" spans="1:10" s="57" customFormat="1" ht="14">
      <c r="A201" s="45"/>
      <c r="B201" s="46"/>
      <c r="C201" s="47">
        <f>IF(B201&lt;&gt;"",VLOOKUP(B201,'Tipo Projeto'!$A$3:$B$35,2,0),0)</f>
        <v>0</v>
      </c>
      <c r="D201" s="48"/>
      <c r="E201" s="48"/>
      <c r="F201" s="48"/>
      <c r="G201" s="49"/>
      <c r="H201" s="48"/>
      <c r="I201" s="77">
        <f t="shared" si="2"/>
        <v>0</v>
      </c>
      <c r="J201" s="48"/>
    </row>
    <row r="202" spans="1:10" s="57" customFormat="1" ht="14">
      <c r="A202" s="45"/>
      <c r="B202" s="46"/>
      <c r="C202" s="47">
        <f>IF(B202&lt;&gt;"",VLOOKUP(B202,'Tipo Projeto'!$A$3:$B$35,2,0),0)</f>
        <v>0</v>
      </c>
      <c r="D202" s="48"/>
      <c r="E202" s="48"/>
      <c r="F202" s="48"/>
      <c r="G202" s="49"/>
      <c r="H202" s="48"/>
      <c r="I202" s="77">
        <f t="shared" si="2"/>
        <v>0</v>
      </c>
      <c r="J202" s="48"/>
    </row>
    <row r="203" spans="1:10" s="57" customFormat="1" ht="14">
      <c r="A203" s="45"/>
      <c r="B203" s="46"/>
      <c r="C203" s="47">
        <f>IF(B203&lt;&gt;"",VLOOKUP(B203,'Tipo Projeto'!$A$3:$B$35,2,0),0)</f>
        <v>0</v>
      </c>
      <c r="D203" s="48"/>
      <c r="E203" s="48"/>
      <c r="F203" s="48"/>
      <c r="G203" s="49"/>
      <c r="H203" s="48"/>
      <c r="I203" s="77">
        <f t="shared" ref="I203:I266" si="3">IF(B203&lt;&gt;"Manutenção em interface",IF(B203&lt;&gt;"Desenv., Manutenção e Publicação de Páginas Estáticas",IF(H203="EE",4,IF(H203="CE",4,IF(H203="SE",5,IF(H203="ALI",7,IF(H203="AIE",5,0)))))*C203,C203),C203)</f>
        <v>0</v>
      </c>
      <c r="J203" s="48"/>
    </row>
    <row r="204" spans="1:10" s="57" customFormat="1" ht="14">
      <c r="A204" s="45"/>
      <c r="B204" s="46"/>
      <c r="C204" s="47">
        <f>IF(B204&lt;&gt;"",VLOOKUP(B204,'Tipo Projeto'!$A$3:$B$35,2,0),0)</f>
        <v>0</v>
      </c>
      <c r="D204" s="48"/>
      <c r="E204" s="48"/>
      <c r="F204" s="48"/>
      <c r="G204" s="49"/>
      <c r="H204" s="48"/>
      <c r="I204" s="77">
        <f t="shared" si="3"/>
        <v>0</v>
      </c>
      <c r="J204" s="48"/>
    </row>
    <row r="205" spans="1:10" s="57" customFormat="1" ht="14">
      <c r="A205" s="45"/>
      <c r="B205" s="46"/>
      <c r="C205" s="47">
        <f>IF(B205&lt;&gt;"",VLOOKUP(B205,'Tipo Projeto'!$A$3:$B$35,2,0),0)</f>
        <v>0</v>
      </c>
      <c r="D205" s="48"/>
      <c r="E205" s="48"/>
      <c r="F205" s="48"/>
      <c r="G205" s="49"/>
      <c r="H205" s="48"/>
      <c r="I205" s="77">
        <f t="shared" si="3"/>
        <v>0</v>
      </c>
      <c r="J205" s="48"/>
    </row>
    <row r="206" spans="1:10" s="57" customFormat="1" ht="14">
      <c r="A206" s="45"/>
      <c r="B206" s="46"/>
      <c r="C206" s="47">
        <f>IF(B206&lt;&gt;"",VLOOKUP(B206,'Tipo Projeto'!$A$3:$B$35,2,0),0)</f>
        <v>0</v>
      </c>
      <c r="D206" s="48"/>
      <c r="E206" s="48"/>
      <c r="F206" s="48"/>
      <c r="G206" s="49"/>
      <c r="H206" s="48"/>
      <c r="I206" s="77">
        <f t="shared" si="3"/>
        <v>0</v>
      </c>
      <c r="J206" s="48"/>
    </row>
    <row r="207" spans="1:10" s="57" customFormat="1" ht="14">
      <c r="A207" s="45"/>
      <c r="B207" s="46"/>
      <c r="C207" s="47">
        <f>IF(B207&lt;&gt;"",VLOOKUP(B207,'Tipo Projeto'!$A$3:$B$35,2,0),0)</f>
        <v>0</v>
      </c>
      <c r="D207" s="48"/>
      <c r="E207" s="48"/>
      <c r="F207" s="48"/>
      <c r="G207" s="49"/>
      <c r="H207" s="48"/>
      <c r="I207" s="77">
        <f t="shared" si="3"/>
        <v>0</v>
      </c>
      <c r="J207" s="48"/>
    </row>
    <row r="208" spans="1:10" s="57" customFormat="1" ht="14">
      <c r="A208" s="45"/>
      <c r="B208" s="46"/>
      <c r="C208" s="47">
        <f>IF(B208&lt;&gt;"",VLOOKUP(B208,'Tipo Projeto'!$A$3:$B$35,2,0),0)</f>
        <v>0</v>
      </c>
      <c r="D208" s="48"/>
      <c r="E208" s="48"/>
      <c r="F208" s="48"/>
      <c r="G208" s="49"/>
      <c r="H208" s="48"/>
      <c r="I208" s="77">
        <f t="shared" si="3"/>
        <v>0</v>
      </c>
      <c r="J208" s="48"/>
    </row>
    <row r="209" spans="1:10" s="57" customFormat="1" ht="14">
      <c r="A209" s="45"/>
      <c r="B209" s="46"/>
      <c r="C209" s="47">
        <f>IF(B209&lt;&gt;"",VLOOKUP(B209,'Tipo Projeto'!$A$3:$B$35,2,0),0)</f>
        <v>0</v>
      </c>
      <c r="D209" s="48"/>
      <c r="E209" s="48"/>
      <c r="F209" s="48"/>
      <c r="G209" s="49"/>
      <c r="H209" s="48"/>
      <c r="I209" s="77">
        <f t="shared" si="3"/>
        <v>0</v>
      </c>
      <c r="J209" s="48"/>
    </row>
    <row r="210" spans="1:10" s="57" customFormat="1" ht="14">
      <c r="A210" s="45"/>
      <c r="B210" s="46"/>
      <c r="C210" s="47">
        <f>IF(B210&lt;&gt;"",VLOOKUP(B210,'Tipo Projeto'!$A$3:$B$35,2,0),0)</f>
        <v>0</v>
      </c>
      <c r="D210" s="48"/>
      <c r="E210" s="48"/>
      <c r="F210" s="48"/>
      <c r="G210" s="49"/>
      <c r="H210" s="48"/>
      <c r="I210" s="77">
        <f t="shared" si="3"/>
        <v>0</v>
      </c>
      <c r="J210" s="48"/>
    </row>
    <row r="211" spans="1:10" s="57" customFormat="1" ht="14">
      <c r="A211" s="45"/>
      <c r="B211" s="46"/>
      <c r="C211" s="47">
        <f>IF(B211&lt;&gt;"",VLOOKUP(B211,'Tipo Projeto'!$A$3:$B$35,2,0),0)</f>
        <v>0</v>
      </c>
      <c r="D211" s="48"/>
      <c r="E211" s="48"/>
      <c r="F211" s="48"/>
      <c r="G211" s="49"/>
      <c r="H211" s="48"/>
      <c r="I211" s="77">
        <f t="shared" si="3"/>
        <v>0</v>
      </c>
      <c r="J211" s="48"/>
    </row>
    <row r="212" spans="1:10" s="57" customFormat="1" ht="14">
      <c r="A212" s="45"/>
      <c r="B212" s="46"/>
      <c r="C212" s="47">
        <f>IF(B212&lt;&gt;"",VLOOKUP(B212,'Tipo Projeto'!$A$3:$B$35,2,0),0)</f>
        <v>0</v>
      </c>
      <c r="D212" s="48"/>
      <c r="E212" s="48"/>
      <c r="F212" s="48"/>
      <c r="G212" s="49"/>
      <c r="H212" s="48"/>
      <c r="I212" s="77">
        <f t="shared" si="3"/>
        <v>0</v>
      </c>
      <c r="J212" s="48"/>
    </row>
    <row r="213" spans="1:10" s="57" customFormat="1" ht="14">
      <c r="A213" s="45"/>
      <c r="B213" s="46"/>
      <c r="C213" s="47">
        <f>IF(B213&lt;&gt;"",VLOOKUP(B213,'Tipo Projeto'!$A$3:$B$35,2,0),0)</f>
        <v>0</v>
      </c>
      <c r="D213" s="48"/>
      <c r="E213" s="48"/>
      <c r="F213" s="48"/>
      <c r="G213" s="49"/>
      <c r="H213" s="48"/>
      <c r="I213" s="77">
        <f t="shared" si="3"/>
        <v>0</v>
      </c>
      <c r="J213" s="48"/>
    </row>
    <row r="214" spans="1:10" s="57" customFormat="1" ht="14">
      <c r="A214" s="45"/>
      <c r="B214" s="46"/>
      <c r="C214" s="47">
        <f>IF(B214&lt;&gt;"",VLOOKUP(B214,'Tipo Projeto'!$A$3:$B$35,2,0),0)</f>
        <v>0</v>
      </c>
      <c r="D214" s="48"/>
      <c r="E214" s="48"/>
      <c r="F214" s="48"/>
      <c r="G214" s="49"/>
      <c r="H214" s="48"/>
      <c r="I214" s="77">
        <f t="shared" si="3"/>
        <v>0</v>
      </c>
      <c r="J214" s="48"/>
    </row>
    <row r="215" spans="1:10" s="57" customFormat="1" ht="14">
      <c r="A215" s="45"/>
      <c r="B215" s="46"/>
      <c r="C215" s="47">
        <f>IF(B215&lt;&gt;"",VLOOKUP(B215,'Tipo Projeto'!$A$3:$B$35,2,0),0)</f>
        <v>0</v>
      </c>
      <c r="D215" s="48"/>
      <c r="E215" s="48"/>
      <c r="F215" s="48"/>
      <c r="G215" s="49"/>
      <c r="H215" s="48"/>
      <c r="I215" s="77">
        <f t="shared" si="3"/>
        <v>0</v>
      </c>
      <c r="J215" s="48"/>
    </row>
    <row r="216" spans="1:10" s="57" customFormat="1" ht="14">
      <c r="A216" s="45"/>
      <c r="B216" s="46"/>
      <c r="C216" s="47">
        <f>IF(B216&lt;&gt;"",VLOOKUP(B216,'Tipo Projeto'!$A$3:$B$35,2,0),0)</f>
        <v>0</v>
      </c>
      <c r="D216" s="48"/>
      <c r="E216" s="48"/>
      <c r="F216" s="48"/>
      <c r="G216" s="49"/>
      <c r="H216" s="48"/>
      <c r="I216" s="77">
        <f t="shared" si="3"/>
        <v>0</v>
      </c>
      <c r="J216" s="48"/>
    </row>
    <row r="217" spans="1:10" s="57" customFormat="1" ht="14">
      <c r="A217" s="45"/>
      <c r="B217" s="46"/>
      <c r="C217" s="47">
        <f>IF(B217&lt;&gt;"",VLOOKUP(B217,'Tipo Projeto'!$A$3:$B$35,2,0),0)</f>
        <v>0</v>
      </c>
      <c r="D217" s="48"/>
      <c r="E217" s="48"/>
      <c r="F217" s="48"/>
      <c r="G217" s="49"/>
      <c r="H217" s="48"/>
      <c r="I217" s="77">
        <f t="shared" si="3"/>
        <v>0</v>
      </c>
      <c r="J217" s="48"/>
    </row>
    <row r="218" spans="1:10" s="57" customFormat="1" ht="14">
      <c r="A218" s="45"/>
      <c r="B218" s="46"/>
      <c r="C218" s="47">
        <f>IF(B218&lt;&gt;"",VLOOKUP(B218,'Tipo Projeto'!$A$3:$B$35,2,0),0)</f>
        <v>0</v>
      </c>
      <c r="D218" s="48"/>
      <c r="E218" s="48"/>
      <c r="F218" s="48"/>
      <c r="G218" s="49"/>
      <c r="H218" s="48"/>
      <c r="I218" s="77">
        <f t="shared" si="3"/>
        <v>0</v>
      </c>
      <c r="J218" s="48"/>
    </row>
    <row r="219" spans="1:10" s="57" customFormat="1" ht="14">
      <c r="A219" s="45"/>
      <c r="B219" s="46"/>
      <c r="C219" s="47">
        <f>IF(B219&lt;&gt;"",VLOOKUP(B219,'Tipo Projeto'!$A$3:$B$35,2,0),0)</f>
        <v>0</v>
      </c>
      <c r="D219" s="48"/>
      <c r="E219" s="48"/>
      <c r="F219" s="48"/>
      <c r="G219" s="49"/>
      <c r="H219" s="48"/>
      <c r="I219" s="77">
        <f t="shared" si="3"/>
        <v>0</v>
      </c>
      <c r="J219" s="48"/>
    </row>
    <row r="220" spans="1:10" s="57" customFormat="1" ht="14">
      <c r="A220" s="45"/>
      <c r="B220" s="46"/>
      <c r="C220" s="47">
        <f>IF(B220&lt;&gt;"",VLOOKUP(B220,'Tipo Projeto'!$A$3:$B$35,2,0),0)</f>
        <v>0</v>
      </c>
      <c r="D220" s="48"/>
      <c r="E220" s="48"/>
      <c r="F220" s="48"/>
      <c r="G220" s="49"/>
      <c r="H220" s="48"/>
      <c r="I220" s="77">
        <f t="shared" si="3"/>
        <v>0</v>
      </c>
      <c r="J220" s="48"/>
    </row>
    <row r="221" spans="1:10" s="57" customFormat="1" ht="14">
      <c r="A221" s="45"/>
      <c r="B221" s="46"/>
      <c r="C221" s="47">
        <f>IF(B221&lt;&gt;"",VLOOKUP(B221,'Tipo Projeto'!$A$3:$B$35,2,0),0)</f>
        <v>0</v>
      </c>
      <c r="D221" s="48"/>
      <c r="E221" s="48"/>
      <c r="F221" s="48"/>
      <c r="G221" s="49"/>
      <c r="H221" s="48"/>
      <c r="I221" s="77">
        <f t="shared" si="3"/>
        <v>0</v>
      </c>
      <c r="J221" s="48"/>
    </row>
    <row r="222" spans="1:10" s="57" customFormat="1" ht="14">
      <c r="A222" s="45"/>
      <c r="B222" s="46"/>
      <c r="C222" s="47">
        <f>IF(B222&lt;&gt;"",VLOOKUP(B222,'Tipo Projeto'!$A$3:$B$35,2,0),0)</f>
        <v>0</v>
      </c>
      <c r="D222" s="48"/>
      <c r="E222" s="48"/>
      <c r="F222" s="48"/>
      <c r="G222" s="49"/>
      <c r="H222" s="48"/>
      <c r="I222" s="77">
        <f t="shared" si="3"/>
        <v>0</v>
      </c>
      <c r="J222" s="48"/>
    </row>
    <row r="223" spans="1:10" s="57" customFormat="1" ht="14">
      <c r="A223" s="45"/>
      <c r="B223" s="46"/>
      <c r="C223" s="47">
        <f>IF(B223&lt;&gt;"",VLOOKUP(B223,'Tipo Projeto'!$A$3:$B$35,2,0),0)</f>
        <v>0</v>
      </c>
      <c r="D223" s="48"/>
      <c r="E223" s="48"/>
      <c r="F223" s="48"/>
      <c r="G223" s="49"/>
      <c r="H223" s="48"/>
      <c r="I223" s="77">
        <f t="shared" si="3"/>
        <v>0</v>
      </c>
      <c r="J223" s="48"/>
    </row>
    <row r="224" spans="1:10" s="57" customFormat="1" ht="14">
      <c r="A224" s="45"/>
      <c r="B224" s="46"/>
      <c r="C224" s="47">
        <f>IF(B224&lt;&gt;"",VLOOKUP(B224,'Tipo Projeto'!$A$3:$B$35,2,0),0)</f>
        <v>0</v>
      </c>
      <c r="D224" s="48"/>
      <c r="E224" s="48"/>
      <c r="F224" s="48"/>
      <c r="G224" s="49"/>
      <c r="H224" s="48"/>
      <c r="I224" s="77">
        <f t="shared" si="3"/>
        <v>0</v>
      </c>
      <c r="J224" s="48"/>
    </row>
    <row r="225" spans="1:10" s="57" customFormat="1" ht="14">
      <c r="A225" s="45"/>
      <c r="B225" s="46"/>
      <c r="C225" s="47">
        <f>IF(B225&lt;&gt;"",VLOOKUP(B225,'Tipo Projeto'!$A$3:$B$35,2,0),0)</f>
        <v>0</v>
      </c>
      <c r="D225" s="48"/>
      <c r="E225" s="48"/>
      <c r="F225" s="48"/>
      <c r="G225" s="49"/>
      <c r="H225" s="48"/>
      <c r="I225" s="77">
        <f t="shared" si="3"/>
        <v>0</v>
      </c>
      <c r="J225" s="48"/>
    </row>
    <row r="226" spans="1:10" s="57" customFormat="1" ht="14">
      <c r="A226" s="45"/>
      <c r="B226" s="46"/>
      <c r="C226" s="47">
        <f>IF(B226&lt;&gt;"",VLOOKUP(B226,'Tipo Projeto'!$A$3:$B$35,2,0),0)</f>
        <v>0</v>
      </c>
      <c r="D226" s="48"/>
      <c r="E226" s="48"/>
      <c r="F226" s="48"/>
      <c r="G226" s="49"/>
      <c r="H226" s="48"/>
      <c r="I226" s="77">
        <f t="shared" si="3"/>
        <v>0</v>
      </c>
      <c r="J226" s="48"/>
    </row>
    <row r="227" spans="1:10" s="57" customFormat="1" ht="14">
      <c r="A227" s="45"/>
      <c r="B227" s="46"/>
      <c r="C227" s="47">
        <f>IF(B227&lt;&gt;"",VLOOKUP(B227,'Tipo Projeto'!$A$3:$B$35,2,0),0)</f>
        <v>0</v>
      </c>
      <c r="D227" s="48"/>
      <c r="E227" s="48"/>
      <c r="F227" s="48"/>
      <c r="G227" s="49"/>
      <c r="H227" s="48"/>
      <c r="I227" s="77">
        <f t="shared" si="3"/>
        <v>0</v>
      </c>
      <c r="J227" s="48"/>
    </row>
    <row r="228" spans="1:10" s="57" customFormat="1" ht="14">
      <c r="A228" s="45"/>
      <c r="B228" s="46"/>
      <c r="C228" s="47">
        <f>IF(B228&lt;&gt;"",VLOOKUP(B228,'Tipo Projeto'!$A$3:$B$35,2,0),0)</f>
        <v>0</v>
      </c>
      <c r="D228" s="48"/>
      <c r="E228" s="48"/>
      <c r="F228" s="48"/>
      <c r="G228" s="49"/>
      <c r="H228" s="48"/>
      <c r="I228" s="77">
        <f t="shared" si="3"/>
        <v>0</v>
      </c>
      <c r="J228" s="48"/>
    </row>
    <row r="229" spans="1:10" s="57" customFormat="1" ht="14">
      <c r="A229" s="45"/>
      <c r="B229" s="46"/>
      <c r="C229" s="47">
        <f>IF(B229&lt;&gt;"",VLOOKUP(B229,'Tipo Projeto'!$A$3:$B$35,2,0),0)</f>
        <v>0</v>
      </c>
      <c r="D229" s="48"/>
      <c r="E229" s="48"/>
      <c r="F229" s="48"/>
      <c r="G229" s="49"/>
      <c r="H229" s="48"/>
      <c r="I229" s="77">
        <f t="shared" si="3"/>
        <v>0</v>
      </c>
      <c r="J229" s="48"/>
    </row>
    <row r="230" spans="1:10" s="57" customFormat="1" ht="14">
      <c r="A230" s="45"/>
      <c r="B230" s="46"/>
      <c r="C230" s="47">
        <f>IF(B230&lt;&gt;"",VLOOKUP(B230,'Tipo Projeto'!$A$3:$B$35,2,0),0)</f>
        <v>0</v>
      </c>
      <c r="D230" s="48"/>
      <c r="E230" s="48"/>
      <c r="F230" s="48"/>
      <c r="G230" s="49"/>
      <c r="H230" s="48"/>
      <c r="I230" s="77">
        <f t="shared" si="3"/>
        <v>0</v>
      </c>
      <c r="J230" s="48"/>
    </row>
    <row r="231" spans="1:10" s="57" customFormat="1" ht="14">
      <c r="A231" s="45"/>
      <c r="B231" s="46"/>
      <c r="C231" s="47">
        <f>IF(B231&lt;&gt;"",VLOOKUP(B231,'Tipo Projeto'!$A$3:$B$35,2,0),0)</f>
        <v>0</v>
      </c>
      <c r="D231" s="48"/>
      <c r="E231" s="48"/>
      <c r="F231" s="48"/>
      <c r="G231" s="49"/>
      <c r="H231" s="48"/>
      <c r="I231" s="77">
        <f t="shared" si="3"/>
        <v>0</v>
      </c>
      <c r="J231" s="48"/>
    </row>
    <row r="232" spans="1:10" s="57" customFormat="1" ht="14">
      <c r="A232" s="45"/>
      <c r="B232" s="46"/>
      <c r="C232" s="47">
        <f>IF(B232&lt;&gt;"",VLOOKUP(B232,'Tipo Projeto'!$A$3:$B$35,2,0),0)</f>
        <v>0</v>
      </c>
      <c r="D232" s="48"/>
      <c r="E232" s="48"/>
      <c r="F232" s="48"/>
      <c r="G232" s="49"/>
      <c r="H232" s="48"/>
      <c r="I232" s="77">
        <f t="shared" si="3"/>
        <v>0</v>
      </c>
      <c r="J232" s="48"/>
    </row>
    <row r="233" spans="1:10" s="57" customFormat="1" ht="14">
      <c r="A233" s="45"/>
      <c r="B233" s="46"/>
      <c r="C233" s="47">
        <f>IF(B233&lt;&gt;"",VLOOKUP(B233,'Tipo Projeto'!$A$3:$B$35,2,0),0)</f>
        <v>0</v>
      </c>
      <c r="D233" s="48"/>
      <c r="E233" s="48"/>
      <c r="F233" s="48"/>
      <c r="G233" s="49"/>
      <c r="H233" s="48"/>
      <c r="I233" s="77">
        <f t="shared" si="3"/>
        <v>0</v>
      </c>
      <c r="J233" s="48"/>
    </row>
    <row r="234" spans="1:10" s="57" customFormat="1" ht="14">
      <c r="A234" s="45"/>
      <c r="B234" s="46"/>
      <c r="C234" s="47">
        <f>IF(B234&lt;&gt;"",VLOOKUP(B234,'Tipo Projeto'!$A$3:$B$35,2,0),0)</f>
        <v>0</v>
      </c>
      <c r="D234" s="48"/>
      <c r="E234" s="48"/>
      <c r="F234" s="48"/>
      <c r="G234" s="49"/>
      <c r="H234" s="48"/>
      <c r="I234" s="77">
        <f t="shared" si="3"/>
        <v>0</v>
      </c>
      <c r="J234" s="48"/>
    </row>
    <row r="235" spans="1:10" s="57" customFormat="1" ht="14">
      <c r="A235" s="45"/>
      <c r="B235" s="46"/>
      <c r="C235" s="47">
        <f>IF(B235&lt;&gt;"",VLOOKUP(B235,'Tipo Projeto'!$A$3:$B$35,2,0),0)</f>
        <v>0</v>
      </c>
      <c r="D235" s="48"/>
      <c r="E235" s="48"/>
      <c r="F235" s="48"/>
      <c r="G235" s="49"/>
      <c r="H235" s="48"/>
      <c r="I235" s="77">
        <f t="shared" si="3"/>
        <v>0</v>
      </c>
      <c r="J235" s="48"/>
    </row>
    <row r="236" spans="1:10" s="57" customFormat="1" ht="14">
      <c r="A236" s="45"/>
      <c r="B236" s="46"/>
      <c r="C236" s="47">
        <f>IF(B236&lt;&gt;"",VLOOKUP(B236,'Tipo Projeto'!$A$3:$B$35,2,0),0)</f>
        <v>0</v>
      </c>
      <c r="D236" s="48"/>
      <c r="E236" s="48"/>
      <c r="F236" s="48"/>
      <c r="G236" s="49"/>
      <c r="H236" s="48"/>
      <c r="I236" s="77">
        <f t="shared" si="3"/>
        <v>0</v>
      </c>
      <c r="J236" s="48"/>
    </row>
    <row r="237" spans="1:10" s="57" customFormat="1" ht="14">
      <c r="A237" s="45"/>
      <c r="B237" s="46"/>
      <c r="C237" s="47">
        <f>IF(B237&lt;&gt;"",VLOOKUP(B237,'Tipo Projeto'!$A$3:$B$35,2,0),0)</f>
        <v>0</v>
      </c>
      <c r="D237" s="48"/>
      <c r="E237" s="48"/>
      <c r="F237" s="48"/>
      <c r="G237" s="49"/>
      <c r="H237" s="48"/>
      <c r="I237" s="77">
        <f t="shared" si="3"/>
        <v>0</v>
      </c>
      <c r="J237" s="48"/>
    </row>
    <row r="238" spans="1:10" s="57" customFormat="1" ht="14">
      <c r="A238" s="45"/>
      <c r="B238" s="46"/>
      <c r="C238" s="47">
        <f>IF(B238&lt;&gt;"",VLOOKUP(B238,'Tipo Projeto'!$A$3:$B$35,2,0),0)</f>
        <v>0</v>
      </c>
      <c r="D238" s="48"/>
      <c r="E238" s="48"/>
      <c r="F238" s="48"/>
      <c r="G238" s="49"/>
      <c r="H238" s="48"/>
      <c r="I238" s="77">
        <f t="shared" si="3"/>
        <v>0</v>
      </c>
      <c r="J238" s="48"/>
    </row>
    <row r="239" spans="1:10" s="57" customFormat="1" ht="14">
      <c r="A239" s="45"/>
      <c r="B239" s="46"/>
      <c r="C239" s="47">
        <f>IF(B239&lt;&gt;"",VLOOKUP(B239,'Tipo Projeto'!$A$3:$B$35,2,0),0)</f>
        <v>0</v>
      </c>
      <c r="D239" s="48"/>
      <c r="E239" s="48"/>
      <c r="F239" s="48"/>
      <c r="G239" s="49"/>
      <c r="H239" s="48"/>
      <c r="I239" s="77">
        <f t="shared" si="3"/>
        <v>0</v>
      </c>
      <c r="J239" s="48"/>
    </row>
    <row r="240" spans="1:10" s="57" customFormat="1" ht="14">
      <c r="A240" s="45"/>
      <c r="B240" s="46"/>
      <c r="C240" s="47">
        <f>IF(B240&lt;&gt;"",VLOOKUP(B240,'Tipo Projeto'!$A$3:$B$35,2,0),0)</f>
        <v>0</v>
      </c>
      <c r="D240" s="48"/>
      <c r="E240" s="48"/>
      <c r="F240" s="48"/>
      <c r="G240" s="49"/>
      <c r="H240" s="48"/>
      <c r="I240" s="77">
        <f t="shared" si="3"/>
        <v>0</v>
      </c>
      <c r="J240" s="48"/>
    </row>
    <row r="241" spans="1:10" s="57" customFormat="1" ht="14">
      <c r="A241" s="45"/>
      <c r="B241" s="46"/>
      <c r="C241" s="47">
        <f>IF(B241&lt;&gt;"",VLOOKUP(B241,'Tipo Projeto'!$A$3:$B$35,2,0),0)</f>
        <v>0</v>
      </c>
      <c r="D241" s="48"/>
      <c r="E241" s="48"/>
      <c r="F241" s="48"/>
      <c r="G241" s="49"/>
      <c r="H241" s="48"/>
      <c r="I241" s="77">
        <f t="shared" si="3"/>
        <v>0</v>
      </c>
      <c r="J241" s="48"/>
    </row>
    <row r="242" spans="1:10" s="57" customFormat="1" ht="14">
      <c r="A242" s="45"/>
      <c r="B242" s="46"/>
      <c r="C242" s="47">
        <f>IF(B242&lt;&gt;"",VLOOKUP(B242,'Tipo Projeto'!$A$3:$B$35,2,0),0)</f>
        <v>0</v>
      </c>
      <c r="D242" s="48"/>
      <c r="E242" s="48"/>
      <c r="F242" s="48"/>
      <c r="G242" s="49"/>
      <c r="H242" s="48"/>
      <c r="I242" s="77">
        <f t="shared" si="3"/>
        <v>0</v>
      </c>
      <c r="J242" s="48"/>
    </row>
    <row r="243" spans="1:10" s="57" customFormat="1" ht="14">
      <c r="A243" s="45"/>
      <c r="B243" s="46"/>
      <c r="C243" s="47">
        <f>IF(B243&lt;&gt;"",VLOOKUP(B243,'Tipo Projeto'!$A$3:$B$35,2,0),0)</f>
        <v>0</v>
      </c>
      <c r="D243" s="48"/>
      <c r="E243" s="48"/>
      <c r="F243" s="48"/>
      <c r="G243" s="49"/>
      <c r="H243" s="48"/>
      <c r="I243" s="77">
        <f t="shared" si="3"/>
        <v>0</v>
      </c>
      <c r="J243" s="48"/>
    </row>
    <row r="244" spans="1:10" s="57" customFormat="1" ht="14">
      <c r="A244" s="45"/>
      <c r="B244" s="46"/>
      <c r="C244" s="47">
        <f>IF(B244&lt;&gt;"",VLOOKUP(B244,'Tipo Projeto'!$A$3:$B$35,2,0),0)</f>
        <v>0</v>
      </c>
      <c r="D244" s="48"/>
      <c r="E244" s="48"/>
      <c r="F244" s="48"/>
      <c r="G244" s="49"/>
      <c r="H244" s="48"/>
      <c r="I244" s="77">
        <f t="shared" si="3"/>
        <v>0</v>
      </c>
      <c r="J244" s="48"/>
    </row>
    <row r="245" spans="1:10" s="57" customFormat="1" ht="14">
      <c r="A245" s="45"/>
      <c r="B245" s="46"/>
      <c r="C245" s="47">
        <f>IF(B245&lt;&gt;"",VLOOKUP(B245,'Tipo Projeto'!$A$3:$B$35,2,0),0)</f>
        <v>0</v>
      </c>
      <c r="D245" s="48"/>
      <c r="E245" s="48"/>
      <c r="F245" s="48"/>
      <c r="G245" s="49"/>
      <c r="H245" s="48"/>
      <c r="I245" s="77">
        <f t="shared" si="3"/>
        <v>0</v>
      </c>
      <c r="J245" s="48"/>
    </row>
    <row r="246" spans="1:10" s="57" customFormat="1" ht="14">
      <c r="A246" s="45"/>
      <c r="B246" s="46"/>
      <c r="C246" s="47">
        <f>IF(B246&lt;&gt;"",VLOOKUP(B246,'Tipo Projeto'!$A$3:$B$35,2,0),0)</f>
        <v>0</v>
      </c>
      <c r="D246" s="48"/>
      <c r="E246" s="48"/>
      <c r="F246" s="48"/>
      <c r="G246" s="49"/>
      <c r="H246" s="48"/>
      <c r="I246" s="77">
        <f t="shared" si="3"/>
        <v>0</v>
      </c>
      <c r="J246" s="48"/>
    </row>
    <row r="247" spans="1:10" s="57" customFormat="1" ht="14">
      <c r="A247" s="45"/>
      <c r="B247" s="46"/>
      <c r="C247" s="47">
        <f>IF(B247&lt;&gt;"",VLOOKUP(B247,'Tipo Projeto'!$A$3:$B$35,2,0),0)</f>
        <v>0</v>
      </c>
      <c r="D247" s="48"/>
      <c r="E247" s="48"/>
      <c r="F247" s="48"/>
      <c r="G247" s="49"/>
      <c r="H247" s="48"/>
      <c r="I247" s="77">
        <f t="shared" si="3"/>
        <v>0</v>
      </c>
      <c r="J247" s="48"/>
    </row>
    <row r="248" spans="1:10" s="57" customFormat="1" ht="14">
      <c r="A248" s="45"/>
      <c r="B248" s="46"/>
      <c r="C248" s="47">
        <f>IF(B248&lt;&gt;"",VLOOKUP(B248,'Tipo Projeto'!$A$3:$B$35,2,0),0)</f>
        <v>0</v>
      </c>
      <c r="D248" s="48"/>
      <c r="E248" s="48"/>
      <c r="F248" s="48"/>
      <c r="G248" s="49"/>
      <c r="H248" s="48"/>
      <c r="I248" s="77">
        <f t="shared" si="3"/>
        <v>0</v>
      </c>
      <c r="J248" s="48"/>
    </row>
    <row r="249" spans="1:10" s="57" customFormat="1" ht="14">
      <c r="A249" s="45"/>
      <c r="B249" s="46"/>
      <c r="C249" s="47">
        <f>IF(B249&lt;&gt;"",VLOOKUP(B249,'Tipo Projeto'!$A$3:$B$35,2,0),0)</f>
        <v>0</v>
      </c>
      <c r="D249" s="48"/>
      <c r="E249" s="48"/>
      <c r="F249" s="48"/>
      <c r="G249" s="49"/>
      <c r="H249" s="48"/>
      <c r="I249" s="77">
        <f t="shared" si="3"/>
        <v>0</v>
      </c>
      <c r="J249" s="48"/>
    </row>
    <row r="250" spans="1:10" s="57" customFormat="1" ht="14">
      <c r="A250" s="45"/>
      <c r="B250" s="46"/>
      <c r="C250" s="47">
        <f>IF(B250&lt;&gt;"",VLOOKUP(B250,'Tipo Projeto'!$A$3:$B$35,2,0),0)</f>
        <v>0</v>
      </c>
      <c r="D250" s="48"/>
      <c r="E250" s="48"/>
      <c r="F250" s="48"/>
      <c r="G250" s="49"/>
      <c r="H250" s="48"/>
      <c r="I250" s="77">
        <f t="shared" si="3"/>
        <v>0</v>
      </c>
      <c r="J250" s="48"/>
    </row>
    <row r="251" spans="1:10" s="57" customFormat="1" ht="14">
      <c r="A251" s="45"/>
      <c r="B251" s="46"/>
      <c r="C251" s="47">
        <f>IF(B251&lt;&gt;"",VLOOKUP(B251,'Tipo Projeto'!$A$3:$B$35,2,0),0)</f>
        <v>0</v>
      </c>
      <c r="D251" s="48"/>
      <c r="E251" s="48"/>
      <c r="F251" s="48"/>
      <c r="G251" s="49"/>
      <c r="H251" s="48"/>
      <c r="I251" s="77">
        <f t="shared" si="3"/>
        <v>0</v>
      </c>
      <c r="J251" s="48"/>
    </row>
    <row r="252" spans="1:10" s="57" customFormat="1" ht="14">
      <c r="A252" s="45"/>
      <c r="B252" s="46"/>
      <c r="C252" s="47">
        <f>IF(B252&lt;&gt;"",VLOOKUP(B252,'Tipo Projeto'!$A$3:$B$35,2,0),0)</f>
        <v>0</v>
      </c>
      <c r="D252" s="48"/>
      <c r="E252" s="48"/>
      <c r="F252" s="48"/>
      <c r="G252" s="49"/>
      <c r="H252" s="48"/>
      <c r="I252" s="77">
        <f t="shared" si="3"/>
        <v>0</v>
      </c>
      <c r="J252" s="48"/>
    </row>
    <row r="253" spans="1:10" s="57" customFormat="1" ht="14">
      <c r="A253" s="45"/>
      <c r="B253" s="46"/>
      <c r="C253" s="47">
        <f>IF(B253&lt;&gt;"",VLOOKUP(B253,'Tipo Projeto'!$A$3:$B$35,2,0),0)</f>
        <v>0</v>
      </c>
      <c r="D253" s="48"/>
      <c r="E253" s="48"/>
      <c r="F253" s="48"/>
      <c r="G253" s="49"/>
      <c r="H253" s="48"/>
      <c r="I253" s="77">
        <f t="shared" si="3"/>
        <v>0</v>
      </c>
      <c r="J253" s="48"/>
    </row>
    <row r="254" spans="1:10" s="57" customFormat="1" ht="14">
      <c r="A254" s="45"/>
      <c r="B254" s="46"/>
      <c r="C254" s="47">
        <f>IF(B254&lt;&gt;"",VLOOKUP(B254,'Tipo Projeto'!$A$3:$B$35,2,0),0)</f>
        <v>0</v>
      </c>
      <c r="D254" s="48"/>
      <c r="E254" s="48"/>
      <c r="F254" s="48"/>
      <c r="G254" s="49"/>
      <c r="H254" s="48"/>
      <c r="I254" s="77">
        <f t="shared" si="3"/>
        <v>0</v>
      </c>
      <c r="J254" s="48"/>
    </row>
    <row r="255" spans="1:10" s="57" customFormat="1" ht="14">
      <c r="A255" s="45"/>
      <c r="B255" s="46"/>
      <c r="C255" s="47">
        <f>IF(B255&lt;&gt;"",VLOOKUP(B255,'Tipo Projeto'!$A$3:$B$35,2,0),0)</f>
        <v>0</v>
      </c>
      <c r="D255" s="48"/>
      <c r="E255" s="48"/>
      <c r="F255" s="48"/>
      <c r="G255" s="49"/>
      <c r="H255" s="48"/>
      <c r="I255" s="77">
        <f t="shared" si="3"/>
        <v>0</v>
      </c>
      <c r="J255" s="48"/>
    </row>
    <row r="256" spans="1:10" s="57" customFormat="1" ht="14">
      <c r="A256" s="45"/>
      <c r="B256" s="46"/>
      <c r="C256" s="47">
        <f>IF(B256&lt;&gt;"",VLOOKUP(B256,'Tipo Projeto'!$A$3:$B$35,2,0),0)</f>
        <v>0</v>
      </c>
      <c r="D256" s="48"/>
      <c r="E256" s="48"/>
      <c r="F256" s="48"/>
      <c r="G256" s="49"/>
      <c r="H256" s="48"/>
      <c r="I256" s="77">
        <f t="shared" si="3"/>
        <v>0</v>
      </c>
      <c r="J256" s="48"/>
    </row>
    <row r="257" spans="1:10" s="57" customFormat="1" ht="14">
      <c r="A257" s="45"/>
      <c r="B257" s="46"/>
      <c r="C257" s="47">
        <f>IF(B257&lt;&gt;"",VLOOKUP(B257,'Tipo Projeto'!$A$3:$B$35,2,0),0)</f>
        <v>0</v>
      </c>
      <c r="D257" s="48"/>
      <c r="E257" s="48"/>
      <c r="F257" s="48"/>
      <c r="G257" s="49"/>
      <c r="H257" s="48"/>
      <c r="I257" s="77">
        <f t="shared" si="3"/>
        <v>0</v>
      </c>
      <c r="J257" s="48"/>
    </row>
    <row r="258" spans="1:10" s="57" customFormat="1" ht="14">
      <c r="A258" s="45"/>
      <c r="B258" s="46"/>
      <c r="C258" s="47">
        <f>IF(B258&lt;&gt;"",VLOOKUP(B258,'Tipo Projeto'!$A$3:$B$35,2,0),0)</f>
        <v>0</v>
      </c>
      <c r="D258" s="48"/>
      <c r="E258" s="48"/>
      <c r="F258" s="48"/>
      <c r="G258" s="49"/>
      <c r="H258" s="48"/>
      <c r="I258" s="77">
        <f t="shared" si="3"/>
        <v>0</v>
      </c>
      <c r="J258" s="48"/>
    </row>
    <row r="259" spans="1:10" s="57" customFormat="1" ht="14">
      <c r="A259" s="45"/>
      <c r="B259" s="46"/>
      <c r="C259" s="47">
        <f>IF(B259&lt;&gt;"",VLOOKUP(B259,'Tipo Projeto'!$A$3:$B$35,2,0),0)</f>
        <v>0</v>
      </c>
      <c r="D259" s="48"/>
      <c r="E259" s="48"/>
      <c r="F259" s="48"/>
      <c r="G259" s="49"/>
      <c r="H259" s="48"/>
      <c r="I259" s="77">
        <f t="shared" si="3"/>
        <v>0</v>
      </c>
      <c r="J259" s="48"/>
    </row>
    <row r="260" spans="1:10" s="57" customFormat="1" ht="14">
      <c r="A260" s="45"/>
      <c r="B260" s="46"/>
      <c r="C260" s="47">
        <f>IF(B260&lt;&gt;"",VLOOKUP(B260,'Tipo Projeto'!$A$3:$B$35,2,0),0)</f>
        <v>0</v>
      </c>
      <c r="D260" s="48"/>
      <c r="E260" s="48"/>
      <c r="F260" s="48"/>
      <c r="G260" s="49"/>
      <c r="H260" s="48"/>
      <c r="I260" s="77">
        <f t="shared" si="3"/>
        <v>0</v>
      </c>
      <c r="J260" s="48"/>
    </row>
    <row r="261" spans="1:10" s="57" customFormat="1" ht="14">
      <c r="A261" s="45"/>
      <c r="B261" s="46"/>
      <c r="C261" s="47">
        <f>IF(B261&lt;&gt;"",VLOOKUP(B261,'Tipo Projeto'!$A$3:$B$35,2,0),0)</f>
        <v>0</v>
      </c>
      <c r="D261" s="48"/>
      <c r="E261" s="48"/>
      <c r="F261" s="48"/>
      <c r="G261" s="49"/>
      <c r="H261" s="48"/>
      <c r="I261" s="77">
        <f t="shared" si="3"/>
        <v>0</v>
      </c>
      <c r="J261" s="48"/>
    </row>
    <row r="262" spans="1:10" s="57" customFormat="1" ht="14">
      <c r="A262" s="45"/>
      <c r="B262" s="46"/>
      <c r="C262" s="47">
        <f>IF(B262&lt;&gt;"",VLOOKUP(B262,'Tipo Projeto'!$A$3:$B$35,2,0),0)</f>
        <v>0</v>
      </c>
      <c r="D262" s="48"/>
      <c r="E262" s="48"/>
      <c r="F262" s="48"/>
      <c r="G262" s="49"/>
      <c r="H262" s="48"/>
      <c r="I262" s="77">
        <f t="shared" si="3"/>
        <v>0</v>
      </c>
      <c r="J262" s="48"/>
    </row>
    <row r="263" spans="1:10" s="57" customFormat="1" ht="14">
      <c r="A263" s="45"/>
      <c r="B263" s="46"/>
      <c r="C263" s="47">
        <f>IF(B263&lt;&gt;"",VLOOKUP(B263,'Tipo Projeto'!$A$3:$B$35,2,0),0)</f>
        <v>0</v>
      </c>
      <c r="D263" s="48"/>
      <c r="E263" s="48"/>
      <c r="F263" s="48"/>
      <c r="G263" s="49"/>
      <c r="H263" s="48"/>
      <c r="I263" s="77">
        <f t="shared" si="3"/>
        <v>0</v>
      </c>
      <c r="J263" s="48"/>
    </row>
    <row r="264" spans="1:10" s="57" customFormat="1" ht="14">
      <c r="A264" s="45"/>
      <c r="B264" s="46"/>
      <c r="C264" s="47">
        <f>IF(B264&lt;&gt;"",VLOOKUP(B264,'Tipo Projeto'!$A$3:$B$35,2,0),0)</f>
        <v>0</v>
      </c>
      <c r="D264" s="48"/>
      <c r="E264" s="48"/>
      <c r="F264" s="48"/>
      <c r="G264" s="49"/>
      <c r="H264" s="48"/>
      <c r="I264" s="77">
        <f t="shared" si="3"/>
        <v>0</v>
      </c>
      <c r="J264" s="48"/>
    </row>
    <row r="265" spans="1:10" s="57" customFormat="1" ht="14">
      <c r="A265" s="45"/>
      <c r="B265" s="46"/>
      <c r="C265" s="47">
        <f>IF(B265&lt;&gt;"",VLOOKUP(B265,'Tipo Projeto'!$A$3:$B$35,2,0),0)</f>
        <v>0</v>
      </c>
      <c r="D265" s="48"/>
      <c r="E265" s="48"/>
      <c r="F265" s="48"/>
      <c r="G265" s="49"/>
      <c r="H265" s="48"/>
      <c r="I265" s="77">
        <f t="shared" si="3"/>
        <v>0</v>
      </c>
      <c r="J265" s="48"/>
    </row>
    <row r="266" spans="1:10" s="57" customFormat="1" ht="14">
      <c r="A266" s="45"/>
      <c r="B266" s="46"/>
      <c r="C266" s="47">
        <f>IF(B266&lt;&gt;"",VLOOKUP(B266,'Tipo Projeto'!$A$3:$B$35,2,0),0)</f>
        <v>0</v>
      </c>
      <c r="D266" s="48"/>
      <c r="E266" s="48"/>
      <c r="F266" s="48"/>
      <c r="G266" s="49"/>
      <c r="H266" s="48"/>
      <c r="I266" s="77">
        <f t="shared" si="3"/>
        <v>0</v>
      </c>
      <c r="J266" s="48"/>
    </row>
    <row r="267" spans="1:10" s="57" customFormat="1" ht="14">
      <c r="A267" s="45"/>
      <c r="B267" s="46"/>
      <c r="C267" s="47">
        <f>IF(B267&lt;&gt;"",VLOOKUP(B267,'Tipo Projeto'!$A$3:$B$35,2,0),0)</f>
        <v>0</v>
      </c>
      <c r="D267" s="48"/>
      <c r="E267" s="48"/>
      <c r="F267" s="48"/>
      <c r="G267" s="49"/>
      <c r="H267" s="48"/>
      <c r="I267" s="77">
        <f t="shared" ref="I267:I330" si="4">IF(B267&lt;&gt;"Manutenção em interface",IF(B267&lt;&gt;"Desenv., Manutenção e Publicação de Páginas Estáticas",IF(H267="EE",4,IF(H267="CE",4,IF(H267="SE",5,IF(H267="ALI",7,IF(H267="AIE",5,0)))))*C267,C267),C267)</f>
        <v>0</v>
      </c>
      <c r="J267" s="48"/>
    </row>
    <row r="268" spans="1:10" s="57" customFormat="1" ht="14">
      <c r="A268" s="45"/>
      <c r="B268" s="46"/>
      <c r="C268" s="47">
        <f>IF(B268&lt;&gt;"",VLOOKUP(B268,'Tipo Projeto'!$A$3:$B$35,2,0),0)</f>
        <v>0</v>
      </c>
      <c r="D268" s="48"/>
      <c r="E268" s="48"/>
      <c r="F268" s="48"/>
      <c r="G268" s="49"/>
      <c r="H268" s="48"/>
      <c r="I268" s="77">
        <f t="shared" si="4"/>
        <v>0</v>
      </c>
      <c r="J268" s="48"/>
    </row>
    <row r="269" spans="1:10" s="57" customFormat="1" ht="14">
      <c r="A269" s="45"/>
      <c r="B269" s="46"/>
      <c r="C269" s="47">
        <f>IF(B269&lt;&gt;"",VLOOKUP(B269,'Tipo Projeto'!$A$3:$B$35,2,0),0)</f>
        <v>0</v>
      </c>
      <c r="D269" s="48"/>
      <c r="E269" s="48"/>
      <c r="F269" s="48"/>
      <c r="G269" s="49"/>
      <c r="H269" s="48"/>
      <c r="I269" s="77">
        <f t="shared" si="4"/>
        <v>0</v>
      </c>
      <c r="J269" s="48"/>
    </row>
    <row r="270" spans="1:10" s="57" customFormat="1" ht="14">
      <c r="A270" s="45"/>
      <c r="B270" s="46"/>
      <c r="C270" s="47">
        <f>IF(B270&lt;&gt;"",VLOOKUP(B270,'Tipo Projeto'!$A$3:$B$35,2,0),0)</f>
        <v>0</v>
      </c>
      <c r="D270" s="48"/>
      <c r="E270" s="48"/>
      <c r="F270" s="48"/>
      <c r="G270" s="49"/>
      <c r="H270" s="48"/>
      <c r="I270" s="77">
        <f t="shared" si="4"/>
        <v>0</v>
      </c>
      <c r="J270" s="48"/>
    </row>
    <row r="271" spans="1:10" s="57" customFormat="1" ht="14">
      <c r="A271" s="45"/>
      <c r="B271" s="46"/>
      <c r="C271" s="47">
        <f>IF(B271&lt;&gt;"",VLOOKUP(B271,'Tipo Projeto'!$A$3:$B$35,2,0),0)</f>
        <v>0</v>
      </c>
      <c r="D271" s="48"/>
      <c r="E271" s="48"/>
      <c r="F271" s="48"/>
      <c r="G271" s="49"/>
      <c r="H271" s="48"/>
      <c r="I271" s="77">
        <f t="shared" si="4"/>
        <v>0</v>
      </c>
      <c r="J271" s="48"/>
    </row>
    <row r="272" spans="1:10" s="57" customFormat="1" ht="14">
      <c r="A272" s="45"/>
      <c r="B272" s="46"/>
      <c r="C272" s="47">
        <f>IF(B272&lt;&gt;"",VLOOKUP(B272,'Tipo Projeto'!$A$3:$B$35,2,0),0)</f>
        <v>0</v>
      </c>
      <c r="D272" s="48"/>
      <c r="E272" s="48"/>
      <c r="F272" s="48"/>
      <c r="G272" s="49"/>
      <c r="H272" s="48"/>
      <c r="I272" s="77">
        <f t="shared" si="4"/>
        <v>0</v>
      </c>
      <c r="J272" s="48"/>
    </row>
    <row r="273" spans="1:10" s="57" customFormat="1" ht="14">
      <c r="A273" s="45"/>
      <c r="B273" s="46"/>
      <c r="C273" s="47">
        <f>IF(B273&lt;&gt;"",VLOOKUP(B273,'Tipo Projeto'!$A$3:$B$35,2,0),0)</f>
        <v>0</v>
      </c>
      <c r="D273" s="48"/>
      <c r="E273" s="48"/>
      <c r="F273" s="48"/>
      <c r="G273" s="49"/>
      <c r="H273" s="48"/>
      <c r="I273" s="77">
        <f t="shared" si="4"/>
        <v>0</v>
      </c>
      <c r="J273" s="48"/>
    </row>
    <row r="274" spans="1:10" s="57" customFormat="1" ht="14">
      <c r="A274" s="45"/>
      <c r="B274" s="46"/>
      <c r="C274" s="47">
        <f>IF(B274&lt;&gt;"",VLOOKUP(B274,'Tipo Projeto'!$A$3:$B$35,2,0),0)</f>
        <v>0</v>
      </c>
      <c r="D274" s="48"/>
      <c r="E274" s="48"/>
      <c r="F274" s="48"/>
      <c r="G274" s="49"/>
      <c r="H274" s="48"/>
      <c r="I274" s="77">
        <f t="shared" si="4"/>
        <v>0</v>
      </c>
      <c r="J274" s="48"/>
    </row>
    <row r="275" spans="1:10" s="57" customFormat="1" ht="14">
      <c r="A275" s="45"/>
      <c r="B275" s="46"/>
      <c r="C275" s="47">
        <f>IF(B275&lt;&gt;"",VLOOKUP(B275,'Tipo Projeto'!$A$3:$B$35,2,0),0)</f>
        <v>0</v>
      </c>
      <c r="D275" s="48"/>
      <c r="E275" s="48"/>
      <c r="F275" s="48"/>
      <c r="G275" s="49"/>
      <c r="H275" s="48"/>
      <c r="I275" s="77">
        <f t="shared" si="4"/>
        <v>0</v>
      </c>
      <c r="J275" s="48"/>
    </row>
    <row r="276" spans="1:10" s="57" customFormat="1" ht="14">
      <c r="A276" s="45"/>
      <c r="B276" s="46"/>
      <c r="C276" s="47">
        <f>IF(B276&lt;&gt;"",VLOOKUP(B276,'Tipo Projeto'!$A$3:$B$35,2,0),0)</f>
        <v>0</v>
      </c>
      <c r="D276" s="48"/>
      <c r="E276" s="48"/>
      <c r="F276" s="48"/>
      <c r="G276" s="49"/>
      <c r="H276" s="48"/>
      <c r="I276" s="77">
        <f t="shared" si="4"/>
        <v>0</v>
      </c>
      <c r="J276" s="48"/>
    </row>
    <row r="277" spans="1:10" s="57" customFormat="1" ht="14">
      <c r="A277" s="45"/>
      <c r="B277" s="46"/>
      <c r="C277" s="47">
        <f>IF(B277&lt;&gt;"",VLOOKUP(B277,'Tipo Projeto'!$A$3:$B$35,2,0),0)</f>
        <v>0</v>
      </c>
      <c r="D277" s="48"/>
      <c r="E277" s="48"/>
      <c r="F277" s="48"/>
      <c r="G277" s="49"/>
      <c r="H277" s="48"/>
      <c r="I277" s="77">
        <f t="shared" si="4"/>
        <v>0</v>
      </c>
      <c r="J277" s="48"/>
    </row>
    <row r="278" spans="1:10" s="57" customFormat="1" ht="14">
      <c r="A278" s="45"/>
      <c r="B278" s="46"/>
      <c r="C278" s="47">
        <f>IF(B278&lt;&gt;"",VLOOKUP(B278,'Tipo Projeto'!$A$3:$B$35,2,0),0)</f>
        <v>0</v>
      </c>
      <c r="D278" s="48"/>
      <c r="E278" s="48"/>
      <c r="F278" s="48"/>
      <c r="G278" s="49"/>
      <c r="H278" s="48"/>
      <c r="I278" s="77">
        <f t="shared" si="4"/>
        <v>0</v>
      </c>
      <c r="J278" s="48"/>
    </row>
    <row r="279" spans="1:10" s="57" customFormat="1" ht="14">
      <c r="A279" s="45"/>
      <c r="B279" s="46"/>
      <c r="C279" s="47">
        <f>IF(B279&lt;&gt;"",VLOOKUP(B279,'Tipo Projeto'!$A$3:$B$35,2,0),0)</f>
        <v>0</v>
      </c>
      <c r="D279" s="48"/>
      <c r="E279" s="48"/>
      <c r="F279" s="48"/>
      <c r="G279" s="49"/>
      <c r="H279" s="48"/>
      <c r="I279" s="77">
        <f t="shared" si="4"/>
        <v>0</v>
      </c>
      <c r="J279" s="48"/>
    </row>
    <row r="280" spans="1:10" s="57" customFormat="1" ht="14">
      <c r="A280" s="45"/>
      <c r="B280" s="46"/>
      <c r="C280" s="47">
        <f>IF(B280&lt;&gt;"",VLOOKUP(B280,'Tipo Projeto'!$A$3:$B$35,2,0),0)</f>
        <v>0</v>
      </c>
      <c r="D280" s="48"/>
      <c r="E280" s="48"/>
      <c r="F280" s="48"/>
      <c r="G280" s="49"/>
      <c r="H280" s="48"/>
      <c r="I280" s="77">
        <f t="shared" si="4"/>
        <v>0</v>
      </c>
      <c r="J280" s="48"/>
    </row>
    <row r="281" spans="1:10" s="57" customFormat="1" ht="14">
      <c r="A281" s="45"/>
      <c r="B281" s="46"/>
      <c r="C281" s="47">
        <f>IF(B281&lt;&gt;"",VLOOKUP(B281,'Tipo Projeto'!$A$3:$B$35,2,0),0)</f>
        <v>0</v>
      </c>
      <c r="D281" s="48"/>
      <c r="E281" s="48"/>
      <c r="F281" s="48"/>
      <c r="G281" s="49"/>
      <c r="H281" s="48"/>
      <c r="I281" s="77">
        <f t="shared" si="4"/>
        <v>0</v>
      </c>
      <c r="J281" s="48"/>
    </row>
    <row r="282" spans="1:10" s="57" customFormat="1" ht="14">
      <c r="A282" s="45"/>
      <c r="B282" s="46"/>
      <c r="C282" s="47">
        <f>IF(B282&lt;&gt;"",VLOOKUP(B282,'Tipo Projeto'!$A$3:$B$35,2,0),0)</f>
        <v>0</v>
      </c>
      <c r="D282" s="48"/>
      <c r="E282" s="48"/>
      <c r="F282" s="48"/>
      <c r="G282" s="49"/>
      <c r="H282" s="48"/>
      <c r="I282" s="77">
        <f t="shared" si="4"/>
        <v>0</v>
      </c>
      <c r="J282" s="48"/>
    </row>
    <row r="283" spans="1:10" s="57" customFormat="1" ht="14">
      <c r="A283" s="45"/>
      <c r="B283" s="46"/>
      <c r="C283" s="47">
        <f>IF(B283&lt;&gt;"",VLOOKUP(B283,'Tipo Projeto'!$A$3:$B$35,2,0),0)</f>
        <v>0</v>
      </c>
      <c r="D283" s="48"/>
      <c r="E283" s="48"/>
      <c r="F283" s="48"/>
      <c r="G283" s="49"/>
      <c r="H283" s="48"/>
      <c r="I283" s="77">
        <f t="shared" si="4"/>
        <v>0</v>
      </c>
      <c r="J283" s="48"/>
    </row>
    <row r="284" spans="1:10" s="57" customFormat="1" ht="14">
      <c r="A284" s="45"/>
      <c r="B284" s="46"/>
      <c r="C284" s="47">
        <f>IF(B284&lt;&gt;"",VLOOKUP(B284,'Tipo Projeto'!$A$3:$B$35,2,0),0)</f>
        <v>0</v>
      </c>
      <c r="D284" s="48"/>
      <c r="E284" s="48"/>
      <c r="F284" s="48"/>
      <c r="G284" s="49"/>
      <c r="H284" s="48"/>
      <c r="I284" s="77">
        <f t="shared" si="4"/>
        <v>0</v>
      </c>
      <c r="J284" s="48"/>
    </row>
    <row r="285" spans="1:10" s="57" customFormat="1" ht="14">
      <c r="A285" s="45"/>
      <c r="B285" s="46"/>
      <c r="C285" s="47">
        <f>IF(B285&lt;&gt;"",VLOOKUP(B285,'Tipo Projeto'!$A$3:$B$35,2,0),0)</f>
        <v>0</v>
      </c>
      <c r="D285" s="48"/>
      <c r="E285" s="48"/>
      <c r="F285" s="48"/>
      <c r="G285" s="49"/>
      <c r="H285" s="48"/>
      <c r="I285" s="77">
        <f t="shared" si="4"/>
        <v>0</v>
      </c>
      <c r="J285" s="48"/>
    </row>
    <row r="286" spans="1:10" s="57" customFormat="1" ht="14">
      <c r="A286" s="45"/>
      <c r="B286" s="46"/>
      <c r="C286" s="47">
        <f>IF(B286&lt;&gt;"",VLOOKUP(B286,'Tipo Projeto'!$A$3:$B$35,2,0),0)</f>
        <v>0</v>
      </c>
      <c r="D286" s="48"/>
      <c r="E286" s="48"/>
      <c r="F286" s="48"/>
      <c r="G286" s="49"/>
      <c r="H286" s="48"/>
      <c r="I286" s="77">
        <f t="shared" si="4"/>
        <v>0</v>
      </c>
      <c r="J286" s="48"/>
    </row>
    <row r="287" spans="1:10" s="57" customFormat="1" ht="14">
      <c r="A287" s="45"/>
      <c r="B287" s="46"/>
      <c r="C287" s="47">
        <f>IF(B287&lt;&gt;"",VLOOKUP(B287,'Tipo Projeto'!$A$3:$B$35,2,0),0)</f>
        <v>0</v>
      </c>
      <c r="D287" s="48"/>
      <c r="E287" s="48"/>
      <c r="F287" s="48"/>
      <c r="G287" s="49"/>
      <c r="H287" s="48"/>
      <c r="I287" s="77">
        <f t="shared" si="4"/>
        <v>0</v>
      </c>
      <c r="J287" s="48"/>
    </row>
    <row r="288" spans="1:10" s="57" customFormat="1" ht="14">
      <c r="A288" s="45"/>
      <c r="B288" s="46"/>
      <c r="C288" s="47">
        <f>IF(B288&lt;&gt;"",VLOOKUP(B288,'Tipo Projeto'!$A$3:$B$35,2,0),0)</f>
        <v>0</v>
      </c>
      <c r="D288" s="48"/>
      <c r="E288" s="48"/>
      <c r="F288" s="48"/>
      <c r="G288" s="49"/>
      <c r="H288" s="48"/>
      <c r="I288" s="77">
        <f t="shared" si="4"/>
        <v>0</v>
      </c>
      <c r="J288" s="48"/>
    </row>
    <row r="289" spans="1:10" s="57" customFormat="1" ht="14">
      <c r="A289" s="45"/>
      <c r="B289" s="46"/>
      <c r="C289" s="47">
        <f>IF(B289&lt;&gt;"",VLOOKUP(B289,'Tipo Projeto'!$A$3:$B$35,2,0),0)</f>
        <v>0</v>
      </c>
      <c r="D289" s="48"/>
      <c r="E289" s="48"/>
      <c r="F289" s="48"/>
      <c r="G289" s="49"/>
      <c r="H289" s="48"/>
      <c r="I289" s="77">
        <f t="shared" si="4"/>
        <v>0</v>
      </c>
      <c r="J289" s="48"/>
    </row>
    <row r="290" spans="1:10" s="57" customFormat="1" ht="14">
      <c r="A290" s="45"/>
      <c r="B290" s="46"/>
      <c r="C290" s="47">
        <f>IF(B290&lt;&gt;"",VLOOKUP(B290,'Tipo Projeto'!$A$3:$B$35,2,0),0)</f>
        <v>0</v>
      </c>
      <c r="D290" s="48"/>
      <c r="E290" s="48"/>
      <c r="F290" s="48"/>
      <c r="G290" s="49"/>
      <c r="H290" s="48"/>
      <c r="I290" s="77">
        <f t="shared" si="4"/>
        <v>0</v>
      </c>
      <c r="J290" s="48"/>
    </row>
    <row r="291" spans="1:10" s="57" customFormat="1" ht="14">
      <c r="A291" s="45"/>
      <c r="B291" s="46"/>
      <c r="C291" s="47">
        <f>IF(B291&lt;&gt;"",VLOOKUP(B291,'Tipo Projeto'!$A$3:$B$35,2,0),0)</f>
        <v>0</v>
      </c>
      <c r="D291" s="48"/>
      <c r="E291" s="48"/>
      <c r="F291" s="48"/>
      <c r="G291" s="49"/>
      <c r="H291" s="48"/>
      <c r="I291" s="77">
        <f t="shared" si="4"/>
        <v>0</v>
      </c>
      <c r="J291" s="48"/>
    </row>
    <row r="292" spans="1:10" s="57" customFormat="1" ht="14">
      <c r="A292" s="45"/>
      <c r="B292" s="46"/>
      <c r="C292" s="47">
        <f>IF(B292&lt;&gt;"",VLOOKUP(B292,'Tipo Projeto'!$A$3:$B$35,2,0),0)</f>
        <v>0</v>
      </c>
      <c r="D292" s="48"/>
      <c r="E292" s="48"/>
      <c r="F292" s="48"/>
      <c r="G292" s="49"/>
      <c r="H292" s="48"/>
      <c r="I292" s="77">
        <f t="shared" si="4"/>
        <v>0</v>
      </c>
      <c r="J292" s="48"/>
    </row>
    <row r="293" spans="1:10" s="57" customFormat="1" ht="14">
      <c r="A293" s="45"/>
      <c r="B293" s="46"/>
      <c r="C293" s="47">
        <f>IF(B293&lt;&gt;"",VLOOKUP(B293,'Tipo Projeto'!$A$3:$B$35,2,0),0)</f>
        <v>0</v>
      </c>
      <c r="D293" s="48"/>
      <c r="E293" s="48"/>
      <c r="F293" s="48"/>
      <c r="G293" s="49"/>
      <c r="H293" s="48"/>
      <c r="I293" s="77">
        <f t="shared" si="4"/>
        <v>0</v>
      </c>
      <c r="J293" s="48"/>
    </row>
    <row r="294" spans="1:10" s="57" customFormat="1" ht="14">
      <c r="A294" s="45"/>
      <c r="B294" s="46"/>
      <c r="C294" s="47">
        <f>IF(B294&lt;&gt;"",VLOOKUP(B294,'Tipo Projeto'!$A$3:$B$35,2,0),0)</f>
        <v>0</v>
      </c>
      <c r="D294" s="48"/>
      <c r="E294" s="48"/>
      <c r="F294" s="48"/>
      <c r="G294" s="49"/>
      <c r="H294" s="48"/>
      <c r="I294" s="77">
        <f t="shared" si="4"/>
        <v>0</v>
      </c>
      <c r="J294" s="48"/>
    </row>
    <row r="295" spans="1:10" s="57" customFormat="1" ht="14">
      <c r="A295" s="45"/>
      <c r="B295" s="46"/>
      <c r="C295" s="47">
        <f>IF(B295&lt;&gt;"",VLOOKUP(B295,'Tipo Projeto'!$A$3:$B$35,2,0),0)</f>
        <v>0</v>
      </c>
      <c r="D295" s="48"/>
      <c r="E295" s="48"/>
      <c r="F295" s="48"/>
      <c r="G295" s="49"/>
      <c r="H295" s="48"/>
      <c r="I295" s="77">
        <f t="shared" si="4"/>
        <v>0</v>
      </c>
      <c r="J295" s="48"/>
    </row>
    <row r="296" spans="1:10" s="57" customFormat="1" ht="14">
      <c r="A296" s="45"/>
      <c r="B296" s="46"/>
      <c r="C296" s="47">
        <f>IF(B296&lt;&gt;"",VLOOKUP(B296,'Tipo Projeto'!$A$3:$B$35,2,0),0)</f>
        <v>0</v>
      </c>
      <c r="D296" s="48"/>
      <c r="E296" s="48"/>
      <c r="F296" s="48"/>
      <c r="G296" s="49"/>
      <c r="H296" s="48"/>
      <c r="I296" s="77">
        <f t="shared" si="4"/>
        <v>0</v>
      </c>
      <c r="J296" s="48"/>
    </row>
    <row r="297" spans="1:10" s="57" customFormat="1" ht="14">
      <c r="A297" s="45"/>
      <c r="B297" s="46"/>
      <c r="C297" s="47">
        <f>IF(B297&lt;&gt;"",VLOOKUP(B297,'Tipo Projeto'!$A$3:$B$35,2,0),0)</f>
        <v>0</v>
      </c>
      <c r="D297" s="48"/>
      <c r="E297" s="48"/>
      <c r="F297" s="48"/>
      <c r="G297" s="49"/>
      <c r="H297" s="48"/>
      <c r="I297" s="77">
        <f t="shared" si="4"/>
        <v>0</v>
      </c>
      <c r="J297" s="48"/>
    </row>
    <row r="298" spans="1:10" s="57" customFormat="1" ht="14">
      <c r="A298" s="45"/>
      <c r="B298" s="46"/>
      <c r="C298" s="47">
        <f>IF(B298&lt;&gt;"",VLOOKUP(B298,'Tipo Projeto'!$A$3:$B$35,2,0),0)</f>
        <v>0</v>
      </c>
      <c r="D298" s="48"/>
      <c r="E298" s="48"/>
      <c r="F298" s="48"/>
      <c r="G298" s="49"/>
      <c r="H298" s="48"/>
      <c r="I298" s="77">
        <f t="shared" si="4"/>
        <v>0</v>
      </c>
      <c r="J298" s="48"/>
    </row>
    <row r="299" spans="1:10" s="57" customFormat="1" ht="14">
      <c r="A299" s="45"/>
      <c r="B299" s="46"/>
      <c r="C299" s="47">
        <f>IF(B299&lt;&gt;"",VLOOKUP(B299,'Tipo Projeto'!$A$3:$B$35,2,0),0)</f>
        <v>0</v>
      </c>
      <c r="D299" s="48"/>
      <c r="E299" s="48"/>
      <c r="F299" s="48"/>
      <c r="G299" s="49"/>
      <c r="H299" s="48"/>
      <c r="I299" s="77">
        <f t="shared" si="4"/>
        <v>0</v>
      </c>
      <c r="J299" s="48"/>
    </row>
    <row r="300" spans="1:10" s="57" customFormat="1" ht="14">
      <c r="A300" s="45"/>
      <c r="B300" s="46"/>
      <c r="C300" s="47">
        <f>IF(B300&lt;&gt;"",VLOOKUP(B300,'Tipo Projeto'!$A$3:$B$35,2,0),0)</f>
        <v>0</v>
      </c>
      <c r="D300" s="48"/>
      <c r="E300" s="48"/>
      <c r="F300" s="48"/>
      <c r="G300" s="49"/>
      <c r="H300" s="48"/>
      <c r="I300" s="77">
        <f t="shared" si="4"/>
        <v>0</v>
      </c>
      <c r="J300" s="48"/>
    </row>
    <row r="301" spans="1:10" s="57" customFormat="1" ht="14">
      <c r="A301" s="45"/>
      <c r="B301" s="46"/>
      <c r="C301" s="47">
        <f>IF(B301&lt;&gt;"",VLOOKUP(B301,'Tipo Projeto'!$A$3:$B$35,2,0),0)</f>
        <v>0</v>
      </c>
      <c r="D301" s="48"/>
      <c r="E301" s="48"/>
      <c r="F301" s="48"/>
      <c r="G301" s="49"/>
      <c r="H301" s="48"/>
      <c r="I301" s="77">
        <f t="shared" si="4"/>
        <v>0</v>
      </c>
      <c r="J301" s="48"/>
    </row>
    <row r="302" spans="1:10" s="57" customFormat="1" ht="14">
      <c r="A302" s="45"/>
      <c r="B302" s="46"/>
      <c r="C302" s="47">
        <f>IF(B302&lt;&gt;"",VLOOKUP(B302,'Tipo Projeto'!$A$3:$B$35,2,0),0)</f>
        <v>0</v>
      </c>
      <c r="D302" s="48"/>
      <c r="E302" s="48"/>
      <c r="F302" s="48"/>
      <c r="G302" s="49"/>
      <c r="H302" s="48"/>
      <c r="I302" s="77">
        <f t="shared" si="4"/>
        <v>0</v>
      </c>
      <c r="J302" s="48"/>
    </row>
    <row r="303" spans="1:10" s="57" customFormat="1" ht="14">
      <c r="A303" s="45"/>
      <c r="B303" s="46"/>
      <c r="C303" s="47">
        <f>IF(B303&lt;&gt;"",VLOOKUP(B303,'Tipo Projeto'!$A$3:$B$35,2,0),0)</f>
        <v>0</v>
      </c>
      <c r="D303" s="48"/>
      <c r="E303" s="48"/>
      <c r="F303" s="48"/>
      <c r="G303" s="49"/>
      <c r="H303" s="48"/>
      <c r="I303" s="77">
        <f t="shared" si="4"/>
        <v>0</v>
      </c>
      <c r="J303" s="48"/>
    </row>
    <row r="304" spans="1:10" s="57" customFormat="1" ht="14">
      <c r="A304" s="45"/>
      <c r="B304" s="46"/>
      <c r="C304" s="47">
        <f>IF(B304&lt;&gt;"",VLOOKUP(B304,'Tipo Projeto'!$A$3:$B$35,2,0),0)</f>
        <v>0</v>
      </c>
      <c r="D304" s="48"/>
      <c r="E304" s="48"/>
      <c r="F304" s="48"/>
      <c r="G304" s="49"/>
      <c r="H304" s="48"/>
      <c r="I304" s="77">
        <f t="shared" si="4"/>
        <v>0</v>
      </c>
      <c r="J304" s="48"/>
    </row>
    <row r="305" spans="1:10" s="57" customFormat="1" ht="14">
      <c r="A305" s="45"/>
      <c r="B305" s="46"/>
      <c r="C305" s="47">
        <f>IF(B305&lt;&gt;"",VLOOKUP(B305,'Tipo Projeto'!$A$3:$B$35,2,0),0)</f>
        <v>0</v>
      </c>
      <c r="D305" s="48"/>
      <c r="E305" s="48"/>
      <c r="F305" s="48"/>
      <c r="G305" s="49"/>
      <c r="H305" s="48"/>
      <c r="I305" s="77">
        <f t="shared" si="4"/>
        <v>0</v>
      </c>
      <c r="J305" s="48"/>
    </row>
    <row r="306" spans="1:10" s="57" customFormat="1" ht="14">
      <c r="A306" s="45"/>
      <c r="B306" s="46"/>
      <c r="C306" s="47">
        <f>IF(B306&lt;&gt;"",VLOOKUP(B306,'Tipo Projeto'!$A$3:$B$35,2,0),0)</f>
        <v>0</v>
      </c>
      <c r="D306" s="48"/>
      <c r="E306" s="48"/>
      <c r="F306" s="48"/>
      <c r="G306" s="49"/>
      <c r="H306" s="48"/>
      <c r="I306" s="77">
        <f t="shared" si="4"/>
        <v>0</v>
      </c>
      <c r="J306" s="48"/>
    </row>
    <row r="307" spans="1:10" s="57" customFormat="1" ht="14">
      <c r="A307" s="45"/>
      <c r="B307" s="46"/>
      <c r="C307" s="47">
        <f>IF(B307&lt;&gt;"",VLOOKUP(B307,'Tipo Projeto'!$A$3:$B$35,2,0),0)</f>
        <v>0</v>
      </c>
      <c r="D307" s="48"/>
      <c r="E307" s="48"/>
      <c r="F307" s="48"/>
      <c r="G307" s="49"/>
      <c r="H307" s="48"/>
      <c r="I307" s="77">
        <f t="shared" si="4"/>
        <v>0</v>
      </c>
      <c r="J307" s="48"/>
    </row>
    <row r="308" spans="1:10" s="57" customFormat="1" ht="14">
      <c r="A308" s="45"/>
      <c r="B308" s="46"/>
      <c r="C308" s="47">
        <f>IF(B308&lt;&gt;"",VLOOKUP(B308,'Tipo Projeto'!$A$3:$B$35,2,0),0)</f>
        <v>0</v>
      </c>
      <c r="D308" s="48"/>
      <c r="E308" s="48"/>
      <c r="F308" s="48"/>
      <c r="G308" s="49"/>
      <c r="H308" s="48"/>
      <c r="I308" s="77">
        <f t="shared" si="4"/>
        <v>0</v>
      </c>
      <c r="J308" s="48"/>
    </row>
    <row r="309" spans="1:10" s="57" customFormat="1" ht="14">
      <c r="A309" s="45"/>
      <c r="B309" s="46"/>
      <c r="C309" s="47">
        <f>IF(B309&lt;&gt;"",VLOOKUP(B309,'Tipo Projeto'!$A$3:$B$35,2,0),0)</f>
        <v>0</v>
      </c>
      <c r="D309" s="48"/>
      <c r="E309" s="48"/>
      <c r="F309" s="48"/>
      <c r="G309" s="49"/>
      <c r="H309" s="48"/>
      <c r="I309" s="77">
        <f t="shared" si="4"/>
        <v>0</v>
      </c>
      <c r="J309" s="48"/>
    </row>
    <row r="310" spans="1:10" s="57" customFormat="1" ht="14">
      <c r="A310" s="45"/>
      <c r="B310" s="46"/>
      <c r="C310" s="47">
        <f>IF(B310&lt;&gt;"",VLOOKUP(B310,'Tipo Projeto'!$A$3:$B$35,2,0),0)</f>
        <v>0</v>
      </c>
      <c r="D310" s="48"/>
      <c r="E310" s="48"/>
      <c r="F310" s="48"/>
      <c r="G310" s="49"/>
      <c r="H310" s="48"/>
      <c r="I310" s="77">
        <f t="shared" si="4"/>
        <v>0</v>
      </c>
      <c r="J310" s="48"/>
    </row>
    <row r="311" spans="1:10" s="57" customFormat="1" ht="14">
      <c r="A311" s="45"/>
      <c r="B311" s="46"/>
      <c r="C311" s="47">
        <f>IF(B311&lt;&gt;"",VLOOKUP(B311,'Tipo Projeto'!$A$3:$B$35,2,0),0)</f>
        <v>0</v>
      </c>
      <c r="D311" s="48"/>
      <c r="E311" s="48"/>
      <c r="F311" s="48"/>
      <c r="G311" s="49"/>
      <c r="H311" s="48"/>
      <c r="I311" s="77">
        <f t="shared" si="4"/>
        <v>0</v>
      </c>
      <c r="J311" s="48"/>
    </row>
    <row r="312" spans="1:10" s="57" customFormat="1" ht="14">
      <c r="A312" s="45"/>
      <c r="B312" s="46"/>
      <c r="C312" s="47">
        <f>IF(B312&lt;&gt;"",VLOOKUP(B312,'Tipo Projeto'!$A$3:$B$35,2,0),0)</f>
        <v>0</v>
      </c>
      <c r="D312" s="48"/>
      <c r="E312" s="48"/>
      <c r="F312" s="48"/>
      <c r="G312" s="49"/>
      <c r="H312" s="48"/>
      <c r="I312" s="77">
        <f t="shared" si="4"/>
        <v>0</v>
      </c>
      <c r="J312" s="48"/>
    </row>
    <row r="313" spans="1:10" s="57" customFormat="1" ht="14">
      <c r="A313" s="45"/>
      <c r="B313" s="46"/>
      <c r="C313" s="47">
        <f>IF(B313&lt;&gt;"",VLOOKUP(B313,'Tipo Projeto'!$A$3:$B$35,2,0),0)</f>
        <v>0</v>
      </c>
      <c r="D313" s="48"/>
      <c r="E313" s="48"/>
      <c r="F313" s="48"/>
      <c r="G313" s="49"/>
      <c r="H313" s="48"/>
      <c r="I313" s="77">
        <f t="shared" si="4"/>
        <v>0</v>
      </c>
      <c r="J313" s="48"/>
    </row>
    <row r="314" spans="1:10" s="57" customFormat="1" ht="14">
      <c r="A314" s="45"/>
      <c r="B314" s="46"/>
      <c r="C314" s="47">
        <f>IF(B314&lt;&gt;"",VLOOKUP(B314,'Tipo Projeto'!$A$3:$B$35,2,0),0)</f>
        <v>0</v>
      </c>
      <c r="D314" s="48"/>
      <c r="E314" s="48"/>
      <c r="F314" s="48"/>
      <c r="G314" s="49"/>
      <c r="H314" s="48"/>
      <c r="I314" s="77">
        <f t="shared" si="4"/>
        <v>0</v>
      </c>
      <c r="J314" s="48"/>
    </row>
    <row r="315" spans="1:10" s="57" customFormat="1" ht="14">
      <c r="A315" s="45"/>
      <c r="B315" s="46"/>
      <c r="C315" s="47">
        <f>IF(B315&lt;&gt;"",VLOOKUP(B315,'Tipo Projeto'!$A$3:$B$35,2,0),0)</f>
        <v>0</v>
      </c>
      <c r="D315" s="48"/>
      <c r="E315" s="48"/>
      <c r="F315" s="48"/>
      <c r="G315" s="49"/>
      <c r="H315" s="48"/>
      <c r="I315" s="77">
        <f t="shared" si="4"/>
        <v>0</v>
      </c>
      <c r="J315" s="48"/>
    </row>
    <row r="316" spans="1:10" s="57" customFormat="1" ht="14">
      <c r="A316" s="45"/>
      <c r="B316" s="46"/>
      <c r="C316" s="47">
        <f>IF(B316&lt;&gt;"",VLOOKUP(B316,'Tipo Projeto'!$A$3:$B$35,2,0),0)</f>
        <v>0</v>
      </c>
      <c r="D316" s="48"/>
      <c r="E316" s="48"/>
      <c r="F316" s="48"/>
      <c r="G316" s="49"/>
      <c r="H316" s="48"/>
      <c r="I316" s="77">
        <f t="shared" si="4"/>
        <v>0</v>
      </c>
      <c r="J316" s="48"/>
    </row>
    <row r="317" spans="1:10" s="57" customFormat="1" ht="14">
      <c r="A317" s="45"/>
      <c r="B317" s="46"/>
      <c r="C317" s="47">
        <f>IF(B317&lt;&gt;"",VLOOKUP(B317,'Tipo Projeto'!$A$3:$B$35,2,0),0)</f>
        <v>0</v>
      </c>
      <c r="D317" s="48"/>
      <c r="E317" s="48"/>
      <c r="F317" s="48"/>
      <c r="G317" s="49"/>
      <c r="H317" s="48"/>
      <c r="I317" s="77">
        <f t="shared" si="4"/>
        <v>0</v>
      </c>
      <c r="J317" s="48"/>
    </row>
    <row r="318" spans="1:10" s="57" customFormat="1" ht="14">
      <c r="A318" s="45"/>
      <c r="B318" s="46"/>
      <c r="C318" s="47">
        <f>IF(B318&lt;&gt;"",VLOOKUP(B318,'Tipo Projeto'!$A$3:$B$35,2,0),0)</f>
        <v>0</v>
      </c>
      <c r="D318" s="48"/>
      <c r="E318" s="48"/>
      <c r="F318" s="48"/>
      <c r="G318" s="49"/>
      <c r="H318" s="48"/>
      <c r="I318" s="77">
        <f t="shared" si="4"/>
        <v>0</v>
      </c>
      <c r="J318" s="48"/>
    </row>
    <row r="319" spans="1:10" s="57" customFormat="1" ht="14">
      <c r="A319" s="45"/>
      <c r="B319" s="46"/>
      <c r="C319" s="47">
        <f>IF(B319&lt;&gt;"",VLOOKUP(B319,'Tipo Projeto'!$A$3:$B$35,2,0),0)</f>
        <v>0</v>
      </c>
      <c r="D319" s="48"/>
      <c r="E319" s="48"/>
      <c r="F319" s="48"/>
      <c r="G319" s="49"/>
      <c r="H319" s="48"/>
      <c r="I319" s="77">
        <f t="shared" si="4"/>
        <v>0</v>
      </c>
      <c r="J319" s="48"/>
    </row>
    <row r="320" spans="1:10" s="57" customFormat="1" ht="14">
      <c r="A320" s="45"/>
      <c r="B320" s="46"/>
      <c r="C320" s="47">
        <f>IF(B320&lt;&gt;"",VLOOKUP(B320,'Tipo Projeto'!$A$3:$B$35,2,0),0)</f>
        <v>0</v>
      </c>
      <c r="D320" s="48"/>
      <c r="E320" s="48"/>
      <c r="F320" s="48"/>
      <c r="G320" s="49"/>
      <c r="H320" s="48"/>
      <c r="I320" s="77">
        <f t="shared" si="4"/>
        <v>0</v>
      </c>
      <c r="J320" s="48"/>
    </row>
    <row r="321" spans="1:10" s="57" customFormat="1" ht="14">
      <c r="A321" s="45"/>
      <c r="B321" s="46"/>
      <c r="C321" s="47">
        <f>IF(B321&lt;&gt;"",VLOOKUP(B321,'Tipo Projeto'!$A$3:$B$35,2,0),0)</f>
        <v>0</v>
      </c>
      <c r="D321" s="48"/>
      <c r="E321" s="48"/>
      <c r="F321" s="48"/>
      <c r="G321" s="49"/>
      <c r="H321" s="48"/>
      <c r="I321" s="77">
        <f t="shared" si="4"/>
        <v>0</v>
      </c>
      <c r="J321" s="48"/>
    </row>
    <row r="322" spans="1:10" s="57" customFormat="1" ht="14">
      <c r="A322" s="45"/>
      <c r="B322" s="46"/>
      <c r="C322" s="47">
        <f>IF(B322&lt;&gt;"",VLOOKUP(B322,'Tipo Projeto'!$A$3:$B$35,2,0),0)</f>
        <v>0</v>
      </c>
      <c r="D322" s="48"/>
      <c r="E322" s="48"/>
      <c r="F322" s="48"/>
      <c r="G322" s="49"/>
      <c r="H322" s="48"/>
      <c r="I322" s="77">
        <f t="shared" si="4"/>
        <v>0</v>
      </c>
      <c r="J322" s="48"/>
    </row>
    <row r="323" spans="1:10" s="57" customFormat="1" ht="14">
      <c r="A323" s="45"/>
      <c r="B323" s="46"/>
      <c r="C323" s="47">
        <f>IF(B323&lt;&gt;"",VLOOKUP(B323,'Tipo Projeto'!$A$3:$B$35,2,0),0)</f>
        <v>0</v>
      </c>
      <c r="D323" s="48"/>
      <c r="E323" s="48"/>
      <c r="F323" s="48"/>
      <c r="G323" s="49"/>
      <c r="H323" s="48"/>
      <c r="I323" s="77">
        <f t="shared" si="4"/>
        <v>0</v>
      </c>
      <c r="J323" s="48"/>
    </row>
    <row r="324" spans="1:10" s="57" customFormat="1" ht="14">
      <c r="A324" s="45"/>
      <c r="B324" s="46"/>
      <c r="C324" s="47">
        <f>IF(B324&lt;&gt;"",VLOOKUP(B324,'Tipo Projeto'!$A$3:$B$35,2,0),0)</f>
        <v>0</v>
      </c>
      <c r="D324" s="48"/>
      <c r="E324" s="48"/>
      <c r="F324" s="48"/>
      <c r="G324" s="49"/>
      <c r="H324" s="48"/>
      <c r="I324" s="77">
        <f t="shared" si="4"/>
        <v>0</v>
      </c>
      <c r="J324" s="48"/>
    </row>
    <row r="325" spans="1:10" s="57" customFormat="1" ht="14">
      <c r="A325" s="45"/>
      <c r="B325" s="46"/>
      <c r="C325" s="47">
        <f>IF(B325&lt;&gt;"",VLOOKUP(B325,'Tipo Projeto'!$A$3:$B$35,2,0),0)</f>
        <v>0</v>
      </c>
      <c r="D325" s="48"/>
      <c r="E325" s="48"/>
      <c r="F325" s="48"/>
      <c r="G325" s="49"/>
      <c r="H325" s="48"/>
      <c r="I325" s="77">
        <f t="shared" si="4"/>
        <v>0</v>
      </c>
      <c r="J325" s="48"/>
    </row>
    <row r="326" spans="1:10" s="57" customFormat="1" ht="14">
      <c r="A326" s="45"/>
      <c r="B326" s="46"/>
      <c r="C326" s="47">
        <f>IF(B326&lt;&gt;"",VLOOKUP(B326,'Tipo Projeto'!$A$3:$B$35,2,0),0)</f>
        <v>0</v>
      </c>
      <c r="D326" s="48"/>
      <c r="E326" s="48"/>
      <c r="F326" s="48"/>
      <c r="G326" s="49"/>
      <c r="H326" s="48"/>
      <c r="I326" s="77">
        <f t="shared" si="4"/>
        <v>0</v>
      </c>
      <c r="J326" s="48"/>
    </row>
    <row r="327" spans="1:10" s="57" customFormat="1" ht="14">
      <c r="A327" s="45"/>
      <c r="B327" s="46"/>
      <c r="C327" s="47">
        <f>IF(B327&lt;&gt;"",VLOOKUP(B327,'Tipo Projeto'!$A$3:$B$35,2,0),0)</f>
        <v>0</v>
      </c>
      <c r="D327" s="48"/>
      <c r="E327" s="48"/>
      <c r="F327" s="48"/>
      <c r="G327" s="49"/>
      <c r="H327" s="48"/>
      <c r="I327" s="77">
        <f t="shared" si="4"/>
        <v>0</v>
      </c>
      <c r="J327" s="48"/>
    </row>
    <row r="328" spans="1:10" s="57" customFormat="1" ht="14">
      <c r="A328" s="45"/>
      <c r="B328" s="46"/>
      <c r="C328" s="47">
        <f>IF(B328&lt;&gt;"",VLOOKUP(B328,'Tipo Projeto'!$A$3:$B$35,2,0),0)</f>
        <v>0</v>
      </c>
      <c r="D328" s="48"/>
      <c r="E328" s="48"/>
      <c r="F328" s="48"/>
      <c r="G328" s="49"/>
      <c r="H328" s="48"/>
      <c r="I328" s="77">
        <f t="shared" si="4"/>
        <v>0</v>
      </c>
      <c r="J328" s="48"/>
    </row>
    <row r="329" spans="1:10" s="57" customFormat="1" ht="14">
      <c r="A329" s="45"/>
      <c r="B329" s="46"/>
      <c r="C329" s="47">
        <f>IF(B329&lt;&gt;"",VLOOKUP(B329,'Tipo Projeto'!$A$3:$B$35,2,0),0)</f>
        <v>0</v>
      </c>
      <c r="D329" s="48"/>
      <c r="E329" s="48"/>
      <c r="F329" s="48"/>
      <c r="G329" s="49"/>
      <c r="H329" s="48"/>
      <c r="I329" s="77">
        <f t="shared" si="4"/>
        <v>0</v>
      </c>
      <c r="J329" s="48"/>
    </row>
    <row r="330" spans="1:10" s="57" customFormat="1" ht="14">
      <c r="A330" s="45"/>
      <c r="B330" s="46"/>
      <c r="C330" s="47">
        <f>IF(B330&lt;&gt;"",VLOOKUP(B330,'Tipo Projeto'!$A$3:$B$35,2,0),0)</f>
        <v>0</v>
      </c>
      <c r="D330" s="48"/>
      <c r="E330" s="48"/>
      <c r="F330" s="48"/>
      <c r="G330" s="49"/>
      <c r="H330" s="48"/>
      <c r="I330" s="77">
        <f t="shared" si="4"/>
        <v>0</v>
      </c>
      <c r="J330" s="48"/>
    </row>
    <row r="331" spans="1:10" s="57" customFormat="1" ht="14">
      <c r="A331" s="45"/>
      <c r="B331" s="46"/>
      <c r="C331" s="47">
        <f>IF(B331&lt;&gt;"",VLOOKUP(B331,'Tipo Projeto'!$A$3:$B$35,2,0),0)</f>
        <v>0</v>
      </c>
      <c r="D331" s="48"/>
      <c r="E331" s="48"/>
      <c r="F331" s="48"/>
      <c r="G331" s="49"/>
      <c r="H331" s="48"/>
      <c r="I331" s="77">
        <f t="shared" ref="I331:I382" si="5">IF(B331&lt;&gt;"Manutenção em interface",IF(B331&lt;&gt;"Desenv., Manutenção e Publicação de Páginas Estáticas",IF(H331="EE",4,IF(H331="CE",4,IF(H331="SE",5,IF(H331="ALI",7,IF(H331="AIE",5,0)))))*C331,C331),C331)</f>
        <v>0</v>
      </c>
      <c r="J331" s="48"/>
    </row>
    <row r="332" spans="1:10" s="57" customFormat="1" ht="14">
      <c r="A332" s="45"/>
      <c r="B332" s="46"/>
      <c r="C332" s="47">
        <f>IF(B332&lt;&gt;"",VLOOKUP(B332,'Tipo Projeto'!$A$3:$B$35,2,0),0)</f>
        <v>0</v>
      </c>
      <c r="D332" s="48"/>
      <c r="E332" s="48"/>
      <c r="F332" s="48"/>
      <c r="G332" s="49"/>
      <c r="H332" s="48"/>
      <c r="I332" s="77">
        <f t="shared" si="5"/>
        <v>0</v>
      </c>
      <c r="J332" s="48"/>
    </row>
    <row r="333" spans="1:10" s="57" customFormat="1" ht="14">
      <c r="A333" s="45"/>
      <c r="B333" s="46"/>
      <c r="C333" s="47">
        <f>IF(B333&lt;&gt;"",VLOOKUP(B333,'Tipo Projeto'!$A$3:$B$35,2,0),0)</f>
        <v>0</v>
      </c>
      <c r="D333" s="48"/>
      <c r="E333" s="48"/>
      <c r="F333" s="48"/>
      <c r="G333" s="49"/>
      <c r="H333" s="48"/>
      <c r="I333" s="77">
        <f t="shared" si="5"/>
        <v>0</v>
      </c>
      <c r="J333" s="48"/>
    </row>
    <row r="334" spans="1:10" s="57" customFormat="1" ht="14">
      <c r="A334" s="45"/>
      <c r="B334" s="46"/>
      <c r="C334" s="47">
        <f>IF(B334&lt;&gt;"",VLOOKUP(B334,'Tipo Projeto'!$A$3:$B$35,2,0),0)</f>
        <v>0</v>
      </c>
      <c r="D334" s="48"/>
      <c r="E334" s="48"/>
      <c r="F334" s="48"/>
      <c r="G334" s="49"/>
      <c r="H334" s="48"/>
      <c r="I334" s="77">
        <f t="shared" si="5"/>
        <v>0</v>
      </c>
      <c r="J334" s="48"/>
    </row>
    <row r="335" spans="1:10" s="57" customFormat="1" ht="14">
      <c r="A335" s="45"/>
      <c r="B335" s="46"/>
      <c r="C335" s="47">
        <f>IF(B335&lt;&gt;"",VLOOKUP(B335,'Tipo Projeto'!$A$3:$B$35,2,0),0)</f>
        <v>0</v>
      </c>
      <c r="D335" s="48"/>
      <c r="E335" s="48"/>
      <c r="F335" s="48"/>
      <c r="G335" s="49"/>
      <c r="H335" s="48"/>
      <c r="I335" s="77">
        <f t="shared" si="5"/>
        <v>0</v>
      </c>
      <c r="J335" s="48"/>
    </row>
    <row r="336" spans="1:10" s="57" customFormat="1" ht="14">
      <c r="A336" s="45"/>
      <c r="B336" s="46"/>
      <c r="C336" s="47">
        <f>IF(B336&lt;&gt;"",VLOOKUP(B336,'Tipo Projeto'!$A$3:$B$35,2,0),0)</f>
        <v>0</v>
      </c>
      <c r="D336" s="48"/>
      <c r="E336" s="48"/>
      <c r="F336" s="48"/>
      <c r="G336" s="49"/>
      <c r="H336" s="48"/>
      <c r="I336" s="77">
        <f t="shared" si="5"/>
        <v>0</v>
      </c>
      <c r="J336" s="48"/>
    </row>
    <row r="337" spans="1:10" s="57" customFormat="1" ht="14">
      <c r="A337" s="45"/>
      <c r="B337" s="46"/>
      <c r="C337" s="47">
        <f>IF(B337&lt;&gt;"",VLOOKUP(B337,'Tipo Projeto'!$A$3:$B$35,2,0),0)</f>
        <v>0</v>
      </c>
      <c r="D337" s="48"/>
      <c r="E337" s="48"/>
      <c r="F337" s="48"/>
      <c r="G337" s="49"/>
      <c r="H337" s="48"/>
      <c r="I337" s="77">
        <f t="shared" si="5"/>
        <v>0</v>
      </c>
      <c r="J337" s="48"/>
    </row>
    <row r="338" spans="1:10" s="57" customFormat="1" ht="14">
      <c r="A338" s="45"/>
      <c r="B338" s="46"/>
      <c r="C338" s="47">
        <f>IF(B338&lt;&gt;"",VLOOKUP(B338,'Tipo Projeto'!$A$3:$B$35,2,0),0)</f>
        <v>0</v>
      </c>
      <c r="D338" s="48"/>
      <c r="E338" s="48"/>
      <c r="F338" s="48"/>
      <c r="G338" s="49"/>
      <c r="H338" s="48"/>
      <c r="I338" s="77">
        <f t="shared" si="5"/>
        <v>0</v>
      </c>
      <c r="J338" s="48"/>
    </row>
    <row r="339" spans="1:10" s="57" customFormat="1" ht="14">
      <c r="A339" s="45"/>
      <c r="B339" s="46"/>
      <c r="C339" s="47">
        <f>IF(B339&lt;&gt;"",VLOOKUP(B339,'Tipo Projeto'!$A$3:$B$35,2,0),0)</f>
        <v>0</v>
      </c>
      <c r="D339" s="48"/>
      <c r="E339" s="48"/>
      <c r="F339" s="48"/>
      <c r="G339" s="49"/>
      <c r="H339" s="48"/>
      <c r="I339" s="77">
        <f t="shared" si="5"/>
        <v>0</v>
      </c>
      <c r="J339" s="48"/>
    </row>
    <row r="340" spans="1:10" s="57" customFormat="1" ht="14">
      <c r="A340" s="45"/>
      <c r="B340" s="46"/>
      <c r="C340" s="47">
        <f>IF(B340&lt;&gt;"",VLOOKUP(B340,'Tipo Projeto'!$A$3:$B$35,2,0),0)</f>
        <v>0</v>
      </c>
      <c r="D340" s="48"/>
      <c r="E340" s="48"/>
      <c r="F340" s="48"/>
      <c r="G340" s="49"/>
      <c r="H340" s="48"/>
      <c r="I340" s="77">
        <f t="shared" si="5"/>
        <v>0</v>
      </c>
      <c r="J340" s="48"/>
    </row>
    <row r="341" spans="1:10" s="57" customFormat="1" ht="14">
      <c r="A341" s="45"/>
      <c r="B341" s="46"/>
      <c r="C341" s="47">
        <f>IF(B341&lt;&gt;"",VLOOKUP(B341,'Tipo Projeto'!$A$3:$B$35,2,0),0)</f>
        <v>0</v>
      </c>
      <c r="D341" s="48"/>
      <c r="E341" s="48"/>
      <c r="F341" s="48"/>
      <c r="G341" s="49"/>
      <c r="H341" s="48"/>
      <c r="I341" s="77">
        <f t="shared" si="5"/>
        <v>0</v>
      </c>
      <c r="J341" s="48"/>
    </row>
    <row r="342" spans="1:10" s="57" customFormat="1" ht="14">
      <c r="A342" s="45"/>
      <c r="B342" s="46"/>
      <c r="C342" s="47">
        <f>IF(B342&lt;&gt;"",VLOOKUP(B342,'Tipo Projeto'!$A$3:$B$35,2,0),0)</f>
        <v>0</v>
      </c>
      <c r="D342" s="48"/>
      <c r="E342" s="48"/>
      <c r="F342" s="48"/>
      <c r="G342" s="49"/>
      <c r="H342" s="48"/>
      <c r="I342" s="77">
        <f t="shared" si="5"/>
        <v>0</v>
      </c>
      <c r="J342" s="48"/>
    </row>
    <row r="343" spans="1:10" s="57" customFormat="1" ht="14">
      <c r="A343" s="45"/>
      <c r="B343" s="46"/>
      <c r="C343" s="47">
        <f>IF(B343&lt;&gt;"",VLOOKUP(B343,'Tipo Projeto'!$A$3:$B$35,2,0),0)</f>
        <v>0</v>
      </c>
      <c r="D343" s="48"/>
      <c r="E343" s="48"/>
      <c r="F343" s="48"/>
      <c r="G343" s="49"/>
      <c r="H343" s="48"/>
      <c r="I343" s="77">
        <f t="shared" si="5"/>
        <v>0</v>
      </c>
      <c r="J343" s="48"/>
    </row>
    <row r="344" spans="1:10" s="57" customFormat="1" ht="14">
      <c r="A344" s="45"/>
      <c r="B344" s="46"/>
      <c r="C344" s="47">
        <f>IF(B344&lt;&gt;"",VLOOKUP(B344,'Tipo Projeto'!$A$3:$B$35,2,0),0)</f>
        <v>0</v>
      </c>
      <c r="D344" s="48"/>
      <c r="E344" s="48"/>
      <c r="F344" s="48"/>
      <c r="G344" s="49"/>
      <c r="H344" s="48"/>
      <c r="I344" s="77">
        <f t="shared" si="5"/>
        <v>0</v>
      </c>
      <c r="J344" s="48"/>
    </row>
    <row r="345" spans="1:10" s="57" customFormat="1" ht="14">
      <c r="A345" s="45"/>
      <c r="B345" s="46"/>
      <c r="C345" s="47">
        <f>IF(B345&lt;&gt;"",VLOOKUP(B345,'Tipo Projeto'!$A$3:$B$35,2,0),0)</f>
        <v>0</v>
      </c>
      <c r="D345" s="48"/>
      <c r="E345" s="48"/>
      <c r="F345" s="48"/>
      <c r="G345" s="49"/>
      <c r="H345" s="48"/>
      <c r="I345" s="77">
        <f t="shared" si="5"/>
        <v>0</v>
      </c>
      <c r="J345" s="48"/>
    </row>
    <row r="346" spans="1:10" s="57" customFormat="1" ht="14">
      <c r="A346" s="45"/>
      <c r="B346" s="46"/>
      <c r="C346" s="47">
        <f>IF(B346&lt;&gt;"",VLOOKUP(B346,'Tipo Projeto'!$A$3:$B$35,2,0),0)</f>
        <v>0</v>
      </c>
      <c r="D346" s="48"/>
      <c r="E346" s="48"/>
      <c r="F346" s="48"/>
      <c r="G346" s="49"/>
      <c r="H346" s="48"/>
      <c r="I346" s="77">
        <f t="shared" si="5"/>
        <v>0</v>
      </c>
      <c r="J346" s="48"/>
    </row>
    <row r="347" spans="1:10" s="57" customFormat="1" ht="14">
      <c r="A347" s="45"/>
      <c r="B347" s="46"/>
      <c r="C347" s="47">
        <f>IF(B347&lt;&gt;"",VLOOKUP(B347,'Tipo Projeto'!$A$3:$B$35,2,0),0)</f>
        <v>0</v>
      </c>
      <c r="D347" s="48"/>
      <c r="E347" s="48"/>
      <c r="F347" s="48"/>
      <c r="G347" s="49"/>
      <c r="H347" s="48"/>
      <c r="I347" s="77">
        <f t="shared" si="5"/>
        <v>0</v>
      </c>
      <c r="J347" s="48"/>
    </row>
    <row r="348" spans="1:10" s="57" customFormat="1" ht="14">
      <c r="A348" s="45"/>
      <c r="B348" s="46"/>
      <c r="C348" s="47">
        <f>IF(B348&lt;&gt;"",VLOOKUP(B348,'Tipo Projeto'!$A$3:$B$35,2,0),0)</f>
        <v>0</v>
      </c>
      <c r="D348" s="48"/>
      <c r="E348" s="48"/>
      <c r="F348" s="48"/>
      <c r="G348" s="49"/>
      <c r="H348" s="48"/>
      <c r="I348" s="77">
        <f t="shared" si="5"/>
        <v>0</v>
      </c>
      <c r="J348" s="48"/>
    </row>
    <row r="349" spans="1:10" s="57" customFormat="1" ht="14">
      <c r="A349" s="45"/>
      <c r="B349" s="46"/>
      <c r="C349" s="47">
        <f>IF(B349&lt;&gt;"",VLOOKUP(B349,'Tipo Projeto'!$A$3:$B$35,2,0),0)</f>
        <v>0</v>
      </c>
      <c r="D349" s="48"/>
      <c r="E349" s="48"/>
      <c r="F349" s="48"/>
      <c r="G349" s="49"/>
      <c r="H349" s="48"/>
      <c r="I349" s="77">
        <f t="shared" si="5"/>
        <v>0</v>
      </c>
      <c r="J349" s="48"/>
    </row>
    <row r="350" spans="1:10" s="57" customFormat="1" ht="14">
      <c r="A350" s="45"/>
      <c r="B350" s="46"/>
      <c r="C350" s="47">
        <f>IF(B350&lt;&gt;"",VLOOKUP(B350,'Tipo Projeto'!$A$3:$B$35,2,0),0)</f>
        <v>0</v>
      </c>
      <c r="D350" s="48"/>
      <c r="E350" s="48"/>
      <c r="F350" s="48"/>
      <c r="G350" s="49"/>
      <c r="H350" s="48"/>
      <c r="I350" s="77">
        <f t="shared" si="5"/>
        <v>0</v>
      </c>
      <c r="J350" s="48"/>
    </row>
    <row r="351" spans="1:10" s="57" customFormat="1" ht="14">
      <c r="A351" s="45"/>
      <c r="B351" s="46"/>
      <c r="C351" s="47">
        <f>IF(B351&lt;&gt;"",VLOOKUP(B351,'Tipo Projeto'!$A$3:$B$35,2,0),0)</f>
        <v>0</v>
      </c>
      <c r="D351" s="48"/>
      <c r="E351" s="48"/>
      <c r="F351" s="48"/>
      <c r="G351" s="49"/>
      <c r="H351" s="48"/>
      <c r="I351" s="77">
        <f t="shared" si="5"/>
        <v>0</v>
      </c>
      <c r="J351" s="48"/>
    </row>
    <row r="352" spans="1:10" s="57" customFormat="1" ht="14">
      <c r="A352" s="45"/>
      <c r="B352" s="46"/>
      <c r="C352" s="47">
        <f>IF(B352&lt;&gt;"",VLOOKUP(B352,'Tipo Projeto'!$A$3:$B$35,2,0),0)</f>
        <v>0</v>
      </c>
      <c r="D352" s="48"/>
      <c r="E352" s="48"/>
      <c r="F352" s="48"/>
      <c r="G352" s="49"/>
      <c r="H352" s="48"/>
      <c r="I352" s="77">
        <f t="shared" si="5"/>
        <v>0</v>
      </c>
      <c r="J352" s="48"/>
    </row>
    <row r="353" spans="1:10" s="57" customFormat="1" ht="14">
      <c r="A353" s="45"/>
      <c r="B353" s="46"/>
      <c r="C353" s="47">
        <f>IF(B353&lt;&gt;"",VLOOKUP(B353,'Tipo Projeto'!$A$3:$B$35,2,0),0)</f>
        <v>0</v>
      </c>
      <c r="D353" s="48"/>
      <c r="E353" s="48"/>
      <c r="F353" s="48"/>
      <c r="G353" s="49"/>
      <c r="H353" s="48"/>
      <c r="I353" s="77">
        <f t="shared" si="5"/>
        <v>0</v>
      </c>
      <c r="J353" s="48"/>
    </row>
    <row r="354" spans="1:10" s="57" customFormat="1" ht="14">
      <c r="A354" s="45"/>
      <c r="B354" s="46"/>
      <c r="C354" s="47">
        <f>IF(B354&lt;&gt;"",VLOOKUP(B354,'Tipo Projeto'!$A$3:$B$35,2,0),0)</f>
        <v>0</v>
      </c>
      <c r="D354" s="48"/>
      <c r="E354" s="48"/>
      <c r="F354" s="48"/>
      <c r="G354" s="49"/>
      <c r="H354" s="48"/>
      <c r="I354" s="77">
        <f t="shared" si="5"/>
        <v>0</v>
      </c>
      <c r="J354" s="48"/>
    </row>
    <row r="355" spans="1:10" s="57" customFormat="1" ht="14">
      <c r="A355" s="45"/>
      <c r="B355" s="46"/>
      <c r="C355" s="47">
        <f>IF(B355&lt;&gt;"",VLOOKUP(B355,'Tipo Projeto'!$A$3:$B$35,2,0),0)</f>
        <v>0</v>
      </c>
      <c r="D355" s="48"/>
      <c r="E355" s="48"/>
      <c r="F355" s="48"/>
      <c r="G355" s="49"/>
      <c r="H355" s="48"/>
      <c r="I355" s="77">
        <f t="shared" si="5"/>
        <v>0</v>
      </c>
      <c r="J355" s="48"/>
    </row>
    <row r="356" spans="1:10" s="57" customFormat="1" ht="14">
      <c r="A356" s="45"/>
      <c r="B356" s="46"/>
      <c r="C356" s="47">
        <f>IF(B356&lt;&gt;"",VLOOKUP(B356,'Tipo Projeto'!$A$3:$B$35,2,0),0)</f>
        <v>0</v>
      </c>
      <c r="D356" s="48"/>
      <c r="E356" s="48"/>
      <c r="F356" s="48"/>
      <c r="G356" s="49"/>
      <c r="H356" s="48"/>
      <c r="I356" s="77">
        <f t="shared" si="5"/>
        <v>0</v>
      </c>
      <c r="J356" s="48"/>
    </row>
    <row r="357" spans="1:10" s="57" customFormat="1" ht="14">
      <c r="A357" s="45"/>
      <c r="B357" s="46"/>
      <c r="C357" s="47">
        <f>IF(B357&lt;&gt;"",VLOOKUP(B357,'Tipo Projeto'!$A$3:$B$35,2,0),0)</f>
        <v>0</v>
      </c>
      <c r="D357" s="48"/>
      <c r="E357" s="48"/>
      <c r="F357" s="48"/>
      <c r="G357" s="49"/>
      <c r="H357" s="48"/>
      <c r="I357" s="77">
        <f t="shared" si="5"/>
        <v>0</v>
      </c>
      <c r="J357" s="48"/>
    </row>
    <row r="358" spans="1:10" s="57" customFormat="1" ht="14">
      <c r="A358" s="45"/>
      <c r="B358" s="46"/>
      <c r="C358" s="47">
        <f>IF(B358&lt;&gt;"",VLOOKUP(B358,'Tipo Projeto'!$A$3:$B$35,2,0),0)</f>
        <v>0</v>
      </c>
      <c r="D358" s="48"/>
      <c r="E358" s="48"/>
      <c r="F358" s="48"/>
      <c r="G358" s="49"/>
      <c r="H358" s="48"/>
      <c r="I358" s="77">
        <f t="shared" si="5"/>
        <v>0</v>
      </c>
      <c r="J358" s="48"/>
    </row>
    <row r="359" spans="1:10" s="57" customFormat="1" ht="14">
      <c r="A359" s="45"/>
      <c r="B359" s="46"/>
      <c r="C359" s="47">
        <f>IF(B359&lt;&gt;"",VLOOKUP(B359,'Tipo Projeto'!$A$3:$B$35,2,0),0)</f>
        <v>0</v>
      </c>
      <c r="D359" s="48"/>
      <c r="E359" s="48"/>
      <c r="F359" s="48"/>
      <c r="G359" s="49"/>
      <c r="H359" s="48"/>
      <c r="I359" s="77">
        <f t="shared" si="5"/>
        <v>0</v>
      </c>
      <c r="J359" s="48"/>
    </row>
    <row r="360" spans="1:10" s="57" customFormat="1" ht="14">
      <c r="A360" s="45"/>
      <c r="B360" s="46"/>
      <c r="C360" s="47">
        <f>IF(B360&lt;&gt;"",VLOOKUP(B360,'Tipo Projeto'!$A$3:$B$35,2,0),0)</f>
        <v>0</v>
      </c>
      <c r="D360" s="48"/>
      <c r="E360" s="48"/>
      <c r="F360" s="48"/>
      <c r="G360" s="49"/>
      <c r="H360" s="48"/>
      <c r="I360" s="77">
        <f t="shared" si="5"/>
        <v>0</v>
      </c>
      <c r="J360" s="48"/>
    </row>
    <row r="361" spans="1:10" s="57" customFormat="1" ht="14">
      <c r="A361" s="45"/>
      <c r="B361" s="46"/>
      <c r="C361" s="47">
        <f>IF(B361&lt;&gt;"",VLOOKUP(B361,'Tipo Projeto'!$A$3:$B$35,2,0),0)</f>
        <v>0</v>
      </c>
      <c r="D361" s="48"/>
      <c r="E361" s="48"/>
      <c r="F361" s="48"/>
      <c r="G361" s="49"/>
      <c r="H361" s="48"/>
      <c r="I361" s="77">
        <f t="shared" si="5"/>
        <v>0</v>
      </c>
      <c r="J361" s="48"/>
    </row>
    <row r="362" spans="1:10" s="57" customFormat="1" ht="14">
      <c r="A362" s="45"/>
      <c r="B362" s="46"/>
      <c r="C362" s="47">
        <f>IF(B362&lt;&gt;"",VLOOKUP(B362,'Tipo Projeto'!$A$3:$B$35,2,0),0)</f>
        <v>0</v>
      </c>
      <c r="D362" s="48"/>
      <c r="E362" s="48"/>
      <c r="F362" s="48"/>
      <c r="G362" s="49"/>
      <c r="H362" s="48"/>
      <c r="I362" s="77">
        <f t="shared" si="5"/>
        <v>0</v>
      </c>
      <c r="J362" s="48"/>
    </row>
    <row r="363" spans="1:10" s="57" customFormat="1" ht="14">
      <c r="A363" s="45"/>
      <c r="B363" s="46"/>
      <c r="C363" s="47">
        <f>IF(B363&lt;&gt;"",VLOOKUP(B363,'Tipo Projeto'!$A$3:$B$35,2,0),0)</f>
        <v>0</v>
      </c>
      <c r="D363" s="48"/>
      <c r="E363" s="48"/>
      <c r="F363" s="48"/>
      <c r="G363" s="49"/>
      <c r="H363" s="48"/>
      <c r="I363" s="77">
        <f t="shared" si="5"/>
        <v>0</v>
      </c>
      <c r="J363" s="48"/>
    </row>
    <row r="364" spans="1:10" s="57" customFormat="1" ht="14">
      <c r="A364" s="45"/>
      <c r="B364" s="46"/>
      <c r="C364" s="47">
        <f>IF(B364&lt;&gt;"",VLOOKUP(B364,'Tipo Projeto'!$A$3:$B$35,2,0),0)</f>
        <v>0</v>
      </c>
      <c r="D364" s="48"/>
      <c r="E364" s="48"/>
      <c r="F364" s="48"/>
      <c r="G364" s="49"/>
      <c r="H364" s="48"/>
      <c r="I364" s="77">
        <f t="shared" si="5"/>
        <v>0</v>
      </c>
      <c r="J364" s="48"/>
    </row>
    <row r="365" spans="1:10" s="57" customFormat="1" ht="14">
      <c r="A365" s="45"/>
      <c r="B365" s="46"/>
      <c r="C365" s="47">
        <f>IF(B365&lt;&gt;"",VLOOKUP(B365,'Tipo Projeto'!$A$3:$B$35,2,0),0)</f>
        <v>0</v>
      </c>
      <c r="D365" s="48"/>
      <c r="E365" s="48"/>
      <c r="F365" s="48"/>
      <c r="G365" s="49"/>
      <c r="H365" s="48"/>
      <c r="I365" s="77">
        <f t="shared" si="5"/>
        <v>0</v>
      </c>
      <c r="J365" s="48"/>
    </row>
    <row r="366" spans="1:10" s="57" customFormat="1" ht="14">
      <c r="A366" s="45"/>
      <c r="B366" s="46"/>
      <c r="C366" s="47">
        <f>IF(B366&lt;&gt;"",VLOOKUP(B366,'Tipo Projeto'!$A$3:$B$35,2,0),0)</f>
        <v>0</v>
      </c>
      <c r="D366" s="48"/>
      <c r="E366" s="48"/>
      <c r="F366" s="48"/>
      <c r="G366" s="49"/>
      <c r="H366" s="48"/>
      <c r="I366" s="77">
        <f t="shared" si="5"/>
        <v>0</v>
      </c>
      <c r="J366" s="48"/>
    </row>
    <row r="367" spans="1:10" s="57" customFormat="1" ht="14">
      <c r="A367" s="45"/>
      <c r="B367" s="46"/>
      <c r="C367" s="47">
        <f>IF(B367&lt;&gt;"",VLOOKUP(B367,'Tipo Projeto'!$A$3:$B$35,2,0),0)</f>
        <v>0</v>
      </c>
      <c r="D367" s="48"/>
      <c r="E367" s="48"/>
      <c r="F367" s="48"/>
      <c r="G367" s="49"/>
      <c r="H367" s="48"/>
      <c r="I367" s="77">
        <f t="shared" si="5"/>
        <v>0</v>
      </c>
      <c r="J367" s="48"/>
    </row>
    <row r="368" spans="1:10" s="57" customFormat="1" ht="14">
      <c r="A368" s="45"/>
      <c r="B368" s="46"/>
      <c r="C368" s="47">
        <f>IF(B368&lt;&gt;"",VLOOKUP(B368,'Tipo Projeto'!$A$3:$B$35,2,0),0)</f>
        <v>0</v>
      </c>
      <c r="D368" s="48"/>
      <c r="E368" s="48"/>
      <c r="F368" s="48"/>
      <c r="G368" s="49"/>
      <c r="H368" s="48"/>
      <c r="I368" s="77">
        <f t="shared" si="5"/>
        <v>0</v>
      </c>
      <c r="J368" s="48"/>
    </row>
    <row r="369" spans="1:10" s="57" customFormat="1" ht="14">
      <c r="A369" s="45"/>
      <c r="B369" s="46"/>
      <c r="C369" s="47">
        <f>IF(B369&lt;&gt;"",VLOOKUP(B369,'Tipo Projeto'!$A$3:$B$35,2,0),0)</f>
        <v>0</v>
      </c>
      <c r="D369" s="48"/>
      <c r="E369" s="48"/>
      <c r="F369" s="48"/>
      <c r="G369" s="49"/>
      <c r="H369" s="48"/>
      <c r="I369" s="77">
        <f t="shared" si="5"/>
        <v>0</v>
      </c>
      <c r="J369" s="48"/>
    </row>
    <row r="370" spans="1:10" s="57" customFormat="1" ht="14">
      <c r="A370" s="45"/>
      <c r="B370" s="46"/>
      <c r="C370" s="47">
        <f>IF(B370&lt;&gt;"",VLOOKUP(B370,'Tipo Projeto'!$A$3:$B$35,2,0),0)</f>
        <v>0</v>
      </c>
      <c r="D370" s="48"/>
      <c r="E370" s="48"/>
      <c r="F370" s="48"/>
      <c r="G370" s="49"/>
      <c r="H370" s="48"/>
      <c r="I370" s="77">
        <f t="shared" si="5"/>
        <v>0</v>
      </c>
      <c r="J370" s="48"/>
    </row>
    <row r="371" spans="1:10" s="57" customFormat="1" ht="14">
      <c r="A371" s="45"/>
      <c r="B371" s="46"/>
      <c r="C371" s="47">
        <f>IF(B371&lt;&gt;"",VLOOKUP(B371,'Tipo Projeto'!$A$3:$B$35,2,0),0)</f>
        <v>0</v>
      </c>
      <c r="D371" s="48"/>
      <c r="E371" s="48"/>
      <c r="F371" s="48"/>
      <c r="G371" s="49"/>
      <c r="H371" s="48"/>
      <c r="I371" s="77">
        <f t="shared" si="5"/>
        <v>0</v>
      </c>
      <c r="J371" s="48"/>
    </row>
    <row r="372" spans="1:10" s="57" customFormat="1" ht="14">
      <c r="A372" s="45"/>
      <c r="B372" s="46"/>
      <c r="C372" s="47">
        <f>IF(B372&lt;&gt;"",VLOOKUP(B372,'Tipo Projeto'!$A$3:$B$35,2,0),0)</f>
        <v>0</v>
      </c>
      <c r="D372" s="48"/>
      <c r="E372" s="48"/>
      <c r="F372" s="48"/>
      <c r="G372" s="49"/>
      <c r="H372" s="48"/>
      <c r="I372" s="77">
        <f t="shared" si="5"/>
        <v>0</v>
      </c>
      <c r="J372" s="48"/>
    </row>
    <row r="373" spans="1:10" s="57" customFormat="1" ht="14">
      <c r="A373" s="45"/>
      <c r="B373" s="46"/>
      <c r="C373" s="47">
        <f>IF(B373&lt;&gt;"",VLOOKUP(B373,'Tipo Projeto'!$A$3:$B$35,2,0),0)</f>
        <v>0</v>
      </c>
      <c r="D373" s="48"/>
      <c r="E373" s="48"/>
      <c r="F373" s="48"/>
      <c r="G373" s="49"/>
      <c r="H373" s="48"/>
      <c r="I373" s="77">
        <f t="shared" si="5"/>
        <v>0</v>
      </c>
      <c r="J373" s="48"/>
    </row>
    <row r="374" spans="1:10" s="57" customFormat="1" ht="14">
      <c r="A374" s="45"/>
      <c r="B374" s="46"/>
      <c r="C374" s="47">
        <f>IF(B374&lt;&gt;"",VLOOKUP(B374,'Tipo Projeto'!$A$3:$B$35,2,0),0)</f>
        <v>0</v>
      </c>
      <c r="D374" s="48"/>
      <c r="E374" s="48"/>
      <c r="F374" s="48"/>
      <c r="G374" s="49"/>
      <c r="H374" s="48"/>
      <c r="I374" s="77">
        <f t="shared" si="5"/>
        <v>0</v>
      </c>
      <c r="J374" s="48"/>
    </row>
    <row r="375" spans="1:10" s="57" customFormat="1" ht="14">
      <c r="A375" s="45"/>
      <c r="B375" s="46"/>
      <c r="C375" s="47">
        <f>IF(B375&lt;&gt;"",VLOOKUP(B375,'Tipo Projeto'!$A$3:$B$35,2,0),0)</f>
        <v>0</v>
      </c>
      <c r="D375" s="48"/>
      <c r="E375" s="48"/>
      <c r="F375" s="48"/>
      <c r="G375" s="49"/>
      <c r="H375" s="48"/>
      <c r="I375" s="77">
        <f t="shared" si="5"/>
        <v>0</v>
      </c>
      <c r="J375" s="48"/>
    </row>
    <row r="376" spans="1:10" s="57" customFormat="1" ht="14">
      <c r="A376" s="45"/>
      <c r="B376" s="46"/>
      <c r="C376" s="47">
        <f>IF(B376&lt;&gt;"",VLOOKUP(B376,'Tipo Projeto'!$A$3:$B$35,2,0),0)</f>
        <v>0</v>
      </c>
      <c r="D376" s="48"/>
      <c r="E376" s="48"/>
      <c r="F376" s="48"/>
      <c r="G376" s="49"/>
      <c r="H376" s="48"/>
      <c r="I376" s="77">
        <f t="shared" si="5"/>
        <v>0</v>
      </c>
      <c r="J376" s="48"/>
    </row>
    <row r="377" spans="1:10" s="57" customFormat="1" ht="14">
      <c r="A377" s="45"/>
      <c r="B377" s="46"/>
      <c r="C377" s="47">
        <f>IF(B377&lt;&gt;"",VLOOKUP(B377,'Tipo Projeto'!$A$3:$B$35,2,0),0)</f>
        <v>0</v>
      </c>
      <c r="D377" s="48"/>
      <c r="E377" s="48"/>
      <c r="F377" s="48"/>
      <c r="G377" s="49"/>
      <c r="H377" s="48"/>
      <c r="I377" s="77">
        <f t="shared" si="5"/>
        <v>0</v>
      </c>
      <c r="J377" s="48"/>
    </row>
    <row r="378" spans="1:10" s="57" customFormat="1" ht="14">
      <c r="A378" s="45"/>
      <c r="B378" s="46"/>
      <c r="C378" s="47">
        <f>IF(B378&lt;&gt;"",VLOOKUP(B378,'Tipo Projeto'!$A$3:$B$35,2,0),0)</f>
        <v>0</v>
      </c>
      <c r="D378" s="48"/>
      <c r="E378" s="48"/>
      <c r="F378" s="48"/>
      <c r="G378" s="49"/>
      <c r="H378" s="48"/>
      <c r="I378" s="77">
        <f t="shared" si="5"/>
        <v>0</v>
      </c>
      <c r="J378" s="48"/>
    </row>
    <row r="379" spans="1:10" s="57" customFormat="1" ht="14">
      <c r="A379" s="45"/>
      <c r="B379" s="46"/>
      <c r="C379" s="47">
        <f>IF(B379&lt;&gt;"",VLOOKUP(B379,'Tipo Projeto'!$A$3:$B$35,2,0),0)</f>
        <v>0</v>
      </c>
      <c r="D379" s="48"/>
      <c r="E379" s="48"/>
      <c r="F379" s="48"/>
      <c r="G379" s="49"/>
      <c r="H379" s="48"/>
      <c r="I379" s="77">
        <f t="shared" si="5"/>
        <v>0</v>
      </c>
      <c r="J379" s="48"/>
    </row>
    <row r="380" spans="1:10" s="57" customFormat="1" ht="14">
      <c r="A380" s="45"/>
      <c r="B380" s="46"/>
      <c r="C380" s="47">
        <f>IF(B380&lt;&gt;"",VLOOKUP(B380,'Tipo Projeto'!$A$3:$B$35,2,0),0)</f>
        <v>0</v>
      </c>
      <c r="D380" s="48"/>
      <c r="E380" s="48"/>
      <c r="F380" s="48"/>
      <c r="G380" s="49"/>
      <c r="H380" s="48"/>
      <c r="I380" s="77">
        <f t="shared" si="5"/>
        <v>0</v>
      </c>
      <c r="J380" s="48"/>
    </row>
    <row r="381" spans="1:10" s="57" customFormat="1" ht="14">
      <c r="A381" s="45"/>
      <c r="B381" s="46"/>
      <c r="C381" s="47">
        <f>IF(B381&lt;&gt;"",VLOOKUP(B381,'Tipo Projeto'!$A$3:$B$35,2,0),0)</f>
        <v>0</v>
      </c>
      <c r="D381" s="48"/>
      <c r="E381" s="48"/>
      <c r="F381" s="48"/>
      <c r="G381" s="49"/>
      <c r="H381" s="48"/>
      <c r="I381" s="77">
        <f t="shared" si="5"/>
        <v>0</v>
      </c>
      <c r="J381" s="48"/>
    </row>
    <row r="382" spans="1:10" s="57" customFormat="1" ht="14">
      <c r="A382" s="45"/>
      <c r="B382" s="46"/>
      <c r="C382" s="47">
        <f>IF(B382&lt;&gt;"",VLOOKUP(B382,'Tipo Projeto'!$A$3:$B$35,2,0),0)</f>
        <v>0</v>
      </c>
      <c r="D382" s="48"/>
      <c r="E382" s="48"/>
      <c r="F382" s="48"/>
      <c r="G382" s="49"/>
      <c r="H382" s="48"/>
      <c r="I382" s="77">
        <f t="shared" si="5"/>
        <v>0</v>
      </c>
      <c r="J382" s="48"/>
    </row>
    <row r="383" spans="1:10" s="57" customFormat="1" ht="14">
      <c r="A383" s="234" t="s">
        <v>67</v>
      </c>
      <c r="B383" s="234"/>
      <c r="C383" s="234"/>
      <c r="D383" s="234"/>
      <c r="E383" s="234"/>
      <c r="F383" s="234"/>
      <c r="G383" s="234"/>
      <c r="H383" s="234"/>
      <c r="I383" s="234"/>
      <c r="J383" s="234"/>
    </row>
    <row r="384" spans="1:10" ht="13" customHeight="1">
      <c r="A384" s="67"/>
      <c r="D384" s="69"/>
      <c r="E384" s="69"/>
      <c r="F384" s="69"/>
      <c r="G384" s="239" t="s">
        <v>82</v>
      </c>
      <c r="H384" s="239"/>
      <c r="I384" s="72">
        <f>SUM(I10:I383)</f>
        <v>0</v>
      </c>
    </row>
  </sheetData>
  <mergeCells count="20">
    <mergeCell ref="A383:J383"/>
    <mergeCell ref="G384:H384"/>
    <mergeCell ref="F8:F9"/>
    <mergeCell ref="G8:G9"/>
    <mergeCell ref="H8:I8"/>
    <mergeCell ref="J8:J9"/>
    <mergeCell ref="A10:J10"/>
    <mergeCell ref="A8:A9"/>
    <mergeCell ref="B8:B9"/>
    <mergeCell ref="C8:C9"/>
    <mergeCell ref="D8:D9"/>
    <mergeCell ref="E8:E9"/>
    <mergeCell ref="C1:J1"/>
    <mergeCell ref="A2:B2"/>
    <mergeCell ref="H3:J3"/>
    <mergeCell ref="H4:J4"/>
    <mergeCell ref="A5:B6"/>
    <mergeCell ref="C5:D6"/>
    <mergeCell ref="H5:J5"/>
    <mergeCell ref="H6:J6"/>
  </mergeCells>
  <conditionalFormatting sqref="H11:H382">
    <cfRule type="cellIs" dxfId="7"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16" customWidth="1"/>
    <col min="2" max="2" width="4.54296875" style="15" customWidth="1"/>
    <col min="3" max="3" width="34.08984375" style="17" customWidth="1"/>
    <col min="4" max="4" width="14.36328125" style="17" hidden="1" customWidth="1"/>
    <col min="5" max="5" width="10.08984375" style="17" customWidth="1"/>
    <col min="6" max="6" width="7.81640625" style="17" customWidth="1"/>
    <col min="7" max="7" width="15.54296875" style="17" customWidth="1"/>
    <col min="8" max="8" width="19.6328125" style="17" customWidth="1"/>
    <col min="9" max="9" width="44" style="18" customWidth="1"/>
    <col min="10" max="10" width="11.54296875" style="15"/>
    <col min="11" max="11" width="9.453125" style="16" customWidth="1"/>
    <col min="12" max="12" width="8.36328125" style="16" customWidth="1"/>
    <col min="13" max="14" width="9.08984375" style="16" customWidth="1"/>
    <col min="15" max="15" width="9.6328125" style="16" customWidth="1"/>
    <col min="16" max="24" width="9.08984375" style="16" customWidth="1"/>
    <col min="25" max="1025" width="8.90625" style="16" customWidth="1"/>
  </cols>
  <sheetData>
    <row r="1" spans="2:22" ht="69" customHeight="1">
      <c r="B1" s="2" t="s">
        <v>83</v>
      </c>
      <c r="C1" s="83"/>
      <c r="D1" s="83"/>
      <c r="E1" s="83"/>
      <c r="F1" s="83"/>
      <c r="G1" s="218" t="s">
        <v>84</v>
      </c>
      <c r="H1" s="218"/>
      <c r="I1" s="218"/>
      <c r="J1" s="218"/>
      <c r="K1" s="218"/>
      <c r="L1" s="218"/>
      <c r="M1" s="84"/>
      <c r="N1" s="84"/>
      <c r="O1" s="80"/>
      <c r="P1" s="80"/>
      <c r="Q1" s="80"/>
      <c r="R1" s="80"/>
      <c r="S1" s="80"/>
      <c r="T1" s="80"/>
      <c r="U1" s="80"/>
      <c r="V1" s="81"/>
    </row>
    <row r="2" spans="2:22" ht="9" customHeight="1">
      <c r="B2" s="82"/>
      <c r="C2" s="33"/>
      <c r="D2" s="33"/>
      <c r="E2" s="33"/>
      <c r="F2" s="33"/>
      <c r="G2" s="33"/>
      <c r="H2" s="33"/>
      <c r="I2" s="33"/>
      <c r="J2" s="33"/>
      <c r="K2" s="33"/>
      <c r="L2" s="33"/>
      <c r="M2" s="33"/>
    </row>
    <row r="3" spans="2:22" ht="18.649999999999999" customHeight="1">
      <c r="B3" s="238" t="s">
        <v>85</v>
      </c>
      <c r="C3" s="238"/>
      <c r="D3" s="240" t="str">
        <f>TEXT(J404,"#.##0,0#")</f>
        <v>0,0</v>
      </c>
      <c r="E3" s="240"/>
      <c r="F3" s="23"/>
      <c r="G3" s="23"/>
      <c r="H3" s="23"/>
      <c r="I3" s="28" t="s">
        <v>8</v>
      </c>
      <c r="J3" s="220"/>
      <c r="K3" s="220"/>
      <c r="L3" s="220"/>
    </row>
    <row r="4" spans="2:22" ht="18.649999999999999" customHeight="1">
      <c r="B4" s="238"/>
      <c r="C4" s="238"/>
      <c r="D4" s="240"/>
      <c r="E4" s="240"/>
      <c r="F4" s="23"/>
      <c r="G4" s="23"/>
      <c r="H4" s="23"/>
      <c r="I4" s="28" t="s">
        <v>9</v>
      </c>
      <c r="J4" s="224"/>
      <c r="K4" s="224"/>
      <c r="L4" s="224"/>
    </row>
    <row r="5" spans="2:22" ht="18.649999999999999" customHeight="1">
      <c r="B5" s="238" t="s">
        <v>86</v>
      </c>
      <c r="C5" s="238"/>
      <c r="D5" s="240" t="str">
        <f>TEXT(K404,"#.##0,0#")</f>
        <v>0,0</v>
      </c>
      <c r="E5" s="240"/>
      <c r="F5" s="23"/>
      <c r="G5" s="23"/>
      <c r="H5" s="23"/>
      <c r="I5" s="28" t="s">
        <v>10</v>
      </c>
      <c r="J5" s="220"/>
      <c r="K5" s="220"/>
      <c r="L5" s="220"/>
    </row>
    <row r="6" spans="2:22" ht="18.649999999999999" customHeight="1">
      <c r="B6" s="238"/>
      <c r="C6" s="238"/>
      <c r="D6" s="240"/>
      <c r="E6" s="240"/>
      <c r="F6" s="23"/>
      <c r="G6" s="23"/>
      <c r="H6" s="23"/>
      <c r="I6" s="28" t="s">
        <v>11</v>
      </c>
      <c r="J6" s="224"/>
      <c r="K6" s="224"/>
      <c r="L6" s="224"/>
    </row>
    <row r="7" spans="2:22" ht="9" customHeight="1">
      <c r="B7" s="85"/>
      <c r="C7" s="85"/>
      <c r="D7" s="85"/>
      <c r="E7" s="85"/>
      <c r="F7" s="85"/>
      <c r="G7" s="85"/>
      <c r="H7" s="85"/>
      <c r="I7" s="86"/>
      <c r="J7" s="86"/>
      <c r="K7" s="86"/>
      <c r="L7" s="86"/>
    </row>
    <row r="8" spans="2:22" s="39" customFormat="1" ht="26.4" customHeight="1">
      <c r="B8" s="225" t="s">
        <v>44</v>
      </c>
      <c r="C8" s="226" t="s">
        <v>87</v>
      </c>
      <c r="D8" s="87" t="s">
        <v>53</v>
      </c>
      <c r="E8" s="236" t="s">
        <v>88</v>
      </c>
      <c r="F8" s="236" t="s">
        <v>71</v>
      </c>
      <c r="G8" s="236" t="s">
        <v>48</v>
      </c>
      <c r="H8" s="236"/>
      <c r="I8" s="227" t="s">
        <v>89</v>
      </c>
      <c r="J8" s="241" t="s">
        <v>73</v>
      </c>
      <c r="K8" s="241"/>
      <c r="L8" s="241" t="s">
        <v>74</v>
      </c>
    </row>
    <row r="9" spans="2:22" s="44" customFormat="1" ht="15.5">
      <c r="B9" s="225"/>
      <c r="C9" s="226"/>
      <c r="D9" s="35"/>
      <c r="E9" s="236"/>
      <c r="F9" s="236"/>
      <c r="G9" s="236"/>
      <c r="H9" s="236"/>
      <c r="I9" s="227"/>
      <c r="J9" s="36" t="s">
        <v>27</v>
      </c>
      <c r="K9" s="36" t="s">
        <v>54</v>
      </c>
      <c r="L9" s="241"/>
    </row>
    <row r="10" spans="2:22" s="57" customFormat="1" ht="14">
      <c r="B10" s="234" t="s">
        <v>78</v>
      </c>
      <c r="C10" s="234"/>
      <c r="D10" s="234"/>
      <c r="E10" s="234"/>
      <c r="F10" s="234"/>
      <c r="G10" s="234"/>
      <c r="H10" s="234"/>
      <c r="I10" s="234"/>
      <c r="J10" s="234"/>
      <c r="K10" s="234"/>
      <c r="L10" s="234"/>
    </row>
    <row r="11" spans="2:22" s="57" customFormat="1" ht="24" customHeight="1">
      <c r="B11" s="45"/>
      <c r="C11" s="48"/>
      <c r="D11" s="88"/>
      <c r="E11" s="88"/>
      <c r="F11" s="88"/>
      <c r="G11" s="242"/>
      <c r="H11" s="242"/>
      <c r="I11" s="49"/>
      <c r="J11" s="77" t="str">
        <f t="shared" ref="J11:J74" si="0">IF($C11&lt;&gt;"",$E11*1.5,"")</f>
        <v/>
      </c>
      <c r="K11" s="89" t="str">
        <f t="shared" ref="K11:K74" si="1">IFERROR($J11/10,"")</f>
        <v/>
      </c>
      <c r="L11" s="48"/>
    </row>
    <row r="12" spans="2:22" s="57" customFormat="1" ht="14" customHeight="1">
      <c r="B12" s="45"/>
      <c r="C12" s="48"/>
      <c r="D12" s="88"/>
      <c r="E12" s="88"/>
      <c r="F12" s="88"/>
      <c r="G12" s="242" t="s">
        <v>90</v>
      </c>
      <c r="H12" s="242"/>
      <c r="I12" s="49"/>
      <c r="J12" s="77" t="str">
        <f t="shared" si="0"/>
        <v/>
      </c>
      <c r="K12" s="89" t="str">
        <f t="shared" si="1"/>
        <v/>
      </c>
      <c r="L12" s="48"/>
    </row>
    <row r="13" spans="2:22" s="57" customFormat="1" ht="14">
      <c r="B13" s="45"/>
      <c r="C13" s="48"/>
      <c r="D13" s="88"/>
      <c r="E13" s="88"/>
      <c r="F13" s="88"/>
      <c r="G13" s="242"/>
      <c r="H13" s="242"/>
      <c r="I13" s="49"/>
      <c r="J13" s="77" t="str">
        <f t="shared" si="0"/>
        <v/>
      </c>
      <c r="K13" s="89" t="str">
        <f t="shared" si="1"/>
        <v/>
      </c>
      <c r="L13" s="48"/>
    </row>
    <row r="14" spans="2:22" s="57" customFormat="1" ht="14">
      <c r="B14" s="45"/>
      <c r="C14" s="48"/>
      <c r="D14" s="88"/>
      <c r="E14" s="88"/>
      <c r="F14" s="88"/>
      <c r="G14" s="242"/>
      <c r="H14" s="242"/>
      <c r="I14" s="49"/>
      <c r="J14" s="77" t="str">
        <f t="shared" si="0"/>
        <v/>
      </c>
      <c r="K14" s="89" t="str">
        <f t="shared" si="1"/>
        <v/>
      </c>
      <c r="L14" s="48"/>
    </row>
    <row r="15" spans="2:22" s="57" customFormat="1" ht="14">
      <c r="B15" s="45"/>
      <c r="C15" s="48"/>
      <c r="D15" s="88"/>
      <c r="E15" s="88"/>
      <c r="F15" s="88"/>
      <c r="G15" s="242"/>
      <c r="H15" s="242"/>
      <c r="I15" s="49"/>
      <c r="J15" s="77" t="str">
        <f t="shared" si="0"/>
        <v/>
      </c>
      <c r="K15" s="89" t="str">
        <f t="shared" si="1"/>
        <v/>
      </c>
      <c r="L15" s="48"/>
    </row>
    <row r="16" spans="2:22" s="57" customFormat="1" ht="14">
      <c r="B16" s="45"/>
      <c r="C16" s="48"/>
      <c r="D16" s="88"/>
      <c r="E16" s="88"/>
      <c r="F16" s="88"/>
      <c r="G16" s="242"/>
      <c r="H16" s="242"/>
      <c r="I16" s="49"/>
      <c r="J16" s="77" t="str">
        <f t="shared" si="0"/>
        <v/>
      </c>
      <c r="K16" s="89" t="str">
        <f t="shared" si="1"/>
        <v/>
      </c>
      <c r="L16" s="48"/>
    </row>
    <row r="17" spans="2:12" s="57" customFormat="1" ht="14">
      <c r="B17" s="45"/>
      <c r="C17" s="48"/>
      <c r="D17" s="88"/>
      <c r="E17" s="88"/>
      <c r="F17" s="88"/>
      <c r="G17" s="242"/>
      <c r="H17" s="242"/>
      <c r="I17" s="49"/>
      <c r="J17" s="77" t="str">
        <f t="shared" si="0"/>
        <v/>
      </c>
      <c r="K17" s="89" t="str">
        <f t="shared" si="1"/>
        <v/>
      </c>
      <c r="L17" s="48"/>
    </row>
    <row r="18" spans="2:12" s="57" customFormat="1" ht="14">
      <c r="B18" s="45"/>
      <c r="C18" s="48"/>
      <c r="D18" s="88"/>
      <c r="E18" s="88"/>
      <c r="F18" s="88"/>
      <c r="G18" s="242"/>
      <c r="H18" s="242"/>
      <c r="I18" s="49"/>
      <c r="J18" s="77" t="str">
        <f t="shared" si="0"/>
        <v/>
      </c>
      <c r="K18" s="89" t="str">
        <f t="shared" si="1"/>
        <v/>
      </c>
      <c r="L18" s="48"/>
    </row>
    <row r="19" spans="2:12" s="57" customFormat="1" ht="14">
      <c r="B19" s="45"/>
      <c r="C19" s="48"/>
      <c r="D19" s="88"/>
      <c r="E19" s="88"/>
      <c r="F19" s="88"/>
      <c r="G19" s="242"/>
      <c r="H19" s="242"/>
      <c r="I19" s="49"/>
      <c r="J19" s="77" t="str">
        <f t="shared" si="0"/>
        <v/>
      </c>
      <c r="K19" s="89" t="str">
        <f t="shared" si="1"/>
        <v/>
      </c>
      <c r="L19" s="48"/>
    </row>
    <row r="20" spans="2:12" s="57" customFormat="1" ht="14">
      <c r="B20" s="45"/>
      <c r="C20" s="48"/>
      <c r="D20" s="88"/>
      <c r="E20" s="88"/>
      <c r="F20" s="88"/>
      <c r="G20" s="242"/>
      <c r="H20" s="242"/>
      <c r="I20" s="49"/>
      <c r="J20" s="77" t="str">
        <f t="shared" si="0"/>
        <v/>
      </c>
      <c r="K20" s="89" t="str">
        <f t="shared" si="1"/>
        <v/>
      </c>
      <c r="L20" s="48"/>
    </row>
    <row r="21" spans="2:12" s="57" customFormat="1" ht="14">
      <c r="B21" s="45"/>
      <c r="C21" s="48"/>
      <c r="D21" s="88"/>
      <c r="E21" s="88"/>
      <c r="F21" s="88"/>
      <c r="G21" s="242"/>
      <c r="H21" s="242"/>
      <c r="I21" s="49"/>
      <c r="J21" s="77" t="str">
        <f t="shared" si="0"/>
        <v/>
      </c>
      <c r="K21" s="89" t="str">
        <f t="shared" si="1"/>
        <v/>
      </c>
      <c r="L21" s="48"/>
    </row>
    <row r="22" spans="2:12" s="57" customFormat="1" ht="14">
      <c r="B22" s="45"/>
      <c r="C22" s="48"/>
      <c r="D22" s="88"/>
      <c r="E22" s="88"/>
      <c r="F22" s="88"/>
      <c r="G22" s="242"/>
      <c r="H22" s="242"/>
      <c r="I22" s="49"/>
      <c r="J22" s="77" t="str">
        <f t="shared" si="0"/>
        <v/>
      </c>
      <c r="K22" s="89" t="str">
        <f t="shared" si="1"/>
        <v/>
      </c>
      <c r="L22" s="48"/>
    </row>
    <row r="23" spans="2:12" s="57" customFormat="1" ht="14">
      <c r="B23" s="45"/>
      <c r="C23" s="48"/>
      <c r="D23" s="88"/>
      <c r="E23" s="88"/>
      <c r="F23" s="88"/>
      <c r="G23" s="242"/>
      <c r="H23" s="242"/>
      <c r="I23" s="49"/>
      <c r="J23" s="77" t="str">
        <f t="shared" si="0"/>
        <v/>
      </c>
      <c r="K23" s="89" t="str">
        <f t="shared" si="1"/>
        <v/>
      </c>
      <c r="L23" s="48"/>
    </row>
    <row r="24" spans="2:12" s="57" customFormat="1" ht="14">
      <c r="B24" s="45"/>
      <c r="C24" s="48"/>
      <c r="D24" s="88"/>
      <c r="E24" s="88"/>
      <c r="F24" s="88"/>
      <c r="G24" s="242"/>
      <c r="H24" s="242"/>
      <c r="I24" s="49"/>
      <c r="J24" s="77" t="str">
        <f t="shared" si="0"/>
        <v/>
      </c>
      <c r="K24" s="89" t="str">
        <f t="shared" si="1"/>
        <v/>
      </c>
      <c r="L24" s="48"/>
    </row>
    <row r="25" spans="2:12" s="57" customFormat="1" ht="14">
      <c r="B25" s="45"/>
      <c r="C25" s="48"/>
      <c r="D25" s="88"/>
      <c r="E25" s="88"/>
      <c r="F25" s="88"/>
      <c r="G25" s="242"/>
      <c r="H25" s="242"/>
      <c r="I25" s="49"/>
      <c r="J25" s="77" t="str">
        <f t="shared" si="0"/>
        <v/>
      </c>
      <c r="K25" s="89" t="str">
        <f t="shared" si="1"/>
        <v/>
      </c>
      <c r="L25" s="48"/>
    </row>
    <row r="26" spans="2:12" s="57" customFormat="1" ht="14">
      <c r="B26" s="45"/>
      <c r="C26" s="48"/>
      <c r="D26" s="88"/>
      <c r="E26" s="88"/>
      <c r="F26" s="88"/>
      <c r="G26" s="242"/>
      <c r="H26" s="242"/>
      <c r="I26" s="49"/>
      <c r="J26" s="77" t="str">
        <f t="shared" si="0"/>
        <v/>
      </c>
      <c r="K26" s="89" t="str">
        <f t="shared" si="1"/>
        <v/>
      </c>
      <c r="L26" s="48"/>
    </row>
    <row r="27" spans="2:12" s="57" customFormat="1" ht="14">
      <c r="B27" s="45"/>
      <c r="C27" s="48"/>
      <c r="D27" s="88"/>
      <c r="E27" s="88"/>
      <c r="F27" s="88"/>
      <c r="G27" s="242"/>
      <c r="H27" s="242"/>
      <c r="I27" s="49"/>
      <c r="J27" s="77" t="str">
        <f t="shared" si="0"/>
        <v/>
      </c>
      <c r="K27" s="89" t="str">
        <f t="shared" si="1"/>
        <v/>
      </c>
      <c r="L27" s="48"/>
    </row>
    <row r="28" spans="2:12" s="57" customFormat="1" ht="14">
      <c r="B28" s="45"/>
      <c r="C28" s="48"/>
      <c r="D28" s="88"/>
      <c r="E28" s="88"/>
      <c r="F28" s="88"/>
      <c r="G28" s="242"/>
      <c r="H28" s="242"/>
      <c r="I28" s="49"/>
      <c r="J28" s="77" t="str">
        <f t="shared" si="0"/>
        <v/>
      </c>
      <c r="K28" s="89" t="str">
        <f t="shared" si="1"/>
        <v/>
      </c>
      <c r="L28" s="48"/>
    </row>
    <row r="29" spans="2:12" s="57" customFormat="1" ht="14">
      <c r="B29" s="45"/>
      <c r="C29" s="48"/>
      <c r="D29" s="88"/>
      <c r="E29" s="88"/>
      <c r="F29" s="88"/>
      <c r="G29" s="242"/>
      <c r="H29" s="242"/>
      <c r="I29" s="90"/>
      <c r="J29" s="77" t="str">
        <f t="shared" si="0"/>
        <v/>
      </c>
      <c r="K29" s="89" t="str">
        <f t="shared" si="1"/>
        <v/>
      </c>
      <c r="L29" s="48"/>
    </row>
    <row r="30" spans="2:12" s="57" customFormat="1" ht="14">
      <c r="B30" s="45"/>
      <c r="C30" s="48"/>
      <c r="D30" s="88"/>
      <c r="E30" s="88"/>
      <c r="F30" s="88"/>
      <c r="G30" s="242"/>
      <c r="H30" s="242"/>
      <c r="I30" s="90"/>
      <c r="J30" s="77" t="str">
        <f t="shared" si="0"/>
        <v/>
      </c>
      <c r="K30" s="89" t="str">
        <f t="shared" si="1"/>
        <v/>
      </c>
      <c r="L30" s="48"/>
    </row>
    <row r="31" spans="2:12" s="57" customFormat="1" ht="14">
      <c r="B31" s="45"/>
      <c r="C31" s="48"/>
      <c r="D31" s="88"/>
      <c r="E31" s="88"/>
      <c r="F31" s="88"/>
      <c r="G31" s="242"/>
      <c r="H31" s="242"/>
      <c r="I31" s="49"/>
      <c r="J31" s="77" t="str">
        <f t="shared" si="0"/>
        <v/>
      </c>
      <c r="K31" s="89" t="str">
        <f t="shared" si="1"/>
        <v/>
      </c>
      <c r="L31" s="48"/>
    </row>
    <row r="32" spans="2:12" s="57" customFormat="1" ht="14">
      <c r="B32" s="45"/>
      <c r="C32" s="48"/>
      <c r="D32" s="88"/>
      <c r="E32" s="88"/>
      <c r="F32" s="88"/>
      <c r="G32" s="242"/>
      <c r="H32" s="242"/>
      <c r="I32" s="49"/>
      <c r="J32" s="77" t="str">
        <f t="shared" si="0"/>
        <v/>
      </c>
      <c r="K32" s="89" t="str">
        <f t="shared" si="1"/>
        <v/>
      </c>
      <c r="L32" s="48"/>
    </row>
    <row r="33" spans="2:12" s="57" customFormat="1" ht="14">
      <c r="B33" s="45"/>
      <c r="C33" s="48"/>
      <c r="D33" s="88"/>
      <c r="E33" s="88"/>
      <c r="F33" s="88"/>
      <c r="G33" s="242"/>
      <c r="H33" s="242"/>
      <c r="I33" s="49"/>
      <c r="J33" s="77" t="str">
        <f t="shared" si="0"/>
        <v/>
      </c>
      <c r="K33" s="89" t="str">
        <f t="shared" si="1"/>
        <v/>
      </c>
      <c r="L33" s="48"/>
    </row>
    <row r="34" spans="2:12" s="57" customFormat="1" ht="14">
      <c r="B34" s="45"/>
      <c r="C34" s="48"/>
      <c r="D34" s="88"/>
      <c r="E34" s="88"/>
      <c r="F34" s="88"/>
      <c r="G34" s="242"/>
      <c r="H34" s="242"/>
      <c r="I34" s="49"/>
      <c r="J34" s="77" t="str">
        <f t="shared" si="0"/>
        <v/>
      </c>
      <c r="K34" s="89" t="str">
        <f t="shared" si="1"/>
        <v/>
      </c>
      <c r="L34" s="48"/>
    </row>
    <row r="35" spans="2:12" s="57" customFormat="1" ht="14">
      <c r="B35" s="45"/>
      <c r="C35" s="48"/>
      <c r="D35" s="88"/>
      <c r="E35" s="88"/>
      <c r="F35" s="88"/>
      <c r="G35" s="242"/>
      <c r="H35" s="242"/>
      <c r="I35" s="49"/>
      <c r="J35" s="77" t="str">
        <f t="shared" si="0"/>
        <v/>
      </c>
      <c r="K35" s="89" t="str">
        <f t="shared" si="1"/>
        <v/>
      </c>
      <c r="L35" s="48"/>
    </row>
    <row r="36" spans="2:12" s="57" customFormat="1" ht="14">
      <c r="B36" s="45"/>
      <c r="C36" s="48"/>
      <c r="D36" s="88"/>
      <c r="E36" s="88"/>
      <c r="F36" s="88"/>
      <c r="G36" s="242"/>
      <c r="H36" s="242"/>
      <c r="I36" s="49"/>
      <c r="J36" s="77" t="str">
        <f t="shared" si="0"/>
        <v/>
      </c>
      <c r="K36" s="89" t="str">
        <f t="shared" si="1"/>
        <v/>
      </c>
      <c r="L36" s="48"/>
    </row>
    <row r="37" spans="2:12" s="57" customFormat="1" ht="14">
      <c r="B37" s="45"/>
      <c r="C37" s="48"/>
      <c r="D37" s="88"/>
      <c r="E37" s="88"/>
      <c r="F37" s="88"/>
      <c r="G37" s="242"/>
      <c r="H37" s="242"/>
      <c r="I37" s="49"/>
      <c r="J37" s="77" t="str">
        <f t="shared" si="0"/>
        <v/>
      </c>
      <c r="K37" s="89" t="str">
        <f t="shared" si="1"/>
        <v/>
      </c>
      <c r="L37" s="48"/>
    </row>
    <row r="38" spans="2:12" s="57" customFormat="1" ht="14">
      <c r="B38" s="45"/>
      <c r="C38" s="48"/>
      <c r="D38" s="88"/>
      <c r="E38" s="88"/>
      <c r="F38" s="88"/>
      <c r="G38" s="242"/>
      <c r="H38" s="242"/>
      <c r="I38" s="49"/>
      <c r="J38" s="77" t="str">
        <f t="shared" si="0"/>
        <v/>
      </c>
      <c r="K38" s="89" t="str">
        <f t="shared" si="1"/>
        <v/>
      </c>
      <c r="L38" s="48"/>
    </row>
    <row r="39" spans="2:12" s="57" customFormat="1" ht="14">
      <c r="B39" s="45"/>
      <c r="C39" s="48"/>
      <c r="D39" s="88"/>
      <c r="E39" s="88"/>
      <c r="F39" s="88"/>
      <c r="G39" s="242"/>
      <c r="H39" s="242"/>
      <c r="I39" s="49"/>
      <c r="J39" s="77" t="str">
        <f t="shared" si="0"/>
        <v/>
      </c>
      <c r="K39" s="89" t="str">
        <f t="shared" si="1"/>
        <v/>
      </c>
      <c r="L39" s="48"/>
    </row>
    <row r="40" spans="2:12" s="57" customFormat="1" ht="14">
      <c r="B40" s="45"/>
      <c r="C40" s="48"/>
      <c r="D40" s="88"/>
      <c r="E40" s="88"/>
      <c r="F40" s="88"/>
      <c r="G40" s="242"/>
      <c r="H40" s="242"/>
      <c r="I40" s="49"/>
      <c r="J40" s="77" t="str">
        <f t="shared" si="0"/>
        <v/>
      </c>
      <c r="K40" s="89" t="str">
        <f t="shared" si="1"/>
        <v/>
      </c>
      <c r="L40" s="48"/>
    </row>
    <row r="41" spans="2:12" s="57" customFormat="1" ht="14">
      <c r="B41" s="45"/>
      <c r="C41" s="48"/>
      <c r="D41" s="88"/>
      <c r="E41" s="88"/>
      <c r="F41" s="88"/>
      <c r="G41" s="242"/>
      <c r="H41" s="242"/>
      <c r="I41" s="49"/>
      <c r="J41" s="77" t="str">
        <f t="shared" si="0"/>
        <v/>
      </c>
      <c r="K41" s="89" t="str">
        <f t="shared" si="1"/>
        <v/>
      </c>
      <c r="L41" s="48"/>
    </row>
    <row r="42" spans="2:12" s="57" customFormat="1" ht="14">
      <c r="B42" s="45"/>
      <c r="C42" s="48"/>
      <c r="D42" s="88"/>
      <c r="E42" s="88"/>
      <c r="F42" s="88"/>
      <c r="G42" s="242"/>
      <c r="H42" s="242"/>
      <c r="I42" s="49"/>
      <c r="J42" s="77" t="str">
        <f t="shared" si="0"/>
        <v/>
      </c>
      <c r="K42" s="89" t="str">
        <f t="shared" si="1"/>
        <v/>
      </c>
      <c r="L42" s="48"/>
    </row>
    <row r="43" spans="2:12" s="57" customFormat="1" ht="14">
      <c r="B43" s="45"/>
      <c r="C43" s="48"/>
      <c r="D43" s="88"/>
      <c r="E43" s="88"/>
      <c r="F43" s="88"/>
      <c r="G43" s="242"/>
      <c r="H43" s="242"/>
      <c r="I43" s="49"/>
      <c r="J43" s="77" t="str">
        <f t="shared" si="0"/>
        <v/>
      </c>
      <c r="K43" s="89" t="str">
        <f t="shared" si="1"/>
        <v/>
      </c>
      <c r="L43" s="48"/>
    </row>
    <row r="44" spans="2:12" s="57" customFormat="1" ht="14">
      <c r="B44" s="45"/>
      <c r="C44" s="48"/>
      <c r="D44" s="88"/>
      <c r="E44" s="88"/>
      <c r="F44" s="88"/>
      <c r="G44" s="242"/>
      <c r="H44" s="242"/>
      <c r="I44" s="49"/>
      <c r="J44" s="77" t="str">
        <f t="shared" si="0"/>
        <v/>
      </c>
      <c r="K44" s="89" t="str">
        <f t="shared" si="1"/>
        <v/>
      </c>
      <c r="L44" s="48"/>
    </row>
    <row r="45" spans="2:12" s="57" customFormat="1" ht="14">
      <c r="B45" s="45"/>
      <c r="C45" s="48"/>
      <c r="D45" s="88"/>
      <c r="E45" s="88"/>
      <c r="F45" s="88"/>
      <c r="G45" s="242"/>
      <c r="H45" s="242"/>
      <c r="I45" s="49"/>
      <c r="J45" s="77" t="str">
        <f t="shared" si="0"/>
        <v/>
      </c>
      <c r="K45" s="89" t="str">
        <f t="shared" si="1"/>
        <v/>
      </c>
      <c r="L45" s="48"/>
    </row>
    <row r="46" spans="2:12" s="57" customFormat="1" ht="14">
      <c r="B46" s="45"/>
      <c r="C46" s="48"/>
      <c r="D46" s="88"/>
      <c r="E46" s="88"/>
      <c r="F46" s="88"/>
      <c r="G46" s="242"/>
      <c r="H46" s="242"/>
      <c r="I46" s="49"/>
      <c r="J46" s="77" t="str">
        <f t="shared" si="0"/>
        <v/>
      </c>
      <c r="K46" s="89" t="str">
        <f t="shared" si="1"/>
        <v/>
      </c>
      <c r="L46" s="48"/>
    </row>
    <row r="47" spans="2:12" s="57" customFormat="1" ht="14">
      <c r="B47" s="45"/>
      <c r="C47" s="48"/>
      <c r="D47" s="88"/>
      <c r="E47" s="88"/>
      <c r="F47" s="88"/>
      <c r="G47" s="242"/>
      <c r="H47" s="242"/>
      <c r="I47" s="49"/>
      <c r="J47" s="77" t="str">
        <f t="shared" si="0"/>
        <v/>
      </c>
      <c r="K47" s="89" t="str">
        <f t="shared" si="1"/>
        <v/>
      </c>
      <c r="L47" s="48"/>
    </row>
    <row r="48" spans="2:12" s="57" customFormat="1" ht="14">
      <c r="B48" s="45"/>
      <c r="C48" s="48"/>
      <c r="D48" s="88"/>
      <c r="E48" s="88"/>
      <c r="F48" s="88"/>
      <c r="G48" s="242"/>
      <c r="H48" s="242"/>
      <c r="I48" s="49"/>
      <c r="J48" s="77" t="str">
        <f t="shared" si="0"/>
        <v/>
      </c>
      <c r="K48" s="89" t="str">
        <f t="shared" si="1"/>
        <v/>
      </c>
      <c r="L48" s="48"/>
    </row>
    <row r="49" spans="2:12" s="57" customFormat="1" ht="14">
      <c r="B49" s="45"/>
      <c r="C49" s="48"/>
      <c r="D49" s="88"/>
      <c r="E49" s="88"/>
      <c r="F49" s="88"/>
      <c r="G49" s="242"/>
      <c r="H49" s="242"/>
      <c r="I49" s="49"/>
      <c r="J49" s="77" t="str">
        <f t="shared" si="0"/>
        <v/>
      </c>
      <c r="K49" s="89" t="str">
        <f t="shared" si="1"/>
        <v/>
      </c>
      <c r="L49" s="48"/>
    </row>
    <row r="50" spans="2:12" s="57" customFormat="1" ht="14">
      <c r="B50" s="45"/>
      <c r="C50" s="48"/>
      <c r="D50" s="88"/>
      <c r="E50" s="88"/>
      <c r="F50" s="88"/>
      <c r="G50" s="242"/>
      <c r="H50" s="242"/>
      <c r="I50" s="49"/>
      <c r="J50" s="77" t="str">
        <f t="shared" si="0"/>
        <v/>
      </c>
      <c r="K50" s="89" t="str">
        <f t="shared" si="1"/>
        <v/>
      </c>
      <c r="L50" s="48"/>
    </row>
    <row r="51" spans="2:12" s="57" customFormat="1" ht="14">
      <c r="B51" s="45"/>
      <c r="C51" s="48"/>
      <c r="D51" s="88"/>
      <c r="E51" s="88"/>
      <c r="F51" s="88"/>
      <c r="G51" s="242"/>
      <c r="H51" s="242"/>
      <c r="I51" s="49"/>
      <c r="J51" s="77" t="str">
        <f t="shared" si="0"/>
        <v/>
      </c>
      <c r="K51" s="89" t="str">
        <f t="shared" si="1"/>
        <v/>
      </c>
      <c r="L51" s="48"/>
    </row>
    <row r="52" spans="2:12" s="57" customFormat="1" ht="14">
      <c r="B52" s="45"/>
      <c r="C52" s="48"/>
      <c r="D52" s="88"/>
      <c r="E52" s="88"/>
      <c r="F52" s="88"/>
      <c r="G52" s="242"/>
      <c r="H52" s="242"/>
      <c r="I52" s="49"/>
      <c r="J52" s="77" t="str">
        <f t="shared" si="0"/>
        <v/>
      </c>
      <c r="K52" s="89" t="str">
        <f t="shared" si="1"/>
        <v/>
      </c>
      <c r="L52" s="48"/>
    </row>
    <row r="53" spans="2:12" s="57" customFormat="1" ht="14">
      <c r="B53" s="45"/>
      <c r="C53" s="48"/>
      <c r="D53" s="88"/>
      <c r="E53" s="88"/>
      <c r="F53" s="88"/>
      <c r="G53" s="242"/>
      <c r="H53" s="242"/>
      <c r="I53" s="49"/>
      <c r="J53" s="77" t="str">
        <f t="shared" si="0"/>
        <v/>
      </c>
      <c r="K53" s="89" t="str">
        <f t="shared" si="1"/>
        <v/>
      </c>
      <c r="L53" s="48"/>
    </row>
    <row r="54" spans="2:12" s="57" customFormat="1" ht="14">
      <c r="B54" s="45"/>
      <c r="C54" s="48"/>
      <c r="D54" s="88"/>
      <c r="E54" s="88"/>
      <c r="F54" s="88"/>
      <c r="G54" s="242"/>
      <c r="H54" s="242"/>
      <c r="I54" s="49"/>
      <c r="J54" s="77" t="str">
        <f t="shared" si="0"/>
        <v/>
      </c>
      <c r="K54" s="89" t="str">
        <f t="shared" si="1"/>
        <v/>
      </c>
      <c r="L54" s="48"/>
    </row>
    <row r="55" spans="2:12" s="57" customFormat="1" ht="14">
      <c r="B55" s="45"/>
      <c r="C55" s="48"/>
      <c r="D55" s="88"/>
      <c r="E55" s="88"/>
      <c r="F55" s="88"/>
      <c r="G55" s="242"/>
      <c r="H55" s="242"/>
      <c r="I55" s="49"/>
      <c r="J55" s="77" t="str">
        <f t="shared" si="0"/>
        <v/>
      </c>
      <c r="K55" s="89" t="str">
        <f t="shared" si="1"/>
        <v/>
      </c>
      <c r="L55" s="48"/>
    </row>
    <row r="56" spans="2:12" s="57" customFormat="1" ht="14">
      <c r="B56" s="45"/>
      <c r="C56" s="48"/>
      <c r="D56" s="88"/>
      <c r="E56" s="88"/>
      <c r="F56" s="88"/>
      <c r="G56" s="242"/>
      <c r="H56" s="242"/>
      <c r="I56" s="49"/>
      <c r="J56" s="77" t="str">
        <f t="shared" si="0"/>
        <v/>
      </c>
      <c r="K56" s="89" t="str">
        <f t="shared" si="1"/>
        <v/>
      </c>
      <c r="L56" s="48"/>
    </row>
    <row r="57" spans="2:12" s="57" customFormat="1" ht="14">
      <c r="B57" s="45"/>
      <c r="C57" s="48"/>
      <c r="D57" s="88"/>
      <c r="E57" s="88"/>
      <c r="F57" s="88"/>
      <c r="G57" s="242"/>
      <c r="H57" s="242"/>
      <c r="I57" s="49"/>
      <c r="J57" s="77" t="str">
        <f t="shared" si="0"/>
        <v/>
      </c>
      <c r="K57" s="89" t="str">
        <f t="shared" si="1"/>
        <v/>
      </c>
      <c r="L57" s="48"/>
    </row>
    <row r="58" spans="2:12" s="57" customFormat="1" ht="14">
      <c r="B58" s="45"/>
      <c r="C58" s="48"/>
      <c r="D58" s="88"/>
      <c r="E58" s="88"/>
      <c r="F58" s="88"/>
      <c r="G58" s="242"/>
      <c r="H58" s="242"/>
      <c r="I58" s="49"/>
      <c r="J58" s="77" t="str">
        <f t="shared" si="0"/>
        <v/>
      </c>
      <c r="K58" s="89" t="str">
        <f t="shared" si="1"/>
        <v/>
      </c>
      <c r="L58" s="48"/>
    </row>
    <row r="59" spans="2:12" s="57" customFormat="1" ht="14">
      <c r="B59" s="45"/>
      <c r="C59" s="48"/>
      <c r="D59" s="88"/>
      <c r="E59" s="88"/>
      <c r="F59" s="88"/>
      <c r="G59" s="242"/>
      <c r="H59" s="242"/>
      <c r="I59" s="49"/>
      <c r="J59" s="77" t="str">
        <f t="shared" si="0"/>
        <v/>
      </c>
      <c r="K59" s="89" t="str">
        <f t="shared" si="1"/>
        <v/>
      </c>
      <c r="L59" s="48"/>
    </row>
    <row r="60" spans="2:12" s="57" customFormat="1" ht="14">
      <c r="B60" s="45"/>
      <c r="C60" s="48"/>
      <c r="D60" s="88"/>
      <c r="E60" s="88"/>
      <c r="F60" s="88"/>
      <c r="G60" s="242"/>
      <c r="H60" s="242"/>
      <c r="I60" s="49"/>
      <c r="J60" s="77" t="str">
        <f t="shared" si="0"/>
        <v/>
      </c>
      <c r="K60" s="89" t="str">
        <f t="shared" si="1"/>
        <v/>
      </c>
      <c r="L60" s="48"/>
    </row>
    <row r="61" spans="2:12" s="57" customFormat="1" ht="14">
      <c r="B61" s="45"/>
      <c r="C61" s="48"/>
      <c r="D61" s="88"/>
      <c r="E61" s="88"/>
      <c r="F61" s="88"/>
      <c r="G61" s="242"/>
      <c r="H61" s="242"/>
      <c r="I61" s="49"/>
      <c r="J61" s="77" t="str">
        <f t="shared" si="0"/>
        <v/>
      </c>
      <c r="K61" s="89" t="str">
        <f t="shared" si="1"/>
        <v/>
      </c>
      <c r="L61" s="48"/>
    </row>
    <row r="62" spans="2:12" s="57" customFormat="1" ht="14">
      <c r="B62" s="45"/>
      <c r="C62" s="48"/>
      <c r="D62" s="88"/>
      <c r="E62" s="88"/>
      <c r="F62" s="88"/>
      <c r="G62" s="242"/>
      <c r="H62" s="242"/>
      <c r="I62" s="49"/>
      <c r="J62" s="77" t="str">
        <f t="shared" si="0"/>
        <v/>
      </c>
      <c r="K62" s="89" t="str">
        <f t="shared" si="1"/>
        <v/>
      </c>
      <c r="L62" s="48"/>
    </row>
    <row r="63" spans="2:12" s="57" customFormat="1" ht="14">
      <c r="B63" s="45"/>
      <c r="C63" s="48"/>
      <c r="D63" s="88"/>
      <c r="E63" s="88"/>
      <c r="F63" s="88"/>
      <c r="G63" s="242"/>
      <c r="H63" s="242"/>
      <c r="I63" s="49"/>
      <c r="J63" s="77" t="str">
        <f t="shared" si="0"/>
        <v/>
      </c>
      <c r="K63" s="89" t="str">
        <f t="shared" si="1"/>
        <v/>
      </c>
      <c r="L63" s="48"/>
    </row>
    <row r="64" spans="2:12" s="57" customFormat="1" ht="14">
      <c r="B64" s="45"/>
      <c r="C64" s="48"/>
      <c r="D64" s="88"/>
      <c r="E64" s="88"/>
      <c r="F64" s="88"/>
      <c r="G64" s="242"/>
      <c r="H64" s="242"/>
      <c r="I64" s="49"/>
      <c r="J64" s="77" t="str">
        <f t="shared" si="0"/>
        <v/>
      </c>
      <c r="K64" s="89" t="str">
        <f t="shared" si="1"/>
        <v/>
      </c>
      <c r="L64" s="48"/>
    </row>
    <row r="65" spans="2:12" s="57" customFormat="1" ht="14">
      <c r="B65" s="45"/>
      <c r="C65" s="48"/>
      <c r="D65" s="88"/>
      <c r="E65" s="88"/>
      <c r="F65" s="88"/>
      <c r="G65" s="242"/>
      <c r="H65" s="242"/>
      <c r="I65" s="49"/>
      <c r="J65" s="77" t="str">
        <f t="shared" si="0"/>
        <v/>
      </c>
      <c r="K65" s="89" t="str">
        <f t="shared" si="1"/>
        <v/>
      </c>
      <c r="L65" s="48"/>
    </row>
    <row r="66" spans="2:12" s="57" customFormat="1" ht="14">
      <c r="B66" s="45"/>
      <c r="C66" s="48"/>
      <c r="D66" s="88"/>
      <c r="E66" s="88"/>
      <c r="F66" s="88"/>
      <c r="G66" s="242"/>
      <c r="H66" s="242"/>
      <c r="I66" s="49"/>
      <c r="J66" s="77" t="str">
        <f t="shared" si="0"/>
        <v/>
      </c>
      <c r="K66" s="89" t="str">
        <f t="shared" si="1"/>
        <v/>
      </c>
      <c r="L66" s="48"/>
    </row>
    <row r="67" spans="2:12" s="57" customFormat="1" ht="14">
      <c r="B67" s="45"/>
      <c r="C67" s="48"/>
      <c r="D67" s="88"/>
      <c r="E67" s="88"/>
      <c r="F67" s="88"/>
      <c r="G67" s="242"/>
      <c r="H67" s="242"/>
      <c r="I67" s="49"/>
      <c r="J67" s="77" t="str">
        <f t="shared" si="0"/>
        <v/>
      </c>
      <c r="K67" s="89" t="str">
        <f t="shared" si="1"/>
        <v/>
      </c>
      <c r="L67" s="48"/>
    </row>
    <row r="68" spans="2:12" s="57" customFormat="1" ht="14">
      <c r="B68" s="45"/>
      <c r="C68" s="48"/>
      <c r="D68" s="88"/>
      <c r="E68" s="88"/>
      <c r="F68" s="88"/>
      <c r="G68" s="242"/>
      <c r="H68" s="242"/>
      <c r="I68" s="49"/>
      <c r="J68" s="77" t="str">
        <f t="shared" si="0"/>
        <v/>
      </c>
      <c r="K68" s="89" t="str">
        <f t="shared" si="1"/>
        <v/>
      </c>
      <c r="L68" s="48"/>
    </row>
    <row r="69" spans="2:12" s="57" customFormat="1" ht="14">
      <c r="B69" s="45"/>
      <c r="C69" s="48"/>
      <c r="D69" s="88"/>
      <c r="E69" s="88"/>
      <c r="F69" s="88"/>
      <c r="G69" s="242"/>
      <c r="H69" s="242"/>
      <c r="I69" s="49"/>
      <c r="J69" s="77" t="str">
        <f t="shared" si="0"/>
        <v/>
      </c>
      <c r="K69" s="89" t="str">
        <f t="shared" si="1"/>
        <v/>
      </c>
      <c r="L69" s="48"/>
    </row>
    <row r="70" spans="2:12" s="57" customFormat="1" ht="14">
      <c r="B70" s="45"/>
      <c r="C70" s="48"/>
      <c r="D70" s="88"/>
      <c r="E70" s="88"/>
      <c r="F70" s="88"/>
      <c r="G70" s="242"/>
      <c r="H70" s="242"/>
      <c r="I70" s="49"/>
      <c r="J70" s="77" t="str">
        <f t="shared" si="0"/>
        <v/>
      </c>
      <c r="K70" s="89" t="str">
        <f t="shared" si="1"/>
        <v/>
      </c>
      <c r="L70" s="48"/>
    </row>
    <row r="71" spans="2:12" s="57" customFormat="1" ht="14">
      <c r="B71" s="45"/>
      <c r="C71" s="48"/>
      <c r="D71" s="88"/>
      <c r="E71" s="88"/>
      <c r="F71" s="88"/>
      <c r="G71" s="242"/>
      <c r="H71" s="242"/>
      <c r="I71" s="49"/>
      <c r="J71" s="77" t="str">
        <f t="shared" si="0"/>
        <v/>
      </c>
      <c r="K71" s="89" t="str">
        <f t="shared" si="1"/>
        <v/>
      </c>
      <c r="L71" s="48"/>
    </row>
    <row r="72" spans="2:12" s="57" customFormat="1" ht="14">
      <c r="B72" s="45"/>
      <c r="C72" s="48"/>
      <c r="D72" s="88"/>
      <c r="E72" s="88"/>
      <c r="F72" s="88"/>
      <c r="G72" s="242"/>
      <c r="H72" s="242"/>
      <c r="I72" s="49"/>
      <c r="J72" s="77" t="str">
        <f t="shared" si="0"/>
        <v/>
      </c>
      <c r="K72" s="89" t="str">
        <f t="shared" si="1"/>
        <v/>
      </c>
      <c r="L72" s="48"/>
    </row>
    <row r="73" spans="2:12" s="57" customFormat="1" ht="14">
      <c r="B73" s="45"/>
      <c r="C73" s="48"/>
      <c r="D73" s="88"/>
      <c r="E73" s="88"/>
      <c r="F73" s="88"/>
      <c r="G73" s="242"/>
      <c r="H73" s="242"/>
      <c r="I73" s="49"/>
      <c r="J73" s="77" t="str">
        <f t="shared" si="0"/>
        <v/>
      </c>
      <c r="K73" s="89" t="str">
        <f t="shared" si="1"/>
        <v/>
      </c>
      <c r="L73" s="48"/>
    </row>
    <row r="74" spans="2:12" s="57" customFormat="1" ht="14">
      <c r="B74" s="45"/>
      <c r="C74" s="48"/>
      <c r="D74" s="88"/>
      <c r="E74" s="88"/>
      <c r="F74" s="88"/>
      <c r="G74" s="242"/>
      <c r="H74" s="242"/>
      <c r="I74" s="49"/>
      <c r="J74" s="77" t="str">
        <f t="shared" si="0"/>
        <v/>
      </c>
      <c r="K74" s="89" t="str">
        <f t="shared" si="1"/>
        <v/>
      </c>
      <c r="L74" s="48"/>
    </row>
    <row r="75" spans="2:12" s="57" customFormat="1" ht="14">
      <c r="B75" s="45"/>
      <c r="C75" s="48"/>
      <c r="D75" s="88"/>
      <c r="E75" s="88"/>
      <c r="F75" s="88"/>
      <c r="G75" s="242"/>
      <c r="H75" s="242"/>
      <c r="I75" s="49"/>
      <c r="J75" s="77" t="str">
        <f t="shared" ref="J75:J138" si="2">IF($C75&lt;&gt;"",$E75*1.5,"")</f>
        <v/>
      </c>
      <c r="K75" s="89" t="str">
        <f t="shared" ref="K75:K138" si="3">IFERROR($J75/10,"")</f>
        <v/>
      </c>
      <c r="L75" s="48"/>
    </row>
    <row r="76" spans="2:12" s="57" customFormat="1" ht="14">
      <c r="B76" s="45"/>
      <c r="C76" s="48"/>
      <c r="D76" s="88"/>
      <c r="E76" s="88"/>
      <c r="F76" s="88"/>
      <c r="G76" s="242"/>
      <c r="H76" s="242"/>
      <c r="I76" s="49"/>
      <c r="J76" s="77" t="str">
        <f t="shared" si="2"/>
        <v/>
      </c>
      <c r="K76" s="89" t="str">
        <f t="shared" si="3"/>
        <v/>
      </c>
      <c r="L76" s="48"/>
    </row>
    <row r="77" spans="2:12" s="57" customFormat="1" ht="14">
      <c r="B77" s="45"/>
      <c r="C77" s="48"/>
      <c r="D77" s="88"/>
      <c r="E77" s="88"/>
      <c r="F77" s="88"/>
      <c r="G77" s="242"/>
      <c r="H77" s="242"/>
      <c r="I77" s="49"/>
      <c r="J77" s="77" t="str">
        <f t="shared" si="2"/>
        <v/>
      </c>
      <c r="K77" s="89" t="str">
        <f t="shared" si="3"/>
        <v/>
      </c>
      <c r="L77" s="48"/>
    </row>
    <row r="78" spans="2:12" s="57" customFormat="1" ht="14">
      <c r="B78" s="45"/>
      <c r="C78" s="48"/>
      <c r="D78" s="88"/>
      <c r="E78" s="88"/>
      <c r="F78" s="88"/>
      <c r="G78" s="242"/>
      <c r="H78" s="242"/>
      <c r="I78" s="49"/>
      <c r="J78" s="77" t="str">
        <f t="shared" si="2"/>
        <v/>
      </c>
      <c r="K78" s="89" t="str">
        <f t="shared" si="3"/>
        <v/>
      </c>
      <c r="L78" s="48"/>
    </row>
    <row r="79" spans="2:12" s="57" customFormat="1" ht="14">
      <c r="B79" s="45"/>
      <c r="C79" s="48"/>
      <c r="D79" s="88"/>
      <c r="E79" s="88"/>
      <c r="F79" s="88"/>
      <c r="G79" s="242"/>
      <c r="H79" s="242"/>
      <c r="I79" s="49"/>
      <c r="J79" s="77" t="str">
        <f t="shared" si="2"/>
        <v/>
      </c>
      <c r="K79" s="89" t="str">
        <f t="shared" si="3"/>
        <v/>
      </c>
      <c r="L79" s="48"/>
    </row>
    <row r="80" spans="2:12" s="57" customFormat="1" ht="14">
      <c r="B80" s="45"/>
      <c r="C80" s="48"/>
      <c r="D80" s="88"/>
      <c r="E80" s="88"/>
      <c r="F80" s="88"/>
      <c r="G80" s="242"/>
      <c r="H80" s="242"/>
      <c r="I80" s="49"/>
      <c r="J80" s="77" t="str">
        <f t="shared" si="2"/>
        <v/>
      </c>
      <c r="K80" s="89" t="str">
        <f t="shared" si="3"/>
        <v/>
      </c>
      <c r="L80" s="48"/>
    </row>
    <row r="81" spans="2:12" s="57" customFormat="1" ht="14">
      <c r="B81" s="45"/>
      <c r="C81" s="48"/>
      <c r="D81" s="88"/>
      <c r="E81" s="88"/>
      <c r="F81" s="88"/>
      <c r="G81" s="242"/>
      <c r="H81" s="242"/>
      <c r="I81" s="49"/>
      <c r="J81" s="77" t="str">
        <f t="shared" si="2"/>
        <v/>
      </c>
      <c r="K81" s="89" t="str">
        <f t="shared" si="3"/>
        <v/>
      </c>
      <c r="L81" s="48"/>
    </row>
    <row r="82" spans="2:12" s="57" customFormat="1" ht="14">
      <c r="B82" s="45"/>
      <c r="C82" s="48"/>
      <c r="D82" s="88"/>
      <c r="E82" s="88"/>
      <c r="F82" s="88"/>
      <c r="G82" s="242"/>
      <c r="H82" s="242"/>
      <c r="I82" s="49"/>
      <c r="J82" s="77" t="str">
        <f t="shared" si="2"/>
        <v/>
      </c>
      <c r="K82" s="89" t="str">
        <f t="shared" si="3"/>
        <v/>
      </c>
      <c r="L82" s="48"/>
    </row>
    <row r="83" spans="2:12" s="57" customFormat="1" ht="14">
      <c r="B83" s="45"/>
      <c r="C83" s="48"/>
      <c r="D83" s="88"/>
      <c r="E83" s="88"/>
      <c r="F83" s="88"/>
      <c r="G83" s="242"/>
      <c r="H83" s="242"/>
      <c r="I83" s="49"/>
      <c r="J83" s="77" t="str">
        <f t="shared" si="2"/>
        <v/>
      </c>
      <c r="K83" s="89" t="str">
        <f t="shared" si="3"/>
        <v/>
      </c>
      <c r="L83" s="48"/>
    </row>
    <row r="84" spans="2:12" s="57" customFormat="1" ht="14">
      <c r="B84" s="45"/>
      <c r="C84" s="48"/>
      <c r="D84" s="88"/>
      <c r="E84" s="88"/>
      <c r="F84" s="88"/>
      <c r="G84" s="242"/>
      <c r="H84" s="242"/>
      <c r="I84" s="49"/>
      <c r="J84" s="77" t="str">
        <f t="shared" si="2"/>
        <v/>
      </c>
      <c r="K84" s="89" t="str">
        <f t="shared" si="3"/>
        <v/>
      </c>
      <c r="L84" s="48"/>
    </row>
    <row r="85" spans="2:12" s="57" customFormat="1" ht="14">
      <c r="B85" s="45"/>
      <c r="C85" s="48"/>
      <c r="D85" s="88"/>
      <c r="E85" s="88"/>
      <c r="F85" s="88"/>
      <c r="G85" s="242"/>
      <c r="H85" s="242"/>
      <c r="I85" s="49"/>
      <c r="J85" s="77" t="str">
        <f t="shared" si="2"/>
        <v/>
      </c>
      <c r="K85" s="89" t="str">
        <f t="shared" si="3"/>
        <v/>
      </c>
      <c r="L85" s="48"/>
    </row>
    <row r="86" spans="2:12" s="57" customFormat="1" ht="14">
      <c r="B86" s="45"/>
      <c r="C86" s="48"/>
      <c r="D86" s="88"/>
      <c r="E86" s="88"/>
      <c r="F86" s="88"/>
      <c r="G86" s="242"/>
      <c r="H86" s="242"/>
      <c r="I86" s="49"/>
      <c r="J86" s="77" t="str">
        <f t="shared" si="2"/>
        <v/>
      </c>
      <c r="K86" s="89" t="str">
        <f t="shared" si="3"/>
        <v/>
      </c>
      <c r="L86" s="48"/>
    </row>
    <row r="87" spans="2:12" s="57" customFormat="1" ht="14">
      <c r="B87" s="45"/>
      <c r="C87" s="48"/>
      <c r="D87" s="88"/>
      <c r="E87" s="88"/>
      <c r="F87" s="88"/>
      <c r="G87" s="242"/>
      <c r="H87" s="242"/>
      <c r="I87" s="49"/>
      <c r="J87" s="77" t="str">
        <f t="shared" si="2"/>
        <v/>
      </c>
      <c r="K87" s="89" t="str">
        <f t="shared" si="3"/>
        <v/>
      </c>
      <c r="L87" s="48"/>
    </row>
    <row r="88" spans="2:12" s="57" customFormat="1" ht="14">
      <c r="B88" s="45"/>
      <c r="C88" s="48"/>
      <c r="D88" s="88"/>
      <c r="E88" s="88"/>
      <c r="F88" s="88"/>
      <c r="G88" s="242"/>
      <c r="H88" s="242"/>
      <c r="I88" s="49"/>
      <c r="J88" s="77" t="str">
        <f t="shared" si="2"/>
        <v/>
      </c>
      <c r="K88" s="89" t="str">
        <f t="shared" si="3"/>
        <v/>
      </c>
      <c r="L88" s="48"/>
    </row>
    <row r="89" spans="2:12" s="57" customFormat="1" ht="14">
      <c r="B89" s="45"/>
      <c r="C89" s="48"/>
      <c r="D89" s="88"/>
      <c r="E89" s="88"/>
      <c r="F89" s="88"/>
      <c r="G89" s="242"/>
      <c r="H89" s="242"/>
      <c r="I89" s="49"/>
      <c r="J89" s="77" t="str">
        <f t="shared" si="2"/>
        <v/>
      </c>
      <c r="K89" s="89" t="str">
        <f t="shared" si="3"/>
        <v/>
      </c>
      <c r="L89" s="48"/>
    </row>
    <row r="90" spans="2:12" s="57" customFormat="1" ht="14">
      <c r="B90" s="45"/>
      <c r="C90" s="48"/>
      <c r="D90" s="88"/>
      <c r="E90" s="88"/>
      <c r="F90" s="88"/>
      <c r="G90" s="242"/>
      <c r="H90" s="242"/>
      <c r="I90" s="49"/>
      <c r="J90" s="77" t="str">
        <f t="shared" si="2"/>
        <v/>
      </c>
      <c r="K90" s="89" t="str">
        <f t="shared" si="3"/>
        <v/>
      </c>
      <c r="L90" s="48"/>
    </row>
    <row r="91" spans="2:12" s="57" customFormat="1" ht="14">
      <c r="B91" s="45"/>
      <c r="C91" s="48"/>
      <c r="D91" s="88"/>
      <c r="E91" s="88"/>
      <c r="F91" s="88"/>
      <c r="G91" s="242"/>
      <c r="H91" s="242"/>
      <c r="I91" s="49"/>
      <c r="J91" s="77" t="str">
        <f t="shared" si="2"/>
        <v/>
      </c>
      <c r="K91" s="89" t="str">
        <f t="shared" si="3"/>
        <v/>
      </c>
      <c r="L91" s="48"/>
    </row>
    <row r="92" spans="2:12" s="57" customFormat="1" ht="14">
      <c r="B92" s="45"/>
      <c r="C92" s="48"/>
      <c r="D92" s="88"/>
      <c r="E92" s="88"/>
      <c r="F92" s="88"/>
      <c r="G92" s="242"/>
      <c r="H92" s="242"/>
      <c r="I92" s="49"/>
      <c r="J92" s="77" t="str">
        <f t="shared" si="2"/>
        <v/>
      </c>
      <c r="K92" s="89" t="str">
        <f t="shared" si="3"/>
        <v/>
      </c>
      <c r="L92" s="48"/>
    </row>
    <row r="93" spans="2:12" s="57" customFormat="1" ht="14">
      <c r="B93" s="45"/>
      <c r="C93" s="48"/>
      <c r="D93" s="88"/>
      <c r="E93" s="88"/>
      <c r="F93" s="88"/>
      <c r="G93" s="242"/>
      <c r="H93" s="242"/>
      <c r="I93" s="49"/>
      <c r="J93" s="77" t="str">
        <f t="shared" si="2"/>
        <v/>
      </c>
      <c r="K93" s="89" t="str">
        <f t="shared" si="3"/>
        <v/>
      </c>
      <c r="L93" s="48"/>
    </row>
    <row r="94" spans="2:12" s="57" customFormat="1" ht="14">
      <c r="B94" s="45"/>
      <c r="C94" s="48"/>
      <c r="D94" s="88"/>
      <c r="E94" s="88"/>
      <c r="F94" s="88"/>
      <c r="G94" s="242"/>
      <c r="H94" s="242"/>
      <c r="I94" s="49"/>
      <c r="J94" s="77" t="str">
        <f t="shared" si="2"/>
        <v/>
      </c>
      <c r="K94" s="89" t="str">
        <f t="shared" si="3"/>
        <v/>
      </c>
      <c r="L94" s="48"/>
    </row>
    <row r="95" spans="2:12" s="57" customFormat="1" ht="14">
      <c r="B95" s="45"/>
      <c r="C95" s="48"/>
      <c r="D95" s="88"/>
      <c r="E95" s="88"/>
      <c r="F95" s="88"/>
      <c r="G95" s="242"/>
      <c r="H95" s="242"/>
      <c r="I95" s="49"/>
      <c r="J95" s="77" t="str">
        <f t="shared" si="2"/>
        <v/>
      </c>
      <c r="K95" s="89" t="str">
        <f t="shared" si="3"/>
        <v/>
      </c>
      <c r="L95" s="48"/>
    </row>
    <row r="96" spans="2:12" s="57" customFormat="1" ht="14">
      <c r="B96" s="45"/>
      <c r="C96" s="48"/>
      <c r="D96" s="88"/>
      <c r="E96" s="88"/>
      <c r="F96" s="88"/>
      <c r="G96" s="242"/>
      <c r="H96" s="242"/>
      <c r="I96" s="49"/>
      <c r="J96" s="77" t="str">
        <f t="shared" si="2"/>
        <v/>
      </c>
      <c r="K96" s="89" t="str">
        <f t="shared" si="3"/>
        <v/>
      </c>
      <c r="L96" s="48"/>
    </row>
    <row r="97" spans="2:12" s="57" customFormat="1" ht="14">
      <c r="B97" s="45"/>
      <c r="C97" s="48"/>
      <c r="D97" s="88"/>
      <c r="E97" s="88"/>
      <c r="F97" s="88"/>
      <c r="G97" s="242"/>
      <c r="H97" s="242"/>
      <c r="I97" s="49"/>
      <c r="J97" s="77" t="str">
        <f t="shared" si="2"/>
        <v/>
      </c>
      <c r="K97" s="89" t="str">
        <f t="shared" si="3"/>
        <v/>
      </c>
      <c r="L97" s="48"/>
    </row>
    <row r="98" spans="2:12" s="57" customFormat="1" ht="14">
      <c r="B98" s="45"/>
      <c r="C98" s="48"/>
      <c r="D98" s="88"/>
      <c r="E98" s="88"/>
      <c r="F98" s="88"/>
      <c r="G98" s="242"/>
      <c r="H98" s="242"/>
      <c r="I98" s="49"/>
      <c r="J98" s="77" t="str">
        <f t="shared" si="2"/>
        <v/>
      </c>
      <c r="K98" s="89" t="str">
        <f t="shared" si="3"/>
        <v/>
      </c>
      <c r="L98" s="48"/>
    </row>
    <row r="99" spans="2:12" s="57" customFormat="1" ht="14">
      <c r="B99" s="45"/>
      <c r="C99" s="48"/>
      <c r="D99" s="88"/>
      <c r="E99" s="88"/>
      <c r="F99" s="88"/>
      <c r="G99" s="242"/>
      <c r="H99" s="242"/>
      <c r="I99" s="49"/>
      <c r="J99" s="77" t="str">
        <f t="shared" si="2"/>
        <v/>
      </c>
      <c r="K99" s="89" t="str">
        <f t="shared" si="3"/>
        <v/>
      </c>
      <c r="L99" s="48"/>
    </row>
    <row r="100" spans="2:12" s="57" customFormat="1" ht="14">
      <c r="B100" s="45"/>
      <c r="C100" s="48"/>
      <c r="D100" s="88"/>
      <c r="E100" s="88"/>
      <c r="F100" s="88"/>
      <c r="G100" s="242"/>
      <c r="H100" s="242"/>
      <c r="I100" s="49"/>
      <c r="J100" s="77" t="str">
        <f t="shared" si="2"/>
        <v/>
      </c>
      <c r="K100" s="89" t="str">
        <f t="shared" si="3"/>
        <v/>
      </c>
      <c r="L100" s="48"/>
    </row>
    <row r="101" spans="2:12" s="57" customFormat="1" ht="14">
      <c r="B101" s="45"/>
      <c r="C101" s="48"/>
      <c r="D101" s="88"/>
      <c r="E101" s="88"/>
      <c r="F101" s="88"/>
      <c r="G101" s="242"/>
      <c r="H101" s="242"/>
      <c r="I101" s="49"/>
      <c r="J101" s="77" t="str">
        <f t="shared" si="2"/>
        <v/>
      </c>
      <c r="K101" s="89" t="str">
        <f t="shared" si="3"/>
        <v/>
      </c>
      <c r="L101" s="48"/>
    </row>
    <row r="102" spans="2:12" s="57" customFormat="1" ht="14">
      <c r="B102" s="45"/>
      <c r="C102" s="48"/>
      <c r="D102" s="88"/>
      <c r="E102" s="88"/>
      <c r="F102" s="88"/>
      <c r="G102" s="242"/>
      <c r="H102" s="242"/>
      <c r="I102" s="49"/>
      <c r="J102" s="77" t="str">
        <f t="shared" si="2"/>
        <v/>
      </c>
      <c r="K102" s="89" t="str">
        <f t="shared" si="3"/>
        <v/>
      </c>
      <c r="L102" s="48"/>
    </row>
    <row r="103" spans="2:12" s="57" customFormat="1" ht="14">
      <c r="B103" s="45"/>
      <c r="C103" s="48"/>
      <c r="D103" s="88"/>
      <c r="E103" s="88"/>
      <c r="F103" s="88"/>
      <c r="G103" s="242"/>
      <c r="H103" s="242"/>
      <c r="I103" s="49"/>
      <c r="J103" s="77" t="str">
        <f t="shared" si="2"/>
        <v/>
      </c>
      <c r="K103" s="89" t="str">
        <f t="shared" si="3"/>
        <v/>
      </c>
      <c r="L103" s="48"/>
    </row>
    <row r="104" spans="2:12" s="57" customFormat="1" ht="14">
      <c r="B104" s="45"/>
      <c r="C104" s="48"/>
      <c r="D104" s="88"/>
      <c r="E104" s="88"/>
      <c r="F104" s="88"/>
      <c r="G104" s="242"/>
      <c r="H104" s="242"/>
      <c r="I104" s="49"/>
      <c r="J104" s="77" t="str">
        <f t="shared" si="2"/>
        <v/>
      </c>
      <c r="K104" s="89" t="str">
        <f t="shared" si="3"/>
        <v/>
      </c>
      <c r="L104" s="48"/>
    </row>
    <row r="105" spans="2:12" s="57" customFormat="1" ht="14">
      <c r="B105" s="45"/>
      <c r="C105" s="48"/>
      <c r="D105" s="88"/>
      <c r="E105" s="88"/>
      <c r="F105" s="88"/>
      <c r="G105" s="242"/>
      <c r="H105" s="242"/>
      <c r="I105" s="49"/>
      <c r="J105" s="77" t="str">
        <f t="shared" si="2"/>
        <v/>
      </c>
      <c r="K105" s="89" t="str">
        <f t="shared" si="3"/>
        <v/>
      </c>
      <c r="L105" s="48"/>
    </row>
    <row r="106" spans="2:12" s="57" customFormat="1" ht="14">
      <c r="B106" s="45"/>
      <c r="C106" s="48"/>
      <c r="D106" s="88"/>
      <c r="E106" s="88"/>
      <c r="F106" s="88"/>
      <c r="G106" s="242"/>
      <c r="H106" s="242"/>
      <c r="I106" s="49"/>
      <c r="J106" s="77" t="str">
        <f t="shared" si="2"/>
        <v/>
      </c>
      <c r="K106" s="89" t="str">
        <f t="shared" si="3"/>
        <v/>
      </c>
      <c r="L106" s="48"/>
    </row>
    <row r="107" spans="2:12" s="57" customFormat="1" ht="14">
      <c r="B107" s="45"/>
      <c r="C107" s="48"/>
      <c r="D107" s="88"/>
      <c r="E107" s="88"/>
      <c r="F107" s="88"/>
      <c r="G107" s="242"/>
      <c r="H107" s="242"/>
      <c r="I107" s="49"/>
      <c r="J107" s="77" t="str">
        <f t="shared" si="2"/>
        <v/>
      </c>
      <c r="K107" s="89" t="str">
        <f t="shared" si="3"/>
        <v/>
      </c>
      <c r="L107" s="48"/>
    </row>
    <row r="108" spans="2:12" s="57" customFormat="1" ht="14">
      <c r="B108" s="45"/>
      <c r="C108" s="48"/>
      <c r="D108" s="88"/>
      <c r="E108" s="88"/>
      <c r="F108" s="88"/>
      <c r="G108" s="242"/>
      <c r="H108" s="242"/>
      <c r="I108" s="49"/>
      <c r="J108" s="77" t="str">
        <f t="shared" si="2"/>
        <v/>
      </c>
      <c r="K108" s="89" t="str">
        <f t="shared" si="3"/>
        <v/>
      </c>
      <c r="L108" s="48"/>
    </row>
    <row r="109" spans="2:12" s="57" customFormat="1" ht="14">
      <c r="B109" s="45"/>
      <c r="C109" s="48"/>
      <c r="D109" s="88"/>
      <c r="E109" s="88"/>
      <c r="F109" s="88"/>
      <c r="G109" s="242"/>
      <c r="H109" s="242"/>
      <c r="I109" s="49"/>
      <c r="J109" s="77" t="str">
        <f t="shared" si="2"/>
        <v/>
      </c>
      <c r="K109" s="89" t="str">
        <f t="shared" si="3"/>
        <v/>
      </c>
      <c r="L109" s="48"/>
    </row>
    <row r="110" spans="2:12" s="57" customFormat="1" ht="14" customHeight="1">
      <c r="B110" s="45"/>
      <c r="C110" s="48"/>
      <c r="D110" s="88"/>
      <c r="E110" s="88"/>
      <c r="F110" s="88"/>
      <c r="G110" s="242" t="s">
        <v>90</v>
      </c>
      <c r="H110" s="242"/>
      <c r="I110" s="49"/>
      <c r="J110" s="77" t="str">
        <f t="shared" si="2"/>
        <v/>
      </c>
      <c r="K110" s="89" t="str">
        <f t="shared" si="3"/>
        <v/>
      </c>
      <c r="L110" s="48"/>
    </row>
    <row r="111" spans="2:12" s="57" customFormat="1" ht="14">
      <c r="B111" s="45"/>
      <c r="C111" s="48"/>
      <c r="D111" s="88"/>
      <c r="E111" s="88"/>
      <c r="F111" s="88"/>
      <c r="G111" s="242"/>
      <c r="H111" s="242"/>
      <c r="I111" s="49"/>
      <c r="J111" s="77" t="str">
        <f t="shared" si="2"/>
        <v/>
      </c>
      <c r="K111" s="89" t="str">
        <f t="shared" si="3"/>
        <v/>
      </c>
      <c r="L111" s="48"/>
    </row>
    <row r="112" spans="2:12" s="57" customFormat="1" ht="14">
      <c r="B112" s="45"/>
      <c r="C112" s="48"/>
      <c r="D112" s="88"/>
      <c r="E112" s="88"/>
      <c r="F112" s="88"/>
      <c r="G112" s="242"/>
      <c r="H112" s="242"/>
      <c r="I112" s="49"/>
      <c r="J112" s="77" t="str">
        <f t="shared" si="2"/>
        <v/>
      </c>
      <c r="K112" s="89" t="str">
        <f t="shared" si="3"/>
        <v/>
      </c>
      <c r="L112" s="48"/>
    </row>
    <row r="113" spans="2:12" s="57" customFormat="1" ht="14">
      <c r="B113" s="45"/>
      <c r="C113" s="48"/>
      <c r="D113" s="88"/>
      <c r="E113" s="88"/>
      <c r="F113" s="88"/>
      <c r="G113" s="242"/>
      <c r="H113" s="242"/>
      <c r="I113" s="49"/>
      <c r="J113" s="77" t="str">
        <f t="shared" si="2"/>
        <v/>
      </c>
      <c r="K113" s="89" t="str">
        <f t="shared" si="3"/>
        <v/>
      </c>
      <c r="L113" s="48"/>
    </row>
    <row r="114" spans="2:12" s="57" customFormat="1" ht="14">
      <c r="B114" s="45"/>
      <c r="C114" s="48"/>
      <c r="D114" s="88"/>
      <c r="E114" s="88"/>
      <c r="F114" s="88"/>
      <c r="G114" s="242"/>
      <c r="H114" s="242"/>
      <c r="I114" s="49"/>
      <c r="J114" s="77" t="str">
        <f t="shared" si="2"/>
        <v/>
      </c>
      <c r="K114" s="89" t="str">
        <f t="shared" si="3"/>
        <v/>
      </c>
      <c r="L114" s="48"/>
    </row>
    <row r="115" spans="2:12" s="57" customFormat="1" ht="14">
      <c r="B115" s="45"/>
      <c r="C115" s="48"/>
      <c r="D115" s="88"/>
      <c r="E115" s="88"/>
      <c r="F115" s="88"/>
      <c r="G115" s="242"/>
      <c r="H115" s="242"/>
      <c r="I115" s="49"/>
      <c r="J115" s="77" t="str">
        <f t="shared" si="2"/>
        <v/>
      </c>
      <c r="K115" s="89" t="str">
        <f t="shared" si="3"/>
        <v/>
      </c>
      <c r="L115" s="48"/>
    </row>
    <row r="116" spans="2:12" s="57" customFormat="1" ht="14">
      <c r="B116" s="45"/>
      <c r="C116" s="48"/>
      <c r="D116" s="88"/>
      <c r="E116" s="88"/>
      <c r="F116" s="88"/>
      <c r="G116" s="242"/>
      <c r="H116" s="242"/>
      <c r="I116" s="49"/>
      <c r="J116" s="77" t="str">
        <f t="shared" si="2"/>
        <v/>
      </c>
      <c r="K116" s="89" t="str">
        <f t="shared" si="3"/>
        <v/>
      </c>
      <c r="L116" s="48"/>
    </row>
    <row r="117" spans="2:12" s="57" customFormat="1" ht="14">
      <c r="B117" s="45"/>
      <c r="C117" s="48"/>
      <c r="D117" s="88"/>
      <c r="E117" s="88"/>
      <c r="F117" s="88"/>
      <c r="G117" s="242"/>
      <c r="H117" s="242"/>
      <c r="I117" s="49"/>
      <c r="J117" s="77" t="str">
        <f t="shared" si="2"/>
        <v/>
      </c>
      <c r="K117" s="89" t="str">
        <f t="shared" si="3"/>
        <v/>
      </c>
      <c r="L117" s="48"/>
    </row>
    <row r="118" spans="2:12" s="57" customFormat="1" ht="14">
      <c r="B118" s="45"/>
      <c r="C118" s="48"/>
      <c r="D118" s="88"/>
      <c r="E118" s="88"/>
      <c r="F118" s="88"/>
      <c r="G118" s="242"/>
      <c r="H118" s="242"/>
      <c r="I118" s="49"/>
      <c r="J118" s="77" t="str">
        <f t="shared" si="2"/>
        <v/>
      </c>
      <c r="K118" s="89" t="str">
        <f t="shared" si="3"/>
        <v/>
      </c>
      <c r="L118" s="48"/>
    </row>
    <row r="119" spans="2:12" s="57" customFormat="1" ht="14">
      <c r="B119" s="45"/>
      <c r="C119" s="48"/>
      <c r="D119" s="88"/>
      <c r="E119" s="88"/>
      <c r="F119" s="88"/>
      <c r="G119" s="242"/>
      <c r="H119" s="242"/>
      <c r="I119" s="49"/>
      <c r="J119" s="77" t="str">
        <f t="shared" si="2"/>
        <v/>
      </c>
      <c r="K119" s="89" t="str">
        <f t="shared" si="3"/>
        <v/>
      </c>
      <c r="L119" s="48"/>
    </row>
    <row r="120" spans="2:12" s="57" customFormat="1" ht="14">
      <c r="B120" s="45"/>
      <c r="C120" s="48"/>
      <c r="D120" s="88"/>
      <c r="E120" s="88"/>
      <c r="F120" s="88"/>
      <c r="G120" s="242"/>
      <c r="H120" s="242"/>
      <c r="I120" s="49"/>
      <c r="J120" s="77" t="str">
        <f t="shared" si="2"/>
        <v/>
      </c>
      <c r="K120" s="89" t="str">
        <f t="shared" si="3"/>
        <v/>
      </c>
      <c r="L120" s="48"/>
    </row>
    <row r="121" spans="2:12" s="57" customFormat="1" ht="14">
      <c r="B121" s="45"/>
      <c r="C121" s="48"/>
      <c r="D121" s="88"/>
      <c r="E121" s="88"/>
      <c r="F121" s="88"/>
      <c r="G121" s="242"/>
      <c r="H121" s="242"/>
      <c r="I121" s="49"/>
      <c r="J121" s="77" t="str">
        <f t="shared" si="2"/>
        <v/>
      </c>
      <c r="K121" s="89" t="str">
        <f t="shared" si="3"/>
        <v/>
      </c>
      <c r="L121" s="48"/>
    </row>
    <row r="122" spans="2:12" s="57" customFormat="1" ht="14">
      <c r="B122" s="45"/>
      <c r="C122" s="48"/>
      <c r="D122" s="88"/>
      <c r="E122" s="88"/>
      <c r="F122" s="88"/>
      <c r="G122" s="242"/>
      <c r="H122" s="242"/>
      <c r="I122" s="49"/>
      <c r="J122" s="77" t="str">
        <f t="shared" si="2"/>
        <v/>
      </c>
      <c r="K122" s="89" t="str">
        <f t="shared" si="3"/>
        <v/>
      </c>
      <c r="L122" s="48"/>
    </row>
    <row r="123" spans="2:12" s="57" customFormat="1" ht="14">
      <c r="B123" s="45"/>
      <c r="C123" s="48"/>
      <c r="D123" s="88"/>
      <c r="E123" s="88"/>
      <c r="F123" s="88"/>
      <c r="G123" s="242"/>
      <c r="H123" s="242"/>
      <c r="I123" s="49"/>
      <c r="J123" s="77" t="str">
        <f t="shared" si="2"/>
        <v/>
      </c>
      <c r="K123" s="89" t="str">
        <f t="shared" si="3"/>
        <v/>
      </c>
      <c r="L123" s="48"/>
    </row>
    <row r="124" spans="2:12" s="57" customFormat="1" ht="14">
      <c r="B124" s="45"/>
      <c r="C124" s="48"/>
      <c r="D124" s="88"/>
      <c r="E124" s="88"/>
      <c r="F124" s="88"/>
      <c r="G124" s="242"/>
      <c r="H124" s="242"/>
      <c r="I124" s="49"/>
      <c r="J124" s="77" t="str">
        <f t="shared" si="2"/>
        <v/>
      </c>
      <c r="K124" s="89" t="str">
        <f t="shared" si="3"/>
        <v/>
      </c>
      <c r="L124" s="48"/>
    </row>
    <row r="125" spans="2:12" s="57" customFormat="1" ht="14">
      <c r="B125" s="45"/>
      <c r="C125" s="48"/>
      <c r="D125" s="88"/>
      <c r="E125" s="88"/>
      <c r="F125" s="88"/>
      <c r="G125" s="242"/>
      <c r="H125" s="242"/>
      <c r="I125" s="49"/>
      <c r="J125" s="77" t="str">
        <f t="shared" si="2"/>
        <v/>
      </c>
      <c r="K125" s="89" t="str">
        <f t="shared" si="3"/>
        <v/>
      </c>
      <c r="L125" s="48"/>
    </row>
    <row r="126" spans="2:12" s="57" customFormat="1" ht="14">
      <c r="B126" s="45"/>
      <c r="C126" s="48"/>
      <c r="D126" s="88"/>
      <c r="E126" s="88"/>
      <c r="F126" s="88"/>
      <c r="G126" s="242"/>
      <c r="H126" s="242"/>
      <c r="I126" s="49"/>
      <c r="J126" s="77" t="str">
        <f t="shared" si="2"/>
        <v/>
      </c>
      <c r="K126" s="89" t="str">
        <f t="shared" si="3"/>
        <v/>
      </c>
      <c r="L126" s="48"/>
    </row>
    <row r="127" spans="2:12" s="57" customFormat="1" ht="14">
      <c r="B127" s="45"/>
      <c r="C127" s="48"/>
      <c r="D127" s="88"/>
      <c r="E127" s="88"/>
      <c r="F127" s="88"/>
      <c r="G127" s="242"/>
      <c r="H127" s="242"/>
      <c r="I127" s="90"/>
      <c r="J127" s="77" t="str">
        <f t="shared" si="2"/>
        <v/>
      </c>
      <c r="K127" s="89" t="str">
        <f t="shared" si="3"/>
        <v/>
      </c>
      <c r="L127" s="48"/>
    </row>
    <row r="128" spans="2:12" s="57" customFormat="1" ht="14">
      <c r="B128" s="45"/>
      <c r="C128" s="48"/>
      <c r="D128" s="88"/>
      <c r="E128" s="88"/>
      <c r="F128" s="88"/>
      <c r="G128" s="242"/>
      <c r="H128" s="242"/>
      <c r="I128" s="90"/>
      <c r="J128" s="77" t="str">
        <f t="shared" si="2"/>
        <v/>
      </c>
      <c r="K128" s="89" t="str">
        <f t="shared" si="3"/>
        <v/>
      </c>
      <c r="L128" s="48"/>
    </row>
    <row r="129" spans="2:12" s="57" customFormat="1" ht="14">
      <c r="B129" s="45"/>
      <c r="C129" s="48"/>
      <c r="D129" s="88"/>
      <c r="E129" s="88"/>
      <c r="F129" s="88"/>
      <c r="G129" s="242"/>
      <c r="H129" s="242"/>
      <c r="I129" s="49"/>
      <c r="J129" s="77" t="str">
        <f t="shared" si="2"/>
        <v/>
      </c>
      <c r="K129" s="89" t="str">
        <f t="shared" si="3"/>
        <v/>
      </c>
      <c r="L129" s="48"/>
    </row>
    <row r="130" spans="2:12" s="57" customFormat="1" ht="14">
      <c r="B130" s="45"/>
      <c r="C130" s="48"/>
      <c r="D130" s="88"/>
      <c r="E130" s="88"/>
      <c r="F130" s="88"/>
      <c r="G130" s="242"/>
      <c r="H130" s="242"/>
      <c r="I130" s="49"/>
      <c r="J130" s="77" t="str">
        <f t="shared" si="2"/>
        <v/>
      </c>
      <c r="K130" s="89" t="str">
        <f t="shared" si="3"/>
        <v/>
      </c>
      <c r="L130" s="48"/>
    </row>
    <row r="131" spans="2:12" s="57" customFormat="1" ht="14">
      <c r="B131" s="45"/>
      <c r="C131" s="48"/>
      <c r="D131" s="88"/>
      <c r="E131" s="88"/>
      <c r="F131" s="88"/>
      <c r="G131" s="242"/>
      <c r="H131" s="242"/>
      <c r="I131" s="49"/>
      <c r="J131" s="77" t="str">
        <f t="shared" si="2"/>
        <v/>
      </c>
      <c r="K131" s="89" t="str">
        <f t="shared" si="3"/>
        <v/>
      </c>
      <c r="L131" s="48"/>
    </row>
    <row r="132" spans="2:12" s="57" customFormat="1" ht="14">
      <c r="B132" s="45"/>
      <c r="C132" s="48"/>
      <c r="D132" s="88"/>
      <c r="E132" s="88"/>
      <c r="F132" s="88"/>
      <c r="G132" s="242"/>
      <c r="H132" s="242"/>
      <c r="I132" s="49"/>
      <c r="J132" s="77" t="str">
        <f t="shared" si="2"/>
        <v/>
      </c>
      <c r="K132" s="89" t="str">
        <f t="shared" si="3"/>
        <v/>
      </c>
      <c r="L132" s="48"/>
    </row>
    <row r="133" spans="2:12" s="57" customFormat="1" ht="14">
      <c r="B133" s="45"/>
      <c r="C133" s="48"/>
      <c r="D133" s="88"/>
      <c r="E133" s="88"/>
      <c r="F133" s="88"/>
      <c r="G133" s="242"/>
      <c r="H133" s="242"/>
      <c r="I133" s="49"/>
      <c r="J133" s="77" t="str">
        <f t="shared" si="2"/>
        <v/>
      </c>
      <c r="K133" s="89" t="str">
        <f t="shared" si="3"/>
        <v/>
      </c>
      <c r="L133" s="48"/>
    </row>
    <row r="134" spans="2:12" s="57" customFormat="1" ht="14">
      <c r="B134" s="45"/>
      <c r="C134" s="48"/>
      <c r="D134" s="88"/>
      <c r="E134" s="88"/>
      <c r="F134" s="88"/>
      <c r="G134" s="242"/>
      <c r="H134" s="242"/>
      <c r="I134" s="49"/>
      <c r="J134" s="77" t="str">
        <f t="shared" si="2"/>
        <v/>
      </c>
      <c r="K134" s="89" t="str">
        <f t="shared" si="3"/>
        <v/>
      </c>
      <c r="L134" s="48"/>
    </row>
    <row r="135" spans="2:12" s="57" customFormat="1" ht="14">
      <c r="B135" s="45"/>
      <c r="C135" s="48"/>
      <c r="D135" s="88"/>
      <c r="E135" s="88"/>
      <c r="F135" s="88"/>
      <c r="G135" s="242"/>
      <c r="H135" s="242"/>
      <c r="I135" s="49"/>
      <c r="J135" s="77" t="str">
        <f t="shared" si="2"/>
        <v/>
      </c>
      <c r="K135" s="89" t="str">
        <f t="shared" si="3"/>
        <v/>
      </c>
      <c r="L135" s="48"/>
    </row>
    <row r="136" spans="2:12" s="57" customFormat="1" ht="14">
      <c r="B136" s="45"/>
      <c r="C136" s="48"/>
      <c r="D136" s="88"/>
      <c r="E136" s="88"/>
      <c r="F136" s="88"/>
      <c r="G136" s="242"/>
      <c r="H136" s="242"/>
      <c r="I136" s="49"/>
      <c r="J136" s="77" t="str">
        <f t="shared" si="2"/>
        <v/>
      </c>
      <c r="K136" s="89" t="str">
        <f t="shared" si="3"/>
        <v/>
      </c>
      <c r="L136" s="48"/>
    </row>
    <row r="137" spans="2:12" s="57" customFormat="1" ht="14">
      <c r="B137" s="45"/>
      <c r="C137" s="48"/>
      <c r="D137" s="88"/>
      <c r="E137" s="88"/>
      <c r="F137" s="88"/>
      <c r="G137" s="242"/>
      <c r="H137" s="242"/>
      <c r="I137" s="49"/>
      <c r="J137" s="77" t="str">
        <f t="shared" si="2"/>
        <v/>
      </c>
      <c r="K137" s="89" t="str">
        <f t="shared" si="3"/>
        <v/>
      </c>
      <c r="L137" s="48"/>
    </row>
    <row r="138" spans="2:12" s="57" customFormat="1" ht="14">
      <c r="B138" s="45"/>
      <c r="C138" s="48"/>
      <c r="D138" s="88"/>
      <c r="E138" s="88"/>
      <c r="F138" s="88"/>
      <c r="G138" s="242"/>
      <c r="H138" s="242"/>
      <c r="I138" s="49"/>
      <c r="J138" s="77" t="str">
        <f t="shared" si="2"/>
        <v/>
      </c>
      <c r="K138" s="89" t="str">
        <f t="shared" si="3"/>
        <v/>
      </c>
      <c r="L138" s="48"/>
    </row>
    <row r="139" spans="2:12" s="57" customFormat="1" ht="14">
      <c r="B139" s="45"/>
      <c r="C139" s="48"/>
      <c r="D139" s="88"/>
      <c r="E139" s="88"/>
      <c r="F139" s="88"/>
      <c r="G139" s="242"/>
      <c r="H139" s="242"/>
      <c r="I139" s="49"/>
      <c r="J139" s="77" t="str">
        <f t="shared" ref="J139:J202" si="4">IF($C139&lt;&gt;"",$E139*1.5,"")</f>
        <v/>
      </c>
      <c r="K139" s="89" t="str">
        <f t="shared" ref="K139:K202" si="5">IFERROR($J139/10,"")</f>
        <v/>
      </c>
      <c r="L139" s="48"/>
    </row>
    <row r="140" spans="2:12" s="57" customFormat="1" ht="14">
      <c r="B140" s="45"/>
      <c r="C140" s="48"/>
      <c r="D140" s="88"/>
      <c r="E140" s="88"/>
      <c r="F140" s="88"/>
      <c r="G140" s="242"/>
      <c r="H140" s="242"/>
      <c r="I140" s="49"/>
      <c r="J140" s="77" t="str">
        <f t="shared" si="4"/>
        <v/>
      </c>
      <c r="K140" s="89" t="str">
        <f t="shared" si="5"/>
        <v/>
      </c>
      <c r="L140" s="48"/>
    </row>
    <row r="141" spans="2:12" s="57" customFormat="1" ht="14">
      <c r="B141" s="45"/>
      <c r="C141" s="48"/>
      <c r="D141" s="88"/>
      <c r="E141" s="88"/>
      <c r="F141" s="88"/>
      <c r="G141" s="242"/>
      <c r="H141" s="242"/>
      <c r="I141" s="49"/>
      <c r="J141" s="77" t="str">
        <f t="shared" si="4"/>
        <v/>
      </c>
      <c r="K141" s="89" t="str">
        <f t="shared" si="5"/>
        <v/>
      </c>
      <c r="L141" s="48"/>
    </row>
    <row r="142" spans="2:12" s="57" customFormat="1" ht="14">
      <c r="B142" s="45"/>
      <c r="C142" s="48"/>
      <c r="D142" s="88"/>
      <c r="E142" s="88"/>
      <c r="F142" s="88"/>
      <c r="G142" s="242"/>
      <c r="H142" s="242"/>
      <c r="I142" s="49"/>
      <c r="J142" s="77" t="str">
        <f t="shared" si="4"/>
        <v/>
      </c>
      <c r="K142" s="89" t="str">
        <f t="shared" si="5"/>
        <v/>
      </c>
      <c r="L142" s="48"/>
    </row>
    <row r="143" spans="2:12" s="57" customFormat="1" ht="14">
      <c r="B143" s="45"/>
      <c r="C143" s="48"/>
      <c r="D143" s="88"/>
      <c r="E143" s="88"/>
      <c r="F143" s="88"/>
      <c r="G143" s="242"/>
      <c r="H143" s="242"/>
      <c r="I143" s="49"/>
      <c r="J143" s="77" t="str">
        <f t="shared" si="4"/>
        <v/>
      </c>
      <c r="K143" s="89" t="str">
        <f t="shared" si="5"/>
        <v/>
      </c>
      <c r="L143" s="48"/>
    </row>
    <row r="144" spans="2:12" s="57" customFormat="1" ht="14">
      <c r="B144" s="45"/>
      <c r="C144" s="48"/>
      <c r="D144" s="88"/>
      <c r="E144" s="88"/>
      <c r="F144" s="88"/>
      <c r="G144" s="242"/>
      <c r="H144" s="242"/>
      <c r="I144" s="49"/>
      <c r="J144" s="77" t="str">
        <f t="shared" si="4"/>
        <v/>
      </c>
      <c r="K144" s="89" t="str">
        <f t="shared" si="5"/>
        <v/>
      </c>
      <c r="L144" s="48"/>
    </row>
    <row r="145" spans="2:12" s="57" customFormat="1" ht="14">
      <c r="B145" s="45"/>
      <c r="C145" s="48"/>
      <c r="D145" s="88"/>
      <c r="E145" s="88"/>
      <c r="F145" s="88"/>
      <c r="G145" s="242"/>
      <c r="H145" s="242"/>
      <c r="I145" s="49"/>
      <c r="J145" s="77" t="str">
        <f t="shared" si="4"/>
        <v/>
      </c>
      <c r="K145" s="89" t="str">
        <f t="shared" si="5"/>
        <v/>
      </c>
      <c r="L145" s="48"/>
    </row>
    <row r="146" spans="2:12" s="57" customFormat="1" ht="14">
      <c r="B146" s="45"/>
      <c r="C146" s="48"/>
      <c r="D146" s="88"/>
      <c r="E146" s="88"/>
      <c r="F146" s="88"/>
      <c r="G146" s="242"/>
      <c r="H146" s="242"/>
      <c r="I146" s="49"/>
      <c r="J146" s="77" t="str">
        <f t="shared" si="4"/>
        <v/>
      </c>
      <c r="K146" s="89" t="str">
        <f t="shared" si="5"/>
        <v/>
      </c>
      <c r="L146" s="48"/>
    </row>
    <row r="147" spans="2:12" s="57" customFormat="1" ht="14">
      <c r="B147" s="45"/>
      <c r="C147" s="48"/>
      <c r="D147" s="88"/>
      <c r="E147" s="88"/>
      <c r="F147" s="88"/>
      <c r="G147" s="242"/>
      <c r="H147" s="242"/>
      <c r="I147" s="49"/>
      <c r="J147" s="77" t="str">
        <f t="shared" si="4"/>
        <v/>
      </c>
      <c r="K147" s="89" t="str">
        <f t="shared" si="5"/>
        <v/>
      </c>
      <c r="L147" s="48"/>
    </row>
    <row r="148" spans="2:12" s="57" customFormat="1" ht="14">
      <c r="B148" s="45"/>
      <c r="C148" s="48"/>
      <c r="D148" s="88"/>
      <c r="E148" s="88"/>
      <c r="F148" s="88"/>
      <c r="G148" s="242"/>
      <c r="H148" s="242"/>
      <c r="I148" s="49"/>
      <c r="J148" s="77" t="str">
        <f t="shared" si="4"/>
        <v/>
      </c>
      <c r="K148" s="89" t="str">
        <f t="shared" si="5"/>
        <v/>
      </c>
      <c r="L148" s="48"/>
    </row>
    <row r="149" spans="2:12" s="57" customFormat="1" ht="14">
      <c r="B149" s="45"/>
      <c r="C149" s="48"/>
      <c r="D149" s="88"/>
      <c r="E149" s="88"/>
      <c r="F149" s="88"/>
      <c r="G149" s="242"/>
      <c r="H149" s="242"/>
      <c r="I149" s="49"/>
      <c r="J149" s="77" t="str">
        <f t="shared" si="4"/>
        <v/>
      </c>
      <c r="K149" s="89" t="str">
        <f t="shared" si="5"/>
        <v/>
      </c>
      <c r="L149" s="48"/>
    </row>
    <row r="150" spans="2:12" s="57" customFormat="1" ht="14">
      <c r="B150" s="45"/>
      <c r="C150" s="48"/>
      <c r="D150" s="88"/>
      <c r="E150" s="88"/>
      <c r="F150" s="88"/>
      <c r="G150" s="242"/>
      <c r="H150" s="242"/>
      <c r="I150" s="49"/>
      <c r="J150" s="77" t="str">
        <f t="shared" si="4"/>
        <v/>
      </c>
      <c r="K150" s="89" t="str">
        <f t="shared" si="5"/>
        <v/>
      </c>
      <c r="L150" s="48"/>
    </row>
    <row r="151" spans="2:12" s="57" customFormat="1" ht="14">
      <c r="B151" s="45"/>
      <c r="C151" s="48"/>
      <c r="D151" s="88"/>
      <c r="E151" s="88"/>
      <c r="F151" s="88"/>
      <c r="G151" s="242"/>
      <c r="H151" s="242"/>
      <c r="I151" s="49"/>
      <c r="J151" s="77" t="str">
        <f t="shared" si="4"/>
        <v/>
      </c>
      <c r="K151" s="89" t="str">
        <f t="shared" si="5"/>
        <v/>
      </c>
      <c r="L151" s="48"/>
    </row>
    <row r="152" spans="2:12" s="57" customFormat="1" ht="14">
      <c r="B152" s="45"/>
      <c r="C152" s="48"/>
      <c r="D152" s="88"/>
      <c r="E152" s="88"/>
      <c r="F152" s="88"/>
      <c r="G152" s="242"/>
      <c r="H152" s="242"/>
      <c r="I152" s="49"/>
      <c r="J152" s="77" t="str">
        <f t="shared" si="4"/>
        <v/>
      </c>
      <c r="K152" s="89" t="str">
        <f t="shared" si="5"/>
        <v/>
      </c>
      <c r="L152" s="48"/>
    </row>
    <row r="153" spans="2:12" s="57" customFormat="1" ht="14">
      <c r="B153" s="45"/>
      <c r="C153" s="48"/>
      <c r="D153" s="88"/>
      <c r="E153" s="88"/>
      <c r="F153" s="88"/>
      <c r="G153" s="242"/>
      <c r="H153" s="242"/>
      <c r="I153" s="49"/>
      <c r="J153" s="77" t="str">
        <f t="shared" si="4"/>
        <v/>
      </c>
      <c r="K153" s="89" t="str">
        <f t="shared" si="5"/>
        <v/>
      </c>
      <c r="L153" s="48"/>
    </row>
    <row r="154" spans="2:12" s="57" customFormat="1" ht="14">
      <c r="B154" s="45"/>
      <c r="C154" s="48"/>
      <c r="D154" s="88"/>
      <c r="E154" s="88"/>
      <c r="F154" s="88"/>
      <c r="G154" s="242"/>
      <c r="H154" s="242"/>
      <c r="I154" s="49"/>
      <c r="J154" s="77" t="str">
        <f t="shared" si="4"/>
        <v/>
      </c>
      <c r="K154" s="89" t="str">
        <f t="shared" si="5"/>
        <v/>
      </c>
      <c r="L154" s="48"/>
    </row>
    <row r="155" spans="2:12" s="57" customFormat="1" ht="14">
      <c r="B155" s="45"/>
      <c r="C155" s="48"/>
      <c r="D155" s="88"/>
      <c r="E155" s="88"/>
      <c r="F155" s="88"/>
      <c r="G155" s="242"/>
      <c r="H155" s="242"/>
      <c r="I155" s="49"/>
      <c r="J155" s="77" t="str">
        <f t="shared" si="4"/>
        <v/>
      </c>
      <c r="K155" s="89" t="str">
        <f t="shared" si="5"/>
        <v/>
      </c>
      <c r="L155" s="48"/>
    </row>
    <row r="156" spans="2:12" s="57" customFormat="1" ht="14">
      <c r="B156" s="45"/>
      <c r="C156" s="48"/>
      <c r="D156" s="88"/>
      <c r="E156" s="88"/>
      <c r="F156" s="88"/>
      <c r="G156" s="242"/>
      <c r="H156" s="242"/>
      <c r="I156" s="49"/>
      <c r="J156" s="77" t="str">
        <f t="shared" si="4"/>
        <v/>
      </c>
      <c r="K156" s="89" t="str">
        <f t="shared" si="5"/>
        <v/>
      </c>
      <c r="L156" s="48"/>
    </row>
    <row r="157" spans="2:12" s="57" customFormat="1" ht="14">
      <c r="B157" s="45"/>
      <c r="C157" s="48"/>
      <c r="D157" s="88"/>
      <c r="E157" s="88"/>
      <c r="F157" s="88"/>
      <c r="G157" s="242"/>
      <c r="H157" s="242"/>
      <c r="I157" s="49"/>
      <c r="J157" s="77" t="str">
        <f t="shared" si="4"/>
        <v/>
      </c>
      <c r="K157" s="89" t="str">
        <f t="shared" si="5"/>
        <v/>
      </c>
      <c r="L157" s="48"/>
    </row>
    <row r="158" spans="2:12" s="57" customFormat="1" ht="14">
      <c r="B158" s="45"/>
      <c r="C158" s="48"/>
      <c r="D158" s="88"/>
      <c r="E158" s="88"/>
      <c r="F158" s="88"/>
      <c r="G158" s="242"/>
      <c r="H158" s="242"/>
      <c r="I158" s="49"/>
      <c r="J158" s="77" t="str">
        <f t="shared" si="4"/>
        <v/>
      </c>
      <c r="K158" s="89" t="str">
        <f t="shared" si="5"/>
        <v/>
      </c>
      <c r="L158" s="48"/>
    </row>
    <row r="159" spans="2:12" s="57" customFormat="1" ht="14">
      <c r="B159" s="45"/>
      <c r="C159" s="48"/>
      <c r="D159" s="88"/>
      <c r="E159" s="88"/>
      <c r="F159" s="88"/>
      <c r="G159" s="242"/>
      <c r="H159" s="242"/>
      <c r="I159" s="49"/>
      <c r="J159" s="77" t="str">
        <f t="shared" si="4"/>
        <v/>
      </c>
      <c r="K159" s="89" t="str">
        <f t="shared" si="5"/>
        <v/>
      </c>
      <c r="L159" s="48"/>
    </row>
    <row r="160" spans="2:12" s="57" customFormat="1" ht="14">
      <c r="B160" s="45"/>
      <c r="C160" s="48"/>
      <c r="D160" s="88"/>
      <c r="E160" s="88"/>
      <c r="F160" s="88"/>
      <c r="G160" s="242"/>
      <c r="H160" s="242"/>
      <c r="I160" s="49"/>
      <c r="J160" s="77" t="str">
        <f t="shared" si="4"/>
        <v/>
      </c>
      <c r="K160" s="89" t="str">
        <f t="shared" si="5"/>
        <v/>
      </c>
      <c r="L160" s="48"/>
    </row>
    <row r="161" spans="2:12" s="57" customFormat="1" ht="14">
      <c r="B161" s="45"/>
      <c r="C161" s="48"/>
      <c r="D161" s="88"/>
      <c r="E161" s="88"/>
      <c r="F161" s="88"/>
      <c r="G161" s="242"/>
      <c r="H161" s="242"/>
      <c r="I161" s="49"/>
      <c r="J161" s="77" t="str">
        <f t="shared" si="4"/>
        <v/>
      </c>
      <c r="K161" s="89" t="str">
        <f t="shared" si="5"/>
        <v/>
      </c>
      <c r="L161" s="48"/>
    </row>
    <row r="162" spans="2:12" s="57" customFormat="1" ht="14">
      <c r="B162" s="45"/>
      <c r="C162" s="48"/>
      <c r="D162" s="88"/>
      <c r="E162" s="88"/>
      <c r="F162" s="88"/>
      <c r="G162" s="242"/>
      <c r="H162" s="242"/>
      <c r="I162" s="49"/>
      <c r="J162" s="77" t="str">
        <f t="shared" si="4"/>
        <v/>
      </c>
      <c r="K162" s="89" t="str">
        <f t="shared" si="5"/>
        <v/>
      </c>
      <c r="L162" s="48"/>
    </row>
    <row r="163" spans="2:12" s="57" customFormat="1" ht="14">
      <c r="B163" s="45"/>
      <c r="C163" s="48"/>
      <c r="D163" s="88"/>
      <c r="E163" s="88"/>
      <c r="F163" s="88"/>
      <c r="G163" s="242"/>
      <c r="H163" s="242"/>
      <c r="I163" s="49"/>
      <c r="J163" s="77" t="str">
        <f t="shared" si="4"/>
        <v/>
      </c>
      <c r="K163" s="89" t="str">
        <f t="shared" si="5"/>
        <v/>
      </c>
      <c r="L163" s="48"/>
    </row>
    <row r="164" spans="2:12" s="57" customFormat="1" ht="14">
      <c r="B164" s="45"/>
      <c r="C164" s="48"/>
      <c r="D164" s="88"/>
      <c r="E164" s="88"/>
      <c r="F164" s="88"/>
      <c r="G164" s="242"/>
      <c r="H164" s="242"/>
      <c r="I164" s="49"/>
      <c r="J164" s="77" t="str">
        <f t="shared" si="4"/>
        <v/>
      </c>
      <c r="K164" s="89" t="str">
        <f t="shared" si="5"/>
        <v/>
      </c>
      <c r="L164" s="48"/>
    </row>
    <row r="165" spans="2:12" s="57" customFormat="1" ht="14">
      <c r="B165" s="45"/>
      <c r="C165" s="48"/>
      <c r="D165" s="88"/>
      <c r="E165" s="88"/>
      <c r="F165" s="88"/>
      <c r="G165" s="242"/>
      <c r="H165" s="242"/>
      <c r="I165" s="49"/>
      <c r="J165" s="77" t="str">
        <f t="shared" si="4"/>
        <v/>
      </c>
      <c r="K165" s="89" t="str">
        <f t="shared" si="5"/>
        <v/>
      </c>
      <c r="L165" s="48"/>
    </row>
    <row r="166" spans="2:12" s="57" customFormat="1" ht="14">
      <c r="B166" s="45"/>
      <c r="C166" s="48"/>
      <c r="D166" s="88"/>
      <c r="E166" s="88"/>
      <c r="F166" s="88"/>
      <c r="G166" s="242"/>
      <c r="H166" s="242"/>
      <c r="I166" s="49"/>
      <c r="J166" s="77" t="str">
        <f t="shared" si="4"/>
        <v/>
      </c>
      <c r="K166" s="89" t="str">
        <f t="shared" si="5"/>
        <v/>
      </c>
      <c r="L166" s="48"/>
    </row>
    <row r="167" spans="2:12" s="57" customFormat="1" ht="14">
      <c r="B167" s="45"/>
      <c r="C167" s="48"/>
      <c r="D167" s="88"/>
      <c r="E167" s="88"/>
      <c r="F167" s="88"/>
      <c r="G167" s="242"/>
      <c r="H167" s="242"/>
      <c r="I167" s="49"/>
      <c r="J167" s="77" t="str">
        <f t="shared" si="4"/>
        <v/>
      </c>
      <c r="K167" s="89" t="str">
        <f t="shared" si="5"/>
        <v/>
      </c>
      <c r="L167" s="48"/>
    </row>
    <row r="168" spans="2:12" s="57" customFormat="1" ht="14">
      <c r="B168" s="45"/>
      <c r="C168" s="48"/>
      <c r="D168" s="88"/>
      <c r="E168" s="88"/>
      <c r="F168" s="88"/>
      <c r="G168" s="242"/>
      <c r="H168" s="242"/>
      <c r="I168" s="49"/>
      <c r="J168" s="77" t="str">
        <f t="shared" si="4"/>
        <v/>
      </c>
      <c r="K168" s="89" t="str">
        <f t="shared" si="5"/>
        <v/>
      </c>
      <c r="L168" s="48"/>
    </row>
    <row r="169" spans="2:12" s="57" customFormat="1" ht="14">
      <c r="B169" s="45"/>
      <c r="C169" s="48"/>
      <c r="D169" s="88"/>
      <c r="E169" s="88"/>
      <c r="F169" s="88"/>
      <c r="G169" s="242"/>
      <c r="H169" s="242"/>
      <c r="I169" s="49"/>
      <c r="J169" s="77" t="str">
        <f t="shared" si="4"/>
        <v/>
      </c>
      <c r="K169" s="89" t="str">
        <f t="shared" si="5"/>
        <v/>
      </c>
      <c r="L169" s="48"/>
    </row>
    <row r="170" spans="2:12" s="57" customFormat="1" ht="14">
      <c r="B170" s="45"/>
      <c r="C170" s="48"/>
      <c r="D170" s="88"/>
      <c r="E170" s="88"/>
      <c r="F170" s="88"/>
      <c r="G170" s="242"/>
      <c r="H170" s="242"/>
      <c r="I170" s="49"/>
      <c r="J170" s="77" t="str">
        <f t="shared" si="4"/>
        <v/>
      </c>
      <c r="K170" s="89" t="str">
        <f t="shared" si="5"/>
        <v/>
      </c>
      <c r="L170" s="48"/>
    </row>
    <row r="171" spans="2:12" s="57" customFormat="1" ht="14">
      <c r="B171" s="45"/>
      <c r="C171" s="48"/>
      <c r="D171" s="88"/>
      <c r="E171" s="88"/>
      <c r="F171" s="88"/>
      <c r="G171" s="242"/>
      <c r="H171" s="242"/>
      <c r="I171" s="49"/>
      <c r="J171" s="77" t="str">
        <f t="shared" si="4"/>
        <v/>
      </c>
      <c r="K171" s="89" t="str">
        <f t="shared" si="5"/>
        <v/>
      </c>
      <c r="L171" s="48"/>
    </row>
    <row r="172" spans="2:12" s="57" customFormat="1" ht="14">
      <c r="B172" s="45"/>
      <c r="C172" s="48"/>
      <c r="D172" s="88"/>
      <c r="E172" s="88"/>
      <c r="F172" s="88"/>
      <c r="G172" s="242"/>
      <c r="H172" s="242"/>
      <c r="I172" s="49"/>
      <c r="J172" s="77" t="str">
        <f t="shared" si="4"/>
        <v/>
      </c>
      <c r="K172" s="89" t="str">
        <f t="shared" si="5"/>
        <v/>
      </c>
      <c r="L172" s="48"/>
    </row>
    <row r="173" spans="2:12" s="57" customFormat="1" ht="14">
      <c r="B173" s="45"/>
      <c r="C173" s="48"/>
      <c r="D173" s="88"/>
      <c r="E173" s="88"/>
      <c r="F173" s="88"/>
      <c r="G173" s="242"/>
      <c r="H173" s="242"/>
      <c r="I173" s="49"/>
      <c r="J173" s="77" t="str">
        <f t="shared" si="4"/>
        <v/>
      </c>
      <c r="K173" s="89" t="str">
        <f t="shared" si="5"/>
        <v/>
      </c>
      <c r="L173" s="48"/>
    </row>
    <row r="174" spans="2:12" s="57" customFormat="1" ht="14">
      <c r="B174" s="45"/>
      <c r="C174" s="48"/>
      <c r="D174" s="88"/>
      <c r="E174" s="88"/>
      <c r="F174" s="88"/>
      <c r="G174" s="242"/>
      <c r="H174" s="242"/>
      <c r="I174" s="49"/>
      <c r="J174" s="77" t="str">
        <f t="shared" si="4"/>
        <v/>
      </c>
      <c r="K174" s="89" t="str">
        <f t="shared" si="5"/>
        <v/>
      </c>
      <c r="L174" s="48"/>
    </row>
    <row r="175" spans="2:12" s="57" customFormat="1" ht="14">
      <c r="B175" s="45"/>
      <c r="C175" s="48"/>
      <c r="D175" s="88"/>
      <c r="E175" s="88"/>
      <c r="F175" s="88"/>
      <c r="G175" s="242"/>
      <c r="H175" s="242"/>
      <c r="I175" s="49"/>
      <c r="J175" s="77" t="str">
        <f t="shared" si="4"/>
        <v/>
      </c>
      <c r="K175" s="89" t="str">
        <f t="shared" si="5"/>
        <v/>
      </c>
      <c r="L175" s="48"/>
    </row>
    <row r="176" spans="2:12" s="57" customFormat="1" ht="14">
      <c r="B176" s="45"/>
      <c r="C176" s="48"/>
      <c r="D176" s="88"/>
      <c r="E176" s="88"/>
      <c r="F176" s="88"/>
      <c r="G176" s="242"/>
      <c r="H176" s="242"/>
      <c r="I176" s="49"/>
      <c r="J176" s="77" t="str">
        <f t="shared" si="4"/>
        <v/>
      </c>
      <c r="K176" s="89" t="str">
        <f t="shared" si="5"/>
        <v/>
      </c>
      <c r="L176" s="48"/>
    </row>
    <row r="177" spans="2:12" s="57" customFormat="1" ht="14">
      <c r="B177" s="45"/>
      <c r="C177" s="48"/>
      <c r="D177" s="88"/>
      <c r="E177" s="88"/>
      <c r="F177" s="88"/>
      <c r="G177" s="242"/>
      <c r="H177" s="242"/>
      <c r="I177" s="49"/>
      <c r="J177" s="77" t="str">
        <f t="shared" si="4"/>
        <v/>
      </c>
      <c r="K177" s="89" t="str">
        <f t="shared" si="5"/>
        <v/>
      </c>
      <c r="L177" s="48"/>
    </row>
    <row r="178" spans="2:12" s="57" customFormat="1" ht="14">
      <c r="B178" s="45"/>
      <c r="C178" s="48"/>
      <c r="D178" s="88"/>
      <c r="E178" s="88"/>
      <c r="F178" s="88"/>
      <c r="G178" s="242"/>
      <c r="H178" s="242"/>
      <c r="I178" s="49"/>
      <c r="J178" s="77" t="str">
        <f t="shared" si="4"/>
        <v/>
      </c>
      <c r="K178" s="89" t="str">
        <f t="shared" si="5"/>
        <v/>
      </c>
      <c r="L178" s="48"/>
    </row>
    <row r="179" spans="2:12" s="57" customFormat="1" ht="14">
      <c r="B179" s="45"/>
      <c r="C179" s="48"/>
      <c r="D179" s="88"/>
      <c r="E179" s="88"/>
      <c r="F179" s="88"/>
      <c r="G179" s="242"/>
      <c r="H179" s="242"/>
      <c r="I179" s="49"/>
      <c r="J179" s="77" t="str">
        <f t="shared" si="4"/>
        <v/>
      </c>
      <c r="K179" s="89" t="str">
        <f t="shared" si="5"/>
        <v/>
      </c>
      <c r="L179" s="48"/>
    </row>
    <row r="180" spans="2:12" s="57" customFormat="1" ht="14">
      <c r="B180" s="45"/>
      <c r="C180" s="48"/>
      <c r="D180" s="88"/>
      <c r="E180" s="88"/>
      <c r="F180" s="88"/>
      <c r="G180" s="242"/>
      <c r="H180" s="242"/>
      <c r="I180" s="49"/>
      <c r="J180" s="77" t="str">
        <f t="shared" si="4"/>
        <v/>
      </c>
      <c r="K180" s="89" t="str">
        <f t="shared" si="5"/>
        <v/>
      </c>
      <c r="L180" s="48"/>
    </row>
    <row r="181" spans="2:12" s="57" customFormat="1" ht="14">
      <c r="B181" s="45"/>
      <c r="C181" s="48"/>
      <c r="D181" s="88"/>
      <c r="E181" s="88"/>
      <c r="F181" s="88"/>
      <c r="G181" s="242"/>
      <c r="H181" s="242"/>
      <c r="I181" s="49"/>
      <c r="J181" s="77" t="str">
        <f t="shared" si="4"/>
        <v/>
      </c>
      <c r="K181" s="89" t="str">
        <f t="shared" si="5"/>
        <v/>
      </c>
      <c r="L181" s="48"/>
    </row>
    <row r="182" spans="2:12" s="57" customFormat="1" ht="14">
      <c r="B182" s="45"/>
      <c r="C182" s="48"/>
      <c r="D182" s="88"/>
      <c r="E182" s="88"/>
      <c r="F182" s="88"/>
      <c r="G182" s="242"/>
      <c r="H182" s="242"/>
      <c r="I182" s="49"/>
      <c r="J182" s="77" t="str">
        <f t="shared" si="4"/>
        <v/>
      </c>
      <c r="K182" s="89" t="str">
        <f t="shared" si="5"/>
        <v/>
      </c>
      <c r="L182" s="48"/>
    </row>
    <row r="183" spans="2:12" s="57" customFormat="1" ht="14">
      <c r="B183" s="45"/>
      <c r="C183" s="48"/>
      <c r="D183" s="88"/>
      <c r="E183" s="88"/>
      <c r="F183" s="88"/>
      <c r="G183" s="242"/>
      <c r="H183" s="242"/>
      <c r="I183" s="49"/>
      <c r="J183" s="77" t="str">
        <f t="shared" si="4"/>
        <v/>
      </c>
      <c r="K183" s="89" t="str">
        <f t="shared" si="5"/>
        <v/>
      </c>
      <c r="L183" s="48"/>
    </row>
    <row r="184" spans="2:12" s="57" customFormat="1" ht="14">
      <c r="B184" s="45"/>
      <c r="C184" s="48"/>
      <c r="D184" s="88"/>
      <c r="E184" s="88"/>
      <c r="F184" s="88"/>
      <c r="G184" s="242"/>
      <c r="H184" s="242"/>
      <c r="I184" s="49"/>
      <c r="J184" s="77" t="str">
        <f t="shared" si="4"/>
        <v/>
      </c>
      <c r="K184" s="89" t="str">
        <f t="shared" si="5"/>
        <v/>
      </c>
      <c r="L184" s="48"/>
    </row>
    <row r="185" spans="2:12" s="57" customFormat="1" ht="14">
      <c r="B185" s="45"/>
      <c r="C185" s="48"/>
      <c r="D185" s="88"/>
      <c r="E185" s="88"/>
      <c r="F185" s="88"/>
      <c r="G185" s="242"/>
      <c r="H185" s="242"/>
      <c r="I185" s="49"/>
      <c r="J185" s="77" t="str">
        <f t="shared" si="4"/>
        <v/>
      </c>
      <c r="K185" s="89" t="str">
        <f t="shared" si="5"/>
        <v/>
      </c>
      <c r="L185" s="48"/>
    </row>
    <row r="186" spans="2:12" s="57" customFormat="1" ht="14">
      <c r="B186" s="45"/>
      <c r="C186" s="48"/>
      <c r="D186" s="88"/>
      <c r="E186" s="88"/>
      <c r="F186" s="88"/>
      <c r="G186" s="242"/>
      <c r="H186" s="242"/>
      <c r="I186" s="49"/>
      <c r="J186" s="77" t="str">
        <f t="shared" si="4"/>
        <v/>
      </c>
      <c r="K186" s="89" t="str">
        <f t="shared" si="5"/>
        <v/>
      </c>
      <c r="L186" s="48"/>
    </row>
    <row r="187" spans="2:12" s="57" customFormat="1" ht="14">
      <c r="B187" s="45"/>
      <c r="C187" s="48"/>
      <c r="D187" s="88"/>
      <c r="E187" s="88"/>
      <c r="F187" s="88"/>
      <c r="G187" s="242"/>
      <c r="H187" s="242"/>
      <c r="I187" s="49"/>
      <c r="J187" s="77" t="str">
        <f t="shared" si="4"/>
        <v/>
      </c>
      <c r="K187" s="89" t="str">
        <f t="shared" si="5"/>
        <v/>
      </c>
      <c r="L187" s="48"/>
    </row>
    <row r="188" spans="2:12" s="57" customFormat="1" ht="14">
      <c r="B188" s="45"/>
      <c r="C188" s="48"/>
      <c r="D188" s="88"/>
      <c r="E188" s="88"/>
      <c r="F188" s="88"/>
      <c r="G188" s="242"/>
      <c r="H188" s="242"/>
      <c r="I188" s="49"/>
      <c r="J188" s="77" t="str">
        <f t="shared" si="4"/>
        <v/>
      </c>
      <c r="K188" s="89" t="str">
        <f t="shared" si="5"/>
        <v/>
      </c>
      <c r="L188" s="48"/>
    </row>
    <row r="189" spans="2:12" s="57" customFormat="1" ht="14">
      <c r="B189" s="45"/>
      <c r="C189" s="48"/>
      <c r="D189" s="88"/>
      <c r="E189" s="88"/>
      <c r="F189" s="88"/>
      <c r="G189" s="242"/>
      <c r="H189" s="242"/>
      <c r="I189" s="49"/>
      <c r="J189" s="77" t="str">
        <f t="shared" si="4"/>
        <v/>
      </c>
      <c r="K189" s="89" t="str">
        <f t="shared" si="5"/>
        <v/>
      </c>
      <c r="L189" s="48"/>
    </row>
    <row r="190" spans="2:12" s="57" customFormat="1" ht="14">
      <c r="B190" s="45"/>
      <c r="C190" s="48"/>
      <c r="D190" s="88"/>
      <c r="E190" s="88"/>
      <c r="F190" s="88"/>
      <c r="G190" s="242"/>
      <c r="H190" s="242"/>
      <c r="I190" s="49"/>
      <c r="J190" s="77" t="str">
        <f t="shared" si="4"/>
        <v/>
      </c>
      <c r="K190" s="89" t="str">
        <f t="shared" si="5"/>
        <v/>
      </c>
      <c r="L190" s="48"/>
    </row>
    <row r="191" spans="2:12" s="57" customFormat="1" ht="14">
      <c r="B191" s="45"/>
      <c r="C191" s="48"/>
      <c r="D191" s="88"/>
      <c r="E191" s="88"/>
      <c r="F191" s="88"/>
      <c r="G191" s="242"/>
      <c r="H191" s="242"/>
      <c r="I191" s="49"/>
      <c r="J191" s="77" t="str">
        <f t="shared" si="4"/>
        <v/>
      </c>
      <c r="K191" s="89" t="str">
        <f t="shared" si="5"/>
        <v/>
      </c>
      <c r="L191" s="48"/>
    </row>
    <row r="192" spans="2:12" s="57" customFormat="1" ht="14">
      <c r="B192" s="45"/>
      <c r="C192" s="48"/>
      <c r="D192" s="88"/>
      <c r="E192" s="88"/>
      <c r="F192" s="88"/>
      <c r="G192" s="242"/>
      <c r="H192" s="242"/>
      <c r="I192" s="49"/>
      <c r="J192" s="77" t="str">
        <f t="shared" si="4"/>
        <v/>
      </c>
      <c r="K192" s="89" t="str">
        <f t="shared" si="5"/>
        <v/>
      </c>
      <c r="L192" s="48"/>
    </row>
    <row r="193" spans="2:12" s="57" customFormat="1" ht="14">
      <c r="B193" s="45"/>
      <c r="C193" s="48"/>
      <c r="D193" s="88"/>
      <c r="E193" s="88"/>
      <c r="F193" s="88"/>
      <c r="G193" s="242"/>
      <c r="H193" s="242"/>
      <c r="I193" s="49"/>
      <c r="J193" s="77" t="str">
        <f t="shared" si="4"/>
        <v/>
      </c>
      <c r="K193" s="89" t="str">
        <f t="shared" si="5"/>
        <v/>
      </c>
      <c r="L193" s="48"/>
    </row>
    <row r="194" spans="2:12" s="57" customFormat="1" ht="14">
      <c r="B194" s="45"/>
      <c r="C194" s="48"/>
      <c r="D194" s="88"/>
      <c r="E194" s="88"/>
      <c r="F194" s="88"/>
      <c r="G194" s="242"/>
      <c r="H194" s="242"/>
      <c r="I194" s="49"/>
      <c r="J194" s="77" t="str">
        <f t="shared" si="4"/>
        <v/>
      </c>
      <c r="K194" s="89" t="str">
        <f t="shared" si="5"/>
        <v/>
      </c>
      <c r="L194" s="48"/>
    </row>
    <row r="195" spans="2:12" s="57" customFormat="1" ht="14">
      <c r="B195" s="45"/>
      <c r="C195" s="48"/>
      <c r="D195" s="88"/>
      <c r="E195" s="88"/>
      <c r="F195" s="88"/>
      <c r="G195" s="242"/>
      <c r="H195" s="242"/>
      <c r="I195" s="49"/>
      <c r="J195" s="77" t="str">
        <f t="shared" si="4"/>
        <v/>
      </c>
      <c r="K195" s="89" t="str">
        <f t="shared" si="5"/>
        <v/>
      </c>
      <c r="L195" s="48"/>
    </row>
    <row r="196" spans="2:12" s="57" customFormat="1" ht="14">
      <c r="B196" s="45"/>
      <c r="C196" s="48"/>
      <c r="D196" s="88"/>
      <c r="E196" s="88"/>
      <c r="F196" s="88"/>
      <c r="G196" s="242"/>
      <c r="H196" s="242"/>
      <c r="I196" s="49"/>
      <c r="J196" s="77" t="str">
        <f t="shared" si="4"/>
        <v/>
      </c>
      <c r="K196" s="89" t="str">
        <f t="shared" si="5"/>
        <v/>
      </c>
      <c r="L196" s="48"/>
    </row>
    <row r="197" spans="2:12" s="57" customFormat="1" ht="14">
      <c r="B197" s="45"/>
      <c r="C197" s="48"/>
      <c r="D197" s="88"/>
      <c r="E197" s="88"/>
      <c r="F197" s="88"/>
      <c r="G197" s="242"/>
      <c r="H197" s="242"/>
      <c r="I197" s="49"/>
      <c r="J197" s="77" t="str">
        <f t="shared" si="4"/>
        <v/>
      </c>
      <c r="K197" s="89" t="str">
        <f t="shared" si="5"/>
        <v/>
      </c>
      <c r="L197" s="48"/>
    </row>
    <row r="198" spans="2:12" s="57" customFormat="1" ht="14">
      <c r="B198" s="45"/>
      <c r="C198" s="48"/>
      <c r="D198" s="88"/>
      <c r="E198" s="88"/>
      <c r="F198" s="88"/>
      <c r="G198" s="242"/>
      <c r="H198" s="242"/>
      <c r="I198" s="49"/>
      <c r="J198" s="77" t="str">
        <f t="shared" si="4"/>
        <v/>
      </c>
      <c r="K198" s="89" t="str">
        <f t="shared" si="5"/>
        <v/>
      </c>
      <c r="L198" s="48"/>
    </row>
    <row r="199" spans="2:12" s="57" customFormat="1" ht="14">
      <c r="B199" s="45"/>
      <c r="C199" s="48"/>
      <c r="D199" s="88"/>
      <c r="E199" s="88"/>
      <c r="F199" s="88"/>
      <c r="G199" s="242"/>
      <c r="H199" s="242"/>
      <c r="I199" s="49"/>
      <c r="J199" s="77" t="str">
        <f t="shared" si="4"/>
        <v/>
      </c>
      <c r="K199" s="89" t="str">
        <f t="shared" si="5"/>
        <v/>
      </c>
      <c r="L199" s="48"/>
    </row>
    <row r="200" spans="2:12" s="57" customFormat="1" ht="14">
      <c r="B200" s="45"/>
      <c r="C200" s="48"/>
      <c r="D200" s="88"/>
      <c r="E200" s="88"/>
      <c r="F200" s="88"/>
      <c r="G200" s="242"/>
      <c r="H200" s="242"/>
      <c r="I200" s="49"/>
      <c r="J200" s="77" t="str">
        <f t="shared" si="4"/>
        <v/>
      </c>
      <c r="K200" s="89" t="str">
        <f t="shared" si="5"/>
        <v/>
      </c>
      <c r="L200" s="48"/>
    </row>
    <row r="201" spans="2:12" s="57" customFormat="1" ht="14">
      <c r="B201" s="45"/>
      <c r="C201" s="48"/>
      <c r="D201" s="88"/>
      <c r="E201" s="88"/>
      <c r="F201" s="88"/>
      <c r="G201" s="242"/>
      <c r="H201" s="242"/>
      <c r="I201" s="49"/>
      <c r="J201" s="77" t="str">
        <f t="shared" si="4"/>
        <v/>
      </c>
      <c r="K201" s="89" t="str">
        <f t="shared" si="5"/>
        <v/>
      </c>
      <c r="L201" s="48"/>
    </row>
    <row r="202" spans="2:12" s="57" customFormat="1" ht="14">
      <c r="B202" s="45"/>
      <c r="C202" s="48"/>
      <c r="D202" s="88"/>
      <c r="E202" s="88"/>
      <c r="F202" s="88"/>
      <c r="G202" s="242"/>
      <c r="H202" s="242"/>
      <c r="I202" s="49"/>
      <c r="J202" s="77" t="str">
        <f t="shared" si="4"/>
        <v/>
      </c>
      <c r="K202" s="89" t="str">
        <f t="shared" si="5"/>
        <v/>
      </c>
      <c r="L202" s="48"/>
    </row>
    <row r="203" spans="2:12" s="57" customFormat="1" ht="14">
      <c r="B203" s="45"/>
      <c r="C203" s="48"/>
      <c r="D203" s="88"/>
      <c r="E203" s="88"/>
      <c r="F203" s="88"/>
      <c r="G203" s="242"/>
      <c r="H203" s="242"/>
      <c r="I203" s="49"/>
      <c r="J203" s="77" t="str">
        <f t="shared" ref="J203:J266" si="6">IF($C203&lt;&gt;"",$E203*1.5,"")</f>
        <v/>
      </c>
      <c r="K203" s="89" t="str">
        <f t="shared" ref="K203:K266" si="7">IFERROR($J203/10,"")</f>
        <v/>
      </c>
      <c r="L203" s="48"/>
    </row>
    <row r="204" spans="2:12" s="57" customFormat="1" ht="14">
      <c r="B204" s="45"/>
      <c r="C204" s="48"/>
      <c r="D204" s="88"/>
      <c r="E204" s="88"/>
      <c r="F204" s="88"/>
      <c r="G204" s="242"/>
      <c r="H204" s="242"/>
      <c r="I204" s="49"/>
      <c r="J204" s="77" t="str">
        <f t="shared" si="6"/>
        <v/>
      </c>
      <c r="K204" s="89" t="str">
        <f t="shared" si="7"/>
        <v/>
      </c>
      <c r="L204" s="48"/>
    </row>
    <row r="205" spans="2:12" s="57" customFormat="1" ht="14">
      <c r="B205" s="45"/>
      <c r="C205" s="48"/>
      <c r="D205" s="88"/>
      <c r="E205" s="88"/>
      <c r="F205" s="88"/>
      <c r="G205" s="242"/>
      <c r="H205" s="242"/>
      <c r="I205" s="49"/>
      <c r="J205" s="77" t="str">
        <f t="shared" si="6"/>
        <v/>
      </c>
      <c r="K205" s="89" t="str">
        <f t="shared" si="7"/>
        <v/>
      </c>
      <c r="L205" s="48"/>
    </row>
    <row r="206" spans="2:12" s="57" customFormat="1" ht="14">
      <c r="B206" s="45"/>
      <c r="C206" s="48"/>
      <c r="D206" s="88"/>
      <c r="E206" s="88"/>
      <c r="F206" s="88"/>
      <c r="G206" s="242"/>
      <c r="H206" s="242"/>
      <c r="I206" s="49"/>
      <c r="J206" s="77" t="str">
        <f t="shared" si="6"/>
        <v/>
      </c>
      <c r="K206" s="89" t="str">
        <f t="shared" si="7"/>
        <v/>
      </c>
      <c r="L206" s="48"/>
    </row>
    <row r="207" spans="2:12" s="57" customFormat="1" ht="24" customHeight="1">
      <c r="B207" s="45"/>
      <c r="C207" s="48"/>
      <c r="D207" s="88"/>
      <c r="E207" s="88"/>
      <c r="F207" s="88"/>
      <c r="G207" s="242"/>
      <c r="H207" s="242"/>
      <c r="I207" s="49"/>
      <c r="J207" s="77" t="str">
        <f t="shared" si="6"/>
        <v/>
      </c>
      <c r="K207" s="89" t="str">
        <f t="shared" si="7"/>
        <v/>
      </c>
      <c r="L207" s="48"/>
    </row>
    <row r="208" spans="2:12" s="57" customFormat="1" ht="14" customHeight="1">
      <c r="B208" s="45"/>
      <c r="C208" s="48"/>
      <c r="D208" s="88"/>
      <c r="E208" s="88"/>
      <c r="F208" s="88"/>
      <c r="G208" s="242" t="s">
        <v>90</v>
      </c>
      <c r="H208" s="242"/>
      <c r="I208" s="49"/>
      <c r="J208" s="77" t="str">
        <f t="shared" si="6"/>
        <v/>
      </c>
      <c r="K208" s="89" t="str">
        <f t="shared" si="7"/>
        <v/>
      </c>
      <c r="L208" s="48"/>
    </row>
    <row r="209" spans="2:12" s="57" customFormat="1" ht="14">
      <c r="B209" s="45"/>
      <c r="C209" s="48"/>
      <c r="D209" s="88"/>
      <c r="E209" s="88"/>
      <c r="F209" s="88"/>
      <c r="G209" s="242"/>
      <c r="H209" s="242"/>
      <c r="I209" s="49"/>
      <c r="J209" s="77" t="str">
        <f t="shared" si="6"/>
        <v/>
      </c>
      <c r="K209" s="89" t="str">
        <f t="shared" si="7"/>
        <v/>
      </c>
      <c r="L209" s="48"/>
    </row>
    <row r="210" spans="2:12" s="57" customFormat="1" ht="14">
      <c r="B210" s="45"/>
      <c r="C210" s="48"/>
      <c r="D210" s="88"/>
      <c r="E210" s="88"/>
      <c r="F210" s="88"/>
      <c r="G210" s="242"/>
      <c r="H210" s="242"/>
      <c r="I210" s="49"/>
      <c r="J210" s="77" t="str">
        <f t="shared" si="6"/>
        <v/>
      </c>
      <c r="K210" s="89" t="str">
        <f t="shared" si="7"/>
        <v/>
      </c>
      <c r="L210" s="48"/>
    </row>
    <row r="211" spans="2:12" s="57" customFormat="1" ht="14">
      <c r="B211" s="45"/>
      <c r="C211" s="48"/>
      <c r="D211" s="88"/>
      <c r="E211" s="88"/>
      <c r="F211" s="88"/>
      <c r="G211" s="242"/>
      <c r="H211" s="242"/>
      <c r="I211" s="49"/>
      <c r="J211" s="77" t="str">
        <f t="shared" si="6"/>
        <v/>
      </c>
      <c r="K211" s="89" t="str">
        <f t="shared" si="7"/>
        <v/>
      </c>
      <c r="L211" s="48"/>
    </row>
    <row r="212" spans="2:12" s="57" customFormat="1" ht="14">
      <c r="B212" s="45"/>
      <c r="C212" s="48"/>
      <c r="D212" s="88"/>
      <c r="E212" s="88"/>
      <c r="F212" s="88"/>
      <c r="G212" s="242"/>
      <c r="H212" s="242"/>
      <c r="I212" s="49"/>
      <c r="J212" s="77" t="str">
        <f t="shared" si="6"/>
        <v/>
      </c>
      <c r="K212" s="89" t="str">
        <f t="shared" si="7"/>
        <v/>
      </c>
      <c r="L212" s="48"/>
    </row>
    <row r="213" spans="2:12" s="57" customFormat="1" ht="14">
      <c r="B213" s="45"/>
      <c r="C213" s="48"/>
      <c r="D213" s="88"/>
      <c r="E213" s="88"/>
      <c r="F213" s="88"/>
      <c r="G213" s="242"/>
      <c r="H213" s="242"/>
      <c r="I213" s="49"/>
      <c r="J213" s="77" t="str">
        <f t="shared" si="6"/>
        <v/>
      </c>
      <c r="K213" s="89" t="str">
        <f t="shared" si="7"/>
        <v/>
      </c>
      <c r="L213" s="48"/>
    </row>
    <row r="214" spans="2:12" s="57" customFormat="1" ht="14">
      <c r="B214" s="45"/>
      <c r="C214" s="48"/>
      <c r="D214" s="88"/>
      <c r="E214" s="88"/>
      <c r="F214" s="88"/>
      <c r="G214" s="242"/>
      <c r="H214" s="242"/>
      <c r="I214" s="49"/>
      <c r="J214" s="77" t="str">
        <f t="shared" si="6"/>
        <v/>
      </c>
      <c r="K214" s="89" t="str">
        <f t="shared" si="7"/>
        <v/>
      </c>
      <c r="L214" s="48"/>
    </row>
    <row r="215" spans="2:12" s="57" customFormat="1" ht="14">
      <c r="B215" s="45"/>
      <c r="C215" s="48"/>
      <c r="D215" s="88"/>
      <c r="E215" s="88"/>
      <c r="F215" s="88"/>
      <c r="G215" s="242"/>
      <c r="H215" s="242"/>
      <c r="I215" s="49"/>
      <c r="J215" s="77" t="str">
        <f t="shared" si="6"/>
        <v/>
      </c>
      <c r="K215" s="89" t="str">
        <f t="shared" si="7"/>
        <v/>
      </c>
      <c r="L215" s="48"/>
    </row>
    <row r="216" spans="2:12" s="57" customFormat="1" ht="14">
      <c r="B216" s="45"/>
      <c r="C216" s="48"/>
      <c r="D216" s="88"/>
      <c r="E216" s="88"/>
      <c r="F216" s="88"/>
      <c r="G216" s="242"/>
      <c r="H216" s="242"/>
      <c r="I216" s="49"/>
      <c r="J216" s="77" t="str">
        <f t="shared" si="6"/>
        <v/>
      </c>
      <c r="K216" s="89" t="str">
        <f t="shared" si="7"/>
        <v/>
      </c>
      <c r="L216" s="48"/>
    </row>
    <row r="217" spans="2:12" s="57" customFormat="1" ht="14">
      <c r="B217" s="45"/>
      <c r="C217" s="48"/>
      <c r="D217" s="88"/>
      <c r="E217" s="88"/>
      <c r="F217" s="88"/>
      <c r="G217" s="242"/>
      <c r="H217" s="242"/>
      <c r="I217" s="49"/>
      <c r="J217" s="77" t="str">
        <f t="shared" si="6"/>
        <v/>
      </c>
      <c r="K217" s="89" t="str">
        <f t="shared" si="7"/>
        <v/>
      </c>
      <c r="L217" s="48"/>
    </row>
    <row r="218" spans="2:12" s="57" customFormat="1" ht="14">
      <c r="B218" s="45"/>
      <c r="C218" s="48"/>
      <c r="D218" s="88"/>
      <c r="E218" s="88"/>
      <c r="F218" s="88"/>
      <c r="G218" s="242"/>
      <c r="H218" s="242"/>
      <c r="I218" s="49"/>
      <c r="J218" s="77" t="str">
        <f t="shared" si="6"/>
        <v/>
      </c>
      <c r="K218" s="89" t="str">
        <f t="shared" si="7"/>
        <v/>
      </c>
      <c r="L218" s="48"/>
    </row>
    <row r="219" spans="2:12" s="57" customFormat="1" ht="14">
      <c r="B219" s="45"/>
      <c r="C219" s="48"/>
      <c r="D219" s="88"/>
      <c r="E219" s="88"/>
      <c r="F219" s="88"/>
      <c r="G219" s="242"/>
      <c r="H219" s="242"/>
      <c r="I219" s="49"/>
      <c r="J219" s="77" t="str">
        <f t="shared" si="6"/>
        <v/>
      </c>
      <c r="K219" s="89" t="str">
        <f t="shared" si="7"/>
        <v/>
      </c>
      <c r="L219" s="48"/>
    </row>
    <row r="220" spans="2:12" s="57" customFormat="1" ht="14">
      <c r="B220" s="45"/>
      <c r="C220" s="48"/>
      <c r="D220" s="88"/>
      <c r="E220" s="88"/>
      <c r="F220" s="88"/>
      <c r="G220" s="242"/>
      <c r="H220" s="242"/>
      <c r="I220" s="49"/>
      <c r="J220" s="77" t="str">
        <f t="shared" si="6"/>
        <v/>
      </c>
      <c r="K220" s="89" t="str">
        <f t="shared" si="7"/>
        <v/>
      </c>
      <c r="L220" s="48"/>
    </row>
    <row r="221" spans="2:12" s="57" customFormat="1" ht="14">
      <c r="B221" s="45"/>
      <c r="C221" s="48"/>
      <c r="D221" s="88"/>
      <c r="E221" s="88"/>
      <c r="F221" s="88"/>
      <c r="G221" s="242"/>
      <c r="H221" s="242"/>
      <c r="I221" s="49"/>
      <c r="J221" s="77" t="str">
        <f t="shared" si="6"/>
        <v/>
      </c>
      <c r="K221" s="89" t="str">
        <f t="shared" si="7"/>
        <v/>
      </c>
      <c r="L221" s="48"/>
    </row>
    <row r="222" spans="2:12" s="57" customFormat="1" ht="14">
      <c r="B222" s="45"/>
      <c r="C222" s="48"/>
      <c r="D222" s="88"/>
      <c r="E222" s="88"/>
      <c r="F222" s="88"/>
      <c r="G222" s="242"/>
      <c r="H222" s="242"/>
      <c r="I222" s="49"/>
      <c r="J222" s="77" t="str">
        <f t="shared" si="6"/>
        <v/>
      </c>
      <c r="K222" s="89" t="str">
        <f t="shared" si="7"/>
        <v/>
      </c>
      <c r="L222" s="48"/>
    </row>
    <row r="223" spans="2:12" s="57" customFormat="1" ht="14">
      <c r="B223" s="45"/>
      <c r="C223" s="48"/>
      <c r="D223" s="88"/>
      <c r="E223" s="88"/>
      <c r="F223" s="88"/>
      <c r="G223" s="242"/>
      <c r="H223" s="242"/>
      <c r="I223" s="49"/>
      <c r="J223" s="77" t="str">
        <f t="shared" si="6"/>
        <v/>
      </c>
      <c r="K223" s="89" t="str">
        <f t="shared" si="7"/>
        <v/>
      </c>
      <c r="L223" s="48"/>
    </row>
    <row r="224" spans="2:12" s="57" customFormat="1" ht="14">
      <c r="B224" s="45"/>
      <c r="C224" s="48"/>
      <c r="D224" s="88"/>
      <c r="E224" s="88"/>
      <c r="F224" s="88"/>
      <c r="G224" s="242"/>
      <c r="H224" s="242"/>
      <c r="I224" s="49"/>
      <c r="J224" s="77" t="str">
        <f t="shared" si="6"/>
        <v/>
      </c>
      <c r="K224" s="89" t="str">
        <f t="shared" si="7"/>
        <v/>
      </c>
      <c r="L224" s="48"/>
    </row>
    <row r="225" spans="2:12" s="57" customFormat="1" ht="14">
      <c r="B225" s="45"/>
      <c r="C225" s="48"/>
      <c r="D225" s="88"/>
      <c r="E225" s="88"/>
      <c r="F225" s="88"/>
      <c r="G225" s="242"/>
      <c r="H225" s="242"/>
      <c r="I225" s="90"/>
      <c r="J225" s="77" t="str">
        <f t="shared" si="6"/>
        <v/>
      </c>
      <c r="K225" s="89" t="str">
        <f t="shared" si="7"/>
        <v/>
      </c>
      <c r="L225" s="48"/>
    </row>
    <row r="226" spans="2:12" s="57" customFormat="1" ht="14">
      <c r="B226" s="45"/>
      <c r="C226" s="48"/>
      <c r="D226" s="88"/>
      <c r="E226" s="88"/>
      <c r="F226" s="88"/>
      <c r="G226" s="242"/>
      <c r="H226" s="242"/>
      <c r="I226" s="90"/>
      <c r="J226" s="77" t="str">
        <f t="shared" si="6"/>
        <v/>
      </c>
      <c r="K226" s="89" t="str">
        <f t="shared" si="7"/>
        <v/>
      </c>
      <c r="L226" s="48"/>
    </row>
    <row r="227" spans="2:12" s="57" customFormat="1" ht="14">
      <c r="B227" s="45"/>
      <c r="C227" s="48"/>
      <c r="D227" s="88"/>
      <c r="E227" s="88"/>
      <c r="F227" s="88"/>
      <c r="G227" s="242"/>
      <c r="H227" s="242"/>
      <c r="I227" s="49"/>
      <c r="J227" s="77" t="str">
        <f t="shared" si="6"/>
        <v/>
      </c>
      <c r="K227" s="89" t="str">
        <f t="shared" si="7"/>
        <v/>
      </c>
      <c r="L227" s="48"/>
    </row>
    <row r="228" spans="2:12" s="57" customFormat="1" ht="14">
      <c r="B228" s="45"/>
      <c r="C228" s="48"/>
      <c r="D228" s="88"/>
      <c r="E228" s="88"/>
      <c r="F228" s="88"/>
      <c r="G228" s="242"/>
      <c r="H228" s="242"/>
      <c r="I228" s="49"/>
      <c r="J228" s="77" t="str">
        <f t="shared" si="6"/>
        <v/>
      </c>
      <c r="K228" s="89" t="str">
        <f t="shared" si="7"/>
        <v/>
      </c>
      <c r="L228" s="48"/>
    </row>
    <row r="229" spans="2:12" s="57" customFormat="1" ht="14">
      <c r="B229" s="45"/>
      <c r="C229" s="48"/>
      <c r="D229" s="88"/>
      <c r="E229" s="88"/>
      <c r="F229" s="88"/>
      <c r="G229" s="242"/>
      <c r="H229" s="242"/>
      <c r="I229" s="49"/>
      <c r="J229" s="77" t="str">
        <f t="shared" si="6"/>
        <v/>
      </c>
      <c r="K229" s="89" t="str">
        <f t="shared" si="7"/>
        <v/>
      </c>
      <c r="L229" s="48"/>
    </row>
    <row r="230" spans="2:12" s="57" customFormat="1" ht="14">
      <c r="B230" s="45"/>
      <c r="C230" s="48"/>
      <c r="D230" s="88"/>
      <c r="E230" s="88"/>
      <c r="F230" s="88"/>
      <c r="G230" s="242"/>
      <c r="H230" s="242"/>
      <c r="I230" s="49"/>
      <c r="J230" s="77" t="str">
        <f t="shared" si="6"/>
        <v/>
      </c>
      <c r="K230" s="89" t="str">
        <f t="shared" si="7"/>
        <v/>
      </c>
      <c r="L230" s="48"/>
    </row>
    <row r="231" spans="2:12" s="57" customFormat="1" ht="14">
      <c r="B231" s="45"/>
      <c r="C231" s="48"/>
      <c r="D231" s="88"/>
      <c r="E231" s="88"/>
      <c r="F231" s="88"/>
      <c r="G231" s="242"/>
      <c r="H231" s="242"/>
      <c r="I231" s="49"/>
      <c r="J231" s="77" t="str">
        <f t="shared" si="6"/>
        <v/>
      </c>
      <c r="K231" s="89" t="str">
        <f t="shared" si="7"/>
        <v/>
      </c>
      <c r="L231" s="48"/>
    </row>
    <row r="232" spans="2:12" s="57" customFormat="1" ht="14">
      <c r="B232" s="45"/>
      <c r="C232" s="48"/>
      <c r="D232" s="88"/>
      <c r="E232" s="88"/>
      <c r="F232" s="88"/>
      <c r="G232" s="242"/>
      <c r="H232" s="242"/>
      <c r="I232" s="49"/>
      <c r="J232" s="77" t="str">
        <f t="shared" si="6"/>
        <v/>
      </c>
      <c r="K232" s="89" t="str">
        <f t="shared" si="7"/>
        <v/>
      </c>
      <c r="L232" s="48"/>
    </row>
    <row r="233" spans="2:12" s="57" customFormat="1" ht="14">
      <c r="B233" s="45"/>
      <c r="C233" s="48"/>
      <c r="D233" s="88"/>
      <c r="E233" s="88"/>
      <c r="F233" s="88"/>
      <c r="G233" s="242"/>
      <c r="H233" s="242"/>
      <c r="I233" s="49"/>
      <c r="J233" s="77" t="str">
        <f t="shared" si="6"/>
        <v/>
      </c>
      <c r="K233" s="89" t="str">
        <f t="shared" si="7"/>
        <v/>
      </c>
      <c r="L233" s="48"/>
    </row>
    <row r="234" spans="2:12" s="57" customFormat="1" ht="14">
      <c r="B234" s="45"/>
      <c r="C234" s="48"/>
      <c r="D234" s="88"/>
      <c r="E234" s="88"/>
      <c r="F234" s="88"/>
      <c r="G234" s="242"/>
      <c r="H234" s="242"/>
      <c r="I234" s="49"/>
      <c r="J234" s="77" t="str">
        <f t="shared" si="6"/>
        <v/>
      </c>
      <c r="K234" s="89" t="str">
        <f t="shared" si="7"/>
        <v/>
      </c>
      <c r="L234" s="48"/>
    </row>
    <row r="235" spans="2:12" s="57" customFormat="1" ht="14">
      <c r="B235" s="45"/>
      <c r="C235" s="48"/>
      <c r="D235" s="88"/>
      <c r="E235" s="88"/>
      <c r="F235" s="88"/>
      <c r="G235" s="242"/>
      <c r="H235" s="242"/>
      <c r="I235" s="49"/>
      <c r="J235" s="77" t="str">
        <f t="shared" si="6"/>
        <v/>
      </c>
      <c r="K235" s="89" t="str">
        <f t="shared" si="7"/>
        <v/>
      </c>
      <c r="L235" s="48"/>
    </row>
    <row r="236" spans="2:12" s="57" customFormat="1" ht="14">
      <c r="B236" s="45"/>
      <c r="C236" s="48"/>
      <c r="D236" s="88"/>
      <c r="E236" s="88"/>
      <c r="F236" s="88"/>
      <c r="G236" s="242"/>
      <c r="H236" s="242"/>
      <c r="I236" s="49"/>
      <c r="J236" s="77" t="str">
        <f t="shared" si="6"/>
        <v/>
      </c>
      <c r="K236" s="89" t="str">
        <f t="shared" si="7"/>
        <v/>
      </c>
      <c r="L236" s="48"/>
    </row>
    <row r="237" spans="2:12" s="57" customFormat="1" ht="14">
      <c r="B237" s="45"/>
      <c r="C237" s="48"/>
      <c r="D237" s="88"/>
      <c r="E237" s="88"/>
      <c r="F237" s="88"/>
      <c r="G237" s="242"/>
      <c r="H237" s="242"/>
      <c r="I237" s="49"/>
      <c r="J237" s="77" t="str">
        <f t="shared" si="6"/>
        <v/>
      </c>
      <c r="K237" s="89" t="str">
        <f t="shared" si="7"/>
        <v/>
      </c>
      <c r="L237" s="48"/>
    </row>
    <row r="238" spans="2:12" s="57" customFormat="1" ht="14">
      <c r="B238" s="45"/>
      <c r="C238" s="48"/>
      <c r="D238" s="88"/>
      <c r="E238" s="88"/>
      <c r="F238" s="88"/>
      <c r="G238" s="242"/>
      <c r="H238" s="242"/>
      <c r="I238" s="49"/>
      <c r="J238" s="77" t="str">
        <f t="shared" si="6"/>
        <v/>
      </c>
      <c r="K238" s="89" t="str">
        <f t="shared" si="7"/>
        <v/>
      </c>
      <c r="L238" s="48"/>
    </row>
    <row r="239" spans="2:12" s="57" customFormat="1" ht="14">
      <c r="B239" s="45"/>
      <c r="C239" s="48"/>
      <c r="D239" s="88"/>
      <c r="E239" s="88"/>
      <c r="F239" s="88"/>
      <c r="G239" s="242"/>
      <c r="H239" s="242"/>
      <c r="I239" s="49"/>
      <c r="J239" s="77" t="str">
        <f t="shared" si="6"/>
        <v/>
      </c>
      <c r="K239" s="89" t="str">
        <f t="shared" si="7"/>
        <v/>
      </c>
      <c r="L239" s="48"/>
    </row>
    <row r="240" spans="2:12" s="57" customFormat="1" ht="14">
      <c r="B240" s="45"/>
      <c r="C240" s="48"/>
      <c r="D240" s="88"/>
      <c r="E240" s="88"/>
      <c r="F240" s="88"/>
      <c r="G240" s="242"/>
      <c r="H240" s="242"/>
      <c r="I240" s="49"/>
      <c r="J240" s="77" t="str">
        <f t="shared" si="6"/>
        <v/>
      </c>
      <c r="K240" s="89" t="str">
        <f t="shared" si="7"/>
        <v/>
      </c>
      <c r="L240" s="48"/>
    </row>
    <row r="241" spans="2:12" s="57" customFormat="1" ht="14">
      <c r="B241" s="45"/>
      <c r="C241" s="48"/>
      <c r="D241" s="88"/>
      <c r="E241" s="88"/>
      <c r="F241" s="88"/>
      <c r="G241" s="242"/>
      <c r="H241" s="242"/>
      <c r="I241" s="49"/>
      <c r="J241" s="77" t="str">
        <f t="shared" si="6"/>
        <v/>
      </c>
      <c r="K241" s="89" t="str">
        <f t="shared" si="7"/>
        <v/>
      </c>
      <c r="L241" s="48"/>
    </row>
    <row r="242" spans="2:12" s="57" customFormat="1" ht="14">
      <c r="B242" s="45"/>
      <c r="C242" s="48"/>
      <c r="D242" s="88"/>
      <c r="E242" s="88"/>
      <c r="F242" s="88"/>
      <c r="G242" s="242"/>
      <c r="H242" s="242"/>
      <c r="I242" s="49"/>
      <c r="J242" s="77" t="str">
        <f t="shared" si="6"/>
        <v/>
      </c>
      <c r="K242" s="89" t="str">
        <f t="shared" si="7"/>
        <v/>
      </c>
      <c r="L242" s="48"/>
    </row>
    <row r="243" spans="2:12" s="57" customFormat="1" ht="14">
      <c r="B243" s="45"/>
      <c r="C243" s="48"/>
      <c r="D243" s="88"/>
      <c r="E243" s="88"/>
      <c r="F243" s="88"/>
      <c r="G243" s="242"/>
      <c r="H243" s="242"/>
      <c r="I243" s="49"/>
      <c r="J243" s="77" t="str">
        <f t="shared" si="6"/>
        <v/>
      </c>
      <c r="K243" s="89" t="str">
        <f t="shared" si="7"/>
        <v/>
      </c>
      <c r="L243" s="48"/>
    </row>
    <row r="244" spans="2:12" s="57" customFormat="1" ht="14">
      <c r="B244" s="45"/>
      <c r="C244" s="48"/>
      <c r="D244" s="88"/>
      <c r="E244" s="88"/>
      <c r="F244" s="88"/>
      <c r="G244" s="242"/>
      <c r="H244" s="242"/>
      <c r="I244" s="49"/>
      <c r="J244" s="77" t="str">
        <f t="shared" si="6"/>
        <v/>
      </c>
      <c r="K244" s="89" t="str">
        <f t="shared" si="7"/>
        <v/>
      </c>
      <c r="L244" s="48"/>
    </row>
    <row r="245" spans="2:12" s="57" customFormat="1" ht="14">
      <c r="B245" s="45"/>
      <c r="C245" s="48"/>
      <c r="D245" s="88"/>
      <c r="E245" s="88"/>
      <c r="F245" s="88"/>
      <c r="G245" s="242"/>
      <c r="H245" s="242"/>
      <c r="I245" s="49"/>
      <c r="J245" s="77" t="str">
        <f t="shared" si="6"/>
        <v/>
      </c>
      <c r="K245" s="89" t="str">
        <f t="shared" si="7"/>
        <v/>
      </c>
      <c r="L245" s="48"/>
    </row>
    <row r="246" spans="2:12" s="57" customFormat="1" ht="14">
      <c r="B246" s="45"/>
      <c r="C246" s="48"/>
      <c r="D246" s="88"/>
      <c r="E246" s="88"/>
      <c r="F246" s="88"/>
      <c r="G246" s="242"/>
      <c r="H246" s="242"/>
      <c r="I246" s="49"/>
      <c r="J246" s="77" t="str">
        <f t="shared" si="6"/>
        <v/>
      </c>
      <c r="K246" s="89" t="str">
        <f t="shared" si="7"/>
        <v/>
      </c>
      <c r="L246" s="48"/>
    </row>
    <row r="247" spans="2:12" s="57" customFormat="1" ht="14">
      <c r="B247" s="45"/>
      <c r="C247" s="48"/>
      <c r="D247" s="88"/>
      <c r="E247" s="88"/>
      <c r="F247" s="88"/>
      <c r="G247" s="242"/>
      <c r="H247" s="242"/>
      <c r="I247" s="49"/>
      <c r="J247" s="77" t="str">
        <f t="shared" si="6"/>
        <v/>
      </c>
      <c r="K247" s="89" t="str">
        <f t="shared" si="7"/>
        <v/>
      </c>
      <c r="L247" s="48"/>
    </row>
    <row r="248" spans="2:12" s="57" customFormat="1" ht="14">
      <c r="B248" s="45"/>
      <c r="C248" s="48"/>
      <c r="D248" s="88"/>
      <c r="E248" s="88"/>
      <c r="F248" s="88"/>
      <c r="G248" s="242"/>
      <c r="H248" s="242"/>
      <c r="I248" s="49"/>
      <c r="J248" s="77" t="str">
        <f t="shared" si="6"/>
        <v/>
      </c>
      <c r="K248" s="89" t="str">
        <f t="shared" si="7"/>
        <v/>
      </c>
      <c r="L248" s="48"/>
    </row>
    <row r="249" spans="2:12" s="57" customFormat="1" ht="14">
      <c r="B249" s="45"/>
      <c r="C249" s="48"/>
      <c r="D249" s="88"/>
      <c r="E249" s="88"/>
      <c r="F249" s="88"/>
      <c r="G249" s="242"/>
      <c r="H249" s="242"/>
      <c r="I249" s="49"/>
      <c r="J249" s="77" t="str">
        <f t="shared" si="6"/>
        <v/>
      </c>
      <c r="K249" s="89" t="str">
        <f t="shared" si="7"/>
        <v/>
      </c>
      <c r="L249" s="48"/>
    </row>
    <row r="250" spans="2:12" s="57" customFormat="1" ht="14">
      <c r="B250" s="45"/>
      <c r="C250" s="48"/>
      <c r="D250" s="88"/>
      <c r="E250" s="88"/>
      <c r="F250" s="88"/>
      <c r="G250" s="242"/>
      <c r="H250" s="242"/>
      <c r="I250" s="49"/>
      <c r="J250" s="77" t="str">
        <f t="shared" si="6"/>
        <v/>
      </c>
      <c r="K250" s="89" t="str">
        <f t="shared" si="7"/>
        <v/>
      </c>
      <c r="L250" s="48"/>
    </row>
    <row r="251" spans="2:12" s="57" customFormat="1" ht="14">
      <c r="B251" s="45"/>
      <c r="C251" s="48"/>
      <c r="D251" s="88"/>
      <c r="E251" s="88"/>
      <c r="F251" s="88"/>
      <c r="G251" s="242"/>
      <c r="H251" s="242"/>
      <c r="I251" s="49"/>
      <c r="J251" s="77" t="str">
        <f t="shared" si="6"/>
        <v/>
      </c>
      <c r="K251" s="89" t="str">
        <f t="shared" si="7"/>
        <v/>
      </c>
      <c r="L251" s="48"/>
    </row>
    <row r="252" spans="2:12" s="57" customFormat="1" ht="14">
      <c r="B252" s="45"/>
      <c r="C252" s="48"/>
      <c r="D252" s="88"/>
      <c r="E252" s="88"/>
      <c r="F252" s="88"/>
      <c r="G252" s="242"/>
      <c r="H252" s="242"/>
      <c r="I252" s="49"/>
      <c r="J252" s="77" t="str">
        <f t="shared" si="6"/>
        <v/>
      </c>
      <c r="K252" s="89" t="str">
        <f t="shared" si="7"/>
        <v/>
      </c>
      <c r="L252" s="48"/>
    </row>
    <row r="253" spans="2:12" s="57" customFormat="1" ht="14">
      <c r="B253" s="45"/>
      <c r="C253" s="48"/>
      <c r="D253" s="88"/>
      <c r="E253" s="88"/>
      <c r="F253" s="88"/>
      <c r="G253" s="242"/>
      <c r="H253" s="242"/>
      <c r="I253" s="49"/>
      <c r="J253" s="77" t="str">
        <f t="shared" si="6"/>
        <v/>
      </c>
      <c r="K253" s="89" t="str">
        <f t="shared" si="7"/>
        <v/>
      </c>
      <c r="L253" s="48"/>
    </row>
    <row r="254" spans="2:12" s="57" customFormat="1" ht="14">
      <c r="B254" s="45"/>
      <c r="C254" s="48"/>
      <c r="D254" s="88"/>
      <c r="E254" s="88"/>
      <c r="F254" s="88"/>
      <c r="G254" s="242"/>
      <c r="H254" s="242"/>
      <c r="I254" s="49"/>
      <c r="J254" s="77" t="str">
        <f t="shared" si="6"/>
        <v/>
      </c>
      <c r="K254" s="89" t="str">
        <f t="shared" si="7"/>
        <v/>
      </c>
      <c r="L254" s="48"/>
    </row>
    <row r="255" spans="2:12" s="57" customFormat="1" ht="14">
      <c r="B255" s="45"/>
      <c r="C255" s="48"/>
      <c r="D255" s="88"/>
      <c r="E255" s="88"/>
      <c r="F255" s="88"/>
      <c r="G255" s="242"/>
      <c r="H255" s="242"/>
      <c r="I255" s="49"/>
      <c r="J255" s="77" t="str">
        <f t="shared" si="6"/>
        <v/>
      </c>
      <c r="K255" s="89" t="str">
        <f t="shared" si="7"/>
        <v/>
      </c>
      <c r="L255" s="48"/>
    </row>
    <row r="256" spans="2:12" s="57" customFormat="1" ht="14">
      <c r="B256" s="45"/>
      <c r="C256" s="48"/>
      <c r="D256" s="88"/>
      <c r="E256" s="88"/>
      <c r="F256" s="88"/>
      <c r="G256" s="242"/>
      <c r="H256" s="242"/>
      <c r="I256" s="49"/>
      <c r="J256" s="77" t="str">
        <f t="shared" si="6"/>
        <v/>
      </c>
      <c r="K256" s="89" t="str">
        <f t="shared" si="7"/>
        <v/>
      </c>
      <c r="L256" s="48"/>
    </row>
    <row r="257" spans="2:12" s="57" customFormat="1" ht="14">
      <c r="B257" s="45"/>
      <c r="C257" s="48"/>
      <c r="D257" s="88"/>
      <c r="E257" s="88"/>
      <c r="F257" s="88"/>
      <c r="G257" s="242"/>
      <c r="H257" s="242"/>
      <c r="I257" s="49"/>
      <c r="J257" s="77" t="str">
        <f t="shared" si="6"/>
        <v/>
      </c>
      <c r="K257" s="89" t="str">
        <f t="shared" si="7"/>
        <v/>
      </c>
      <c r="L257" s="48"/>
    </row>
    <row r="258" spans="2:12" s="57" customFormat="1" ht="14">
      <c r="B258" s="45"/>
      <c r="C258" s="48"/>
      <c r="D258" s="88"/>
      <c r="E258" s="88"/>
      <c r="F258" s="88"/>
      <c r="G258" s="242"/>
      <c r="H258" s="242"/>
      <c r="I258" s="49"/>
      <c r="J258" s="77" t="str">
        <f t="shared" si="6"/>
        <v/>
      </c>
      <c r="K258" s="89" t="str">
        <f t="shared" si="7"/>
        <v/>
      </c>
      <c r="L258" s="48"/>
    </row>
    <row r="259" spans="2:12" s="57" customFormat="1" ht="14">
      <c r="B259" s="45"/>
      <c r="C259" s="48"/>
      <c r="D259" s="88"/>
      <c r="E259" s="88"/>
      <c r="F259" s="88"/>
      <c r="G259" s="242"/>
      <c r="H259" s="242"/>
      <c r="I259" s="49"/>
      <c r="J259" s="77" t="str">
        <f t="shared" si="6"/>
        <v/>
      </c>
      <c r="K259" s="89" t="str">
        <f t="shared" si="7"/>
        <v/>
      </c>
      <c r="L259" s="48"/>
    </row>
    <row r="260" spans="2:12" s="57" customFormat="1" ht="14">
      <c r="B260" s="45"/>
      <c r="C260" s="48"/>
      <c r="D260" s="88"/>
      <c r="E260" s="88"/>
      <c r="F260" s="88"/>
      <c r="G260" s="242"/>
      <c r="H260" s="242"/>
      <c r="I260" s="49"/>
      <c r="J260" s="77" t="str">
        <f t="shared" si="6"/>
        <v/>
      </c>
      <c r="K260" s="89" t="str">
        <f t="shared" si="7"/>
        <v/>
      </c>
      <c r="L260" s="48"/>
    </row>
    <row r="261" spans="2:12" s="57" customFormat="1" ht="14">
      <c r="B261" s="45"/>
      <c r="C261" s="48"/>
      <c r="D261" s="88"/>
      <c r="E261" s="88"/>
      <c r="F261" s="88"/>
      <c r="G261" s="242"/>
      <c r="H261" s="242"/>
      <c r="I261" s="49"/>
      <c r="J261" s="77" t="str">
        <f t="shared" si="6"/>
        <v/>
      </c>
      <c r="K261" s="89" t="str">
        <f t="shared" si="7"/>
        <v/>
      </c>
      <c r="L261" s="48"/>
    </row>
    <row r="262" spans="2:12" s="57" customFormat="1" ht="14">
      <c r="B262" s="45"/>
      <c r="C262" s="48"/>
      <c r="D262" s="88"/>
      <c r="E262" s="88"/>
      <c r="F262" s="88"/>
      <c r="G262" s="242"/>
      <c r="H262" s="242"/>
      <c r="I262" s="49"/>
      <c r="J262" s="77" t="str">
        <f t="shared" si="6"/>
        <v/>
      </c>
      <c r="K262" s="89" t="str">
        <f t="shared" si="7"/>
        <v/>
      </c>
      <c r="L262" s="48"/>
    </row>
    <row r="263" spans="2:12" s="57" customFormat="1" ht="14">
      <c r="B263" s="45"/>
      <c r="C263" s="48"/>
      <c r="D263" s="88"/>
      <c r="E263" s="88"/>
      <c r="F263" s="88"/>
      <c r="G263" s="242"/>
      <c r="H263" s="242"/>
      <c r="I263" s="49"/>
      <c r="J263" s="77" t="str">
        <f t="shared" si="6"/>
        <v/>
      </c>
      <c r="K263" s="89" t="str">
        <f t="shared" si="7"/>
        <v/>
      </c>
      <c r="L263" s="48"/>
    </row>
    <row r="264" spans="2:12" s="57" customFormat="1" ht="14">
      <c r="B264" s="45"/>
      <c r="C264" s="48"/>
      <c r="D264" s="88"/>
      <c r="E264" s="88"/>
      <c r="F264" s="88"/>
      <c r="G264" s="242"/>
      <c r="H264" s="242"/>
      <c r="I264" s="49"/>
      <c r="J264" s="77" t="str">
        <f t="shared" si="6"/>
        <v/>
      </c>
      <c r="K264" s="89" t="str">
        <f t="shared" si="7"/>
        <v/>
      </c>
      <c r="L264" s="48"/>
    </row>
    <row r="265" spans="2:12" s="57" customFormat="1" ht="14">
      <c r="B265" s="45"/>
      <c r="C265" s="48"/>
      <c r="D265" s="88"/>
      <c r="E265" s="88"/>
      <c r="F265" s="88"/>
      <c r="G265" s="242"/>
      <c r="H265" s="242"/>
      <c r="I265" s="49"/>
      <c r="J265" s="77" t="str">
        <f t="shared" si="6"/>
        <v/>
      </c>
      <c r="K265" s="89" t="str">
        <f t="shared" si="7"/>
        <v/>
      </c>
      <c r="L265" s="48"/>
    </row>
    <row r="266" spans="2:12" s="57" customFormat="1" ht="14">
      <c r="B266" s="45"/>
      <c r="C266" s="48"/>
      <c r="D266" s="88"/>
      <c r="E266" s="88"/>
      <c r="F266" s="88"/>
      <c r="G266" s="242"/>
      <c r="H266" s="242"/>
      <c r="I266" s="49"/>
      <c r="J266" s="77" t="str">
        <f t="shared" si="6"/>
        <v/>
      </c>
      <c r="K266" s="89" t="str">
        <f t="shared" si="7"/>
        <v/>
      </c>
      <c r="L266" s="48"/>
    </row>
    <row r="267" spans="2:12" s="57" customFormat="1" ht="14">
      <c r="B267" s="45"/>
      <c r="C267" s="48"/>
      <c r="D267" s="88"/>
      <c r="E267" s="88"/>
      <c r="F267" s="88"/>
      <c r="G267" s="242"/>
      <c r="H267" s="242"/>
      <c r="I267" s="49"/>
      <c r="J267" s="77" t="str">
        <f t="shared" ref="J267:J330" si="8">IF($C267&lt;&gt;"",$E267*1.5,"")</f>
        <v/>
      </c>
      <c r="K267" s="89" t="str">
        <f t="shared" ref="K267:K330" si="9">IFERROR($J267/10,"")</f>
        <v/>
      </c>
      <c r="L267" s="48"/>
    </row>
    <row r="268" spans="2:12" s="57" customFormat="1" ht="14">
      <c r="B268" s="45"/>
      <c r="C268" s="48"/>
      <c r="D268" s="88"/>
      <c r="E268" s="88"/>
      <c r="F268" s="88"/>
      <c r="G268" s="242"/>
      <c r="H268" s="242"/>
      <c r="I268" s="49"/>
      <c r="J268" s="77" t="str">
        <f t="shared" si="8"/>
        <v/>
      </c>
      <c r="K268" s="89" t="str">
        <f t="shared" si="9"/>
        <v/>
      </c>
      <c r="L268" s="48"/>
    </row>
    <row r="269" spans="2:12" s="57" customFormat="1" ht="14">
      <c r="B269" s="45"/>
      <c r="C269" s="48"/>
      <c r="D269" s="88"/>
      <c r="E269" s="88"/>
      <c r="F269" s="88"/>
      <c r="G269" s="242"/>
      <c r="H269" s="242"/>
      <c r="I269" s="49"/>
      <c r="J269" s="77" t="str">
        <f t="shared" si="8"/>
        <v/>
      </c>
      <c r="K269" s="89" t="str">
        <f t="shared" si="9"/>
        <v/>
      </c>
      <c r="L269" s="48"/>
    </row>
    <row r="270" spans="2:12" s="57" customFormat="1" ht="14">
      <c r="B270" s="45"/>
      <c r="C270" s="48"/>
      <c r="D270" s="88"/>
      <c r="E270" s="88"/>
      <c r="F270" s="88"/>
      <c r="G270" s="242"/>
      <c r="H270" s="242"/>
      <c r="I270" s="49"/>
      <c r="J270" s="77" t="str">
        <f t="shared" si="8"/>
        <v/>
      </c>
      <c r="K270" s="89" t="str">
        <f t="shared" si="9"/>
        <v/>
      </c>
      <c r="L270" s="48"/>
    </row>
    <row r="271" spans="2:12" s="57" customFormat="1" ht="14">
      <c r="B271" s="45"/>
      <c r="C271" s="48"/>
      <c r="D271" s="88"/>
      <c r="E271" s="88"/>
      <c r="F271" s="88"/>
      <c r="G271" s="242"/>
      <c r="H271" s="242"/>
      <c r="I271" s="49"/>
      <c r="J271" s="77" t="str">
        <f t="shared" si="8"/>
        <v/>
      </c>
      <c r="K271" s="89" t="str">
        <f t="shared" si="9"/>
        <v/>
      </c>
      <c r="L271" s="48"/>
    </row>
    <row r="272" spans="2:12" s="57" customFormat="1" ht="14">
      <c r="B272" s="45"/>
      <c r="C272" s="48"/>
      <c r="D272" s="88"/>
      <c r="E272" s="88"/>
      <c r="F272" s="88"/>
      <c r="G272" s="242"/>
      <c r="H272" s="242"/>
      <c r="I272" s="49"/>
      <c r="J272" s="77" t="str">
        <f t="shared" si="8"/>
        <v/>
      </c>
      <c r="K272" s="89" t="str">
        <f t="shared" si="9"/>
        <v/>
      </c>
      <c r="L272" s="48"/>
    </row>
    <row r="273" spans="2:12" s="57" customFormat="1" ht="14">
      <c r="B273" s="45"/>
      <c r="C273" s="48"/>
      <c r="D273" s="88"/>
      <c r="E273" s="88"/>
      <c r="F273" s="88"/>
      <c r="G273" s="242"/>
      <c r="H273" s="242"/>
      <c r="I273" s="49"/>
      <c r="J273" s="77" t="str">
        <f t="shared" si="8"/>
        <v/>
      </c>
      <c r="K273" s="89" t="str">
        <f t="shared" si="9"/>
        <v/>
      </c>
      <c r="L273" s="48"/>
    </row>
    <row r="274" spans="2:12" s="57" customFormat="1" ht="14">
      <c r="B274" s="45"/>
      <c r="C274" s="48"/>
      <c r="D274" s="88"/>
      <c r="E274" s="88"/>
      <c r="F274" s="88"/>
      <c r="G274" s="242"/>
      <c r="H274" s="242"/>
      <c r="I274" s="49"/>
      <c r="J274" s="77" t="str">
        <f t="shared" si="8"/>
        <v/>
      </c>
      <c r="K274" s="89" t="str">
        <f t="shared" si="9"/>
        <v/>
      </c>
      <c r="L274" s="48"/>
    </row>
    <row r="275" spans="2:12" s="57" customFormat="1" ht="14">
      <c r="B275" s="45"/>
      <c r="C275" s="48"/>
      <c r="D275" s="88"/>
      <c r="E275" s="88"/>
      <c r="F275" s="88"/>
      <c r="G275" s="242"/>
      <c r="H275" s="242"/>
      <c r="I275" s="49"/>
      <c r="J275" s="77" t="str">
        <f t="shared" si="8"/>
        <v/>
      </c>
      <c r="K275" s="89" t="str">
        <f t="shared" si="9"/>
        <v/>
      </c>
      <c r="L275" s="48"/>
    </row>
    <row r="276" spans="2:12" s="57" customFormat="1" ht="14">
      <c r="B276" s="45"/>
      <c r="C276" s="48"/>
      <c r="D276" s="88"/>
      <c r="E276" s="88"/>
      <c r="F276" s="88"/>
      <c r="G276" s="242"/>
      <c r="H276" s="242"/>
      <c r="I276" s="49"/>
      <c r="J276" s="77" t="str">
        <f t="shared" si="8"/>
        <v/>
      </c>
      <c r="K276" s="89" t="str">
        <f t="shared" si="9"/>
        <v/>
      </c>
      <c r="L276" s="48"/>
    </row>
    <row r="277" spans="2:12" s="57" customFormat="1" ht="14">
      <c r="B277" s="45"/>
      <c r="C277" s="48"/>
      <c r="D277" s="88"/>
      <c r="E277" s="88"/>
      <c r="F277" s="88"/>
      <c r="G277" s="242"/>
      <c r="H277" s="242"/>
      <c r="I277" s="49"/>
      <c r="J277" s="77" t="str">
        <f t="shared" si="8"/>
        <v/>
      </c>
      <c r="K277" s="89" t="str">
        <f t="shared" si="9"/>
        <v/>
      </c>
      <c r="L277" s="48"/>
    </row>
    <row r="278" spans="2:12" s="57" customFormat="1" ht="14">
      <c r="B278" s="45"/>
      <c r="C278" s="48"/>
      <c r="D278" s="88"/>
      <c r="E278" s="88"/>
      <c r="F278" s="88"/>
      <c r="G278" s="242"/>
      <c r="H278" s="242"/>
      <c r="I278" s="49"/>
      <c r="J278" s="77" t="str">
        <f t="shared" si="8"/>
        <v/>
      </c>
      <c r="K278" s="89" t="str">
        <f t="shared" si="9"/>
        <v/>
      </c>
      <c r="L278" s="48"/>
    </row>
    <row r="279" spans="2:12" s="57" customFormat="1" ht="14">
      <c r="B279" s="45"/>
      <c r="C279" s="48"/>
      <c r="D279" s="88"/>
      <c r="E279" s="88"/>
      <c r="F279" s="88"/>
      <c r="G279" s="242"/>
      <c r="H279" s="242"/>
      <c r="I279" s="49"/>
      <c r="J279" s="77" t="str">
        <f t="shared" si="8"/>
        <v/>
      </c>
      <c r="K279" s="89" t="str">
        <f t="shared" si="9"/>
        <v/>
      </c>
      <c r="L279" s="48"/>
    </row>
    <row r="280" spans="2:12" s="57" customFormat="1" ht="14">
      <c r="B280" s="45"/>
      <c r="C280" s="48"/>
      <c r="D280" s="88"/>
      <c r="E280" s="88"/>
      <c r="F280" s="88"/>
      <c r="G280" s="242"/>
      <c r="H280" s="242"/>
      <c r="I280" s="49"/>
      <c r="J280" s="77" t="str">
        <f t="shared" si="8"/>
        <v/>
      </c>
      <c r="K280" s="89" t="str">
        <f t="shared" si="9"/>
        <v/>
      </c>
      <c r="L280" s="48"/>
    </row>
    <row r="281" spans="2:12" s="57" customFormat="1" ht="14">
      <c r="B281" s="45"/>
      <c r="C281" s="48"/>
      <c r="D281" s="88"/>
      <c r="E281" s="88"/>
      <c r="F281" s="88"/>
      <c r="G281" s="242"/>
      <c r="H281" s="242"/>
      <c r="I281" s="49"/>
      <c r="J281" s="77" t="str">
        <f t="shared" si="8"/>
        <v/>
      </c>
      <c r="K281" s="89" t="str">
        <f t="shared" si="9"/>
        <v/>
      </c>
      <c r="L281" s="48"/>
    </row>
    <row r="282" spans="2:12" s="57" customFormat="1" ht="14">
      <c r="B282" s="45"/>
      <c r="C282" s="48"/>
      <c r="D282" s="88"/>
      <c r="E282" s="88"/>
      <c r="F282" s="88"/>
      <c r="G282" s="242"/>
      <c r="H282" s="242"/>
      <c r="I282" s="49"/>
      <c r="J282" s="77" t="str">
        <f t="shared" si="8"/>
        <v/>
      </c>
      <c r="K282" s="89" t="str">
        <f t="shared" si="9"/>
        <v/>
      </c>
      <c r="L282" s="48"/>
    </row>
    <row r="283" spans="2:12" s="57" customFormat="1" ht="14">
      <c r="B283" s="45"/>
      <c r="C283" s="48"/>
      <c r="D283" s="88"/>
      <c r="E283" s="88"/>
      <c r="F283" s="88"/>
      <c r="G283" s="242"/>
      <c r="H283" s="242"/>
      <c r="I283" s="49"/>
      <c r="J283" s="77" t="str">
        <f t="shared" si="8"/>
        <v/>
      </c>
      <c r="K283" s="89" t="str">
        <f t="shared" si="9"/>
        <v/>
      </c>
      <c r="L283" s="48"/>
    </row>
    <row r="284" spans="2:12" s="57" customFormat="1" ht="14">
      <c r="B284" s="45"/>
      <c r="C284" s="48"/>
      <c r="D284" s="88"/>
      <c r="E284" s="88"/>
      <c r="F284" s="88"/>
      <c r="G284" s="242"/>
      <c r="H284" s="242"/>
      <c r="I284" s="49"/>
      <c r="J284" s="77" t="str">
        <f t="shared" si="8"/>
        <v/>
      </c>
      <c r="K284" s="89" t="str">
        <f t="shared" si="9"/>
        <v/>
      </c>
      <c r="L284" s="48"/>
    </row>
    <row r="285" spans="2:12" s="57" customFormat="1" ht="14">
      <c r="B285" s="45"/>
      <c r="C285" s="48"/>
      <c r="D285" s="88"/>
      <c r="E285" s="88"/>
      <c r="F285" s="88"/>
      <c r="G285" s="242"/>
      <c r="H285" s="242"/>
      <c r="I285" s="49"/>
      <c r="J285" s="77" t="str">
        <f t="shared" si="8"/>
        <v/>
      </c>
      <c r="K285" s="89" t="str">
        <f t="shared" si="9"/>
        <v/>
      </c>
      <c r="L285" s="48"/>
    </row>
    <row r="286" spans="2:12" s="57" customFormat="1" ht="14">
      <c r="B286" s="45"/>
      <c r="C286" s="48"/>
      <c r="D286" s="88"/>
      <c r="E286" s="88"/>
      <c r="F286" s="88"/>
      <c r="G286" s="242"/>
      <c r="H286" s="242"/>
      <c r="I286" s="49"/>
      <c r="J286" s="77" t="str">
        <f t="shared" si="8"/>
        <v/>
      </c>
      <c r="K286" s="89" t="str">
        <f t="shared" si="9"/>
        <v/>
      </c>
      <c r="L286" s="48"/>
    </row>
    <row r="287" spans="2:12" s="57" customFormat="1" ht="14">
      <c r="B287" s="45"/>
      <c r="C287" s="48"/>
      <c r="D287" s="88"/>
      <c r="E287" s="88"/>
      <c r="F287" s="88"/>
      <c r="G287" s="242"/>
      <c r="H287" s="242"/>
      <c r="I287" s="49"/>
      <c r="J287" s="77" t="str">
        <f t="shared" si="8"/>
        <v/>
      </c>
      <c r="K287" s="89" t="str">
        <f t="shared" si="9"/>
        <v/>
      </c>
      <c r="L287" s="48"/>
    </row>
    <row r="288" spans="2:12" s="57" customFormat="1" ht="14">
      <c r="B288" s="45"/>
      <c r="C288" s="48"/>
      <c r="D288" s="88"/>
      <c r="E288" s="88"/>
      <c r="F288" s="88"/>
      <c r="G288" s="242"/>
      <c r="H288" s="242"/>
      <c r="I288" s="49"/>
      <c r="J288" s="77" t="str">
        <f t="shared" si="8"/>
        <v/>
      </c>
      <c r="K288" s="89" t="str">
        <f t="shared" si="9"/>
        <v/>
      </c>
      <c r="L288" s="48"/>
    </row>
    <row r="289" spans="2:12" s="57" customFormat="1" ht="14">
      <c r="B289" s="45"/>
      <c r="C289" s="48"/>
      <c r="D289" s="88"/>
      <c r="E289" s="88"/>
      <c r="F289" s="88"/>
      <c r="G289" s="242"/>
      <c r="H289" s="242"/>
      <c r="I289" s="49"/>
      <c r="J289" s="77" t="str">
        <f t="shared" si="8"/>
        <v/>
      </c>
      <c r="K289" s="89" t="str">
        <f t="shared" si="9"/>
        <v/>
      </c>
      <c r="L289" s="48"/>
    </row>
    <row r="290" spans="2:12" s="57" customFormat="1" ht="14">
      <c r="B290" s="45"/>
      <c r="C290" s="48"/>
      <c r="D290" s="88"/>
      <c r="E290" s="88"/>
      <c r="F290" s="88"/>
      <c r="G290" s="242"/>
      <c r="H290" s="242"/>
      <c r="I290" s="49"/>
      <c r="J290" s="77" t="str">
        <f t="shared" si="8"/>
        <v/>
      </c>
      <c r="K290" s="89" t="str">
        <f t="shared" si="9"/>
        <v/>
      </c>
      <c r="L290" s="48"/>
    </row>
    <row r="291" spans="2:12" s="57" customFormat="1" ht="14">
      <c r="B291" s="45"/>
      <c r="C291" s="48"/>
      <c r="D291" s="88"/>
      <c r="E291" s="88"/>
      <c r="F291" s="88"/>
      <c r="G291" s="242"/>
      <c r="H291" s="242"/>
      <c r="I291" s="49"/>
      <c r="J291" s="77" t="str">
        <f t="shared" si="8"/>
        <v/>
      </c>
      <c r="K291" s="89" t="str">
        <f t="shared" si="9"/>
        <v/>
      </c>
      <c r="L291" s="48"/>
    </row>
    <row r="292" spans="2:12" s="57" customFormat="1" ht="14">
      <c r="B292" s="45"/>
      <c r="C292" s="48"/>
      <c r="D292" s="88"/>
      <c r="E292" s="88"/>
      <c r="F292" s="88"/>
      <c r="G292" s="242"/>
      <c r="H292" s="242"/>
      <c r="I292" s="49"/>
      <c r="J292" s="77" t="str">
        <f t="shared" si="8"/>
        <v/>
      </c>
      <c r="K292" s="89" t="str">
        <f t="shared" si="9"/>
        <v/>
      </c>
      <c r="L292" s="48"/>
    </row>
    <row r="293" spans="2:12" s="57" customFormat="1" ht="14">
      <c r="B293" s="45"/>
      <c r="C293" s="48"/>
      <c r="D293" s="88"/>
      <c r="E293" s="88"/>
      <c r="F293" s="88"/>
      <c r="G293" s="242"/>
      <c r="H293" s="242"/>
      <c r="I293" s="49"/>
      <c r="J293" s="77" t="str">
        <f t="shared" si="8"/>
        <v/>
      </c>
      <c r="K293" s="89" t="str">
        <f t="shared" si="9"/>
        <v/>
      </c>
      <c r="L293" s="48"/>
    </row>
    <row r="294" spans="2:12" s="57" customFormat="1" ht="14">
      <c r="B294" s="45"/>
      <c r="C294" s="48"/>
      <c r="D294" s="88"/>
      <c r="E294" s="88"/>
      <c r="F294" s="88"/>
      <c r="G294" s="242"/>
      <c r="H294" s="242"/>
      <c r="I294" s="49"/>
      <c r="J294" s="77" t="str">
        <f t="shared" si="8"/>
        <v/>
      </c>
      <c r="K294" s="89" t="str">
        <f t="shared" si="9"/>
        <v/>
      </c>
      <c r="L294" s="48"/>
    </row>
    <row r="295" spans="2:12" s="57" customFormat="1" ht="14">
      <c r="B295" s="45"/>
      <c r="C295" s="48"/>
      <c r="D295" s="88"/>
      <c r="E295" s="88"/>
      <c r="F295" s="88"/>
      <c r="G295" s="242"/>
      <c r="H295" s="242"/>
      <c r="I295" s="49"/>
      <c r="J295" s="77" t="str">
        <f t="shared" si="8"/>
        <v/>
      </c>
      <c r="K295" s="89" t="str">
        <f t="shared" si="9"/>
        <v/>
      </c>
      <c r="L295" s="48"/>
    </row>
    <row r="296" spans="2:12" s="57" customFormat="1" ht="14">
      <c r="B296" s="45"/>
      <c r="C296" s="48"/>
      <c r="D296" s="88"/>
      <c r="E296" s="88"/>
      <c r="F296" s="88"/>
      <c r="G296" s="242"/>
      <c r="H296" s="242"/>
      <c r="I296" s="49"/>
      <c r="J296" s="77" t="str">
        <f t="shared" si="8"/>
        <v/>
      </c>
      <c r="K296" s="89" t="str">
        <f t="shared" si="9"/>
        <v/>
      </c>
      <c r="L296" s="48"/>
    </row>
    <row r="297" spans="2:12" s="57" customFormat="1" ht="14">
      <c r="B297" s="45"/>
      <c r="C297" s="48"/>
      <c r="D297" s="88"/>
      <c r="E297" s="88"/>
      <c r="F297" s="88"/>
      <c r="G297" s="242"/>
      <c r="H297" s="242"/>
      <c r="I297" s="49"/>
      <c r="J297" s="77" t="str">
        <f t="shared" si="8"/>
        <v/>
      </c>
      <c r="K297" s="89" t="str">
        <f t="shared" si="9"/>
        <v/>
      </c>
      <c r="L297" s="48"/>
    </row>
    <row r="298" spans="2:12" s="57" customFormat="1" ht="14">
      <c r="B298" s="45"/>
      <c r="C298" s="48"/>
      <c r="D298" s="88"/>
      <c r="E298" s="88"/>
      <c r="F298" s="88"/>
      <c r="G298" s="242"/>
      <c r="H298" s="242"/>
      <c r="I298" s="49"/>
      <c r="J298" s="77" t="str">
        <f t="shared" si="8"/>
        <v/>
      </c>
      <c r="K298" s="89" t="str">
        <f t="shared" si="9"/>
        <v/>
      </c>
      <c r="L298" s="48"/>
    </row>
    <row r="299" spans="2:12" s="57" customFormat="1" ht="14">
      <c r="B299" s="45"/>
      <c r="C299" s="48"/>
      <c r="D299" s="88"/>
      <c r="E299" s="88"/>
      <c r="F299" s="88"/>
      <c r="G299" s="242"/>
      <c r="H299" s="242"/>
      <c r="I299" s="49"/>
      <c r="J299" s="77" t="str">
        <f t="shared" si="8"/>
        <v/>
      </c>
      <c r="K299" s="89" t="str">
        <f t="shared" si="9"/>
        <v/>
      </c>
      <c r="L299" s="48"/>
    </row>
    <row r="300" spans="2:12" s="57" customFormat="1" ht="14">
      <c r="B300" s="45"/>
      <c r="C300" s="48"/>
      <c r="D300" s="88"/>
      <c r="E300" s="88"/>
      <c r="F300" s="88"/>
      <c r="G300" s="242"/>
      <c r="H300" s="242"/>
      <c r="I300" s="49"/>
      <c r="J300" s="77" t="str">
        <f t="shared" si="8"/>
        <v/>
      </c>
      <c r="K300" s="89" t="str">
        <f t="shared" si="9"/>
        <v/>
      </c>
      <c r="L300" s="48"/>
    </row>
    <row r="301" spans="2:12" s="57" customFormat="1" ht="14">
      <c r="B301" s="45"/>
      <c r="C301" s="48"/>
      <c r="D301" s="88"/>
      <c r="E301" s="88"/>
      <c r="F301" s="88"/>
      <c r="G301" s="242"/>
      <c r="H301" s="242"/>
      <c r="I301" s="49"/>
      <c r="J301" s="77" t="str">
        <f t="shared" si="8"/>
        <v/>
      </c>
      <c r="K301" s="89" t="str">
        <f t="shared" si="9"/>
        <v/>
      </c>
      <c r="L301" s="48"/>
    </row>
    <row r="302" spans="2:12" s="57" customFormat="1" ht="14">
      <c r="B302" s="45"/>
      <c r="C302" s="48"/>
      <c r="D302" s="88"/>
      <c r="E302" s="88"/>
      <c r="F302" s="88"/>
      <c r="G302" s="242"/>
      <c r="H302" s="242"/>
      <c r="I302" s="49"/>
      <c r="J302" s="77" t="str">
        <f t="shared" si="8"/>
        <v/>
      </c>
      <c r="K302" s="89" t="str">
        <f t="shared" si="9"/>
        <v/>
      </c>
      <c r="L302" s="48"/>
    </row>
    <row r="303" spans="2:12" s="57" customFormat="1" ht="14">
      <c r="B303" s="45"/>
      <c r="C303" s="48"/>
      <c r="D303" s="88"/>
      <c r="E303" s="88"/>
      <c r="F303" s="88"/>
      <c r="G303" s="242"/>
      <c r="H303" s="242"/>
      <c r="I303" s="49"/>
      <c r="J303" s="77" t="str">
        <f t="shared" si="8"/>
        <v/>
      </c>
      <c r="K303" s="89" t="str">
        <f t="shared" si="9"/>
        <v/>
      </c>
      <c r="L303" s="48"/>
    </row>
    <row r="304" spans="2:12" s="57" customFormat="1" ht="14">
      <c r="B304" s="45"/>
      <c r="C304" s="48"/>
      <c r="D304" s="88"/>
      <c r="E304" s="88"/>
      <c r="F304" s="88"/>
      <c r="G304" s="242"/>
      <c r="H304" s="242"/>
      <c r="I304" s="49"/>
      <c r="J304" s="77" t="str">
        <f t="shared" si="8"/>
        <v/>
      </c>
      <c r="K304" s="89" t="str">
        <f t="shared" si="9"/>
        <v/>
      </c>
      <c r="L304" s="48"/>
    </row>
    <row r="305" spans="2:12" s="57" customFormat="1" ht="14">
      <c r="B305" s="45"/>
      <c r="C305" s="48"/>
      <c r="D305" s="88"/>
      <c r="E305" s="88"/>
      <c r="F305" s="88"/>
      <c r="G305" s="242"/>
      <c r="H305" s="242"/>
      <c r="I305" s="49"/>
      <c r="J305" s="77" t="str">
        <f t="shared" si="8"/>
        <v/>
      </c>
      <c r="K305" s="89" t="str">
        <f t="shared" si="9"/>
        <v/>
      </c>
      <c r="L305" s="48"/>
    </row>
    <row r="306" spans="2:12" s="57" customFormat="1" ht="14" customHeight="1">
      <c r="B306" s="45"/>
      <c r="C306" s="48"/>
      <c r="D306" s="88"/>
      <c r="E306" s="88"/>
      <c r="F306" s="88"/>
      <c r="G306" s="242" t="s">
        <v>90</v>
      </c>
      <c r="H306" s="242"/>
      <c r="I306" s="49"/>
      <c r="J306" s="77" t="str">
        <f t="shared" si="8"/>
        <v/>
      </c>
      <c r="K306" s="89" t="str">
        <f t="shared" si="9"/>
        <v/>
      </c>
      <c r="L306" s="48"/>
    </row>
    <row r="307" spans="2:12" s="57" customFormat="1" ht="14">
      <c r="B307" s="45"/>
      <c r="C307" s="48"/>
      <c r="D307" s="88"/>
      <c r="E307" s="88"/>
      <c r="F307" s="88"/>
      <c r="G307" s="242"/>
      <c r="H307" s="242"/>
      <c r="I307" s="49"/>
      <c r="J307" s="77" t="str">
        <f t="shared" si="8"/>
        <v/>
      </c>
      <c r="K307" s="89" t="str">
        <f t="shared" si="9"/>
        <v/>
      </c>
      <c r="L307" s="48"/>
    </row>
    <row r="308" spans="2:12" s="57" customFormat="1" ht="14">
      <c r="B308" s="45"/>
      <c r="C308" s="48"/>
      <c r="D308" s="88"/>
      <c r="E308" s="88"/>
      <c r="F308" s="88"/>
      <c r="G308" s="242"/>
      <c r="H308" s="242"/>
      <c r="I308" s="49"/>
      <c r="J308" s="77" t="str">
        <f t="shared" si="8"/>
        <v/>
      </c>
      <c r="K308" s="89" t="str">
        <f t="shared" si="9"/>
        <v/>
      </c>
      <c r="L308" s="48"/>
    </row>
    <row r="309" spans="2:12" s="57" customFormat="1" ht="14">
      <c r="B309" s="45"/>
      <c r="C309" s="48"/>
      <c r="D309" s="88"/>
      <c r="E309" s="88"/>
      <c r="F309" s="88"/>
      <c r="G309" s="242"/>
      <c r="H309" s="242"/>
      <c r="I309" s="49"/>
      <c r="J309" s="77" t="str">
        <f t="shared" si="8"/>
        <v/>
      </c>
      <c r="K309" s="89" t="str">
        <f t="shared" si="9"/>
        <v/>
      </c>
      <c r="L309" s="48"/>
    </row>
    <row r="310" spans="2:12" s="57" customFormat="1" ht="14">
      <c r="B310" s="45"/>
      <c r="C310" s="48"/>
      <c r="D310" s="88"/>
      <c r="E310" s="88"/>
      <c r="F310" s="88"/>
      <c r="G310" s="242"/>
      <c r="H310" s="242"/>
      <c r="I310" s="49"/>
      <c r="J310" s="77" t="str">
        <f t="shared" si="8"/>
        <v/>
      </c>
      <c r="K310" s="89" t="str">
        <f t="shared" si="9"/>
        <v/>
      </c>
      <c r="L310" s="48"/>
    </row>
    <row r="311" spans="2:12" s="57" customFormat="1" ht="14">
      <c r="B311" s="45"/>
      <c r="C311" s="48"/>
      <c r="D311" s="88"/>
      <c r="E311" s="88"/>
      <c r="F311" s="88"/>
      <c r="G311" s="242"/>
      <c r="H311" s="242"/>
      <c r="I311" s="49"/>
      <c r="J311" s="77" t="str">
        <f t="shared" si="8"/>
        <v/>
      </c>
      <c r="K311" s="89" t="str">
        <f t="shared" si="9"/>
        <v/>
      </c>
      <c r="L311" s="48"/>
    </row>
    <row r="312" spans="2:12" s="57" customFormat="1" ht="14">
      <c r="B312" s="45"/>
      <c r="C312" s="48"/>
      <c r="D312" s="88"/>
      <c r="E312" s="88"/>
      <c r="F312" s="88"/>
      <c r="G312" s="242"/>
      <c r="H312" s="242"/>
      <c r="I312" s="49"/>
      <c r="J312" s="77" t="str">
        <f t="shared" si="8"/>
        <v/>
      </c>
      <c r="K312" s="89" t="str">
        <f t="shared" si="9"/>
        <v/>
      </c>
      <c r="L312" s="48"/>
    </row>
    <row r="313" spans="2:12" s="57" customFormat="1" ht="14">
      <c r="B313" s="45"/>
      <c r="C313" s="48"/>
      <c r="D313" s="88"/>
      <c r="E313" s="88"/>
      <c r="F313" s="88"/>
      <c r="G313" s="242"/>
      <c r="H313" s="242"/>
      <c r="I313" s="49"/>
      <c r="J313" s="77" t="str">
        <f t="shared" si="8"/>
        <v/>
      </c>
      <c r="K313" s="89" t="str">
        <f t="shared" si="9"/>
        <v/>
      </c>
      <c r="L313" s="48"/>
    </row>
    <row r="314" spans="2:12" s="57" customFormat="1" ht="14">
      <c r="B314" s="45"/>
      <c r="C314" s="48"/>
      <c r="D314" s="88"/>
      <c r="E314" s="88"/>
      <c r="F314" s="88"/>
      <c r="G314" s="242"/>
      <c r="H314" s="242"/>
      <c r="I314" s="49"/>
      <c r="J314" s="77" t="str">
        <f t="shared" si="8"/>
        <v/>
      </c>
      <c r="K314" s="89" t="str">
        <f t="shared" si="9"/>
        <v/>
      </c>
      <c r="L314" s="48"/>
    </row>
    <row r="315" spans="2:12" s="57" customFormat="1" ht="14">
      <c r="B315" s="45"/>
      <c r="C315" s="48"/>
      <c r="D315" s="88"/>
      <c r="E315" s="88"/>
      <c r="F315" s="88"/>
      <c r="G315" s="242"/>
      <c r="H315" s="242"/>
      <c r="I315" s="49"/>
      <c r="J315" s="77" t="str">
        <f t="shared" si="8"/>
        <v/>
      </c>
      <c r="K315" s="89" t="str">
        <f t="shared" si="9"/>
        <v/>
      </c>
      <c r="L315" s="48"/>
    </row>
    <row r="316" spans="2:12" s="57" customFormat="1" ht="14">
      <c r="B316" s="45"/>
      <c r="C316" s="48"/>
      <c r="D316" s="88"/>
      <c r="E316" s="88"/>
      <c r="F316" s="88"/>
      <c r="G316" s="242"/>
      <c r="H316" s="242"/>
      <c r="I316" s="49"/>
      <c r="J316" s="77" t="str">
        <f t="shared" si="8"/>
        <v/>
      </c>
      <c r="K316" s="89" t="str">
        <f t="shared" si="9"/>
        <v/>
      </c>
      <c r="L316" s="48"/>
    </row>
    <row r="317" spans="2:12" s="57" customFormat="1" ht="14">
      <c r="B317" s="45"/>
      <c r="C317" s="48"/>
      <c r="D317" s="88"/>
      <c r="E317" s="88"/>
      <c r="F317" s="88"/>
      <c r="G317" s="242"/>
      <c r="H317" s="242"/>
      <c r="I317" s="49"/>
      <c r="J317" s="77" t="str">
        <f t="shared" si="8"/>
        <v/>
      </c>
      <c r="K317" s="89" t="str">
        <f t="shared" si="9"/>
        <v/>
      </c>
      <c r="L317" s="48"/>
    </row>
    <row r="318" spans="2:12" s="57" customFormat="1" ht="14">
      <c r="B318" s="45"/>
      <c r="C318" s="48"/>
      <c r="D318" s="88"/>
      <c r="E318" s="88"/>
      <c r="F318" s="88"/>
      <c r="G318" s="242"/>
      <c r="H318" s="242"/>
      <c r="I318" s="49"/>
      <c r="J318" s="77" t="str">
        <f t="shared" si="8"/>
        <v/>
      </c>
      <c r="K318" s="89" t="str">
        <f t="shared" si="9"/>
        <v/>
      </c>
      <c r="L318" s="48"/>
    </row>
    <row r="319" spans="2:12" s="57" customFormat="1" ht="14">
      <c r="B319" s="45"/>
      <c r="C319" s="48"/>
      <c r="D319" s="88"/>
      <c r="E319" s="88"/>
      <c r="F319" s="88"/>
      <c r="G319" s="242"/>
      <c r="H319" s="242"/>
      <c r="I319" s="49"/>
      <c r="J319" s="77" t="str">
        <f t="shared" si="8"/>
        <v/>
      </c>
      <c r="K319" s="89" t="str">
        <f t="shared" si="9"/>
        <v/>
      </c>
      <c r="L319" s="48"/>
    </row>
    <row r="320" spans="2:12" s="57" customFormat="1" ht="14">
      <c r="B320" s="45"/>
      <c r="C320" s="48"/>
      <c r="D320" s="88"/>
      <c r="E320" s="88"/>
      <c r="F320" s="88"/>
      <c r="G320" s="242"/>
      <c r="H320" s="242"/>
      <c r="I320" s="49"/>
      <c r="J320" s="77" t="str">
        <f t="shared" si="8"/>
        <v/>
      </c>
      <c r="K320" s="89" t="str">
        <f t="shared" si="9"/>
        <v/>
      </c>
      <c r="L320" s="48"/>
    </row>
    <row r="321" spans="2:12" s="57" customFormat="1" ht="14">
      <c r="B321" s="45"/>
      <c r="C321" s="48"/>
      <c r="D321" s="88"/>
      <c r="E321" s="88"/>
      <c r="F321" s="88"/>
      <c r="G321" s="242"/>
      <c r="H321" s="242"/>
      <c r="I321" s="49"/>
      <c r="J321" s="77" t="str">
        <f t="shared" si="8"/>
        <v/>
      </c>
      <c r="K321" s="89" t="str">
        <f t="shared" si="9"/>
        <v/>
      </c>
      <c r="L321" s="48"/>
    </row>
    <row r="322" spans="2:12" s="57" customFormat="1" ht="14">
      <c r="B322" s="45"/>
      <c r="C322" s="48"/>
      <c r="D322" s="88"/>
      <c r="E322" s="88"/>
      <c r="F322" s="88"/>
      <c r="G322" s="242"/>
      <c r="H322" s="242"/>
      <c r="I322" s="49"/>
      <c r="J322" s="77" t="str">
        <f t="shared" si="8"/>
        <v/>
      </c>
      <c r="K322" s="89" t="str">
        <f t="shared" si="9"/>
        <v/>
      </c>
      <c r="L322" s="48"/>
    </row>
    <row r="323" spans="2:12" s="57" customFormat="1" ht="14">
      <c r="B323" s="45"/>
      <c r="C323" s="48"/>
      <c r="D323" s="88"/>
      <c r="E323" s="88"/>
      <c r="F323" s="88"/>
      <c r="G323" s="242"/>
      <c r="H323" s="242"/>
      <c r="I323" s="90"/>
      <c r="J323" s="77" t="str">
        <f t="shared" si="8"/>
        <v/>
      </c>
      <c r="K323" s="89" t="str">
        <f t="shared" si="9"/>
        <v/>
      </c>
      <c r="L323" s="48"/>
    </row>
    <row r="324" spans="2:12" s="57" customFormat="1" ht="14">
      <c r="B324" s="45"/>
      <c r="C324" s="48"/>
      <c r="D324" s="88"/>
      <c r="E324" s="88"/>
      <c r="F324" s="88"/>
      <c r="G324" s="242"/>
      <c r="H324" s="242"/>
      <c r="I324" s="90"/>
      <c r="J324" s="77" t="str">
        <f t="shared" si="8"/>
        <v/>
      </c>
      <c r="K324" s="89" t="str">
        <f t="shared" si="9"/>
        <v/>
      </c>
      <c r="L324" s="48"/>
    </row>
    <row r="325" spans="2:12" s="57" customFormat="1" ht="14">
      <c r="B325" s="45"/>
      <c r="C325" s="48"/>
      <c r="D325" s="88"/>
      <c r="E325" s="88"/>
      <c r="F325" s="88"/>
      <c r="G325" s="242"/>
      <c r="H325" s="242"/>
      <c r="I325" s="49"/>
      <c r="J325" s="77" t="str">
        <f t="shared" si="8"/>
        <v/>
      </c>
      <c r="K325" s="89" t="str">
        <f t="shared" si="9"/>
        <v/>
      </c>
      <c r="L325" s="48"/>
    </row>
    <row r="326" spans="2:12" s="57" customFormat="1" ht="14">
      <c r="B326" s="45"/>
      <c r="C326" s="48"/>
      <c r="D326" s="88"/>
      <c r="E326" s="88"/>
      <c r="F326" s="88"/>
      <c r="G326" s="242"/>
      <c r="H326" s="242"/>
      <c r="I326" s="49"/>
      <c r="J326" s="77" t="str">
        <f t="shared" si="8"/>
        <v/>
      </c>
      <c r="K326" s="89" t="str">
        <f t="shared" si="9"/>
        <v/>
      </c>
      <c r="L326" s="48"/>
    </row>
    <row r="327" spans="2:12" s="57" customFormat="1" ht="14">
      <c r="B327" s="45"/>
      <c r="C327" s="48"/>
      <c r="D327" s="88"/>
      <c r="E327" s="88"/>
      <c r="F327" s="88"/>
      <c r="G327" s="242"/>
      <c r="H327" s="242"/>
      <c r="I327" s="49"/>
      <c r="J327" s="77" t="str">
        <f t="shared" si="8"/>
        <v/>
      </c>
      <c r="K327" s="89" t="str">
        <f t="shared" si="9"/>
        <v/>
      </c>
      <c r="L327" s="48"/>
    </row>
    <row r="328" spans="2:12" s="57" customFormat="1" ht="14">
      <c r="B328" s="45"/>
      <c r="C328" s="48"/>
      <c r="D328" s="88"/>
      <c r="E328" s="88"/>
      <c r="F328" s="88"/>
      <c r="G328" s="242"/>
      <c r="H328" s="242"/>
      <c r="I328" s="49"/>
      <c r="J328" s="77" t="str">
        <f t="shared" si="8"/>
        <v/>
      </c>
      <c r="K328" s="89" t="str">
        <f t="shared" si="9"/>
        <v/>
      </c>
      <c r="L328" s="48"/>
    </row>
    <row r="329" spans="2:12" s="57" customFormat="1" ht="14">
      <c r="B329" s="45"/>
      <c r="C329" s="48"/>
      <c r="D329" s="88"/>
      <c r="E329" s="88"/>
      <c r="F329" s="88"/>
      <c r="G329" s="242"/>
      <c r="H329" s="242"/>
      <c r="I329" s="49"/>
      <c r="J329" s="77" t="str">
        <f t="shared" si="8"/>
        <v/>
      </c>
      <c r="K329" s="89" t="str">
        <f t="shared" si="9"/>
        <v/>
      </c>
      <c r="L329" s="48"/>
    </row>
    <row r="330" spans="2:12" s="57" customFormat="1" ht="14">
      <c r="B330" s="45"/>
      <c r="C330" s="48"/>
      <c r="D330" s="88"/>
      <c r="E330" s="88"/>
      <c r="F330" s="88"/>
      <c r="G330" s="242"/>
      <c r="H330" s="242"/>
      <c r="I330" s="49"/>
      <c r="J330" s="77" t="str">
        <f t="shared" si="8"/>
        <v/>
      </c>
      <c r="K330" s="89" t="str">
        <f t="shared" si="9"/>
        <v/>
      </c>
      <c r="L330" s="48"/>
    </row>
    <row r="331" spans="2:12" s="57" customFormat="1" ht="14">
      <c r="B331" s="45"/>
      <c r="C331" s="48"/>
      <c r="D331" s="88"/>
      <c r="E331" s="88"/>
      <c r="F331" s="88"/>
      <c r="G331" s="242"/>
      <c r="H331" s="242"/>
      <c r="I331" s="49"/>
      <c r="J331" s="77" t="str">
        <f t="shared" ref="J331:J394" si="10">IF($C331&lt;&gt;"",$E331*1.5,"")</f>
        <v/>
      </c>
      <c r="K331" s="89" t="str">
        <f t="shared" ref="K331:K394" si="11">IFERROR($J331/10,"")</f>
        <v/>
      </c>
      <c r="L331" s="48"/>
    </row>
    <row r="332" spans="2:12" s="57" customFormat="1" ht="14">
      <c r="B332" s="45"/>
      <c r="C332" s="48"/>
      <c r="D332" s="88"/>
      <c r="E332" s="88"/>
      <c r="F332" s="88"/>
      <c r="G332" s="242"/>
      <c r="H332" s="242"/>
      <c r="I332" s="49"/>
      <c r="J332" s="77" t="str">
        <f t="shared" si="10"/>
        <v/>
      </c>
      <c r="K332" s="89" t="str">
        <f t="shared" si="11"/>
        <v/>
      </c>
      <c r="L332" s="48"/>
    </row>
    <row r="333" spans="2:12" s="57" customFormat="1" ht="14">
      <c r="B333" s="45"/>
      <c r="C333" s="48"/>
      <c r="D333" s="88"/>
      <c r="E333" s="88"/>
      <c r="F333" s="88"/>
      <c r="G333" s="242"/>
      <c r="H333" s="242"/>
      <c r="I333" s="49"/>
      <c r="J333" s="77" t="str">
        <f t="shared" si="10"/>
        <v/>
      </c>
      <c r="K333" s="89" t="str">
        <f t="shared" si="11"/>
        <v/>
      </c>
      <c r="L333" s="48"/>
    </row>
    <row r="334" spans="2:12" s="57" customFormat="1" ht="14">
      <c r="B334" s="45"/>
      <c r="C334" s="48"/>
      <c r="D334" s="88"/>
      <c r="E334" s="88"/>
      <c r="F334" s="88"/>
      <c r="G334" s="242"/>
      <c r="H334" s="242"/>
      <c r="I334" s="49"/>
      <c r="J334" s="77" t="str">
        <f t="shared" si="10"/>
        <v/>
      </c>
      <c r="K334" s="89" t="str">
        <f t="shared" si="11"/>
        <v/>
      </c>
      <c r="L334" s="48"/>
    </row>
    <row r="335" spans="2:12" s="57" customFormat="1" ht="14">
      <c r="B335" s="45"/>
      <c r="C335" s="48"/>
      <c r="D335" s="88"/>
      <c r="E335" s="88"/>
      <c r="F335" s="88"/>
      <c r="G335" s="242"/>
      <c r="H335" s="242"/>
      <c r="I335" s="49"/>
      <c r="J335" s="77" t="str">
        <f t="shared" si="10"/>
        <v/>
      </c>
      <c r="K335" s="89" t="str">
        <f t="shared" si="11"/>
        <v/>
      </c>
      <c r="L335" s="48"/>
    </row>
    <row r="336" spans="2:12" s="57" customFormat="1" ht="14">
      <c r="B336" s="45"/>
      <c r="C336" s="48"/>
      <c r="D336" s="88"/>
      <c r="E336" s="88"/>
      <c r="F336" s="88"/>
      <c r="G336" s="242"/>
      <c r="H336" s="242"/>
      <c r="I336" s="49"/>
      <c r="J336" s="77" t="str">
        <f t="shared" si="10"/>
        <v/>
      </c>
      <c r="K336" s="89" t="str">
        <f t="shared" si="11"/>
        <v/>
      </c>
      <c r="L336" s="48"/>
    </row>
    <row r="337" spans="2:12" s="57" customFormat="1" ht="14">
      <c r="B337" s="45"/>
      <c r="C337" s="48"/>
      <c r="D337" s="88"/>
      <c r="E337" s="88"/>
      <c r="F337" s="88"/>
      <c r="G337" s="242"/>
      <c r="H337" s="242"/>
      <c r="I337" s="49"/>
      <c r="J337" s="77" t="str">
        <f t="shared" si="10"/>
        <v/>
      </c>
      <c r="K337" s="89" t="str">
        <f t="shared" si="11"/>
        <v/>
      </c>
      <c r="L337" s="48"/>
    </row>
    <row r="338" spans="2:12" s="57" customFormat="1" ht="14">
      <c r="B338" s="45"/>
      <c r="C338" s="48"/>
      <c r="D338" s="88"/>
      <c r="E338" s="88"/>
      <c r="F338" s="88"/>
      <c r="G338" s="242"/>
      <c r="H338" s="242"/>
      <c r="I338" s="49"/>
      <c r="J338" s="77" t="str">
        <f t="shared" si="10"/>
        <v/>
      </c>
      <c r="K338" s="89" t="str">
        <f t="shared" si="11"/>
        <v/>
      </c>
      <c r="L338" s="48"/>
    </row>
    <row r="339" spans="2:12" s="57" customFormat="1" ht="14">
      <c r="B339" s="45"/>
      <c r="C339" s="48"/>
      <c r="D339" s="88"/>
      <c r="E339" s="88"/>
      <c r="F339" s="88"/>
      <c r="G339" s="242"/>
      <c r="H339" s="242"/>
      <c r="I339" s="49"/>
      <c r="J339" s="77" t="str">
        <f t="shared" si="10"/>
        <v/>
      </c>
      <c r="K339" s="89" t="str">
        <f t="shared" si="11"/>
        <v/>
      </c>
      <c r="L339" s="48"/>
    </row>
    <row r="340" spans="2:12" s="57" customFormat="1" ht="14">
      <c r="B340" s="45"/>
      <c r="C340" s="48"/>
      <c r="D340" s="88"/>
      <c r="E340" s="88"/>
      <c r="F340" s="88"/>
      <c r="G340" s="242"/>
      <c r="H340" s="242"/>
      <c r="I340" s="49"/>
      <c r="J340" s="77" t="str">
        <f t="shared" si="10"/>
        <v/>
      </c>
      <c r="K340" s="89" t="str">
        <f t="shared" si="11"/>
        <v/>
      </c>
      <c r="L340" s="48"/>
    </row>
    <row r="341" spans="2:12" s="57" customFormat="1" ht="14">
      <c r="B341" s="45"/>
      <c r="C341" s="48"/>
      <c r="D341" s="88"/>
      <c r="E341" s="88"/>
      <c r="F341" s="88"/>
      <c r="G341" s="242"/>
      <c r="H341" s="242"/>
      <c r="I341" s="49"/>
      <c r="J341" s="77" t="str">
        <f t="shared" si="10"/>
        <v/>
      </c>
      <c r="K341" s="89" t="str">
        <f t="shared" si="11"/>
        <v/>
      </c>
      <c r="L341" s="48"/>
    </row>
    <row r="342" spans="2:12" s="57" customFormat="1" ht="14">
      <c r="B342" s="45"/>
      <c r="C342" s="48"/>
      <c r="D342" s="88"/>
      <c r="E342" s="88"/>
      <c r="F342" s="88"/>
      <c r="G342" s="242"/>
      <c r="H342" s="242"/>
      <c r="I342" s="49"/>
      <c r="J342" s="77" t="str">
        <f t="shared" si="10"/>
        <v/>
      </c>
      <c r="K342" s="89" t="str">
        <f t="shared" si="11"/>
        <v/>
      </c>
      <c r="L342" s="48"/>
    </row>
    <row r="343" spans="2:12" s="57" customFormat="1" ht="14">
      <c r="B343" s="45"/>
      <c r="C343" s="48"/>
      <c r="D343" s="88"/>
      <c r="E343" s="88"/>
      <c r="F343" s="88"/>
      <c r="G343" s="242"/>
      <c r="H343" s="242"/>
      <c r="I343" s="49"/>
      <c r="J343" s="77" t="str">
        <f t="shared" si="10"/>
        <v/>
      </c>
      <c r="K343" s="89" t="str">
        <f t="shared" si="11"/>
        <v/>
      </c>
      <c r="L343" s="48"/>
    </row>
    <row r="344" spans="2:12" s="57" customFormat="1" ht="14">
      <c r="B344" s="45"/>
      <c r="C344" s="48"/>
      <c r="D344" s="88"/>
      <c r="E344" s="88"/>
      <c r="F344" s="88"/>
      <c r="G344" s="242"/>
      <c r="H344" s="242"/>
      <c r="I344" s="49"/>
      <c r="J344" s="77" t="str">
        <f t="shared" si="10"/>
        <v/>
      </c>
      <c r="K344" s="89" t="str">
        <f t="shared" si="11"/>
        <v/>
      </c>
      <c r="L344" s="48"/>
    </row>
    <row r="345" spans="2:12" s="57" customFormat="1" ht="14">
      <c r="B345" s="45"/>
      <c r="C345" s="48"/>
      <c r="D345" s="88"/>
      <c r="E345" s="88"/>
      <c r="F345" s="88"/>
      <c r="G345" s="242"/>
      <c r="H345" s="242"/>
      <c r="I345" s="49"/>
      <c r="J345" s="77" t="str">
        <f t="shared" si="10"/>
        <v/>
      </c>
      <c r="K345" s="89" t="str">
        <f t="shared" si="11"/>
        <v/>
      </c>
      <c r="L345" s="48"/>
    </row>
    <row r="346" spans="2:12" s="57" customFormat="1" ht="14">
      <c r="B346" s="45"/>
      <c r="C346" s="48"/>
      <c r="D346" s="88"/>
      <c r="E346" s="88"/>
      <c r="F346" s="88"/>
      <c r="G346" s="242"/>
      <c r="H346" s="242"/>
      <c r="I346" s="49"/>
      <c r="J346" s="77" t="str">
        <f t="shared" si="10"/>
        <v/>
      </c>
      <c r="K346" s="89" t="str">
        <f t="shared" si="11"/>
        <v/>
      </c>
      <c r="L346" s="48"/>
    </row>
    <row r="347" spans="2:12" s="57" customFormat="1" ht="14">
      <c r="B347" s="45"/>
      <c r="C347" s="48"/>
      <c r="D347" s="88"/>
      <c r="E347" s="88"/>
      <c r="F347" s="88"/>
      <c r="G347" s="242"/>
      <c r="H347" s="242"/>
      <c r="I347" s="49"/>
      <c r="J347" s="77" t="str">
        <f t="shared" si="10"/>
        <v/>
      </c>
      <c r="K347" s="89" t="str">
        <f t="shared" si="11"/>
        <v/>
      </c>
      <c r="L347" s="48"/>
    </row>
    <row r="348" spans="2:12" s="57" customFormat="1" ht="14">
      <c r="B348" s="45"/>
      <c r="C348" s="48"/>
      <c r="D348" s="88"/>
      <c r="E348" s="88"/>
      <c r="F348" s="88"/>
      <c r="G348" s="242"/>
      <c r="H348" s="242"/>
      <c r="I348" s="49"/>
      <c r="J348" s="77" t="str">
        <f t="shared" si="10"/>
        <v/>
      </c>
      <c r="K348" s="89" t="str">
        <f t="shared" si="11"/>
        <v/>
      </c>
      <c r="L348" s="48"/>
    </row>
    <row r="349" spans="2:12" s="57" customFormat="1" ht="14">
      <c r="B349" s="45"/>
      <c r="C349" s="48"/>
      <c r="D349" s="88"/>
      <c r="E349" s="88"/>
      <c r="F349" s="88"/>
      <c r="G349" s="242"/>
      <c r="H349" s="242"/>
      <c r="I349" s="49"/>
      <c r="J349" s="77" t="str">
        <f t="shared" si="10"/>
        <v/>
      </c>
      <c r="K349" s="89" t="str">
        <f t="shared" si="11"/>
        <v/>
      </c>
      <c r="L349" s="48"/>
    </row>
    <row r="350" spans="2:12" s="57" customFormat="1" ht="14">
      <c r="B350" s="45"/>
      <c r="C350" s="48"/>
      <c r="D350" s="88"/>
      <c r="E350" s="88"/>
      <c r="F350" s="88"/>
      <c r="G350" s="242"/>
      <c r="H350" s="242"/>
      <c r="I350" s="49"/>
      <c r="J350" s="77" t="str">
        <f t="shared" si="10"/>
        <v/>
      </c>
      <c r="K350" s="89" t="str">
        <f t="shared" si="11"/>
        <v/>
      </c>
      <c r="L350" s="48"/>
    </row>
    <row r="351" spans="2:12" s="57" customFormat="1" ht="14">
      <c r="B351" s="45"/>
      <c r="C351" s="48"/>
      <c r="D351" s="88"/>
      <c r="E351" s="88"/>
      <c r="F351" s="88"/>
      <c r="G351" s="242"/>
      <c r="H351" s="242"/>
      <c r="I351" s="49"/>
      <c r="J351" s="77" t="str">
        <f t="shared" si="10"/>
        <v/>
      </c>
      <c r="K351" s="89" t="str">
        <f t="shared" si="11"/>
        <v/>
      </c>
      <c r="L351" s="48"/>
    </row>
    <row r="352" spans="2:12" s="57" customFormat="1" ht="14">
      <c r="B352" s="45"/>
      <c r="C352" s="48"/>
      <c r="D352" s="88"/>
      <c r="E352" s="88"/>
      <c r="F352" s="88"/>
      <c r="G352" s="242"/>
      <c r="H352" s="242"/>
      <c r="I352" s="49"/>
      <c r="J352" s="77" t="str">
        <f t="shared" si="10"/>
        <v/>
      </c>
      <c r="K352" s="89" t="str">
        <f t="shared" si="11"/>
        <v/>
      </c>
      <c r="L352" s="48"/>
    </row>
    <row r="353" spans="2:12" s="57" customFormat="1" ht="14">
      <c r="B353" s="45"/>
      <c r="C353" s="48"/>
      <c r="D353" s="88"/>
      <c r="E353" s="88"/>
      <c r="F353" s="88"/>
      <c r="G353" s="242"/>
      <c r="H353" s="242"/>
      <c r="I353" s="49"/>
      <c r="J353" s="77" t="str">
        <f t="shared" si="10"/>
        <v/>
      </c>
      <c r="K353" s="89" t="str">
        <f t="shared" si="11"/>
        <v/>
      </c>
      <c r="L353" s="48"/>
    </row>
    <row r="354" spans="2:12" s="57" customFormat="1" ht="14">
      <c r="B354" s="45"/>
      <c r="C354" s="48"/>
      <c r="D354" s="88"/>
      <c r="E354" s="88"/>
      <c r="F354" s="88"/>
      <c r="G354" s="242"/>
      <c r="H354" s="242"/>
      <c r="I354" s="49"/>
      <c r="J354" s="77" t="str">
        <f t="shared" si="10"/>
        <v/>
      </c>
      <c r="K354" s="89" t="str">
        <f t="shared" si="11"/>
        <v/>
      </c>
      <c r="L354" s="48"/>
    </row>
    <row r="355" spans="2:12" s="57" customFormat="1" ht="14">
      <c r="B355" s="45"/>
      <c r="C355" s="48"/>
      <c r="D355" s="88"/>
      <c r="E355" s="88"/>
      <c r="F355" s="88"/>
      <c r="G355" s="242"/>
      <c r="H355" s="242"/>
      <c r="I355" s="49"/>
      <c r="J355" s="77" t="str">
        <f t="shared" si="10"/>
        <v/>
      </c>
      <c r="K355" s="89" t="str">
        <f t="shared" si="11"/>
        <v/>
      </c>
      <c r="L355" s="48"/>
    </row>
    <row r="356" spans="2:12" s="57" customFormat="1" ht="14">
      <c r="B356" s="45"/>
      <c r="C356" s="48"/>
      <c r="D356" s="88"/>
      <c r="E356" s="88"/>
      <c r="F356" s="88"/>
      <c r="G356" s="242"/>
      <c r="H356" s="242"/>
      <c r="I356" s="49"/>
      <c r="J356" s="77" t="str">
        <f t="shared" si="10"/>
        <v/>
      </c>
      <c r="K356" s="89" t="str">
        <f t="shared" si="11"/>
        <v/>
      </c>
      <c r="L356" s="48"/>
    </row>
    <row r="357" spans="2:12" s="57" customFormat="1" ht="14">
      <c r="B357" s="45"/>
      <c r="C357" s="48"/>
      <c r="D357" s="88"/>
      <c r="E357" s="88"/>
      <c r="F357" s="88"/>
      <c r="G357" s="242"/>
      <c r="H357" s="242"/>
      <c r="I357" s="49"/>
      <c r="J357" s="77" t="str">
        <f t="shared" si="10"/>
        <v/>
      </c>
      <c r="K357" s="89" t="str">
        <f t="shared" si="11"/>
        <v/>
      </c>
      <c r="L357" s="48"/>
    </row>
    <row r="358" spans="2:12" s="57" customFormat="1" ht="14">
      <c r="B358" s="45"/>
      <c r="C358" s="48"/>
      <c r="D358" s="88"/>
      <c r="E358" s="88"/>
      <c r="F358" s="88"/>
      <c r="G358" s="242"/>
      <c r="H358" s="242"/>
      <c r="I358" s="49"/>
      <c r="J358" s="77" t="str">
        <f t="shared" si="10"/>
        <v/>
      </c>
      <c r="K358" s="89" t="str">
        <f t="shared" si="11"/>
        <v/>
      </c>
      <c r="L358" s="48"/>
    </row>
    <row r="359" spans="2:12" s="57" customFormat="1" ht="14">
      <c r="B359" s="45"/>
      <c r="C359" s="48"/>
      <c r="D359" s="88"/>
      <c r="E359" s="88"/>
      <c r="F359" s="88"/>
      <c r="G359" s="242"/>
      <c r="H359" s="242"/>
      <c r="I359" s="49"/>
      <c r="J359" s="77" t="str">
        <f t="shared" si="10"/>
        <v/>
      </c>
      <c r="K359" s="89" t="str">
        <f t="shared" si="11"/>
        <v/>
      </c>
      <c r="L359" s="48"/>
    </row>
    <row r="360" spans="2:12" s="57" customFormat="1" ht="14">
      <c r="B360" s="45"/>
      <c r="C360" s="48"/>
      <c r="D360" s="88"/>
      <c r="E360" s="88"/>
      <c r="F360" s="88"/>
      <c r="G360" s="242"/>
      <c r="H360" s="242"/>
      <c r="I360" s="49"/>
      <c r="J360" s="77" t="str">
        <f t="shared" si="10"/>
        <v/>
      </c>
      <c r="K360" s="89" t="str">
        <f t="shared" si="11"/>
        <v/>
      </c>
      <c r="L360" s="48"/>
    </row>
    <row r="361" spans="2:12" s="57" customFormat="1" ht="14">
      <c r="B361" s="45"/>
      <c r="C361" s="48"/>
      <c r="D361" s="88"/>
      <c r="E361" s="88"/>
      <c r="F361" s="88"/>
      <c r="G361" s="242"/>
      <c r="H361" s="242"/>
      <c r="I361" s="49"/>
      <c r="J361" s="77" t="str">
        <f t="shared" si="10"/>
        <v/>
      </c>
      <c r="K361" s="89" t="str">
        <f t="shared" si="11"/>
        <v/>
      </c>
      <c r="L361" s="48"/>
    </row>
    <row r="362" spans="2:12" s="57" customFormat="1" ht="14">
      <c r="B362" s="45"/>
      <c r="C362" s="48"/>
      <c r="D362" s="88"/>
      <c r="E362" s="88"/>
      <c r="F362" s="88"/>
      <c r="G362" s="242"/>
      <c r="H362" s="242"/>
      <c r="I362" s="49"/>
      <c r="J362" s="77" t="str">
        <f t="shared" si="10"/>
        <v/>
      </c>
      <c r="K362" s="89" t="str">
        <f t="shared" si="11"/>
        <v/>
      </c>
      <c r="L362" s="48"/>
    </row>
    <row r="363" spans="2:12" s="57" customFormat="1" ht="14">
      <c r="B363" s="45"/>
      <c r="C363" s="48"/>
      <c r="D363" s="88"/>
      <c r="E363" s="88"/>
      <c r="F363" s="88"/>
      <c r="G363" s="242"/>
      <c r="H363" s="242"/>
      <c r="I363" s="49"/>
      <c r="J363" s="77" t="str">
        <f t="shared" si="10"/>
        <v/>
      </c>
      <c r="K363" s="89" t="str">
        <f t="shared" si="11"/>
        <v/>
      </c>
      <c r="L363" s="48"/>
    </row>
    <row r="364" spans="2:12" s="57" customFormat="1" ht="14">
      <c r="B364" s="45"/>
      <c r="C364" s="48"/>
      <c r="D364" s="88"/>
      <c r="E364" s="88"/>
      <c r="F364" s="88"/>
      <c r="G364" s="242"/>
      <c r="H364" s="242"/>
      <c r="I364" s="49"/>
      <c r="J364" s="77" t="str">
        <f t="shared" si="10"/>
        <v/>
      </c>
      <c r="K364" s="89" t="str">
        <f t="shared" si="11"/>
        <v/>
      </c>
      <c r="L364" s="48"/>
    </row>
    <row r="365" spans="2:12" s="57" customFormat="1" ht="14">
      <c r="B365" s="45"/>
      <c r="C365" s="48"/>
      <c r="D365" s="88"/>
      <c r="E365" s="88"/>
      <c r="F365" s="88"/>
      <c r="G365" s="242"/>
      <c r="H365" s="242"/>
      <c r="I365" s="49"/>
      <c r="J365" s="77" t="str">
        <f t="shared" si="10"/>
        <v/>
      </c>
      <c r="K365" s="89" t="str">
        <f t="shared" si="11"/>
        <v/>
      </c>
      <c r="L365" s="48"/>
    </row>
    <row r="366" spans="2:12" s="57" customFormat="1" ht="14">
      <c r="B366" s="45"/>
      <c r="C366" s="48"/>
      <c r="D366" s="88"/>
      <c r="E366" s="88"/>
      <c r="F366" s="88"/>
      <c r="G366" s="242"/>
      <c r="H366" s="242"/>
      <c r="I366" s="49"/>
      <c r="J366" s="77" t="str">
        <f t="shared" si="10"/>
        <v/>
      </c>
      <c r="K366" s="89" t="str">
        <f t="shared" si="11"/>
        <v/>
      </c>
      <c r="L366" s="48"/>
    </row>
    <row r="367" spans="2:12" s="57" customFormat="1" ht="14">
      <c r="B367" s="45"/>
      <c r="C367" s="48"/>
      <c r="D367" s="88"/>
      <c r="E367" s="88"/>
      <c r="F367" s="88"/>
      <c r="G367" s="242"/>
      <c r="H367" s="242"/>
      <c r="I367" s="49"/>
      <c r="J367" s="77" t="str">
        <f t="shared" si="10"/>
        <v/>
      </c>
      <c r="K367" s="89" t="str">
        <f t="shared" si="11"/>
        <v/>
      </c>
      <c r="L367" s="48"/>
    </row>
    <row r="368" spans="2:12" s="57" customFormat="1" ht="14">
      <c r="B368" s="45"/>
      <c r="C368" s="48"/>
      <c r="D368" s="88"/>
      <c r="E368" s="88"/>
      <c r="F368" s="88"/>
      <c r="G368" s="242"/>
      <c r="H368" s="242"/>
      <c r="I368" s="49"/>
      <c r="J368" s="77" t="str">
        <f t="shared" si="10"/>
        <v/>
      </c>
      <c r="K368" s="89" t="str">
        <f t="shared" si="11"/>
        <v/>
      </c>
      <c r="L368" s="48"/>
    </row>
    <row r="369" spans="2:12" s="57" customFormat="1" ht="14">
      <c r="B369" s="45"/>
      <c r="C369" s="48"/>
      <c r="D369" s="88"/>
      <c r="E369" s="88"/>
      <c r="F369" s="88"/>
      <c r="G369" s="242"/>
      <c r="H369" s="242"/>
      <c r="I369" s="49"/>
      <c r="J369" s="77" t="str">
        <f t="shared" si="10"/>
        <v/>
      </c>
      <c r="K369" s="89" t="str">
        <f t="shared" si="11"/>
        <v/>
      </c>
      <c r="L369" s="48"/>
    </row>
    <row r="370" spans="2:12" s="57" customFormat="1" ht="14">
      <c r="B370" s="45"/>
      <c r="C370" s="48"/>
      <c r="D370" s="88"/>
      <c r="E370" s="88"/>
      <c r="F370" s="88"/>
      <c r="G370" s="242"/>
      <c r="H370" s="242"/>
      <c r="I370" s="49"/>
      <c r="J370" s="77" t="str">
        <f t="shared" si="10"/>
        <v/>
      </c>
      <c r="K370" s="89" t="str">
        <f t="shared" si="11"/>
        <v/>
      </c>
      <c r="L370" s="48"/>
    </row>
    <row r="371" spans="2:12" s="57" customFormat="1" ht="14">
      <c r="B371" s="45"/>
      <c r="C371" s="48"/>
      <c r="D371" s="88"/>
      <c r="E371" s="88"/>
      <c r="F371" s="88"/>
      <c r="G371" s="242"/>
      <c r="H371" s="242"/>
      <c r="I371" s="49"/>
      <c r="J371" s="77" t="str">
        <f t="shared" si="10"/>
        <v/>
      </c>
      <c r="K371" s="89" t="str">
        <f t="shared" si="11"/>
        <v/>
      </c>
      <c r="L371" s="48"/>
    </row>
    <row r="372" spans="2:12" s="57" customFormat="1" ht="14">
      <c r="B372" s="45"/>
      <c r="C372" s="48"/>
      <c r="D372" s="88"/>
      <c r="E372" s="88"/>
      <c r="F372" s="88"/>
      <c r="G372" s="242"/>
      <c r="H372" s="242"/>
      <c r="I372" s="49"/>
      <c r="J372" s="77" t="str">
        <f t="shared" si="10"/>
        <v/>
      </c>
      <c r="K372" s="89" t="str">
        <f t="shared" si="11"/>
        <v/>
      </c>
      <c r="L372" s="48"/>
    </row>
    <row r="373" spans="2:12" s="57" customFormat="1" ht="14">
      <c r="B373" s="45"/>
      <c r="C373" s="48"/>
      <c r="D373" s="88"/>
      <c r="E373" s="88"/>
      <c r="F373" s="88"/>
      <c r="G373" s="242"/>
      <c r="H373" s="242"/>
      <c r="I373" s="49"/>
      <c r="J373" s="77" t="str">
        <f t="shared" si="10"/>
        <v/>
      </c>
      <c r="K373" s="89" t="str">
        <f t="shared" si="11"/>
        <v/>
      </c>
      <c r="L373" s="48"/>
    </row>
    <row r="374" spans="2:12" s="57" customFormat="1" ht="14">
      <c r="B374" s="45"/>
      <c r="C374" s="48"/>
      <c r="D374" s="88"/>
      <c r="E374" s="88"/>
      <c r="F374" s="88"/>
      <c r="G374" s="242"/>
      <c r="H374" s="242"/>
      <c r="I374" s="49"/>
      <c r="J374" s="77" t="str">
        <f t="shared" si="10"/>
        <v/>
      </c>
      <c r="K374" s="89" t="str">
        <f t="shared" si="11"/>
        <v/>
      </c>
      <c r="L374" s="48"/>
    </row>
    <row r="375" spans="2:12" s="57" customFormat="1" ht="14">
      <c r="B375" s="45"/>
      <c r="C375" s="48"/>
      <c r="D375" s="88"/>
      <c r="E375" s="88"/>
      <c r="F375" s="88"/>
      <c r="G375" s="242"/>
      <c r="H375" s="242"/>
      <c r="I375" s="49"/>
      <c r="J375" s="77" t="str">
        <f t="shared" si="10"/>
        <v/>
      </c>
      <c r="K375" s="89" t="str">
        <f t="shared" si="11"/>
        <v/>
      </c>
      <c r="L375" s="48"/>
    </row>
    <row r="376" spans="2:12" s="57" customFormat="1" ht="14">
      <c r="B376" s="45"/>
      <c r="C376" s="48"/>
      <c r="D376" s="88"/>
      <c r="E376" s="88"/>
      <c r="F376" s="88"/>
      <c r="G376" s="242"/>
      <c r="H376" s="242"/>
      <c r="I376" s="49"/>
      <c r="J376" s="77" t="str">
        <f t="shared" si="10"/>
        <v/>
      </c>
      <c r="K376" s="89" t="str">
        <f t="shared" si="11"/>
        <v/>
      </c>
      <c r="L376" s="48"/>
    </row>
    <row r="377" spans="2:12" s="57" customFormat="1" ht="14">
      <c r="B377" s="45"/>
      <c r="C377" s="48"/>
      <c r="D377" s="88"/>
      <c r="E377" s="88"/>
      <c r="F377" s="88"/>
      <c r="G377" s="242"/>
      <c r="H377" s="242"/>
      <c r="I377" s="49"/>
      <c r="J377" s="77" t="str">
        <f t="shared" si="10"/>
        <v/>
      </c>
      <c r="K377" s="89" t="str">
        <f t="shared" si="11"/>
        <v/>
      </c>
      <c r="L377" s="48"/>
    </row>
    <row r="378" spans="2:12" s="57" customFormat="1" ht="14">
      <c r="B378" s="45"/>
      <c r="C378" s="48"/>
      <c r="D378" s="88"/>
      <c r="E378" s="88"/>
      <c r="F378" s="88"/>
      <c r="G378" s="242"/>
      <c r="H378" s="242"/>
      <c r="I378" s="49"/>
      <c r="J378" s="77" t="str">
        <f t="shared" si="10"/>
        <v/>
      </c>
      <c r="K378" s="89" t="str">
        <f t="shared" si="11"/>
        <v/>
      </c>
      <c r="L378" s="48"/>
    </row>
    <row r="379" spans="2:12" s="57" customFormat="1" ht="14">
      <c r="B379" s="45"/>
      <c r="C379" s="48"/>
      <c r="D379" s="88"/>
      <c r="E379" s="88"/>
      <c r="F379" s="88"/>
      <c r="G379" s="242"/>
      <c r="H379" s="242"/>
      <c r="I379" s="49"/>
      <c r="J379" s="77" t="str">
        <f t="shared" si="10"/>
        <v/>
      </c>
      <c r="K379" s="89" t="str">
        <f t="shared" si="11"/>
        <v/>
      </c>
      <c r="L379" s="48"/>
    </row>
    <row r="380" spans="2:12" s="57" customFormat="1" ht="14">
      <c r="B380" s="45"/>
      <c r="C380" s="48"/>
      <c r="D380" s="88"/>
      <c r="E380" s="88"/>
      <c r="F380" s="88"/>
      <c r="G380" s="242"/>
      <c r="H380" s="242"/>
      <c r="I380" s="49"/>
      <c r="J380" s="77" t="str">
        <f t="shared" si="10"/>
        <v/>
      </c>
      <c r="K380" s="89" t="str">
        <f t="shared" si="11"/>
        <v/>
      </c>
      <c r="L380" s="48"/>
    </row>
    <row r="381" spans="2:12" s="57" customFormat="1" ht="14">
      <c r="B381" s="45"/>
      <c r="C381" s="48"/>
      <c r="D381" s="88"/>
      <c r="E381" s="88"/>
      <c r="F381" s="88"/>
      <c r="G381" s="242"/>
      <c r="H381" s="242"/>
      <c r="I381" s="49"/>
      <c r="J381" s="77" t="str">
        <f t="shared" si="10"/>
        <v/>
      </c>
      <c r="K381" s="89" t="str">
        <f t="shared" si="11"/>
        <v/>
      </c>
      <c r="L381" s="48"/>
    </row>
    <row r="382" spans="2:12" s="57" customFormat="1" ht="14">
      <c r="B382" s="45"/>
      <c r="C382" s="48"/>
      <c r="D382" s="88"/>
      <c r="E382" s="88"/>
      <c r="F382" s="88"/>
      <c r="G382" s="242"/>
      <c r="H382" s="242"/>
      <c r="I382" s="49"/>
      <c r="J382" s="77" t="str">
        <f t="shared" si="10"/>
        <v/>
      </c>
      <c r="K382" s="89" t="str">
        <f t="shared" si="11"/>
        <v/>
      </c>
      <c r="L382" s="48"/>
    </row>
    <row r="383" spans="2:12" s="57" customFormat="1" ht="14">
      <c r="B383" s="45"/>
      <c r="C383" s="48"/>
      <c r="D383" s="88"/>
      <c r="E383" s="88"/>
      <c r="F383" s="88"/>
      <c r="G383" s="242"/>
      <c r="H383" s="242"/>
      <c r="I383" s="49"/>
      <c r="J383" s="77" t="str">
        <f t="shared" si="10"/>
        <v/>
      </c>
      <c r="K383" s="89" t="str">
        <f t="shared" si="11"/>
        <v/>
      </c>
      <c r="L383" s="48"/>
    </row>
    <row r="384" spans="2:12" s="57" customFormat="1" ht="14">
      <c r="B384" s="45"/>
      <c r="C384" s="48"/>
      <c r="D384" s="88"/>
      <c r="E384" s="88"/>
      <c r="F384" s="88"/>
      <c r="G384" s="242"/>
      <c r="H384" s="242"/>
      <c r="I384" s="49"/>
      <c r="J384" s="77" t="str">
        <f t="shared" si="10"/>
        <v/>
      </c>
      <c r="K384" s="89" t="str">
        <f t="shared" si="11"/>
        <v/>
      </c>
      <c r="L384" s="48"/>
    </row>
    <row r="385" spans="2:12" s="57" customFormat="1" ht="14">
      <c r="B385" s="45"/>
      <c r="C385" s="48"/>
      <c r="D385" s="88"/>
      <c r="E385" s="88"/>
      <c r="F385" s="88"/>
      <c r="G385" s="242"/>
      <c r="H385" s="242"/>
      <c r="I385" s="49"/>
      <c r="J385" s="77" t="str">
        <f t="shared" si="10"/>
        <v/>
      </c>
      <c r="K385" s="89" t="str">
        <f t="shared" si="11"/>
        <v/>
      </c>
      <c r="L385" s="48"/>
    </row>
    <row r="386" spans="2:12" s="57" customFormat="1" ht="14">
      <c r="B386" s="45"/>
      <c r="C386" s="48"/>
      <c r="D386" s="88"/>
      <c r="E386" s="88"/>
      <c r="F386" s="88"/>
      <c r="G386" s="242"/>
      <c r="H386" s="242"/>
      <c r="I386" s="49"/>
      <c r="J386" s="77" t="str">
        <f t="shared" si="10"/>
        <v/>
      </c>
      <c r="K386" s="89" t="str">
        <f t="shared" si="11"/>
        <v/>
      </c>
      <c r="L386" s="48"/>
    </row>
    <row r="387" spans="2:12" s="57" customFormat="1" ht="14">
      <c r="B387" s="45"/>
      <c r="C387" s="48"/>
      <c r="D387" s="88"/>
      <c r="E387" s="88"/>
      <c r="F387" s="88"/>
      <c r="G387" s="242"/>
      <c r="H387" s="242"/>
      <c r="I387" s="49"/>
      <c r="J387" s="77" t="str">
        <f t="shared" si="10"/>
        <v/>
      </c>
      <c r="K387" s="89" t="str">
        <f t="shared" si="11"/>
        <v/>
      </c>
      <c r="L387" s="48"/>
    </row>
    <row r="388" spans="2:12" s="57" customFormat="1" ht="14">
      <c r="B388" s="45"/>
      <c r="C388" s="48"/>
      <c r="D388" s="88"/>
      <c r="E388" s="88"/>
      <c r="F388" s="88"/>
      <c r="G388" s="242"/>
      <c r="H388" s="242"/>
      <c r="I388" s="49"/>
      <c r="J388" s="77" t="str">
        <f t="shared" si="10"/>
        <v/>
      </c>
      <c r="K388" s="89" t="str">
        <f t="shared" si="11"/>
        <v/>
      </c>
      <c r="L388" s="48"/>
    </row>
    <row r="389" spans="2:12" s="57" customFormat="1" ht="14">
      <c r="B389" s="45"/>
      <c r="C389" s="48"/>
      <c r="D389" s="88"/>
      <c r="E389" s="88"/>
      <c r="F389" s="88"/>
      <c r="G389" s="242"/>
      <c r="H389" s="242"/>
      <c r="I389" s="49"/>
      <c r="J389" s="77" t="str">
        <f t="shared" si="10"/>
        <v/>
      </c>
      <c r="K389" s="89" t="str">
        <f t="shared" si="11"/>
        <v/>
      </c>
      <c r="L389" s="48"/>
    </row>
    <row r="390" spans="2:12" s="57" customFormat="1" ht="14">
      <c r="B390" s="45"/>
      <c r="C390" s="48"/>
      <c r="D390" s="88"/>
      <c r="E390" s="88"/>
      <c r="F390" s="88"/>
      <c r="G390" s="242"/>
      <c r="H390" s="242"/>
      <c r="I390" s="49"/>
      <c r="J390" s="77" t="str">
        <f t="shared" si="10"/>
        <v/>
      </c>
      <c r="K390" s="89" t="str">
        <f t="shared" si="11"/>
        <v/>
      </c>
      <c r="L390" s="48"/>
    </row>
    <row r="391" spans="2:12" s="57" customFormat="1" ht="14">
      <c r="B391" s="45"/>
      <c r="C391" s="48"/>
      <c r="D391" s="88"/>
      <c r="E391" s="88"/>
      <c r="F391" s="88"/>
      <c r="G391" s="242"/>
      <c r="H391" s="242"/>
      <c r="I391" s="49"/>
      <c r="J391" s="77" t="str">
        <f t="shared" si="10"/>
        <v/>
      </c>
      <c r="K391" s="89" t="str">
        <f t="shared" si="11"/>
        <v/>
      </c>
      <c r="L391" s="48"/>
    </row>
    <row r="392" spans="2:12" s="57" customFormat="1" ht="14">
      <c r="B392" s="45"/>
      <c r="C392" s="48"/>
      <c r="D392" s="88"/>
      <c r="E392" s="88"/>
      <c r="F392" s="88"/>
      <c r="G392" s="242"/>
      <c r="H392" s="242"/>
      <c r="I392" s="49"/>
      <c r="J392" s="77" t="str">
        <f t="shared" si="10"/>
        <v/>
      </c>
      <c r="K392" s="89" t="str">
        <f t="shared" si="11"/>
        <v/>
      </c>
      <c r="L392" s="48"/>
    </row>
    <row r="393" spans="2:12" s="57" customFormat="1" ht="14">
      <c r="B393" s="45"/>
      <c r="C393" s="48"/>
      <c r="D393" s="88"/>
      <c r="E393" s="88"/>
      <c r="F393" s="88"/>
      <c r="G393" s="242"/>
      <c r="H393" s="242"/>
      <c r="I393" s="49"/>
      <c r="J393" s="77" t="str">
        <f t="shared" si="10"/>
        <v/>
      </c>
      <c r="K393" s="89" t="str">
        <f t="shared" si="11"/>
        <v/>
      </c>
      <c r="L393" s="48"/>
    </row>
    <row r="394" spans="2:12" s="57" customFormat="1" ht="14">
      <c r="B394" s="45"/>
      <c r="C394" s="48"/>
      <c r="D394" s="88"/>
      <c r="E394" s="88"/>
      <c r="F394" s="88"/>
      <c r="G394" s="242"/>
      <c r="H394" s="242"/>
      <c r="I394" s="49"/>
      <c r="J394" s="77" t="str">
        <f t="shared" si="10"/>
        <v/>
      </c>
      <c r="K394" s="89" t="str">
        <f t="shared" si="11"/>
        <v/>
      </c>
      <c r="L394" s="48"/>
    </row>
    <row r="395" spans="2:12" s="57" customFormat="1" ht="14">
      <c r="B395" s="45"/>
      <c r="C395" s="48"/>
      <c r="D395" s="88"/>
      <c r="E395" s="88"/>
      <c r="F395" s="88"/>
      <c r="G395" s="242"/>
      <c r="H395" s="242"/>
      <c r="I395" s="49"/>
      <c r="J395" s="77" t="str">
        <f t="shared" ref="J395:J402" si="12">IF($C395&lt;&gt;"",$E395*1.5,"")</f>
        <v/>
      </c>
      <c r="K395" s="89" t="str">
        <f t="shared" ref="K395:K402" si="13">IFERROR($J395/10,"")</f>
        <v/>
      </c>
      <c r="L395" s="48"/>
    </row>
    <row r="396" spans="2:12" s="57" customFormat="1" ht="14">
      <c r="B396" s="45"/>
      <c r="C396" s="48"/>
      <c r="D396" s="88"/>
      <c r="E396" s="88"/>
      <c r="F396" s="88"/>
      <c r="G396" s="242"/>
      <c r="H396" s="242"/>
      <c r="I396" s="49"/>
      <c r="J396" s="77" t="str">
        <f t="shared" si="12"/>
        <v/>
      </c>
      <c r="K396" s="89" t="str">
        <f t="shared" si="13"/>
        <v/>
      </c>
      <c r="L396" s="48"/>
    </row>
    <row r="397" spans="2:12" s="57" customFormat="1" ht="14">
      <c r="B397" s="45"/>
      <c r="C397" s="48"/>
      <c r="D397" s="88"/>
      <c r="E397" s="88"/>
      <c r="F397" s="88"/>
      <c r="G397" s="242"/>
      <c r="H397" s="242"/>
      <c r="I397" s="49"/>
      <c r="J397" s="77" t="str">
        <f t="shared" si="12"/>
        <v/>
      </c>
      <c r="K397" s="89" t="str">
        <f t="shared" si="13"/>
        <v/>
      </c>
      <c r="L397" s="48"/>
    </row>
    <row r="398" spans="2:12" s="57" customFormat="1" ht="14">
      <c r="B398" s="45"/>
      <c r="C398" s="48"/>
      <c r="D398" s="88"/>
      <c r="E398" s="88"/>
      <c r="F398" s="88"/>
      <c r="G398" s="242"/>
      <c r="H398" s="242"/>
      <c r="I398" s="49"/>
      <c r="J398" s="77" t="str">
        <f t="shared" si="12"/>
        <v/>
      </c>
      <c r="K398" s="89" t="str">
        <f t="shared" si="13"/>
        <v/>
      </c>
      <c r="L398" s="48"/>
    </row>
    <row r="399" spans="2:12" s="57" customFormat="1" ht="14">
      <c r="B399" s="45"/>
      <c r="C399" s="48"/>
      <c r="D399" s="88"/>
      <c r="E399" s="88"/>
      <c r="F399" s="88"/>
      <c r="G399" s="242"/>
      <c r="H399" s="242"/>
      <c r="I399" s="49"/>
      <c r="J399" s="77" t="str">
        <f t="shared" si="12"/>
        <v/>
      </c>
      <c r="K399" s="89" t="str">
        <f t="shared" si="13"/>
        <v/>
      </c>
      <c r="L399" s="48"/>
    </row>
    <row r="400" spans="2:12" s="57" customFormat="1" ht="14">
      <c r="B400" s="45"/>
      <c r="C400" s="48"/>
      <c r="D400" s="88"/>
      <c r="E400" s="88"/>
      <c r="F400" s="88"/>
      <c r="G400" s="242"/>
      <c r="H400" s="242"/>
      <c r="I400" s="49"/>
      <c r="J400" s="77" t="str">
        <f t="shared" si="12"/>
        <v/>
      </c>
      <c r="K400" s="89" t="str">
        <f t="shared" si="13"/>
        <v/>
      </c>
      <c r="L400" s="48"/>
    </row>
    <row r="401" spans="2:12" s="57" customFormat="1" ht="14">
      <c r="B401" s="45"/>
      <c r="C401" s="48"/>
      <c r="D401" s="88"/>
      <c r="E401" s="88"/>
      <c r="F401" s="88"/>
      <c r="G401" s="242"/>
      <c r="H401" s="242"/>
      <c r="I401" s="49"/>
      <c r="J401" s="77" t="str">
        <f t="shared" si="12"/>
        <v/>
      </c>
      <c r="K401" s="89" t="str">
        <f t="shared" si="13"/>
        <v/>
      </c>
      <c r="L401" s="48"/>
    </row>
    <row r="402" spans="2:12" s="57" customFormat="1" ht="14">
      <c r="B402" s="45"/>
      <c r="C402" s="48"/>
      <c r="D402" s="88"/>
      <c r="E402" s="88"/>
      <c r="F402" s="88"/>
      <c r="G402" s="242"/>
      <c r="H402" s="242"/>
      <c r="I402" s="49"/>
      <c r="J402" s="77" t="str">
        <f t="shared" si="12"/>
        <v/>
      </c>
      <c r="K402" s="89" t="str">
        <f t="shared" si="13"/>
        <v/>
      </c>
      <c r="L402" s="48"/>
    </row>
    <row r="403" spans="2:12" s="57" customFormat="1" ht="14">
      <c r="B403" s="234" t="s">
        <v>67</v>
      </c>
      <c r="C403" s="234"/>
      <c r="D403" s="234"/>
      <c r="E403" s="234"/>
      <c r="F403" s="234"/>
      <c r="G403" s="234"/>
      <c r="H403" s="234"/>
      <c r="I403" s="234"/>
      <c r="J403" s="234"/>
      <c r="K403" s="234"/>
      <c r="L403" s="234"/>
    </row>
    <row r="404" spans="2:12" ht="13">
      <c r="B404" s="67"/>
      <c r="C404" s="69"/>
      <c r="D404" s="69"/>
      <c r="E404" s="69"/>
      <c r="F404" s="69"/>
      <c r="G404" s="69"/>
      <c r="H404" s="69"/>
      <c r="I404" s="91" t="s">
        <v>91</v>
      </c>
      <c r="J404" s="92">
        <f>SUM(J11:J402)</f>
        <v>0</v>
      </c>
      <c r="K404" s="243">
        <f>SUM(K11:K402)</f>
        <v>0</v>
      </c>
    </row>
    <row r="405" spans="2:12" ht="13">
      <c r="I405" s="244" t="s">
        <v>92</v>
      </c>
      <c r="J405" s="244"/>
      <c r="K405" s="243"/>
    </row>
  </sheetData>
  <sheetProtection sheet="1" formatCells="0" formatColumns="0" formatRows="0" insertColumns="0" insertRows="0" insertHyperlinks="0" deleteColumns="0" deleteRows="0" sort="0" autoFilter="0" pivotTables="0"/>
  <mergeCells count="413">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 ref="G380:H380"/>
    <mergeCell ref="G381:H381"/>
    <mergeCell ref="G382:H382"/>
    <mergeCell ref="G383:H383"/>
    <mergeCell ref="G384:H384"/>
    <mergeCell ref="G385:H385"/>
    <mergeCell ref="G386:H386"/>
    <mergeCell ref="G387:H387"/>
    <mergeCell ref="G388:H388"/>
    <mergeCell ref="G371:H371"/>
    <mergeCell ref="G372:H372"/>
    <mergeCell ref="G373:H373"/>
    <mergeCell ref="G374:H374"/>
    <mergeCell ref="G375:H375"/>
    <mergeCell ref="G376:H376"/>
    <mergeCell ref="G377:H377"/>
    <mergeCell ref="G378:H378"/>
    <mergeCell ref="G379:H379"/>
    <mergeCell ref="G362:H362"/>
    <mergeCell ref="G363:H363"/>
    <mergeCell ref="G364:H364"/>
    <mergeCell ref="G365:H365"/>
    <mergeCell ref="G366:H366"/>
    <mergeCell ref="G367:H367"/>
    <mergeCell ref="G368:H368"/>
    <mergeCell ref="G369:H369"/>
    <mergeCell ref="G370:H370"/>
    <mergeCell ref="G353:H353"/>
    <mergeCell ref="G354:H354"/>
    <mergeCell ref="G355:H355"/>
    <mergeCell ref="G356:H356"/>
    <mergeCell ref="G357:H357"/>
    <mergeCell ref="G358:H358"/>
    <mergeCell ref="G359:H359"/>
    <mergeCell ref="G360:H360"/>
    <mergeCell ref="G361:H361"/>
    <mergeCell ref="G344:H344"/>
    <mergeCell ref="G345:H345"/>
    <mergeCell ref="G346:H346"/>
    <mergeCell ref="G347:H347"/>
    <mergeCell ref="G348:H348"/>
    <mergeCell ref="G349:H349"/>
    <mergeCell ref="G350:H350"/>
    <mergeCell ref="G351:H351"/>
    <mergeCell ref="G352:H352"/>
    <mergeCell ref="G335:H335"/>
    <mergeCell ref="G336:H336"/>
    <mergeCell ref="G337:H337"/>
    <mergeCell ref="G338:H338"/>
    <mergeCell ref="G339:H339"/>
    <mergeCell ref="G340:H340"/>
    <mergeCell ref="G341:H341"/>
    <mergeCell ref="G342:H342"/>
    <mergeCell ref="G343:H343"/>
    <mergeCell ref="G326:H326"/>
    <mergeCell ref="G327:H327"/>
    <mergeCell ref="G328:H328"/>
    <mergeCell ref="G329:H329"/>
    <mergeCell ref="G330:H330"/>
    <mergeCell ref="G331:H331"/>
    <mergeCell ref="G332:H332"/>
    <mergeCell ref="G333:H333"/>
    <mergeCell ref="G334:H334"/>
    <mergeCell ref="G317:H317"/>
    <mergeCell ref="G318:H318"/>
    <mergeCell ref="G319:H319"/>
    <mergeCell ref="G320:H320"/>
    <mergeCell ref="G321:H321"/>
    <mergeCell ref="G322:H322"/>
    <mergeCell ref="G323:H323"/>
    <mergeCell ref="G324:H324"/>
    <mergeCell ref="G325:H325"/>
    <mergeCell ref="G308:H308"/>
    <mergeCell ref="G309:H309"/>
    <mergeCell ref="G310:H310"/>
    <mergeCell ref="G311:H311"/>
    <mergeCell ref="G312:H312"/>
    <mergeCell ref="G313:H313"/>
    <mergeCell ref="G314:H314"/>
    <mergeCell ref="G315:H315"/>
    <mergeCell ref="G316:H316"/>
    <mergeCell ref="G299:H299"/>
    <mergeCell ref="G300:H300"/>
    <mergeCell ref="G301:H301"/>
    <mergeCell ref="G302:H302"/>
    <mergeCell ref="G303:H303"/>
    <mergeCell ref="G304:H304"/>
    <mergeCell ref="G305:H305"/>
    <mergeCell ref="G306:H306"/>
    <mergeCell ref="G307:H307"/>
    <mergeCell ref="G290:H290"/>
    <mergeCell ref="G291:H291"/>
    <mergeCell ref="G292:H292"/>
    <mergeCell ref="G293:H293"/>
    <mergeCell ref="G294:H294"/>
    <mergeCell ref="G295:H295"/>
    <mergeCell ref="G296:H296"/>
    <mergeCell ref="G297:H297"/>
    <mergeCell ref="G298:H298"/>
    <mergeCell ref="G281:H281"/>
    <mergeCell ref="G282:H282"/>
    <mergeCell ref="G283:H283"/>
    <mergeCell ref="G284:H284"/>
    <mergeCell ref="G285:H285"/>
    <mergeCell ref="G286:H286"/>
    <mergeCell ref="G287:H287"/>
    <mergeCell ref="G288:H288"/>
    <mergeCell ref="G289:H289"/>
    <mergeCell ref="G272:H272"/>
    <mergeCell ref="G273:H273"/>
    <mergeCell ref="G274:H274"/>
    <mergeCell ref="G275:H275"/>
    <mergeCell ref="G276:H276"/>
    <mergeCell ref="G277:H277"/>
    <mergeCell ref="G278:H278"/>
    <mergeCell ref="G279:H279"/>
    <mergeCell ref="G280:H280"/>
    <mergeCell ref="G263:H263"/>
    <mergeCell ref="G264:H264"/>
    <mergeCell ref="G265:H265"/>
    <mergeCell ref="G266:H266"/>
    <mergeCell ref="G267:H267"/>
    <mergeCell ref="G268:H268"/>
    <mergeCell ref="G269:H269"/>
    <mergeCell ref="G270:H270"/>
    <mergeCell ref="G271:H271"/>
    <mergeCell ref="G254:H254"/>
    <mergeCell ref="G255:H255"/>
    <mergeCell ref="G256:H256"/>
    <mergeCell ref="G257:H257"/>
    <mergeCell ref="G258:H258"/>
    <mergeCell ref="G259:H259"/>
    <mergeCell ref="G260:H260"/>
    <mergeCell ref="G261:H261"/>
    <mergeCell ref="G262:H262"/>
    <mergeCell ref="G245:H245"/>
    <mergeCell ref="G246:H246"/>
    <mergeCell ref="G247:H247"/>
    <mergeCell ref="G248:H248"/>
    <mergeCell ref="G249:H249"/>
    <mergeCell ref="G250:H250"/>
    <mergeCell ref="G251:H251"/>
    <mergeCell ref="G252:H252"/>
    <mergeCell ref="G253:H253"/>
    <mergeCell ref="G236:H236"/>
    <mergeCell ref="G237:H237"/>
    <mergeCell ref="G238:H238"/>
    <mergeCell ref="G239:H239"/>
    <mergeCell ref="G240:H240"/>
    <mergeCell ref="G241:H241"/>
    <mergeCell ref="G242:H242"/>
    <mergeCell ref="G243:H243"/>
    <mergeCell ref="G244:H244"/>
    <mergeCell ref="G227:H227"/>
    <mergeCell ref="G228:H228"/>
    <mergeCell ref="G229:H229"/>
    <mergeCell ref="G230:H230"/>
    <mergeCell ref="G231:H231"/>
    <mergeCell ref="G232:H232"/>
    <mergeCell ref="G233:H233"/>
    <mergeCell ref="G234:H234"/>
    <mergeCell ref="G235:H235"/>
    <mergeCell ref="G218:H218"/>
    <mergeCell ref="G219:H219"/>
    <mergeCell ref="G220:H220"/>
    <mergeCell ref="G221:H221"/>
    <mergeCell ref="G222:H222"/>
    <mergeCell ref="G223:H223"/>
    <mergeCell ref="G224:H224"/>
    <mergeCell ref="G225:H225"/>
    <mergeCell ref="G226:H226"/>
    <mergeCell ref="G209:H209"/>
    <mergeCell ref="G210:H210"/>
    <mergeCell ref="G211:H211"/>
    <mergeCell ref="G212:H212"/>
    <mergeCell ref="G213:H213"/>
    <mergeCell ref="G214:H214"/>
    <mergeCell ref="G215:H215"/>
    <mergeCell ref="G216:H216"/>
    <mergeCell ref="G217:H217"/>
    <mergeCell ref="G200:H200"/>
    <mergeCell ref="G201:H201"/>
    <mergeCell ref="G202:H202"/>
    <mergeCell ref="G203:H203"/>
    <mergeCell ref="G204:H204"/>
    <mergeCell ref="G205:H205"/>
    <mergeCell ref="G206:H206"/>
    <mergeCell ref="G207:H207"/>
    <mergeCell ref="G208:H208"/>
    <mergeCell ref="G191:H191"/>
    <mergeCell ref="G192:H192"/>
    <mergeCell ref="G193:H193"/>
    <mergeCell ref="G194:H194"/>
    <mergeCell ref="G195:H195"/>
    <mergeCell ref="G196:H196"/>
    <mergeCell ref="G197:H197"/>
    <mergeCell ref="G198:H198"/>
    <mergeCell ref="G199:H199"/>
    <mergeCell ref="G182:H182"/>
    <mergeCell ref="G183:H183"/>
    <mergeCell ref="G184:H184"/>
    <mergeCell ref="G185:H185"/>
    <mergeCell ref="G186:H186"/>
    <mergeCell ref="G187:H187"/>
    <mergeCell ref="G188:H188"/>
    <mergeCell ref="G189:H189"/>
    <mergeCell ref="G190:H190"/>
    <mergeCell ref="G173:H173"/>
    <mergeCell ref="G174:H174"/>
    <mergeCell ref="G175:H175"/>
    <mergeCell ref="G176:H176"/>
    <mergeCell ref="G177:H177"/>
    <mergeCell ref="G178:H178"/>
    <mergeCell ref="G179:H179"/>
    <mergeCell ref="G180:H180"/>
    <mergeCell ref="G181:H181"/>
    <mergeCell ref="G164:H164"/>
    <mergeCell ref="G165:H165"/>
    <mergeCell ref="G166:H166"/>
    <mergeCell ref="G167:H167"/>
    <mergeCell ref="G168:H168"/>
    <mergeCell ref="G169:H169"/>
    <mergeCell ref="G170:H170"/>
    <mergeCell ref="G171:H171"/>
    <mergeCell ref="G172:H172"/>
    <mergeCell ref="G155:H155"/>
    <mergeCell ref="G156:H156"/>
    <mergeCell ref="G157:H157"/>
    <mergeCell ref="G158:H158"/>
    <mergeCell ref="G159:H159"/>
    <mergeCell ref="G160:H160"/>
    <mergeCell ref="G161:H161"/>
    <mergeCell ref="G162:H162"/>
    <mergeCell ref="G163:H163"/>
    <mergeCell ref="G146:H146"/>
    <mergeCell ref="G147:H147"/>
    <mergeCell ref="G148:H148"/>
    <mergeCell ref="G149:H149"/>
    <mergeCell ref="G150:H150"/>
    <mergeCell ref="G151:H151"/>
    <mergeCell ref="G152:H152"/>
    <mergeCell ref="G153:H153"/>
    <mergeCell ref="G154:H154"/>
    <mergeCell ref="G137:H137"/>
    <mergeCell ref="G138:H138"/>
    <mergeCell ref="G139:H139"/>
    <mergeCell ref="G140:H140"/>
    <mergeCell ref="G141:H141"/>
    <mergeCell ref="G142:H142"/>
    <mergeCell ref="G143:H143"/>
    <mergeCell ref="G144:H144"/>
    <mergeCell ref="G145:H145"/>
    <mergeCell ref="G128:H128"/>
    <mergeCell ref="G129:H129"/>
    <mergeCell ref="G130:H130"/>
    <mergeCell ref="G131:H131"/>
    <mergeCell ref="G132:H132"/>
    <mergeCell ref="G133:H133"/>
    <mergeCell ref="G134:H134"/>
    <mergeCell ref="G135:H135"/>
    <mergeCell ref="G136:H136"/>
    <mergeCell ref="G119:H119"/>
    <mergeCell ref="G120:H120"/>
    <mergeCell ref="G121:H121"/>
    <mergeCell ref="G122:H122"/>
    <mergeCell ref="G123:H123"/>
    <mergeCell ref="G124:H124"/>
    <mergeCell ref="G125:H125"/>
    <mergeCell ref="G126:H126"/>
    <mergeCell ref="G127:H127"/>
    <mergeCell ref="G110:H110"/>
    <mergeCell ref="G111:H111"/>
    <mergeCell ref="G112:H112"/>
    <mergeCell ref="G113:H113"/>
    <mergeCell ref="G114:H114"/>
    <mergeCell ref="G115:H115"/>
    <mergeCell ref="G116:H116"/>
    <mergeCell ref="G117:H117"/>
    <mergeCell ref="G118:H118"/>
    <mergeCell ref="G101:H101"/>
    <mergeCell ref="G102:H102"/>
    <mergeCell ref="G103:H103"/>
    <mergeCell ref="G104:H104"/>
    <mergeCell ref="G105:H105"/>
    <mergeCell ref="G106:H106"/>
    <mergeCell ref="G107:H107"/>
    <mergeCell ref="G108:H108"/>
    <mergeCell ref="G109:H109"/>
    <mergeCell ref="G92:H92"/>
    <mergeCell ref="G93:H93"/>
    <mergeCell ref="G94:H94"/>
    <mergeCell ref="G95:H95"/>
    <mergeCell ref="G96:H96"/>
    <mergeCell ref="G97:H97"/>
    <mergeCell ref="G98:H98"/>
    <mergeCell ref="G99:H99"/>
    <mergeCell ref="G100:H100"/>
    <mergeCell ref="G83:H83"/>
    <mergeCell ref="G84:H84"/>
    <mergeCell ref="G85:H85"/>
    <mergeCell ref="G86:H86"/>
    <mergeCell ref="G87:H87"/>
    <mergeCell ref="G88:H88"/>
    <mergeCell ref="G89:H89"/>
    <mergeCell ref="G90:H90"/>
    <mergeCell ref="G91:H91"/>
    <mergeCell ref="G74:H74"/>
    <mergeCell ref="G75:H75"/>
    <mergeCell ref="G76:H76"/>
    <mergeCell ref="G77:H77"/>
    <mergeCell ref="G78:H78"/>
    <mergeCell ref="G79:H79"/>
    <mergeCell ref="G80:H80"/>
    <mergeCell ref="G81:H81"/>
    <mergeCell ref="G82:H82"/>
    <mergeCell ref="G65:H65"/>
    <mergeCell ref="G66:H66"/>
    <mergeCell ref="G67:H67"/>
    <mergeCell ref="G68:H68"/>
    <mergeCell ref="G69:H69"/>
    <mergeCell ref="G70:H70"/>
    <mergeCell ref="G71:H71"/>
    <mergeCell ref="G72:H72"/>
    <mergeCell ref="G73:H73"/>
    <mergeCell ref="G56:H56"/>
    <mergeCell ref="G57:H57"/>
    <mergeCell ref="G58:H58"/>
    <mergeCell ref="G59:H59"/>
    <mergeCell ref="G60:H60"/>
    <mergeCell ref="G61:H61"/>
    <mergeCell ref="G62:H62"/>
    <mergeCell ref="G63:H63"/>
    <mergeCell ref="G64:H64"/>
    <mergeCell ref="G47:H47"/>
    <mergeCell ref="G48:H48"/>
    <mergeCell ref="G49:H49"/>
    <mergeCell ref="G50:H50"/>
    <mergeCell ref="G51:H51"/>
    <mergeCell ref="G52:H52"/>
    <mergeCell ref="G53:H53"/>
    <mergeCell ref="G54:H54"/>
    <mergeCell ref="G55:H55"/>
    <mergeCell ref="G38:H38"/>
    <mergeCell ref="G39:H39"/>
    <mergeCell ref="G40:H40"/>
    <mergeCell ref="G41:H41"/>
    <mergeCell ref="G42:H42"/>
    <mergeCell ref="G43:H43"/>
    <mergeCell ref="G44:H44"/>
    <mergeCell ref="G45:H45"/>
    <mergeCell ref="G46:H46"/>
    <mergeCell ref="G29:H29"/>
    <mergeCell ref="G30:H30"/>
    <mergeCell ref="G31:H31"/>
    <mergeCell ref="G32:H32"/>
    <mergeCell ref="G33:H33"/>
    <mergeCell ref="G34:H34"/>
    <mergeCell ref="G35:H35"/>
    <mergeCell ref="G36:H36"/>
    <mergeCell ref="G37:H37"/>
    <mergeCell ref="G20:H20"/>
    <mergeCell ref="G21:H21"/>
    <mergeCell ref="G22:H22"/>
    <mergeCell ref="G23:H23"/>
    <mergeCell ref="G24:H24"/>
    <mergeCell ref="G25:H25"/>
    <mergeCell ref="G26:H26"/>
    <mergeCell ref="G27:H27"/>
    <mergeCell ref="G28:H28"/>
    <mergeCell ref="G11:H11"/>
    <mergeCell ref="G12:H12"/>
    <mergeCell ref="G13:H13"/>
    <mergeCell ref="G14:H14"/>
    <mergeCell ref="G15:H15"/>
    <mergeCell ref="G16:H16"/>
    <mergeCell ref="G17:H17"/>
    <mergeCell ref="G18:H18"/>
    <mergeCell ref="G19:H19"/>
    <mergeCell ref="B8:B9"/>
    <mergeCell ref="C8:C9"/>
    <mergeCell ref="E8:E9"/>
    <mergeCell ref="F8:F9"/>
    <mergeCell ref="G8:H9"/>
    <mergeCell ref="I8:I9"/>
    <mergeCell ref="J8:K8"/>
    <mergeCell ref="L8:L9"/>
    <mergeCell ref="B10:L10"/>
    <mergeCell ref="G1:L1"/>
    <mergeCell ref="B3:C4"/>
    <mergeCell ref="D3:E4"/>
    <mergeCell ref="J3:L3"/>
    <mergeCell ref="J4:L4"/>
    <mergeCell ref="B5:C6"/>
    <mergeCell ref="D5:E6"/>
    <mergeCell ref="J5:L5"/>
    <mergeCell ref="J6:L6"/>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I3"/>
    </sheetView>
  </sheetViews>
  <sheetFormatPr defaultRowHeight="12.5"/>
  <cols>
    <col min="1" max="1" width="5.54296875" style="15" customWidth="1"/>
    <col min="2" max="2" width="9.54296875" style="17" customWidth="1"/>
    <col min="3" max="3" width="17.54296875" style="17" customWidth="1"/>
    <col min="4" max="4" width="18.08984375" style="17" customWidth="1"/>
    <col min="5" max="5" width="23" style="17" customWidth="1"/>
    <col min="6" max="6" width="44" style="18" customWidth="1"/>
    <col min="7" max="7" width="12.36328125" style="15" customWidth="1"/>
    <col min="8" max="8" width="8.36328125" style="16" customWidth="1"/>
    <col min="9" max="9" width="23.453125" style="16" customWidth="1"/>
    <col min="10" max="11" width="9.08984375" style="16" customWidth="1"/>
    <col min="12" max="12" width="9.6328125" style="16" customWidth="1"/>
    <col min="13" max="21" width="9.08984375" style="16" customWidth="1"/>
    <col min="22" max="1025" width="8.90625" style="16" customWidth="1"/>
  </cols>
  <sheetData>
    <row r="1" spans="1:19" ht="69" customHeight="1">
      <c r="A1" s="2" t="s">
        <v>93</v>
      </c>
      <c r="B1" s="20"/>
      <c r="C1" s="83"/>
      <c r="D1" s="218" t="s">
        <v>94</v>
      </c>
      <c r="E1" s="218"/>
      <c r="F1" s="218"/>
      <c r="G1" s="218"/>
      <c r="H1" s="218"/>
      <c r="I1" s="218"/>
      <c r="J1" s="84"/>
      <c r="K1" s="84"/>
      <c r="L1" s="80"/>
      <c r="M1" s="80"/>
      <c r="N1" s="80"/>
      <c r="O1" s="80"/>
      <c r="P1" s="80"/>
      <c r="Q1" s="80"/>
      <c r="R1" s="80"/>
      <c r="S1" s="81"/>
    </row>
    <row r="2" spans="1:19" ht="9" customHeight="1">
      <c r="A2" s="82"/>
      <c r="B2" s="93"/>
      <c r="C2" s="33"/>
      <c r="D2" s="33"/>
      <c r="E2" s="33"/>
      <c r="F2" s="33"/>
      <c r="G2" s="33"/>
      <c r="H2" s="33"/>
      <c r="I2" s="33"/>
      <c r="J2" s="33"/>
    </row>
    <row r="3" spans="1:19" ht="18.649999999999999" customHeight="1">
      <c r="A3" s="81"/>
      <c r="B3" s="23"/>
      <c r="C3" s="23"/>
      <c r="D3" s="23"/>
      <c r="E3" s="23"/>
      <c r="F3" s="28" t="s">
        <v>8</v>
      </c>
      <c r="G3" s="220"/>
      <c r="H3" s="220"/>
      <c r="I3" s="220"/>
    </row>
    <row r="4" spans="1:19" ht="18.649999999999999" customHeight="1">
      <c r="A4" s="81"/>
      <c r="B4" s="23"/>
      <c r="C4" s="23"/>
      <c r="D4" s="23"/>
      <c r="E4" s="23"/>
      <c r="F4" s="28" t="s">
        <v>9</v>
      </c>
      <c r="G4" s="224"/>
      <c r="H4" s="224"/>
      <c r="I4" s="224"/>
    </row>
    <row r="5" spans="1:19" ht="18.649999999999999" customHeight="1">
      <c r="A5" s="238" t="s">
        <v>70</v>
      </c>
      <c r="B5" s="238"/>
      <c r="C5" s="238"/>
      <c r="D5" s="233" t="str">
        <f>TEXT(H109,"#.##0,0#")</f>
        <v>0,0</v>
      </c>
      <c r="E5" s="94"/>
      <c r="F5" s="28" t="s">
        <v>10</v>
      </c>
      <c r="G5" s="220"/>
      <c r="H5" s="220"/>
      <c r="I5" s="220"/>
    </row>
    <row r="6" spans="1:19" ht="18.649999999999999" customHeight="1">
      <c r="A6" s="238"/>
      <c r="B6" s="238"/>
      <c r="C6" s="238"/>
      <c r="D6" s="233"/>
      <c r="E6" s="94"/>
      <c r="F6" s="28" t="s">
        <v>11</v>
      </c>
      <c r="G6" s="224"/>
      <c r="H6" s="224"/>
      <c r="I6" s="224"/>
    </row>
    <row r="7" spans="1:19" ht="9" customHeight="1">
      <c r="A7" s="85"/>
      <c r="B7" s="85"/>
      <c r="C7" s="85"/>
      <c r="D7" s="85"/>
      <c r="E7" s="85"/>
      <c r="F7" s="86"/>
      <c r="G7" s="86"/>
      <c r="H7" s="86"/>
      <c r="I7" s="86"/>
    </row>
    <row r="8" spans="1:19" s="39" customFormat="1" ht="15.5" customHeight="1">
      <c r="A8" s="225" t="s">
        <v>44</v>
      </c>
      <c r="B8" s="226" t="s">
        <v>71</v>
      </c>
      <c r="C8" s="226" t="s">
        <v>47</v>
      </c>
      <c r="D8" s="236" t="s">
        <v>48</v>
      </c>
      <c r="E8" s="236"/>
      <c r="F8" s="227" t="s">
        <v>95</v>
      </c>
      <c r="G8" s="241" t="s">
        <v>96</v>
      </c>
      <c r="H8" s="241"/>
      <c r="I8" s="241" t="s">
        <v>81</v>
      </c>
    </row>
    <row r="9" spans="1:19" s="44" customFormat="1" ht="15.5">
      <c r="A9" s="225"/>
      <c r="B9" s="226"/>
      <c r="C9" s="226"/>
      <c r="D9" s="236"/>
      <c r="E9" s="236"/>
      <c r="F9" s="227"/>
      <c r="G9" s="36" t="s">
        <v>50</v>
      </c>
      <c r="H9" s="36" t="s">
        <v>54</v>
      </c>
      <c r="I9" s="241"/>
    </row>
    <row r="10" spans="1:19" s="57" customFormat="1" ht="14">
      <c r="A10" s="45"/>
      <c r="B10" s="48"/>
      <c r="C10" s="48"/>
      <c r="D10" s="242"/>
      <c r="E10" s="242"/>
      <c r="F10" s="49"/>
      <c r="G10" s="48"/>
      <c r="H10" s="95" t="str">
        <f t="shared" ref="H10:H41" si="0">IF(G10="ALI",35,IF(G10="AIE",15,""))</f>
        <v/>
      </c>
      <c r="I10" s="48"/>
    </row>
    <row r="11" spans="1:19" s="57" customFormat="1" ht="14">
      <c r="A11" s="45"/>
      <c r="B11" s="48"/>
      <c r="C11" s="48"/>
      <c r="D11" s="242"/>
      <c r="E11" s="242"/>
      <c r="F11" s="49"/>
      <c r="G11" s="48"/>
      <c r="H11" s="95" t="str">
        <f t="shared" si="0"/>
        <v/>
      </c>
      <c r="I11" s="48"/>
    </row>
    <row r="12" spans="1:19" s="57" customFormat="1" ht="14">
      <c r="A12" s="45"/>
      <c r="B12" s="48"/>
      <c r="C12" s="48"/>
      <c r="D12" s="242"/>
      <c r="E12" s="242"/>
      <c r="F12" s="49"/>
      <c r="G12" s="48"/>
      <c r="H12" s="95" t="str">
        <f t="shared" si="0"/>
        <v/>
      </c>
      <c r="I12" s="48"/>
    </row>
    <row r="13" spans="1:19" s="57" customFormat="1" ht="14">
      <c r="A13" s="45"/>
      <c r="B13" s="48"/>
      <c r="C13" s="48"/>
      <c r="D13" s="242"/>
      <c r="E13" s="242"/>
      <c r="F13" s="49"/>
      <c r="G13" s="48"/>
      <c r="H13" s="95" t="str">
        <f t="shared" si="0"/>
        <v/>
      </c>
      <c r="I13" s="48"/>
    </row>
    <row r="14" spans="1:19" s="57" customFormat="1" ht="14">
      <c r="A14" s="45"/>
      <c r="B14" s="48"/>
      <c r="C14" s="48"/>
      <c r="D14" s="242"/>
      <c r="E14" s="242"/>
      <c r="F14" s="49"/>
      <c r="G14" s="48"/>
      <c r="H14" s="95" t="str">
        <f t="shared" si="0"/>
        <v/>
      </c>
      <c r="I14" s="48"/>
    </row>
    <row r="15" spans="1:19" s="57" customFormat="1" ht="14">
      <c r="A15" s="45"/>
      <c r="B15" s="48"/>
      <c r="C15" s="48"/>
      <c r="D15" s="242"/>
      <c r="E15" s="242"/>
      <c r="F15" s="49"/>
      <c r="G15" s="48"/>
      <c r="H15" s="95" t="str">
        <f t="shared" si="0"/>
        <v/>
      </c>
      <c r="I15" s="48"/>
    </row>
    <row r="16" spans="1:19" s="57" customFormat="1" ht="14">
      <c r="A16" s="45"/>
      <c r="B16" s="48"/>
      <c r="C16" s="48"/>
      <c r="D16" s="242"/>
      <c r="E16" s="242"/>
      <c r="F16" s="49"/>
      <c r="G16" s="48"/>
      <c r="H16" s="95" t="str">
        <f t="shared" si="0"/>
        <v/>
      </c>
      <c r="I16" s="48"/>
    </row>
    <row r="17" spans="1:9" s="57" customFormat="1" ht="14">
      <c r="A17" s="45"/>
      <c r="B17" s="48"/>
      <c r="C17" s="48"/>
      <c r="D17" s="242"/>
      <c r="E17" s="242"/>
      <c r="F17" s="49"/>
      <c r="G17" s="48"/>
      <c r="H17" s="95" t="str">
        <f t="shared" si="0"/>
        <v/>
      </c>
      <c r="I17" s="48"/>
    </row>
    <row r="18" spans="1:9" s="57" customFormat="1" ht="14">
      <c r="A18" s="45"/>
      <c r="B18" s="48"/>
      <c r="C18" s="48"/>
      <c r="D18" s="242"/>
      <c r="E18" s="242"/>
      <c r="F18" s="49"/>
      <c r="G18" s="48"/>
      <c r="H18" s="95" t="str">
        <f t="shared" si="0"/>
        <v/>
      </c>
      <c r="I18" s="48"/>
    </row>
    <row r="19" spans="1:9" s="57" customFormat="1" ht="14">
      <c r="A19" s="45"/>
      <c r="B19" s="48"/>
      <c r="C19" s="48"/>
      <c r="D19" s="242"/>
      <c r="E19" s="242"/>
      <c r="F19" s="49"/>
      <c r="G19" s="48"/>
      <c r="H19" s="95" t="str">
        <f t="shared" si="0"/>
        <v/>
      </c>
      <c r="I19" s="48"/>
    </row>
    <row r="20" spans="1:9" s="57" customFormat="1" ht="14">
      <c r="A20" s="45"/>
      <c r="B20" s="48"/>
      <c r="C20" s="48"/>
      <c r="D20" s="242"/>
      <c r="E20" s="242"/>
      <c r="F20" s="49"/>
      <c r="G20" s="48"/>
      <c r="H20" s="95" t="str">
        <f t="shared" si="0"/>
        <v/>
      </c>
      <c r="I20" s="48"/>
    </row>
    <row r="21" spans="1:9" s="57" customFormat="1" ht="14">
      <c r="A21" s="45"/>
      <c r="B21" s="48"/>
      <c r="C21" s="48"/>
      <c r="D21" s="242"/>
      <c r="E21" s="242"/>
      <c r="F21" s="49"/>
      <c r="G21" s="48"/>
      <c r="H21" s="95" t="str">
        <f t="shared" si="0"/>
        <v/>
      </c>
      <c r="I21" s="48"/>
    </row>
    <row r="22" spans="1:9" s="57" customFormat="1" ht="14">
      <c r="A22" s="45"/>
      <c r="B22" s="48"/>
      <c r="C22" s="48"/>
      <c r="D22" s="242"/>
      <c r="E22" s="242"/>
      <c r="F22" s="49"/>
      <c r="G22" s="48"/>
      <c r="H22" s="95" t="str">
        <f t="shared" si="0"/>
        <v/>
      </c>
      <c r="I22" s="48"/>
    </row>
    <row r="23" spans="1:9" s="57" customFormat="1" ht="14">
      <c r="A23" s="45"/>
      <c r="B23" s="48"/>
      <c r="C23" s="48"/>
      <c r="D23" s="242"/>
      <c r="E23" s="242"/>
      <c r="F23" s="49"/>
      <c r="G23" s="48"/>
      <c r="H23" s="95" t="str">
        <f t="shared" si="0"/>
        <v/>
      </c>
      <c r="I23" s="48"/>
    </row>
    <row r="24" spans="1:9" s="57" customFormat="1" ht="14">
      <c r="A24" s="45"/>
      <c r="B24" s="48"/>
      <c r="C24" s="48"/>
      <c r="D24" s="242"/>
      <c r="E24" s="242"/>
      <c r="F24" s="49"/>
      <c r="G24" s="48"/>
      <c r="H24" s="95" t="str">
        <f t="shared" si="0"/>
        <v/>
      </c>
      <c r="I24" s="48"/>
    </row>
    <row r="25" spans="1:9" s="57" customFormat="1" ht="14">
      <c r="A25" s="45"/>
      <c r="B25" s="48"/>
      <c r="C25" s="48"/>
      <c r="D25" s="242"/>
      <c r="E25" s="242"/>
      <c r="F25" s="49"/>
      <c r="G25" s="48"/>
      <c r="H25" s="95" t="str">
        <f t="shared" si="0"/>
        <v/>
      </c>
      <c r="I25" s="48"/>
    </row>
    <row r="26" spans="1:9" s="57" customFormat="1" ht="14">
      <c r="A26" s="45"/>
      <c r="B26" s="48"/>
      <c r="C26" s="48"/>
      <c r="D26" s="242"/>
      <c r="E26" s="242"/>
      <c r="F26" s="49"/>
      <c r="G26" s="48"/>
      <c r="H26" s="95" t="str">
        <f t="shared" si="0"/>
        <v/>
      </c>
      <c r="I26" s="48"/>
    </row>
    <row r="27" spans="1:9" s="57" customFormat="1" ht="14">
      <c r="A27" s="45"/>
      <c r="B27" s="48"/>
      <c r="C27" s="48"/>
      <c r="D27" s="242"/>
      <c r="E27" s="242"/>
      <c r="F27" s="49"/>
      <c r="G27" s="48"/>
      <c r="H27" s="95" t="str">
        <f t="shared" si="0"/>
        <v/>
      </c>
      <c r="I27" s="48"/>
    </row>
    <row r="28" spans="1:9" s="57" customFormat="1" ht="14">
      <c r="A28" s="45"/>
      <c r="B28" s="48"/>
      <c r="C28" s="48"/>
      <c r="D28" s="242"/>
      <c r="E28" s="242"/>
      <c r="F28" s="90"/>
      <c r="G28" s="48"/>
      <c r="H28" s="95" t="str">
        <f t="shared" si="0"/>
        <v/>
      </c>
      <c r="I28" s="48"/>
    </row>
    <row r="29" spans="1:9" s="57" customFormat="1" ht="14">
      <c r="A29" s="45"/>
      <c r="B29" s="48"/>
      <c r="C29" s="48"/>
      <c r="D29" s="242"/>
      <c r="E29" s="242"/>
      <c r="F29" s="90"/>
      <c r="G29" s="48"/>
      <c r="H29" s="95" t="str">
        <f t="shared" si="0"/>
        <v/>
      </c>
      <c r="I29" s="48"/>
    </row>
    <row r="30" spans="1:9" s="57" customFormat="1" ht="14">
      <c r="A30" s="45"/>
      <c r="B30" s="48"/>
      <c r="C30" s="48"/>
      <c r="D30" s="242"/>
      <c r="E30" s="242"/>
      <c r="F30" s="49"/>
      <c r="G30" s="48"/>
      <c r="H30" s="95" t="str">
        <f t="shared" si="0"/>
        <v/>
      </c>
      <c r="I30" s="48"/>
    </row>
    <row r="31" spans="1:9" s="57" customFormat="1" ht="14">
      <c r="A31" s="45"/>
      <c r="B31" s="48"/>
      <c r="C31" s="48"/>
      <c r="D31" s="242"/>
      <c r="E31" s="242"/>
      <c r="F31" s="49"/>
      <c r="G31" s="48"/>
      <c r="H31" s="95" t="str">
        <f t="shared" si="0"/>
        <v/>
      </c>
      <c r="I31" s="48"/>
    </row>
    <row r="32" spans="1:9" s="57" customFormat="1" ht="14">
      <c r="A32" s="45"/>
      <c r="B32" s="48"/>
      <c r="C32" s="48"/>
      <c r="D32" s="242"/>
      <c r="E32" s="242"/>
      <c r="F32" s="49"/>
      <c r="G32" s="48"/>
      <c r="H32" s="95" t="str">
        <f t="shared" si="0"/>
        <v/>
      </c>
      <c r="I32" s="48"/>
    </row>
    <row r="33" spans="1:9" s="57" customFormat="1" ht="14">
      <c r="A33" s="45"/>
      <c r="B33" s="48"/>
      <c r="C33" s="48"/>
      <c r="D33" s="242"/>
      <c r="E33" s="242"/>
      <c r="F33" s="49"/>
      <c r="G33" s="48"/>
      <c r="H33" s="95" t="str">
        <f t="shared" si="0"/>
        <v/>
      </c>
      <c r="I33" s="48"/>
    </row>
    <row r="34" spans="1:9" s="57" customFormat="1" ht="14">
      <c r="A34" s="45"/>
      <c r="B34" s="48"/>
      <c r="C34" s="48"/>
      <c r="D34" s="242"/>
      <c r="E34" s="242"/>
      <c r="F34" s="49"/>
      <c r="G34" s="48"/>
      <c r="H34" s="95" t="str">
        <f t="shared" si="0"/>
        <v/>
      </c>
      <c r="I34" s="48"/>
    </row>
    <row r="35" spans="1:9" s="57" customFormat="1" ht="14">
      <c r="A35" s="45"/>
      <c r="B35" s="48"/>
      <c r="C35" s="48"/>
      <c r="D35" s="242"/>
      <c r="E35" s="242"/>
      <c r="F35" s="49"/>
      <c r="G35" s="48"/>
      <c r="H35" s="95" t="str">
        <f t="shared" si="0"/>
        <v/>
      </c>
      <c r="I35" s="48"/>
    </row>
    <row r="36" spans="1:9" s="57" customFormat="1" ht="14">
      <c r="A36" s="45"/>
      <c r="B36" s="48"/>
      <c r="C36" s="48"/>
      <c r="D36" s="242"/>
      <c r="E36" s="242"/>
      <c r="F36" s="49"/>
      <c r="G36" s="48"/>
      <c r="H36" s="95" t="str">
        <f t="shared" si="0"/>
        <v/>
      </c>
      <c r="I36" s="48"/>
    </row>
    <row r="37" spans="1:9" s="57" customFormat="1" ht="14">
      <c r="A37" s="45"/>
      <c r="B37" s="48"/>
      <c r="C37" s="48"/>
      <c r="D37" s="242"/>
      <c r="E37" s="242"/>
      <c r="F37" s="49"/>
      <c r="G37" s="48"/>
      <c r="H37" s="95" t="str">
        <f t="shared" si="0"/>
        <v/>
      </c>
      <c r="I37" s="48"/>
    </row>
    <row r="38" spans="1:9" s="57" customFormat="1" ht="14">
      <c r="A38" s="45"/>
      <c r="B38" s="48"/>
      <c r="C38" s="48"/>
      <c r="D38" s="242"/>
      <c r="E38" s="242"/>
      <c r="F38" s="49"/>
      <c r="G38" s="48"/>
      <c r="H38" s="95" t="str">
        <f t="shared" si="0"/>
        <v/>
      </c>
      <c r="I38" s="48"/>
    </row>
    <row r="39" spans="1:9" s="57" customFormat="1" ht="14">
      <c r="A39" s="45"/>
      <c r="B39" s="48"/>
      <c r="C39" s="48"/>
      <c r="D39" s="242"/>
      <c r="E39" s="242"/>
      <c r="F39" s="49"/>
      <c r="G39" s="48"/>
      <c r="H39" s="95" t="str">
        <f t="shared" si="0"/>
        <v/>
      </c>
      <c r="I39" s="48"/>
    </row>
    <row r="40" spans="1:9" s="57" customFormat="1" ht="14">
      <c r="A40" s="45"/>
      <c r="B40" s="48"/>
      <c r="C40" s="48"/>
      <c r="D40" s="242"/>
      <c r="E40" s="242"/>
      <c r="F40" s="49"/>
      <c r="G40" s="48"/>
      <c r="H40" s="95" t="str">
        <f t="shared" si="0"/>
        <v/>
      </c>
      <c r="I40" s="48"/>
    </row>
    <row r="41" spans="1:9" s="57" customFormat="1" ht="14">
      <c r="A41" s="45"/>
      <c r="B41" s="48"/>
      <c r="C41" s="48"/>
      <c r="D41" s="242"/>
      <c r="E41" s="242"/>
      <c r="F41" s="49"/>
      <c r="G41" s="48"/>
      <c r="H41" s="95" t="str">
        <f t="shared" si="0"/>
        <v/>
      </c>
      <c r="I41" s="48"/>
    </row>
    <row r="42" spans="1:9" s="57" customFormat="1" ht="14">
      <c r="A42" s="45"/>
      <c r="B42" s="48"/>
      <c r="C42" s="48"/>
      <c r="D42" s="242"/>
      <c r="E42" s="242"/>
      <c r="F42" s="49"/>
      <c r="G42" s="48"/>
      <c r="H42" s="95" t="str">
        <f t="shared" ref="H42:H73" si="1">IF(G42="ALI",35,IF(G42="AIE",15,""))</f>
        <v/>
      </c>
      <c r="I42" s="48"/>
    </row>
    <row r="43" spans="1:9" s="57" customFormat="1" ht="14">
      <c r="A43" s="45"/>
      <c r="B43" s="48"/>
      <c r="C43" s="48"/>
      <c r="D43" s="242"/>
      <c r="E43" s="242"/>
      <c r="F43" s="49"/>
      <c r="G43" s="48"/>
      <c r="H43" s="95" t="str">
        <f t="shared" si="1"/>
        <v/>
      </c>
      <c r="I43" s="48"/>
    </row>
    <row r="44" spans="1:9" s="57" customFormat="1" ht="14">
      <c r="A44" s="45"/>
      <c r="B44" s="48"/>
      <c r="C44" s="48"/>
      <c r="D44" s="242"/>
      <c r="E44" s="242"/>
      <c r="F44" s="49"/>
      <c r="G44" s="48"/>
      <c r="H44" s="95" t="str">
        <f t="shared" si="1"/>
        <v/>
      </c>
      <c r="I44" s="48"/>
    </row>
    <row r="45" spans="1:9" s="57" customFormat="1" ht="14">
      <c r="A45" s="45"/>
      <c r="B45" s="48"/>
      <c r="C45" s="48"/>
      <c r="D45" s="242"/>
      <c r="E45" s="242"/>
      <c r="F45" s="49"/>
      <c r="G45" s="48"/>
      <c r="H45" s="95" t="str">
        <f t="shared" si="1"/>
        <v/>
      </c>
      <c r="I45" s="48"/>
    </row>
    <row r="46" spans="1:9" s="57" customFormat="1" ht="14">
      <c r="A46" s="45"/>
      <c r="B46" s="48"/>
      <c r="C46" s="48"/>
      <c r="D46" s="242"/>
      <c r="E46" s="242"/>
      <c r="F46" s="49"/>
      <c r="G46" s="48"/>
      <c r="H46" s="95" t="str">
        <f t="shared" si="1"/>
        <v/>
      </c>
      <c r="I46" s="48"/>
    </row>
    <row r="47" spans="1:9" s="57" customFormat="1" ht="14">
      <c r="A47" s="45"/>
      <c r="B47" s="48"/>
      <c r="C47" s="48"/>
      <c r="D47" s="242"/>
      <c r="E47" s="242"/>
      <c r="F47" s="49"/>
      <c r="G47" s="48"/>
      <c r="H47" s="95" t="str">
        <f t="shared" si="1"/>
        <v/>
      </c>
      <c r="I47" s="48"/>
    </row>
    <row r="48" spans="1:9" s="57" customFormat="1" ht="14">
      <c r="A48" s="45"/>
      <c r="B48" s="48"/>
      <c r="C48" s="48"/>
      <c r="D48" s="242"/>
      <c r="E48" s="242"/>
      <c r="F48" s="49"/>
      <c r="G48" s="48"/>
      <c r="H48" s="95" t="str">
        <f t="shared" si="1"/>
        <v/>
      </c>
      <c r="I48" s="48"/>
    </row>
    <row r="49" spans="1:9" s="57" customFormat="1" ht="14">
      <c r="A49" s="45"/>
      <c r="B49" s="48"/>
      <c r="C49" s="48"/>
      <c r="D49" s="242"/>
      <c r="E49" s="242"/>
      <c r="F49" s="49"/>
      <c r="G49" s="48"/>
      <c r="H49" s="95" t="str">
        <f t="shared" si="1"/>
        <v/>
      </c>
      <c r="I49" s="48"/>
    </row>
    <row r="50" spans="1:9" s="57" customFormat="1" ht="14">
      <c r="A50" s="45"/>
      <c r="B50" s="48"/>
      <c r="C50" s="48"/>
      <c r="D50" s="242"/>
      <c r="E50" s="242"/>
      <c r="F50" s="49"/>
      <c r="G50" s="48"/>
      <c r="H50" s="95" t="str">
        <f t="shared" si="1"/>
        <v/>
      </c>
      <c r="I50" s="48"/>
    </row>
    <row r="51" spans="1:9" s="57" customFormat="1" ht="14">
      <c r="A51" s="45"/>
      <c r="B51" s="48"/>
      <c r="C51" s="48"/>
      <c r="D51" s="242"/>
      <c r="E51" s="242"/>
      <c r="F51" s="49"/>
      <c r="G51" s="48"/>
      <c r="H51" s="95" t="str">
        <f t="shared" si="1"/>
        <v/>
      </c>
      <c r="I51" s="48"/>
    </row>
    <row r="52" spans="1:9" s="57" customFormat="1" ht="14">
      <c r="A52" s="45"/>
      <c r="B52" s="48"/>
      <c r="C52" s="48"/>
      <c r="D52" s="242"/>
      <c r="E52" s="242"/>
      <c r="F52" s="49"/>
      <c r="G52" s="48"/>
      <c r="H52" s="95" t="str">
        <f t="shared" si="1"/>
        <v/>
      </c>
      <c r="I52" s="48"/>
    </row>
    <row r="53" spans="1:9" s="57" customFormat="1" ht="14">
      <c r="A53" s="45"/>
      <c r="B53" s="48"/>
      <c r="C53" s="48"/>
      <c r="D53" s="242"/>
      <c r="E53" s="242"/>
      <c r="F53" s="49"/>
      <c r="G53" s="48"/>
      <c r="H53" s="95" t="str">
        <f t="shared" si="1"/>
        <v/>
      </c>
      <c r="I53" s="48"/>
    </row>
    <row r="54" spans="1:9" s="57" customFormat="1" ht="14">
      <c r="A54" s="45"/>
      <c r="B54" s="48"/>
      <c r="C54" s="48"/>
      <c r="D54" s="242"/>
      <c r="E54" s="242"/>
      <c r="F54" s="49"/>
      <c r="G54" s="48"/>
      <c r="H54" s="95" t="str">
        <f t="shared" si="1"/>
        <v/>
      </c>
      <c r="I54" s="48"/>
    </row>
    <row r="55" spans="1:9" s="57" customFormat="1" ht="14">
      <c r="A55" s="45"/>
      <c r="B55" s="48"/>
      <c r="C55" s="48"/>
      <c r="D55" s="242"/>
      <c r="E55" s="242"/>
      <c r="F55" s="49"/>
      <c r="G55" s="48"/>
      <c r="H55" s="95" t="str">
        <f t="shared" si="1"/>
        <v/>
      </c>
      <c r="I55" s="48"/>
    </row>
    <row r="56" spans="1:9" s="57" customFormat="1" ht="14">
      <c r="A56" s="45"/>
      <c r="B56" s="48"/>
      <c r="C56" s="48"/>
      <c r="D56" s="242"/>
      <c r="E56" s="242"/>
      <c r="F56" s="49"/>
      <c r="G56" s="48"/>
      <c r="H56" s="95" t="str">
        <f t="shared" si="1"/>
        <v/>
      </c>
      <c r="I56" s="48"/>
    </row>
    <row r="57" spans="1:9" s="57" customFormat="1" ht="14">
      <c r="A57" s="45"/>
      <c r="B57" s="48"/>
      <c r="C57" s="48"/>
      <c r="D57" s="242"/>
      <c r="E57" s="242"/>
      <c r="F57" s="49"/>
      <c r="G57" s="48"/>
      <c r="H57" s="95" t="str">
        <f t="shared" si="1"/>
        <v/>
      </c>
      <c r="I57" s="48"/>
    </row>
    <row r="58" spans="1:9" s="57" customFormat="1" ht="14">
      <c r="A58" s="45"/>
      <c r="B58" s="48"/>
      <c r="C58" s="48"/>
      <c r="D58" s="242"/>
      <c r="E58" s="242"/>
      <c r="F58" s="49"/>
      <c r="G58" s="48"/>
      <c r="H58" s="95" t="str">
        <f t="shared" si="1"/>
        <v/>
      </c>
      <c r="I58" s="48"/>
    </row>
    <row r="59" spans="1:9" s="57" customFormat="1" ht="14">
      <c r="A59" s="45"/>
      <c r="B59" s="48"/>
      <c r="C59" s="48"/>
      <c r="D59" s="242"/>
      <c r="E59" s="242"/>
      <c r="F59" s="49"/>
      <c r="G59" s="48"/>
      <c r="H59" s="95" t="str">
        <f t="shared" si="1"/>
        <v/>
      </c>
      <c r="I59" s="48"/>
    </row>
    <row r="60" spans="1:9" s="57" customFormat="1" ht="14">
      <c r="A60" s="45"/>
      <c r="B60" s="48"/>
      <c r="C60" s="48"/>
      <c r="D60" s="242"/>
      <c r="E60" s="242"/>
      <c r="F60" s="49"/>
      <c r="G60" s="48"/>
      <c r="H60" s="95" t="str">
        <f t="shared" si="1"/>
        <v/>
      </c>
      <c r="I60" s="48"/>
    </row>
    <row r="61" spans="1:9" s="57" customFormat="1" ht="14">
      <c r="A61" s="45"/>
      <c r="B61" s="48"/>
      <c r="C61" s="48"/>
      <c r="D61" s="242"/>
      <c r="E61" s="242"/>
      <c r="F61" s="49"/>
      <c r="G61" s="48"/>
      <c r="H61" s="95" t="str">
        <f t="shared" si="1"/>
        <v/>
      </c>
      <c r="I61" s="48"/>
    </row>
    <row r="62" spans="1:9" s="57" customFormat="1" ht="14">
      <c r="A62" s="45"/>
      <c r="B62" s="48"/>
      <c r="C62" s="48"/>
      <c r="D62" s="242"/>
      <c r="E62" s="242"/>
      <c r="F62" s="49"/>
      <c r="G62" s="48"/>
      <c r="H62" s="95" t="str">
        <f t="shared" si="1"/>
        <v/>
      </c>
      <c r="I62" s="48"/>
    </row>
    <row r="63" spans="1:9" s="57" customFormat="1" ht="14">
      <c r="A63" s="45"/>
      <c r="B63" s="48"/>
      <c r="C63" s="48"/>
      <c r="D63" s="242"/>
      <c r="E63" s="242"/>
      <c r="F63" s="49"/>
      <c r="G63" s="48"/>
      <c r="H63" s="95" t="str">
        <f t="shared" si="1"/>
        <v/>
      </c>
      <c r="I63" s="48"/>
    </row>
    <row r="64" spans="1:9" s="57" customFormat="1" ht="14">
      <c r="A64" s="45"/>
      <c r="B64" s="48"/>
      <c r="C64" s="48"/>
      <c r="D64" s="242"/>
      <c r="E64" s="242"/>
      <c r="F64" s="49"/>
      <c r="G64" s="48"/>
      <c r="H64" s="95" t="str">
        <f t="shared" si="1"/>
        <v/>
      </c>
      <c r="I64" s="48"/>
    </row>
    <row r="65" spans="1:9" s="57" customFormat="1" ht="14">
      <c r="A65" s="45"/>
      <c r="B65" s="48"/>
      <c r="C65" s="48"/>
      <c r="D65" s="242"/>
      <c r="E65" s="242"/>
      <c r="F65" s="49"/>
      <c r="G65" s="48"/>
      <c r="H65" s="95" t="str">
        <f t="shared" si="1"/>
        <v/>
      </c>
      <c r="I65" s="48"/>
    </row>
    <row r="66" spans="1:9" s="57" customFormat="1" ht="14">
      <c r="A66" s="45"/>
      <c r="B66" s="48"/>
      <c r="C66" s="48"/>
      <c r="D66" s="242"/>
      <c r="E66" s="242"/>
      <c r="F66" s="49"/>
      <c r="G66" s="48"/>
      <c r="H66" s="95" t="str">
        <f t="shared" si="1"/>
        <v/>
      </c>
      <c r="I66" s="48"/>
    </row>
    <row r="67" spans="1:9" s="57" customFormat="1" ht="14">
      <c r="A67" s="45"/>
      <c r="B67" s="48"/>
      <c r="C67" s="48"/>
      <c r="D67" s="242"/>
      <c r="E67" s="242"/>
      <c r="F67" s="49"/>
      <c r="G67" s="48"/>
      <c r="H67" s="95" t="str">
        <f t="shared" si="1"/>
        <v/>
      </c>
      <c r="I67" s="48"/>
    </row>
    <row r="68" spans="1:9" s="57" customFormat="1" ht="14">
      <c r="A68" s="45"/>
      <c r="B68" s="48"/>
      <c r="C68" s="48"/>
      <c r="D68" s="242"/>
      <c r="E68" s="242"/>
      <c r="F68" s="49"/>
      <c r="G68" s="48"/>
      <c r="H68" s="95" t="str">
        <f t="shared" si="1"/>
        <v/>
      </c>
      <c r="I68" s="48"/>
    </row>
    <row r="69" spans="1:9" s="57" customFormat="1" ht="14">
      <c r="A69" s="45"/>
      <c r="B69" s="48"/>
      <c r="C69" s="48"/>
      <c r="D69" s="242"/>
      <c r="E69" s="242"/>
      <c r="F69" s="49"/>
      <c r="G69" s="48"/>
      <c r="H69" s="95" t="str">
        <f t="shared" si="1"/>
        <v/>
      </c>
      <c r="I69" s="48"/>
    </row>
    <row r="70" spans="1:9" s="57" customFormat="1" ht="14">
      <c r="A70" s="45"/>
      <c r="B70" s="48"/>
      <c r="C70" s="48"/>
      <c r="D70" s="242"/>
      <c r="E70" s="242"/>
      <c r="F70" s="49"/>
      <c r="G70" s="48"/>
      <c r="H70" s="95" t="str">
        <f t="shared" si="1"/>
        <v/>
      </c>
      <c r="I70" s="48"/>
    </row>
    <row r="71" spans="1:9" s="57" customFormat="1" ht="14">
      <c r="A71" s="45"/>
      <c r="B71" s="48"/>
      <c r="C71" s="48"/>
      <c r="D71" s="242"/>
      <c r="E71" s="242"/>
      <c r="F71" s="49"/>
      <c r="G71" s="48"/>
      <c r="H71" s="95" t="str">
        <f t="shared" si="1"/>
        <v/>
      </c>
      <c r="I71" s="48"/>
    </row>
    <row r="72" spans="1:9" s="57" customFormat="1" ht="14">
      <c r="A72" s="45"/>
      <c r="B72" s="48"/>
      <c r="C72" s="48"/>
      <c r="D72" s="242"/>
      <c r="E72" s="242"/>
      <c r="F72" s="49"/>
      <c r="G72" s="48"/>
      <c r="H72" s="95" t="str">
        <f t="shared" si="1"/>
        <v/>
      </c>
      <c r="I72" s="48"/>
    </row>
    <row r="73" spans="1:9" s="57" customFormat="1" ht="14">
      <c r="A73" s="45"/>
      <c r="B73" s="48"/>
      <c r="C73" s="48"/>
      <c r="D73" s="242"/>
      <c r="E73" s="242"/>
      <c r="F73" s="49"/>
      <c r="G73" s="48"/>
      <c r="H73" s="95" t="str">
        <f t="shared" si="1"/>
        <v/>
      </c>
      <c r="I73" s="48"/>
    </row>
    <row r="74" spans="1:9" s="57" customFormat="1" ht="14">
      <c r="A74" s="45"/>
      <c r="B74" s="48"/>
      <c r="C74" s="48"/>
      <c r="D74" s="242"/>
      <c r="E74" s="242"/>
      <c r="F74" s="49"/>
      <c r="G74" s="48"/>
      <c r="H74" s="95" t="str">
        <f t="shared" ref="H74:H105" si="2">IF(G74="ALI",35,IF(G74="AIE",15,""))</f>
        <v/>
      </c>
      <c r="I74" s="48"/>
    </row>
    <row r="75" spans="1:9" s="57" customFormat="1" ht="14">
      <c r="A75" s="45"/>
      <c r="B75" s="48"/>
      <c r="C75" s="48"/>
      <c r="D75" s="242"/>
      <c r="E75" s="242"/>
      <c r="F75" s="49"/>
      <c r="G75" s="48"/>
      <c r="H75" s="95" t="str">
        <f t="shared" si="2"/>
        <v/>
      </c>
      <c r="I75" s="48"/>
    </row>
    <row r="76" spans="1:9" s="57" customFormat="1" ht="14">
      <c r="A76" s="45"/>
      <c r="B76" s="48"/>
      <c r="C76" s="48"/>
      <c r="D76" s="242"/>
      <c r="E76" s="242"/>
      <c r="F76" s="49"/>
      <c r="G76" s="48"/>
      <c r="H76" s="95" t="str">
        <f t="shared" si="2"/>
        <v/>
      </c>
      <c r="I76" s="48"/>
    </row>
    <row r="77" spans="1:9" s="57" customFormat="1" ht="14">
      <c r="A77" s="45"/>
      <c r="B77" s="48"/>
      <c r="C77" s="48"/>
      <c r="D77" s="242"/>
      <c r="E77" s="242"/>
      <c r="F77" s="49"/>
      <c r="G77" s="48"/>
      <c r="H77" s="95" t="str">
        <f t="shared" si="2"/>
        <v/>
      </c>
      <c r="I77" s="48"/>
    </row>
    <row r="78" spans="1:9" s="57" customFormat="1" ht="14">
      <c r="A78" s="45"/>
      <c r="B78" s="48"/>
      <c r="C78" s="48"/>
      <c r="D78" s="242"/>
      <c r="E78" s="242"/>
      <c r="F78" s="49"/>
      <c r="G78" s="48"/>
      <c r="H78" s="95" t="str">
        <f t="shared" si="2"/>
        <v/>
      </c>
      <c r="I78" s="48"/>
    </row>
    <row r="79" spans="1:9" s="57" customFormat="1" ht="14">
      <c r="A79" s="45"/>
      <c r="B79" s="48"/>
      <c r="C79" s="48"/>
      <c r="D79" s="242"/>
      <c r="E79" s="242"/>
      <c r="F79" s="49"/>
      <c r="G79" s="48"/>
      <c r="H79" s="95" t="str">
        <f t="shared" si="2"/>
        <v/>
      </c>
      <c r="I79" s="48"/>
    </row>
    <row r="80" spans="1:9" s="57" customFormat="1" ht="14">
      <c r="A80" s="45"/>
      <c r="B80" s="48"/>
      <c r="C80" s="48"/>
      <c r="D80" s="242"/>
      <c r="E80" s="242"/>
      <c r="F80" s="49"/>
      <c r="G80" s="48"/>
      <c r="H80" s="95" t="str">
        <f t="shared" si="2"/>
        <v/>
      </c>
      <c r="I80" s="48"/>
    </row>
    <row r="81" spans="1:9" s="57" customFormat="1" ht="14">
      <c r="A81" s="45"/>
      <c r="B81" s="48"/>
      <c r="C81" s="48"/>
      <c r="D81" s="242"/>
      <c r="E81" s="242"/>
      <c r="F81" s="49"/>
      <c r="G81" s="48"/>
      <c r="H81" s="95" t="str">
        <f t="shared" si="2"/>
        <v/>
      </c>
      <c r="I81" s="48"/>
    </row>
    <row r="82" spans="1:9" s="57" customFormat="1" ht="14">
      <c r="A82" s="45"/>
      <c r="B82" s="48"/>
      <c r="C82" s="48"/>
      <c r="D82" s="242"/>
      <c r="E82" s="242"/>
      <c r="F82" s="49"/>
      <c r="G82" s="48"/>
      <c r="H82" s="95" t="str">
        <f t="shared" si="2"/>
        <v/>
      </c>
      <c r="I82" s="48"/>
    </row>
    <row r="83" spans="1:9" s="57" customFormat="1" ht="14">
      <c r="A83" s="45"/>
      <c r="B83" s="48"/>
      <c r="C83" s="48"/>
      <c r="D83" s="242"/>
      <c r="E83" s="242"/>
      <c r="F83" s="49"/>
      <c r="G83" s="48"/>
      <c r="H83" s="95" t="str">
        <f t="shared" si="2"/>
        <v/>
      </c>
      <c r="I83" s="48"/>
    </row>
    <row r="84" spans="1:9" s="57" customFormat="1" ht="14">
      <c r="A84" s="45"/>
      <c r="B84" s="48"/>
      <c r="C84" s="48"/>
      <c r="D84" s="242"/>
      <c r="E84" s="242"/>
      <c r="F84" s="49"/>
      <c r="G84" s="48"/>
      <c r="H84" s="95" t="str">
        <f t="shared" si="2"/>
        <v/>
      </c>
      <c r="I84" s="48"/>
    </row>
    <row r="85" spans="1:9" s="57" customFormat="1" ht="14">
      <c r="A85" s="45"/>
      <c r="B85" s="48"/>
      <c r="C85" s="48"/>
      <c r="D85" s="242"/>
      <c r="E85" s="242"/>
      <c r="F85" s="49"/>
      <c r="G85" s="48"/>
      <c r="H85" s="95" t="str">
        <f t="shared" si="2"/>
        <v/>
      </c>
      <c r="I85" s="48"/>
    </row>
    <row r="86" spans="1:9" s="57" customFormat="1" ht="14">
      <c r="A86" s="45"/>
      <c r="B86" s="48"/>
      <c r="C86" s="48"/>
      <c r="D86" s="242"/>
      <c r="E86" s="242"/>
      <c r="F86" s="49"/>
      <c r="G86" s="48"/>
      <c r="H86" s="95" t="str">
        <f t="shared" si="2"/>
        <v/>
      </c>
      <c r="I86" s="48"/>
    </row>
    <row r="87" spans="1:9" s="57" customFormat="1" ht="14">
      <c r="A87" s="45"/>
      <c r="B87" s="48"/>
      <c r="C87" s="48"/>
      <c r="D87" s="242"/>
      <c r="E87" s="242"/>
      <c r="F87" s="49"/>
      <c r="G87" s="48"/>
      <c r="H87" s="95" t="str">
        <f t="shared" si="2"/>
        <v/>
      </c>
      <c r="I87" s="48"/>
    </row>
    <row r="88" spans="1:9" s="57" customFormat="1" ht="14">
      <c r="A88" s="45"/>
      <c r="B88" s="48"/>
      <c r="C88" s="48"/>
      <c r="D88" s="242"/>
      <c r="E88" s="242"/>
      <c r="F88" s="49"/>
      <c r="G88" s="48"/>
      <c r="H88" s="95" t="str">
        <f t="shared" si="2"/>
        <v/>
      </c>
      <c r="I88" s="48"/>
    </row>
    <row r="89" spans="1:9" s="57" customFormat="1" ht="14">
      <c r="A89" s="45"/>
      <c r="B89" s="48"/>
      <c r="C89" s="48"/>
      <c r="D89" s="242"/>
      <c r="E89" s="242"/>
      <c r="F89" s="49"/>
      <c r="G89" s="48"/>
      <c r="H89" s="95" t="str">
        <f t="shared" si="2"/>
        <v/>
      </c>
      <c r="I89" s="48"/>
    </row>
    <row r="90" spans="1:9" s="57" customFormat="1" ht="14">
      <c r="A90" s="45"/>
      <c r="B90" s="48"/>
      <c r="C90" s="48"/>
      <c r="D90" s="242"/>
      <c r="E90" s="242"/>
      <c r="F90" s="49"/>
      <c r="G90" s="48"/>
      <c r="H90" s="95" t="str">
        <f t="shared" si="2"/>
        <v/>
      </c>
      <c r="I90" s="48"/>
    </row>
    <row r="91" spans="1:9" s="57" customFormat="1" ht="14">
      <c r="A91" s="45"/>
      <c r="B91" s="48"/>
      <c r="C91" s="48"/>
      <c r="D91" s="242"/>
      <c r="E91" s="242"/>
      <c r="F91" s="49"/>
      <c r="G91" s="48"/>
      <c r="H91" s="95" t="str">
        <f t="shared" si="2"/>
        <v/>
      </c>
      <c r="I91" s="48"/>
    </row>
    <row r="92" spans="1:9" s="57" customFormat="1" ht="14">
      <c r="A92" s="45"/>
      <c r="B92" s="48"/>
      <c r="C92" s="48"/>
      <c r="D92" s="242"/>
      <c r="E92" s="242"/>
      <c r="F92" s="49"/>
      <c r="G92" s="48"/>
      <c r="H92" s="95" t="str">
        <f t="shared" si="2"/>
        <v/>
      </c>
      <c r="I92" s="48"/>
    </row>
    <row r="93" spans="1:9" s="57" customFormat="1" ht="14">
      <c r="A93" s="45"/>
      <c r="B93" s="48"/>
      <c r="C93" s="48"/>
      <c r="D93" s="242"/>
      <c r="E93" s="242"/>
      <c r="F93" s="49"/>
      <c r="G93" s="48"/>
      <c r="H93" s="95" t="str">
        <f t="shared" si="2"/>
        <v/>
      </c>
      <c r="I93" s="48"/>
    </row>
    <row r="94" spans="1:9" s="57" customFormat="1" ht="14">
      <c r="A94" s="45"/>
      <c r="B94" s="48"/>
      <c r="C94" s="48"/>
      <c r="D94" s="242"/>
      <c r="E94" s="242"/>
      <c r="F94" s="49"/>
      <c r="G94" s="48"/>
      <c r="H94" s="95" t="str">
        <f t="shared" si="2"/>
        <v/>
      </c>
      <c r="I94" s="48"/>
    </row>
    <row r="95" spans="1:9" s="57" customFormat="1" ht="14">
      <c r="A95" s="45"/>
      <c r="B95" s="48"/>
      <c r="C95" s="48"/>
      <c r="D95" s="242"/>
      <c r="E95" s="242"/>
      <c r="F95" s="49"/>
      <c r="G95" s="48"/>
      <c r="H95" s="95" t="str">
        <f t="shared" si="2"/>
        <v/>
      </c>
      <c r="I95" s="48"/>
    </row>
    <row r="96" spans="1:9" s="57" customFormat="1" ht="14">
      <c r="A96" s="45"/>
      <c r="B96" s="48"/>
      <c r="C96" s="48"/>
      <c r="D96" s="242"/>
      <c r="E96" s="242"/>
      <c r="F96" s="49"/>
      <c r="G96" s="48"/>
      <c r="H96" s="95" t="str">
        <f t="shared" si="2"/>
        <v/>
      </c>
      <c r="I96" s="48"/>
    </row>
    <row r="97" spans="1:9" s="57" customFormat="1" ht="14">
      <c r="A97" s="45"/>
      <c r="B97" s="48"/>
      <c r="C97" s="48"/>
      <c r="D97" s="242"/>
      <c r="E97" s="242"/>
      <c r="F97" s="49"/>
      <c r="G97" s="48"/>
      <c r="H97" s="95" t="str">
        <f t="shared" si="2"/>
        <v/>
      </c>
      <c r="I97" s="48"/>
    </row>
    <row r="98" spans="1:9" s="57" customFormat="1" ht="14">
      <c r="A98" s="45"/>
      <c r="B98" s="48"/>
      <c r="C98" s="48"/>
      <c r="D98" s="242"/>
      <c r="E98" s="242"/>
      <c r="F98" s="49"/>
      <c r="G98" s="48"/>
      <c r="H98" s="95" t="str">
        <f t="shared" si="2"/>
        <v/>
      </c>
      <c r="I98" s="48"/>
    </row>
    <row r="99" spans="1:9" s="57" customFormat="1" ht="14">
      <c r="A99" s="45"/>
      <c r="B99" s="48"/>
      <c r="C99" s="48"/>
      <c r="D99" s="242"/>
      <c r="E99" s="242"/>
      <c r="F99" s="49"/>
      <c r="G99" s="48"/>
      <c r="H99" s="95" t="str">
        <f t="shared" si="2"/>
        <v/>
      </c>
      <c r="I99" s="48"/>
    </row>
    <row r="100" spans="1:9" s="57" customFormat="1" ht="14">
      <c r="A100" s="45"/>
      <c r="B100" s="48"/>
      <c r="C100" s="48"/>
      <c r="D100" s="242"/>
      <c r="E100" s="242"/>
      <c r="F100" s="49"/>
      <c r="G100" s="48"/>
      <c r="H100" s="95" t="str">
        <f t="shared" si="2"/>
        <v/>
      </c>
      <c r="I100" s="48"/>
    </row>
    <row r="101" spans="1:9" s="57" customFormat="1" ht="14">
      <c r="A101" s="45"/>
      <c r="B101" s="48"/>
      <c r="C101" s="48"/>
      <c r="D101" s="242"/>
      <c r="E101" s="242"/>
      <c r="F101" s="49"/>
      <c r="G101" s="48"/>
      <c r="H101" s="95" t="str">
        <f t="shared" si="2"/>
        <v/>
      </c>
      <c r="I101" s="48"/>
    </row>
    <row r="102" spans="1:9" s="57" customFormat="1" ht="14">
      <c r="A102" s="45"/>
      <c r="B102" s="48"/>
      <c r="C102" s="48"/>
      <c r="D102" s="242"/>
      <c r="E102" s="242"/>
      <c r="F102" s="49"/>
      <c r="G102" s="48"/>
      <c r="H102" s="95" t="str">
        <f t="shared" si="2"/>
        <v/>
      </c>
      <c r="I102" s="48"/>
    </row>
    <row r="103" spans="1:9" s="57" customFormat="1" ht="14">
      <c r="A103" s="45"/>
      <c r="B103" s="48"/>
      <c r="C103" s="48"/>
      <c r="D103" s="242"/>
      <c r="E103" s="242"/>
      <c r="F103" s="49"/>
      <c r="G103" s="48"/>
      <c r="H103" s="95" t="str">
        <f t="shared" si="2"/>
        <v/>
      </c>
      <c r="I103" s="48"/>
    </row>
    <row r="104" spans="1:9" s="57" customFormat="1" ht="14">
      <c r="A104" s="45"/>
      <c r="B104" s="48"/>
      <c r="C104" s="48"/>
      <c r="D104" s="242"/>
      <c r="E104" s="242"/>
      <c r="F104" s="49"/>
      <c r="G104" s="48"/>
      <c r="H104" s="95" t="str">
        <f t="shared" si="2"/>
        <v/>
      </c>
      <c r="I104" s="48"/>
    </row>
    <row r="105" spans="1:9" s="57" customFormat="1" ht="14">
      <c r="A105" s="45"/>
      <c r="B105" s="48"/>
      <c r="C105" s="48"/>
      <c r="D105" s="242"/>
      <c r="E105" s="242"/>
      <c r="F105" s="49"/>
      <c r="G105" s="48"/>
      <c r="H105" s="95" t="str">
        <f t="shared" si="2"/>
        <v/>
      </c>
      <c r="I105" s="48"/>
    </row>
    <row r="106" spans="1:9" s="57" customFormat="1" ht="14">
      <c r="A106" s="45"/>
      <c r="B106" s="48"/>
      <c r="C106" s="48"/>
      <c r="D106" s="242"/>
      <c r="E106" s="242"/>
      <c r="F106" s="49"/>
      <c r="G106" s="48"/>
      <c r="H106" s="95" t="str">
        <f t="shared" ref="H106:H107" si="3">IF(G106="ALI",35,IF(G106="AIE",15,""))</f>
        <v/>
      </c>
      <c r="I106" s="48"/>
    </row>
    <row r="107" spans="1:9" s="57" customFormat="1" ht="14">
      <c r="A107" s="45"/>
      <c r="B107" s="48"/>
      <c r="C107" s="48"/>
      <c r="D107" s="242"/>
      <c r="E107" s="242"/>
      <c r="F107" s="49"/>
      <c r="G107" s="48"/>
      <c r="H107" s="95" t="str">
        <f t="shared" si="3"/>
        <v/>
      </c>
      <c r="I107" s="48"/>
    </row>
    <row r="108" spans="1:9" s="57" customFormat="1" ht="14">
      <c r="A108" s="234" t="s">
        <v>67</v>
      </c>
      <c r="B108" s="234"/>
      <c r="C108" s="234"/>
      <c r="D108" s="234"/>
      <c r="E108" s="234"/>
      <c r="F108" s="234"/>
      <c r="G108" s="234"/>
      <c r="H108" s="234"/>
      <c r="I108" s="234"/>
    </row>
    <row r="109" spans="1:9" ht="13" customHeight="1">
      <c r="A109" s="67"/>
      <c r="B109" s="69"/>
      <c r="C109" s="69"/>
      <c r="D109" s="69"/>
      <c r="E109" s="69"/>
      <c r="F109" s="239" t="s">
        <v>97</v>
      </c>
      <c r="G109" s="239"/>
      <c r="H109" s="96">
        <f>SUM(H10:H108)</f>
        <v>0</v>
      </c>
      <c r="I109" s="73"/>
    </row>
  </sheetData>
  <sheetProtection password="D8EB" sheet="1" formatCells="0" formatColumns="0" formatRows="0" insertColumns="0" insertRows="0" insertHyperlinks="0" deleteColumns="0" deleteRows="0" sort="0" autoFilter="0" pivotTables="0"/>
  <mergeCells count="114">
    <mergeCell ref="F109:G109"/>
    <mergeCell ref="D100:E100"/>
    <mergeCell ref="D101:E101"/>
    <mergeCell ref="D102:E102"/>
    <mergeCell ref="D103:E103"/>
    <mergeCell ref="D104:E104"/>
    <mergeCell ref="D105:E105"/>
    <mergeCell ref="D106:E106"/>
    <mergeCell ref="D107:E107"/>
    <mergeCell ref="A108:I108"/>
    <mergeCell ref="D91:E91"/>
    <mergeCell ref="D92:E92"/>
    <mergeCell ref="D93:E93"/>
    <mergeCell ref="D94:E94"/>
    <mergeCell ref="D95:E95"/>
    <mergeCell ref="D96:E96"/>
    <mergeCell ref="D97:E97"/>
    <mergeCell ref="D98:E98"/>
    <mergeCell ref="D99:E99"/>
    <mergeCell ref="D82:E82"/>
    <mergeCell ref="D83:E83"/>
    <mergeCell ref="D84:E84"/>
    <mergeCell ref="D85:E85"/>
    <mergeCell ref="D86:E86"/>
    <mergeCell ref="D87:E87"/>
    <mergeCell ref="D88:E88"/>
    <mergeCell ref="D89:E89"/>
    <mergeCell ref="D90:E90"/>
    <mergeCell ref="D73:E73"/>
    <mergeCell ref="D74:E74"/>
    <mergeCell ref="D75:E75"/>
    <mergeCell ref="D76:E76"/>
    <mergeCell ref="D77:E77"/>
    <mergeCell ref="D78:E78"/>
    <mergeCell ref="D79:E79"/>
    <mergeCell ref="D80:E80"/>
    <mergeCell ref="D81:E81"/>
    <mergeCell ref="D64:E64"/>
    <mergeCell ref="D65:E65"/>
    <mergeCell ref="D66:E66"/>
    <mergeCell ref="D67:E67"/>
    <mergeCell ref="D68:E68"/>
    <mergeCell ref="D69:E69"/>
    <mergeCell ref="D70:E70"/>
    <mergeCell ref="D71:E71"/>
    <mergeCell ref="D72:E72"/>
    <mergeCell ref="D55:E55"/>
    <mergeCell ref="D56:E56"/>
    <mergeCell ref="D57:E57"/>
    <mergeCell ref="D58:E58"/>
    <mergeCell ref="D59:E59"/>
    <mergeCell ref="D60:E60"/>
    <mergeCell ref="D61:E61"/>
    <mergeCell ref="D62:E62"/>
    <mergeCell ref="D63:E63"/>
    <mergeCell ref="D46:E46"/>
    <mergeCell ref="D47:E47"/>
    <mergeCell ref="D48:E48"/>
    <mergeCell ref="D49:E49"/>
    <mergeCell ref="D50:E50"/>
    <mergeCell ref="D51:E51"/>
    <mergeCell ref="D52:E52"/>
    <mergeCell ref="D53:E53"/>
    <mergeCell ref="D54:E54"/>
    <mergeCell ref="D37:E37"/>
    <mergeCell ref="D38:E38"/>
    <mergeCell ref="D39:E39"/>
    <mergeCell ref="D40:E40"/>
    <mergeCell ref="D41:E41"/>
    <mergeCell ref="D42:E42"/>
    <mergeCell ref="D43:E43"/>
    <mergeCell ref="D44:E44"/>
    <mergeCell ref="D45:E45"/>
    <mergeCell ref="D28:E28"/>
    <mergeCell ref="D29:E29"/>
    <mergeCell ref="D30:E30"/>
    <mergeCell ref="D31:E31"/>
    <mergeCell ref="D32:E32"/>
    <mergeCell ref="D33:E33"/>
    <mergeCell ref="D34:E34"/>
    <mergeCell ref="D35:E35"/>
    <mergeCell ref="D36:E36"/>
    <mergeCell ref="D19:E19"/>
    <mergeCell ref="D20:E20"/>
    <mergeCell ref="D21:E21"/>
    <mergeCell ref="D22:E22"/>
    <mergeCell ref="D23:E23"/>
    <mergeCell ref="D24:E24"/>
    <mergeCell ref="D25:E25"/>
    <mergeCell ref="D26:E26"/>
    <mergeCell ref="D27:E27"/>
    <mergeCell ref="D10:E10"/>
    <mergeCell ref="D11:E11"/>
    <mergeCell ref="D12:E12"/>
    <mergeCell ref="D13:E13"/>
    <mergeCell ref="D14:E14"/>
    <mergeCell ref="D15:E15"/>
    <mergeCell ref="D16:E16"/>
    <mergeCell ref="D17:E17"/>
    <mergeCell ref="D18:E18"/>
    <mergeCell ref="D1:I1"/>
    <mergeCell ref="G3:I3"/>
    <mergeCell ref="G4:I4"/>
    <mergeCell ref="A5:C6"/>
    <mergeCell ref="D5:D6"/>
    <mergeCell ref="G5:I5"/>
    <mergeCell ref="G6:I6"/>
    <mergeCell ref="A8:A9"/>
    <mergeCell ref="B8:B9"/>
    <mergeCell ref="C8:C9"/>
    <mergeCell ref="D8:E9"/>
    <mergeCell ref="F8:F9"/>
    <mergeCell ref="G8:H8"/>
    <mergeCell ref="I8:I9"/>
  </mergeCells>
  <conditionalFormatting sqref="G10:G107">
    <cfRule type="cellIs" dxfId="6"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C10" sqref="C10"/>
    </sheetView>
  </sheetViews>
  <sheetFormatPr defaultRowHeight="12.5"/>
  <cols>
    <col min="1" max="1" width="8.90625" style="15" customWidth="1"/>
    <col min="2" max="2" width="26.54296875" style="15" customWidth="1"/>
    <col min="3" max="3" width="101.90625" style="15" customWidth="1"/>
    <col min="4" max="1025" width="8.90625" style="15" customWidth="1"/>
  </cols>
  <sheetData>
    <row r="1" spans="1:3" ht="69" customHeight="1">
      <c r="A1" s="2" t="str">
        <f>Resumo!A1</f>
        <v>Template V.2.0</v>
      </c>
      <c r="B1" s="97"/>
      <c r="C1" s="21" t="s">
        <v>98</v>
      </c>
    </row>
    <row r="3" spans="1:3" ht="13">
      <c r="A3" s="245" t="s">
        <v>99</v>
      </c>
      <c r="B3" s="245"/>
      <c r="C3" s="245"/>
    </row>
    <row r="4" spans="1:3" ht="13">
      <c r="A4" s="36" t="s">
        <v>44</v>
      </c>
      <c r="B4" s="36" t="s">
        <v>100</v>
      </c>
      <c r="C4" s="36" t="s">
        <v>101</v>
      </c>
    </row>
    <row r="5" spans="1:3" ht="12.65" customHeight="1">
      <c r="A5" s="98"/>
      <c r="B5" s="99"/>
      <c r="C5" s="45"/>
    </row>
    <row r="6" spans="1:3">
      <c r="A6" s="98"/>
      <c r="B6" s="99"/>
      <c r="C6" s="45"/>
    </row>
    <row r="7" spans="1:3">
      <c r="A7" s="98"/>
      <c r="B7" s="99"/>
      <c r="C7" s="45"/>
    </row>
    <row r="8" spans="1:3">
      <c r="A8" s="98"/>
      <c r="B8" s="99"/>
      <c r="C8" s="45"/>
    </row>
    <row r="9" spans="1:3">
      <c r="A9" s="98"/>
      <c r="B9" s="99"/>
      <c r="C9" s="98"/>
    </row>
    <row r="10" spans="1:3">
      <c r="A10" s="98"/>
      <c r="B10" s="99"/>
      <c r="C10" s="98"/>
    </row>
    <row r="11" spans="1:3">
      <c r="A11" s="98"/>
      <c r="B11" s="99"/>
      <c r="C11" s="98"/>
    </row>
    <row r="12" spans="1:3">
      <c r="A12" s="98"/>
      <c r="B12" s="99"/>
      <c r="C12" s="100"/>
    </row>
    <row r="13" spans="1:3">
      <c r="A13" s="98"/>
      <c r="B13" s="99"/>
      <c r="C13" s="100"/>
    </row>
    <row r="14" spans="1:3">
      <c r="A14" s="98"/>
      <c r="B14" s="99"/>
      <c r="C14" s="100"/>
    </row>
    <row r="15" spans="1:3">
      <c r="A15" s="98"/>
      <c r="B15" s="99"/>
      <c r="C15" s="100"/>
    </row>
    <row r="16" spans="1:3">
      <c r="A16" s="98"/>
      <c r="B16" s="99"/>
      <c r="C16" s="100"/>
    </row>
    <row r="17" spans="1:3">
      <c r="A17" s="98"/>
      <c r="B17" s="99"/>
      <c r="C17" s="100"/>
    </row>
    <row r="18" spans="1:3">
      <c r="A18" s="98"/>
      <c r="B18" s="99"/>
      <c r="C18" s="100"/>
    </row>
    <row r="19" spans="1:3">
      <c r="A19" s="98"/>
      <c r="B19" s="99"/>
      <c r="C19" s="100"/>
    </row>
    <row r="20" spans="1:3">
      <c r="A20" s="98"/>
      <c r="B20" s="99"/>
      <c r="C20" s="100"/>
    </row>
    <row r="21" spans="1:3">
      <c r="A21" s="98"/>
      <c r="B21" s="99"/>
      <c r="C21" s="100"/>
    </row>
    <row r="22" spans="1:3">
      <c r="A22" s="98"/>
      <c r="B22" s="99"/>
      <c r="C22" s="100"/>
    </row>
    <row r="23" spans="1:3">
      <c r="A23" s="98"/>
      <c r="B23" s="99"/>
      <c r="C23" s="100"/>
    </row>
    <row r="24" spans="1:3">
      <c r="A24" s="98"/>
      <c r="B24" s="99"/>
      <c r="C24" s="100"/>
    </row>
    <row r="25" spans="1:3">
      <c r="A25" s="98"/>
      <c r="B25" s="99"/>
      <c r="C25" s="100"/>
    </row>
    <row r="26" spans="1:3">
      <c r="A26" s="98"/>
      <c r="B26" s="99"/>
      <c r="C26" s="100"/>
    </row>
    <row r="27" spans="1:3">
      <c r="A27" s="98"/>
      <c r="B27" s="99"/>
      <c r="C27" s="100"/>
    </row>
    <row r="28" spans="1:3">
      <c r="A28" s="98"/>
      <c r="B28" s="99"/>
      <c r="C28" s="100"/>
    </row>
    <row r="29" spans="1:3">
      <c r="A29" s="98"/>
      <c r="B29" s="99"/>
      <c r="C29" s="100"/>
    </row>
    <row r="30" spans="1:3">
      <c r="A30" s="98"/>
      <c r="B30" s="99"/>
      <c r="C30" s="100"/>
    </row>
    <row r="31" spans="1:3">
      <c r="A31" s="98"/>
      <c r="B31" s="99"/>
      <c r="C31" s="100"/>
    </row>
  </sheetData>
  <sheetProtection password="D8EB" sheet="1" formatCells="0" formatColumns="0" formatRows="0" insertColumns="0" insertRows="0" insertHyperlinks="0" deleteColumns="0" deleteRows="0" sort="0" autoFilter="0" pivotTables="0"/>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F6"/>
    </sheetView>
  </sheetViews>
  <sheetFormatPr defaultRowHeight="12.5"/>
  <cols>
    <col min="1" max="1" width="1.90625" style="101" customWidth="1"/>
    <col min="2" max="2" width="11.453125" style="101" customWidth="1"/>
    <col min="3" max="3" width="11" style="102" customWidth="1"/>
    <col min="4" max="5" width="7" style="101" customWidth="1"/>
    <col min="6" max="6" width="6.54296875" style="101" customWidth="1"/>
    <col min="7" max="7" width="16.08984375" style="101" customWidth="1"/>
    <col min="8" max="8" width="14.36328125" style="101" customWidth="1"/>
    <col min="9" max="9" width="1.08984375" style="101" customWidth="1"/>
    <col min="10" max="10" width="25.54296875" style="101" customWidth="1"/>
    <col min="11" max="11" width="10.453125" style="101" customWidth="1"/>
    <col min="12" max="12" width="8.6328125" style="101" customWidth="1"/>
    <col min="13" max="13" width="1.08984375" style="101" customWidth="1"/>
    <col min="14" max="14" width="22.90625" style="101" customWidth="1"/>
    <col min="15" max="15" width="7.6328125" style="101" customWidth="1"/>
    <col min="16" max="16" width="8" style="101" customWidth="1"/>
    <col min="17" max="17" width="12.54296875" style="101" customWidth="1"/>
    <col min="18" max="18" width="12.08984375" style="101" customWidth="1"/>
    <col min="19" max="1025" width="9.08984375" style="101" customWidth="1"/>
  </cols>
  <sheetData>
    <row r="1" spans="2:18" ht="69.75" customHeight="1">
      <c r="B1" s="103" t="str">
        <f>Resumo!$A$1</f>
        <v>Template V.2.0</v>
      </c>
      <c r="D1" s="246" t="s">
        <v>102</v>
      </c>
      <c r="E1" s="246"/>
      <c r="F1" s="246"/>
      <c r="G1" s="246"/>
      <c r="H1" s="246"/>
      <c r="I1" s="246"/>
      <c r="J1" s="246"/>
      <c r="K1" s="246"/>
      <c r="L1" s="246"/>
      <c r="M1" s="246"/>
      <c r="N1" s="246"/>
      <c r="O1" s="246"/>
      <c r="P1" s="246"/>
      <c r="Q1" s="246"/>
      <c r="R1" s="246"/>
    </row>
    <row r="2" spans="2:18" ht="15.5">
      <c r="B2" s="247" t="s">
        <v>103</v>
      </c>
      <c r="C2" s="247"/>
      <c r="D2" s="247"/>
      <c r="E2" s="247"/>
      <c r="F2" s="247"/>
      <c r="G2" s="247"/>
      <c r="H2" s="247"/>
      <c r="I2" s="104"/>
      <c r="J2" s="248" t="str">
        <f>IF(G4="SISP v1.0","PRAZO SISP 1 ATÉ 99 PF","PRAZO SISP 2/2.1 ATÉ 99 PF")</f>
        <v>PRAZO SISP 2/2.1 ATÉ 99 PF</v>
      </c>
      <c r="K2" s="248"/>
      <c r="L2" s="248"/>
      <c r="M2" s="104"/>
      <c r="N2" s="248" t="s">
        <v>104</v>
      </c>
      <c r="O2" s="248"/>
      <c r="P2" s="248"/>
      <c r="Q2" s="248"/>
      <c r="R2" s="248"/>
    </row>
    <row r="3" spans="2:18" ht="15.75" customHeight="1">
      <c r="B3" s="249" t="s">
        <v>105</v>
      </c>
      <c r="C3" s="249"/>
      <c r="D3" s="249"/>
      <c r="E3" s="249"/>
      <c r="F3" s="249"/>
      <c r="G3" s="250" t="s">
        <v>106</v>
      </c>
      <c r="H3" s="250"/>
      <c r="I3" s="104"/>
      <c r="J3" s="251" t="s">
        <v>107</v>
      </c>
      <c r="K3" s="252" t="str">
        <f>IF(G3="Úteis", "Prazo em dias úteis","Prazo em dias corridos")</f>
        <v>Prazo em dias corridos</v>
      </c>
      <c r="L3" s="252"/>
      <c r="M3" s="104"/>
      <c r="N3" s="251" t="s">
        <v>108</v>
      </c>
      <c r="O3" s="251"/>
      <c r="P3" s="251"/>
      <c r="Q3" s="253" t="s">
        <v>109</v>
      </c>
      <c r="R3" s="253"/>
    </row>
    <row r="4" spans="2:18" ht="15.75" customHeight="1">
      <c r="B4" s="249" t="s">
        <v>110</v>
      </c>
      <c r="C4" s="249"/>
      <c r="D4" s="249"/>
      <c r="E4" s="249"/>
      <c r="F4" s="249"/>
      <c r="G4" s="250" t="s">
        <v>111</v>
      </c>
      <c r="H4" s="250"/>
      <c r="I4" s="104"/>
      <c r="J4" s="251"/>
      <c r="K4" s="252"/>
      <c r="L4" s="252"/>
      <c r="M4" s="104"/>
      <c r="N4" s="254" t="s">
        <v>112</v>
      </c>
      <c r="O4" s="254"/>
      <c r="P4" s="254"/>
      <c r="Q4" s="255"/>
      <c r="R4" s="255"/>
    </row>
    <row r="5" spans="2:18" ht="35.25" customHeight="1">
      <c r="B5" s="256" t="s">
        <v>113</v>
      </c>
      <c r="C5" s="256"/>
      <c r="D5" s="256"/>
      <c r="E5" s="256"/>
      <c r="F5" s="256"/>
      <c r="G5" s="257" t="s">
        <v>114</v>
      </c>
      <c r="H5" s="106" t="s">
        <v>115</v>
      </c>
      <c r="I5" s="104"/>
      <c r="J5" s="251"/>
      <c r="K5" s="107" t="s">
        <v>116</v>
      </c>
      <c r="L5" s="108" t="s">
        <v>117</v>
      </c>
      <c r="M5" s="104"/>
      <c r="N5" s="254" t="s">
        <v>118</v>
      </c>
      <c r="O5" s="254"/>
      <c r="P5" s="254"/>
      <c r="Q5" s="258">
        <f>IF(AND(Q4&lt;&gt;"",B17&lt;&gt;0),(Q4-G11)+1,B17)</f>
        <v>202</v>
      </c>
      <c r="R5" s="258"/>
    </row>
    <row r="6" spans="2:18" ht="13.5" customHeight="1">
      <c r="B6" s="256"/>
      <c r="C6" s="256"/>
      <c r="D6" s="256"/>
      <c r="E6" s="256"/>
      <c r="F6" s="256"/>
      <c r="G6" s="257"/>
      <c r="H6" s="109">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4"/>
      <c r="J6" s="105" t="s">
        <v>119</v>
      </c>
      <c r="K6" s="6">
        <v>7</v>
      </c>
      <c r="L6" s="6">
        <v>7</v>
      </c>
      <c r="M6" s="104"/>
      <c r="N6" s="259" t="s">
        <v>120</v>
      </c>
      <c r="O6" s="259"/>
      <c r="P6" s="259"/>
      <c r="Q6" s="260">
        <f>IF(G8&lt;&gt;0,Q5/B17-1,"-")</f>
        <v>0</v>
      </c>
      <c r="R6" s="260"/>
    </row>
    <row r="7" spans="2:18" ht="24" customHeight="1">
      <c r="B7" s="249" t="s">
        <v>121</v>
      </c>
      <c r="C7" s="249"/>
      <c r="D7" s="249"/>
      <c r="E7" s="249"/>
      <c r="F7" s="249"/>
      <c r="G7" s="261" t="s">
        <v>122</v>
      </c>
      <c r="H7" s="261"/>
      <c r="I7" s="104"/>
      <c r="J7" s="105" t="s">
        <v>123</v>
      </c>
      <c r="K7" s="6">
        <v>13</v>
      </c>
      <c r="L7" s="6">
        <v>13</v>
      </c>
      <c r="M7" s="104"/>
      <c r="N7" s="262"/>
      <c r="O7" s="262"/>
      <c r="P7" s="262"/>
      <c r="Q7" s="110" t="s">
        <v>124</v>
      </c>
      <c r="R7" s="111" t="s">
        <v>125</v>
      </c>
    </row>
    <row r="8" spans="2:18" ht="18.5">
      <c r="B8" s="263" t="s">
        <v>126</v>
      </c>
      <c r="C8" s="263"/>
      <c r="D8" s="263"/>
      <c r="E8" s="263"/>
      <c r="F8" s="263"/>
      <c r="G8" s="264">
        <v>200</v>
      </c>
      <c r="H8" s="264"/>
      <c r="I8" s="104"/>
      <c r="J8" s="105" t="s">
        <v>127</v>
      </c>
      <c r="K8" s="6">
        <v>20</v>
      </c>
      <c r="L8" s="6">
        <v>20</v>
      </c>
      <c r="M8" s="104"/>
      <c r="N8" s="265" t="s">
        <v>128</v>
      </c>
      <c r="O8" s="265"/>
      <c r="P8" s="265"/>
      <c r="Q8" s="112" t="str">
        <f>IF(Q5=B17,"-",GROWTH(R22:R24,Q22:Q24,Q6,1))</f>
        <v>-</v>
      </c>
      <c r="R8" s="113" t="str">
        <f>IF(Q5=B17,"-",TREND(R22:R24,Q22:Q24,Q6,0))</f>
        <v>-</v>
      </c>
    </row>
    <row r="9" spans="2:18" ht="15" customHeight="1">
      <c r="B9" s="266" t="s">
        <v>129</v>
      </c>
      <c r="C9" s="266"/>
      <c r="D9" s="267" t="s">
        <v>130</v>
      </c>
      <c r="E9" s="267" t="s">
        <v>131</v>
      </c>
      <c r="F9" s="268" t="s">
        <v>132</v>
      </c>
      <c r="G9" s="269" t="s">
        <v>133</v>
      </c>
      <c r="H9" s="269"/>
      <c r="I9" s="104"/>
      <c r="J9" s="105" t="s">
        <v>134</v>
      </c>
      <c r="K9" s="6">
        <v>26</v>
      </c>
      <c r="L9" s="6">
        <v>26</v>
      </c>
      <c r="M9" s="104"/>
      <c r="N9" s="270" t="s">
        <v>135</v>
      </c>
      <c r="O9" s="270"/>
      <c r="P9" s="270"/>
      <c r="Q9" s="114" t="str">
        <f>IF(Q5=B17,"-",Q8/100+1)</f>
        <v>-</v>
      </c>
      <c r="R9" s="115" t="str">
        <f>IF(Q5=B17,"-",R8/100+1)</f>
        <v>-</v>
      </c>
    </row>
    <row r="10" spans="2:18" ht="19.5" customHeight="1">
      <c r="B10" s="266"/>
      <c r="C10" s="266"/>
      <c r="D10" s="267"/>
      <c r="E10" s="267"/>
      <c r="F10" s="268"/>
      <c r="G10" s="116" t="s">
        <v>136</v>
      </c>
      <c r="H10" s="117" t="s">
        <v>137</v>
      </c>
      <c r="I10" s="104"/>
      <c r="J10" s="105" t="s">
        <v>138</v>
      </c>
      <c r="K10" s="6">
        <v>33</v>
      </c>
      <c r="L10" s="6">
        <v>33</v>
      </c>
      <c r="M10" s="104"/>
      <c r="N10" s="271" t="s">
        <v>139</v>
      </c>
      <c r="O10" s="271"/>
      <c r="P10" s="271"/>
      <c r="Q10" s="118" t="str">
        <f>IF(Q5=B17,"-",(Q8/100+1)*G8)</f>
        <v>-</v>
      </c>
      <c r="R10" s="119" t="str">
        <f>IF(Q5=B17,"-",(R8/100+1)*G8)</f>
        <v>-</v>
      </c>
    </row>
    <row r="11" spans="2:18" ht="14.5">
      <c r="B11" s="272" t="s">
        <v>20</v>
      </c>
      <c r="C11" s="272"/>
      <c r="D11" s="121">
        <v>0.25</v>
      </c>
      <c r="E11" s="122">
        <v>0.25</v>
      </c>
      <c r="F11" s="123">
        <f t="shared" ref="F11:F16" si="0">IF(ISERR($B$17*E11),"ERRO",$B$17*E11)</f>
        <v>50.5</v>
      </c>
      <c r="G11" s="124">
        <v>42369</v>
      </c>
      <c r="H11" s="125">
        <f>IF(E11="",G11,(IF(G11="","-",IF(ISERR(IF(AND((G11&gt;=0),(G11&lt;=2958465)),G11+(F11-1),"-")),"-",IF(AND((G11&gt;=0),(G11&lt;=2958465)),G11+(F11-1),"-")))))</f>
        <v>42418.5</v>
      </c>
      <c r="I11" s="104"/>
      <c r="J11" s="105" t="s">
        <v>140</v>
      </c>
      <c r="K11" s="6">
        <v>39</v>
      </c>
      <c r="L11" s="6">
        <v>39</v>
      </c>
      <c r="M11" s="104"/>
      <c r="N11" s="273" t="s">
        <v>141</v>
      </c>
      <c r="O11" s="273"/>
      <c r="P11" s="273"/>
      <c r="Q11" s="273"/>
      <c r="R11" s="273"/>
    </row>
    <row r="12" spans="2:18" ht="14.5">
      <c r="B12" s="272" t="s">
        <v>142</v>
      </c>
      <c r="C12" s="272"/>
      <c r="D12" s="126">
        <f>IF(G4="SISP v1.0",15%,10%)</f>
        <v>0.1</v>
      </c>
      <c r="E12" s="122">
        <v>0.1</v>
      </c>
      <c r="F12" s="123">
        <f t="shared" si="0"/>
        <v>20.200000000000003</v>
      </c>
      <c r="G12" s="127">
        <f>IF(AND((H11&gt;=0),(H11&lt;=2958465)),H11,"-")</f>
        <v>42418.5</v>
      </c>
      <c r="H12" s="125">
        <f>IF(G12="", "-",(IF(AND((G12&gt;=0),(G12&lt;=2958465)),G12+(F12),"-")))</f>
        <v>42438.7</v>
      </c>
      <c r="I12" s="104"/>
      <c r="J12" s="105" t="s">
        <v>143</v>
      </c>
      <c r="K12" s="6">
        <v>46</v>
      </c>
      <c r="L12" s="6">
        <v>46</v>
      </c>
      <c r="M12" s="104"/>
      <c r="N12" s="128" t="s">
        <v>129</v>
      </c>
      <c r="O12" s="129" t="s">
        <v>131</v>
      </c>
      <c r="P12" s="129" t="s">
        <v>132</v>
      </c>
      <c r="Q12" s="130" t="s">
        <v>144</v>
      </c>
      <c r="R12" s="131" t="s">
        <v>145</v>
      </c>
    </row>
    <row r="13" spans="2:18" ht="14.5">
      <c r="B13" s="272" t="s">
        <v>24</v>
      </c>
      <c r="C13" s="272"/>
      <c r="D13" s="121">
        <v>0.4</v>
      </c>
      <c r="E13" s="122">
        <v>0.4</v>
      </c>
      <c r="F13" s="123">
        <f t="shared" si="0"/>
        <v>80.800000000000011</v>
      </c>
      <c r="G13" s="127">
        <f>IF(AND((H12&gt;=0),(H12&lt;=2958465)),H12,"-")</f>
        <v>42438.7</v>
      </c>
      <c r="H13" s="125">
        <f>IF(G13="", "-",(IF(AND((G13&gt;=0),(G13&lt;=2958465)),G13+(F13),"-")))</f>
        <v>42519.5</v>
      </c>
      <c r="I13" s="104"/>
      <c r="J13" s="105" t="s">
        <v>146</v>
      </c>
      <c r="K13" s="6">
        <v>52</v>
      </c>
      <c r="L13" s="6">
        <v>52</v>
      </c>
      <c r="M13" s="104"/>
      <c r="N13" s="132" t="s">
        <v>20</v>
      </c>
      <c r="O13" s="133">
        <f t="shared" ref="O13:O18" si="1">E11</f>
        <v>0.25</v>
      </c>
      <c r="P13" s="134" t="str">
        <f>IF(Q5=B17,"-",IF(AND($G$8&lt;&gt;0,$G$11&lt;&gt;""),$Q$5*O13,"-"))</f>
        <v>-</v>
      </c>
      <c r="Q13" s="135" t="str">
        <f>IF(Q5=B17,"-",IF(G11="","-",G11))</f>
        <v>-</v>
      </c>
      <c r="R13" s="136" t="str">
        <f>IF(Q13&lt;&gt;"-",(IF(P13&gt;1,((Q13+P13)-1),(Q13+P13))),"-")</f>
        <v>-</v>
      </c>
    </row>
    <row r="14" spans="2:18" ht="14.5">
      <c r="B14" s="272" t="s">
        <v>26</v>
      </c>
      <c r="C14" s="272"/>
      <c r="D14" s="126">
        <f>IF(G4="SISP v1.0",10%,15%)</f>
        <v>0.15</v>
      </c>
      <c r="E14" s="122">
        <v>0.15</v>
      </c>
      <c r="F14" s="123">
        <f t="shared" si="0"/>
        <v>30.299999999999997</v>
      </c>
      <c r="G14" s="127">
        <f>IF(AND((H13&gt;=0),(H13&lt;=2958465)),H13,"-")</f>
        <v>42519.5</v>
      </c>
      <c r="H14" s="125">
        <f>IF(G14="", "-",(IF(AND((G14&gt;=0),(G14&lt;=2958465)),G14+(F14),"-")))</f>
        <v>42549.8</v>
      </c>
      <c r="I14" s="104"/>
      <c r="J14" s="105" t="s">
        <v>147</v>
      </c>
      <c r="K14" s="6">
        <v>59</v>
      </c>
      <c r="L14" s="6">
        <v>59</v>
      </c>
      <c r="M14" s="104"/>
      <c r="N14" s="120" t="s">
        <v>142</v>
      </c>
      <c r="O14" s="137">
        <f t="shared" si="1"/>
        <v>0.1</v>
      </c>
      <c r="P14" s="138" t="str">
        <f>IF(Q5=B17,"-",IF(AND($G$8&lt;&gt;0,$G$11&lt;&gt;""),$Q$5*O14,"-"))</f>
        <v>-</v>
      </c>
      <c r="Q14" s="139" t="str">
        <f>R13</f>
        <v>-</v>
      </c>
      <c r="R14" s="125" t="str">
        <f>IF(Q14&lt;&gt;"-",Q14+P14,"-")</f>
        <v>-</v>
      </c>
    </row>
    <row r="15" spans="2:18" ht="16.5" customHeight="1">
      <c r="B15" s="272" t="s">
        <v>28</v>
      </c>
      <c r="C15" s="272"/>
      <c r="D15" s="121">
        <v>0.05</v>
      </c>
      <c r="E15" s="122">
        <v>0.05</v>
      </c>
      <c r="F15" s="123">
        <f t="shared" si="0"/>
        <v>10.100000000000001</v>
      </c>
      <c r="G15" s="127">
        <f>IF(AND((H14&gt;=0),(H14&lt;=2958465)),H14,"-")</f>
        <v>42549.8</v>
      </c>
      <c r="H15" s="125">
        <f>IF(G15="", "-",(IF(AND((G15&gt;=0),(G15&lt;=2958465)),G15+(F15),"-")))</f>
        <v>42559.9</v>
      </c>
      <c r="I15" s="104"/>
      <c r="J15" s="105" t="s">
        <v>148</v>
      </c>
      <c r="K15" s="6">
        <v>65</v>
      </c>
      <c r="L15" s="6">
        <v>65</v>
      </c>
      <c r="M15" s="104"/>
      <c r="N15" s="120" t="s">
        <v>24</v>
      </c>
      <c r="O15" s="137">
        <f t="shared" si="1"/>
        <v>0.4</v>
      </c>
      <c r="P15" s="138" t="str">
        <f>IF(Q5=B17,"-",IF(AND($G$8&lt;&gt;0,$G$11&lt;&gt;""),$Q$5*O15,"-"))</f>
        <v>-</v>
      </c>
      <c r="Q15" s="139" t="str">
        <f>R14</f>
        <v>-</v>
      </c>
      <c r="R15" s="125" t="str">
        <f>IF(Q15&lt;&gt;"-",Q15+P15,"-")</f>
        <v>-</v>
      </c>
    </row>
    <row r="16" spans="2:18" ht="15" customHeight="1">
      <c r="B16" s="272" t="s">
        <v>30</v>
      </c>
      <c r="C16" s="272"/>
      <c r="D16" s="121">
        <v>0.05</v>
      </c>
      <c r="E16" s="122">
        <v>0.05</v>
      </c>
      <c r="F16" s="123">
        <f t="shared" si="0"/>
        <v>10.100000000000001</v>
      </c>
      <c r="G16" s="127">
        <f>IF(AND((H15&gt;=0),(H15&lt;=2958465)),H15,"-")</f>
        <v>42559.9</v>
      </c>
      <c r="H16" s="125">
        <f>IF(G16="", "-",(IF(AND((G16&gt;=0),(G16&lt;=2958465)),G16+(F16),"-")))</f>
        <v>42570</v>
      </c>
      <c r="I16" s="104"/>
      <c r="J16" s="274" t="s">
        <v>149</v>
      </c>
      <c r="K16" s="275" t="s">
        <v>150</v>
      </c>
      <c r="L16" s="275"/>
      <c r="M16" s="104"/>
      <c r="N16" s="120" t="s">
        <v>26</v>
      </c>
      <c r="O16" s="137">
        <f t="shared" si="1"/>
        <v>0.15</v>
      </c>
      <c r="P16" s="138" t="str">
        <f>IF(Q5=B17,"-",IF(AND($G$8&lt;&gt;0,$G$11&lt;&gt;""),$Q$5*O16,"-"))</f>
        <v>-</v>
      </c>
      <c r="Q16" s="139" t="str">
        <f>R15</f>
        <v>-</v>
      </c>
      <c r="R16" s="125" t="str">
        <f>IF(Q16&lt;&gt;"-",Q16+P16,"-")</f>
        <v>-</v>
      </c>
    </row>
    <row r="17" spans="2:19" ht="14.5">
      <c r="B17" s="140">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41" t="s">
        <v>151</v>
      </c>
      <c r="D17" s="142">
        <v>1</v>
      </c>
      <c r="E17" s="142">
        <f>SUM(E11:E16)</f>
        <v>1</v>
      </c>
      <c r="F17" s="276" t="str">
        <f>IF(B17&lt;&gt;"ERRO - Insira novamente o tamanho em PF do projeto",SUM(F11:F16)&amp;" dias","ERRO - Insira novamente PF")</f>
        <v>202 dias</v>
      </c>
      <c r="G17" s="276"/>
      <c r="H17" s="276"/>
      <c r="I17" s="104"/>
      <c r="J17" s="274"/>
      <c r="K17" s="275"/>
      <c r="L17" s="275"/>
      <c r="M17" s="104"/>
      <c r="N17" s="120" t="s">
        <v>28</v>
      </c>
      <c r="O17" s="137">
        <f t="shared" si="1"/>
        <v>0.05</v>
      </c>
      <c r="P17" s="138" t="str">
        <f>IF(Q5=B17,"-",IF(AND($G$8&lt;&gt;0,$G$11&lt;&gt;""),$Q$5*O17,"-"))</f>
        <v>-</v>
      </c>
      <c r="Q17" s="139" t="str">
        <f>R16</f>
        <v>-</v>
      </c>
      <c r="R17" s="125" t="str">
        <f>IF(Q17&lt;&gt;"-",Q17+P17,"-")</f>
        <v>-</v>
      </c>
    </row>
    <row r="18" spans="2:19" ht="14.25" customHeight="1">
      <c r="B18" s="143"/>
      <c r="C18" s="143"/>
      <c r="D18" s="143"/>
      <c r="E18" s="143"/>
      <c r="F18" s="144"/>
      <c r="G18" s="143"/>
      <c r="H18" s="143"/>
      <c r="I18" s="143"/>
      <c r="J18" s="145"/>
      <c r="K18" s="145"/>
      <c r="L18" s="145"/>
      <c r="M18" s="145"/>
      <c r="N18" s="146" t="s">
        <v>30</v>
      </c>
      <c r="O18" s="147">
        <f t="shared" si="1"/>
        <v>0.05</v>
      </c>
      <c r="P18" s="148" t="str">
        <f>IF(Q5=B17,"-",IF(AND($G$8&lt;&gt;0,$G$11&lt;&gt;""),$Q$5*O18,"-"))</f>
        <v>-</v>
      </c>
      <c r="Q18" s="149" t="str">
        <f>R17</f>
        <v>-</v>
      </c>
      <c r="R18" s="150" t="str">
        <f>IF(Q18&lt;&gt;"-",Q18+P18,"-")</f>
        <v>-</v>
      </c>
    </row>
    <row r="19" spans="2:19" ht="14.5">
      <c r="B19" s="145"/>
      <c r="C19" s="151"/>
      <c r="D19" s="145"/>
      <c r="E19" s="145"/>
      <c r="F19" s="145"/>
      <c r="G19" s="145"/>
      <c r="H19" s="145"/>
      <c r="I19" s="145"/>
      <c r="J19" s="145"/>
      <c r="K19" s="145"/>
      <c r="L19" s="145"/>
      <c r="M19" s="145"/>
      <c r="N19" s="145"/>
      <c r="O19" s="145"/>
      <c r="P19" s="145"/>
    </row>
    <row r="20" spans="2:19" ht="14.5">
      <c r="B20" s="145"/>
      <c r="C20" s="151"/>
      <c r="D20" s="145"/>
      <c r="E20" s="145"/>
      <c r="F20" s="145"/>
      <c r="G20" s="145"/>
      <c r="H20" s="145"/>
      <c r="I20" s="145"/>
      <c r="J20" s="145"/>
      <c r="K20" s="145"/>
      <c r="L20" s="145"/>
      <c r="M20" s="145"/>
      <c r="N20" s="145"/>
      <c r="O20" s="145"/>
      <c r="P20" s="145"/>
    </row>
    <row r="21" spans="2:19" ht="29">
      <c r="B21" s="145"/>
      <c r="C21" s="151"/>
      <c r="D21" s="145"/>
      <c r="E21" s="145"/>
      <c r="F21" s="145"/>
      <c r="G21" s="145"/>
      <c r="H21" s="145"/>
      <c r="I21" s="145"/>
      <c r="J21" s="145"/>
      <c r="K21" s="145"/>
      <c r="L21" s="145"/>
      <c r="M21" s="145"/>
      <c r="N21" s="145"/>
      <c r="O21" s="145"/>
      <c r="P21" s="145"/>
      <c r="Q21" s="152" t="s">
        <v>152</v>
      </c>
      <c r="R21" s="153" t="s">
        <v>153</v>
      </c>
      <c r="S21" s="154"/>
    </row>
    <row r="22" spans="2:19" ht="14.5">
      <c r="B22" s="145"/>
      <c r="C22" s="151"/>
      <c r="D22" s="145"/>
      <c r="E22" s="145"/>
      <c r="F22" s="145"/>
      <c r="G22" s="145"/>
      <c r="H22" s="145"/>
      <c r="I22" s="145"/>
      <c r="J22" s="145"/>
      <c r="K22" s="145"/>
      <c r="L22" s="145"/>
      <c r="M22" s="145"/>
      <c r="N22" s="145"/>
      <c r="O22" s="145"/>
      <c r="P22" s="145"/>
      <c r="Q22" s="155">
        <v>-0.1</v>
      </c>
      <c r="R22" s="156">
        <v>20</v>
      </c>
      <c r="S22" s="154"/>
    </row>
    <row r="23" spans="2:19" ht="14.5">
      <c r="Q23" s="155">
        <v>-0.2</v>
      </c>
      <c r="R23" s="156">
        <v>50</v>
      </c>
      <c r="S23" s="154"/>
    </row>
    <row r="24" spans="2:19" ht="14.5">
      <c r="Q24" s="157">
        <v>-0.25</v>
      </c>
      <c r="R24" s="158">
        <v>70</v>
      </c>
      <c r="S24" s="154"/>
    </row>
    <row r="25" spans="2:19">
      <c r="Q25" s="154"/>
      <c r="R25" s="154"/>
      <c r="S25" s="154"/>
    </row>
    <row r="26" spans="2:19" ht="26">
      <c r="Q26" s="159" t="s">
        <v>154</v>
      </c>
      <c r="R26" s="160" t="s">
        <v>124</v>
      </c>
      <c r="S26" s="161" t="s">
        <v>155</v>
      </c>
    </row>
    <row r="27" spans="2:19">
      <c r="Q27" s="162">
        <v>-0.01</v>
      </c>
      <c r="R27" s="163">
        <f t="shared" ref="R27:R45" si="2">GROWTH($R$22:$R$24,$Q$22:$Q$24,Q27,1)</f>
        <v>9.4974870513428584</v>
      </c>
      <c r="S27" s="164">
        <f t="shared" ref="S27:S58" si="3">TREND($R$22:$R$24,$Q$22:$Q$24,Q27,0)</f>
        <v>2.6222222222222218</v>
      </c>
    </row>
    <row r="28" spans="2:19">
      <c r="Q28" s="162">
        <v>-0.02</v>
      </c>
      <c r="R28" s="163">
        <f t="shared" si="2"/>
        <v>10.336729939663668</v>
      </c>
      <c r="S28" s="164">
        <f t="shared" si="3"/>
        <v>5.2444444444444436</v>
      </c>
    </row>
    <row r="29" spans="2:19">
      <c r="Q29" s="162">
        <v>-0.03</v>
      </c>
      <c r="R29" s="163">
        <f t="shared" si="2"/>
        <v>11.25013230004161</v>
      </c>
      <c r="S29" s="164">
        <f t="shared" si="3"/>
        <v>7.8666666666666645</v>
      </c>
    </row>
    <row r="30" spans="2:19">
      <c r="Q30" s="162">
        <v>-0.04</v>
      </c>
      <c r="R30" s="163">
        <f t="shared" si="2"/>
        <v>12.244247214274969</v>
      </c>
      <c r="S30" s="164">
        <f t="shared" si="3"/>
        <v>10.488888888888887</v>
      </c>
    </row>
    <row r="31" spans="2:19">
      <c r="Q31" s="162">
        <v>-0.05</v>
      </c>
      <c r="R31" s="163">
        <f t="shared" si="2"/>
        <v>13.32620682547225</v>
      </c>
      <c r="S31" s="164">
        <f t="shared" si="3"/>
        <v>13.111111111111109</v>
      </c>
    </row>
    <row r="32" spans="2:19">
      <c r="Q32" s="162">
        <v>-0.06</v>
      </c>
      <c r="R32" s="163">
        <f t="shared" si="2"/>
        <v>14.503773506649086</v>
      </c>
      <c r="S32" s="164">
        <f t="shared" si="3"/>
        <v>15.733333333333329</v>
      </c>
    </row>
    <row r="33" spans="17:19">
      <c r="Q33" s="162">
        <v>-7.0000000000000007E-2</v>
      </c>
      <c r="R33" s="163">
        <f t="shared" si="2"/>
        <v>15.785395550824445</v>
      </c>
      <c r="S33" s="164">
        <f t="shared" si="3"/>
        <v>18.355555555555554</v>
      </c>
    </row>
    <row r="34" spans="17:19">
      <c r="Q34" s="162">
        <v>-0.08</v>
      </c>
      <c r="R34" s="163">
        <f t="shared" si="2"/>
        <v>17.180267782157173</v>
      </c>
      <c r="S34" s="164">
        <f t="shared" si="3"/>
        <v>20.977777777777774</v>
      </c>
    </row>
    <row r="35" spans="17:19">
      <c r="Q35" s="162">
        <v>-0.09</v>
      </c>
      <c r="R35" s="163">
        <f t="shared" si="2"/>
        <v>18.69839752296939</v>
      </c>
      <c r="S35" s="164">
        <f t="shared" si="3"/>
        <v>23.599999999999994</v>
      </c>
    </row>
    <row r="36" spans="17:19">
      <c r="Q36" s="162">
        <v>-0.1</v>
      </c>
      <c r="R36" s="165">
        <f t="shared" si="2"/>
        <v>20.350676389928065</v>
      </c>
      <c r="S36" s="166">
        <f t="shared" si="3"/>
        <v>26.222222222222218</v>
      </c>
    </row>
    <row r="37" spans="17:19">
      <c r="Q37" s="162">
        <v>-0.11</v>
      </c>
      <c r="R37" s="163">
        <f t="shared" si="2"/>
        <v>22.148958434476945</v>
      </c>
      <c r="S37" s="164">
        <f t="shared" si="3"/>
        <v>28.844444444444438</v>
      </c>
    </row>
    <row r="38" spans="17:19">
      <c r="Q38" s="162">
        <v>-0.12</v>
      </c>
      <c r="R38" s="163">
        <f t="shared" si="2"/>
        <v>24.106145188126657</v>
      </c>
      <c r="S38" s="164">
        <f t="shared" si="3"/>
        <v>31.466666666666658</v>
      </c>
    </row>
    <row r="39" spans="17:19">
      <c r="Q39" s="162">
        <v>-0.13</v>
      </c>
      <c r="R39" s="163">
        <f t="shared" si="2"/>
        <v>26.236278222749089</v>
      </c>
      <c r="S39" s="164">
        <f t="shared" si="3"/>
        <v>34.088888888888881</v>
      </c>
    </row>
    <row r="40" spans="17:19">
      <c r="Q40" s="162">
        <v>-0.14000000000000001</v>
      </c>
      <c r="R40" s="163">
        <f t="shared" si="2"/>
        <v>28.554639889937153</v>
      </c>
      <c r="S40" s="164">
        <f t="shared" si="3"/>
        <v>36.711111111111109</v>
      </c>
    </row>
    <row r="41" spans="17:19">
      <c r="Q41" s="162">
        <v>-0.15</v>
      </c>
      <c r="R41" s="163">
        <f t="shared" si="2"/>
        <v>31.077862962171093</v>
      </c>
      <c r="S41" s="164">
        <f t="shared" si="3"/>
        <v>39.333333333333321</v>
      </c>
    </row>
    <row r="42" spans="17:19">
      <c r="Q42" s="162">
        <v>-0.16</v>
      </c>
      <c r="R42" s="163">
        <f t="shared" si="2"/>
        <v>33.824049962396906</v>
      </c>
      <c r="S42" s="164">
        <f t="shared" si="3"/>
        <v>41.955555555555549</v>
      </c>
    </row>
    <row r="43" spans="17:19">
      <c r="Q43" s="162">
        <v>-0.17</v>
      </c>
      <c r="R43" s="163">
        <f t="shared" si="2"/>
        <v>36.812903038130841</v>
      </c>
      <c r="S43" s="164">
        <f t="shared" si="3"/>
        <v>44.577777777777776</v>
      </c>
    </row>
    <row r="44" spans="17:19">
      <c r="Q44" s="162">
        <v>-0.18</v>
      </c>
      <c r="R44" s="163">
        <f t="shared" si="2"/>
        <v>40.065865311854225</v>
      </c>
      <c r="S44" s="164">
        <f t="shared" si="3"/>
        <v>47.199999999999989</v>
      </c>
    </row>
    <row r="45" spans="17:19">
      <c r="Q45" s="162">
        <v>-0.19</v>
      </c>
      <c r="R45" s="163">
        <f t="shared" si="2"/>
        <v>43.606274721797959</v>
      </c>
      <c r="S45" s="164">
        <f t="shared" si="3"/>
        <v>49.822222222222216</v>
      </c>
    </row>
    <row r="46" spans="17:19">
      <c r="Q46" s="162">
        <v>-0.2</v>
      </c>
      <c r="R46" s="165">
        <v>50</v>
      </c>
      <c r="S46" s="166">
        <f t="shared" si="3"/>
        <v>52.444444444444436</v>
      </c>
    </row>
    <row r="47" spans="17:19">
      <c r="Q47" s="162">
        <v>-0.21</v>
      </c>
      <c r="R47" s="163">
        <f>GROWTH($R$22:$R$24,$Q$22:$Q$24,Q47,1)</f>
        <v>51.653280186659927</v>
      </c>
      <c r="S47" s="164">
        <f t="shared" si="3"/>
        <v>55.066666666666656</v>
      </c>
    </row>
    <row r="48" spans="17:19">
      <c r="Q48" s="162">
        <v>-0.22</v>
      </c>
      <c r="R48" s="163">
        <f>GROWTH($R$22:$R$24,$Q$22:$Q$24,Q48,1)</f>
        <v>56.217608394821809</v>
      </c>
      <c r="S48" s="164">
        <f t="shared" si="3"/>
        <v>57.688888888888876</v>
      </c>
    </row>
    <row r="49" spans="17:19">
      <c r="Q49" s="162">
        <v>-0.23</v>
      </c>
      <c r="R49" s="163">
        <f>GROWTH($R$22:$R$24,$Q$22:$Q$24,Q49,1)</f>
        <v>61.18526223722295</v>
      </c>
      <c r="S49" s="164">
        <f t="shared" si="3"/>
        <v>60.311111111111103</v>
      </c>
    </row>
    <row r="50" spans="17:19">
      <c r="Q50" s="162">
        <v>-0.24</v>
      </c>
      <c r="R50" s="163">
        <f>GROWTH($R$22:$R$24,$Q$22:$Q$24,Q50,1)</f>
        <v>66.591881475032011</v>
      </c>
      <c r="S50" s="164">
        <f t="shared" si="3"/>
        <v>62.933333333333316</v>
      </c>
    </row>
    <row r="51" spans="17:19">
      <c r="Q51" s="162">
        <v>-0.25</v>
      </c>
      <c r="R51" s="165">
        <v>70</v>
      </c>
      <c r="S51" s="166">
        <f t="shared" si="3"/>
        <v>65.555555555555543</v>
      </c>
    </row>
    <row r="52" spans="17:19">
      <c r="Q52" s="162">
        <v>-0.26</v>
      </c>
      <c r="R52" s="163">
        <f t="shared" ref="R52:R83" si="4">GROWTH($R$22:$R$24,$Q$22:$Q$24,Q52,1)</f>
        <v>78.880599957951503</v>
      </c>
      <c r="S52" s="164">
        <f t="shared" si="3"/>
        <v>68.177777777777763</v>
      </c>
    </row>
    <row r="53" spans="17:19">
      <c r="Q53" s="162">
        <v>-0.27</v>
      </c>
      <c r="R53" s="163">
        <f t="shared" si="4"/>
        <v>85.850862953132875</v>
      </c>
      <c r="S53" s="164">
        <f t="shared" si="3"/>
        <v>70.8</v>
      </c>
    </row>
    <row r="54" spans="17:19">
      <c r="Q54" s="162">
        <v>-0.28000000000000003</v>
      </c>
      <c r="R54" s="163">
        <f t="shared" si="4"/>
        <v>93.437051362774795</v>
      </c>
      <c r="S54" s="164">
        <f t="shared" si="3"/>
        <v>73.422222222222217</v>
      </c>
    </row>
    <row r="55" spans="17:19">
      <c r="Q55" s="162">
        <v>-0.28999999999999998</v>
      </c>
      <c r="R55" s="163">
        <f t="shared" si="4"/>
        <v>101.69359127043245</v>
      </c>
      <c r="S55" s="164">
        <f t="shared" si="3"/>
        <v>76.044444444444423</v>
      </c>
    </row>
    <row r="56" spans="17:19">
      <c r="Q56" s="162">
        <v>-0.3</v>
      </c>
      <c r="R56" s="163">
        <f t="shared" si="4"/>
        <v>110.67971810589327</v>
      </c>
      <c r="S56" s="164">
        <f t="shared" si="3"/>
        <v>78.666666666666643</v>
      </c>
    </row>
    <row r="57" spans="17:19">
      <c r="Q57" s="162">
        <v>-0.31</v>
      </c>
      <c r="R57" s="163">
        <f t="shared" si="4"/>
        <v>120.45990162176226</v>
      </c>
      <c r="S57" s="164">
        <f t="shared" si="3"/>
        <v>81.288888888888877</v>
      </c>
    </row>
    <row r="58" spans="17:19">
      <c r="Q58" s="162">
        <v>-0.32</v>
      </c>
      <c r="R58" s="163">
        <f t="shared" si="4"/>
        <v>131.10430842299021</v>
      </c>
      <c r="S58" s="164">
        <f t="shared" si="3"/>
        <v>83.911111111111097</v>
      </c>
    </row>
    <row r="59" spans="17:19">
      <c r="Q59" s="162">
        <v>-0.33</v>
      </c>
      <c r="R59" s="163">
        <f t="shared" si="4"/>
        <v>142.68930536769835</v>
      </c>
      <c r="S59" s="164">
        <f t="shared" ref="S59:S90" si="5">TREND($R$22:$R$24,$Q$22:$Q$24,Q59,0)</f>
        <v>86.533333333333317</v>
      </c>
    </row>
    <row r="60" spans="17:19">
      <c r="Q60" s="162">
        <v>-0.34</v>
      </c>
      <c r="R60" s="163">
        <f t="shared" si="4"/>
        <v>155.29800745088212</v>
      </c>
      <c r="S60" s="164">
        <f t="shared" si="5"/>
        <v>89.155555555555551</v>
      </c>
    </row>
    <row r="61" spans="17:19">
      <c r="Q61" s="162">
        <v>-0.35</v>
      </c>
      <c r="R61" s="163">
        <f t="shared" si="4"/>
        <v>169.02087410171018</v>
      </c>
      <c r="S61" s="164">
        <f t="shared" si="5"/>
        <v>91.777777777777757</v>
      </c>
    </row>
    <row r="62" spans="17:19">
      <c r="Q62" s="162">
        <v>-0.36</v>
      </c>
      <c r="R62" s="163">
        <f t="shared" si="4"/>
        <v>183.95635817247503</v>
      </c>
      <c r="S62" s="164">
        <f t="shared" si="5"/>
        <v>94.399999999999977</v>
      </c>
    </row>
    <row r="63" spans="17:19">
      <c r="Q63" s="162">
        <v>-0.37</v>
      </c>
      <c r="R63" s="163">
        <f t="shared" si="4"/>
        <v>200.21161227527659</v>
      </c>
      <c r="S63" s="164">
        <f t="shared" si="5"/>
        <v>97.022222222222197</v>
      </c>
    </row>
    <row r="64" spans="17:19">
      <c r="Q64" s="162">
        <v>-0.38</v>
      </c>
      <c r="R64" s="163">
        <f t="shared" si="4"/>
        <v>217.903257533957</v>
      </c>
      <c r="S64" s="164">
        <f t="shared" si="5"/>
        <v>99.644444444444431</v>
      </c>
    </row>
    <row r="65" spans="17:19">
      <c r="Q65" s="162">
        <v>-0.39</v>
      </c>
      <c r="R65" s="163">
        <f t="shared" si="4"/>
        <v>237.15822026659424</v>
      </c>
      <c r="S65" s="164">
        <f t="shared" si="5"/>
        <v>102.26666666666665</v>
      </c>
    </row>
    <row r="66" spans="17:19">
      <c r="Q66" s="162">
        <v>-0.4</v>
      </c>
      <c r="R66" s="163">
        <f t="shared" si="4"/>
        <v>258.11464260121767</v>
      </c>
      <c r="S66" s="164">
        <f t="shared" si="5"/>
        <v>104.88888888888887</v>
      </c>
    </row>
    <row r="67" spans="17:19">
      <c r="Q67" s="162">
        <v>-0.41</v>
      </c>
      <c r="R67" s="163">
        <f t="shared" si="4"/>
        <v>280.92287355783799</v>
      </c>
      <c r="S67" s="164">
        <f t="shared" si="5"/>
        <v>107.51111111111108</v>
      </c>
    </row>
    <row r="68" spans="17:19">
      <c r="Q68" s="162">
        <v>-0.42</v>
      </c>
      <c r="R68" s="163">
        <f t="shared" si="4"/>
        <v>305.74654770717279</v>
      </c>
      <c r="S68" s="164">
        <f t="shared" si="5"/>
        <v>110.13333333333331</v>
      </c>
    </row>
    <row r="69" spans="17:19">
      <c r="Q69" s="162">
        <v>-0.43</v>
      </c>
      <c r="R69" s="163">
        <f t="shared" si="4"/>
        <v>332.76375914476068</v>
      </c>
      <c r="S69" s="164">
        <f t="shared" si="5"/>
        <v>112.75555555555553</v>
      </c>
    </row>
    <row r="70" spans="17:19">
      <c r="Q70" s="162">
        <v>-0.44</v>
      </c>
      <c r="R70" s="163">
        <f t="shared" si="4"/>
        <v>362.16833920298285</v>
      </c>
      <c r="S70" s="164">
        <f t="shared" si="5"/>
        <v>115.37777777777775</v>
      </c>
    </row>
    <row r="71" spans="17:19">
      <c r="Q71" s="162">
        <v>-0.45</v>
      </c>
      <c r="R71" s="163">
        <f t="shared" si="4"/>
        <v>394.17124706776224</v>
      </c>
      <c r="S71" s="164">
        <f t="shared" si="5"/>
        <v>117.99999999999999</v>
      </c>
    </row>
    <row r="72" spans="17:19">
      <c r="Q72" s="162">
        <v>-0.46</v>
      </c>
      <c r="R72" s="163">
        <f t="shared" si="4"/>
        <v>429.00208327673522</v>
      </c>
      <c r="S72" s="164">
        <f t="shared" si="5"/>
        <v>120.62222222222221</v>
      </c>
    </row>
    <row r="73" spans="17:19">
      <c r="Q73" s="162">
        <v>-0.47</v>
      </c>
      <c r="R73" s="163">
        <f t="shared" si="4"/>
        <v>466.91073695727931</v>
      </c>
      <c r="S73" s="164">
        <f t="shared" si="5"/>
        <v>123.24444444444441</v>
      </c>
    </row>
    <row r="74" spans="17:19">
      <c r="Q74" s="162">
        <v>-0.48</v>
      </c>
      <c r="R74" s="163">
        <f t="shared" si="4"/>
        <v>508.16917862228996</v>
      </c>
      <c r="S74" s="164">
        <f t="shared" si="5"/>
        <v>125.86666666666663</v>
      </c>
    </row>
    <row r="75" spans="17:19">
      <c r="Q75" s="162">
        <v>-0.49</v>
      </c>
      <c r="R75" s="163">
        <f t="shared" si="4"/>
        <v>553.0734113858698</v>
      </c>
      <c r="S75" s="164">
        <f t="shared" si="5"/>
        <v>128.48888888888885</v>
      </c>
    </row>
    <row r="76" spans="17:19">
      <c r="Q76" s="162">
        <v>-0.5</v>
      </c>
      <c r="R76" s="163">
        <f t="shared" si="4"/>
        <v>601.94559459766924</v>
      </c>
      <c r="S76" s="164">
        <f t="shared" si="5"/>
        <v>131.11111111111109</v>
      </c>
    </row>
    <row r="77" spans="17:19">
      <c r="Q77" s="162">
        <v>-0.51</v>
      </c>
      <c r="R77" s="163">
        <f t="shared" si="4"/>
        <v>655.13635513160523</v>
      </c>
      <c r="S77" s="164">
        <f t="shared" si="5"/>
        <v>133.73333333333332</v>
      </c>
    </row>
    <row r="78" spans="17:19">
      <c r="Q78" s="162">
        <v>-0.52</v>
      </c>
      <c r="R78" s="163">
        <f t="shared" si="4"/>
        <v>713.02730291098419</v>
      </c>
      <c r="S78" s="164">
        <f t="shared" si="5"/>
        <v>136.35555555555553</v>
      </c>
    </row>
    <row r="79" spans="17:19">
      <c r="Q79" s="162">
        <v>-0.53</v>
      </c>
      <c r="R79" s="163">
        <f t="shared" si="4"/>
        <v>776.03376871732564</v>
      </c>
      <c r="S79" s="164">
        <f t="shared" si="5"/>
        <v>138.97777777777776</v>
      </c>
    </row>
    <row r="80" spans="17:19">
      <c r="Q80" s="162">
        <v>-0.54</v>
      </c>
      <c r="R80" s="163">
        <f t="shared" si="4"/>
        <v>844.60778392493023</v>
      </c>
      <c r="S80" s="164">
        <f t="shared" si="5"/>
        <v>141.6</v>
      </c>
    </row>
    <row r="81" spans="17:19">
      <c r="Q81" s="162">
        <v>-0.55000000000000004</v>
      </c>
      <c r="R81" s="163">
        <f t="shared" si="4"/>
        <v>919.24132353888274</v>
      </c>
      <c r="S81" s="164">
        <f t="shared" si="5"/>
        <v>144.2222222222222</v>
      </c>
    </row>
    <row r="82" spans="17:19">
      <c r="Q82" s="162">
        <v>-0.56000000000000005</v>
      </c>
      <c r="R82" s="163">
        <f t="shared" si="4"/>
        <v>1000.4698358032441</v>
      </c>
      <c r="S82" s="164">
        <f t="shared" si="5"/>
        <v>146.84444444444443</v>
      </c>
    </row>
    <row r="83" spans="17:19">
      <c r="Q83" s="162">
        <v>-0.56999999999999995</v>
      </c>
      <c r="R83" s="163">
        <f t="shared" si="4"/>
        <v>1088.8760837021161</v>
      </c>
      <c r="S83" s="164">
        <f t="shared" si="5"/>
        <v>149.46666666666661</v>
      </c>
    </row>
    <row r="84" spans="17:19">
      <c r="Q84" s="162">
        <v>-0.57999999999999996</v>
      </c>
      <c r="R84" s="163">
        <f t="shared" ref="R84:R115" si="6">GROWTH($R$22:$R$24,$Q$22:$Q$24,Q84,1)</f>
        <v>1185.0943259139242</v>
      </c>
      <c r="S84" s="164">
        <f t="shared" si="5"/>
        <v>152.08888888888885</v>
      </c>
    </row>
    <row r="85" spans="17:19">
      <c r="Q85" s="162">
        <v>-0.59</v>
      </c>
      <c r="R85" s="163">
        <f t="shared" si="6"/>
        <v>1289.8148672145812</v>
      </c>
      <c r="S85" s="164">
        <f t="shared" si="5"/>
        <v>154.71111111111108</v>
      </c>
    </row>
    <row r="86" spans="17:19">
      <c r="Q86" s="162">
        <v>-0.6</v>
      </c>
      <c r="R86" s="163">
        <f t="shared" si="6"/>
        <v>1403.7890109758237</v>
      </c>
      <c r="S86" s="164">
        <f t="shared" si="5"/>
        <v>157.33333333333329</v>
      </c>
    </row>
    <row r="87" spans="17:19">
      <c r="Q87" s="162">
        <v>-0.61</v>
      </c>
      <c r="R87" s="163">
        <f t="shared" si="6"/>
        <v>1527.8344492897181</v>
      </c>
      <c r="S87" s="164">
        <f t="shared" si="5"/>
        <v>159.95555555555552</v>
      </c>
    </row>
    <row r="88" spans="17:19">
      <c r="Q88" s="162">
        <v>-0.62</v>
      </c>
      <c r="R88" s="163">
        <f t="shared" si="6"/>
        <v>1662.8411293900749</v>
      </c>
      <c r="S88" s="164">
        <f t="shared" si="5"/>
        <v>162.57777777777775</v>
      </c>
    </row>
    <row r="89" spans="17:19">
      <c r="Q89" s="162">
        <v>-0.63</v>
      </c>
      <c r="R89" s="163">
        <f t="shared" si="6"/>
        <v>1809.7776384586134</v>
      </c>
      <c r="S89" s="164">
        <f t="shared" si="5"/>
        <v>165.19999999999996</v>
      </c>
    </row>
    <row r="90" spans="17:19">
      <c r="Q90" s="162">
        <v>-0.64</v>
      </c>
      <c r="R90" s="163">
        <f t="shared" si="6"/>
        <v>1969.6981526227967</v>
      </c>
      <c r="S90" s="164">
        <f t="shared" si="5"/>
        <v>167.82222222222219</v>
      </c>
    </row>
    <row r="91" spans="17:19">
      <c r="Q91" s="162">
        <v>-0.65</v>
      </c>
      <c r="R91" s="163">
        <f t="shared" si="6"/>
        <v>2143.7500000000032</v>
      </c>
      <c r="S91" s="164">
        <f t="shared" ref="S91:S115" si="7">TREND($R$22:$R$24,$Q$22:$Q$24,Q91,0)</f>
        <v>170.44444444444443</v>
      </c>
    </row>
    <row r="92" spans="17:19">
      <c r="Q92" s="162">
        <v>-0.66</v>
      </c>
      <c r="R92" s="163">
        <f t="shared" si="6"/>
        <v>2333.1818920480518</v>
      </c>
      <c r="S92" s="164">
        <f t="shared" si="7"/>
        <v>173.06666666666663</v>
      </c>
    </row>
    <row r="93" spans="17:19">
      <c r="Q93" s="162">
        <v>-0.67</v>
      </c>
      <c r="R93" s="163">
        <f t="shared" si="6"/>
        <v>2539.3528822768158</v>
      </c>
      <c r="S93" s="164">
        <f t="shared" si="7"/>
        <v>175.68888888888887</v>
      </c>
    </row>
    <row r="94" spans="17:19">
      <c r="Q94" s="162">
        <v>-0.68</v>
      </c>
      <c r="R94" s="163">
        <f t="shared" si="6"/>
        <v>2763.7421165939554</v>
      </c>
      <c r="S94" s="164">
        <f t="shared" si="7"/>
        <v>178.3111111111111</v>
      </c>
    </row>
    <row r="95" spans="17:19">
      <c r="Q95" s="162">
        <v>-0.69</v>
      </c>
      <c r="R95" s="163">
        <f t="shared" si="6"/>
        <v>3007.9594452373472</v>
      </c>
      <c r="S95" s="164">
        <f t="shared" si="7"/>
        <v>180.93333333333328</v>
      </c>
    </row>
    <row r="96" spans="17:19">
      <c r="Q96" s="162">
        <v>-0.7</v>
      </c>
      <c r="R96" s="163">
        <f t="shared" si="6"/>
        <v>3273.7569724280715</v>
      </c>
      <c r="S96" s="164">
        <f t="shared" si="7"/>
        <v>183.55555555555551</v>
      </c>
    </row>
    <row r="97" spans="17:19">
      <c r="Q97" s="162">
        <v>-0.71</v>
      </c>
      <c r="R97" s="163">
        <f t="shared" si="6"/>
        <v>3563.0416266053498</v>
      </c>
      <c r="S97" s="164">
        <f t="shared" si="7"/>
        <v>186.17777777777772</v>
      </c>
    </row>
    <row r="98" spans="17:19">
      <c r="Q98" s="162">
        <v>-0.72</v>
      </c>
      <c r="R98" s="163">
        <f t="shared" si="6"/>
        <v>3877.8888414269545</v>
      </c>
      <c r="S98" s="164">
        <f t="shared" si="7"/>
        <v>188.79999999999995</v>
      </c>
    </row>
    <row r="99" spans="17:19">
      <c r="Q99" s="162">
        <v>-0.73</v>
      </c>
      <c r="R99" s="163">
        <f t="shared" si="6"/>
        <v>4220.5574456874938</v>
      </c>
      <c r="S99" s="164">
        <f t="shared" si="7"/>
        <v>191.42222222222219</v>
      </c>
    </row>
    <row r="100" spans="17:19">
      <c r="Q100" s="162">
        <v>-0.74</v>
      </c>
      <c r="R100" s="163">
        <f t="shared" si="6"/>
        <v>4593.5058689803536</v>
      </c>
      <c r="S100" s="164">
        <f t="shared" si="7"/>
        <v>194.04444444444439</v>
      </c>
    </row>
    <row r="101" spans="17:19">
      <c r="Q101" s="162">
        <v>-0.75</v>
      </c>
      <c r="R101" s="163">
        <f t="shared" si="6"/>
        <v>4999.4097793685823</v>
      </c>
      <c r="S101" s="164">
        <f t="shared" si="7"/>
        <v>196.66666666666663</v>
      </c>
    </row>
    <row r="102" spans="17:19">
      <c r="Q102" s="162">
        <v>-0.76</v>
      </c>
      <c r="R102" s="163">
        <f t="shared" si="6"/>
        <v>5441.1812796038321</v>
      </c>
      <c r="S102" s="164">
        <f t="shared" si="7"/>
        <v>199.28888888888886</v>
      </c>
    </row>
    <row r="103" spans="17:19">
      <c r="Q103" s="162">
        <v>-0.77</v>
      </c>
      <c r="R103" s="163">
        <f t="shared" si="6"/>
        <v>5921.9897996139953</v>
      </c>
      <c r="S103" s="164">
        <f t="shared" si="7"/>
        <v>201.91111111111107</v>
      </c>
    </row>
    <row r="104" spans="17:19">
      <c r="Q104" s="162">
        <v>-0.78</v>
      </c>
      <c r="R104" s="163">
        <f t="shared" si="6"/>
        <v>6445.2848351499179</v>
      </c>
      <c r="S104" s="164">
        <f t="shared" si="7"/>
        <v>204.5333333333333</v>
      </c>
    </row>
    <row r="105" spans="17:19">
      <c r="Q105" s="162">
        <v>-0.79</v>
      </c>
      <c r="R105" s="163">
        <f t="shared" si="6"/>
        <v>7014.8206957265047</v>
      </c>
      <c r="S105" s="164">
        <f t="shared" si="7"/>
        <v>207.15555555555554</v>
      </c>
    </row>
    <row r="106" spans="17:19">
      <c r="Q106" s="162">
        <v>-0.8</v>
      </c>
      <c r="R106" s="163">
        <f t="shared" si="6"/>
        <v>7634.6834394089665</v>
      </c>
      <c r="S106" s="164">
        <f t="shared" si="7"/>
        <v>209.77777777777774</v>
      </c>
    </row>
    <row r="107" spans="17:19">
      <c r="Q107" s="162">
        <v>-0.81</v>
      </c>
      <c r="R107" s="163">
        <f t="shared" si="6"/>
        <v>8309.3201876842595</v>
      </c>
      <c r="S107" s="164">
        <f t="shared" si="7"/>
        <v>212.39999999999998</v>
      </c>
    </row>
    <row r="108" spans="17:19">
      <c r="Q108" s="162">
        <v>-0.82</v>
      </c>
      <c r="R108" s="163">
        <f t="shared" si="6"/>
        <v>9043.5710307331574</v>
      </c>
      <c r="S108" s="164">
        <f t="shared" si="7"/>
        <v>215.02222222222215</v>
      </c>
    </row>
    <row r="109" spans="17:19">
      <c r="Q109" s="162">
        <v>-0.83</v>
      </c>
      <c r="R109" s="163">
        <f t="shared" si="6"/>
        <v>9842.7037520032318</v>
      </c>
      <c r="S109" s="164">
        <f t="shared" si="7"/>
        <v>217.64444444444439</v>
      </c>
    </row>
    <row r="110" spans="17:19">
      <c r="Q110" s="162">
        <v>-0.84</v>
      </c>
      <c r="R110" s="163">
        <f t="shared" si="6"/>
        <v>10712.451621209257</v>
      </c>
      <c r="S110" s="164">
        <f t="shared" si="7"/>
        <v>220.26666666666662</v>
      </c>
    </row>
    <row r="111" spans="17:19">
      <c r="Q111" s="162">
        <v>-0.85</v>
      </c>
      <c r="R111" s="163">
        <f t="shared" si="6"/>
        <v>11659.054526902017</v>
      </c>
      <c r="S111" s="164">
        <f t="shared" si="7"/>
        <v>222.88888888888883</v>
      </c>
    </row>
    <row r="112" spans="17:19">
      <c r="Q112" s="162">
        <v>-0.86</v>
      </c>
      <c r="R112" s="163">
        <f t="shared" si="6"/>
        <v>12689.303743705488</v>
      </c>
      <c r="S112" s="164">
        <f t="shared" si="7"/>
        <v>225.51111111111106</v>
      </c>
    </row>
    <row r="113" spans="17:19">
      <c r="Q113" s="162">
        <v>-0.87</v>
      </c>
      <c r="R113" s="163">
        <f t="shared" si="6"/>
        <v>13810.590655398801</v>
      </c>
      <c r="S113" s="164">
        <f t="shared" si="7"/>
        <v>228.1333333333333</v>
      </c>
    </row>
    <row r="114" spans="17:19">
      <c r="Q114" s="162">
        <v>-0.88</v>
      </c>
      <c r="R114" s="163">
        <f t="shared" si="6"/>
        <v>15030.959783400349</v>
      </c>
      <c r="S114" s="164">
        <f t="shared" si="7"/>
        <v>230.7555555555555</v>
      </c>
    </row>
    <row r="115" spans="17:19">
      <c r="Q115" s="167">
        <v>-0.89</v>
      </c>
      <c r="R115" s="168">
        <f t="shared" si="6"/>
        <v>16359.166501099548</v>
      </c>
      <c r="S115" s="169">
        <f t="shared" si="7"/>
        <v>233.37777777777774</v>
      </c>
    </row>
    <row r="135" ht="31.5" customHeight="1"/>
  </sheetData>
  <mergeCells count="43">
    <mergeCell ref="B15:C15"/>
    <mergeCell ref="B16:C16"/>
    <mergeCell ref="J16:J17"/>
    <mergeCell ref="K16:L17"/>
    <mergeCell ref="F17:H17"/>
    <mergeCell ref="B11:C11"/>
    <mergeCell ref="N11:R11"/>
    <mergeCell ref="B12:C12"/>
    <mergeCell ref="B13:C13"/>
    <mergeCell ref="B14:C14"/>
    <mergeCell ref="B8:F8"/>
    <mergeCell ref="G8:H8"/>
    <mergeCell ref="N8:P8"/>
    <mergeCell ref="B9:C10"/>
    <mergeCell ref="D9:D10"/>
    <mergeCell ref="E9:E10"/>
    <mergeCell ref="F9:F10"/>
    <mergeCell ref="G9:H9"/>
    <mergeCell ref="N9:P9"/>
    <mergeCell ref="N10:P10"/>
    <mergeCell ref="N5:P5"/>
    <mergeCell ref="Q5:R5"/>
    <mergeCell ref="N6:P6"/>
    <mergeCell ref="Q6:R6"/>
    <mergeCell ref="B7:F7"/>
    <mergeCell ref="G7:H7"/>
    <mergeCell ref="N7:P7"/>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s>
  <conditionalFormatting sqref="B5:H6">
    <cfRule type="expression" dxfId="5" priority="2">
      <formula>$G$9="Projetos com até 99 PF - Complexidade Média ou Alta"</formula>
    </cfRule>
    <cfRule type="expression" dxfId="4" priority="3">
      <formula>$G$9="Projetos com até 99 PF - Complexidade Baixa"</formula>
    </cfRule>
  </conditionalFormatting>
  <conditionalFormatting sqref="E17">
    <cfRule type="expression" dxfId="3" priority="4">
      <formula>$E$17&lt;&gt;100%</formula>
    </cfRule>
  </conditionalFormatting>
  <conditionalFormatting sqref="E14">
    <cfRule type="expression" dxfId="2" priority="5">
      <formula>AND((OR($E$14=15%,$E$14=10%)),$E$14&lt;&gt;$D$14)</formula>
    </cfRule>
  </conditionalFormatting>
  <conditionalFormatting sqref="E12">
    <cfRule type="expression" dxfId="1"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_x000a_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_x000a_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_x000a_- Projetos com mais de 99 PF devem  ter mais de 99 PF_x000a_-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6328125" customWidth="1"/>
  </cols>
  <sheetData>
    <row r="1" spans="1:18" s="171" customFormat="1" ht="69" customHeight="1">
      <c r="A1" s="2" t="str">
        <f>Resumo!A1</f>
        <v>Template V.2.0</v>
      </c>
      <c r="B1" s="2"/>
      <c r="C1" s="277" t="s">
        <v>156</v>
      </c>
      <c r="D1" s="277"/>
      <c r="E1" s="277"/>
      <c r="F1" s="277"/>
      <c r="G1" s="277"/>
      <c r="H1" s="277"/>
      <c r="I1" s="277"/>
      <c r="J1" s="170"/>
      <c r="K1" s="170"/>
      <c r="L1" s="170"/>
      <c r="M1" s="170"/>
      <c r="N1" s="170"/>
      <c r="O1" s="170"/>
      <c r="P1" s="170"/>
      <c r="Q1" s="170"/>
      <c r="R1" s="170"/>
    </row>
    <row r="3" spans="1:18" ht="13">
      <c r="A3" s="172" t="s">
        <v>157</v>
      </c>
      <c r="C3" s="173">
        <v>8</v>
      </c>
    </row>
    <row r="4" spans="1:18" ht="29">
      <c r="B4" s="172"/>
      <c r="D4" s="174" t="s">
        <v>20</v>
      </c>
      <c r="E4" s="174" t="s">
        <v>22</v>
      </c>
      <c r="F4" s="174" t="s">
        <v>24</v>
      </c>
      <c r="G4" s="174" t="s">
        <v>26</v>
      </c>
      <c r="H4" s="174" t="s">
        <v>28</v>
      </c>
      <c r="I4" s="174" t="s">
        <v>30</v>
      </c>
    </row>
    <row r="5" spans="1:18" ht="14.5">
      <c r="A5" s="175" t="s">
        <v>48</v>
      </c>
      <c r="B5" s="175" t="s">
        <v>158</v>
      </c>
      <c r="C5" s="176" t="s">
        <v>159</v>
      </c>
      <c r="D5" s="177">
        <f>Resumo!G18</f>
        <v>0.25</v>
      </c>
      <c r="E5" s="177">
        <f>Resumo!G19</f>
        <v>0.1</v>
      </c>
      <c r="F5" s="177">
        <f>Resumo!G20</f>
        <v>0.4</v>
      </c>
      <c r="G5" s="177">
        <f>Resumo!G21</f>
        <v>0.15</v>
      </c>
      <c r="H5" s="177">
        <f>Resumo!G22</f>
        <v>0.05</v>
      </c>
      <c r="I5" s="177">
        <f>Resumo!G23</f>
        <v>0.05</v>
      </c>
    </row>
    <row r="6" spans="1:18">
      <c r="A6" s="178"/>
      <c r="B6" s="179">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79">
        <f t="shared" ref="C6:C23" si="0">ROUND(B6*$C$3,0)</f>
        <v>0</v>
      </c>
      <c r="D6" s="179">
        <f t="shared" ref="D6:I15" si="1">ROUND($C6*D$5,0)</f>
        <v>0</v>
      </c>
      <c r="E6" s="179">
        <f t="shared" si="1"/>
        <v>0</v>
      </c>
      <c r="F6" s="179">
        <f t="shared" si="1"/>
        <v>0</v>
      </c>
      <c r="G6" s="179">
        <f t="shared" si="1"/>
        <v>0</v>
      </c>
      <c r="H6" s="179">
        <f t="shared" si="1"/>
        <v>0</v>
      </c>
      <c r="I6" s="179">
        <f t="shared" si="1"/>
        <v>0</v>
      </c>
    </row>
    <row r="7" spans="1:18">
      <c r="A7" s="178"/>
      <c r="B7" s="179">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79">
        <f t="shared" si="0"/>
        <v>0</v>
      </c>
      <c r="D7" s="179">
        <f t="shared" si="1"/>
        <v>0</v>
      </c>
      <c r="E7" s="179">
        <f t="shared" si="1"/>
        <v>0</v>
      </c>
      <c r="F7" s="179">
        <f t="shared" si="1"/>
        <v>0</v>
      </c>
      <c r="G7" s="179">
        <f t="shared" si="1"/>
        <v>0</v>
      </c>
      <c r="H7" s="179">
        <f t="shared" si="1"/>
        <v>0</v>
      </c>
      <c r="I7" s="179">
        <f t="shared" si="1"/>
        <v>0</v>
      </c>
    </row>
    <row r="8" spans="1:18">
      <c r="A8" s="178"/>
      <c r="B8" s="179">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79">
        <f t="shared" si="0"/>
        <v>0</v>
      </c>
      <c r="D8" s="179">
        <f t="shared" si="1"/>
        <v>0</v>
      </c>
      <c r="E8" s="179">
        <f t="shared" si="1"/>
        <v>0</v>
      </c>
      <c r="F8" s="179">
        <f t="shared" si="1"/>
        <v>0</v>
      </c>
      <c r="G8" s="179">
        <f t="shared" si="1"/>
        <v>0</v>
      </c>
      <c r="H8" s="179">
        <f t="shared" si="1"/>
        <v>0</v>
      </c>
      <c r="I8" s="179">
        <f t="shared" si="1"/>
        <v>0</v>
      </c>
    </row>
    <row r="9" spans="1:18">
      <c r="A9" s="178"/>
      <c r="B9" s="179">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79">
        <f t="shared" si="0"/>
        <v>0</v>
      </c>
      <c r="D9" s="179">
        <f t="shared" si="1"/>
        <v>0</v>
      </c>
      <c r="E9" s="179">
        <f t="shared" si="1"/>
        <v>0</v>
      </c>
      <c r="F9" s="179">
        <f t="shared" si="1"/>
        <v>0</v>
      </c>
      <c r="G9" s="179">
        <f t="shared" si="1"/>
        <v>0</v>
      </c>
      <c r="H9" s="179">
        <f t="shared" si="1"/>
        <v>0</v>
      </c>
      <c r="I9" s="179">
        <f t="shared" si="1"/>
        <v>0</v>
      </c>
    </row>
    <row r="10" spans="1:18">
      <c r="A10" s="178"/>
      <c r="B10" s="179">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79">
        <f t="shared" si="0"/>
        <v>0</v>
      </c>
      <c r="D10" s="179">
        <f t="shared" si="1"/>
        <v>0</v>
      </c>
      <c r="E10" s="179">
        <f t="shared" si="1"/>
        <v>0</v>
      </c>
      <c r="F10" s="179">
        <f t="shared" si="1"/>
        <v>0</v>
      </c>
      <c r="G10" s="179">
        <f t="shared" si="1"/>
        <v>0</v>
      </c>
      <c r="H10" s="179">
        <f t="shared" si="1"/>
        <v>0</v>
      </c>
      <c r="I10" s="179">
        <f t="shared" si="1"/>
        <v>0</v>
      </c>
    </row>
    <row r="11" spans="1:18">
      <c r="A11" s="178"/>
      <c r="B11" s="179">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79">
        <f t="shared" si="0"/>
        <v>0</v>
      </c>
      <c r="D11" s="179">
        <f t="shared" si="1"/>
        <v>0</v>
      </c>
      <c r="E11" s="179">
        <f t="shared" si="1"/>
        <v>0</v>
      </c>
      <c r="F11" s="179">
        <f t="shared" si="1"/>
        <v>0</v>
      </c>
      <c r="G11" s="179">
        <f t="shared" si="1"/>
        <v>0</v>
      </c>
      <c r="H11" s="179">
        <f t="shared" si="1"/>
        <v>0</v>
      </c>
      <c r="I11" s="179">
        <f t="shared" si="1"/>
        <v>0</v>
      </c>
    </row>
    <row r="12" spans="1:18">
      <c r="A12" s="178"/>
      <c r="B12" s="179">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79">
        <f t="shared" si="0"/>
        <v>0</v>
      </c>
      <c r="D12" s="179">
        <f t="shared" si="1"/>
        <v>0</v>
      </c>
      <c r="E12" s="179">
        <f t="shared" si="1"/>
        <v>0</v>
      </c>
      <c r="F12" s="179">
        <f t="shared" si="1"/>
        <v>0</v>
      </c>
      <c r="G12" s="179">
        <f t="shared" si="1"/>
        <v>0</v>
      </c>
      <c r="H12" s="179">
        <f t="shared" si="1"/>
        <v>0</v>
      </c>
      <c r="I12" s="179">
        <f t="shared" si="1"/>
        <v>0</v>
      </c>
    </row>
    <row r="13" spans="1:18">
      <c r="A13" s="178"/>
      <c r="B13" s="179">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79">
        <f t="shared" si="0"/>
        <v>0</v>
      </c>
      <c r="D13" s="179">
        <f t="shared" si="1"/>
        <v>0</v>
      </c>
      <c r="E13" s="179">
        <f t="shared" si="1"/>
        <v>0</v>
      </c>
      <c r="F13" s="179">
        <f t="shared" si="1"/>
        <v>0</v>
      </c>
      <c r="G13" s="179">
        <f t="shared" si="1"/>
        <v>0</v>
      </c>
      <c r="H13" s="179">
        <f t="shared" si="1"/>
        <v>0</v>
      </c>
      <c r="I13" s="179">
        <f t="shared" si="1"/>
        <v>0</v>
      </c>
    </row>
    <row r="14" spans="1:18">
      <c r="A14" s="178"/>
      <c r="B14" s="179">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79">
        <f t="shared" si="0"/>
        <v>0</v>
      </c>
      <c r="D14" s="179">
        <f t="shared" si="1"/>
        <v>0</v>
      </c>
      <c r="E14" s="179">
        <f t="shared" si="1"/>
        <v>0</v>
      </c>
      <c r="F14" s="179">
        <f t="shared" si="1"/>
        <v>0</v>
      </c>
      <c r="G14" s="179">
        <f t="shared" si="1"/>
        <v>0</v>
      </c>
      <c r="H14" s="179">
        <f t="shared" si="1"/>
        <v>0</v>
      </c>
      <c r="I14" s="179">
        <f t="shared" si="1"/>
        <v>0</v>
      </c>
    </row>
    <row r="15" spans="1:18">
      <c r="A15" s="178"/>
      <c r="B15" s="179">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79">
        <f t="shared" si="0"/>
        <v>0</v>
      </c>
      <c r="D15" s="179">
        <f t="shared" si="1"/>
        <v>0</v>
      </c>
      <c r="E15" s="179">
        <f t="shared" si="1"/>
        <v>0</v>
      </c>
      <c r="F15" s="179">
        <f t="shared" si="1"/>
        <v>0</v>
      </c>
      <c r="G15" s="179">
        <f t="shared" si="1"/>
        <v>0</v>
      </c>
      <c r="H15" s="179">
        <f t="shared" si="1"/>
        <v>0</v>
      </c>
      <c r="I15" s="179">
        <f t="shared" si="1"/>
        <v>0</v>
      </c>
    </row>
    <row r="16" spans="1:18">
      <c r="A16" s="178"/>
      <c r="B16" s="179">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79">
        <f t="shared" si="0"/>
        <v>0</v>
      </c>
      <c r="D16" s="179">
        <f t="shared" ref="D16:I23" si="2">ROUND($C16*D$5,0)</f>
        <v>0</v>
      </c>
      <c r="E16" s="179">
        <f t="shared" si="2"/>
        <v>0</v>
      </c>
      <c r="F16" s="179">
        <f t="shared" si="2"/>
        <v>0</v>
      </c>
      <c r="G16" s="179">
        <f t="shared" si="2"/>
        <v>0</v>
      </c>
      <c r="H16" s="179">
        <f t="shared" si="2"/>
        <v>0</v>
      </c>
      <c r="I16" s="179">
        <f t="shared" si="2"/>
        <v>0</v>
      </c>
    </row>
    <row r="17" spans="1:9">
      <c r="A17" s="178"/>
      <c r="B17" s="179">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79">
        <f t="shared" si="0"/>
        <v>0</v>
      </c>
      <c r="D17" s="179">
        <f t="shared" si="2"/>
        <v>0</v>
      </c>
      <c r="E17" s="179">
        <f t="shared" si="2"/>
        <v>0</v>
      </c>
      <c r="F17" s="179">
        <f t="shared" si="2"/>
        <v>0</v>
      </c>
      <c r="G17" s="179">
        <f t="shared" si="2"/>
        <v>0</v>
      </c>
      <c r="H17" s="179">
        <f t="shared" si="2"/>
        <v>0</v>
      </c>
      <c r="I17" s="179">
        <f t="shared" si="2"/>
        <v>0</v>
      </c>
    </row>
    <row r="18" spans="1:9">
      <c r="A18" s="178"/>
      <c r="B18" s="179">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79">
        <f t="shared" si="0"/>
        <v>0</v>
      </c>
      <c r="D18" s="179">
        <f t="shared" si="2"/>
        <v>0</v>
      </c>
      <c r="E18" s="179">
        <f t="shared" si="2"/>
        <v>0</v>
      </c>
      <c r="F18" s="179">
        <f t="shared" si="2"/>
        <v>0</v>
      </c>
      <c r="G18" s="179">
        <f t="shared" si="2"/>
        <v>0</v>
      </c>
      <c r="H18" s="179">
        <f t="shared" si="2"/>
        <v>0</v>
      </c>
      <c r="I18" s="179">
        <f t="shared" si="2"/>
        <v>0</v>
      </c>
    </row>
    <row r="19" spans="1:9">
      <c r="A19" s="178"/>
      <c r="B19" s="179">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79">
        <f t="shared" si="0"/>
        <v>0</v>
      </c>
      <c r="D19" s="179">
        <f t="shared" si="2"/>
        <v>0</v>
      </c>
      <c r="E19" s="179">
        <f t="shared" si="2"/>
        <v>0</v>
      </c>
      <c r="F19" s="179">
        <f t="shared" si="2"/>
        <v>0</v>
      </c>
      <c r="G19" s="179">
        <f t="shared" si="2"/>
        <v>0</v>
      </c>
      <c r="H19" s="179">
        <f t="shared" si="2"/>
        <v>0</v>
      </c>
      <c r="I19" s="179">
        <f t="shared" si="2"/>
        <v>0</v>
      </c>
    </row>
    <row r="20" spans="1:9">
      <c r="A20" s="178"/>
      <c r="B20" s="179">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79">
        <f t="shared" si="0"/>
        <v>0</v>
      </c>
      <c r="D20" s="179">
        <f t="shared" si="2"/>
        <v>0</v>
      </c>
      <c r="E20" s="179">
        <f t="shared" si="2"/>
        <v>0</v>
      </c>
      <c r="F20" s="179">
        <f t="shared" si="2"/>
        <v>0</v>
      </c>
      <c r="G20" s="179">
        <f t="shared" si="2"/>
        <v>0</v>
      </c>
      <c r="H20" s="179">
        <f t="shared" si="2"/>
        <v>0</v>
      </c>
      <c r="I20" s="179">
        <f t="shared" si="2"/>
        <v>0</v>
      </c>
    </row>
    <row r="21" spans="1:9">
      <c r="A21" s="178"/>
      <c r="B21" s="179">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79">
        <f t="shared" si="0"/>
        <v>0</v>
      </c>
      <c r="D21" s="179">
        <f t="shared" si="2"/>
        <v>0</v>
      </c>
      <c r="E21" s="179">
        <f t="shared" si="2"/>
        <v>0</v>
      </c>
      <c r="F21" s="179">
        <f t="shared" si="2"/>
        <v>0</v>
      </c>
      <c r="G21" s="179">
        <f t="shared" si="2"/>
        <v>0</v>
      </c>
      <c r="H21" s="179">
        <f t="shared" si="2"/>
        <v>0</v>
      </c>
      <c r="I21" s="179">
        <f t="shared" si="2"/>
        <v>0</v>
      </c>
    </row>
    <row r="22" spans="1:9">
      <c r="A22" s="178"/>
      <c r="B22" s="179">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79">
        <f t="shared" si="0"/>
        <v>0</v>
      </c>
      <c r="D22" s="179">
        <f t="shared" si="2"/>
        <v>0</v>
      </c>
      <c r="E22" s="179">
        <f t="shared" si="2"/>
        <v>0</v>
      </c>
      <c r="F22" s="179">
        <f t="shared" si="2"/>
        <v>0</v>
      </c>
      <c r="G22" s="179">
        <f t="shared" si="2"/>
        <v>0</v>
      </c>
      <c r="H22" s="179">
        <f t="shared" si="2"/>
        <v>0</v>
      </c>
      <c r="I22" s="179">
        <f t="shared" si="2"/>
        <v>0</v>
      </c>
    </row>
    <row r="23" spans="1:9">
      <c r="A23" s="178"/>
      <c r="B23" s="179">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79">
        <f t="shared" si="0"/>
        <v>0</v>
      </c>
      <c r="D23" s="179">
        <f t="shared" si="2"/>
        <v>0</v>
      </c>
      <c r="E23" s="179">
        <f t="shared" si="2"/>
        <v>0</v>
      </c>
      <c r="F23" s="179">
        <f t="shared" si="2"/>
        <v>0</v>
      </c>
      <c r="G23" s="179">
        <f t="shared" si="2"/>
        <v>0</v>
      </c>
      <c r="H23" s="179">
        <f t="shared" si="2"/>
        <v>0</v>
      </c>
      <c r="I23" s="179">
        <f t="shared" si="2"/>
        <v>0</v>
      </c>
    </row>
    <row r="24" spans="1:9" ht="13">
      <c r="A24" s="180" t="s">
        <v>151</v>
      </c>
      <c r="B24" s="181">
        <f>SUM(B6:B23)</f>
        <v>0</v>
      </c>
      <c r="C24" s="181">
        <f>SUM(C6:C23)</f>
        <v>0</v>
      </c>
      <c r="D24" s="181">
        <f>SUM(D6:D23)</f>
        <v>0</v>
      </c>
      <c r="E24" s="181">
        <f>ROUND($C24*E$5,0)</f>
        <v>0</v>
      </c>
      <c r="F24" s="181">
        <f>SUM(F6:F23)</f>
        <v>0</v>
      </c>
      <c r="G24" s="181">
        <f>SUM(G6:G23)</f>
        <v>0</v>
      </c>
      <c r="H24" s="181">
        <f>SUM(H6:H23)</f>
        <v>0</v>
      </c>
      <c r="I24" s="181">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zoomScale="70" zoomScaleNormal="70" workbookViewId="0">
      <selection activeCell="A6" sqref="A6"/>
    </sheetView>
  </sheetViews>
  <sheetFormatPr defaultRowHeight="12.5"/>
  <cols>
    <col min="1" max="1" width="59.54296875" style="171" customWidth="1"/>
    <col min="2" max="2" width="16.08984375" style="171" customWidth="1"/>
    <col min="3" max="3" width="10.54296875" style="171" customWidth="1"/>
    <col min="4" max="4" width="59.1796875" style="182" customWidth="1"/>
    <col min="5" max="5" width="10.1796875" style="183" customWidth="1"/>
    <col min="6" max="6" width="13.08984375" style="184" customWidth="1"/>
    <col min="7" max="8" width="8.90625" style="184" customWidth="1"/>
    <col min="9" max="9" width="8.7265625" style="171" customWidth="1"/>
    <col min="10" max="10" width="35.1796875" style="171" customWidth="1"/>
    <col min="11" max="11" width="8.6328125" style="184" customWidth="1"/>
    <col min="12" max="12" width="8.453125" style="184" customWidth="1"/>
    <col min="13" max="13" width="27.08984375" style="171" customWidth="1"/>
    <col min="14" max="14" width="45.1796875" style="171" customWidth="1"/>
    <col min="15" max="1025" width="8.7265625" style="171" customWidth="1"/>
  </cols>
  <sheetData>
    <row r="1" spans="1:14" ht="14" customHeight="1">
      <c r="A1" s="278" t="s">
        <v>160</v>
      </c>
      <c r="B1" s="278"/>
      <c r="D1" s="279" t="s">
        <v>161</v>
      </c>
      <c r="E1" s="279"/>
      <c r="F1" s="279"/>
      <c r="G1" s="279"/>
      <c r="H1" s="279"/>
      <c r="J1" s="279" t="s">
        <v>25</v>
      </c>
      <c r="K1" s="279"/>
      <c r="L1" s="279"/>
      <c r="M1" s="279"/>
      <c r="N1" s="279"/>
    </row>
    <row r="2" spans="1:14" ht="14" customHeight="1">
      <c r="A2" s="185" t="s">
        <v>50</v>
      </c>
      <c r="B2" s="185" t="s">
        <v>162</v>
      </c>
      <c r="D2" s="186" t="s">
        <v>163</v>
      </c>
      <c r="E2" s="187" t="s">
        <v>164</v>
      </c>
      <c r="F2" s="187" t="s">
        <v>165</v>
      </c>
      <c r="G2" s="187" t="s">
        <v>166</v>
      </c>
      <c r="H2" s="187" t="s">
        <v>167</v>
      </c>
      <c r="J2" s="188" t="s">
        <v>168</v>
      </c>
      <c r="K2" s="189" t="s">
        <v>169</v>
      </c>
      <c r="L2" s="189" t="s">
        <v>50</v>
      </c>
      <c r="M2" s="189" t="s">
        <v>170</v>
      </c>
      <c r="N2" s="190" t="s">
        <v>62</v>
      </c>
    </row>
    <row r="3" spans="1:14" ht="14" customHeight="1">
      <c r="A3" s="186"/>
      <c r="B3" s="191"/>
      <c r="D3" s="186" t="s">
        <v>171</v>
      </c>
      <c r="E3" s="187" t="s">
        <v>164</v>
      </c>
      <c r="F3" s="187" t="s">
        <v>165</v>
      </c>
      <c r="G3" s="187" t="s">
        <v>166</v>
      </c>
      <c r="H3" s="187" t="s">
        <v>167</v>
      </c>
      <c r="J3" s="192"/>
      <c r="K3" s="193"/>
      <c r="L3" s="193"/>
      <c r="M3" s="194"/>
      <c r="N3" s="194"/>
    </row>
    <row r="4" spans="1:14" ht="14" customHeight="1">
      <c r="A4" s="186"/>
      <c r="B4" s="191"/>
      <c r="D4" s="186" t="s">
        <v>172</v>
      </c>
      <c r="E4" s="187" t="s">
        <v>164</v>
      </c>
      <c r="F4" s="187" t="s">
        <v>165</v>
      </c>
      <c r="G4" s="187" t="s">
        <v>166</v>
      </c>
      <c r="H4" s="187" t="s">
        <v>167</v>
      </c>
      <c r="J4" s="192"/>
      <c r="K4" s="193"/>
      <c r="L4" s="193"/>
      <c r="M4" s="194"/>
      <c r="N4" s="194"/>
    </row>
    <row r="5" spans="1:14" ht="14" customHeight="1">
      <c r="A5" s="186"/>
      <c r="B5" s="191"/>
      <c r="D5" s="186" t="s">
        <v>173</v>
      </c>
      <c r="E5" s="187" t="s">
        <v>164</v>
      </c>
      <c r="F5" s="187" t="s">
        <v>165</v>
      </c>
      <c r="G5" s="187" t="s">
        <v>166</v>
      </c>
      <c r="H5" s="187" t="s">
        <v>167</v>
      </c>
      <c r="J5" s="192"/>
      <c r="K5" s="193"/>
      <c r="L5" s="193"/>
      <c r="M5" s="194"/>
      <c r="N5" s="194"/>
    </row>
    <row r="6" spans="1:14" ht="14" customHeight="1">
      <c r="A6" s="186"/>
      <c r="B6" s="191"/>
      <c r="D6" s="186" t="s">
        <v>174</v>
      </c>
      <c r="E6" s="187" t="s">
        <v>164</v>
      </c>
      <c r="F6" s="187" t="s">
        <v>165</v>
      </c>
      <c r="G6" s="187" t="s">
        <v>166</v>
      </c>
      <c r="H6" s="187"/>
      <c r="J6" s="192"/>
      <c r="K6" s="193"/>
      <c r="L6" s="193"/>
      <c r="M6" s="194"/>
      <c r="N6" s="194"/>
    </row>
    <row r="7" spans="1:14" ht="14" customHeight="1">
      <c r="A7" s="186"/>
      <c r="B7" s="191"/>
      <c r="D7" s="186" t="s">
        <v>175</v>
      </c>
      <c r="E7" s="187" t="s">
        <v>164</v>
      </c>
      <c r="F7" s="187" t="s">
        <v>165</v>
      </c>
      <c r="G7" s="187" t="s">
        <v>166</v>
      </c>
      <c r="H7" s="187" t="s">
        <v>167</v>
      </c>
      <c r="J7" s="192"/>
      <c r="K7" s="193"/>
      <c r="L7" s="193"/>
      <c r="M7" s="194"/>
      <c r="N7" s="194"/>
    </row>
    <row r="8" spans="1:14" ht="14" customHeight="1">
      <c r="A8" s="186"/>
      <c r="B8" s="191"/>
      <c r="D8" s="195" t="s">
        <v>176</v>
      </c>
      <c r="E8" s="187" t="s">
        <v>164</v>
      </c>
      <c r="F8" s="187" t="s">
        <v>165</v>
      </c>
      <c r="G8" s="187"/>
      <c r="H8" s="187"/>
      <c r="J8" s="192"/>
      <c r="K8" s="193"/>
      <c r="L8" s="193"/>
      <c r="M8" s="194"/>
      <c r="N8" s="194"/>
    </row>
    <row r="9" spans="1:14" ht="14" customHeight="1">
      <c r="A9" s="196"/>
      <c r="B9" s="191"/>
      <c r="D9" s="195" t="s">
        <v>177</v>
      </c>
      <c r="E9" s="187" t="s">
        <v>164</v>
      </c>
      <c r="F9" s="187" t="s">
        <v>165</v>
      </c>
      <c r="G9" s="187" t="s">
        <v>166</v>
      </c>
      <c r="H9" s="187" t="s">
        <v>167</v>
      </c>
      <c r="J9" s="192"/>
      <c r="K9" s="193"/>
      <c r="L9" s="193"/>
      <c r="M9" s="194"/>
      <c r="N9" s="194"/>
    </row>
    <row r="10" spans="1:14" ht="14" customHeight="1">
      <c r="A10" s="196"/>
      <c r="B10" s="191"/>
      <c r="D10" s="186" t="s">
        <v>178</v>
      </c>
      <c r="E10" s="187" t="s">
        <v>164</v>
      </c>
      <c r="F10" s="187"/>
      <c r="G10" s="187"/>
      <c r="H10" s="187"/>
      <c r="J10" s="192"/>
      <c r="K10" s="193"/>
      <c r="L10" s="193"/>
      <c r="M10" s="194"/>
      <c r="N10" s="194"/>
    </row>
    <row r="11" spans="1:14" ht="14" customHeight="1">
      <c r="A11" s="196"/>
      <c r="B11" s="191"/>
      <c r="D11" s="186" t="s">
        <v>179</v>
      </c>
      <c r="E11" s="187" t="s">
        <v>164</v>
      </c>
      <c r="F11" s="187" t="s">
        <v>165</v>
      </c>
      <c r="G11" s="187"/>
      <c r="H11" s="187"/>
      <c r="J11" s="192"/>
      <c r="K11" s="193"/>
      <c r="L11" s="193"/>
      <c r="M11" s="194"/>
      <c r="N11" s="194"/>
    </row>
    <row r="12" spans="1:14" ht="14" customHeight="1">
      <c r="A12" s="196"/>
      <c r="B12" s="191"/>
      <c r="D12" s="186" t="s">
        <v>180</v>
      </c>
      <c r="E12" s="187" t="s">
        <v>164</v>
      </c>
      <c r="F12" s="187"/>
      <c r="G12" s="187"/>
      <c r="H12" s="187" t="s">
        <v>167</v>
      </c>
      <c r="J12" s="192"/>
      <c r="K12" s="193"/>
      <c r="L12" s="193"/>
      <c r="M12" s="194"/>
      <c r="N12" s="194"/>
    </row>
    <row r="13" spans="1:14" ht="14" customHeight="1">
      <c r="A13" s="195"/>
      <c r="B13" s="191"/>
      <c r="D13" s="186" t="s">
        <v>181</v>
      </c>
      <c r="E13" s="187"/>
      <c r="F13" s="187"/>
      <c r="G13" s="187"/>
      <c r="H13" s="187" t="s">
        <v>167</v>
      </c>
      <c r="J13" s="192"/>
      <c r="K13" s="193"/>
      <c r="L13" s="193"/>
      <c r="M13" s="194"/>
      <c r="N13" s="194"/>
    </row>
    <row r="14" spans="1:14" ht="14" customHeight="1">
      <c r="A14" s="195"/>
      <c r="B14" s="191"/>
      <c r="D14" s="186" t="s">
        <v>182</v>
      </c>
      <c r="E14" s="187"/>
      <c r="F14" s="187"/>
      <c r="G14" s="187"/>
      <c r="H14" s="187" t="s">
        <v>167</v>
      </c>
      <c r="J14" s="192"/>
      <c r="K14" s="193"/>
      <c r="L14" s="193"/>
      <c r="M14" s="194"/>
      <c r="N14" s="194"/>
    </row>
    <row r="15" spans="1:14" ht="14" customHeight="1">
      <c r="A15" s="186"/>
      <c r="B15" s="191"/>
      <c r="D15" s="195" t="s">
        <v>183</v>
      </c>
      <c r="E15" s="187"/>
      <c r="F15" s="187"/>
      <c r="G15" s="187"/>
      <c r="H15" s="187" t="s">
        <v>167</v>
      </c>
      <c r="J15" s="192"/>
      <c r="K15" s="193"/>
      <c r="L15" s="193"/>
      <c r="M15" s="194"/>
      <c r="N15" s="194"/>
    </row>
    <row r="16" spans="1:14">
      <c r="A16" s="186"/>
      <c r="B16" s="191"/>
      <c r="D16" s="186" t="s">
        <v>184</v>
      </c>
      <c r="E16" s="187"/>
      <c r="F16" s="187"/>
      <c r="G16" s="187" t="s">
        <v>166</v>
      </c>
      <c r="H16" s="187"/>
      <c r="J16" s="192"/>
      <c r="K16" s="193"/>
      <c r="L16" s="193"/>
      <c r="M16" s="194"/>
      <c r="N16" s="194"/>
    </row>
    <row r="17" spans="1:14" ht="14" customHeight="1">
      <c r="A17" s="186"/>
      <c r="B17" s="191"/>
      <c r="D17" s="186" t="s">
        <v>185</v>
      </c>
      <c r="E17" s="187" t="s">
        <v>164</v>
      </c>
      <c r="F17" s="187" t="s">
        <v>165</v>
      </c>
      <c r="G17" s="187" t="s">
        <v>166</v>
      </c>
      <c r="H17" s="187"/>
      <c r="J17" s="192"/>
      <c r="K17" s="193"/>
      <c r="L17" s="193"/>
      <c r="M17" s="194"/>
      <c r="N17" s="194"/>
    </row>
    <row r="18" spans="1:14" ht="14" customHeight="1">
      <c r="A18" s="186"/>
      <c r="B18" s="191"/>
      <c r="D18" s="186" t="s">
        <v>186</v>
      </c>
      <c r="E18" s="187" t="s">
        <v>164</v>
      </c>
      <c r="F18" s="187" t="s">
        <v>165</v>
      </c>
      <c r="G18" s="187" t="s">
        <v>166</v>
      </c>
      <c r="H18" s="187" t="s">
        <v>167</v>
      </c>
      <c r="J18" s="192"/>
      <c r="K18" s="193"/>
      <c r="L18" s="193"/>
      <c r="M18" s="194"/>
      <c r="N18" s="194"/>
    </row>
    <row r="19" spans="1:14" ht="14" customHeight="1">
      <c r="A19" s="196"/>
      <c r="B19" s="191"/>
      <c r="D19" s="186" t="s">
        <v>187</v>
      </c>
      <c r="E19" s="187"/>
      <c r="F19" s="187"/>
      <c r="G19" s="187"/>
      <c r="H19" s="187" t="s">
        <v>167</v>
      </c>
      <c r="J19" s="192"/>
      <c r="K19" s="193"/>
      <c r="L19" s="193"/>
      <c r="M19" s="194"/>
      <c r="N19" s="194"/>
    </row>
    <row r="20" spans="1:14" ht="14" customHeight="1">
      <c r="A20" s="196"/>
      <c r="B20" s="191"/>
      <c r="D20" s="186" t="s">
        <v>188</v>
      </c>
      <c r="E20" s="187"/>
      <c r="F20" s="187"/>
      <c r="G20" s="187" t="s">
        <v>166</v>
      </c>
      <c r="H20" s="187"/>
      <c r="J20" s="192"/>
      <c r="K20" s="193"/>
      <c r="L20" s="193"/>
      <c r="M20" s="194"/>
      <c r="N20" s="194"/>
    </row>
    <row r="21" spans="1:14" ht="14" customHeight="1">
      <c r="A21" s="195"/>
      <c r="B21" s="191"/>
      <c r="D21" s="186" t="s">
        <v>189</v>
      </c>
      <c r="E21" s="187" t="s">
        <v>164</v>
      </c>
      <c r="F21" s="187" t="s">
        <v>165</v>
      </c>
      <c r="G21" s="187" t="s">
        <v>166</v>
      </c>
      <c r="H21" s="187" t="s">
        <v>167</v>
      </c>
      <c r="J21" s="192"/>
      <c r="K21" s="193"/>
      <c r="L21" s="193"/>
      <c r="M21" s="194"/>
      <c r="N21" s="194"/>
    </row>
    <row r="22" spans="1:14" ht="14" customHeight="1">
      <c r="A22" s="195"/>
      <c r="B22" s="191"/>
      <c r="D22" s="186" t="s">
        <v>190</v>
      </c>
      <c r="E22" s="187" t="s">
        <v>164</v>
      </c>
      <c r="F22" s="187" t="s">
        <v>165</v>
      </c>
      <c r="G22" s="187" t="s">
        <v>166</v>
      </c>
      <c r="H22" s="187" t="s">
        <v>167</v>
      </c>
      <c r="J22" s="192"/>
      <c r="K22" s="193"/>
      <c r="L22" s="193"/>
      <c r="M22" s="194"/>
      <c r="N22" s="194"/>
    </row>
    <row r="23" spans="1:14" ht="14" customHeight="1">
      <c r="A23" s="195"/>
      <c r="B23" s="191"/>
      <c r="D23" s="186" t="s">
        <v>191</v>
      </c>
      <c r="E23" s="187" t="s">
        <v>164</v>
      </c>
      <c r="F23" s="187" t="s">
        <v>165</v>
      </c>
      <c r="G23" s="187" t="s">
        <v>166</v>
      </c>
      <c r="H23" s="187" t="s">
        <v>167</v>
      </c>
      <c r="J23" s="192"/>
      <c r="K23" s="193"/>
      <c r="L23" s="193"/>
      <c r="M23" s="194"/>
      <c r="N23" s="194"/>
    </row>
    <row r="24" spans="1:14" ht="14" customHeight="1">
      <c r="A24" s="195"/>
      <c r="B24" s="191"/>
      <c r="D24" s="186" t="s">
        <v>192</v>
      </c>
      <c r="E24" s="187" t="s">
        <v>164</v>
      </c>
      <c r="F24" s="187" t="s">
        <v>165</v>
      </c>
      <c r="G24" s="187" t="s">
        <v>166</v>
      </c>
      <c r="H24" s="187" t="s">
        <v>167</v>
      </c>
      <c r="J24" s="192"/>
      <c r="K24" s="193"/>
      <c r="L24" s="193"/>
      <c r="M24" s="194"/>
      <c r="N24" s="194"/>
    </row>
    <row r="25" spans="1:14" ht="14" customHeight="1">
      <c r="A25" s="195"/>
      <c r="B25" s="191"/>
      <c r="D25" s="186" t="s">
        <v>193</v>
      </c>
      <c r="E25" s="187" t="s">
        <v>164</v>
      </c>
      <c r="F25" s="187" t="s">
        <v>165</v>
      </c>
      <c r="G25" s="187"/>
      <c r="H25" s="187"/>
      <c r="J25" s="192"/>
      <c r="K25" s="193"/>
      <c r="L25" s="193"/>
      <c r="M25" s="194"/>
      <c r="N25" s="194"/>
    </row>
    <row r="26" spans="1:14" ht="14" customHeight="1">
      <c r="A26" s="195"/>
      <c r="B26" s="191"/>
      <c r="D26" s="186" t="s">
        <v>194</v>
      </c>
      <c r="E26" s="187" t="s">
        <v>164</v>
      </c>
      <c r="F26" s="187" t="s">
        <v>165</v>
      </c>
      <c r="G26" s="187" t="s">
        <v>166</v>
      </c>
      <c r="H26" s="187" t="s">
        <v>167</v>
      </c>
      <c r="J26" s="192"/>
      <c r="K26" s="193"/>
      <c r="L26" s="193"/>
      <c r="M26" s="194"/>
      <c r="N26" s="194"/>
    </row>
    <row r="27" spans="1:14" ht="14" customHeight="1">
      <c r="A27" s="195"/>
      <c r="B27" s="191"/>
      <c r="D27" s="186" t="s">
        <v>195</v>
      </c>
      <c r="E27" s="187" t="s">
        <v>164</v>
      </c>
      <c r="F27" s="187" t="s">
        <v>165</v>
      </c>
      <c r="G27" s="187" t="s">
        <v>166</v>
      </c>
      <c r="H27" s="187" t="s">
        <v>167</v>
      </c>
      <c r="J27" s="192"/>
      <c r="K27" s="193"/>
      <c r="L27" s="193"/>
      <c r="M27" s="194"/>
      <c r="N27" s="194"/>
    </row>
    <row r="28" spans="1:14" ht="14" customHeight="1">
      <c r="A28" s="195"/>
      <c r="B28" s="191"/>
      <c r="D28" s="186" t="s">
        <v>196</v>
      </c>
      <c r="E28" s="187" t="s">
        <v>164</v>
      </c>
      <c r="F28" s="187" t="s">
        <v>165</v>
      </c>
      <c r="G28" s="187" t="s">
        <v>166</v>
      </c>
      <c r="H28" s="187" t="s">
        <v>167</v>
      </c>
      <c r="J28" s="192"/>
      <c r="K28" s="193"/>
      <c r="L28" s="193"/>
      <c r="M28" s="194"/>
      <c r="N28" s="194"/>
    </row>
    <row r="29" spans="1:14" ht="14" customHeight="1">
      <c r="A29" s="195"/>
      <c r="B29" s="191"/>
      <c r="D29" s="186" t="s">
        <v>197</v>
      </c>
      <c r="E29" s="187" t="s">
        <v>164</v>
      </c>
      <c r="F29" s="187" t="s">
        <v>165</v>
      </c>
      <c r="G29" s="187" t="s">
        <v>166</v>
      </c>
      <c r="H29" s="187" t="s">
        <v>167</v>
      </c>
      <c r="J29" s="192"/>
      <c r="K29" s="193"/>
      <c r="L29" s="193"/>
      <c r="M29" s="194"/>
      <c r="N29" s="194"/>
    </row>
    <row r="30" spans="1:14" ht="14" customHeight="1">
      <c r="A30" s="195"/>
      <c r="B30" s="191"/>
      <c r="D30" s="186" t="s">
        <v>198</v>
      </c>
      <c r="E30" s="187" t="s">
        <v>164</v>
      </c>
      <c r="F30" s="187" t="s">
        <v>165</v>
      </c>
      <c r="G30" s="187" t="s">
        <v>166</v>
      </c>
      <c r="H30" s="187" t="s">
        <v>167</v>
      </c>
      <c r="J30" s="192"/>
      <c r="K30" s="193"/>
      <c r="L30" s="193"/>
      <c r="M30" s="194"/>
      <c r="N30" s="194"/>
    </row>
    <row r="31" spans="1:14" ht="14" customHeight="1">
      <c r="A31" s="195"/>
      <c r="B31" s="191"/>
      <c r="D31" s="186" t="s">
        <v>199</v>
      </c>
      <c r="E31" s="187" t="s">
        <v>164</v>
      </c>
      <c r="F31" s="187" t="s">
        <v>165</v>
      </c>
      <c r="G31" s="187" t="s">
        <v>166</v>
      </c>
      <c r="H31" s="187" t="s">
        <v>167</v>
      </c>
      <c r="J31" s="192"/>
      <c r="K31" s="193"/>
      <c r="L31" s="193"/>
      <c r="M31" s="194"/>
      <c r="N31" s="194"/>
    </row>
    <row r="32" spans="1:14" ht="14" customHeight="1">
      <c r="A32" s="195"/>
      <c r="B32" s="191"/>
      <c r="D32" s="186" t="s">
        <v>200</v>
      </c>
      <c r="E32" s="187" t="s">
        <v>164</v>
      </c>
      <c r="F32" s="187" t="s">
        <v>165</v>
      </c>
      <c r="G32" s="187" t="s">
        <v>166</v>
      </c>
      <c r="H32" s="187" t="s">
        <v>167</v>
      </c>
      <c r="J32" s="192"/>
      <c r="K32" s="193"/>
      <c r="L32" s="193"/>
      <c r="M32" s="194"/>
      <c r="N32" s="194"/>
    </row>
    <row r="33" spans="1:14" ht="14" customHeight="1">
      <c r="A33" s="195"/>
      <c r="B33" s="191"/>
      <c r="D33" s="186" t="s">
        <v>201</v>
      </c>
      <c r="E33" s="187" t="s">
        <v>164</v>
      </c>
      <c r="F33" s="187" t="s">
        <v>165</v>
      </c>
      <c r="G33" s="187" t="s">
        <v>166</v>
      </c>
      <c r="H33" s="187" t="s">
        <v>167</v>
      </c>
      <c r="J33" s="192"/>
      <c r="K33" s="193"/>
      <c r="L33" s="193"/>
      <c r="M33" s="194"/>
      <c r="N33" s="194"/>
    </row>
    <row r="34" spans="1:14" ht="14" customHeight="1">
      <c r="A34" s="195"/>
      <c r="B34" s="191"/>
      <c r="D34" s="186" t="s">
        <v>202</v>
      </c>
      <c r="E34" s="187" t="s">
        <v>164</v>
      </c>
      <c r="F34" s="187" t="s">
        <v>165</v>
      </c>
      <c r="G34" s="187" t="s">
        <v>166</v>
      </c>
      <c r="H34" s="187" t="s">
        <v>167</v>
      </c>
      <c r="J34" s="192"/>
      <c r="K34" s="193"/>
      <c r="L34" s="193"/>
      <c r="M34" s="194"/>
      <c r="N34" s="194"/>
    </row>
    <row r="35" spans="1:14" ht="14" customHeight="1">
      <c r="A35" s="195"/>
      <c r="B35" s="191"/>
      <c r="D35" s="186" t="s">
        <v>203</v>
      </c>
      <c r="E35" s="187" t="s">
        <v>164</v>
      </c>
      <c r="F35" s="187" t="s">
        <v>165</v>
      </c>
      <c r="G35" s="187" t="s">
        <v>166</v>
      </c>
      <c r="H35" s="187" t="s">
        <v>167</v>
      </c>
      <c r="J35" s="192"/>
      <c r="K35" s="193"/>
      <c r="L35" s="193"/>
      <c r="M35" s="194"/>
      <c r="N35" s="194"/>
    </row>
    <row r="36" spans="1:14" ht="14" customHeight="1">
      <c r="A36" s="195"/>
      <c r="B36" s="191"/>
      <c r="D36" s="186" t="s">
        <v>204</v>
      </c>
      <c r="E36" s="187" t="s">
        <v>164</v>
      </c>
      <c r="F36" s="187" t="s">
        <v>165</v>
      </c>
      <c r="G36" s="187" t="s">
        <v>166</v>
      </c>
      <c r="H36" s="187" t="s">
        <v>167</v>
      </c>
      <c r="J36" s="192"/>
      <c r="K36" s="193"/>
      <c r="L36" s="193"/>
      <c r="M36" s="194"/>
      <c r="N36" s="194"/>
    </row>
    <row r="37" spans="1:14" ht="14" customHeight="1">
      <c r="A37" s="195"/>
      <c r="B37" s="191"/>
      <c r="D37" s="186" t="s">
        <v>205</v>
      </c>
      <c r="E37" s="187" t="s">
        <v>164</v>
      </c>
      <c r="F37" s="187" t="s">
        <v>165</v>
      </c>
      <c r="G37" s="187" t="s">
        <v>166</v>
      </c>
      <c r="H37" s="187" t="s">
        <v>167</v>
      </c>
      <c r="J37" s="192"/>
      <c r="K37" s="193"/>
      <c r="L37" s="193"/>
      <c r="M37" s="194"/>
      <c r="N37" s="194"/>
    </row>
    <row r="38" spans="1:14" ht="14" customHeight="1">
      <c r="A38" s="195"/>
      <c r="B38" s="191"/>
      <c r="D38" s="186" t="s">
        <v>206</v>
      </c>
      <c r="E38" s="187" t="s">
        <v>164</v>
      </c>
      <c r="F38" s="187" t="s">
        <v>165</v>
      </c>
      <c r="G38" s="187" t="s">
        <v>166</v>
      </c>
      <c r="H38" s="187" t="s">
        <v>167</v>
      </c>
      <c r="J38" s="192"/>
      <c r="K38" s="193"/>
      <c r="L38" s="193"/>
      <c r="M38" s="194"/>
      <c r="N38" s="194"/>
    </row>
    <row r="39" spans="1:14" ht="14" customHeight="1">
      <c r="A39" s="195"/>
      <c r="B39" s="191"/>
      <c r="D39" s="186" t="s">
        <v>207</v>
      </c>
      <c r="E39" s="187" t="s">
        <v>164</v>
      </c>
      <c r="F39" s="187" t="s">
        <v>165</v>
      </c>
      <c r="G39" s="187" t="s">
        <v>166</v>
      </c>
      <c r="H39" s="187" t="s">
        <v>167</v>
      </c>
      <c r="J39" s="192"/>
      <c r="K39" s="193"/>
      <c r="L39" s="193"/>
      <c r="M39" s="194"/>
      <c r="N39" s="194"/>
    </row>
    <row r="40" spans="1:14" ht="14" customHeight="1">
      <c r="A40" s="196"/>
      <c r="B40" s="196"/>
      <c r="D40" s="186" t="s">
        <v>208</v>
      </c>
      <c r="E40" s="187" t="s">
        <v>164</v>
      </c>
      <c r="F40" s="187" t="s">
        <v>165</v>
      </c>
      <c r="G40" s="187" t="s">
        <v>166</v>
      </c>
      <c r="H40" s="187" t="s">
        <v>167</v>
      </c>
      <c r="J40" s="192"/>
      <c r="K40" s="193"/>
      <c r="L40" s="193"/>
      <c r="M40" s="194"/>
      <c r="N40" s="194"/>
    </row>
    <row r="41" spans="1:14" ht="14" customHeight="1">
      <c r="A41" s="196"/>
      <c r="B41" s="196"/>
      <c r="D41" s="186" t="s">
        <v>209</v>
      </c>
      <c r="E41" s="187" t="s">
        <v>164</v>
      </c>
      <c r="F41" s="187" t="s">
        <v>165</v>
      </c>
      <c r="G41" s="187" t="s">
        <v>166</v>
      </c>
      <c r="H41" s="187" t="s">
        <v>167</v>
      </c>
      <c r="J41" s="192"/>
      <c r="K41" s="193"/>
      <c r="L41" s="193"/>
      <c r="M41" s="194"/>
      <c r="N41" s="194"/>
    </row>
    <row r="42" spans="1:14" ht="14" customHeight="1">
      <c r="A42" s="196"/>
      <c r="B42" s="196"/>
      <c r="D42" s="186" t="s">
        <v>210</v>
      </c>
      <c r="E42" s="187" t="s">
        <v>164</v>
      </c>
      <c r="F42" s="187" t="s">
        <v>165</v>
      </c>
      <c r="G42" s="187" t="s">
        <v>166</v>
      </c>
      <c r="H42" s="187" t="s">
        <v>167</v>
      </c>
      <c r="J42" s="192"/>
      <c r="K42" s="193"/>
      <c r="L42" s="193"/>
      <c r="M42" s="194"/>
      <c r="N42" s="194"/>
    </row>
    <row r="43" spans="1:14" ht="14" customHeight="1">
      <c r="A43" s="196"/>
      <c r="B43" s="196"/>
      <c r="D43" s="186" t="s">
        <v>211</v>
      </c>
      <c r="E43" s="187" t="s">
        <v>164</v>
      </c>
      <c r="F43" s="187" t="s">
        <v>165</v>
      </c>
      <c r="G43" s="187" t="s">
        <v>166</v>
      </c>
      <c r="H43" s="187" t="s">
        <v>167</v>
      </c>
      <c r="J43" s="192"/>
      <c r="K43" s="193"/>
      <c r="L43" s="193"/>
      <c r="M43" s="194"/>
      <c r="N43" s="194"/>
    </row>
    <row r="44" spans="1:14" ht="14" customHeight="1">
      <c r="A44" s="196"/>
      <c r="B44" s="196"/>
      <c r="D44" s="186" t="s">
        <v>212</v>
      </c>
      <c r="E44" s="187" t="s">
        <v>164</v>
      </c>
      <c r="F44" s="187" t="s">
        <v>165</v>
      </c>
      <c r="G44" s="187" t="s">
        <v>166</v>
      </c>
      <c r="H44" s="187" t="s">
        <v>167</v>
      </c>
      <c r="J44" s="192"/>
      <c r="K44" s="193"/>
      <c r="L44" s="193"/>
      <c r="M44" s="194"/>
      <c r="N44" s="194"/>
    </row>
    <row r="45" spans="1:14" ht="14" customHeight="1">
      <c r="A45" s="196"/>
      <c r="B45" s="196"/>
      <c r="D45" s="186" t="s">
        <v>213</v>
      </c>
      <c r="E45" s="187" t="s">
        <v>164</v>
      </c>
      <c r="F45" s="187" t="s">
        <v>165</v>
      </c>
      <c r="G45" s="187" t="s">
        <v>166</v>
      </c>
      <c r="H45" s="187" t="s">
        <v>167</v>
      </c>
      <c r="J45" s="192"/>
      <c r="K45" s="193"/>
      <c r="L45" s="193"/>
      <c r="M45" s="194"/>
      <c r="N45" s="194"/>
    </row>
    <row r="46" spans="1:14" ht="14" customHeight="1">
      <c r="A46" s="196"/>
      <c r="B46" s="196"/>
      <c r="D46" s="186" t="s">
        <v>214</v>
      </c>
      <c r="E46" s="187" t="s">
        <v>164</v>
      </c>
      <c r="F46" s="187" t="s">
        <v>165</v>
      </c>
      <c r="G46" s="187" t="s">
        <v>166</v>
      </c>
      <c r="H46" s="187" t="s">
        <v>167</v>
      </c>
      <c r="J46" s="192"/>
      <c r="K46" s="193"/>
      <c r="L46" s="193"/>
      <c r="M46" s="194"/>
      <c r="N46" s="194"/>
    </row>
    <row r="47" spans="1:14" ht="14" customHeight="1">
      <c r="A47" s="196"/>
      <c r="B47" s="196"/>
      <c r="D47" s="186" t="s">
        <v>215</v>
      </c>
      <c r="E47" s="187" t="s">
        <v>164</v>
      </c>
      <c r="F47" s="187" t="s">
        <v>165</v>
      </c>
      <c r="G47" s="187" t="s">
        <v>166</v>
      </c>
      <c r="H47" s="187" t="s">
        <v>167</v>
      </c>
      <c r="J47" s="192"/>
      <c r="K47" s="193"/>
      <c r="L47" s="193"/>
      <c r="M47" s="194"/>
      <c r="N47" s="194"/>
    </row>
    <row r="48" spans="1:14" ht="14" customHeight="1">
      <c r="A48" s="196"/>
      <c r="B48" s="196"/>
      <c r="D48" s="186" t="s">
        <v>216</v>
      </c>
      <c r="E48" s="187" t="s">
        <v>164</v>
      </c>
      <c r="F48" s="187" t="s">
        <v>165</v>
      </c>
      <c r="G48" s="187" t="s">
        <v>166</v>
      </c>
      <c r="H48" s="187" t="s">
        <v>167</v>
      </c>
      <c r="J48" s="192"/>
      <c r="K48" s="193"/>
      <c r="L48" s="193"/>
      <c r="M48" s="194"/>
      <c r="N48" s="194"/>
    </row>
    <row r="49" spans="1:14" ht="14" customHeight="1">
      <c r="A49" s="196"/>
      <c r="B49" s="196"/>
      <c r="D49" s="186" t="s">
        <v>217</v>
      </c>
      <c r="E49" s="187" t="s">
        <v>164</v>
      </c>
      <c r="F49" s="187" t="s">
        <v>165</v>
      </c>
      <c r="G49" s="187" t="s">
        <v>166</v>
      </c>
      <c r="H49" s="187" t="s">
        <v>167</v>
      </c>
      <c r="J49" s="192"/>
      <c r="K49" s="193"/>
      <c r="L49" s="193"/>
      <c r="M49" s="194"/>
      <c r="N49" s="194"/>
    </row>
    <row r="50" spans="1:14" ht="14" customHeight="1">
      <c r="A50" s="196"/>
      <c r="B50" s="196"/>
      <c r="D50" s="186" t="s">
        <v>218</v>
      </c>
      <c r="E50" s="187" t="s">
        <v>164</v>
      </c>
      <c r="F50" s="187" t="s">
        <v>165</v>
      </c>
      <c r="G50" s="187" t="s">
        <v>166</v>
      </c>
      <c r="H50" s="187" t="s">
        <v>167</v>
      </c>
      <c r="J50" s="192"/>
      <c r="K50" s="193"/>
      <c r="L50" s="193"/>
      <c r="M50" s="194"/>
      <c r="N50" s="194"/>
    </row>
    <row r="51" spans="1:14" ht="14" customHeight="1">
      <c r="A51" s="196"/>
      <c r="B51" s="196"/>
      <c r="D51" s="186" t="s">
        <v>219</v>
      </c>
      <c r="E51" s="187" t="s">
        <v>164</v>
      </c>
      <c r="F51" s="187" t="s">
        <v>165</v>
      </c>
      <c r="G51" s="187" t="s">
        <v>166</v>
      </c>
      <c r="H51" s="187" t="s">
        <v>167</v>
      </c>
      <c r="J51" s="192"/>
      <c r="K51" s="193"/>
      <c r="L51" s="193"/>
      <c r="M51" s="194"/>
      <c r="N51" s="194"/>
    </row>
    <row r="52" spans="1:14" ht="14" customHeight="1">
      <c r="A52" s="196"/>
      <c r="B52" s="196"/>
      <c r="D52" s="186" t="s">
        <v>220</v>
      </c>
      <c r="E52" s="187" t="s">
        <v>164</v>
      </c>
      <c r="F52" s="187" t="s">
        <v>165</v>
      </c>
      <c r="G52" s="187" t="s">
        <v>166</v>
      </c>
      <c r="H52" s="187" t="s">
        <v>167</v>
      </c>
      <c r="J52" s="192"/>
      <c r="K52" s="193"/>
      <c r="L52" s="193"/>
      <c r="M52" s="194"/>
      <c r="N52" s="194"/>
    </row>
    <row r="53" spans="1:14" ht="14" customHeight="1">
      <c r="A53" s="196"/>
      <c r="B53" s="196"/>
      <c r="D53" s="186" t="s">
        <v>221</v>
      </c>
      <c r="E53" s="187" t="s">
        <v>164</v>
      </c>
      <c r="F53" s="187" t="s">
        <v>165</v>
      </c>
      <c r="G53" s="187" t="s">
        <v>166</v>
      </c>
      <c r="H53" s="187" t="s">
        <v>167</v>
      </c>
      <c r="J53" s="192"/>
      <c r="K53" s="193"/>
      <c r="L53" s="193"/>
      <c r="M53" s="194"/>
      <c r="N53" s="194"/>
    </row>
    <row r="54" spans="1:14" s="171" customFormat="1" ht="14" customHeight="1">
      <c r="A54" s="196"/>
      <c r="B54" s="196"/>
      <c r="J54" s="192"/>
      <c r="K54" s="193"/>
      <c r="L54" s="193"/>
      <c r="M54" s="194"/>
      <c r="N54" s="194"/>
    </row>
    <row r="55" spans="1:14" s="171" customFormat="1" ht="14" customHeight="1">
      <c r="A55" s="196"/>
      <c r="B55" s="196"/>
      <c r="J55" s="192"/>
      <c r="K55" s="193"/>
      <c r="L55" s="193"/>
      <c r="M55" s="194"/>
      <c r="N55" s="194"/>
    </row>
    <row r="56" spans="1:14" s="171" customFormat="1" ht="14" customHeight="1">
      <c r="A56" s="196"/>
      <c r="B56" s="196"/>
      <c r="J56" s="192"/>
      <c r="K56" s="193"/>
      <c r="L56" s="193"/>
      <c r="M56" s="194"/>
      <c r="N56" s="194"/>
    </row>
    <row r="57" spans="1:14" s="171" customFormat="1" ht="14" customHeight="1">
      <c r="A57" s="196"/>
      <c r="B57" s="196"/>
      <c r="J57" s="192"/>
      <c r="K57" s="193"/>
      <c r="L57" s="193"/>
      <c r="M57" s="194"/>
      <c r="N57" s="194"/>
    </row>
    <row r="58" spans="1:14" s="171" customFormat="1" ht="14" customHeight="1">
      <c r="A58" s="196"/>
      <c r="B58" s="196"/>
      <c r="J58" s="192"/>
      <c r="K58" s="193"/>
      <c r="L58" s="193"/>
      <c r="M58" s="194"/>
      <c r="N58" s="194"/>
    </row>
    <row r="59" spans="1:14" s="171" customFormat="1" ht="14" customHeight="1">
      <c r="A59" s="196"/>
      <c r="B59" s="196"/>
      <c r="J59" s="192"/>
      <c r="K59" s="193"/>
      <c r="L59" s="193"/>
      <c r="M59" s="194"/>
      <c r="N59" s="194"/>
    </row>
    <row r="60" spans="1:14" s="171" customFormat="1" ht="14" customHeight="1">
      <c r="A60" s="196"/>
      <c r="B60" s="196"/>
      <c r="J60" s="192"/>
      <c r="K60" s="193"/>
      <c r="L60" s="193"/>
      <c r="M60" s="194"/>
      <c r="N60" s="194"/>
    </row>
    <row r="61" spans="1:14" s="171" customFormat="1" ht="14" customHeight="1">
      <c r="A61" s="196"/>
      <c r="B61" s="196"/>
      <c r="J61" s="192"/>
      <c r="K61" s="193"/>
      <c r="L61" s="193"/>
      <c r="M61" s="194"/>
      <c r="N61" s="194"/>
    </row>
    <row r="62" spans="1:14" s="171" customFormat="1" ht="14" customHeight="1">
      <c r="A62" s="196"/>
      <c r="B62" s="196"/>
      <c r="J62" s="192"/>
      <c r="K62" s="193"/>
      <c r="L62" s="193"/>
      <c r="M62" s="194"/>
      <c r="N62" s="194"/>
    </row>
    <row r="63" spans="1:14" s="171" customFormat="1" ht="14" customHeight="1">
      <c r="A63" s="196"/>
      <c r="B63" s="196"/>
      <c r="J63" s="192"/>
      <c r="K63" s="193"/>
      <c r="L63" s="193"/>
      <c r="M63" s="194"/>
      <c r="N63" s="194"/>
    </row>
    <row r="64" spans="1:14" s="171" customFormat="1" ht="14" customHeight="1">
      <c r="A64" s="196"/>
      <c r="B64" s="196"/>
      <c r="J64" s="192"/>
      <c r="K64" s="193"/>
      <c r="L64" s="193"/>
      <c r="M64" s="194"/>
      <c r="N64" s="194"/>
    </row>
    <row r="65" spans="1:14" s="171" customFormat="1" ht="14" customHeight="1">
      <c r="A65" s="196"/>
      <c r="B65" s="196"/>
      <c r="J65" s="192"/>
      <c r="K65" s="193"/>
      <c r="L65" s="193"/>
      <c r="M65" s="194"/>
      <c r="N65" s="194"/>
    </row>
    <row r="66" spans="1:14" s="171" customFormat="1" ht="14" customHeight="1">
      <c r="A66" s="196"/>
      <c r="B66" s="196"/>
      <c r="J66" s="192"/>
      <c r="K66" s="193"/>
      <c r="L66" s="193"/>
      <c r="M66" s="194"/>
      <c r="N66" s="194"/>
    </row>
    <row r="67" spans="1:14" s="171" customFormat="1" ht="14" customHeight="1">
      <c r="A67" s="196"/>
      <c r="B67" s="196"/>
      <c r="J67" s="192"/>
      <c r="K67" s="193"/>
      <c r="L67" s="193"/>
      <c r="M67" s="194"/>
      <c r="N67" s="194"/>
    </row>
    <row r="68" spans="1:14" s="171" customFormat="1" ht="14" customHeight="1">
      <c r="A68" s="196"/>
      <c r="B68" s="196"/>
      <c r="J68" s="192"/>
      <c r="K68" s="193"/>
      <c r="L68" s="193"/>
      <c r="M68" s="194"/>
      <c r="N68" s="194"/>
    </row>
    <row r="69" spans="1:14" s="171" customFormat="1" ht="14" customHeight="1">
      <c r="A69" s="196"/>
      <c r="B69" s="196"/>
      <c r="J69" s="192"/>
      <c r="K69" s="193"/>
      <c r="L69" s="193"/>
      <c r="M69" s="194"/>
      <c r="N69" s="194"/>
    </row>
    <row r="70" spans="1:14" s="171" customFormat="1" ht="14" customHeight="1">
      <c r="A70" s="196"/>
      <c r="B70" s="196"/>
      <c r="J70" s="192"/>
      <c r="K70" s="193"/>
      <c r="L70" s="193"/>
      <c r="M70" s="194"/>
      <c r="N70" s="194"/>
    </row>
    <row r="71" spans="1:14" s="171" customFormat="1" ht="14" customHeight="1">
      <c r="A71" s="196"/>
      <c r="B71" s="196"/>
      <c r="J71" s="192"/>
      <c r="K71" s="193"/>
      <c r="L71" s="193"/>
      <c r="M71" s="194"/>
      <c r="N71" s="194"/>
    </row>
    <row r="72" spans="1:14" s="171" customFormat="1" ht="14" customHeight="1">
      <c r="A72" s="196"/>
      <c r="B72" s="196"/>
      <c r="J72" s="192"/>
      <c r="K72" s="193"/>
      <c r="L72" s="193"/>
      <c r="M72" s="194"/>
      <c r="N72" s="194"/>
    </row>
    <row r="73" spans="1:14" s="171" customFormat="1" ht="14" customHeight="1">
      <c r="A73" s="196"/>
      <c r="B73" s="196"/>
      <c r="J73" s="192"/>
      <c r="K73" s="193"/>
      <c r="L73" s="193"/>
      <c r="M73" s="194"/>
      <c r="N73" s="194"/>
    </row>
    <row r="74" spans="1:14" s="171" customFormat="1" ht="14" customHeight="1">
      <c r="A74" s="196"/>
      <c r="B74" s="196"/>
      <c r="J74" s="192"/>
      <c r="K74" s="193"/>
      <c r="L74" s="193"/>
      <c r="M74" s="194"/>
      <c r="N74" s="194"/>
    </row>
    <row r="75" spans="1:14" s="171" customFormat="1" ht="14" customHeight="1">
      <c r="A75" s="196"/>
      <c r="B75" s="196"/>
      <c r="J75" s="192"/>
      <c r="K75" s="193"/>
      <c r="L75" s="193"/>
      <c r="M75" s="194"/>
      <c r="N75" s="194"/>
    </row>
    <row r="76" spans="1:14" s="171" customFormat="1" ht="14" customHeight="1">
      <c r="A76" s="196"/>
      <c r="B76" s="196"/>
      <c r="J76" s="192"/>
      <c r="K76" s="193"/>
      <c r="L76" s="193"/>
      <c r="M76" s="194"/>
      <c r="N76" s="194"/>
    </row>
    <row r="77" spans="1:14" s="171" customFormat="1" ht="14" customHeight="1">
      <c r="A77" s="196"/>
      <c r="B77" s="196"/>
      <c r="J77" s="192"/>
      <c r="K77" s="193"/>
      <c r="L77" s="193"/>
      <c r="M77" s="194"/>
      <c r="N77" s="194"/>
    </row>
    <row r="78" spans="1:14" s="171" customFormat="1" ht="14" customHeight="1">
      <c r="A78" s="196"/>
      <c r="B78" s="196"/>
      <c r="J78" s="192"/>
      <c r="K78" s="193"/>
      <c r="L78" s="193"/>
      <c r="M78" s="194"/>
      <c r="N78" s="194"/>
    </row>
    <row r="79" spans="1:14" s="171" customFormat="1" ht="14" customHeight="1">
      <c r="A79" s="196"/>
      <c r="B79" s="196"/>
      <c r="J79" s="192"/>
      <c r="K79" s="193"/>
      <c r="L79" s="193"/>
      <c r="M79" s="194"/>
      <c r="N79" s="194"/>
    </row>
    <row r="80" spans="1:14" s="171" customFormat="1" ht="14" customHeight="1">
      <c r="A80" s="196"/>
      <c r="B80" s="196"/>
      <c r="J80" s="192"/>
      <c r="K80" s="193"/>
      <c r="L80" s="193"/>
      <c r="M80" s="194"/>
      <c r="N80" s="194"/>
    </row>
    <row r="81" spans="1:14" s="171" customFormat="1" ht="14" customHeight="1">
      <c r="A81" s="196"/>
      <c r="B81" s="196"/>
      <c r="J81" s="192"/>
      <c r="K81" s="193"/>
      <c r="L81" s="193"/>
      <c r="M81" s="194"/>
      <c r="N81" s="194"/>
    </row>
    <row r="82" spans="1:14" s="171" customFormat="1" ht="14" customHeight="1">
      <c r="A82" s="196"/>
      <c r="B82" s="196"/>
      <c r="J82" s="192"/>
      <c r="K82" s="193"/>
      <c r="L82" s="193"/>
      <c r="M82" s="194"/>
      <c r="N82" s="194"/>
    </row>
    <row r="83" spans="1:14" s="171" customFormat="1" ht="14" customHeight="1">
      <c r="A83" s="196"/>
      <c r="B83" s="196"/>
      <c r="J83" s="192"/>
      <c r="K83" s="193"/>
      <c r="L83" s="193"/>
      <c r="M83" s="194"/>
      <c r="N83" s="194"/>
    </row>
    <row r="84" spans="1:14" s="171" customFormat="1" ht="14" customHeight="1">
      <c r="A84" s="196"/>
      <c r="B84" s="196"/>
      <c r="J84" s="192"/>
      <c r="K84" s="193"/>
      <c r="L84" s="193"/>
      <c r="M84" s="194"/>
      <c r="N84" s="194"/>
    </row>
    <row r="85" spans="1:14" s="171" customFormat="1" ht="14" customHeight="1">
      <c r="A85" s="196"/>
      <c r="B85" s="196"/>
      <c r="J85" s="192"/>
      <c r="K85" s="193"/>
      <c r="L85" s="193"/>
      <c r="M85" s="194"/>
      <c r="N85" s="194"/>
    </row>
    <row r="86" spans="1:14" s="171" customFormat="1" ht="14" customHeight="1">
      <c r="A86" s="196"/>
      <c r="B86" s="196"/>
      <c r="J86" s="192"/>
      <c r="K86" s="193"/>
      <c r="L86" s="193"/>
      <c r="M86" s="194"/>
      <c r="N86" s="194"/>
    </row>
    <row r="87" spans="1:14" s="171" customFormat="1" ht="14" customHeight="1">
      <c r="A87" s="196"/>
      <c r="B87" s="196"/>
      <c r="J87" s="192"/>
      <c r="K87" s="193"/>
      <c r="L87" s="193"/>
      <c r="M87" s="194"/>
      <c r="N87" s="194"/>
    </row>
    <row r="88" spans="1:14" s="171" customFormat="1" ht="14" customHeight="1">
      <c r="A88" s="196"/>
      <c r="B88" s="196"/>
      <c r="J88" s="192"/>
      <c r="K88" s="193"/>
      <c r="L88" s="193"/>
      <c r="M88" s="194"/>
      <c r="N88" s="194"/>
    </row>
    <row r="89" spans="1:14" s="171" customFormat="1" ht="14" customHeight="1">
      <c r="A89" s="196"/>
      <c r="B89" s="196"/>
      <c r="J89" s="192"/>
      <c r="K89" s="193"/>
      <c r="L89" s="193"/>
      <c r="M89" s="194"/>
      <c r="N89" s="194"/>
    </row>
    <row r="90" spans="1:14" s="171" customFormat="1" ht="14" customHeight="1">
      <c r="A90" s="196"/>
      <c r="B90" s="196"/>
      <c r="J90" s="192"/>
      <c r="K90" s="193"/>
      <c r="L90" s="193"/>
      <c r="M90" s="194"/>
      <c r="N90" s="194"/>
    </row>
    <row r="91" spans="1:14" s="171" customFormat="1" ht="14" customHeight="1">
      <c r="A91" s="196"/>
      <c r="B91" s="196"/>
      <c r="J91" s="192"/>
      <c r="K91" s="193"/>
      <c r="L91" s="193"/>
      <c r="M91" s="194"/>
      <c r="N91" s="194"/>
    </row>
    <row r="92" spans="1:14" s="171" customFormat="1" ht="14" customHeight="1">
      <c r="A92" s="196"/>
      <c r="B92" s="196"/>
      <c r="J92" s="192"/>
      <c r="K92" s="193"/>
      <c r="L92" s="193"/>
      <c r="M92" s="194"/>
      <c r="N92" s="194"/>
    </row>
    <row r="93" spans="1:14" s="171" customFormat="1" ht="14" customHeight="1">
      <c r="A93" s="196"/>
      <c r="B93" s="196"/>
      <c r="J93" s="192"/>
      <c r="K93" s="193"/>
      <c r="L93" s="193"/>
      <c r="M93" s="194"/>
      <c r="N93" s="194"/>
    </row>
    <row r="94" spans="1:14" s="171" customFormat="1" ht="14" customHeight="1">
      <c r="A94" s="196"/>
      <c r="B94" s="196"/>
      <c r="J94" s="192"/>
      <c r="K94" s="193"/>
      <c r="L94" s="193"/>
      <c r="M94" s="194"/>
      <c r="N94" s="194"/>
    </row>
    <row r="95" spans="1:14" s="171" customFormat="1" ht="14" customHeight="1">
      <c r="A95" s="196"/>
      <c r="B95" s="196"/>
      <c r="J95" s="192"/>
      <c r="K95" s="193"/>
      <c r="L95" s="193"/>
      <c r="M95" s="194"/>
      <c r="N95" s="194"/>
    </row>
    <row r="96" spans="1:14" s="171" customFormat="1" ht="14" customHeight="1">
      <c r="A96" s="196"/>
      <c r="B96" s="196"/>
      <c r="J96" s="192"/>
      <c r="K96" s="193"/>
      <c r="L96" s="193"/>
      <c r="M96" s="194"/>
      <c r="N96" s="194"/>
    </row>
    <row r="97" spans="1:14" s="171" customFormat="1" ht="14" customHeight="1">
      <c r="A97" s="196"/>
      <c r="B97" s="196"/>
      <c r="J97" s="192"/>
      <c r="K97" s="193"/>
      <c r="L97" s="193"/>
      <c r="M97" s="194"/>
      <c r="N97" s="194"/>
    </row>
    <row r="98" spans="1:14" s="171" customFormat="1" ht="14" customHeight="1">
      <c r="A98" s="196"/>
      <c r="B98" s="196"/>
      <c r="J98" s="192"/>
      <c r="K98" s="193"/>
      <c r="L98" s="193"/>
      <c r="M98" s="194"/>
      <c r="N98" s="194"/>
    </row>
    <row r="99" spans="1:14" s="171" customFormat="1" ht="14" customHeight="1">
      <c r="A99" s="196"/>
      <c r="B99" s="196"/>
      <c r="J99" s="192"/>
      <c r="K99" s="193"/>
      <c r="L99" s="193"/>
      <c r="M99" s="194"/>
      <c r="N99" s="194"/>
    </row>
    <row r="100" spans="1:14" s="171" customFormat="1" ht="14" customHeight="1">
      <c r="A100" s="196"/>
      <c r="B100" s="196"/>
      <c r="J100" s="192"/>
      <c r="K100" s="193"/>
      <c r="L100" s="193"/>
      <c r="M100" s="194"/>
      <c r="N100" s="194"/>
    </row>
    <row r="101" spans="1:14" s="171" customFormat="1" ht="14" customHeight="1">
      <c r="J101" s="192"/>
      <c r="K101" s="193"/>
      <c r="L101" s="193"/>
      <c r="M101" s="194"/>
      <c r="N101" s="194"/>
    </row>
    <row r="102" spans="1:14" s="171" customFormat="1" ht="14" customHeight="1">
      <c r="J102" s="192"/>
      <c r="K102" s="193"/>
      <c r="L102" s="193"/>
      <c r="M102" s="194"/>
      <c r="N102" s="194"/>
    </row>
    <row r="103" spans="1:14" s="171" customFormat="1" ht="14" customHeight="1">
      <c r="J103" s="192"/>
      <c r="K103" s="193"/>
      <c r="L103" s="193"/>
      <c r="M103" s="194"/>
      <c r="N103" s="194"/>
    </row>
    <row r="104" spans="1:14" s="171" customFormat="1" ht="14" customHeight="1">
      <c r="K104" s="184"/>
      <c r="L104" s="184"/>
    </row>
    <row r="105" spans="1:14" s="171" customFormat="1" ht="14" customHeight="1">
      <c r="K105" s="184"/>
      <c r="L105" s="184"/>
    </row>
    <row r="106" spans="1:14" s="171" customFormat="1" ht="14" customHeight="1">
      <c r="K106" s="184"/>
      <c r="L106" s="184"/>
    </row>
    <row r="107" spans="1:14" s="171" customFormat="1" ht="14" customHeight="1">
      <c r="K107" s="184"/>
      <c r="L107" s="184"/>
    </row>
    <row r="108" spans="1:14" s="171" customFormat="1" ht="14" customHeight="1">
      <c r="K108" s="184"/>
      <c r="L108" s="184"/>
    </row>
    <row r="109" spans="1:14" s="171" customFormat="1" ht="14" customHeight="1">
      <c r="K109" s="184"/>
      <c r="L109" s="184"/>
    </row>
    <row r="110" spans="1:14" s="171" customFormat="1" ht="14" customHeight="1">
      <c r="K110" s="184"/>
      <c r="L110" s="184"/>
    </row>
    <row r="111" spans="1:14" s="171" customFormat="1" ht="14" customHeight="1">
      <c r="K111" s="184"/>
      <c r="L111" s="184"/>
    </row>
    <row r="112" spans="1:14" s="171" customFormat="1" ht="14" customHeight="1">
      <c r="K112" s="184"/>
      <c r="L112" s="184"/>
    </row>
    <row r="113" spans="11:12" s="171" customFormat="1" ht="14" customHeight="1">
      <c r="K113" s="184"/>
      <c r="L113" s="184"/>
    </row>
    <row r="114" spans="11:12" s="171" customFormat="1" ht="14" customHeight="1">
      <c r="K114" s="184"/>
      <c r="L114" s="184"/>
    </row>
    <row r="115" spans="11:12" s="171" customFormat="1" ht="14" customHeight="1">
      <c r="K115" s="184"/>
      <c r="L115" s="184"/>
    </row>
    <row r="116" spans="11:12" s="171" customFormat="1" ht="14" customHeight="1">
      <c r="K116" s="184"/>
      <c r="L116" s="184"/>
    </row>
    <row r="117" spans="11:12" s="171" customFormat="1" ht="14" customHeight="1">
      <c r="K117" s="184"/>
      <c r="L117" s="184"/>
    </row>
    <row r="118" spans="11:12" s="171" customFormat="1" ht="14" customHeight="1">
      <c r="K118" s="184"/>
      <c r="L118" s="184"/>
    </row>
    <row r="119" spans="11:12" s="171" customFormat="1" ht="14" customHeight="1">
      <c r="K119" s="184"/>
      <c r="L119" s="184"/>
    </row>
    <row r="120" spans="11:12" s="171" customFormat="1" ht="14" customHeight="1">
      <c r="K120" s="184"/>
      <c r="L120" s="184"/>
    </row>
    <row r="121" spans="11:12" s="171" customFormat="1" ht="14" customHeight="1">
      <c r="K121" s="184"/>
      <c r="L121" s="184"/>
    </row>
    <row r="122" spans="11:12" s="171" customFormat="1" ht="14" customHeight="1">
      <c r="K122" s="184"/>
      <c r="L122" s="184"/>
    </row>
    <row r="123" spans="11:12" s="171" customFormat="1" ht="14" customHeight="1">
      <c r="K123" s="184"/>
      <c r="L123" s="184"/>
    </row>
    <row r="124" spans="11:12" s="171" customFormat="1" ht="14" customHeight="1">
      <c r="K124" s="184"/>
      <c r="L124" s="184"/>
    </row>
    <row r="125" spans="11:12" s="171" customFormat="1" ht="14" customHeight="1">
      <c r="K125" s="184"/>
      <c r="L125" s="184"/>
    </row>
    <row r="126" spans="11:12" s="171" customFormat="1" ht="14" customHeight="1">
      <c r="K126" s="184"/>
      <c r="L126" s="184"/>
    </row>
    <row r="127" spans="11:12" s="171" customFormat="1" ht="14" customHeight="1">
      <c r="K127" s="184"/>
      <c r="L127" s="184"/>
    </row>
    <row r="128" spans="11:12" s="171" customFormat="1" ht="14" customHeight="1">
      <c r="K128" s="184"/>
      <c r="L128" s="184"/>
    </row>
    <row r="129" spans="11:12" s="171" customFormat="1" ht="14" customHeight="1">
      <c r="K129" s="184"/>
      <c r="L129" s="184"/>
    </row>
    <row r="130" spans="11:12" s="171" customFormat="1" ht="14" customHeight="1">
      <c r="K130" s="184"/>
      <c r="L130" s="184"/>
    </row>
    <row r="131" spans="11:12" s="171" customFormat="1" ht="14" customHeight="1">
      <c r="K131" s="184"/>
      <c r="L131" s="184"/>
    </row>
    <row r="132" spans="11:12" s="171" customFormat="1" ht="14" customHeight="1">
      <c r="K132" s="184"/>
      <c r="L132" s="184"/>
    </row>
    <row r="133" spans="11:12" s="171" customFormat="1" ht="14" customHeight="1">
      <c r="K133" s="184"/>
      <c r="L133" s="184"/>
    </row>
    <row r="134" spans="11:12" s="171" customFormat="1" ht="14" customHeight="1">
      <c r="K134" s="184"/>
      <c r="L134" s="184"/>
    </row>
    <row r="135" spans="11:12" s="171" customFormat="1" ht="14" customHeight="1">
      <c r="K135" s="184"/>
      <c r="L135" s="184"/>
    </row>
    <row r="136" spans="11:12" s="171" customFormat="1" ht="14" customHeight="1">
      <c r="K136" s="184"/>
      <c r="L136" s="184"/>
    </row>
    <row r="137" spans="11:12" s="171" customFormat="1" ht="14" customHeight="1">
      <c r="K137" s="184"/>
      <c r="L137" s="184"/>
    </row>
    <row r="138" spans="11:12" s="171" customFormat="1" ht="14" customHeight="1">
      <c r="K138" s="184"/>
      <c r="L138" s="184"/>
    </row>
    <row r="139" spans="11:12" s="171" customFormat="1" ht="14" customHeight="1">
      <c r="K139" s="184"/>
      <c r="L139" s="184"/>
    </row>
    <row r="140" spans="11:12" s="171" customFormat="1" ht="14" customHeight="1">
      <c r="K140" s="184"/>
      <c r="L140" s="184"/>
    </row>
    <row r="141" spans="11:12" s="171" customFormat="1" ht="14" customHeight="1">
      <c r="K141" s="184"/>
      <c r="L141" s="184"/>
    </row>
    <row r="142" spans="11:12" s="171" customFormat="1" ht="14" customHeight="1">
      <c r="K142" s="184"/>
      <c r="L142" s="184"/>
    </row>
    <row r="143" spans="11:12" s="171" customFormat="1" ht="14" customHeight="1">
      <c r="K143" s="184"/>
      <c r="L143" s="184"/>
    </row>
    <row r="144" spans="11:12" s="171" customFormat="1" ht="14" customHeight="1">
      <c r="K144" s="184"/>
      <c r="L144" s="184"/>
    </row>
    <row r="145" spans="3:12" s="171" customFormat="1" ht="14" customHeight="1">
      <c r="K145" s="184"/>
      <c r="L145" s="184"/>
    </row>
    <row r="146" spans="3:12" s="171" customFormat="1" ht="14" customHeight="1">
      <c r="K146" s="184"/>
      <c r="L146" s="184"/>
    </row>
    <row r="147" spans="3:12" s="171" customFormat="1" ht="14" customHeight="1">
      <c r="K147" s="184"/>
      <c r="L147" s="184"/>
    </row>
    <row r="148" spans="3:12" s="171" customFormat="1" ht="14" customHeight="1">
      <c r="K148" s="184"/>
      <c r="L148" s="184"/>
    </row>
    <row r="149" spans="3:12" s="171" customFormat="1" ht="14" customHeight="1">
      <c r="C149" s="197"/>
      <c r="K149" s="184"/>
      <c r="L149" s="184"/>
    </row>
    <row r="150" spans="3:12" s="171" customFormat="1" ht="14" customHeight="1">
      <c r="C150" s="197"/>
      <c r="K150" s="184"/>
      <c r="L150" s="184"/>
    </row>
    <row r="151" spans="3:12" s="171" customFormat="1" ht="14" customHeight="1">
      <c r="C151" s="197"/>
      <c r="K151" s="184"/>
      <c r="L151" s="184"/>
    </row>
    <row r="152" spans="3:12" s="171" customFormat="1" ht="14" customHeight="1">
      <c r="C152" s="197"/>
      <c r="K152" s="184"/>
      <c r="L152" s="184"/>
    </row>
    <row r="153" spans="3:12" s="171" customFormat="1" ht="14" customHeight="1">
      <c r="C153" s="197"/>
      <c r="K153" s="184"/>
      <c r="L153" s="184"/>
    </row>
    <row r="154" spans="3:12" s="171" customFormat="1" ht="14" customHeight="1">
      <c r="C154" s="197"/>
      <c r="K154" s="184"/>
      <c r="L154" s="184"/>
    </row>
    <row r="155" spans="3:12" s="171" customFormat="1" ht="14" customHeight="1">
      <c r="C155" s="197"/>
      <c r="K155" s="184"/>
      <c r="L155" s="184"/>
    </row>
    <row r="156" spans="3:12" s="171" customFormat="1" ht="14" customHeight="1">
      <c r="C156" s="197"/>
      <c r="K156" s="184"/>
      <c r="L156" s="184"/>
    </row>
    <row r="157" spans="3:12" s="171" customFormat="1" ht="14" customHeight="1">
      <c r="C157" s="197"/>
      <c r="K157" s="184"/>
      <c r="L157" s="184"/>
    </row>
    <row r="158" spans="3:12" s="171" customFormat="1" ht="14" customHeight="1">
      <c r="C158" s="197"/>
      <c r="K158" s="184"/>
      <c r="L158" s="184"/>
    </row>
    <row r="159" spans="3:12" s="171" customFormat="1" ht="14" customHeight="1">
      <c r="C159" s="197"/>
      <c r="K159" s="184"/>
      <c r="L159" s="184"/>
    </row>
    <row r="160" spans="3:12" s="171" customFormat="1" ht="14" customHeight="1">
      <c r="C160" s="197"/>
      <c r="K160" s="184"/>
      <c r="L160" s="184"/>
    </row>
    <row r="161" spans="3:12" s="171" customFormat="1" ht="14" customHeight="1">
      <c r="C161" s="197"/>
      <c r="K161" s="184"/>
      <c r="L161" s="184"/>
    </row>
    <row r="162" spans="3:12" s="171" customFormat="1" ht="14" customHeight="1">
      <c r="C162" s="197"/>
      <c r="K162" s="184"/>
      <c r="L162" s="184"/>
    </row>
    <row r="163" spans="3:12" s="171" customFormat="1" ht="14" customHeight="1">
      <c r="C163" s="197"/>
      <c r="K163" s="184"/>
      <c r="L163" s="184"/>
    </row>
    <row r="164" spans="3:12" s="171" customFormat="1" ht="14" customHeight="1">
      <c r="C164" s="197"/>
      <c r="K164" s="184"/>
      <c r="L164" s="184"/>
    </row>
    <row r="165" spans="3:12" s="171" customFormat="1" ht="14" customHeight="1">
      <c r="C165" s="197"/>
      <c r="K165" s="184"/>
      <c r="L165" s="184"/>
    </row>
    <row r="166" spans="3:12" s="171" customFormat="1" ht="14" customHeight="1">
      <c r="C166" s="197"/>
      <c r="K166" s="184"/>
      <c r="L166" s="184"/>
    </row>
    <row r="167" spans="3:12" s="171" customFormat="1" ht="14" customHeight="1">
      <c r="C167" s="197"/>
      <c r="K167" s="184"/>
      <c r="L167" s="184"/>
    </row>
    <row r="168" spans="3:12" s="171" customFormat="1" ht="14" customHeight="1">
      <c r="C168" s="197"/>
      <c r="K168" s="184"/>
      <c r="L168" s="184"/>
    </row>
    <row r="169" spans="3:12" s="171" customFormat="1" ht="14" customHeight="1">
      <c r="C169" s="197"/>
      <c r="K169" s="184"/>
      <c r="L169" s="184"/>
    </row>
    <row r="170" spans="3:12" ht="14" customHeight="1">
      <c r="C170" s="197"/>
      <c r="D170" s="182" t="str">
        <f t="shared" ref="D170:D192" si="0">C170&amp;" - "</f>
        <v xml:space="preserve"> - </v>
      </c>
      <c r="F170" s="171"/>
    </row>
    <row r="171" spans="3:12" ht="14" customHeight="1">
      <c r="C171" s="197"/>
      <c r="D171" s="182" t="str">
        <f t="shared" si="0"/>
        <v xml:space="preserve"> - </v>
      </c>
      <c r="F171" s="171"/>
    </row>
    <row r="172" spans="3:12" ht="14" customHeight="1">
      <c r="C172" s="197"/>
      <c r="D172" s="182" t="str">
        <f t="shared" si="0"/>
        <v xml:space="preserve"> - </v>
      </c>
      <c r="F172" s="171"/>
    </row>
    <row r="173" spans="3:12" ht="14" customHeight="1">
      <c r="C173" s="197"/>
      <c r="D173" s="182" t="str">
        <f t="shared" si="0"/>
        <v xml:space="preserve"> - </v>
      </c>
      <c r="F173" s="171"/>
    </row>
    <row r="174" spans="3:12" ht="14" customHeight="1">
      <c r="C174" s="197"/>
      <c r="D174" s="182" t="str">
        <f t="shared" si="0"/>
        <v xml:space="preserve"> - </v>
      </c>
      <c r="F174" s="171"/>
    </row>
    <row r="175" spans="3:12" ht="14" customHeight="1">
      <c r="C175" s="197"/>
      <c r="D175" s="182" t="str">
        <f t="shared" si="0"/>
        <v xml:space="preserve"> - </v>
      </c>
      <c r="F175" s="171"/>
    </row>
    <row r="176" spans="3:12" ht="14" customHeight="1">
      <c r="C176" s="197"/>
      <c r="D176" s="182" t="str">
        <f t="shared" si="0"/>
        <v xml:space="preserve"> - </v>
      </c>
      <c r="F176" s="171"/>
    </row>
    <row r="177" spans="3:6" ht="14" customHeight="1">
      <c r="C177" s="197"/>
      <c r="D177" s="182" t="str">
        <f t="shared" si="0"/>
        <v xml:space="preserve"> - </v>
      </c>
      <c r="F177" s="171"/>
    </row>
    <row r="178" spans="3:6" ht="14" customHeight="1">
      <c r="C178" s="197"/>
      <c r="D178" s="182" t="str">
        <f t="shared" si="0"/>
        <v xml:space="preserve"> - </v>
      </c>
      <c r="F178" s="171"/>
    </row>
    <row r="179" spans="3:6" ht="14" customHeight="1">
      <c r="C179" s="197"/>
      <c r="D179" s="182" t="str">
        <f t="shared" si="0"/>
        <v xml:space="preserve"> - </v>
      </c>
      <c r="F179" s="171"/>
    </row>
    <row r="180" spans="3:6" ht="14" customHeight="1">
      <c r="C180" s="197"/>
      <c r="D180" s="182" t="str">
        <f t="shared" si="0"/>
        <v xml:space="preserve"> - </v>
      </c>
      <c r="F180" s="171"/>
    </row>
    <row r="181" spans="3:6" ht="14" customHeight="1">
      <c r="C181" s="197"/>
      <c r="D181" s="182" t="str">
        <f t="shared" si="0"/>
        <v xml:space="preserve"> - </v>
      </c>
      <c r="F181" s="171"/>
    </row>
    <row r="182" spans="3:6" ht="14" customHeight="1">
      <c r="C182" s="197"/>
      <c r="D182" s="182" t="str">
        <f t="shared" si="0"/>
        <v xml:space="preserve"> - </v>
      </c>
      <c r="F182" s="171"/>
    </row>
    <row r="183" spans="3:6" ht="14" customHeight="1">
      <c r="C183" s="197"/>
      <c r="D183" s="182" t="str">
        <f t="shared" si="0"/>
        <v xml:space="preserve"> - </v>
      </c>
      <c r="F183" s="171"/>
    </row>
    <row r="184" spans="3:6" ht="14" customHeight="1">
      <c r="C184" s="197"/>
      <c r="D184" s="182" t="str">
        <f t="shared" si="0"/>
        <v xml:space="preserve"> - </v>
      </c>
      <c r="F184" s="171"/>
    </row>
    <row r="185" spans="3:6" ht="14" customHeight="1">
      <c r="C185" s="197"/>
      <c r="D185" s="182" t="str">
        <f t="shared" si="0"/>
        <v xml:space="preserve"> - </v>
      </c>
      <c r="F185" s="171"/>
    </row>
    <row r="186" spans="3:6" ht="14" customHeight="1">
      <c r="C186" s="197"/>
      <c r="D186" s="182" t="str">
        <f t="shared" si="0"/>
        <v xml:space="preserve"> - </v>
      </c>
      <c r="F186" s="171"/>
    </row>
    <row r="187" spans="3:6" ht="14" customHeight="1">
      <c r="C187" s="197"/>
      <c r="D187" s="182" t="str">
        <f t="shared" si="0"/>
        <v xml:space="preserve"> - </v>
      </c>
      <c r="F187" s="171"/>
    </row>
    <row r="188" spans="3:6" ht="14" customHeight="1">
      <c r="C188" s="197"/>
      <c r="D188" s="182" t="str">
        <f t="shared" si="0"/>
        <v xml:space="preserve"> - </v>
      </c>
      <c r="F188" s="171"/>
    </row>
    <row r="189" spans="3:6" ht="14" customHeight="1">
      <c r="C189" s="197"/>
      <c r="D189" s="182" t="str">
        <f t="shared" si="0"/>
        <v xml:space="preserve"> - </v>
      </c>
      <c r="F189" s="171"/>
    </row>
    <row r="190" spans="3:6" ht="14" customHeight="1">
      <c r="C190" s="197"/>
      <c r="D190" s="182" t="str">
        <f t="shared" si="0"/>
        <v xml:space="preserve"> - </v>
      </c>
      <c r="F190" s="171"/>
    </row>
    <row r="191" spans="3:6" ht="14" customHeight="1">
      <c r="C191" s="197"/>
      <c r="D191" s="182" t="str">
        <f t="shared" si="0"/>
        <v xml:space="preserve"> - </v>
      </c>
      <c r="F191" s="171"/>
    </row>
    <row r="192" spans="3:6" ht="14" customHeight="1">
      <c r="C192" s="197"/>
      <c r="D192" s="182" t="str">
        <f t="shared" si="0"/>
        <v xml:space="preserve"> - </v>
      </c>
      <c r="F192" s="17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RowHeight="12.5"/>
  <cols>
    <col min="1" max="1" width="35.453125" customWidth="1"/>
    <col min="2" max="2" width="71.08984375" style="198" customWidth="1"/>
    <col min="3" max="3" width="9.54296875" customWidth="1"/>
    <col min="4" max="1025" width="8.6328125" customWidth="1"/>
  </cols>
  <sheetData>
    <row r="1" spans="1:3" ht="13">
      <c r="A1" s="199" t="s">
        <v>222</v>
      </c>
      <c r="B1" s="200" t="s">
        <v>81</v>
      </c>
      <c r="C1" s="199" t="s">
        <v>223</v>
      </c>
    </row>
    <row r="2" spans="1:3">
      <c r="A2" s="201" t="s">
        <v>224</v>
      </c>
      <c r="B2" s="202" t="s">
        <v>225</v>
      </c>
      <c r="C2" s="203">
        <v>0.33</v>
      </c>
    </row>
    <row r="3" spans="1:3" ht="25">
      <c r="A3" s="202" t="s">
        <v>226</v>
      </c>
      <c r="B3" s="202"/>
      <c r="C3" s="203">
        <v>0.35</v>
      </c>
    </row>
    <row r="4" spans="1:3" ht="25">
      <c r="A4" s="201" t="s">
        <v>114</v>
      </c>
      <c r="B4" s="202" t="s">
        <v>227</v>
      </c>
      <c r="C4" s="203">
        <v>0.36</v>
      </c>
    </row>
    <row r="5" spans="1:3">
      <c r="A5" s="202" t="s">
        <v>228</v>
      </c>
      <c r="B5" s="202" t="s">
        <v>229</v>
      </c>
      <c r="C5" s="203">
        <v>0.37</v>
      </c>
    </row>
    <row r="6" spans="1:3">
      <c r="A6" s="202" t="s">
        <v>230</v>
      </c>
      <c r="B6" s="202" t="s">
        <v>231</v>
      </c>
      <c r="C6" s="203">
        <v>0.39</v>
      </c>
    </row>
    <row r="7" spans="1:3" ht="25">
      <c r="A7" s="202" t="s">
        <v>232</v>
      </c>
      <c r="B7" s="202"/>
      <c r="C7" s="203">
        <v>0.4</v>
      </c>
    </row>
    <row r="8" spans="1:3">
      <c r="A8" s="201" t="s">
        <v>233</v>
      </c>
      <c r="B8" s="202"/>
      <c r="C8" s="203">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599"/>
  <sheetViews>
    <sheetView zoomScale="90" zoomScaleNormal="90" workbookViewId="0">
      <selection activeCell="A2" sqref="A2"/>
    </sheetView>
  </sheetViews>
  <sheetFormatPr defaultRowHeight="15.5"/>
  <cols>
    <col min="1" max="1" width="5.54296875" style="281" customWidth="1"/>
    <col min="2" max="2" width="26.26953125" style="281" customWidth="1"/>
    <col min="3" max="3" width="15.7265625" style="281" customWidth="1"/>
    <col min="4" max="1025" width="11.54296875" style="281"/>
    <col min="1026" max="16384" width="8.7265625" style="281"/>
  </cols>
  <sheetData>
    <row r="1" spans="1:3">
      <c r="A1" s="280" t="s">
        <v>234</v>
      </c>
      <c r="B1" s="280" t="s">
        <v>235</v>
      </c>
      <c r="C1" s="280" t="s">
        <v>236</v>
      </c>
    </row>
    <row r="2" spans="1:3">
      <c r="A2" s="280"/>
      <c r="B2" s="280"/>
      <c r="C2" s="280"/>
    </row>
    <row r="3" spans="1:3">
      <c r="A3" s="280"/>
      <c r="B3" s="280"/>
      <c r="C3" s="280"/>
    </row>
    <row r="4" spans="1:3">
      <c r="A4" s="280"/>
      <c r="B4" s="280"/>
      <c r="C4" s="280"/>
    </row>
    <row r="5" spans="1:3">
      <c r="A5" s="280"/>
      <c r="B5" s="280"/>
      <c r="C5" s="280"/>
    </row>
    <row r="6" spans="1:3">
      <c r="A6" s="280"/>
      <c r="B6" s="280"/>
      <c r="C6" s="280"/>
    </row>
    <row r="7" spans="1:3">
      <c r="A7" s="280"/>
      <c r="B7" s="280"/>
      <c r="C7" s="280"/>
    </row>
    <row r="8" spans="1:3">
      <c r="A8" s="280"/>
      <c r="B8" s="280"/>
      <c r="C8" s="280"/>
    </row>
    <row r="9" spans="1:3">
      <c r="A9" s="280"/>
      <c r="B9" s="280"/>
      <c r="C9" s="280"/>
    </row>
    <row r="10" spans="1:3">
      <c r="A10" s="280"/>
      <c r="B10" s="280"/>
      <c r="C10" s="280"/>
    </row>
    <row r="11" spans="1:3">
      <c r="A11" s="280"/>
      <c r="B11" s="280"/>
      <c r="C11" s="280"/>
    </row>
    <row r="12" spans="1:3">
      <c r="A12" s="280"/>
      <c r="B12" s="280"/>
      <c r="C12" s="280"/>
    </row>
    <row r="13" spans="1:3">
      <c r="A13" s="280"/>
      <c r="B13" s="280"/>
      <c r="C13" s="280"/>
    </row>
    <row r="14" spans="1:3">
      <c r="A14" s="280"/>
      <c r="B14" s="280"/>
      <c r="C14" s="280"/>
    </row>
    <row r="15" spans="1:3">
      <c r="A15" s="280"/>
      <c r="B15" s="280"/>
      <c r="C15" s="280"/>
    </row>
    <row r="16" spans="1:3">
      <c r="A16" s="280"/>
      <c r="B16" s="280"/>
      <c r="C16" s="280"/>
    </row>
    <row r="17" spans="1:3">
      <c r="A17" s="280"/>
      <c r="B17" s="280"/>
      <c r="C17" s="280"/>
    </row>
    <row r="18" spans="1:3">
      <c r="A18" s="280"/>
      <c r="B18" s="280"/>
      <c r="C18" s="280"/>
    </row>
    <row r="19" spans="1:3">
      <c r="A19" s="280"/>
      <c r="B19" s="280"/>
      <c r="C19" s="280"/>
    </row>
    <row r="20" spans="1:3">
      <c r="A20" s="280"/>
      <c r="B20" s="280"/>
      <c r="C20" s="280"/>
    </row>
    <row r="21" spans="1:3">
      <c r="A21" s="280"/>
      <c r="B21" s="280"/>
      <c r="C21" s="280"/>
    </row>
    <row r="22" spans="1:3">
      <c r="A22" s="280"/>
      <c r="B22" s="280"/>
      <c r="C22" s="280"/>
    </row>
    <row r="23" spans="1:3">
      <c r="A23" s="280"/>
      <c r="B23" s="280"/>
      <c r="C23" s="280"/>
    </row>
    <row r="24" spans="1:3">
      <c r="A24" s="280"/>
      <c r="B24" s="280"/>
      <c r="C24" s="280"/>
    </row>
    <row r="25" spans="1:3">
      <c r="A25" s="280"/>
      <c r="B25" s="280"/>
      <c r="C25" s="280"/>
    </row>
    <row r="26" spans="1:3">
      <c r="A26" s="280"/>
      <c r="B26" s="280"/>
      <c r="C26" s="280"/>
    </row>
    <row r="27" spans="1:3">
      <c r="A27" s="280"/>
      <c r="B27" s="280"/>
      <c r="C27" s="280"/>
    </row>
    <row r="28" spans="1:3">
      <c r="A28" s="280"/>
      <c r="B28" s="280"/>
      <c r="C28" s="280"/>
    </row>
    <row r="29" spans="1:3">
      <c r="A29" s="280"/>
      <c r="B29" s="280"/>
      <c r="C29" s="280"/>
    </row>
    <row r="30" spans="1:3">
      <c r="A30" s="280"/>
      <c r="B30" s="280"/>
      <c r="C30" s="280"/>
    </row>
    <row r="31" spans="1:3">
      <c r="A31" s="280"/>
      <c r="B31" s="280"/>
      <c r="C31" s="280"/>
    </row>
    <row r="32" spans="1:3">
      <c r="A32" s="280"/>
      <c r="B32" s="280"/>
      <c r="C32" s="280"/>
    </row>
    <row r="33" spans="1:3">
      <c r="A33" s="280"/>
      <c r="B33" s="280"/>
      <c r="C33" s="280"/>
    </row>
    <row r="34" spans="1:3">
      <c r="A34" s="280"/>
      <c r="B34" s="280"/>
      <c r="C34" s="280"/>
    </row>
    <row r="35" spans="1:3">
      <c r="A35" s="280"/>
      <c r="B35" s="280"/>
      <c r="C35" s="280"/>
    </row>
    <row r="36" spans="1:3">
      <c r="A36" s="280"/>
      <c r="B36" s="280"/>
      <c r="C36" s="280"/>
    </row>
    <row r="37" spans="1:3">
      <c r="A37" s="280"/>
      <c r="B37" s="280"/>
      <c r="C37" s="280"/>
    </row>
    <row r="38" spans="1:3">
      <c r="A38" s="280"/>
      <c r="B38" s="280"/>
      <c r="C38" s="280"/>
    </row>
    <row r="39" spans="1:3">
      <c r="A39" s="280"/>
      <c r="B39" s="280"/>
      <c r="C39" s="280"/>
    </row>
    <row r="40" spans="1:3">
      <c r="A40" s="280"/>
      <c r="B40" s="280"/>
      <c r="C40" s="280"/>
    </row>
    <row r="41" spans="1:3">
      <c r="A41" s="280"/>
      <c r="B41" s="280"/>
      <c r="C41" s="280"/>
    </row>
    <row r="42" spans="1:3">
      <c r="A42" s="280"/>
      <c r="B42" s="280"/>
      <c r="C42" s="280"/>
    </row>
    <row r="43" spans="1:3">
      <c r="A43" s="280"/>
      <c r="B43" s="280"/>
      <c r="C43" s="280"/>
    </row>
    <row r="44" spans="1:3">
      <c r="A44" s="280"/>
      <c r="B44" s="280"/>
      <c r="C44" s="280"/>
    </row>
    <row r="45" spans="1:3">
      <c r="A45" s="280"/>
      <c r="B45" s="280"/>
      <c r="C45" s="280"/>
    </row>
    <row r="46" spans="1:3">
      <c r="A46" s="280"/>
      <c r="B46" s="280"/>
      <c r="C46" s="280"/>
    </row>
    <row r="47" spans="1:3">
      <c r="A47" s="280"/>
      <c r="B47" s="280"/>
      <c r="C47" s="280"/>
    </row>
    <row r="48" spans="1:3">
      <c r="A48" s="280"/>
      <c r="B48" s="280"/>
      <c r="C48" s="280"/>
    </row>
    <row r="49" spans="1:3">
      <c r="A49" s="280"/>
      <c r="B49" s="280"/>
      <c r="C49" s="280"/>
    </row>
    <row r="50" spans="1:3">
      <c r="A50" s="280"/>
      <c r="B50" s="280"/>
      <c r="C50" s="280"/>
    </row>
    <row r="51" spans="1:3">
      <c r="A51" s="280"/>
      <c r="B51" s="280"/>
      <c r="C51" s="280"/>
    </row>
    <row r="52" spans="1:3">
      <c r="A52" s="280"/>
      <c r="B52" s="280"/>
      <c r="C52" s="280"/>
    </row>
    <row r="53" spans="1:3">
      <c r="A53" s="280"/>
      <c r="B53" s="280"/>
      <c r="C53" s="280"/>
    </row>
    <row r="54" spans="1:3">
      <c r="A54" s="280"/>
      <c r="B54" s="280"/>
      <c r="C54" s="280"/>
    </row>
    <row r="55" spans="1:3">
      <c r="A55" s="280"/>
      <c r="B55" s="280"/>
      <c r="C55" s="280"/>
    </row>
    <row r="56" spans="1:3">
      <c r="A56" s="280"/>
      <c r="B56" s="280"/>
      <c r="C56" s="280"/>
    </row>
    <row r="57" spans="1:3">
      <c r="A57" s="280"/>
      <c r="B57" s="280"/>
      <c r="C57" s="280"/>
    </row>
    <row r="58" spans="1:3">
      <c r="A58" s="280"/>
      <c r="B58" s="280"/>
      <c r="C58" s="280"/>
    </row>
    <row r="59" spans="1:3">
      <c r="A59" s="280"/>
      <c r="B59" s="280"/>
      <c r="C59" s="280"/>
    </row>
    <row r="60" spans="1:3">
      <c r="A60" s="280"/>
      <c r="B60" s="280"/>
      <c r="C60" s="280"/>
    </row>
    <row r="61" spans="1:3">
      <c r="A61" s="280"/>
      <c r="B61" s="280"/>
      <c r="C61" s="280"/>
    </row>
    <row r="62" spans="1:3">
      <c r="A62" s="280"/>
      <c r="B62" s="280"/>
      <c r="C62" s="280"/>
    </row>
    <row r="63" spans="1:3">
      <c r="A63" s="280"/>
      <c r="B63" s="280"/>
      <c r="C63" s="280"/>
    </row>
    <row r="64" spans="1:3">
      <c r="A64" s="280"/>
      <c r="B64" s="280"/>
      <c r="C64" s="280"/>
    </row>
    <row r="65" spans="1:3">
      <c r="A65" s="280"/>
      <c r="B65" s="280"/>
      <c r="C65" s="280"/>
    </row>
    <row r="66" spans="1:3">
      <c r="A66" s="280"/>
      <c r="B66" s="280"/>
      <c r="C66" s="280"/>
    </row>
    <row r="67" spans="1:3">
      <c r="A67" s="280"/>
      <c r="B67" s="280"/>
      <c r="C67" s="280"/>
    </row>
    <row r="68" spans="1:3">
      <c r="A68" s="280"/>
      <c r="B68" s="280"/>
      <c r="C68" s="280"/>
    </row>
    <row r="69" spans="1:3">
      <c r="A69" s="280"/>
      <c r="B69" s="280"/>
      <c r="C69" s="280"/>
    </row>
    <row r="70" spans="1:3">
      <c r="A70" s="280"/>
      <c r="B70" s="280"/>
      <c r="C70" s="280"/>
    </row>
    <row r="71" spans="1:3">
      <c r="A71" s="280"/>
      <c r="B71" s="280"/>
      <c r="C71" s="280"/>
    </row>
    <row r="72" spans="1:3">
      <c r="A72" s="280"/>
      <c r="B72" s="280"/>
      <c r="C72" s="280"/>
    </row>
    <row r="73" spans="1:3">
      <c r="A73" s="280"/>
      <c r="B73" s="280"/>
      <c r="C73" s="280"/>
    </row>
    <row r="74" spans="1:3">
      <c r="A74" s="280"/>
      <c r="B74" s="280"/>
      <c r="C74" s="280"/>
    </row>
    <row r="75" spans="1:3">
      <c r="A75" s="280"/>
      <c r="B75" s="280"/>
      <c r="C75" s="280"/>
    </row>
    <row r="76" spans="1:3">
      <c r="A76" s="280"/>
      <c r="B76" s="280"/>
      <c r="C76" s="280"/>
    </row>
    <row r="77" spans="1:3">
      <c r="A77" s="280"/>
      <c r="B77" s="280"/>
      <c r="C77" s="280"/>
    </row>
    <row r="78" spans="1:3">
      <c r="A78" s="280"/>
      <c r="B78" s="280"/>
      <c r="C78" s="280"/>
    </row>
    <row r="79" spans="1:3">
      <c r="A79" s="280"/>
      <c r="B79" s="280"/>
      <c r="C79" s="280"/>
    </row>
    <row r="80" spans="1:3">
      <c r="A80" s="280"/>
      <c r="B80" s="280"/>
      <c r="C80" s="280"/>
    </row>
    <row r="81" spans="1:3">
      <c r="A81" s="280"/>
      <c r="B81" s="280"/>
      <c r="C81" s="280"/>
    </row>
    <row r="82" spans="1:3">
      <c r="A82" s="280"/>
      <c r="B82" s="280"/>
      <c r="C82" s="280"/>
    </row>
    <row r="83" spans="1:3">
      <c r="A83" s="280"/>
      <c r="B83" s="280"/>
      <c r="C83" s="280"/>
    </row>
    <row r="84" spans="1:3">
      <c r="A84" s="280"/>
      <c r="B84" s="280"/>
      <c r="C84" s="280"/>
    </row>
    <row r="85" spans="1:3">
      <c r="A85" s="280"/>
      <c r="B85" s="280"/>
      <c r="C85" s="280"/>
    </row>
    <row r="86" spans="1:3">
      <c r="A86" s="280"/>
      <c r="B86" s="280"/>
      <c r="C86" s="280"/>
    </row>
    <row r="87" spans="1:3">
      <c r="A87" s="280"/>
      <c r="B87" s="280"/>
      <c r="C87" s="280"/>
    </row>
    <row r="88" spans="1:3">
      <c r="A88" s="280"/>
      <c r="B88" s="280"/>
      <c r="C88" s="280"/>
    </row>
    <row r="89" spans="1:3">
      <c r="A89" s="280"/>
      <c r="B89" s="280"/>
      <c r="C89" s="280"/>
    </row>
    <row r="90" spans="1:3">
      <c r="A90" s="280"/>
      <c r="B90" s="280"/>
      <c r="C90" s="280"/>
    </row>
    <row r="91" spans="1:3">
      <c r="A91" s="280"/>
      <c r="B91" s="280"/>
      <c r="C91" s="280"/>
    </row>
    <row r="92" spans="1:3">
      <c r="A92" s="280"/>
      <c r="B92" s="280"/>
      <c r="C92" s="280"/>
    </row>
    <row r="93" spans="1:3">
      <c r="A93" s="280"/>
      <c r="B93" s="280"/>
      <c r="C93" s="280"/>
    </row>
    <row r="94" spans="1:3">
      <c r="A94" s="280"/>
      <c r="B94" s="280"/>
      <c r="C94" s="280"/>
    </row>
    <row r="95" spans="1:3">
      <c r="A95" s="280"/>
      <c r="B95" s="280"/>
      <c r="C95" s="280"/>
    </row>
    <row r="96" spans="1:3">
      <c r="A96" s="280"/>
      <c r="B96" s="280"/>
      <c r="C96" s="280"/>
    </row>
    <row r="97" spans="1:3">
      <c r="A97" s="280"/>
      <c r="B97" s="280"/>
      <c r="C97" s="280"/>
    </row>
    <row r="98" spans="1:3">
      <c r="A98" s="280"/>
      <c r="B98" s="280"/>
      <c r="C98" s="280"/>
    </row>
    <row r="99" spans="1:3">
      <c r="A99" s="280"/>
      <c r="B99" s="280"/>
      <c r="C99" s="280"/>
    </row>
    <row r="100" spans="1:3">
      <c r="A100" s="280"/>
      <c r="B100" s="280"/>
      <c r="C100" s="280"/>
    </row>
    <row r="101" spans="1:3">
      <c r="A101" s="280"/>
      <c r="B101" s="280"/>
      <c r="C101" s="280"/>
    </row>
    <row r="102" spans="1:3">
      <c r="A102" s="280"/>
      <c r="B102" s="280"/>
      <c r="C102" s="280"/>
    </row>
    <row r="103" spans="1:3">
      <c r="A103" s="280"/>
      <c r="B103" s="280"/>
      <c r="C103" s="280"/>
    </row>
    <row r="104" spans="1:3">
      <c r="A104" s="280"/>
      <c r="B104" s="280"/>
      <c r="C104" s="280"/>
    </row>
    <row r="105" spans="1:3">
      <c r="A105" s="280"/>
      <c r="B105" s="280"/>
      <c r="C105" s="280"/>
    </row>
    <row r="106" spans="1:3">
      <c r="A106" s="280"/>
      <c r="B106" s="280"/>
      <c r="C106" s="280"/>
    </row>
    <row r="107" spans="1:3">
      <c r="A107" s="280"/>
      <c r="B107" s="280"/>
      <c r="C107" s="280"/>
    </row>
    <row r="108" spans="1:3">
      <c r="A108" s="280"/>
      <c r="B108" s="280"/>
      <c r="C108" s="280"/>
    </row>
    <row r="109" spans="1:3">
      <c r="A109" s="280"/>
      <c r="B109" s="280"/>
      <c r="C109" s="280"/>
    </row>
    <row r="110" spans="1:3">
      <c r="A110" s="280"/>
      <c r="B110" s="280"/>
      <c r="C110" s="280"/>
    </row>
    <row r="111" spans="1:3">
      <c r="A111" s="280"/>
      <c r="B111" s="280"/>
      <c r="C111" s="280"/>
    </row>
    <row r="112" spans="1:3">
      <c r="A112" s="280"/>
      <c r="B112" s="280"/>
      <c r="C112" s="280"/>
    </row>
    <row r="113" spans="1:3">
      <c r="A113" s="280"/>
      <c r="B113" s="280"/>
      <c r="C113" s="280"/>
    </row>
    <row r="114" spans="1:3">
      <c r="A114" s="280"/>
      <c r="B114" s="280"/>
      <c r="C114" s="280"/>
    </row>
    <row r="115" spans="1:3">
      <c r="A115" s="280"/>
      <c r="B115" s="280"/>
      <c r="C115" s="280"/>
    </row>
    <row r="116" spans="1:3">
      <c r="A116" s="280"/>
      <c r="B116" s="280"/>
      <c r="C116" s="280"/>
    </row>
    <row r="117" spans="1:3">
      <c r="A117" s="280"/>
      <c r="B117" s="280"/>
      <c r="C117" s="280"/>
    </row>
    <row r="118" spans="1:3">
      <c r="A118" s="280"/>
      <c r="B118" s="280"/>
      <c r="C118" s="280"/>
    </row>
    <row r="119" spans="1:3">
      <c r="A119" s="280"/>
      <c r="B119" s="280"/>
      <c r="C119" s="280"/>
    </row>
    <row r="120" spans="1:3">
      <c r="A120" s="280"/>
      <c r="B120" s="280"/>
      <c r="C120" s="280"/>
    </row>
    <row r="121" spans="1:3">
      <c r="A121" s="280"/>
      <c r="B121" s="280"/>
      <c r="C121" s="280"/>
    </row>
    <row r="122" spans="1:3">
      <c r="A122" s="280"/>
      <c r="B122" s="280"/>
      <c r="C122" s="280"/>
    </row>
    <row r="123" spans="1:3">
      <c r="A123" s="280"/>
      <c r="B123" s="280"/>
      <c r="C123" s="280"/>
    </row>
    <row r="124" spans="1:3">
      <c r="A124" s="280"/>
      <c r="B124" s="280"/>
      <c r="C124" s="280"/>
    </row>
    <row r="125" spans="1:3">
      <c r="A125" s="280"/>
      <c r="B125" s="280"/>
      <c r="C125" s="280"/>
    </row>
    <row r="126" spans="1:3">
      <c r="A126" s="280"/>
      <c r="B126" s="280"/>
      <c r="C126" s="280"/>
    </row>
    <row r="127" spans="1:3">
      <c r="A127" s="280"/>
      <c r="B127" s="280"/>
      <c r="C127" s="280"/>
    </row>
    <row r="128" spans="1:3">
      <c r="A128" s="280"/>
      <c r="B128" s="280"/>
      <c r="C128" s="280"/>
    </row>
    <row r="129" spans="1:3">
      <c r="A129" s="280"/>
      <c r="B129" s="280"/>
      <c r="C129" s="280"/>
    </row>
    <row r="130" spans="1:3">
      <c r="A130" s="280"/>
      <c r="B130" s="280"/>
      <c r="C130" s="280"/>
    </row>
    <row r="131" spans="1:3">
      <c r="A131" s="280"/>
      <c r="B131" s="280"/>
      <c r="C131" s="280"/>
    </row>
    <row r="132" spans="1:3">
      <c r="A132" s="280"/>
      <c r="B132" s="280"/>
      <c r="C132" s="280"/>
    </row>
    <row r="133" spans="1:3">
      <c r="A133" s="280"/>
      <c r="B133" s="280"/>
      <c r="C133" s="280"/>
    </row>
    <row r="134" spans="1:3">
      <c r="A134" s="280"/>
      <c r="B134" s="280"/>
      <c r="C134" s="280"/>
    </row>
    <row r="135" spans="1:3">
      <c r="A135" s="280"/>
      <c r="B135" s="280"/>
      <c r="C135" s="280"/>
    </row>
    <row r="136" spans="1:3">
      <c r="A136" s="280"/>
      <c r="B136" s="280"/>
      <c r="C136" s="280"/>
    </row>
    <row r="137" spans="1:3">
      <c r="A137" s="280"/>
      <c r="B137" s="280"/>
      <c r="C137" s="280"/>
    </row>
    <row r="138" spans="1:3">
      <c r="A138" s="280"/>
      <c r="B138" s="280"/>
      <c r="C138" s="280"/>
    </row>
    <row r="139" spans="1:3">
      <c r="A139" s="280"/>
      <c r="B139" s="280"/>
      <c r="C139" s="280"/>
    </row>
    <row r="140" spans="1:3">
      <c r="A140" s="280"/>
      <c r="B140" s="280"/>
      <c r="C140" s="280"/>
    </row>
    <row r="141" spans="1:3">
      <c r="A141" s="280"/>
      <c r="B141" s="280"/>
      <c r="C141" s="280"/>
    </row>
    <row r="142" spans="1:3">
      <c r="A142" s="280"/>
      <c r="B142" s="280"/>
      <c r="C142" s="280"/>
    </row>
    <row r="143" spans="1:3">
      <c r="A143" s="280"/>
      <c r="B143" s="280"/>
      <c r="C143" s="280"/>
    </row>
    <row r="144" spans="1:3">
      <c r="A144" s="280"/>
      <c r="B144" s="280"/>
      <c r="C144" s="280"/>
    </row>
    <row r="145" spans="1:3">
      <c r="A145" s="280"/>
      <c r="B145" s="280"/>
      <c r="C145" s="280"/>
    </row>
    <row r="146" spans="1:3">
      <c r="A146" s="280"/>
      <c r="B146" s="280"/>
      <c r="C146" s="280"/>
    </row>
    <row r="147" spans="1:3">
      <c r="A147" s="280"/>
      <c r="B147" s="280"/>
      <c r="C147" s="280"/>
    </row>
    <row r="148" spans="1:3">
      <c r="A148" s="280"/>
      <c r="B148" s="280"/>
      <c r="C148" s="280"/>
    </row>
    <row r="149" spans="1:3">
      <c r="A149" s="280"/>
      <c r="B149" s="280"/>
      <c r="C149" s="280"/>
    </row>
    <row r="150" spans="1:3">
      <c r="A150" s="280"/>
      <c r="B150" s="280"/>
      <c r="C150" s="280"/>
    </row>
    <row r="151" spans="1:3">
      <c r="A151" s="280"/>
      <c r="B151" s="280"/>
      <c r="C151" s="280"/>
    </row>
    <row r="152" spans="1:3">
      <c r="A152" s="280"/>
      <c r="B152" s="280"/>
      <c r="C152" s="280"/>
    </row>
    <row r="153" spans="1:3">
      <c r="A153" s="280"/>
      <c r="B153" s="280"/>
      <c r="C153" s="280"/>
    </row>
    <row r="154" spans="1:3">
      <c r="A154" s="280"/>
      <c r="B154" s="280"/>
      <c r="C154" s="280"/>
    </row>
    <row r="155" spans="1:3">
      <c r="A155" s="280"/>
      <c r="B155" s="280"/>
      <c r="C155" s="280"/>
    </row>
    <row r="156" spans="1:3">
      <c r="A156" s="280"/>
      <c r="B156" s="280"/>
      <c r="C156" s="280"/>
    </row>
    <row r="157" spans="1:3">
      <c r="A157" s="280"/>
      <c r="B157" s="280"/>
      <c r="C157" s="280"/>
    </row>
    <row r="158" spans="1:3">
      <c r="A158" s="280"/>
      <c r="B158" s="280"/>
      <c r="C158" s="280"/>
    </row>
    <row r="159" spans="1:3">
      <c r="A159" s="280"/>
      <c r="B159" s="280"/>
      <c r="C159" s="280"/>
    </row>
    <row r="160" spans="1:3">
      <c r="A160" s="280"/>
      <c r="B160" s="280"/>
      <c r="C160" s="280"/>
    </row>
    <row r="161" spans="1:3">
      <c r="A161" s="280"/>
      <c r="B161" s="280"/>
      <c r="C161" s="280"/>
    </row>
    <row r="162" spans="1:3">
      <c r="A162" s="280"/>
      <c r="B162" s="280"/>
      <c r="C162" s="280"/>
    </row>
    <row r="163" spans="1:3">
      <c r="A163" s="280"/>
      <c r="B163" s="280"/>
      <c r="C163" s="280"/>
    </row>
    <row r="164" spans="1:3">
      <c r="A164" s="280"/>
      <c r="B164" s="280"/>
      <c r="C164" s="280"/>
    </row>
    <row r="165" spans="1:3">
      <c r="A165" s="280"/>
      <c r="B165" s="280"/>
      <c r="C165" s="280"/>
    </row>
    <row r="166" spans="1:3">
      <c r="A166" s="280"/>
      <c r="B166" s="280"/>
      <c r="C166" s="280"/>
    </row>
    <row r="167" spans="1:3">
      <c r="A167" s="280"/>
      <c r="B167" s="280"/>
      <c r="C167" s="280"/>
    </row>
    <row r="168" spans="1:3">
      <c r="A168" s="280"/>
      <c r="B168" s="280"/>
      <c r="C168" s="280"/>
    </row>
    <row r="169" spans="1:3">
      <c r="A169" s="280"/>
      <c r="B169" s="280"/>
      <c r="C169" s="280"/>
    </row>
    <row r="170" spans="1:3">
      <c r="A170" s="280"/>
      <c r="B170" s="280"/>
      <c r="C170" s="280"/>
    </row>
    <row r="171" spans="1:3">
      <c r="A171" s="280"/>
      <c r="B171" s="280"/>
      <c r="C171" s="280"/>
    </row>
    <row r="172" spans="1:3">
      <c r="A172" s="280"/>
      <c r="B172" s="280"/>
      <c r="C172" s="280"/>
    </row>
    <row r="173" spans="1:3">
      <c r="A173" s="280"/>
      <c r="B173" s="280"/>
      <c r="C173" s="280"/>
    </row>
    <row r="174" spans="1:3">
      <c r="A174" s="280"/>
      <c r="B174" s="280"/>
      <c r="C174" s="280"/>
    </row>
    <row r="175" spans="1:3">
      <c r="A175" s="280"/>
      <c r="B175" s="280"/>
      <c r="C175" s="280"/>
    </row>
    <row r="176" spans="1:3">
      <c r="A176" s="280"/>
      <c r="B176" s="280"/>
      <c r="C176" s="280"/>
    </row>
    <row r="177" spans="1:3">
      <c r="A177" s="280"/>
      <c r="B177" s="280"/>
      <c r="C177" s="280"/>
    </row>
    <row r="178" spans="1:3">
      <c r="A178" s="280"/>
      <c r="B178" s="280"/>
      <c r="C178" s="280"/>
    </row>
    <row r="179" spans="1:3">
      <c r="A179" s="280"/>
      <c r="B179" s="280"/>
      <c r="C179" s="280"/>
    </row>
    <row r="180" spans="1:3">
      <c r="A180" s="280"/>
      <c r="B180" s="280"/>
      <c r="C180" s="280"/>
    </row>
    <row r="181" spans="1:3">
      <c r="A181" s="280"/>
      <c r="B181" s="280"/>
      <c r="C181" s="280"/>
    </row>
    <row r="182" spans="1:3">
      <c r="A182" s="280"/>
      <c r="B182" s="280"/>
      <c r="C182" s="280"/>
    </row>
    <row r="183" spans="1:3">
      <c r="A183" s="280"/>
      <c r="B183" s="280"/>
      <c r="C183" s="280"/>
    </row>
    <row r="184" spans="1:3">
      <c r="A184" s="280"/>
      <c r="B184" s="280"/>
      <c r="C184" s="280"/>
    </row>
    <row r="185" spans="1:3">
      <c r="A185" s="280"/>
      <c r="B185" s="280"/>
      <c r="C185" s="280"/>
    </row>
    <row r="186" spans="1:3">
      <c r="A186" s="280"/>
      <c r="B186" s="280"/>
      <c r="C186" s="280"/>
    </row>
    <row r="187" spans="1:3">
      <c r="A187" s="280"/>
      <c r="B187" s="280"/>
      <c r="C187" s="280"/>
    </row>
    <row r="188" spans="1:3">
      <c r="A188" s="280"/>
      <c r="B188" s="280"/>
      <c r="C188" s="280"/>
    </row>
    <row r="189" spans="1:3">
      <c r="A189" s="280"/>
      <c r="B189" s="280"/>
      <c r="C189" s="280"/>
    </row>
    <row r="190" spans="1:3">
      <c r="A190" s="280"/>
      <c r="B190" s="280"/>
      <c r="C190" s="280"/>
    </row>
    <row r="191" spans="1:3">
      <c r="A191" s="280"/>
      <c r="B191" s="280"/>
      <c r="C191" s="280"/>
    </row>
    <row r="192" spans="1:3">
      <c r="A192" s="280"/>
      <c r="B192" s="280"/>
      <c r="C192" s="280"/>
    </row>
    <row r="193" spans="1:3">
      <c r="A193" s="280"/>
      <c r="B193" s="280"/>
      <c r="C193" s="280"/>
    </row>
    <row r="194" spans="1:3">
      <c r="A194" s="280"/>
      <c r="B194" s="280"/>
      <c r="C194" s="280"/>
    </row>
    <row r="195" spans="1:3">
      <c r="A195" s="280"/>
      <c r="B195" s="280"/>
      <c r="C195" s="280"/>
    </row>
    <row r="196" spans="1:3">
      <c r="A196" s="280"/>
      <c r="B196" s="280"/>
      <c r="C196" s="280"/>
    </row>
    <row r="197" spans="1:3">
      <c r="A197" s="280"/>
      <c r="B197" s="280"/>
      <c r="C197" s="280"/>
    </row>
    <row r="198" spans="1:3">
      <c r="A198" s="280"/>
      <c r="B198" s="280"/>
      <c r="C198" s="280"/>
    </row>
    <row r="199" spans="1:3">
      <c r="A199" s="280"/>
      <c r="B199" s="280"/>
      <c r="C199" s="280"/>
    </row>
    <row r="200" spans="1:3">
      <c r="A200" s="280"/>
      <c r="B200" s="280"/>
      <c r="C200" s="280"/>
    </row>
    <row r="201" spans="1:3">
      <c r="A201" s="280"/>
      <c r="B201" s="280"/>
      <c r="C201" s="280"/>
    </row>
    <row r="202" spans="1:3">
      <c r="A202" s="280"/>
      <c r="B202" s="280"/>
      <c r="C202" s="280"/>
    </row>
    <row r="203" spans="1:3">
      <c r="A203" s="280"/>
      <c r="B203" s="280"/>
      <c r="C203" s="280"/>
    </row>
    <row r="204" spans="1:3">
      <c r="A204" s="280"/>
      <c r="B204" s="280"/>
      <c r="C204" s="280"/>
    </row>
    <row r="205" spans="1:3">
      <c r="A205" s="280"/>
      <c r="B205" s="280"/>
      <c r="C205" s="280"/>
    </row>
    <row r="206" spans="1:3">
      <c r="A206" s="280"/>
      <c r="B206" s="280"/>
      <c r="C206" s="280"/>
    </row>
    <row r="207" spans="1:3">
      <c r="A207" s="280"/>
      <c r="B207" s="280"/>
      <c r="C207" s="280"/>
    </row>
    <row r="208" spans="1:3">
      <c r="A208" s="280"/>
      <c r="B208" s="280"/>
      <c r="C208" s="280"/>
    </row>
    <row r="209" spans="1:3">
      <c r="A209" s="280"/>
      <c r="B209" s="280"/>
      <c r="C209" s="280"/>
    </row>
    <row r="210" spans="1:3">
      <c r="A210" s="280"/>
      <c r="B210" s="280"/>
      <c r="C210" s="280"/>
    </row>
    <row r="211" spans="1:3">
      <c r="A211" s="280"/>
      <c r="B211" s="280"/>
      <c r="C211" s="280"/>
    </row>
    <row r="212" spans="1:3">
      <c r="A212" s="280"/>
      <c r="B212" s="280"/>
      <c r="C212" s="280"/>
    </row>
    <row r="213" spans="1:3">
      <c r="A213" s="280"/>
      <c r="B213" s="280"/>
      <c r="C213" s="280"/>
    </row>
    <row r="214" spans="1:3">
      <c r="A214" s="280"/>
      <c r="B214" s="280"/>
      <c r="C214" s="280"/>
    </row>
    <row r="215" spans="1:3">
      <c r="A215" s="280"/>
      <c r="B215" s="280"/>
      <c r="C215" s="280"/>
    </row>
    <row r="216" spans="1:3">
      <c r="A216" s="280"/>
      <c r="B216" s="280"/>
      <c r="C216" s="280"/>
    </row>
    <row r="217" spans="1:3">
      <c r="A217" s="280"/>
      <c r="B217" s="280"/>
      <c r="C217" s="280"/>
    </row>
    <row r="218" spans="1:3">
      <c r="A218" s="280"/>
      <c r="B218" s="280"/>
      <c r="C218" s="280"/>
    </row>
    <row r="219" spans="1:3">
      <c r="A219" s="280"/>
      <c r="B219" s="280"/>
      <c r="C219" s="280"/>
    </row>
    <row r="220" spans="1:3">
      <c r="A220" s="280"/>
      <c r="B220" s="280"/>
      <c r="C220" s="280"/>
    </row>
    <row r="221" spans="1:3">
      <c r="A221" s="280"/>
      <c r="B221" s="280"/>
      <c r="C221" s="280"/>
    </row>
    <row r="222" spans="1:3">
      <c r="A222" s="280"/>
      <c r="B222" s="280"/>
      <c r="C222" s="280"/>
    </row>
    <row r="223" spans="1:3">
      <c r="A223" s="280"/>
      <c r="B223" s="280"/>
      <c r="C223" s="280"/>
    </row>
    <row r="224" spans="1:3">
      <c r="A224" s="280"/>
      <c r="B224" s="280"/>
      <c r="C224" s="280"/>
    </row>
    <row r="225" spans="1:3">
      <c r="A225" s="280"/>
      <c r="B225" s="280"/>
      <c r="C225" s="280"/>
    </row>
    <row r="226" spans="1:3">
      <c r="A226" s="280"/>
      <c r="B226" s="280"/>
      <c r="C226" s="280"/>
    </row>
    <row r="227" spans="1:3">
      <c r="A227" s="280"/>
      <c r="B227" s="280"/>
      <c r="C227" s="280"/>
    </row>
    <row r="228" spans="1:3">
      <c r="A228" s="280"/>
      <c r="B228" s="280"/>
      <c r="C228" s="280"/>
    </row>
    <row r="229" spans="1:3">
      <c r="A229" s="280"/>
      <c r="B229" s="280"/>
      <c r="C229" s="280"/>
    </row>
    <row r="230" spans="1:3">
      <c r="A230" s="280"/>
      <c r="B230" s="280"/>
      <c r="C230" s="280"/>
    </row>
    <row r="231" spans="1:3">
      <c r="A231" s="280"/>
      <c r="B231" s="280"/>
      <c r="C231" s="280"/>
    </row>
    <row r="232" spans="1:3">
      <c r="A232" s="280"/>
      <c r="B232" s="280"/>
      <c r="C232" s="280"/>
    </row>
    <row r="233" spans="1:3">
      <c r="A233" s="280"/>
      <c r="B233" s="280"/>
      <c r="C233" s="280"/>
    </row>
    <row r="234" spans="1:3">
      <c r="A234" s="280"/>
      <c r="B234" s="280"/>
      <c r="C234" s="280"/>
    </row>
    <row r="235" spans="1:3">
      <c r="A235" s="280"/>
      <c r="B235" s="280"/>
      <c r="C235" s="280"/>
    </row>
    <row r="236" spans="1:3">
      <c r="A236" s="280"/>
      <c r="B236" s="280"/>
      <c r="C236" s="280"/>
    </row>
    <row r="237" spans="1:3">
      <c r="A237" s="280"/>
      <c r="B237" s="280"/>
      <c r="C237" s="280"/>
    </row>
    <row r="238" spans="1:3">
      <c r="A238" s="280"/>
      <c r="B238" s="280"/>
      <c r="C238" s="280"/>
    </row>
    <row r="239" spans="1:3">
      <c r="A239" s="280"/>
      <c r="B239" s="280"/>
      <c r="C239" s="280"/>
    </row>
    <row r="240" spans="1:3">
      <c r="A240" s="280"/>
      <c r="B240" s="280"/>
      <c r="C240" s="280"/>
    </row>
    <row r="241" spans="1:3">
      <c r="A241" s="280"/>
      <c r="B241" s="280"/>
      <c r="C241" s="280"/>
    </row>
    <row r="242" spans="1:3">
      <c r="A242" s="280"/>
      <c r="B242" s="280"/>
      <c r="C242" s="280"/>
    </row>
    <row r="243" spans="1:3">
      <c r="A243" s="280"/>
      <c r="B243" s="280"/>
      <c r="C243" s="280"/>
    </row>
    <row r="244" spans="1:3">
      <c r="A244" s="280"/>
      <c r="B244" s="280"/>
      <c r="C244" s="280"/>
    </row>
    <row r="245" spans="1:3">
      <c r="A245" s="280"/>
      <c r="B245" s="280"/>
      <c r="C245" s="280"/>
    </row>
    <row r="246" spans="1:3">
      <c r="A246" s="280"/>
      <c r="B246" s="280"/>
      <c r="C246" s="280"/>
    </row>
    <row r="247" spans="1:3">
      <c r="A247" s="280"/>
      <c r="B247" s="280"/>
      <c r="C247" s="280"/>
    </row>
    <row r="248" spans="1:3">
      <c r="A248" s="280"/>
      <c r="B248" s="280"/>
      <c r="C248" s="280"/>
    </row>
    <row r="249" spans="1:3">
      <c r="A249" s="280"/>
      <c r="B249" s="280"/>
      <c r="C249" s="280"/>
    </row>
    <row r="250" spans="1:3">
      <c r="A250" s="280"/>
      <c r="B250" s="280"/>
      <c r="C250" s="280"/>
    </row>
    <row r="251" spans="1:3">
      <c r="A251" s="280"/>
      <c r="B251" s="280"/>
      <c r="C251" s="280"/>
    </row>
    <row r="252" spans="1:3">
      <c r="A252" s="280"/>
      <c r="B252" s="280"/>
      <c r="C252" s="280"/>
    </row>
    <row r="253" spans="1:3">
      <c r="A253" s="280"/>
      <c r="B253" s="280"/>
      <c r="C253" s="280"/>
    </row>
    <row r="254" spans="1:3">
      <c r="A254" s="280"/>
      <c r="B254" s="280"/>
      <c r="C254" s="280"/>
    </row>
    <row r="255" spans="1:3">
      <c r="A255" s="280"/>
      <c r="B255" s="280"/>
      <c r="C255" s="280"/>
    </row>
    <row r="256" spans="1:3">
      <c r="A256" s="280"/>
      <c r="B256" s="280"/>
      <c r="C256" s="280"/>
    </row>
    <row r="257" spans="1:3">
      <c r="A257" s="280"/>
      <c r="B257" s="280"/>
      <c r="C257" s="280"/>
    </row>
    <row r="258" spans="1:3">
      <c r="A258" s="280"/>
      <c r="B258" s="280"/>
      <c r="C258" s="280"/>
    </row>
    <row r="259" spans="1:3">
      <c r="A259" s="280"/>
      <c r="B259" s="280"/>
      <c r="C259" s="280"/>
    </row>
    <row r="260" spans="1:3">
      <c r="A260" s="280"/>
      <c r="B260" s="280"/>
      <c r="C260" s="280"/>
    </row>
    <row r="261" spans="1:3">
      <c r="A261" s="280"/>
      <c r="B261" s="280"/>
      <c r="C261" s="280"/>
    </row>
    <row r="262" spans="1:3">
      <c r="A262" s="280"/>
      <c r="B262" s="280"/>
      <c r="C262" s="280"/>
    </row>
    <row r="263" spans="1:3">
      <c r="A263" s="280"/>
      <c r="B263" s="280"/>
      <c r="C263" s="280"/>
    </row>
    <row r="264" spans="1:3">
      <c r="A264" s="280"/>
      <c r="B264" s="280"/>
      <c r="C264" s="280"/>
    </row>
    <row r="265" spans="1:3">
      <c r="A265" s="280"/>
      <c r="B265" s="280"/>
      <c r="C265" s="280"/>
    </row>
    <row r="266" spans="1:3">
      <c r="A266" s="280"/>
      <c r="B266" s="280"/>
      <c r="C266" s="280"/>
    </row>
    <row r="267" spans="1:3">
      <c r="A267" s="280"/>
      <c r="B267" s="280"/>
      <c r="C267" s="280"/>
    </row>
    <row r="268" spans="1:3">
      <c r="A268" s="280"/>
      <c r="B268" s="280"/>
      <c r="C268" s="280"/>
    </row>
    <row r="269" spans="1:3">
      <c r="A269" s="280"/>
      <c r="B269" s="280"/>
      <c r="C269" s="280"/>
    </row>
    <row r="270" spans="1:3">
      <c r="A270" s="280"/>
      <c r="B270" s="280"/>
      <c r="C270" s="280"/>
    </row>
    <row r="271" spans="1:3">
      <c r="A271" s="280"/>
      <c r="B271" s="280"/>
      <c r="C271" s="280"/>
    </row>
    <row r="272" spans="1:3">
      <c r="A272" s="280"/>
      <c r="B272" s="280"/>
      <c r="C272" s="280"/>
    </row>
    <row r="273" spans="1:3">
      <c r="A273" s="280"/>
      <c r="B273" s="280"/>
      <c r="C273" s="280"/>
    </row>
    <row r="274" spans="1:3">
      <c r="A274" s="280"/>
      <c r="B274" s="280"/>
      <c r="C274" s="280"/>
    </row>
    <row r="275" spans="1:3">
      <c r="A275" s="280"/>
      <c r="B275" s="280"/>
      <c r="C275" s="280"/>
    </row>
    <row r="276" spans="1:3">
      <c r="A276" s="280"/>
      <c r="B276" s="280"/>
      <c r="C276" s="280"/>
    </row>
    <row r="277" spans="1:3">
      <c r="A277" s="280"/>
      <c r="B277" s="280"/>
      <c r="C277" s="280"/>
    </row>
    <row r="278" spans="1:3">
      <c r="A278" s="280"/>
      <c r="B278" s="280"/>
      <c r="C278" s="280"/>
    </row>
    <row r="279" spans="1:3">
      <c r="A279" s="280"/>
      <c r="B279" s="280"/>
      <c r="C279" s="280"/>
    </row>
    <row r="280" spans="1:3">
      <c r="A280" s="280"/>
      <c r="B280" s="280"/>
      <c r="C280" s="280"/>
    </row>
    <row r="281" spans="1:3">
      <c r="A281" s="280"/>
      <c r="B281" s="280"/>
      <c r="C281" s="280"/>
    </row>
    <row r="282" spans="1:3">
      <c r="A282" s="280"/>
      <c r="B282" s="280"/>
      <c r="C282" s="280"/>
    </row>
    <row r="283" spans="1:3">
      <c r="A283" s="280"/>
      <c r="B283" s="280"/>
      <c r="C283" s="280"/>
    </row>
    <row r="284" spans="1:3">
      <c r="A284" s="280"/>
      <c r="B284" s="280"/>
      <c r="C284" s="280"/>
    </row>
    <row r="285" spans="1:3">
      <c r="A285" s="280"/>
      <c r="B285" s="280"/>
      <c r="C285" s="280"/>
    </row>
    <row r="286" spans="1:3">
      <c r="A286" s="280"/>
      <c r="B286" s="280"/>
      <c r="C286" s="280"/>
    </row>
    <row r="287" spans="1:3">
      <c r="A287" s="280"/>
      <c r="B287" s="280"/>
      <c r="C287" s="280"/>
    </row>
    <row r="288" spans="1:3">
      <c r="A288" s="280"/>
      <c r="B288" s="280"/>
      <c r="C288" s="280"/>
    </row>
    <row r="289" spans="1:5">
      <c r="A289" s="280"/>
      <c r="B289" s="280"/>
      <c r="C289" s="280"/>
    </row>
    <row r="290" spans="1:5">
      <c r="A290" s="280"/>
      <c r="B290" s="280"/>
      <c r="C290" s="280"/>
    </row>
    <row r="291" spans="1:5">
      <c r="A291" s="280"/>
      <c r="B291" s="280"/>
      <c r="C291" s="280"/>
    </row>
    <row r="292" spans="1:5">
      <c r="A292" s="280"/>
      <c r="B292" s="280"/>
      <c r="C292" s="280"/>
    </row>
    <row r="293" spans="1:5">
      <c r="A293" s="280"/>
      <c r="B293" s="280"/>
      <c r="C293" s="280"/>
    </row>
    <row r="294" spans="1:5">
      <c r="A294" s="280"/>
      <c r="B294" s="280"/>
      <c r="C294" s="280"/>
    </row>
    <row r="295" spans="1:5">
      <c r="A295" s="280"/>
      <c r="B295" s="280"/>
      <c r="C295" s="280"/>
    </row>
    <row r="296" spans="1:5">
      <c r="A296" s="280"/>
      <c r="B296" s="280"/>
      <c r="C296" s="280"/>
    </row>
    <row r="297" spans="1:5">
      <c r="A297" s="280"/>
      <c r="B297" s="280"/>
      <c r="C297" s="280"/>
    </row>
    <row r="298" spans="1:5">
      <c r="A298" s="280"/>
      <c r="B298" s="280"/>
      <c r="C298" s="280"/>
    </row>
    <row r="299" spans="1:5">
      <c r="A299" s="280"/>
      <c r="B299" s="280"/>
      <c r="C299" s="280"/>
    </row>
    <row r="300" spans="1:5">
      <c r="A300" s="280"/>
      <c r="B300" s="280"/>
      <c r="C300" s="280"/>
    </row>
    <row r="301" spans="1:5">
      <c r="A301" s="282"/>
      <c r="B301" s="282"/>
      <c r="C301" s="282"/>
    </row>
    <row r="302" spans="1:5">
      <c r="A302" s="282"/>
      <c r="B302" s="282"/>
      <c r="C302" s="282"/>
      <c r="E302" s="283"/>
    </row>
    <row r="303" spans="1:5">
      <c r="A303" s="282"/>
      <c r="B303" s="282"/>
      <c r="C303" s="282"/>
    </row>
    <row r="304" spans="1:5">
      <c r="A304" s="282"/>
      <c r="B304" s="282"/>
      <c r="C304" s="282"/>
    </row>
    <row r="305" spans="1:3">
      <c r="A305" s="282"/>
      <c r="B305" s="282"/>
      <c r="C305" s="282"/>
    </row>
    <row r="306" spans="1:3">
      <c r="A306" s="282"/>
      <c r="B306" s="282"/>
      <c r="C306" s="282"/>
    </row>
    <row r="307" spans="1:3">
      <c r="A307" s="282"/>
      <c r="B307" s="282"/>
      <c r="C307" s="282"/>
    </row>
    <row r="308" spans="1:3">
      <c r="A308" s="282"/>
      <c r="B308" s="282"/>
      <c r="C308" s="282"/>
    </row>
    <row r="309" spans="1:3">
      <c r="A309" s="282"/>
      <c r="B309" s="282"/>
      <c r="C309" s="282"/>
    </row>
    <row r="310" spans="1:3">
      <c r="A310" s="282"/>
      <c r="B310" s="282"/>
      <c r="C310" s="282"/>
    </row>
    <row r="311" spans="1:3">
      <c r="A311" s="282"/>
      <c r="B311" s="282"/>
      <c r="C311" s="282"/>
    </row>
    <row r="312" spans="1:3">
      <c r="A312" s="282"/>
      <c r="B312" s="282"/>
      <c r="C312" s="282"/>
    </row>
    <row r="313" spans="1:3">
      <c r="A313" s="282"/>
      <c r="B313" s="282"/>
      <c r="C313" s="282"/>
    </row>
    <row r="314" spans="1:3">
      <c r="A314" s="282"/>
      <c r="B314" s="282"/>
      <c r="C314" s="282"/>
    </row>
    <row r="315" spans="1:3">
      <c r="A315" s="282"/>
      <c r="B315" s="282"/>
      <c r="C315" s="282"/>
    </row>
    <row r="316" spans="1:3">
      <c r="A316" s="282"/>
      <c r="B316" s="282"/>
      <c r="C316" s="282"/>
    </row>
    <row r="317" spans="1:3">
      <c r="A317" s="282"/>
      <c r="B317" s="282"/>
      <c r="C317" s="282"/>
    </row>
    <row r="318" spans="1:3">
      <c r="A318" s="282"/>
      <c r="B318" s="282"/>
      <c r="C318" s="282"/>
    </row>
    <row r="319" spans="1:3">
      <c r="A319" s="282"/>
      <c r="B319" s="282"/>
      <c r="C319" s="282"/>
    </row>
    <row r="320" spans="1:3">
      <c r="A320" s="282"/>
      <c r="B320" s="282"/>
      <c r="C320" s="282"/>
    </row>
    <row r="321" spans="1:3">
      <c r="A321" s="282"/>
      <c r="B321" s="282"/>
      <c r="C321" s="282"/>
    </row>
    <row r="322" spans="1:3">
      <c r="A322" s="282"/>
      <c r="B322" s="282"/>
      <c r="C322" s="282"/>
    </row>
    <row r="323" spans="1:3">
      <c r="A323" s="282"/>
      <c r="B323" s="282"/>
      <c r="C323" s="282"/>
    </row>
    <row r="324" spans="1:3">
      <c r="A324" s="282"/>
      <c r="B324" s="282"/>
      <c r="C324" s="282"/>
    </row>
    <row r="325" spans="1:3">
      <c r="A325" s="282"/>
      <c r="B325" s="282"/>
      <c r="C325" s="282"/>
    </row>
    <row r="326" spans="1:3">
      <c r="A326" s="282"/>
      <c r="B326" s="282"/>
      <c r="C326" s="282"/>
    </row>
    <row r="327" spans="1:3">
      <c r="A327" s="282"/>
      <c r="B327" s="282"/>
      <c r="C327" s="282"/>
    </row>
    <row r="328" spans="1:3">
      <c r="A328" s="282"/>
      <c r="B328" s="282"/>
      <c r="C328" s="282"/>
    </row>
    <row r="329" spans="1:3">
      <c r="A329" s="282"/>
      <c r="B329" s="282"/>
      <c r="C329" s="282"/>
    </row>
    <row r="330" spans="1:3">
      <c r="A330" s="282"/>
      <c r="B330" s="282"/>
      <c r="C330" s="282"/>
    </row>
    <row r="331" spans="1:3">
      <c r="A331" s="282"/>
      <c r="B331" s="282"/>
      <c r="C331" s="282"/>
    </row>
    <row r="332" spans="1:3">
      <c r="A332" s="282"/>
      <c r="B332" s="282"/>
      <c r="C332" s="282"/>
    </row>
    <row r="333" spans="1:3">
      <c r="A333" s="282"/>
      <c r="B333" s="282"/>
      <c r="C333" s="282"/>
    </row>
    <row r="334" spans="1:3">
      <c r="A334" s="282"/>
      <c r="B334" s="282"/>
      <c r="C334" s="282"/>
    </row>
    <row r="335" spans="1:3">
      <c r="A335" s="282"/>
      <c r="B335" s="282"/>
      <c r="C335" s="282"/>
    </row>
    <row r="336" spans="1:3">
      <c r="A336" s="282"/>
      <c r="B336" s="282"/>
      <c r="C336" s="282"/>
    </row>
    <row r="337" spans="1:3">
      <c r="A337" s="282"/>
      <c r="B337" s="282"/>
      <c r="C337" s="282"/>
    </row>
    <row r="338" spans="1:3">
      <c r="A338" s="282"/>
      <c r="B338" s="282"/>
      <c r="C338" s="282"/>
    </row>
    <row r="339" spans="1:3">
      <c r="A339" s="282"/>
      <c r="B339" s="282"/>
      <c r="C339" s="282"/>
    </row>
    <row r="340" spans="1:3">
      <c r="A340" s="282"/>
      <c r="B340" s="282"/>
      <c r="C340" s="282"/>
    </row>
    <row r="341" spans="1:3">
      <c r="A341" s="282"/>
      <c r="B341" s="282"/>
      <c r="C341" s="282"/>
    </row>
    <row r="342" spans="1:3">
      <c r="A342" s="282"/>
      <c r="B342" s="282"/>
      <c r="C342" s="282"/>
    </row>
    <row r="343" spans="1:3">
      <c r="A343" s="282"/>
      <c r="B343" s="282"/>
      <c r="C343" s="282"/>
    </row>
    <row r="344" spans="1:3">
      <c r="A344" s="282"/>
      <c r="B344" s="282"/>
      <c r="C344" s="282"/>
    </row>
    <row r="345" spans="1:3">
      <c r="A345" s="282"/>
      <c r="B345" s="282"/>
      <c r="C345" s="282"/>
    </row>
    <row r="346" spans="1:3">
      <c r="A346" s="282"/>
      <c r="B346" s="282"/>
      <c r="C346" s="282"/>
    </row>
    <row r="347" spans="1:3">
      <c r="A347" s="282"/>
      <c r="B347" s="282"/>
      <c r="C347" s="282"/>
    </row>
    <row r="348" spans="1:3">
      <c r="A348" s="282"/>
      <c r="B348" s="282"/>
      <c r="C348" s="282"/>
    </row>
    <row r="349" spans="1:3">
      <c r="A349" s="282"/>
      <c r="B349" s="282"/>
      <c r="C349" s="282"/>
    </row>
    <row r="350" spans="1:3">
      <c r="A350" s="282"/>
      <c r="B350" s="282"/>
      <c r="C350" s="282"/>
    </row>
    <row r="351" spans="1:3">
      <c r="A351" s="282"/>
      <c r="B351" s="282"/>
      <c r="C351" s="282"/>
    </row>
    <row r="352" spans="1:3">
      <c r="A352" s="282"/>
      <c r="B352" s="282"/>
      <c r="C352" s="282"/>
    </row>
    <row r="353" spans="1:3">
      <c r="A353" s="282"/>
      <c r="B353" s="282"/>
      <c r="C353" s="282"/>
    </row>
    <row r="354" spans="1:3">
      <c r="A354" s="282"/>
      <c r="B354" s="282"/>
      <c r="C354" s="282"/>
    </row>
    <row r="355" spans="1:3">
      <c r="A355" s="282"/>
      <c r="B355" s="282"/>
      <c r="C355" s="282"/>
    </row>
    <row r="356" spans="1:3">
      <c r="A356" s="282"/>
      <c r="B356" s="282"/>
      <c r="C356" s="282"/>
    </row>
    <row r="357" spans="1:3">
      <c r="A357" s="282"/>
      <c r="B357" s="282"/>
      <c r="C357" s="282"/>
    </row>
    <row r="358" spans="1:3">
      <c r="A358" s="282"/>
      <c r="B358" s="282"/>
      <c r="C358" s="282"/>
    </row>
    <row r="359" spans="1:3">
      <c r="A359" s="282"/>
      <c r="B359" s="282"/>
      <c r="C359" s="282"/>
    </row>
    <row r="360" spans="1:3">
      <c r="A360" s="282"/>
      <c r="B360" s="282"/>
      <c r="C360" s="282"/>
    </row>
    <row r="361" spans="1:3">
      <c r="A361" s="282"/>
      <c r="B361" s="282"/>
      <c r="C361" s="282"/>
    </row>
    <row r="362" spans="1:3">
      <c r="A362" s="282"/>
      <c r="B362" s="282"/>
      <c r="C362" s="282"/>
    </row>
    <row r="363" spans="1:3">
      <c r="A363" s="282"/>
      <c r="B363" s="282"/>
      <c r="C363" s="282"/>
    </row>
    <row r="364" spans="1:3">
      <c r="A364" s="282"/>
      <c r="B364" s="282"/>
      <c r="C364" s="282"/>
    </row>
    <row r="365" spans="1:3">
      <c r="A365" s="282"/>
      <c r="B365" s="282"/>
      <c r="C365" s="282"/>
    </row>
    <row r="366" spans="1:3">
      <c r="A366" s="282"/>
      <c r="B366" s="282"/>
      <c r="C366" s="282"/>
    </row>
    <row r="367" spans="1:3">
      <c r="A367" s="282"/>
      <c r="B367" s="282"/>
      <c r="C367" s="282"/>
    </row>
    <row r="368" spans="1:3">
      <c r="A368" s="282"/>
      <c r="B368" s="282"/>
      <c r="C368" s="282"/>
    </row>
    <row r="369" spans="1:3">
      <c r="A369" s="282"/>
      <c r="B369" s="282"/>
      <c r="C369" s="282"/>
    </row>
    <row r="370" spans="1:3">
      <c r="A370" s="282"/>
      <c r="B370" s="282"/>
      <c r="C370" s="282"/>
    </row>
    <row r="371" spans="1:3">
      <c r="A371" s="282"/>
      <c r="B371" s="282"/>
      <c r="C371" s="282"/>
    </row>
    <row r="372" spans="1:3">
      <c r="A372" s="282"/>
      <c r="B372" s="282"/>
      <c r="C372" s="282"/>
    </row>
    <row r="373" spans="1:3">
      <c r="A373" s="282"/>
      <c r="B373" s="282"/>
      <c r="C373" s="282"/>
    </row>
    <row r="374" spans="1:3">
      <c r="A374" s="282"/>
      <c r="B374" s="282"/>
      <c r="C374" s="282"/>
    </row>
    <row r="375" spans="1:3">
      <c r="A375" s="282"/>
      <c r="B375" s="282"/>
      <c r="C375" s="282"/>
    </row>
    <row r="376" spans="1:3">
      <c r="A376" s="282"/>
      <c r="B376" s="282"/>
      <c r="C376" s="282"/>
    </row>
    <row r="377" spans="1:3">
      <c r="A377" s="282"/>
      <c r="B377" s="282"/>
      <c r="C377" s="282"/>
    </row>
    <row r="378" spans="1:3">
      <c r="A378" s="282"/>
      <c r="B378" s="282"/>
      <c r="C378" s="282"/>
    </row>
    <row r="379" spans="1:3">
      <c r="A379" s="282"/>
      <c r="B379" s="282"/>
      <c r="C379" s="282"/>
    </row>
    <row r="380" spans="1:3">
      <c r="A380" s="282"/>
      <c r="B380" s="282"/>
      <c r="C380" s="282"/>
    </row>
    <row r="381" spans="1:3">
      <c r="A381" s="282"/>
      <c r="B381" s="282"/>
      <c r="C381" s="282"/>
    </row>
    <row r="382" spans="1:3">
      <c r="A382" s="282"/>
      <c r="B382" s="282"/>
      <c r="C382" s="282"/>
    </row>
    <row r="383" spans="1:3">
      <c r="A383" s="282"/>
      <c r="B383" s="282"/>
      <c r="C383" s="282"/>
    </row>
    <row r="384" spans="1:3">
      <c r="A384" s="282"/>
      <c r="B384" s="282"/>
      <c r="C384" s="282"/>
    </row>
    <row r="385" spans="1:3">
      <c r="A385" s="282"/>
      <c r="B385" s="282"/>
      <c r="C385" s="282"/>
    </row>
    <row r="386" spans="1:3">
      <c r="A386" s="282"/>
      <c r="B386" s="282"/>
      <c r="C386" s="282"/>
    </row>
    <row r="387" spans="1:3">
      <c r="A387" s="282"/>
      <c r="B387" s="282"/>
      <c r="C387" s="282"/>
    </row>
    <row r="388" spans="1:3">
      <c r="A388" s="282"/>
      <c r="B388" s="282"/>
      <c r="C388" s="282"/>
    </row>
    <row r="389" spans="1:3">
      <c r="A389" s="282"/>
      <c r="B389" s="282"/>
      <c r="C389" s="282"/>
    </row>
    <row r="390" spans="1:3">
      <c r="A390" s="282"/>
      <c r="B390" s="282"/>
      <c r="C390" s="282"/>
    </row>
    <row r="391" spans="1:3">
      <c r="A391" s="282"/>
      <c r="B391" s="282"/>
      <c r="C391" s="282"/>
    </row>
    <row r="392" spans="1:3">
      <c r="A392" s="282"/>
      <c r="B392" s="282"/>
      <c r="C392" s="282"/>
    </row>
    <row r="393" spans="1:3">
      <c r="A393" s="282"/>
      <c r="B393" s="282"/>
      <c r="C393" s="282"/>
    </row>
    <row r="394" spans="1:3">
      <c r="A394" s="282"/>
      <c r="B394" s="282"/>
      <c r="C394" s="282"/>
    </row>
    <row r="395" spans="1:3">
      <c r="A395" s="282"/>
      <c r="B395" s="282"/>
      <c r="C395" s="282"/>
    </row>
    <row r="396" spans="1:3">
      <c r="A396" s="282"/>
      <c r="B396" s="282"/>
      <c r="C396" s="282"/>
    </row>
    <row r="397" spans="1:3">
      <c r="A397" s="282"/>
      <c r="B397" s="282"/>
      <c r="C397" s="282"/>
    </row>
    <row r="398" spans="1:3">
      <c r="A398" s="282"/>
      <c r="B398" s="282"/>
      <c r="C398" s="282"/>
    </row>
    <row r="399" spans="1:3">
      <c r="A399" s="282"/>
      <c r="B399" s="282"/>
      <c r="C399" s="282"/>
    </row>
    <row r="400" spans="1:3">
      <c r="A400" s="282"/>
      <c r="B400" s="282"/>
      <c r="C400" s="282"/>
    </row>
    <row r="401" spans="1:3">
      <c r="A401" s="282"/>
      <c r="B401" s="282"/>
      <c r="C401" s="282"/>
    </row>
    <row r="402" spans="1:3">
      <c r="A402" s="282"/>
      <c r="B402" s="282"/>
      <c r="C402" s="282"/>
    </row>
    <row r="403" spans="1:3">
      <c r="A403" s="282"/>
      <c r="B403" s="282"/>
      <c r="C403" s="282"/>
    </row>
    <row r="404" spans="1:3">
      <c r="A404" s="282"/>
      <c r="B404" s="282"/>
      <c r="C404" s="282"/>
    </row>
    <row r="405" spans="1:3">
      <c r="A405" s="282"/>
      <c r="B405" s="282"/>
      <c r="C405" s="282"/>
    </row>
    <row r="406" spans="1:3">
      <c r="A406" s="282"/>
      <c r="B406" s="282"/>
      <c r="C406" s="282"/>
    </row>
    <row r="407" spans="1:3">
      <c r="A407" s="282"/>
      <c r="B407" s="282"/>
      <c r="C407" s="282"/>
    </row>
    <row r="408" spans="1:3">
      <c r="A408" s="282"/>
      <c r="B408" s="282"/>
      <c r="C408" s="282"/>
    </row>
    <row r="409" spans="1:3">
      <c r="A409" s="282"/>
      <c r="B409" s="282"/>
      <c r="C409" s="282"/>
    </row>
    <row r="410" spans="1:3">
      <c r="A410" s="282"/>
      <c r="B410" s="282"/>
      <c r="C410" s="282"/>
    </row>
    <row r="411" spans="1:3">
      <c r="A411" s="282"/>
      <c r="B411" s="282"/>
      <c r="C411" s="282"/>
    </row>
    <row r="412" spans="1:3">
      <c r="A412" s="282"/>
      <c r="B412" s="282"/>
      <c r="C412" s="282"/>
    </row>
    <row r="413" spans="1:3">
      <c r="A413" s="282"/>
      <c r="B413" s="282"/>
      <c r="C413" s="282"/>
    </row>
    <row r="414" spans="1:3">
      <c r="A414" s="282"/>
      <c r="B414" s="282"/>
      <c r="C414" s="282"/>
    </row>
    <row r="415" spans="1:3">
      <c r="A415" s="282"/>
      <c r="B415" s="282"/>
      <c r="C415" s="282"/>
    </row>
    <row r="416" spans="1:3">
      <c r="A416" s="282"/>
      <c r="B416" s="282"/>
      <c r="C416" s="282"/>
    </row>
    <row r="417" spans="1:3">
      <c r="A417" s="282"/>
      <c r="B417" s="282"/>
      <c r="C417" s="282"/>
    </row>
    <row r="418" spans="1:3">
      <c r="A418" s="282"/>
      <c r="B418" s="282"/>
      <c r="C418" s="282"/>
    </row>
    <row r="419" spans="1:3">
      <c r="A419" s="282"/>
      <c r="B419" s="282"/>
      <c r="C419" s="282"/>
    </row>
    <row r="420" spans="1:3">
      <c r="A420" s="282"/>
      <c r="B420" s="282"/>
      <c r="C420" s="282"/>
    </row>
    <row r="421" spans="1:3">
      <c r="A421" s="282"/>
      <c r="B421" s="282"/>
      <c r="C421" s="282"/>
    </row>
    <row r="422" spans="1:3">
      <c r="A422" s="282"/>
      <c r="B422" s="282"/>
      <c r="C422" s="282"/>
    </row>
    <row r="423" spans="1:3">
      <c r="A423" s="282"/>
      <c r="B423" s="282"/>
      <c r="C423" s="282"/>
    </row>
    <row r="424" spans="1:3">
      <c r="A424" s="282"/>
      <c r="B424" s="282"/>
      <c r="C424" s="282"/>
    </row>
    <row r="425" spans="1:3">
      <c r="A425" s="282"/>
      <c r="B425" s="282"/>
      <c r="C425" s="282"/>
    </row>
    <row r="426" spans="1:3">
      <c r="A426" s="282"/>
      <c r="B426" s="282"/>
      <c r="C426" s="282"/>
    </row>
    <row r="427" spans="1:3">
      <c r="A427" s="282"/>
      <c r="B427" s="282"/>
      <c r="C427" s="282"/>
    </row>
    <row r="428" spans="1:3">
      <c r="A428" s="282"/>
      <c r="B428" s="282"/>
      <c r="C428" s="282"/>
    </row>
    <row r="429" spans="1:3">
      <c r="A429" s="282"/>
      <c r="B429" s="282"/>
      <c r="C429" s="282"/>
    </row>
    <row r="430" spans="1:3">
      <c r="A430" s="282"/>
      <c r="B430" s="282"/>
      <c r="C430" s="282"/>
    </row>
    <row r="431" spans="1:3">
      <c r="A431" s="282"/>
      <c r="B431" s="282"/>
      <c r="C431" s="282"/>
    </row>
    <row r="432" spans="1:3">
      <c r="A432" s="282"/>
      <c r="B432" s="282"/>
      <c r="C432" s="282"/>
    </row>
    <row r="433" spans="1:3">
      <c r="A433" s="282"/>
      <c r="B433" s="282"/>
      <c r="C433" s="282"/>
    </row>
    <row r="434" spans="1:3">
      <c r="A434" s="282"/>
      <c r="B434" s="282"/>
      <c r="C434" s="282"/>
    </row>
    <row r="435" spans="1:3">
      <c r="A435" s="282"/>
      <c r="B435" s="282"/>
      <c r="C435" s="282"/>
    </row>
    <row r="436" spans="1:3">
      <c r="A436" s="282"/>
      <c r="B436" s="282"/>
      <c r="C436" s="282"/>
    </row>
    <row r="437" spans="1:3">
      <c r="A437" s="282"/>
      <c r="B437" s="282"/>
      <c r="C437" s="282"/>
    </row>
    <row r="438" spans="1:3">
      <c r="A438" s="282"/>
      <c r="B438" s="282"/>
      <c r="C438" s="282"/>
    </row>
    <row r="439" spans="1:3">
      <c r="A439" s="282"/>
      <c r="B439" s="282"/>
      <c r="C439" s="282"/>
    </row>
    <row r="440" spans="1:3">
      <c r="A440" s="282"/>
      <c r="B440" s="282"/>
      <c r="C440" s="282"/>
    </row>
    <row r="441" spans="1:3">
      <c r="A441" s="282"/>
      <c r="B441" s="282"/>
      <c r="C441" s="282"/>
    </row>
    <row r="442" spans="1:3">
      <c r="A442" s="282"/>
      <c r="B442" s="282"/>
      <c r="C442" s="282"/>
    </row>
    <row r="443" spans="1:3">
      <c r="A443" s="282"/>
      <c r="B443" s="282"/>
      <c r="C443" s="282"/>
    </row>
    <row r="444" spans="1:3">
      <c r="A444" s="282"/>
      <c r="B444" s="282"/>
      <c r="C444" s="282"/>
    </row>
    <row r="445" spans="1:3">
      <c r="A445" s="282"/>
      <c r="B445" s="282"/>
      <c r="C445" s="282"/>
    </row>
    <row r="446" spans="1:3">
      <c r="A446" s="282"/>
      <c r="B446" s="282"/>
      <c r="C446" s="282"/>
    </row>
    <row r="447" spans="1:3">
      <c r="A447" s="282"/>
      <c r="B447" s="282"/>
      <c r="C447" s="282"/>
    </row>
    <row r="448" spans="1:3">
      <c r="A448" s="282"/>
      <c r="B448" s="282"/>
      <c r="C448" s="282"/>
    </row>
    <row r="449" spans="1:3">
      <c r="A449" s="282"/>
      <c r="B449" s="282"/>
      <c r="C449" s="282"/>
    </row>
    <row r="450" spans="1:3">
      <c r="A450" s="282"/>
      <c r="B450" s="282"/>
      <c r="C450" s="282"/>
    </row>
    <row r="451" spans="1:3">
      <c r="A451" s="282"/>
      <c r="B451" s="282"/>
      <c r="C451" s="282"/>
    </row>
    <row r="452" spans="1:3">
      <c r="A452" s="282"/>
      <c r="B452" s="282"/>
      <c r="C452" s="282"/>
    </row>
    <row r="453" spans="1:3">
      <c r="A453" s="282"/>
      <c r="B453" s="282"/>
      <c r="C453" s="282"/>
    </row>
    <row r="454" spans="1:3">
      <c r="A454" s="282"/>
      <c r="B454" s="282"/>
      <c r="C454" s="282"/>
    </row>
    <row r="455" spans="1:3">
      <c r="A455" s="282"/>
      <c r="B455" s="282"/>
      <c r="C455" s="282"/>
    </row>
    <row r="456" spans="1:3">
      <c r="A456" s="282"/>
      <c r="B456" s="282"/>
      <c r="C456" s="282"/>
    </row>
    <row r="457" spans="1:3">
      <c r="A457" s="282"/>
      <c r="B457" s="282"/>
      <c r="C457" s="282"/>
    </row>
    <row r="458" spans="1:3">
      <c r="A458" s="282"/>
      <c r="B458" s="282"/>
      <c r="C458" s="282"/>
    </row>
    <row r="459" spans="1:3">
      <c r="A459" s="282"/>
      <c r="B459" s="282"/>
      <c r="C459" s="282"/>
    </row>
    <row r="460" spans="1:3">
      <c r="A460" s="282"/>
      <c r="B460" s="282"/>
      <c r="C460" s="282"/>
    </row>
    <row r="461" spans="1:3">
      <c r="A461" s="282"/>
      <c r="B461" s="282"/>
      <c r="C461" s="282"/>
    </row>
    <row r="462" spans="1:3">
      <c r="A462" s="282"/>
      <c r="B462" s="282"/>
      <c r="C462" s="282"/>
    </row>
    <row r="463" spans="1:3">
      <c r="A463" s="282"/>
      <c r="B463" s="282"/>
      <c r="C463" s="282"/>
    </row>
    <row r="464" spans="1:3">
      <c r="A464" s="282"/>
      <c r="B464" s="282"/>
      <c r="C464" s="282"/>
    </row>
    <row r="465" spans="1:3">
      <c r="A465" s="282"/>
      <c r="B465" s="282"/>
      <c r="C465" s="282"/>
    </row>
    <row r="466" spans="1:3">
      <c r="A466" s="282"/>
      <c r="B466" s="282"/>
      <c r="C466" s="282"/>
    </row>
    <row r="467" spans="1:3">
      <c r="A467" s="282"/>
      <c r="B467" s="282"/>
      <c r="C467" s="282"/>
    </row>
    <row r="468" spans="1:3">
      <c r="A468" s="282"/>
      <c r="B468" s="282"/>
      <c r="C468" s="282"/>
    </row>
    <row r="469" spans="1:3">
      <c r="A469" s="282"/>
      <c r="B469" s="282"/>
      <c r="C469" s="282"/>
    </row>
    <row r="470" spans="1:3">
      <c r="A470" s="282"/>
      <c r="B470" s="282"/>
      <c r="C470" s="282"/>
    </row>
    <row r="471" spans="1:3">
      <c r="A471" s="282"/>
      <c r="B471" s="282"/>
      <c r="C471" s="282"/>
    </row>
    <row r="472" spans="1:3">
      <c r="A472" s="282"/>
      <c r="B472" s="282"/>
      <c r="C472" s="282"/>
    </row>
    <row r="473" spans="1:3">
      <c r="A473" s="282"/>
      <c r="B473" s="282"/>
      <c r="C473" s="282"/>
    </row>
    <row r="474" spans="1:3">
      <c r="A474" s="282"/>
      <c r="B474" s="282"/>
      <c r="C474" s="282"/>
    </row>
    <row r="475" spans="1:3">
      <c r="A475" s="282"/>
      <c r="B475" s="282"/>
      <c r="C475" s="282"/>
    </row>
    <row r="476" spans="1:3">
      <c r="A476" s="282"/>
      <c r="B476" s="282"/>
      <c r="C476" s="282"/>
    </row>
    <row r="477" spans="1:3">
      <c r="A477" s="282"/>
      <c r="B477" s="282"/>
      <c r="C477" s="282"/>
    </row>
    <row r="478" spans="1:3">
      <c r="A478" s="282"/>
      <c r="B478" s="282"/>
      <c r="C478" s="282"/>
    </row>
    <row r="479" spans="1:3">
      <c r="A479" s="282"/>
      <c r="B479" s="282"/>
      <c r="C479" s="282"/>
    </row>
    <row r="480" spans="1:3">
      <c r="A480" s="282"/>
      <c r="B480" s="282"/>
      <c r="C480" s="282"/>
    </row>
    <row r="481" spans="1:3">
      <c r="A481" s="282"/>
      <c r="B481" s="282"/>
      <c r="C481" s="282"/>
    </row>
    <row r="482" spans="1:3">
      <c r="A482" s="282"/>
      <c r="B482" s="282"/>
      <c r="C482" s="282"/>
    </row>
    <row r="483" spans="1:3">
      <c r="A483" s="282"/>
      <c r="B483" s="282"/>
      <c r="C483" s="282"/>
    </row>
    <row r="484" spans="1:3">
      <c r="A484" s="282"/>
      <c r="B484" s="282"/>
      <c r="C484" s="282"/>
    </row>
    <row r="485" spans="1:3">
      <c r="A485" s="282"/>
      <c r="B485" s="282"/>
      <c r="C485" s="282"/>
    </row>
    <row r="486" spans="1:3">
      <c r="A486" s="282"/>
      <c r="B486" s="282"/>
      <c r="C486" s="282"/>
    </row>
    <row r="487" spans="1:3">
      <c r="A487" s="282"/>
      <c r="B487" s="282"/>
      <c r="C487" s="282"/>
    </row>
    <row r="488" spans="1:3">
      <c r="A488" s="282"/>
      <c r="B488" s="282"/>
      <c r="C488" s="282"/>
    </row>
    <row r="489" spans="1:3">
      <c r="A489" s="282"/>
      <c r="B489" s="282"/>
      <c r="C489" s="282"/>
    </row>
    <row r="490" spans="1:3">
      <c r="A490" s="282"/>
      <c r="B490" s="282"/>
      <c r="C490" s="282"/>
    </row>
    <row r="491" spans="1:3">
      <c r="A491" s="282"/>
      <c r="B491" s="282"/>
      <c r="C491" s="282"/>
    </row>
    <row r="492" spans="1:3">
      <c r="A492" s="282"/>
      <c r="B492" s="282"/>
      <c r="C492" s="282"/>
    </row>
    <row r="493" spans="1:3">
      <c r="A493" s="282"/>
      <c r="B493" s="282"/>
      <c r="C493" s="282"/>
    </row>
    <row r="494" spans="1:3">
      <c r="A494" s="282"/>
      <c r="B494" s="282"/>
      <c r="C494" s="282"/>
    </row>
    <row r="495" spans="1:3">
      <c r="A495" s="282"/>
      <c r="B495" s="282"/>
      <c r="C495" s="282"/>
    </row>
    <row r="496" spans="1:3">
      <c r="A496" s="282"/>
      <c r="B496" s="282"/>
      <c r="C496" s="282"/>
    </row>
    <row r="497" spans="1:3">
      <c r="A497" s="282"/>
      <c r="B497" s="282"/>
      <c r="C497" s="282"/>
    </row>
    <row r="498" spans="1:3">
      <c r="A498" s="282"/>
      <c r="B498" s="282"/>
      <c r="C498" s="282"/>
    </row>
    <row r="499" spans="1:3">
      <c r="A499" s="282"/>
      <c r="B499" s="282"/>
      <c r="C499" s="282"/>
    </row>
    <row r="500" spans="1:3">
      <c r="A500" s="282"/>
      <c r="B500" s="282"/>
      <c r="C500" s="282"/>
    </row>
    <row r="501" spans="1:3">
      <c r="A501" s="282"/>
      <c r="B501" s="282"/>
      <c r="C501" s="282"/>
    </row>
    <row r="502" spans="1:3">
      <c r="A502" s="282"/>
      <c r="B502" s="282"/>
      <c r="C502" s="282"/>
    </row>
    <row r="503" spans="1:3">
      <c r="A503" s="282"/>
      <c r="B503" s="282"/>
      <c r="C503" s="282"/>
    </row>
    <row r="504" spans="1:3">
      <c r="A504" s="282"/>
      <c r="B504" s="282"/>
      <c r="C504" s="282"/>
    </row>
    <row r="505" spans="1:3">
      <c r="A505" s="282"/>
      <c r="B505" s="282"/>
      <c r="C505" s="282"/>
    </row>
    <row r="506" spans="1:3">
      <c r="A506" s="282"/>
      <c r="B506" s="282"/>
      <c r="C506" s="282"/>
    </row>
    <row r="507" spans="1:3">
      <c r="A507" s="282"/>
      <c r="B507" s="282"/>
      <c r="C507" s="282"/>
    </row>
    <row r="508" spans="1:3">
      <c r="A508" s="282"/>
      <c r="B508" s="282"/>
      <c r="C508" s="282"/>
    </row>
    <row r="509" spans="1:3">
      <c r="A509" s="282"/>
      <c r="B509" s="282"/>
      <c r="C509" s="282"/>
    </row>
    <row r="510" spans="1:3">
      <c r="A510" s="282"/>
      <c r="B510" s="282"/>
      <c r="C510" s="282"/>
    </row>
    <row r="511" spans="1:3">
      <c r="A511" s="282"/>
      <c r="B511" s="282"/>
      <c r="C511" s="282"/>
    </row>
    <row r="512" spans="1:3">
      <c r="A512" s="282"/>
      <c r="B512" s="282"/>
      <c r="C512" s="282"/>
    </row>
    <row r="513" spans="1:3">
      <c r="A513" s="282"/>
      <c r="B513" s="282"/>
      <c r="C513" s="282"/>
    </row>
    <row r="514" spans="1:3">
      <c r="A514" s="282"/>
      <c r="B514" s="282"/>
      <c r="C514" s="282"/>
    </row>
    <row r="515" spans="1:3">
      <c r="A515" s="282"/>
      <c r="B515" s="282"/>
      <c r="C515" s="282"/>
    </row>
    <row r="516" spans="1:3">
      <c r="A516" s="282"/>
      <c r="B516" s="282"/>
      <c r="C516" s="282"/>
    </row>
    <row r="517" spans="1:3">
      <c r="A517" s="282"/>
      <c r="B517" s="282"/>
      <c r="C517" s="282"/>
    </row>
    <row r="518" spans="1:3">
      <c r="A518" s="282"/>
      <c r="B518" s="282"/>
      <c r="C518" s="282"/>
    </row>
    <row r="519" spans="1:3">
      <c r="A519" s="282"/>
      <c r="B519" s="282"/>
      <c r="C519" s="282"/>
    </row>
    <row r="520" spans="1:3">
      <c r="A520" s="282"/>
      <c r="B520" s="282"/>
      <c r="C520" s="282"/>
    </row>
    <row r="521" spans="1:3">
      <c r="A521" s="282"/>
      <c r="B521" s="282"/>
      <c r="C521" s="282"/>
    </row>
    <row r="522" spans="1:3">
      <c r="A522" s="282"/>
      <c r="B522" s="282"/>
      <c r="C522" s="282"/>
    </row>
    <row r="523" spans="1:3">
      <c r="A523" s="282"/>
      <c r="B523" s="282"/>
      <c r="C523" s="282"/>
    </row>
    <row r="524" spans="1:3">
      <c r="A524" s="282"/>
      <c r="B524" s="282"/>
      <c r="C524" s="282"/>
    </row>
    <row r="525" spans="1:3">
      <c r="A525" s="282"/>
      <c r="B525" s="282"/>
      <c r="C525" s="282"/>
    </row>
    <row r="526" spans="1:3">
      <c r="A526" s="282"/>
      <c r="B526" s="282"/>
      <c r="C526" s="282"/>
    </row>
    <row r="527" spans="1:3">
      <c r="A527" s="282"/>
      <c r="B527" s="282"/>
      <c r="C527" s="282"/>
    </row>
    <row r="528" spans="1:3">
      <c r="A528" s="282"/>
      <c r="B528" s="282"/>
      <c r="C528" s="282"/>
    </row>
    <row r="529" spans="1:3">
      <c r="A529" s="282"/>
      <c r="B529" s="282"/>
      <c r="C529" s="282"/>
    </row>
    <row r="530" spans="1:3">
      <c r="A530" s="282"/>
      <c r="B530" s="282"/>
      <c r="C530" s="282"/>
    </row>
    <row r="531" spans="1:3">
      <c r="A531" s="282"/>
      <c r="B531" s="282"/>
      <c r="C531" s="282"/>
    </row>
    <row r="532" spans="1:3">
      <c r="A532" s="282"/>
      <c r="B532" s="282"/>
      <c r="C532" s="282"/>
    </row>
    <row r="533" spans="1:3">
      <c r="A533" s="282"/>
      <c r="B533" s="282"/>
      <c r="C533" s="282"/>
    </row>
    <row r="534" spans="1:3">
      <c r="A534" s="282"/>
      <c r="B534" s="282"/>
      <c r="C534" s="282"/>
    </row>
    <row r="535" spans="1:3">
      <c r="A535" s="282"/>
      <c r="B535" s="282"/>
      <c r="C535" s="282"/>
    </row>
    <row r="536" spans="1:3">
      <c r="A536" s="282"/>
      <c r="B536" s="282"/>
      <c r="C536" s="282"/>
    </row>
    <row r="537" spans="1:3">
      <c r="A537" s="282"/>
      <c r="B537" s="282"/>
      <c r="C537" s="282"/>
    </row>
    <row r="538" spans="1:3">
      <c r="A538" s="282"/>
      <c r="B538" s="282"/>
      <c r="C538" s="282"/>
    </row>
    <row r="539" spans="1:3">
      <c r="A539" s="282"/>
      <c r="B539" s="282"/>
      <c r="C539" s="282"/>
    </row>
    <row r="540" spans="1:3">
      <c r="A540" s="282"/>
      <c r="B540" s="282"/>
      <c r="C540" s="282"/>
    </row>
    <row r="541" spans="1:3">
      <c r="A541" s="282"/>
      <c r="B541" s="282"/>
      <c r="C541" s="282"/>
    </row>
    <row r="542" spans="1:3">
      <c r="A542" s="282"/>
      <c r="B542" s="282"/>
      <c r="C542" s="282"/>
    </row>
    <row r="543" spans="1:3">
      <c r="A543" s="282"/>
      <c r="B543" s="282"/>
      <c r="C543" s="282"/>
    </row>
    <row r="544" spans="1:3">
      <c r="A544" s="282"/>
      <c r="B544" s="282"/>
      <c r="C544" s="282"/>
    </row>
    <row r="545" spans="1:3">
      <c r="A545" s="282"/>
      <c r="B545" s="282"/>
      <c r="C545" s="282"/>
    </row>
    <row r="546" spans="1:3">
      <c r="A546" s="282"/>
      <c r="B546" s="282"/>
      <c r="C546" s="282"/>
    </row>
    <row r="547" spans="1:3">
      <c r="A547" s="282"/>
      <c r="B547" s="282"/>
      <c r="C547" s="282"/>
    </row>
    <row r="548" spans="1:3">
      <c r="A548" s="282"/>
      <c r="B548" s="282"/>
      <c r="C548" s="282"/>
    </row>
    <row r="549" spans="1:3">
      <c r="A549" s="282"/>
      <c r="B549" s="282"/>
      <c r="C549" s="282"/>
    </row>
    <row r="550" spans="1:3">
      <c r="A550" s="282"/>
      <c r="B550" s="282"/>
      <c r="C550" s="282"/>
    </row>
    <row r="551" spans="1:3">
      <c r="A551" s="282"/>
      <c r="B551" s="282"/>
      <c r="C551" s="282"/>
    </row>
    <row r="552" spans="1:3">
      <c r="A552" s="282"/>
      <c r="B552" s="282"/>
      <c r="C552" s="282"/>
    </row>
    <row r="553" spans="1:3">
      <c r="A553" s="282"/>
      <c r="B553" s="282"/>
      <c r="C553" s="282"/>
    </row>
    <row r="554" spans="1:3">
      <c r="A554" s="282"/>
      <c r="B554" s="282"/>
      <c r="C554" s="282"/>
    </row>
    <row r="555" spans="1:3">
      <c r="A555" s="282"/>
      <c r="B555" s="282"/>
      <c r="C555" s="282"/>
    </row>
    <row r="556" spans="1:3">
      <c r="A556" s="282"/>
      <c r="B556" s="282"/>
      <c r="C556" s="282"/>
    </row>
    <row r="557" spans="1:3">
      <c r="A557" s="282"/>
      <c r="B557" s="282"/>
      <c r="C557" s="282"/>
    </row>
    <row r="558" spans="1:3">
      <c r="A558" s="282"/>
      <c r="B558" s="282"/>
      <c r="C558" s="282"/>
    </row>
    <row r="559" spans="1:3">
      <c r="A559" s="282"/>
      <c r="B559" s="282"/>
      <c r="C559" s="282"/>
    </row>
    <row r="560" spans="1:3">
      <c r="A560" s="282"/>
      <c r="B560" s="282"/>
      <c r="C560" s="282"/>
    </row>
    <row r="561" spans="1:3">
      <c r="A561" s="282"/>
      <c r="B561" s="282"/>
      <c r="C561" s="282"/>
    </row>
    <row r="562" spans="1:3">
      <c r="A562" s="282"/>
      <c r="B562" s="282"/>
      <c r="C562" s="282"/>
    </row>
    <row r="563" spans="1:3">
      <c r="A563" s="282"/>
      <c r="B563" s="282"/>
      <c r="C563" s="282"/>
    </row>
    <row r="564" spans="1:3">
      <c r="A564" s="282"/>
      <c r="B564" s="282"/>
      <c r="C564" s="282"/>
    </row>
    <row r="565" spans="1:3">
      <c r="A565" s="282"/>
      <c r="B565" s="282"/>
      <c r="C565" s="282"/>
    </row>
    <row r="566" spans="1:3">
      <c r="A566" s="282"/>
      <c r="B566" s="282"/>
      <c r="C566" s="282"/>
    </row>
    <row r="567" spans="1:3">
      <c r="A567" s="282"/>
      <c r="B567" s="282"/>
      <c r="C567" s="282"/>
    </row>
    <row r="568" spans="1:3">
      <c r="A568" s="282"/>
      <c r="B568" s="282"/>
      <c r="C568" s="282"/>
    </row>
    <row r="569" spans="1:3">
      <c r="A569" s="282"/>
      <c r="B569" s="282"/>
      <c r="C569" s="282"/>
    </row>
    <row r="570" spans="1:3">
      <c r="A570" s="282"/>
      <c r="B570" s="282"/>
      <c r="C570" s="282"/>
    </row>
    <row r="571" spans="1:3">
      <c r="A571" s="282"/>
      <c r="B571" s="282"/>
      <c r="C571" s="282"/>
    </row>
    <row r="572" spans="1:3">
      <c r="A572" s="282"/>
      <c r="B572" s="282"/>
      <c r="C572" s="282"/>
    </row>
    <row r="573" spans="1:3">
      <c r="A573" s="282"/>
      <c r="B573" s="282"/>
      <c r="C573" s="282"/>
    </row>
    <row r="574" spans="1:3">
      <c r="A574" s="282"/>
      <c r="B574" s="282"/>
      <c r="C574" s="282"/>
    </row>
    <row r="575" spans="1:3">
      <c r="A575" s="282"/>
      <c r="B575" s="282"/>
      <c r="C575" s="282"/>
    </row>
    <row r="576" spans="1:3">
      <c r="A576" s="282"/>
      <c r="B576" s="282"/>
      <c r="C576" s="282"/>
    </row>
    <row r="577" spans="1:3">
      <c r="A577" s="282"/>
      <c r="B577" s="282"/>
      <c r="C577" s="282"/>
    </row>
    <row r="578" spans="1:3">
      <c r="A578" s="282"/>
      <c r="B578" s="282"/>
      <c r="C578" s="282"/>
    </row>
    <row r="579" spans="1:3">
      <c r="A579" s="282"/>
      <c r="B579" s="282"/>
      <c r="C579" s="282"/>
    </row>
    <row r="580" spans="1:3">
      <c r="A580" s="282"/>
      <c r="B580" s="282"/>
      <c r="C580" s="282"/>
    </row>
    <row r="581" spans="1:3">
      <c r="A581" s="282"/>
      <c r="B581" s="282"/>
      <c r="C581" s="282"/>
    </row>
    <row r="582" spans="1:3">
      <c r="A582" s="282"/>
      <c r="B582" s="282"/>
      <c r="C582" s="282"/>
    </row>
    <row r="583" spans="1:3">
      <c r="A583" s="282"/>
      <c r="B583" s="282"/>
      <c r="C583" s="282"/>
    </row>
    <row r="584" spans="1:3">
      <c r="A584" s="282"/>
      <c r="B584" s="282"/>
      <c r="C584" s="282"/>
    </row>
    <row r="585" spans="1:3">
      <c r="A585" s="282"/>
      <c r="B585" s="282"/>
      <c r="C585" s="282"/>
    </row>
    <row r="586" spans="1:3">
      <c r="A586" s="282"/>
      <c r="B586" s="282"/>
      <c r="C586" s="282"/>
    </row>
    <row r="587" spans="1:3">
      <c r="A587" s="282"/>
      <c r="B587" s="282"/>
      <c r="C587" s="282"/>
    </row>
    <row r="588" spans="1:3">
      <c r="A588" s="282"/>
      <c r="B588" s="282"/>
      <c r="C588" s="282"/>
    </row>
    <row r="589" spans="1:3">
      <c r="A589" s="282"/>
      <c r="B589" s="282"/>
      <c r="C589" s="282"/>
    </row>
    <row r="590" spans="1:3">
      <c r="A590" s="282"/>
      <c r="B590" s="282"/>
      <c r="C590" s="282"/>
    </row>
    <row r="591" spans="1:3">
      <c r="A591" s="282"/>
      <c r="B591" s="282"/>
      <c r="C591" s="282"/>
    </row>
    <row r="592" spans="1:3">
      <c r="A592" s="282"/>
      <c r="B592" s="282"/>
      <c r="C592" s="282"/>
    </row>
    <row r="593" spans="1:3">
      <c r="A593" s="282"/>
      <c r="B593" s="282"/>
      <c r="C593" s="282"/>
    </row>
    <row r="594" spans="1:3">
      <c r="A594" s="282"/>
      <c r="B594" s="282"/>
      <c r="C594" s="282"/>
    </row>
    <row r="595" spans="1:3">
      <c r="A595" s="282"/>
      <c r="B595" s="282"/>
      <c r="C595" s="282"/>
    </row>
    <row r="596" spans="1:3">
      <c r="A596" s="282"/>
      <c r="B596" s="282"/>
      <c r="C596" s="282"/>
    </row>
    <row r="597" spans="1:3">
      <c r="A597" s="282"/>
      <c r="B597" s="282"/>
      <c r="C597" s="282"/>
    </row>
    <row r="598" spans="1:3">
      <c r="A598" s="282"/>
      <c r="B598" s="282"/>
      <c r="C598" s="282"/>
    </row>
    <row r="599" spans="1:3">
      <c r="A599" s="282"/>
      <c r="B599" s="282"/>
      <c r="C599" s="282"/>
    </row>
  </sheetData>
  <pageMargins left="0.78749999999999998" right="0.78749999999999998" top="1.05277777777778" bottom="1.05277777777778" header="0.78749999999999998" footer="0.78749999999999998"/>
  <pageSetup paperSize="9" firstPageNumber="0" orientation="portrait" horizontalDpi="300" verticalDpi="300" r:id="rId1"/>
  <headerFooter>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48</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71</vt:i4>
      </vt:variant>
    </vt:vector>
  </HeadingPairs>
  <TitlesOfParts>
    <vt:vector size="84" baseType="lpstr">
      <vt:lpstr>Instrução de Uso</vt:lpstr>
      <vt:lpstr>Resumo</vt:lpstr>
      <vt:lpstr>AFP - Detalhada</vt:lpstr>
      <vt:lpstr>AFP - INM</vt:lpstr>
      <vt:lpstr>AFP - Estimativa</vt:lpstr>
      <vt:lpstr>UST</vt:lpstr>
      <vt:lpstr>AFP - Indicativa</vt:lpstr>
      <vt:lpstr>Fundamentação</vt:lpstr>
      <vt:lpstr>Redução de Prazo</vt:lpstr>
      <vt:lpstr>Esforço</vt:lpstr>
      <vt:lpstr>Tipo Projeto</vt:lpstr>
      <vt:lpstr>Tipo Sistema</vt:lpstr>
      <vt:lpstr>PF por Funcionalidade</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'AFP - Detalhada'!Print_Titles_0_0_0_0_0</vt:lpstr>
      <vt:lpstr>'AFP - Estimativa'!Print_Titles_0_0_0_0_0</vt:lpstr>
      <vt:lpstr>'AFP - Indicativa'!Print_Titles_0_0_0_0_0</vt:lpstr>
      <vt:lpstr>'AFP - INM'!Print_Titles_0_0_0_0_0</vt:lpstr>
      <vt:lpstr>UST!Print_Titles_0_0_0_0_0</vt:lpstr>
      <vt:lpstr>'AFP - Detalhada'!Print_Titles_0_0_0_0_0_0</vt:lpstr>
      <vt:lpstr>'AFP - Estimativa'!Print_Titles_0_0_0_0_0_0</vt:lpstr>
      <vt:lpstr>'AFP - Indicativa'!Print_Titles_0_0_0_0_0_0</vt:lpstr>
      <vt:lpstr>'AFP - INM'!Print_Titles_0_0_0_0_0_0</vt:lpstr>
      <vt:lpstr>UST!Print_Titles_0_0_0_0_0_0</vt:lpstr>
      <vt:lpstr>'AFP - Detalhada'!Print_Titles_0_0_0_0_0_0_0</vt:lpstr>
      <vt:lpstr>'AFP - Estimativa'!Print_Titles_0_0_0_0_0_0_0</vt:lpstr>
      <vt:lpstr>'AFP - Indicativa'!Print_Titles_0_0_0_0_0_0_0</vt:lpstr>
      <vt:lpstr>'AFP - INM'!Print_Titles_0_0_0_0_0_0_0</vt:lpstr>
      <vt:lpstr>UST!Print_Titles_0_0_0_0_0_0_0</vt:lpstr>
      <vt:lpstr>'AFP - Detalhada'!Print_Titles_0_0_0_0_0_0_0_0</vt:lpstr>
      <vt:lpstr>'AFP - Estimativa'!Print_Titles_0_0_0_0_0_0_0_0</vt:lpstr>
      <vt:lpstr>'AFP - Indicativa'!Print_Titles_0_0_0_0_0_0_0_0</vt:lpstr>
      <vt:lpstr>'AFP - INM'!Print_Titles_0_0_0_0_0_0_0_0</vt:lpstr>
      <vt:lpstr>UST!Print_Titles_0_0_0_0_0_0_0_0</vt:lpstr>
      <vt:lpstr>'AFP - Detalhada'!Print_Titles_0_0_0_0_0_0_0_0_0</vt:lpstr>
      <vt:lpstr>'AFP - Estimativa'!Print_Titles_0_0_0_0_0_0_0_0_0</vt:lpstr>
      <vt:lpstr>'AFP - Indicativa'!Print_Titles_0_0_0_0_0_0_0_0_0</vt:lpstr>
      <vt:lpstr>'AFP - INM'!Print_Titles_0_0_0_0_0_0_0_0_0</vt:lpstr>
      <vt:lpstr>UST!Print_Titles_0_0_0_0_0_0_0_0_0</vt:lpstr>
      <vt:lpstr>'AFP - Detalhada'!Print_Titles_0_0_0_0_0_0_0_0_0_0</vt:lpstr>
      <vt:lpstr>'AFP - Estimativa'!Print_Titles_0_0_0_0_0_0_0_0_0_0</vt:lpstr>
      <vt:lpstr>'AFP - Indicativa'!Print_Titles_0_0_0_0_0_0_0_0_0_0</vt:lpstr>
      <vt:lpstr>'AFP - INM'!Print_Titles_0_0_0_0_0_0_0_0_0_0</vt:lpstr>
      <vt:lpstr>UST!Print_Titles_0_0_0_0_0_0_0_0_0_0</vt:lpstr>
      <vt:lpstr>'AFP - Detalhada'!Print_Titles_0_0_0_0_0_0_0_0_0_0_0</vt:lpstr>
      <vt:lpstr>'AFP - Estimativa'!Print_Titles_0_0_0_0_0_0_0_0_0_0_0</vt:lpstr>
      <vt:lpstr>'AFP - Indicativa'!Print_Titles_0_0_0_0_0_0_0_0_0_0_0</vt:lpstr>
      <vt:lpstr>'AFP - INM'!Print_Titles_0_0_0_0_0_0_0_0_0_0_0</vt:lpstr>
      <vt:lpstr>UST!Print_Titles_0_0_0_0_0_0_0_0_0_0_0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Wilson</dc:creator>
  <dc:description/>
  <cp:lastModifiedBy>Wilson</cp:lastModifiedBy>
  <cp:revision>16</cp:revision>
  <cp:lastPrinted>2012-02-01T18:39:25Z</cp:lastPrinted>
  <dcterms:created xsi:type="dcterms:W3CDTF">2002-03-25T11:25:06Z</dcterms:created>
  <dcterms:modified xsi:type="dcterms:W3CDTF">2022-02-03T14:20:27Z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